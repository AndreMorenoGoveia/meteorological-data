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B33" s="1"/>
  <c r="AA7"/>
  <c r="Z7"/>
  <c r="Y7"/>
  <c r="X7"/>
  <c r="W7"/>
  <c r="V7"/>
  <c r="U7"/>
  <c r="T7"/>
  <c r="T33" s="1"/>
  <c r="S7"/>
  <c r="R7"/>
  <c r="Q7"/>
  <c r="P7"/>
  <c r="O7"/>
  <c r="N7"/>
  <c r="M7"/>
  <c r="L7"/>
  <c r="L33" s="1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Z6"/>
  <c r="Y6"/>
  <c r="X6"/>
  <c r="X29" s="1"/>
  <c r="W6"/>
  <c r="V6"/>
  <c r="U6"/>
  <c r="T6"/>
  <c r="S6"/>
  <c r="S29" s="1"/>
  <c r="R6"/>
  <c r="Q6"/>
  <c r="P6"/>
  <c r="O6"/>
  <c r="N6"/>
  <c r="M6"/>
  <c r="L6"/>
  <c r="K6"/>
  <c r="K29" s="1"/>
  <c r="J6"/>
  <c r="I6"/>
  <c r="H6"/>
  <c r="H29" s="1"/>
  <c r="G6"/>
  <c r="F6"/>
  <c r="E6"/>
  <c r="D6"/>
  <c r="C6"/>
  <c r="C29" s="1"/>
  <c r="B6"/>
  <c r="AF5"/>
  <c r="AE5"/>
  <c r="AE25" s="1"/>
  <c r="AD5"/>
  <c r="AC5"/>
  <c r="AB5"/>
  <c r="AA5"/>
  <c r="Z5"/>
  <c r="Z33" s="1"/>
  <c r="Y5"/>
  <c r="X5"/>
  <c r="W5"/>
  <c r="W33" s="1"/>
  <c r="V5"/>
  <c r="U5"/>
  <c r="T5"/>
  <c r="T25" s="1"/>
  <c r="S5"/>
  <c r="R5"/>
  <c r="R33" s="1"/>
  <c r="Q5"/>
  <c r="P5"/>
  <c r="O5"/>
  <c r="O25" s="1"/>
  <c r="N5"/>
  <c r="M5"/>
  <c r="L5"/>
  <c r="K5"/>
  <c r="J5"/>
  <c r="J33" s="1"/>
  <c r="I5"/>
  <c r="H5"/>
  <c r="G5"/>
  <c r="G33" s="1"/>
  <c r="F5"/>
  <c r="E5"/>
  <c r="D5"/>
  <c r="D25" s="1"/>
  <c r="C5"/>
  <c r="B5"/>
  <c r="B33" s="1"/>
  <c r="AF4"/>
  <c r="AF33" s="1"/>
  <c r="AE4"/>
  <c r="AE33" s="1"/>
  <c r="AD4"/>
  <c r="AD33" s="1"/>
  <c r="AC4"/>
  <c r="AC33" s="1"/>
  <c r="AB4"/>
  <c r="AB25" s="1"/>
  <c r="AA4"/>
  <c r="AA33" s="1"/>
  <c r="Z4"/>
  <c r="Z29" s="1"/>
  <c r="Z37" s="1"/>
  <c r="Y4"/>
  <c r="Y33" s="1"/>
  <c r="X4"/>
  <c r="X33" s="1"/>
  <c r="W4"/>
  <c r="W29" s="1"/>
  <c r="V4"/>
  <c r="V29" s="1"/>
  <c r="U4"/>
  <c r="U25" s="1"/>
  <c r="T4"/>
  <c r="S4"/>
  <c r="S33" s="1"/>
  <c r="R4"/>
  <c r="R29" s="1"/>
  <c r="R37" s="1"/>
  <c r="Q4"/>
  <c r="Q33" s="1"/>
  <c r="P4"/>
  <c r="P33" s="1"/>
  <c r="O4"/>
  <c r="O33" s="1"/>
  <c r="N4"/>
  <c r="N33" s="1"/>
  <c r="M4"/>
  <c r="M33" s="1"/>
  <c r="L4"/>
  <c r="L25" s="1"/>
  <c r="K4"/>
  <c r="K33" s="1"/>
  <c r="J4"/>
  <c r="J29" s="1"/>
  <c r="J37" s="1"/>
  <c r="I4"/>
  <c r="I33" s="1"/>
  <c r="H4"/>
  <c r="H33" s="1"/>
  <c r="G4"/>
  <c r="G29" s="1"/>
  <c r="F4"/>
  <c r="F29" s="1"/>
  <c r="E4"/>
  <c r="E25" s="1"/>
  <c r="D4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X29" s="1"/>
  <c r="X37" s="1"/>
  <c r="W7"/>
  <c r="W29" s="1"/>
  <c r="V7"/>
  <c r="U7"/>
  <c r="T7"/>
  <c r="S7"/>
  <c r="R7"/>
  <c r="Q7"/>
  <c r="P7"/>
  <c r="O7"/>
  <c r="N7"/>
  <c r="M7"/>
  <c r="L7"/>
  <c r="K7"/>
  <c r="J7"/>
  <c r="I7"/>
  <c r="H7"/>
  <c r="H29" s="1"/>
  <c r="H37" s="1"/>
  <c r="G7"/>
  <c r="G29" s="1"/>
  <c r="F7"/>
  <c r="E7"/>
  <c r="D7"/>
  <c r="C7"/>
  <c r="B7"/>
  <c r="AE6"/>
  <c r="AD6"/>
  <c r="AC6"/>
  <c r="AB6"/>
  <c r="AA6"/>
  <c r="Z6"/>
  <c r="Y6"/>
  <c r="X6"/>
  <c r="X25" s="1"/>
  <c r="W6"/>
  <c r="V6"/>
  <c r="V25" s="1"/>
  <c r="U6"/>
  <c r="U25" s="1"/>
  <c r="T6"/>
  <c r="S6"/>
  <c r="R6"/>
  <c r="Q6"/>
  <c r="P6"/>
  <c r="P29" s="1"/>
  <c r="P37" s="1"/>
  <c r="O6"/>
  <c r="N6"/>
  <c r="M6"/>
  <c r="L6"/>
  <c r="K6"/>
  <c r="J6"/>
  <c r="I6"/>
  <c r="H6"/>
  <c r="H25" s="1"/>
  <c r="G6"/>
  <c r="F6"/>
  <c r="F25" s="1"/>
  <c r="E6"/>
  <c r="E25" s="1"/>
  <c r="D6"/>
  <c r="C6"/>
  <c r="B6"/>
  <c r="AE5"/>
  <c r="AE29" s="1"/>
  <c r="AD5"/>
  <c r="AD25" s="1"/>
  <c r="AC5"/>
  <c r="AB5"/>
  <c r="AA5"/>
  <c r="AA29" s="1"/>
  <c r="AA37" s="1"/>
  <c r="Z5"/>
  <c r="Y5"/>
  <c r="X5"/>
  <c r="W5"/>
  <c r="W33" s="1"/>
  <c r="V5"/>
  <c r="V33" s="1"/>
  <c r="U5"/>
  <c r="T5"/>
  <c r="S5"/>
  <c r="S25" s="1"/>
  <c r="R5"/>
  <c r="Q5"/>
  <c r="P5"/>
  <c r="O5"/>
  <c r="O29" s="1"/>
  <c r="N5"/>
  <c r="N25" s="1"/>
  <c r="M5"/>
  <c r="L5"/>
  <c r="K5"/>
  <c r="K29" s="1"/>
  <c r="K37" s="1"/>
  <c r="J5"/>
  <c r="I5"/>
  <c r="H5"/>
  <c r="G5"/>
  <c r="G33" s="1"/>
  <c r="F5"/>
  <c r="F33" s="1"/>
  <c r="E5"/>
  <c r="D5"/>
  <c r="C5"/>
  <c r="C25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25" s="1"/>
  <c r="V4"/>
  <c r="V29" s="1"/>
  <c r="U4"/>
  <c r="U29" s="1"/>
  <c r="T4"/>
  <c r="T25" s="1"/>
  <c r="S4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25" s="1"/>
  <c r="F4"/>
  <c r="F29" s="1"/>
  <c r="E4"/>
  <c r="E29" s="1"/>
  <c r="D4"/>
  <c r="D25" s="1"/>
  <c r="C4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Q8"/>
  <c r="P8"/>
  <c r="O8"/>
  <c r="N8"/>
  <c r="M8"/>
  <c r="L8"/>
  <c r="K8"/>
  <c r="J8"/>
  <c r="I8"/>
  <c r="H8"/>
  <c r="H33" s="1"/>
  <c r="G8"/>
  <c r="F8"/>
  <c r="E8"/>
  <c r="D8"/>
  <c r="C8"/>
  <c r="B8"/>
  <c r="AF7"/>
  <c r="AE7"/>
  <c r="AD7"/>
  <c r="AC7"/>
  <c r="AB7"/>
  <c r="AA7"/>
  <c r="Z7"/>
  <c r="Z33" s="1"/>
  <c r="Y7"/>
  <c r="X7"/>
  <c r="W7"/>
  <c r="W29" s="1"/>
  <c r="V7"/>
  <c r="U7"/>
  <c r="T7"/>
  <c r="S7"/>
  <c r="R7"/>
  <c r="R33" s="1"/>
  <c r="Q7"/>
  <c r="P7"/>
  <c r="O7"/>
  <c r="N7"/>
  <c r="M7"/>
  <c r="L7"/>
  <c r="K7"/>
  <c r="J7"/>
  <c r="J33" s="1"/>
  <c r="I7"/>
  <c r="H7"/>
  <c r="G7"/>
  <c r="G29" s="1"/>
  <c r="F7"/>
  <c r="E7"/>
  <c r="D7"/>
  <c r="C7"/>
  <c r="B7"/>
  <c r="B33" s="1"/>
  <c r="AF6"/>
  <c r="AE6"/>
  <c r="AD6"/>
  <c r="AC6"/>
  <c r="AB6"/>
  <c r="AA6"/>
  <c r="Z6"/>
  <c r="Y6"/>
  <c r="Y29" s="1"/>
  <c r="Y37" s="1"/>
  <c r="X6"/>
  <c r="W6"/>
  <c r="V6"/>
  <c r="V25" s="1"/>
  <c r="U6"/>
  <c r="T6"/>
  <c r="S6"/>
  <c r="R6"/>
  <c r="Q6"/>
  <c r="Q29" s="1"/>
  <c r="P6"/>
  <c r="O6"/>
  <c r="N6"/>
  <c r="M6"/>
  <c r="L6"/>
  <c r="K6"/>
  <c r="J6"/>
  <c r="I6"/>
  <c r="I29" s="1"/>
  <c r="I37" s="1"/>
  <c r="H6"/>
  <c r="G6"/>
  <c r="F6"/>
  <c r="F25" s="1"/>
  <c r="E6"/>
  <c r="D6"/>
  <c r="C6"/>
  <c r="B6"/>
  <c r="AF5"/>
  <c r="AF33" s="1"/>
  <c r="AE5"/>
  <c r="AD5"/>
  <c r="AC5"/>
  <c r="AC25" s="1"/>
  <c r="AB5"/>
  <c r="AA5"/>
  <c r="Z5"/>
  <c r="Y5"/>
  <c r="X5"/>
  <c r="X25" s="1"/>
  <c r="W5"/>
  <c r="V5"/>
  <c r="U5"/>
  <c r="U25" s="1"/>
  <c r="T5"/>
  <c r="S5"/>
  <c r="R5"/>
  <c r="R25" s="1"/>
  <c r="Q5"/>
  <c r="P5"/>
  <c r="P33" s="1"/>
  <c r="O5"/>
  <c r="N5"/>
  <c r="M5"/>
  <c r="M25" s="1"/>
  <c r="L5"/>
  <c r="K5"/>
  <c r="J5"/>
  <c r="I5"/>
  <c r="H5"/>
  <c r="H25" s="1"/>
  <c r="G5"/>
  <c r="F5"/>
  <c r="E5"/>
  <c r="E25" s="1"/>
  <c r="D5"/>
  <c r="C5"/>
  <c r="B5"/>
  <c r="B25" s="1"/>
  <c r="AF4"/>
  <c r="AF29" s="1"/>
  <c r="AF37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29" s="1"/>
  <c r="X37" s="1"/>
  <c r="W4"/>
  <c r="W33" s="1"/>
  <c r="V4"/>
  <c r="V33" s="1"/>
  <c r="U4"/>
  <c r="U33" s="1"/>
  <c r="T4"/>
  <c r="T29" s="1"/>
  <c r="S4"/>
  <c r="S25" s="1"/>
  <c r="R4"/>
  <c r="Q4"/>
  <c r="Q33" s="1"/>
  <c r="P4"/>
  <c r="P29" s="1"/>
  <c r="P37" s="1"/>
  <c r="O4"/>
  <c r="O33" s="1"/>
  <c r="N4"/>
  <c r="N33" s="1"/>
  <c r="M4"/>
  <c r="M33" s="1"/>
  <c r="L4"/>
  <c r="L33" s="1"/>
  <c r="K4"/>
  <c r="K33" s="1"/>
  <c r="J4"/>
  <c r="J25" s="1"/>
  <c r="I4"/>
  <c r="I33" s="1"/>
  <c r="H4"/>
  <c r="H29" s="1"/>
  <c r="H37" s="1"/>
  <c r="G4"/>
  <c r="G33" s="1"/>
  <c r="F4"/>
  <c r="F33" s="1"/>
  <c r="E4"/>
  <c r="E33" s="1"/>
  <c r="D4"/>
  <c r="D29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V29" s="1"/>
  <c r="U7"/>
  <c r="T7"/>
  <c r="S7"/>
  <c r="R7"/>
  <c r="Q7"/>
  <c r="P7"/>
  <c r="O7"/>
  <c r="N7"/>
  <c r="N29" s="1"/>
  <c r="N37" s="1"/>
  <c r="M7"/>
  <c r="L7"/>
  <c r="K7"/>
  <c r="J7"/>
  <c r="I7"/>
  <c r="H7"/>
  <c r="G7"/>
  <c r="F7"/>
  <c r="F29" s="1"/>
  <c r="E7"/>
  <c r="D7"/>
  <c r="C7"/>
  <c r="B7"/>
  <c r="AE6"/>
  <c r="AD6"/>
  <c r="AD29" s="1"/>
  <c r="AC6"/>
  <c r="AB6"/>
  <c r="AB25" s="1"/>
  <c r="AA6"/>
  <c r="Z6"/>
  <c r="Y6"/>
  <c r="X6"/>
  <c r="W6"/>
  <c r="V6"/>
  <c r="V25" s="1"/>
  <c r="U6"/>
  <c r="T6"/>
  <c r="T25" s="1"/>
  <c r="S6"/>
  <c r="S33" s="1"/>
  <c r="R6"/>
  <c r="Q6"/>
  <c r="P6"/>
  <c r="O6"/>
  <c r="N6"/>
  <c r="N25" s="1"/>
  <c r="M6"/>
  <c r="L6"/>
  <c r="L25" s="1"/>
  <c r="K6"/>
  <c r="J6"/>
  <c r="I6"/>
  <c r="H6"/>
  <c r="G6"/>
  <c r="F6"/>
  <c r="F25" s="1"/>
  <c r="E6"/>
  <c r="D6"/>
  <c r="D25" s="1"/>
  <c r="C6"/>
  <c r="C33" s="1"/>
  <c r="B6"/>
  <c r="AE5"/>
  <c r="AD5"/>
  <c r="AC5"/>
  <c r="AC29" s="1"/>
  <c r="AB5"/>
  <c r="AA5"/>
  <c r="Z5"/>
  <c r="Y5"/>
  <c r="Y29" s="1"/>
  <c r="Y37" s="1"/>
  <c r="X5"/>
  <c r="W5"/>
  <c r="V5"/>
  <c r="U5"/>
  <c r="U33" s="1"/>
  <c r="T5"/>
  <c r="S5"/>
  <c r="R5"/>
  <c r="Q5"/>
  <c r="Q25" s="1"/>
  <c r="P5"/>
  <c r="O5"/>
  <c r="N5"/>
  <c r="M5"/>
  <c r="M29" s="1"/>
  <c r="L5"/>
  <c r="K5"/>
  <c r="J5"/>
  <c r="I5"/>
  <c r="I29" s="1"/>
  <c r="I37" s="1"/>
  <c r="H5"/>
  <c r="G5"/>
  <c r="F5"/>
  <c r="E5"/>
  <c r="E33" s="1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5" s="1"/>
  <c r="T4"/>
  <c r="T29" s="1"/>
  <c r="S4"/>
  <c r="S29" s="1"/>
  <c r="S37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25" s="1"/>
  <c r="D4"/>
  <c r="D29" s="1"/>
  <c r="C4"/>
  <c r="C29" s="1"/>
  <c r="C37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U29" s="1"/>
  <c r="T7"/>
  <c r="S7"/>
  <c r="R7"/>
  <c r="Q7"/>
  <c r="P7"/>
  <c r="P33" s="1"/>
  <c r="O7"/>
  <c r="N7"/>
  <c r="M7"/>
  <c r="L7"/>
  <c r="K7"/>
  <c r="J7"/>
  <c r="I7"/>
  <c r="H7"/>
  <c r="H33" s="1"/>
  <c r="G7"/>
  <c r="F7"/>
  <c r="E7"/>
  <c r="E29" s="1"/>
  <c r="D7"/>
  <c r="C7"/>
  <c r="B7"/>
  <c r="AF6"/>
  <c r="AE6"/>
  <c r="AE29" s="1"/>
  <c r="AE37" s="1"/>
  <c r="AD6"/>
  <c r="AC6"/>
  <c r="AB6"/>
  <c r="AB29" s="1"/>
  <c r="AA6"/>
  <c r="Z6"/>
  <c r="Y6"/>
  <c r="X6"/>
  <c r="W6"/>
  <c r="W29" s="1"/>
  <c r="V6"/>
  <c r="U6"/>
  <c r="T6"/>
  <c r="T25" s="1"/>
  <c r="S6"/>
  <c r="R6"/>
  <c r="Q6"/>
  <c r="P6"/>
  <c r="O6"/>
  <c r="O29" s="1"/>
  <c r="O37" s="1"/>
  <c r="N6"/>
  <c r="M6"/>
  <c r="L6"/>
  <c r="L29" s="1"/>
  <c r="K6"/>
  <c r="J6"/>
  <c r="I6"/>
  <c r="H6"/>
  <c r="G6"/>
  <c r="G29" s="1"/>
  <c r="F6"/>
  <c r="E6"/>
  <c r="D6"/>
  <c r="D25" s="1"/>
  <c r="C6"/>
  <c r="B6"/>
  <c r="AF5"/>
  <c r="AE5"/>
  <c r="AD5"/>
  <c r="AD33" s="1"/>
  <c r="AC5"/>
  <c r="AB5"/>
  <c r="AA5"/>
  <c r="AA25" s="1"/>
  <c r="Z5"/>
  <c r="Y5"/>
  <c r="X5"/>
  <c r="W5"/>
  <c r="V5"/>
  <c r="V25" s="1"/>
  <c r="U5"/>
  <c r="T5"/>
  <c r="S5"/>
  <c r="S25" s="1"/>
  <c r="R5"/>
  <c r="Q5"/>
  <c r="P5"/>
  <c r="O5"/>
  <c r="N5"/>
  <c r="N33" s="1"/>
  <c r="M5"/>
  <c r="L5"/>
  <c r="K5"/>
  <c r="K25" s="1"/>
  <c r="J5"/>
  <c r="I5"/>
  <c r="H5"/>
  <c r="G5"/>
  <c r="F5"/>
  <c r="F25" s="1"/>
  <c r="E5"/>
  <c r="D5"/>
  <c r="C5"/>
  <c r="C25" s="1"/>
  <c r="B5"/>
  <c r="AF4"/>
  <c r="AF25" s="1"/>
  <c r="AE4"/>
  <c r="AE33" s="1"/>
  <c r="AD4"/>
  <c r="AD29" s="1"/>
  <c r="AC4"/>
  <c r="AC33" s="1"/>
  <c r="AB4"/>
  <c r="AB33" s="1"/>
  <c r="AA4"/>
  <c r="AA33" s="1"/>
  <c r="Z4"/>
  <c r="Z33" s="1"/>
  <c r="Y4"/>
  <c r="Y33" s="1"/>
  <c r="X4"/>
  <c r="X25" s="1"/>
  <c r="W4"/>
  <c r="W33" s="1"/>
  <c r="V4"/>
  <c r="V29" s="1"/>
  <c r="V37" s="1"/>
  <c r="U4"/>
  <c r="U33" s="1"/>
  <c r="T4"/>
  <c r="T33" s="1"/>
  <c r="S4"/>
  <c r="S33" s="1"/>
  <c r="R4"/>
  <c r="R29" s="1"/>
  <c r="Q4"/>
  <c r="Q25" s="1"/>
  <c r="P4"/>
  <c r="P25" s="1"/>
  <c r="O4"/>
  <c r="O33" s="1"/>
  <c r="N4"/>
  <c r="N29" s="1"/>
  <c r="M4"/>
  <c r="M33" s="1"/>
  <c r="L4"/>
  <c r="L33" s="1"/>
  <c r="K4"/>
  <c r="K33" s="1"/>
  <c r="J4"/>
  <c r="J33" s="1"/>
  <c r="I4"/>
  <c r="I33" s="1"/>
  <c r="H4"/>
  <c r="H25" s="1"/>
  <c r="G4"/>
  <c r="G33" s="1"/>
  <c r="F4"/>
  <c r="F29" s="1"/>
  <c r="F37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E33" s="1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D29" s="1"/>
  <c r="AD37" s="1"/>
  <c r="AC6"/>
  <c r="AB6"/>
  <c r="AA6"/>
  <c r="Z6"/>
  <c r="Y6"/>
  <c r="Y29" s="1"/>
  <c r="X6"/>
  <c r="X33" s="1"/>
  <c r="W6"/>
  <c r="V6"/>
  <c r="U6"/>
  <c r="T6"/>
  <c r="S6"/>
  <c r="R6"/>
  <c r="Q6"/>
  <c r="Q29" s="1"/>
  <c r="Q37" s="1"/>
  <c r="P6"/>
  <c r="O6"/>
  <c r="N6"/>
  <c r="N29" s="1"/>
  <c r="N37" s="1"/>
  <c r="M6"/>
  <c r="L6"/>
  <c r="K6"/>
  <c r="J6"/>
  <c r="I6"/>
  <c r="I29" s="1"/>
  <c r="H6"/>
  <c r="H33" s="1"/>
  <c r="G6"/>
  <c r="F6"/>
  <c r="E6"/>
  <c r="D6"/>
  <c r="C6"/>
  <c r="B6"/>
  <c r="AF5"/>
  <c r="AF33" s="1"/>
  <c r="AE5"/>
  <c r="AD5"/>
  <c r="AC5"/>
  <c r="AC25" s="1"/>
  <c r="AB5"/>
  <c r="AA5"/>
  <c r="Z5"/>
  <c r="Y5"/>
  <c r="X5"/>
  <c r="X25" s="1"/>
  <c r="W5"/>
  <c r="W29" s="1"/>
  <c r="W37" s="1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H25" s="1"/>
  <c r="G5"/>
  <c r="G29" s="1"/>
  <c r="G37" s="1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33" s="1"/>
  <c r="J4"/>
  <c r="J25" s="1"/>
  <c r="I4"/>
  <c r="I33" s="1"/>
  <c r="H4"/>
  <c r="H29" s="1"/>
  <c r="G4"/>
  <c r="G33" s="1"/>
  <c r="F4"/>
  <c r="F33" s="1"/>
  <c r="E4"/>
  <c r="E29" s="1"/>
  <c r="D4"/>
  <c r="D29" s="1"/>
  <c r="C4"/>
  <c r="C25" s="1"/>
  <c r="B4"/>
  <c r="B25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D29" s="1"/>
  <c r="AD37" s="1"/>
  <c r="AC7"/>
  <c r="AB7"/>
  <c r="AA7"/>
  <c r="Z7"/>
  <c r="Y7"/>
  <c r="X7"/>
  <c r="W7"/>
  <c r="V7"/>
  <c r="U7"/>
  <c r="U29" s="1"/>
  <c r="U37" s="1"/>
  <c r="T7"/>
  <c r="S7"/>
  <c r="R7"/>
  <c r="Q7"/>
  <c r="P7"/>
  <c r="O7"/>
  <c r="N7"/>
  <c r="N29" s="1"/>
  <c r="N37" s="1"/>
  <c r="M7"/>
  <c r="L7"/>
  <c r="K7"/>
  <c r="J7"/>
  <c r="I7"/>
  <c r="H7"/>
  <c r="G7"/>
  <c r="F7"/>
  <c r="F29" s="1"/>
  <c r="F37" s="1"/>
  <c r="E7"/>
  <c r="E29" s="1"/>
  <c r="E37" s="1"/>
  <c r="D7"/>
  <c r="C7"/>
  <c r="B7"/>
  <c r="AE6"/>
  <c r="AD6"/>
  <c r="AD25" s="1"/>
  <c r="AC6"/>
  <c r="AB6"/>
  <c r="AB25" s="1"/>
  <c r="AA6"/>
  <c r="Z6"/>
  <c r="Y6"/>
  <c r="X6"/>
  <c r="W6"/>
  <c r="V6"/>
  <c r="V29" s="1"/>
  <c r="V37" s="1"/>
  <c r="U6"/>
  <c r="T6"/>
  <c r="T25" s="1"/>
  <c r="S6"/>
  <c r="S25" s="1"/>
  <c r="R6"/>
  <c r="Q6"/>
  <c r="P6"/>
  <c r="O6"/>
  <c r="N6"/>
  <c r="N25" s="1"/>
  <c r="M6"/>
  <c r="L6"/>
  <c r="L25" s="1"/>
  <c r="K6"/>
  <c r="J6"/>
  <c r="I6"/>
  <c r="H6"/>
  <c r="G6"/>
  <c r="F6"/>
  <c r="F25" s="1"/>
  <c r="E6"/>
  <c r="D6"/>
  <c r="C6"/>
  <c r="C25" s="1"/>
  <c r="B6"/>
  <c r="AE5"/>
  <c r="AD5"/>
  <c r="AC5"/>
  <c r="AC29" s="1"/>
  <c r="AC37" s="1"/>
  <c r="AB5"/>
  <c r="AA5"/>
  <c r="Z5"/>
  <c r="Y5"/>
  <c r="Y29" s="1"/>
  <c r="X5"/>
  <c r="W5"/>
  <c r="V5"/>
  <c r="U5"/>
  <c r="T5"/>
  <c r="S5"/>
  <c r="R5"/>
  <c r="Q5"/>
  <c r="Q29" s="1"/>
  <c r="P5"/>
  <c r="O5"/>
  <c r="N5"/>
  <c r="M5"/>
  <c r="M29" s="1"/>
  <c r="M37" s="1"/>
  <c r="L5"/>
  <c r="K5"/>
  <c r="J5"/>
  <c r="I5"/>
  <c r="I29" s="1"/>
  <c r="H5"/>
  <c r="G5"/>
  <c r="F5"/>
  <c r="E5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F29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F6"/>
  <c r="AE6"/>
  <c r="AE25" s="1"/>
  <c r="AD6"/>
  <c r="AC6"/>
  <c r="AB6"/>
  <c r="AB29" s="1"/>
  <c r="AB37" s="1"/>
  <c r="AA6"/>
  <c r="Z6"/>
  <c r="Y6"/>
  <c r="X6"/>
  <c r="W6"/>
  <c r="V6"/>
  <c r="V33" s="1"/>
  <c r="U6"/>
  <c r="T6"/>
  <c r="S6"/>
  <c r="R6"/>
  <c r="Q6"/>
  <c r="P6"/>
  <c r="O6"/>
  <c r="O25" s="1"/>
  <c r="N6"/>
  <c r="M6"/>
  <c r="L6"/>
  <c r="L29" s="1"/>
  <c r="L37" s="1"/>
  <c r="K6"/>
  <c r="J6"/>
  <c r="I6"/>
  <c r="H6"/>
  <c r="G6"/>
  <c r="F6"/>
  <c r="F33" s="1"/>
  <c r="E6"/>
  <c r="D6"/>
  <c r="C6"/>
  <c r="B6"/>
  <c r="AF5"/>
  <c r="AE5"/>
  <c r="AD5"/>
  <c r="AD33" s="1"/>
  <c r="AC5"/>
  <c r="AB5"/>
  <c r="AA5"/>
  <c r="AA25" s="1"/>
  <c r="Z5"/>
  <c r="Y5"/>
  <c r="X5"/>
  <c r="W5"/>
  <c r="V5"/>
  <c r="U5"/>
  <c r="U33" s="1"/>
  <c r="T5"/>
  <c r="S5"/>
  <c r="S25" s="1"/>
  <c r="R5"/>
  <c r="Q5"/>
  <c r="P5"/>
  <c r="O5"/>
  <c r="N5"/>
  <c r="N33" s="1"/>
  <c r="M5"/>
  <c r="L5"/>
  <c r="K5"/>
  <c r="K25" s="1"/>
  <c r="J5"/>
  <c r="I5"/>
  <c r="H5"/>
  <c r="G5"/>
  <c r="F5"/>
  <c r="E5"/>
  <c r="E33" s="1"/>
  <c r="D5"/>
  <c r="C5"/>
  <c r="C25" s="1"/>
  <c r="B5"/>
  <c r="AF4"/>
  <c r="AF33" s="1"/>
  <c r="AE4"/>
  <c r="AE33" s="1"/>
  <c r="AD4"/>
  <c r="AD29" s="1"/>
  <c r="AD37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V37" s="1"/>
  <c r="U4"/>
  <c r="U25" s="1"/>
  <c r="T4"/>
  <c r="T33" s="1"/>
  <c r="S4"/>
  <c r="S33" s="1"/>
  <c r="R4"/>
  <c r="R29" s="1"/>
  <c r="Q4"/>
  <c r="Q25" s="1"/>
  <c r="P4"/>
  <c r="P33" s="1"/>
  <c r="O4"/>
  <c r="O33" s="1"/>
  <c r="N4"/>
  <c r="N29" s="1"/>
  <c r="N37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F37" s="1"/>
  <c r="E4"/>
  <c r="E25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U33" s="1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25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S29" s="1"/>
  <c r="S37" s="1"/>
  <c r="R7"/>
  <c r="Q7"/>
  <c r="P7"/>
  <c r="O7"/>
  <c r="N7"/>
  <c r="M7"/>
  <c r="L7"/>
  <c r="K7"/>
  <c r="J7"/>
  <c r="I7"/>
  <c r="H7"/>
  <c r="G7"/>
  <c r="F7"/>
  <c r="E7"/>
  <c r="D7"/>
  <c r="C7"/>
  <c r="C29" s="1"/>
  <c r="B7"/>
  <c r="AE6"/>
  <c r="AD6"/>
  <c r="AC6"/>
  <c r="AB6"/>
  <c r="AA6"/>
  <c r="Z6"/>
  <c r="Y6"/>
  <c r="X6"/>
  <c r="W6"/>
  <c r="V6"/>
  <c r="U6"/>
  <c r="T6"/>
  <c r="S6"/>
  <c r="R6"/>
  <c r="Q6"/>
  <c r="Q25" s="1"/>
  <c r="P6"/>
  <c r="O6"/>
  <c r="N6"/>
  <c r="M6"/>
  <c r="L6"/>
  <c r="K6"/>
  <c r="J6"/>
  <c r="I6"/>
  <c r="H6"/>
  <c r="G6"/>
  <c r="F6"/>
  <c r="E6"/>
  <c r="D6"/>
  <c r="C6"/>
  <c r="B6"/>
  <c r="AE5"/>
  <c r="AE29" s="1"/>
  <c r="AD5"/>
  <c r="AC5"/>
  <c r="AB5"/>
  <c r="AA5"/>
  <c r="AA29" s="1"/>
  <c r="Z5"/>
  <c r="Y5"/>
  <c r="X5"/>
  <c r="W5"/>
  <c r="V5"/>
  <c r="U5"/>
  <c r="T5"/>
  <c r="S5"/>
  <c r="R5"/>
  <c r="Q5"/>
  <c r="P5"/>
  <c r="O5"/>
  <c r="O29" s="1"/>
  <c r="N5"/>
  <c r="M5"/>
  <c r="L5"/>
  <c r="K5"/>
  <c r="K29" s="1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29" s="1"/>
  <c r="Y4"/>
  <c r="Y33" s="1"/>
  <c r="X4"/>
  <c r="X33" s="1"/>
  <c r="W4"/>
  <c r="W33" s="1"/>
  <c r="V4"/>
  <c r="V33" s="1"/>
  <c r="U4"/>
  <c r="U29" s="1"/>
  <c r="U37" s="1"/>
  <c r="T4"/>
  <c r="T29" s="1"/>
  <c r="T37" s="1"/>
  <c r="S4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C25" s="1"/>
  <c r="AB6"/>
  <c r="AA6"/>
  <c r="Z6"/>
  <c r="Y6"/>
  <c r="X6"/>
  <c r="W6"/>
  <c r="V6"/>
  <c r="U6"/>
  <c r="T6"/>
  <c r="S6"/>
  <c r="R6"/>
  <c r="Q6"/>
  <c r="P6"/>
  <c r="O6"/>
  <c r="N6"/>
  <c r="M6"/>
  <c r="M25" s="1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E37" i="7" l="1"/>
  <c r="C37" i="4"/>
  <c r="D37" i="7"/>
  <c r="T37"/>
  <c r="G37" i="8"/>
  <c r="W37"/>
  <c r="B37" i="1"/>
  <c r="D37" i="9"/>
  <c r="Z37" i="4"/>
  <c r="P37" i="5"/>
  <c r="AF37"/>
  <c r="R37" i="8"/>
  <c r="E37"/>
  <c r="U37"/>
  <c r="K37" i="4"/>
  <c r="AA37"/>
  <c r="P37" i="7"/>
  <c r="AF37"/>
  <c r="F37" i="11"/>
  <c r="V37"/>
  <c r="K37" i="12"/>
  <c r="AA37"/>
  <c r="N43" i="7"/>
  <c r="G37" i="10"/>
  <c r="W37"/>
  <c r="F37" i="9"/>
  <c r="V37"/>
  <c r="G37" i="12"/>
  <c r="W37"/>
  <c r="N37" i="8"/>
  <c r="AD37"/>
  <c r="F37" i="12"/>
  <c r="V37"/>
  <c r="H37"/>
  <c r="X37"/>
  <c r="AB37" i="2"/>
  <c r="G37" i="11"/>
  <c r="W37"/>
  <c r="AA37" i="2"/>
  <c r="I37" i="6"/>
  <c r="Y37"/>
  <c r="Q37" i="10"/>
  <c r="B37" i="12"/>
  <c r="Z37" i="2"/>
  <c r="R37" i="4"/>
  <c r="L37" i="8"/>
  <c r="AB37"/>
  <c r="M37" i="9"/>
  <c r="AC37"/>
  <c r="N43" i="12"/>
  <c r="V43"/>
  <c r="H37" i="7"/>
  <c r="X37"/>
  <c r="AD37" i="9"/>
  <c r="C37" i="12"/>
  <c r="S37"/>
  <c r="I37" i="7"/>
  <c r="Y37"/>
  <c r="O37" i="11"/>
  <c r="AE37"/>
  <c r="P25" i="1"/>
  <c r="AF25"/>
  <c r="Q29"/>
  <c r="B33"/>
  <c r="R33"/>
  <c r="R37" s="1"/>
  <c r="D25" i="2"/>
  <c r="T25"/>
  <c r="H29"/>
  <c r="X29"/>
  <c r="L33"/>
  <c r="L37" s="1"/>
  <c r="AB33"/>
  <c r="N25" i="3"/>
  <c r="AD25"/>
  <c r="O29"/>
  <c r="O37" s="1"/>
  <c r="AE29"/>
  <c r="AE37" s="1"/>
  <c r="P33"/>
  <c r="P37" s="1"/>
  <c r="AF33"/>
  <c r="AF37" s="1"/>
  <c r="N25" i="4"/>
  <c r="AD25"/>
  <c r="P29"/>
  <c r="B33"/>
  <c r="R33"/>
  <c r="P25" i="5"/>
  <c r="AF25"/>
  <c r="Q29"/>
  <c r="Q37" s="1"/>
  <c r="B33"/>
  <c r="R33"/>
  <c r="R37" s="1"/>
  <c r="P25" i="6"/>
  <c r="B29"/>
  <c r="R29"/>
  <c r="R37" s="1"/>
  <c r="D33"/>
  <c r="D37" s="1"/>
  <c r="T33"/>
  <c r="T37" s="1"/>
  <c r="C29" i="7"/>
  <c r="C37" s="1"/>
  <c r="S29"/>
  <c r="S37" s="1"/>
  <c r="D33"/>
  <c r="T33"/>
  <c r="Q29" i="8"/>
  <c r="B33"/>
  <c r="R33"/>
  <c r="P25" i="9"/>
  <c r="B29"/>
  <c r="R29"/>
  <c r="D33"/>
  <c r="T33"/>
  <c r="T37" s="1"/>
  <c r="C29" i="10"/>
  <c r="S29"/>
  <c r="S37" s="1"/>
  <c r="D33"/>
  <c r="D37" s="1"/>
  <c r="T33"/>
  <c r="T37" s="1"/>
  <c r="B25" i="11"/>
  <c r="R25"/>
  <c r="D29"/>
  <c r="T29"/>
  <c r="E29" i="12"/>
  <c r="U29"/>
  <c r="U37" s="1"/>
  <c r="F33"/>
  <c r="V33"/>
  <c r="O25" i="1"/>
  <c r="AE25"/>
  <c r="P29"/>
  <c r="P37" s="1"/>
  <c r="AF29"/>
  <c r="AF37" s="1"/>
  <c r="Q33"/>
  <c r="C25" i="2"/>
  <c r="S25"/>
  <c r="G29"/>
  <c r="G37" s="1"/>
  <c r="W29"/>
  <c r="K33"/>
  <c r="K37" s="1"/>
  <c r="AA33"/>
  <c r="N29" i="3"/>
  <c r="N37" s="1"/>
  <c r="AD29"/>
  <c r="AD37" s="1"/>
  <c r="O33"/>
  <c r="AE33"/>
  <c r="M25" i="4"/>
  <c r="AC25"/>
  <c r="Q33"/>
  <c r="Q37" s="1"/>
  <c r="Q33" i="5"/>
  <c r="O25" i="6"/>
  <c r="AE25"/>
  <c r="C33"/>
  <c r="C37" s="1"/>
  <c r="S33"/>
  <c r="S37" s="1"/>
  <c r="Q25" i="7"/>
  <c r="B29"/>
  <c r="R29"/>
  <c r="R37" s="1"/>
  <c r="C33"/>
  <c r="S33"/>
  <c r="V43" s="1"/>
  <c r="O25" i="8"/>
  <c r="AE25"/>
  <c r="P29"/>
  <c r="P37" s="1"/>
  <c r="AF29"/>
  <c r="AF37" s="1"/>
  <c r="Q33"/>
  <c r="O25" i="9"/>
  <c r="AE25"/>
  <c r="Q29"/>
  <c r="Q37" s="1"/>
  <c r="Q25" i="10"/>
  <c r="B29"/>
  <c r="R29"/>
  <c r="R37" s="1"/>
  <c r="C33"/>
  <c r="N43" s="1"/>
  <c r="S33"/>
  <c r="Q25" i="11"/>
  <c r="C29"/>
  <c r="S29"/>
  <c r="E33"/>
  <c r="E37" s="1"/>
  <c r="U33"/>
  <c r="U37" s="1"/>
  <c r="C25" i="12"/>
  <c r="S25"/>
  <c r="D29"/>
  <c r="D37" s="1"/>
  <c r="T29"/>
  <c r="T37" s="1"/>
  <c r="E33"/>
  <c r="U33"/>
  <c r="N25" i="1"/>
  <c r="AD25"/>
  <c r="O29"/>
  <c r="O37" s="1"/>
  <c r="AE29"/>
  <c r="AE37" s="1"/>
  <c r="B25" i="2"/>
  <c r="R25"/>
  <c r="F29"/>
  <c r="V29"/>
  <c r="J33"/>
  <c r="J37" s="1"/>
  <c r="Z33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P29" i="6"/>
  <c r="P37" s="1"/>
  <c r="B33"/>
  <c r="R33"/>
  <c r="P25" i="7"/>
  <c r="AF25"/>
  <c r="N25" i="8"/>
  <c r="AD25"/>
  <c r="AD25" i="9"/>
  <c r="P29"/>
  <c r="P37" s="1"/>
  <c r="B33"/>
  <c r="R33"/>
  <c r="P25" i="10"/>
  <c r="AF25"/>
  <c r="P25" i="11"/>
  <c r="B29"/>
  <c r="R29"/>
  <c r="R37" s="1"/>
  <c r="D33"/>
  <c r="T33"/>
  <c r="B25" i="12"/>
  <c r="R25"/>
  <c r="M25" i="1"/>
  <c r="AC25"/>
  <c r="N29"/>
  <c r="N37" s="1"/>
  <c r="AD29"/>
  <c r="AD37" s="1"/>
  <c r="Q25" i="2"/>
  <c r="E29"/>
  <c r="U29"/>
  <c r="U37" s="1"/>
  <c r="I33"/>
  <c r="I37" s="1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O37" s="1"/>
  <c r="AE33"/>
  <c r="AE37" s="1"/>
  <c r="M25" i="5"/>
  <c r="AC25"/>
  <c r="M25" i="6"/>
  <c r="AC25"/>
  <c r="O29"/>
  <c r="O37" s="1"/>
  <c r="AE29"/>
  <c r="AE37" s="1"/>
  <c r="Q33"/>
  <c r="Q37" s="1"/>
  <c r="O25" i="7"/>
  <c r="AE25"/>
  <c r="M25" i="8"/>
  <c r="AC25"/>
  <c r="M25" i="9"/>
  <c r="AC25"/>
  <c r="O29"/>
  <c r="O37" s="1"/>
  <c r="AE29"/>
  <c r="AE37" s="1"/>
  <c r="O25" i="10"/>
  <c r="AE25"/>
  <c r="O25" i="11"/>
  <c r="AE25"/>
  <c r="Q29"/>
  <c r="Q37" s="1"/>
  <c r="C33"/>
  <c r="V43" s="1"/>
  <c r="S33"/>
  <c r="Q25" i="12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N25" i="7"/>
  <c r="AD25"/>
  <c r="O29"/>
  <c r="O37" s="1"/>
  <c r="AE29"/>
  <c r="AE37" s="1"/>
  <c r="L25" i="8"/>
  <c r="AB25"/>
  <c r="M29"/>
  <c r="M37" s="1"/>
  <c r="AC29"/>
  <c r="AC37" s="1"/>
  <c r="N25" i="10"/>
  <c r="AD25"/>
  <c r="O29"/>
  <c r="O37" s="1"/>
  <c r="AE29"/>
  <c r="AE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5" i="6"/>
  <c r="AA25"/>
  <c r="K25" i="9"/>
  <c r="AA25"/>
  <c r="N29" i="10"/>
  <c r="N37" s="1"/>
  <c r="AD29"/>
  <c r="AD37" s="1"/>
  <c r="M25" i="11"/>
  <c r="AC25"/>
  <c r="P29" i="12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K29" i="7"/>
  <c r="K37" s="1"/>
  <c r="AA29"/>
  <c r="AA37" s="1"/>
  <c r="I29" i="8"/>
  <c r="I37" s="1"/>
  <c r="Y29"/>
  <c r="Y37" s="1"/>
  <c r="H25" i="9"/>
  <c r="X25"/>
  <c r="J29"/>
  <c r="J37" s="1"/>
  <c r="Z29"/>
  <c r="Z37" s="1"/>
  <c r="K29" i="10"/>
  <c r="K37" s="1"/>
  <c r="AA29"/>
  <c r="AA37" s="1"/>
  <c r="J25" i="11"/>
  <c r="Z25"/>
  <c r="L29"/>
  <c r="L37" s="1"/>
  <c r="AB29"/>
  <c r="AB37" s="1"/>
  <c r="M29" i="12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G29"/>
  <c r="G37" s="1"/>
  <c r="W29"/>
  <c r="W37" s="1"/>
  <c r="G25" i="5"/>
  <c r="W25"/>
  <c r="H29"/>
  <c r="H37" s="1"/>
  <c r="X29"/>
  <c r="X37" s="1"/>
  <c r="G25" i="6"/>
  <c r="W25"/>
  <c r="I25" i="7"/>
  <c r="Y25"/>
  <c r="J29"/>
  <c r="J37" s="1"/>
  <c r="Z29"/>
  <c r="Z37" s="1"/>
  <c r="G25" i="8"/>
  <c r="W25"/>
  <c r="H29"/>
  <c r="H37" s="1"/>
  <c r="X29"/>
  <c r="X37" s="1"/>
  <c r="G25" i="9"/>
  <c r="W25"/>
  <c r="I25" i="10"/>
  <c r="Y25"/>
  <c r="J29"/>
  <c r="J37" s="1"/>
  <c r="Z29"/>
  <c r="Z37" s="1"/>
  <c r="I25" i="11"/>
  <c r="Y25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V25" i="6"/>
  <c r="H29"/>
  <c r="H37" s="1"/>
  <c r="X29"/>
  <c r="X37" s="1"/>
  <c r="H29" i="9"/>
  <c r="H37" s="1"/>
  <c r="X29"/>
  <c r="X37" s="1"/>
  <c r="J29" i="11"/>
  <c r="J37" s="1"/>
  <c r="Z29"/>
  <c r="Z37" s="1"/>
  <c r="J25" i="12"/>
  <c r="Z25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E25" i="6"/>
  <c r="H43" s="1"/>
  <c r="U25"/>
  <c r="G29"/>
  <c r="G37" s="1"/>
  <c r="W29"/>
  <c r="W37" s="1"/>
  <c r="G25" i="7"/>
  <c r="W25"/>
  <c r="E25" i="8"/>
  <c r="U25"/>
  <c r="G29" i="9"/>
  <c r="G37" s="1"/>
  <c r="W29"/>
  <c r="W37" s="1"/>
  <c r="G25" i="10"/>
  <c r="W25"/>
  <c r="I29" i="11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D25" i="5"/>
  <c r="T25"/>
  <c r="E29"/>
  <c r="E37" s="1"/>
  <c r="U29"/>
  <c r="U37" s="1"/>
  <c r="F25" i="7"/>
  <c r="V25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D29" i="5"/>
  <c r="D37" s="1"/>
  <c r="T29"/>
  <c r="T37" s="1"/>
  <c r="F29" i="7"/>
  <c r="F37" s="1"/>
  <c r="V29"/>
  <c r="V37" s="1"/>
  <c r="D29" i="8"/>
  <c r="D37" s="1"/>
  <c r="T29"/>
  <c r="T37" s="1"/>
  <c r="C25" i="9"/>
  <c r="H43" s="1"/>
  <c r="S25"/>
  <c r="E29"/>
  <c r="E37" s="1"/>
  <c r="U29"/>
  <c r="U37" s="1"/>
  <c r="F29" i="10"/>
  <c r="F37" s="1"/>
  <c r="V29"/>
  <c r="V37" s="1"/>
  <c r="G25" i="12"/>
  <c r="W25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N43" i="6" l="1"/>
  <c r="V43"/>
  <c r="V43" i="4"/>
  <c r="N43"/>
  <c r="H43" i="2"/>
  <c r="E37" i="12"/>
  <c r="Q37" i="8"/>
  <c r="K43" i="12"/>
  <c r="Q43" s="1"/>
  <c r="H43"/>
  <c r="T43"/>
  <c r="X43" s="1"/>
  <c r="V43" i="8"/>
  <c r="N43"/>
  <c r="H37" i="2"/>
  <c r="V43"/>
  <c r="K43" i="9"/>
  <c r="B37"/>
  <c r="T43"/>
  <c r="X37" i="2"/>
  <c r="N43" i="3"/>
  <c r="T43" i="5"/>
  <c r="X43" s="1"/>
  <c r="V43"/>
  <c r="N43"/>
  <c r="R37" i="9"/>
  <c r="V43" i="3"/>
  <c r="K43" i="5"/>
  <c r="T43" i="8"/>
  <c r="X43" s="1"/>
  <c r="V43" i="10"/>
  <c r="B37" i="5"/>
  <c r="K43" i="8"/>
  <c r="N43" i="9"/>
  <c r="V43"/>
  <c r="K43" i="6"/>
  <c r="Q43" s="1"/>
  <c r="B37"/>
  <c r="T43"/>
  <c r="X43" s="1"/>
  <c r="H43" i="5"/>
  <c r="B37" i="8"/>
  <c r="E37" i="2"/>
  <c r="C37" i="10"/>
  <c r="K43"/>
  <c r="Q43" s="1"/>
  <c r="B37"/>
  <c r="T43"/>
  <c r="T43" i="1"/>
  <c r="X43" s="1"/>
  <c r="K43"/>
  <c r="Q43" s="1"/>
  <c r="K43" i="7"/>
  <c r="Q43" s="1"/>
  <c r="B37"/>
  <c r="T43"/>
  <c r="X43" s="1"/>
  <c r="H43" i="3"/>
  <c r="K43" i="11"/>
  <c r="Q43" s="1"/>
  <c r="B37"/>
  <c r="T43"/>
  <c r="X43" s="1"/>
  <c r="W37" i="2"/>
  <c r="H43" i="4"/>
  <c r="K43"/>
  <c r="N43" i="11"/>
  <c r="F37" i="2"/>
  <c r="C37" i="11"/>
  <c r="D37"/>
  <c r="Q37" i="1"/>
  <c r="B37" i="4"/>
  <c r="K43" i="3"/>
  <c r="Q43" s="1"/>
  <c r="B37"/>
  <c r="T43"/>
  <c r="X43" s="1"/>
  <c r="T43" i="2"/>
  <c r="B37"/>
  <c r="K43"/>
  <c r="Q43" s="1"/>
  <c r="V43" i="1"/>
  <c r="N43"/>
  <c r="H43" i="11"/>
  <c r="H43" i="8"/>
  <c r="H43" i="1"/>
  <c r="V37" i="2"/>
  <c r="S37" i="11"/>
  <c r="T37"/>
  <c r="P37" i="4"/>
  <c r="T43"/>
  <c r="X43" s="1"/>
  <c r="Q43" i="8" l="1"/>
  <c r="X43" i="2"/>
  <c r="Q43" i="9"/>
  <c r="X43"/>
  <c r="Q43" i="4"/>
  <c r="X43" i="10"/>
  <c r="Q43" i="5"/>
</calcChain>
</file>

<file path=xl/sharedStrings.xml><?xml version="1.0" encoding="utf-8"?>
<sst xmlns="http://schemas.openxmlformats.org/spreadsheetml/2006/main" count="291" uniqueCount="15">
  <si>
    <t>Temp. 5 cm (°C)</t>
  </si>
  <si>
    <t>H/D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</si>
  <si>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</si>
  <si>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</si>
  <si>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</si>
  <si>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</si>
  <si>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</si>
  <si>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</si>
  <si>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</si>
  <si>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</si>
  <si>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</si>
  <si>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</si>
  <si>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</si>
  <si>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Dias 13, 14, 18, 19, 20 e 25 houve perda de dados</t>
  </si>
  <si>
    <t>Não foi feitas as leituras dos tem. de solo devido ao estado fisico debilitado do observador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</si>
</sst>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2"/>
      <color theme="3"/>
      <name val="Arial"/>
      <family val="2"/>
    </font>
    <font>
      <sz val="10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165" fontId="4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5" fillId="2" borderId="10" xfId="0" applyNumberFormat="1" applyFon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65" fontId="6" fillId="2" borderId="6" xfId="0" applyNumberFormat="1" applyFont="1" applyFill="1" applyBorder="1" applyAlignment="1">
      <alignment horizontal="center"/>
    </xf>
    <xf numFmtId="165" fontId="7" fillId="2" borderId="6" xfId="0" applyNumberFormat="1" applyFont="1" applyFill="1" applyBorder="1" applyAlignment="1">
      <alignment horizontal="center"/>
    </xf>
    <xf numFmtId="164" fontId="8" fillId="2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20.3</v>
          </cell>
        </row>
        <row r="11">
          <cell r="P11">
            <v>21.2</v>
          </cell>
        </row>
        <row r="12">
          <cell r="P12">
            <v>22.3</v>
          </cell>
        </row>
        <row r="13">
          <cell r="P13">
            <v>23.5</v>
          </cell>
        </row>
        <row r="14">
          <cell r="P14">
            <v>24.4</v>
          </cell>
        </row>
        <row r="15">
          <cell r="P15">
            <v>26.5</v>
          </cell>
        </row>
        <row r="16">
          <cell r="P16">
            <v>26.9</v>
          </cell>
        </row>
        <row r="17">
          <cell r="P17">
            <v>27</v>
          </cell>
        </row>
        <row r="18">
          <cell r="P18">
            <v>27.8</v>
          </cell>
        </row>
        <row r="19">
          <cell r="P19">
            <v>26.7</v>
          </cell>
        </row>
        <row r="20">
          <cell r="P20">
            <v>25.9</v>
          </cell>
        </row>
        <row r="21">
          <cell r="P21">
            <v>25.4</v>
          </cell>
        </row>
        <row r="22">
          <cell r="P22">
            <v>24.7</v>
          </cell>
        </row>
        <row r="23">
          <cell r="P23">
            <v>24.3</v>
          </cell>
        </row>
        <row r="24">
          <cell r="P24">
            <v>23.4</v>
          </cell>
        </row>
        <row r="25">
          <cell r="P25">
            <v>23.2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4">
        <row r="1">
          <cell r="C1" t="str">
            <v>JANEIRO DE 2022</v>
          </cell>
        </row>
      </sheetData>
      <sheetData sheetId="5">
        <row r="10">
          <cell r="P10">
            <v>21.8</v>
          </cell>
        </row>
        <row r="11">
          <cell r="P11">
            <v>22.3</v>
          </cell>
        </row>
        <row r="12">
          <cell r="P12">
            <v>23.7</v>
          </cell>
        </row>
        <row r="13">
          <cell r="P13">
            <v>25.3</v>
          </cell>
        </row>
        <row r="14">
          <cell r="P14">
            <v>27</v>
          </cell>
        </row>
        <row r="15">
          <cell r="P15">
            <v>28.1</v>
          </cell>
        </row>
        <row r="16">
          <cell r="P16">
            <v>29.1</v>
          </cell>
        </row>
        <row r="17">
          <cell r="P17">
            <v>31</v>
          </cell>
        </row>
        <row r="18">
          <cell r="P18">
            <v>31.9</v>
          </cell>
        </row>
        <row r="19">
          <cell r="P19">
            <v>31.1</v>
          </cell>
        </row>
        <row r="20">
          <cell r="P20">
            <v>28.4</v>
          </cell>
        </row>
        <row r="21">
          <cell r="P21">
            <v>27.2</v>
          </cell>
        </row>
        <row r="22">
          <cell r="P22">
            <v>26.2</v>
          </cell>
        </row>
        <row r="23">
          <cell r="P23">
            <v>25.4</v>
          </cell>
        </row>
        <row r="24">
          <cell r="P24">
            <v>24.8</v>
          </cell>
        </row>
        <row r="25">
          <cell r="P25">
            <v>24.5</v>
          </cell>
        </row>
        <row r="26">
          <cell r="P26">
            <v>24.3</v>
          </cell>
        </row>
        <row r="27">
          <cell r="P27">
            <v>23.7</v>
          </cell>
        </row>
      </sheetData>
      <sheetData sheetId="6"/>
      <sheetData sheetId="7">
        <row r="10">
          <cell r="P10">
            <v>22.6</v>
          </cell>
        </row>
        <row r="11">
          <cell r="P11">
            <v>23.1</v>
          </cell>
        </row>
        <row r="12">
          <cell r="P12">
            <v>24.7</v>
          </cell>
        </row>
        <row r="13">
          <cell r="P13">
            <v>26.4</v>
          </cell>
        </row>
        <row r="14">
          <cell r="P14">
            <v>28.9</v>
          </cell>
        </row>
        <row r="15">
          <cell r="P15">
            <v>31.4</v>
          </cell>
        </row>
        <row r="16">
          <cell r="P16">
            <v>32</v>
          </cell>
        </row>
        <row r="17">
          <cell r="P17">
            <v>30</v>
          </cell>
        </row>
        <row r="18">
          <cell r="P18">
            <v>28.4</v>
          </cell>
        </row>
        <row r="19">
          <cell r="P19">
            <v>27.4</v>
          </cell>
        </row>
        <row r="20">
          <cell r="P20">
            <v>26.6</v>
          </cell>
        </row>
        <row r="21">
          <cell r="P21">
            <v>26.1</v>
          </cell>
        </row>
        <row r="22">
          <cell r="P22">
            <v>25.6</v>
          </cell>
        </row>
        <row r="23">
          <cell r="P23">
            <v>25.2</v>
          </cell>
        </row>
        <row r="24">
          <cell r="P24">
            <v>24.7</v>
          </cell>
        </row>
        <row r="25">
          <cell r="P25">
            <v>24.4</v>
          </cell>
        </row>
        <row r="26">
          <cell r="P26">
            <v>24.2</v>
          </cell>
        </row>
        <row r="27">
          <cell r="P27">
            <v>23.8</v>
          </cell>
        </row>
      </sheetData>
      <sheetData sheetId="8"/>
      <sheetData sheetId="9">
        <row r="10">
          <cell r="P10">
            <v>22.4</v>
          </cell>
        </row>
        <row r="11">
          <cell r="P11">
            <v>23.2</v>
          </cell>
        </row>
        <row r="12">
          <cell r="P12">
            <v>24.6</v>
          </cell>
        </row>
        <row r="13">
          <cell r="P13">
            <v>25.2</v>
          </cell>
        </row>
        <row r="14">
          <cell r="P14">
            <v>26.3</v>
          </cell>
        </row>
        <row r="15">
          <cell r="P15">
            <v>27.5</v>
          </cell>
        </row>
        <row r="16">
          <cell r="P16">
            <v>26.2</v>
          </cell>
        </row>
        <row r="17">
          <cell r="P17">
            <v>25.7</v>
          </cell>
        </row>
        <row r="18">
          <cell r="P18">
            <v>25.4</v>
          </cell>
        </row>
        <row r="19">
          <cell r="P19">
            <v>24.8</v>
          </cell>
        </row>
        <row r="20">
          <cell r="P20">
            <v>24.9</v>
          </cell>
        </row>
        <row r="21">
          <cell r="P21">
            <v>24.7</v>
          </cell>
        </row>
        <row r="22">
          <cell r="P22">
            <v>24.3</v>
          </cell>
        </row>
        <row r="23">
          <cell r="P23">
            <v>23.9</v>
          </cell>
        </row>
        <row r="24">
          <cell r="P24">
            <v>23.7</v>
          </cell>
        </row>
        <row r="25">
          <cell r="P25">
            <v>23.6</v>
          </cell>
        </row>
        <row r="26">
          <cell r="P26">
            <v>23.3</v>
          </cell>
        </row>
        <row r="27">
          <cell r="P27">
            <v>23</v>
          </cell>
        </row>
      </sheetData>
      <sheetData sheetId="10"/>
      <sheetData sheetId="11">
        <row r="10">
          <cell r="P10">
            <v>21.8</v>
          </cell>
        </row>
        <row r="11">
          <cell r="P11">
            <v>22.3</v>
          </cell>
        </row>
        <row r="12">
          <cell r="P12">
            <v>22.5</v>
          </cell>
        </row>
        <row r="13">
          <cell r="P13">
            <v>23.1</v>
          </cell>
        </row>
        <row r="14">
          <cell r="P14">
            <v>23.4</v>
          </cell>
        </row>
        <row r="15">
          <cell r="P15">
            <v>24.2</v>
          </cell>
        </row>
        <row r="16">
          <cell r="P16">
            <v>25.5</v>
          </cell>
        </row>
        <row r="17">
          <cell r="P17">
            <v>25.8</v>
          </cell>
        </row>
        <row r="18">
          <cell r="P18">
            <v>26.1</v>
          </cell>
        </row>
        <row r="19">
          <cell r="P19">
            <v>26.2</v>
          </cell>
        </row>
        <row r="20">
          <cell r="P20">
            <v>26</v>
          </cell>
        </row>
        <row r="21">
          <cell r="P21">
            <v>25.6</v>
          </cell>
        </row>
        <row r="22">
          <cell r="P22">
            <v>25.2</v>
          </cell>
        </row>
        <row r="23">
          <cell r="P23">
            <v>24.6</v>
          </cell>
        </row>
        <row r="24">
          <cell r="P24">
            <v>23.8</v>
          </cell>
        </row>
        <row r="25">
          <cell r="P25">
            <v>23.3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12"/>
      <sheetData sheetId="13">
        <row r="10">
          <cell r="P10">
            <v>22</v>
          </cell>
        </row>
        <row r="11">
          <cell r="P11">
            <v>22.6</v>
          </cell>
        </row>
        <row r="12">
          <cell r="P12">
            <v>23.3</v>
          </cell>
        </row>
        <row r="13">
          <cell r="P13">
            <v>24.2</v>
          </cell>
        </row>
        <row r="14">
          <cell r="P14">
            <v>25.1</v>
          </cell>
        </row>
        <row r="15">
          <cell r="P15">
            <v>25.8</v>
          </cell>
        </row>
        <row r="16">
          <cell r="P16">
            <v>26.2</v>
          </cell>
        </row>
        <row r="17">
          <cell r="P17">
            <v>26.6</v>
          </cell>
        </row>
        <row r="18">
          <cell r="P18">
            <v>26.2</v>
          </cell>
        </row>
        <row r="19">
          <cell r="P19">
            <v>25.5</v>
          </cell>
        </row>
        <row r="20">
          <cell r="P20">
            <v>25.2</v>
          </cell>
        </row>
        <row r="21">
          <cell r="P21">
            <v>24.6</v>
          </cell>
        </row>
        <row r="22">
          <cell r="P22">
            <v>23.8</v>
          </cell>
        </row>
        <row r="23">
          <cell r="P23">
            <v>23.3</v>
          </cell>
        </row>
        <row r="24">
          <cell r="P24">
            <v>22.8</v>
          </cell>
        </row>
        <row r="25">
          <cell r="P25">
            <v>22.5</v>
          </cell>
        </row>
        <row r="26">
          <cell r="P26">
            <v>22.2</v>
          </cell>
        </row>
        <row r="27">
          <cell r="P27">
            <v>22</v>
          </cell>
        </row>
      </sheetData>
      <sheetData sheetId="14"/>
      <sheetData sheetId="15">
        <row r="10">
          <cell r="P10">
            <v>21.1</v>
          </cell>
        </row>
        <row r="11">
          <cell r="P11">
            <v>21.3</v>
          </cell>
        </row>
        <row r="12">
          <cell r="P12">
            <v>21.8</v>
          </cell>
        </row>
        <row r="13">
          <cell r="P13">
            <v>22.8</v>
          </cell>
        </row>
        <row r="14">
          <cell r="P14">
            <v>23.6</v>
          </cell>
        </row>
        <row r="15">
          <cell r="P15">
            <v>23.8</v>
          </cell>
        </row>
        <row r="16">
          <cell r="P16">
            <v>23.8</v>
          </cell>
        </row>
        <row r="17">
          <cell r="P17">
            <v>24</v>
          </cell>
        </row>
        <row r="18">
          <cell r="P18">
            <v>23.9</v>
          </cell>
        </row>
        <row r="19">
          <cell r="P19">
            <v>23.3</v>
          </cell>
        </row>
        <row r="20">
          <cell r="P20">
            <v>23.2</v>
          </cell>
        </row>
        <row r="21">
          <cell r="P21">
            <v>22.8</v>
          </cell>
        </row>
        <row r="22">
          <cell r="P22">
            <v>22.44</v>
          </cell>
        </row>
        <row r="23">
          <cell r="P23">
            <v>22.2</v>
          </cell>
        </row>
        <row r="24">
          <cell r="P24">
            <v>21.6</v>
          </cell>
        </row>
        <row r="25">
          <cell r="P25">
            <v>21.4</v>
          </cell>
        </row>
        <row r="26">
          <cell r="P26">
            <v>21.3</v>
          </cell>
        </row>
        <row r="27">
          <cell r="P27">
            <v>21.1</v>
          </cell>
        </row>
      </sheetData>
      <sheetData sheetId="16"/>
      <sheetData sheetId="17">
        <row r="10">
          <cell r="P10">
            <v>20.100000000000001</v>
          </cell>
        </row>
        <row r="11">
          <cell r="P11">
            <v>20.100000000000001</v>
          </cell>
        </row>
        <row r="12">
          <cell r="P12">
            <v>20.9</v>
          </cell>
        </row>
        <row r="13">
          <cell r="P13">
            <v>21.4</v>
          </cell>
        </row>
        <row r="14">
          <cell r="P14">
            <v>22.8</v>
          </cell>
        </row>
        <row r="15">
          <cell r="P15">
            <v>23.2</v>
          </cell>
        </row>
        <row r="16">
          <cell r="P16">
            <v>23.5</v>
          </cell>
        </row>
        <row r="17">
          <cell r="P17">
            <v>23.9</v>
          </cell>
        </row>
        <row r="18">
          <cell r="P18">
            <v>23.8</v>
          </cell>
        </row>
        <row r="19">
          <cell r="P19">
            <v>23.4</v>
          </cell>
        </row>
        <row r="20">
          <cell r="P20">
            <v>23</v>
          </cell>
        </row>
        <row r="21">
          <cell r="P21">
            <v>22.4</v>
          </cell>
        </row>
        <row r="22">
          <cell r="P22">
            <v>21.6</v>
          </cell>
        </row>
        <row r="23">
          <cell r="P23">
            <v>21.3</v>
          </cell>
        </row>
        <row r="24">
          <cell r="P24">
            <v>20.8</v>
          </cell>
        </row>
        <row r="25">
          <cell r="P25">
            <v>20.5</v>
          </cell>
        </row>
        <row r="26">
          <cell r="P26">
            <v>20.399999999999999</v>
          </cell>
        </row>
        <row r="27">
          <cell r="P27">
            <v>20.399999999999999</v>
          </cell>
        </row>
      </sheetData>
      <sheetData sheetId="18"/>
      <sheetData sheetId="19">
        <row r="10">
          <cell r="P10">
            <v>19.600000000000001</v>
          </cell>
        </row>
        <row r="11">
          <cell r="P11">
            <v>20</v>
          </cell>
        </row>
        <row r="12">
          <cell r="P12">
            <v>20.9</v>
          </cell>
        </row>
        <row r="13">
          <cell r="P13">
            <v>21.7</v>
          </cell>
        </row>
        <row r="14">
          <cell r="P14">
            <v>22.3</v>
          </cell>
        </row>
        <row r="15">
          <cell r="P15">
            <v>22</v>
          </cell>
        </row>
        <row r="16">
          <cell r="P16">
            <v>21.4</v>
          </cell>
        </row>
        <row r="17">
          <cell r="P17">
            <v>21.3</v>
          </cell>
        </row>
        <row r="18">
          <cell r="P18">
            <v>21.2</v>
          </cell>
        </row>
        <row r="19">
          <cell r="P19">
            <v>20.8</v>
          </cell>
        </row>
        <row r="20">
          <cell r="P20">
            <v>20.399999999999999</v>
          </cell>
        </row>
        <row r="21">
          <cell r="P21">
            <v>20.3</v>
          </cell>
        </row>
        <row r="22">
          <cell r="P22">
            <v>20.100000000000001</v>
          </cell>
        </row>
        <row r="23">
          <cell r="P23">
            <v>19.8</v>
          </cell>
        </row>
        <row r="24">
          <cell r="P24">
            <v>19.600000000000001</v>
          </cell>
        </row>
        <row r="25">
          <cell r="P25">
            <v>19.5</v>
          </cell>
        </row>
        <row r="26">
          <cell r="P26">
            <v>19.5</v>
          </cell>
        </row>
        <row r="27">
          <cell r="P27">
            <v>19.399999999999999</v>
          </cell>
        </row>
      </sheetData>
      <sheetData sheetId="20"/>
      <sheetData sheetId="21">
        <row r="10">
          <cell r="P10">
            <v>19.399999999999999</v>
          </cell>
        </row>
        <row r="11">
          <cell r="P11">
            <v>19.8</v>
          </cell>
        </row>
        <row r="12">
          <cell r="P12">
            <v>20.8</v>
          </cell>
        </row>
        <row r="13">
          <cell r="P13">
            <v>22.6</v>
          </cell>
        </row>
        <row r="14">
          <cell r="P14">
            <v>23.3</v>
          </cell>
        </row>
        <row r="15">
          <cell r="P15">
            <v>23.6</v>
          </cell>
        </row>
        <row r="16">
          <cell r="P16">
            <v>23.7</v>
          </cell>
        </row>
        <row r="17">
          <cell r="P17">
            <v>23.8</v>
          </cell>
        </row>
        <row r="18">
          <cell r="P18">
            <v>24.6</v>
          </cell>
        </row>
        <row r="19">
          <cell r="P19">
            <v>24.6</v>
          </cell>
        </row>
        <row r="20">
          <cell r="P20">
            <v>24.1</v>
          </cell>
        </row>
        <row r="21">
          <cell r="P21">
            <v>23.7</v>
          </cell>
        </row>
        <row r="22">
          <cell r="P22">
            <v>23.3</v>
          </cell>
        </row>
        <row r="23">
          <cell r="P23">
            <v>22.7</v>
          </cell>
        </row>
        <row r="24">
          <cell r="P24">
            <v>22.2</v>
          </cell>
        </row>
        <row r="25">
          <cell r="P25">
            <v>21.7</v>
          </cell>
        </row>
        <row r="26">
          <cell r="P26">
            <v>21.6</v>
          </cell>
        </row>
        <row r="27">
          <cell r="P27">
            <v>21.2</v>
          </cell>
        </row>
      </sheetData>
      <sheetData sheetId="22"/>
      <sheetData sheetId="23">
        <row r="10">
          <cell r="P10">
            <v>20.399999999999999</v>
          </cell>
        </row>
        <row r="11">
          <cell r="P11">
            <v>20.6</v>
          </cell>
        </row>
        <row r="12">
          <cell r="P12">
            <v>21.2</v>
          </cell>
        </row>
        <row r="13">
          <cell r="P13">
            <v>22.1</v>
          </cell>
        </row>
        <row r="14">
          <cell r="P14">
            <v>23.7</v>
          </cell>
        </row>
        <row r="15">
          <cell r="P15">
            <v>24.8</v>
          </cell>
        </row>
        <row r="16">
          <cell r="P16">
            <v>24.7</v>
          </cell>
        </row>
        <row r="17">
          <cell r="P17">
            <v>22.7</v>
          </cell>
        </row>
        <row r="18">
          <cell r="P18">
            <v>22.2</v>
          </cell>
        </row>
        <row r="19">
          <cell r="P19">
            <v>22</v>
          </cell>
        </row>
        <row r="20">
          <cell r="P20">
            <v>22.3</v>
          </cell>
        </row>
        <row r="21">
          <cell r="P21">
            <v>22.4</v>
          </cell>
        </row>
        <row r="22">
          <cell r="P22">
            <v>22.2</v>
          </cell>
        </row>
        <row r="23">
          <cell r="P23">
            <v>22</v>
          </cell>
        </row>
        <row r="24">
          <cell r="P24">
            <v>21.6</v>
          </cell>
        </row>
        <row r="25">
          <cell r="P25">
            <v>21.4</v>
          </cell>
        </row>
        <row r="26">
          <cell r="P26">
            <v>21.3</v>
          </cell>
        </row>
        <row r="27">
          <cell r="P27">
            <v>21.1</v>
          </cell>
        </row>
      </sheetData>
      <sheetData sheetId="24"/>
      <sheetData sheetId="25">
        <row r="10">
          <cell r="P10">
            <v>20.2</v>
          </cell>
        </row>
        <row r="11">
          <cell r="P11">
            <v>20.8</v>
          </cell>
        </row>
        <row r="12">
          <cell r="P12">
            <v>22</v>
          </cell>
        </row>
        <row r="13">
          <cell r="P13">
            <v>23.8</v>
          </cell>
        </row>
        <row r="14">
          <cell r="P14">
            <v>25.3</v>
          </cell>
        </row>
        <row r="15">
          <cell r="P15">
            <v>26.4</v>
          </cell>
        </row>
        <row r="16">
          <cell r="P16">
            <v>26.5</v>
          </cell>
        </row>
        <row r="17">
          <cell r="P17">
            <v>28.2</v>
          </cell>
        </row>
        <row r="18">
          <cell r="P18">
            <v>26.8</v>
          </cell>
        </row>
        <row r="19">
          <cell r="P19">
            <v>26</v>
          </cell>
        </row>
        <row r="20">
          <cell r="P20">
            <v>25.2</v>
          </cell>
        </row>
        <row r="21">
          <cell r="P21">
            <v>24.6</v>
          </cell>
        </row>
        <row r="22">
          <cell r="P22">
            <v>24</v>
          </cell>
        </row>
        <row r="23">
          <cell r="P23">
            <v>23.4</v>
          </cell>
        </row>
        <row r="24">
          <cell r="P24">
            <v>23</v>
          </cell>
        </row>
        <row r="25">
          <cell r="P25">
            <v>22.7</v>
          </cell>
        </row>
        <row r="26">
          <cell r="P26">
            <v>22.4</v>
          </cell>
        </row>
        <row r="27">
          <cell r="P27">
            <v>22.2</v>
          </cell>
        </row>
      </sheetData>
      <sheetData sheetId="26"/>
      <sheetData sheetId="27">
        <row r="10">
          <cell r="P10">
            <v>22</v>
          </cell>
        </row>
        <row r="11">
          <cell r="P11">
            <v>22.3</v>
          </cell>
        </row>
        <row r="12">
          <cell r="P12">
            <v>23.5</v>
          </cell>
        </row>
        <row r="13">
          <cell r="P13">
            <v>25.1</v>
          </cell>
        </row>
        <row r="14">
          <cell r="P14">
            <v>26.8</v>
          </cell>
        </row>
        <row r="15">
          <cell r="P15">
            <v>27.3</v>
          </cell>
        </row>
        <row r="16">
          <cell r="P16">
            <v>27.9</v>
          </cell>
        </row>
        <row r="17">
          <cell r="P17">
            <v>27.7</v>
          </cell>
        </row>
        <row r="18">
          <cell r="P18">
            <v>26.6</v>
          </cell>
        </row>
        <row r="19">
          <cell r="P19">
            <v>26.2</v>
          </cell>
        </row>
        <row r="20">
          <cell r="P20">
            <v>25.5</v>
          </cell>
        </row>
        <row r="21">
          <cell r="P21">
            <v>24.8</v>
          </cell>
        </row>
        <row r="22">
          <cell r="P22">
            <v>24.3</v>
          </cell>
        </row>
        <row r="23">
          <cell r="P23">
            <v>23.6</v>
          </cell>
        </row>
        <row r="24">
          <cell r="P24">
            <v>23.5</v>
          </cell>
        </row>
        <row r="25">
          <cell r="P25">
            <v>23.3</v>
          </cell>
        </row>
        <row r="26">
          <cell r="P26">
            <v>23.2</v>
          </cell>
        </row>
        <row r="27">
          <cell r="P27">
            <v>22.1</v>
          </cell>
        </row>
      </sheetData>
      <sheetData sheetId="28"/>
      <sheetData sheetId="29">
        <row r="10">
          <cell r="P10">
            <v>21.6</v>
          </cell>
        </row>
        <row r="11">
          <cell r="P11">
            <v>22.1</v>
          </cell>
        </row>
        <row r="12">
          <cell r="P12">
            <v>23.2</v>
          </cell>
        </row>
        <row r="13">
          <cell r="P13">
            <v>22.8</v>
          </cell>
        </row>
        <row r="14">
          <cell r="P14">
            <v>23</v>
          </cell>
        </row>
        <row r="15">
          <cell r="P15">
            <v>24.2</v>
          </cell>
        </row>
        <row r="16">
          <cell r="P16">
            <v>26.8</v>
          </cell>
        </row>
        <row r="17">
          <cell r="P17">
            <v>27.8</v>
          </cell>
        </row>
        <row r="18">
          <cell r="P18">
            <v>27.5</v>
          </cell>
        </row>
        <row r="19">
          <cell r="P19">
            <v>27</v>
          </cell>
        </row>
        <row r="20">
          <cell r="P20">
            <v>26.6</v>
          </cell>
        </row>
        <row r="21">
          <cell r="P21">
            <v>26.1</v>
          </cell>
        </row>
        <row r="22">
          <cell r="P22">
            <v>25.3</v>
          </cell>
        </row>
        <row r="23">
          <cell r="P23">
            <v>24.7</v>
          </cell>
        </row>
        <row r="24">
          <cell r="P24">
            <v>24.3</v>
          </cell>
        </row>
        <row r="25">
          <cell r="P25">
            <v>24</v>
          </cell>
        </row>
        <row r="26">
          <cell r="P26">
            <v>23.7</v>
          </cell>
        </row>
        <row r="27">
          <cell r="P27">
            <v>23.6</v>
          </cell>
        </row>
      </sheetData>
      <sheetData sheetId="30"/>
      <sheetData sheetId="31">
        <row r="10">
          <cell r="P10">
            <v>22.7</v>
          </cell>
        </row>
        <row r="11">
          <cell r="P11">
            <v>23.1</v>
          </cell>
        </row>
        <row r="12">
          <cell r="P12">
            <v>25.8</v>
          </cell>
        </row>
        <row r="13">
          <cell r="P13">
            <v>25.8</v>
          </cell>
        </row>
        <row r="14">
          <cell r="P14">
            <v>26.2</v>
          </cell>
        </row>
        <row r="15">
          <cell r="P15">
            <v>27.1</v>
          </cell>
        </row>
        <row r="16">
          <cell r="P16">
            <v>27.8</v>
          </cell>
        </row>
        <row r="17">
          <cell r="P17">
            <v>27.3</v>
          </cell>
        </row>
        <row r="18">
          <cell r="P18">
            <v>27.1</v>
          </cell>
        </row>
        <row r="19">
          <cell r="P19">
            <v>27.5</v>
          </cell>
        </row>
        <row r="20">
          <cell r="P20">
            <v>27.2</v>
          </cell>
        </row>
        <row r="21">
          <cell r="P21">
            <v>26.6</v>
          </cell>
        </row>
        <row r="22">
          <cell r="P22">
            <v>25.9</v>
          </cell>
        </row>
        <row r="23">
          <cell r="P23">
            <v>25.3</v>
          </cell>
        </row>
        <row r="24">
          <cell r="P24">
            <v>24.8</v>
          </cell>
        </row>
        <row r="25">
          <cell r="P25">
            <v>24.4</v>
          </cell>
        </row>
        <row r="26">
          <cell r="P26">
            <v>24</v>
          </cell>
        </row>
        <row r="27">
          <cell r="P27">
            <v>23.6</v>
          </cell>
        </row>
      </sheetData>
      <sheetData sheetId="32"/>
      <sheetData sheetId="33">
        <row r="10">
          <cell r="P10">
            <v>21.2</v>
          </cell>
        </row>
        <row r="11">
          <cell r="P11">
            <v>22.4</v>
          </cell>
        </row>
        <row r="12">
          <cell r="P12">
            <v>24.4</v>
          </cell>
        </row>
        <row r="13">
          <cell r="P13">
            <v>26.6</v>
          </cell>
        </row>
        <row r="14">
          <cell r="P14">
            <v>29.2</v>
          </cell>
        </row>
        <row r="15">
          <cell r="P15">
            <v>29.4</v>
          </cell>
        </row>
        <row r="16">
          <cell r="P16">
            <v>30</v>
          </cell>
        </row>
        <row r="17">
          <cell r="P17">
            <v>32.1</v>
          </cell>
        </row>
        <row r="18">
          <cell r="P18">
            <v>33.4</v>
          </cell>
        </row>
        <row r="19">
          <cell r="P19">
            <v>32.1</v>
          </cell>
        </row>
        <row r="20">
          <cell r="P20">
            <v>29.2</v>
          </cell>
        </row>
        <row r="21">
          <cell r="P21">
            <v>27.2</v>
          </cell>
        </row>
        <row r="22">
          <cell r="P22">
            <v>26.2</v>
          </cell>
        </row>
        <row r="23">
          <cell r="P23">
            <v>25.4</v>
          </cell>
        </row>
        <row r="24">
          <cell r="P24">
            <v>24.8</v>
          </cell>
        </row>
        <row r="25">
          <cell r="P25">
            <v>24.4</v>
          </cell>
        </row>
        <row r="26">
          <cell r="P26">
            <v>23.9</v>
          </cell>
        </row>
        <row r="27">
          <cell r="P27">
            <v>23.5</v>
          </cell>
        </row>
      </sheetData>
      <sheetData sheetId="34"/>
      <sheetData sheetId="35">
        <row r="10">
          <cell r="P10">
            <v>21.5</v>
          </cell>
        </row>
        <row r="11">
          <cell r="P11">
            <v>22.4</v>
          </cell>
        </row>
        <row r="12">
          <cell r="P12">
            <v>23.4</v>
          </cell>
        </row>
        <row r="13">
          <cell r="P13">
            <v>26.1</v>
          </cell>
        </row>
        <row r="14">
          <cell r="P14">
            <v>28.6</v>
          </cell>
        </row>
        <row r="15">
          <cell r="P15">
            <v>30.5</v>
          </cell>
        </row>
        <row r="16">
          <cell r="P16">
            <v>32.6</v>
          </cell>
        </row>
        <row r="17">
          <cell r="P17">
            <v>34</v>
          </cell>
        </row>
        <row r="18">
          <cell r="P18">
            <v>33</v>
          </cell>
        </row>
        <row r="19">
          <cell r="P19">
            <v>32.5</v>
          </cell>
        </row>
        <row r="20">
          <cell r="P20">
            <v>31.4</v>
          </cell>
        </row>
        <row r="21">
          <cell r="P21">
            <v>30.3</v>
          </cell>
        </row>
        <row r="22">
          <cell r="P22">
            <v>29.1</v>
          </cell>
        </row>
        <row r="23">
          <cell r="P23">
            <v>27.8</v>
          </cell>
        </row>
        <row r="24">
          <cell r="P24">
            <v>27</v>
          </cell>
        </row>
        <row r="25">
          <cell r="P25">
            <v>26.2</v>
          </cell>
        </row>
        <row r="26">
          <cell r="P26">
            <v>25.5</v>
          </cell>
        </row>
        <row r="27">
          <cell r="P27">
            <v>25.1</v>
          </cell>
        </row>
      </sheetData>
      <sheetData sheetId="36"/>
      <sheetData sheetId="37">
        <row r="10">
          <cell r="P10">
            <v>22.7</v>
          </cell>
        </row>
        <row r="11">
          <cell r="P11">
            <v>23.5</v>
          </cell>
        </row>
        <row r="12">
          <cell r="P12">
            <v>25.3</v>
          </cell>
        </row>
        <row r="13">
          <cell r="P13">
            <v>28.1</v>
          </cell>
        </row>
        <row r="14">
          <cell r="P14">
            <v>30.9</v>
          </cell>
        </row>
        <row r="15">
          <cell r="P15">
            <v>33.5</v>
          </cell>
        </row>
        <row r="16">
          <cell r="P16">
            <v>35.799999999999997</v>
          </cell>
        </row>
        <row r="17">
          <cell r="P17">
            <v>35.4</v>
          </cell>
        </row>
        <row r="18">
          <cell r="P18">
            <v>35.5</v>
          </cell>
        </row>
        <row r="19">
          <cell r="P19">
            <v>35</v>
          </cell>
        </row>
        <row r="20">
          <cell r="P20">
            <v>33.6</v>
          </cell>
        </row>
        <row r="21">
          <cell r="P21">
            <v>32.200000000000003</v>
          </cell>
        </row>
        <row r="22">
          <cell r="P22">
            <v>31</v>
          </cell>
        </row>
        <row r="23">
          <cell r="P23">
            <v>29.8</v>
          </cell>
        </row>
        <row r="24">
          <cell r="P24">
            <v>28.8</v>
          </cell>
        </row>
        <row r="25">
          <cell r="P25">
            <v>27.8</v>
          </cell>
        </row>
        <row r="26">
          <cell r="P26">
            <v>27.4</v>
          </cell>
        </row>
        <row r="27">
          <cell r="P27">
            <v>26.9</v>
          </cell>
        </row>
      </sheetData>
      <sheetData sheetId="38"/>
      <sheetData sheetId="39">
        <row r="10">
          <cell r="P10">
            <v>23.2</v>
          </cell>
        </row>
        <row r="11">
          <cell r="P11">
            <v>24</v>
          </cell>
        </row>
        <row r="12">
          <cell r="P12">
            <v>26.1</v>
          </cell>
        </row>
        <row r="13">
          <cell r="P13">
            <v>28.8</v>
          </cell>
        </row>
        <row r="14">
          <cell r="P14">
            <v>32</v>
          </cell>
        </row>
        <row r="15">
          <cell r="P15">
            <v>35</v>
          </cell>
        </row>
        <row r="16">
          <cell r="P16">
            <v>37.200000000000003</v>
          </cell>
        </row>
        <row r="17">
          <cell r="P17">
            <v>37.5</v>
          </cell>
        </row>
        <row r="18">
          <cell r="P18">
            <v>34.799999999999997</v>
          </cell>
        </row>
        <row r="19">
          <cell r="P19">
            <v>31.9</v>
          </cell>
        </row>
        <row r="20">
          <cell r="P20">
            <v>29.7</v>
          </cell>
        </row>
        <row r="21">
          <cell r="P21">
            <v>28.3</v>
          </cell>
        </row>
        <row r="22">
          <cell r="P22">
            <v>27.4</v>
          </cell>
        </row>
        <row r="23">
          <cell r="P23">
            <v>26.6</v>
          </cell>
        </row>
        <row r="24">
          <cell r="P24">
            <v>26</v>
          </cell>
        </row>
        <row r="25">
          <cell r="P25">
            <v>25.4</v>
          </cell>
        </row>
        <row r="26">
          <cell r="P26">
            <v>24.8</v>
          </cell>
        </row>
        <row r="27">
          <cell r="P27">
            <v>24.4</v>
          </cell>
        </row>
      </sheetData>
      <sheetData sheetId="40"/>
      <sheetData sheetId="41">
        <row r="10">
          <cell r="P10">
            <v>22</v>
          </cell>
        </row>
        <row r="11">
          <cell r="P11">
            <v>23</v>
          </cell>
        </row>
        <row r="12">
          <cell r="P12">
            <v>25</v>
          </cell>
        </row>
        <row r="13">
          <cell r="P13">
            <v>27.6</v>
          </cell>
        </row>
        <row r="14">
          <cell r="P14">
            <v>29.9</v>
          </cell>
        </row>
        <row r="15">
          <cell r="P15">
            <v>33</v>
          </cell>
        </row>
        <row r="16">
          <cell r="P16">
            <v>35.4</v>
          </cell>
        </row>
        <row r="17">
          <cell r="P17">
            <v>36.200000000000003</v>
          </cell>
        </row>
        <row r="18">
          <cell r="P18">
            <v>36.4</v>
          </cell>
        </row>
        <row r="19">
          <cell r="P19">
            <v>36.1</v>
          </cell>
        </row>
        <row r="20">
          <cell r="P20">
            <v>33.799999999999997</v>
          </cell>
        </row>
        <row r="21">
          <cell r="P21">
            <v>30.8</v>
          </cell>
        </row>
        <row r="22">
          <cell r="P22">
            <v>29.2</v>
          </cell>
        </row>
        <row r="23">
          <cell r="P23">
            <v>28</v>
          </cell>
        </row>
        <row r="24">
          <cell r="P24">
            <v>27</v>
          </cell>
        </row>
        <row r="25">
          <cell r="P25">
            <v>26.4</v>
          </cell>
        </row>
        <row r="26">
          <cell r="P26">
            <v>25.8</v>
          </cell>
        </row>
        <row r="27">
          <cell r="P27">
            <v>25.2</v>
          </cell>
        </row>
      </sheetData>
      <sheetData sheetId="42"/>
      <sheetData sheetId="43">
        <row r="10">
          <cell r="P10">
            <v>22.8</v>
          </cell>
        </row>
        <row r="11">
          <cell r="P11">
            <v>23.9</v>
          </cell>
        </row>
        <row r="12">
          <cell r="P12">
            <v>25</v>
          </cell>
        </row>
        <row r="13">
          <cell r="P13">
            <v>27.8</v>
          </cell>
        </row>
        <row r="14">
          <cell r="P14">
            <v>30.5</v>
          </cell>
        </row>
        <row r="15">
          <cell r="P15">
            <v>33</v>
          </cell>
        </row>
        <row r="16">
          <cell r="P16">
            <v>35.200000000000003</v>
          </cell>
        </row>
        <row r="17">
          <cell r="P17">
            <v>36.9</v>
          </cell>
        </row>
        <row r="18">
          <cell r="P18">
            <v>37.700000000000003</v>
          </cell>
        </row>
        <row r="19">
          <cell r="P19">
            <v>37.4</v>
          </cell>
        </row>
        <row r="20">
          <cell r="P20">
            <v>35.700000000000003</v>
          </cell>
        </row>
        <row r="21">
          <cell r="P21">
            <v>33.5</v>
          </cell>
        </row>
        <row r="22">
          <cell r="P22">
            <v>31.6</v>
          </cell>
        </row>
        <row r="23">
          <cell r="P23">
            <v>30.1</v>
          </cell>
        </row>
        <row r="24">
          <cell r="P24">
            <v>29.1</v>
          </cell>
        </row>
        <row r="25">
          <cell r="P25">
            <v>28.4</v>
          </cell>
        </row>
        <row r="26">
          <cell r="P26">
            <v>27.4</v>
          </cell>
        </row>
        <row r="27">
          <cell r="P27">
            <v>26.7</v>
          </cell>
        </row>
      </sheetData>
      <sheetData sheetId="44"/>
      <sheetData sheetId="45">
        <row r="10">
          <cell r="P10">
            <v>22.8</v>
          </cell>
        </row>
        <row r="11">
          <cell r="P11">
            <v>23.4</v>
          </cell>
        </row>
        <row r="12">
          <cell r="P12">
            <v>24.2</v>
          </cell>
        </row>
        <row r="13">
          <cell r="P13">
            <v>26.9</v>
          </cell>
        </row>
        <row r="14">
          <cell r="P14">
            <v>30.4</v>
          </cell>
        </row>
        <row r="15">
          <cell r="P15">
            <v>33.4</v>
          </cell>
        </row>
        <row r="16">
          <cell r="P16">
            <v>36</v>
          </cell>
        </row>
        <row r="17">
          <cell r="P17">
            <v>37.5</v>
          </cell>
        </row>
        <row r="18">
          <cell r="P18">
            <v>38.200000000000003</v>
          </cell>
        </row>
        <row r="19">
          <cell r="P19">
            <v>37.700000000000003</v>
          </cell>
        </row>
        <row r="20">
          <cell r="P20">
            <v>35.799999999999997</v>
          </cell>
        </row>
        <row r="21">
          <cell r="P21">
            <v>33.9</v>
          </cell>
        </row>
        <row r="22">
          <cell r="P22">
            <v>32.4</v>
          </cell>
        </row>
        <row r="23">
          <cell r="P23">
            <v>31.3</v>
          </cell>
        </row>
        <row r="24">
          <cell r="P24">
            <v>29.9</v>
          </cell>
        </row>
        <row r="25">
          <cell r="P25">
            <v>28.8</v>
          </cell>
        </row>
        <row r="26">
          <cell r="P26">
            <v>28.1</v>
          </cell>
        </row>
        <row r="27">
          <cell r="P27">
            <v>27.2</v>
          </cell>
        </row>
      </sheetData>
      <sheetData sheetId="46"/>
      <sheetData sheetId="47">
        <row r="10">
          <cell r="P10">
            <v>24.7</v>
          </cell>
        </row>
        <row r="11">
          <cell r="P11">
            <v>25.2</v>
          </cell>
        </row>
        <row r="12">
          <cell r="P12">
            <v>27</v>
          </cell>
        </row>
        <row r="13">
          <cell r="P13">
            <v>29.6</v>
          </cell>
        </row>
        <row r="14">
          <cell r="P14">
            <v>32.200000000000003</v>
          </cell>
        </row>
        <row r="15">
          <cell r="P15">
            <v>34.799999999999997</v>
          </cell>
        </row>
        <row r="16">
          <cell r="P16">
            <v>37.200000000000003</v>
          </cell>
        </row>
        <row r="17">
          <cell r="P17">
            <v>37.700000000000003</v>
          </cell>
        </row>
        <row r="18">
          <cell r="P18">
            <v>38</v>
          </cell>
        </row>
        <row r="19">
          <cell r="P19">
            <v>36.6</v>
          </cell>
        </row>
        <row r="20">
          <cell r="P20">
            <v>34.200000000000003</v>
          </cell>
        </row>
        <row r="21">
          <cell r="P21">
            <v>32.6</v>
          </cell>
        </row>
        <row r="22">
          <cell r="P22">
            <v>31.6</v>
          </cell>
        </row>
        <row r="23">
          <cell r="P23">
            <v>30.4</v>
          </cell>
        </row>
        <row r="24">
          <cell r="P24">
            <v>29.5</v>
          </cell>
        </row>
        <row r="25">
          <cell r="P25">
            <v>28.7</v>
          </cell>
        </row>
        <row r="26">
          <cell r="P26">
            <v>27.9</v>
          </cell>
        </row>
        <row r="27">
          <cell r="P27">
            <v>27.3</v>
          </cell>
        </row>
      </sheetData>
      <sheetData sheetId="48"/>
      <sheetData sheetId="49">
        <row r="10">
          <cell r="P10">
            <v>25</v>
          </cell>
        </row>
        <row r="11">
          <cell r="P11">
            <v>25.6</v>
          </cell>
        </row>
        <row r="12">
          <cell r="P12">
            <v>27.6</v>
          </cell>
        </row>
        <row r="13">
          <cell r="P13">
            <v>29.6</v>
          </cell>
        </row>
        <row r="14">
          <cell r="P14">
            <v>32</v>
          </cell>
        </row>
        <row r="15">
          <cell r="P15">
            <v>34.799999999999997</v>
          </cell>
        </row>
        <row r="16">
          <cell r="P16">
            <v>36</v>
          </cell>
        </row>
        <row r="17">
          <cell r="P17">
            <v>37.6</v>
          </cell>
        </row>
        <row r="18">
          <cell r="P18">
            <v>36.799999999999997</v>
          </cell>
        </row>
        <row r="19">
          <cell r="P19">
            <v>34.799999999999997</v>
          </cell>
        </row>
        <row r="20">
          <cell r="P20">
            <v>33.5</v>
          </cell>
        </row>
        <row r="21">
          <cell r="P21">
            <v>32.4</v>
          </cell>
        </row>
        <row r="22">
          <cell r="P22">
            <v>31.2</v>
          </cell>
        </row>
        <row r="23">
          <cell r="P23">
            <v>30.3</v>
          </cell>
        </row>
        <row r="24">
          <cell r="P24">
            <v>29.4</v>
          </cell>
        </row>
        <row r="25">
          <cell r="P25">
            <v>28.7</v>
          </cell>
        </row>
        <row r="26">
          <cell r="P26">
            <v>28.1</v>
          </cell>
        </row>
        <row r="27">
          <cell r="P27">
            <v>27.6</v>
          </cell>
        </row>
      </sheetData>
      <sheetData sheetId="50"/>
      <sheetData sheetId="51">
        <row r="10">
          <cell r="P10">
            <v>24.8</v>
          </cell>
        </row>
        <row r="11">
          <cell r="P11">
            <v>25.2</v>
          </cell>
        </row>
        <row r="12">
          <cell r="P12">
            <v>27</v>
          </cell>
        </row>
        <row r="13">
          <cell r="P13">
            <v>29</v>
          </cell>
        </row>
        <row r="14">
          <cell r="P14">
            <v>31.6</v>
          </cell>
        </row>
        <row r="15">
          <cell r="P15">
            <v>34</v>
          </cell>
        </row>
        <row r="16">
          <cell r="P16">
            <v>36.6</v>
          </cell>
        </row>
        <row r="17">
          <cell r="P17">
            <v>37</v>
          </cell>
        </row>
        <row r="18">
          <cell r="P18">
            <v>36</v>
          </cell>
        </row>
        <row r="19">
          <cell r="P19">
            <v>36</v>
          </cell>
        </row>
        <row r="20">
          <cell r="P20">
            <v>34.6</v>
          </cell>
        </row>
        <row r="21">
          <cell r="P21">
            <v>33</v>
          </cell>
        </row>
        <row r="22">
          <cell r="P22">
            <v>31.7</v>
          </cell>
        </row>
        <row r="23">
          <cell r="P23">
            <v>30.7</v>
          </cell>
        </row>
        <row r="24">
          <cell r="P24">
            <v>29.8</v>
          </cell>
        </row>
        <row r="25">
          <cell r="P25">
            <v>29</v>
          </cell>
        </row>
        <row r="26">
          <cell r="P26">
            <v>28.5</v>
          </cell>
        </row>
        <row r="27">
          <cell r="P27">
            <v>28</v>
          </cell>
        </row>
      </sheetData>
      <sheetData sheetId="52"/>
      <sheetData sheetId="53">
        <row r="10">
          <cell r="P10">
            <v>25.5</v>
          </cell>
        </row>
        <row r="11">
          <cell r="P11">
            <v>26.2</v>
          </cell>
        </row>
        <row r="12">
          <cell r="P12">
            <v>27.8</v>
          </cell>
        </row>
        <row r="13">
          <cell r="P13">
            <v>30.3</v>
          </cell>
        </row>
        <row r="14">
          <cell r="P14">
            <v>33.1</v>
          </cell>
        </row>
        <row r="15">
          <cell r="P15">
            <v>35.5</v>
          </cell>
        </row>
        <row r="16">
          <cell r="P16">
            <v>36.799999999999997</v>
          </cell>
        </row>
        <row r="17">
          <cell r="P17">
            <v>38</v>
          </cell>
        </row>
        <row r="18">
          <cell r="P18">
            <v>38.799999999999997</v>
          </cell>
        </row>
        <row r="19">
          <cell r="P19">
            <v>37.6</v>
          </cell>
        </row>
        <row r="20">
          <cell r="P20">
            <v>36.200000000000003</v>
          </cell>
        </row>
        <row r="21">
          <cell r="P21">
            <v>34</v>
          </cell>
        </row>
        <row r="22">
          <cell r="P22">
            <v>30</v>
          </cell>
        </row>
        <row r="23">
          <cell r="P23">
            <v>28</v>
          </cell>
        </row>
        <row r="24">
          <cell r="P24">
            <v>26</v>
          </cell>
        </row>
        <row r="25">
          <cell r="P25">
            <v>26</v>
          </cell>
        </row>
        <row r="26">
          <cell r="P26">
            <v>26</v>
          </cell>
        </row>
        <row r="27">
          <cell r="P27">
            <v>26.4</v>
          </cell>
        </row>
      </sheetData>
      <sheetData sheetId="54"/>
      <sheetData sheetId="55">
        <row r="10">
          <cell r="P10">
            <v>23.8</v>
          </cell>
        </row>
        <row r="11">
          <cell r="P11">
            <v>24.4</v>
          </cell>
        </row>
        <row r="12">
          <cell r="P12">
            <v>25.7</v>
          </cell>
        </row>
        <row r="13">
          <cell r="P13">
            <v>27.5</v>
          </cell>
        </row>
        <row r="14">
          <cell r="P14">
            <v>29.3</v>
          </cell>
        </row>
        <row r="15">
          <cell r="P15">
            <v>32.299999999999997</v>
          </cell>
        </row>
        <row r="16">
          <cell r="P16">
            <v>34.4</v>
          </cell>
        </row>
        <row r="17">
          <cell r="P17">
            <v>35.5</v>
          </cell>
        </row>
        <row r="18">
          <cell r="P18">
            <v>35.700000000000003</v>
          </cell>
        </row>
        <row r="19">
          <cell r="P19">
            <v>35</v>
          </cell>
        </row>
        <row r="20">
          <cell r="P20">
            <v>34.6</v>
          </cell>
        </row>
        <row r="21">
          <cell r="P21">
            <v>33.200000000000003</v>
          </cell>
        </row>
        <row r="22">
          <cell r="P22">
            <v>31.4</v>
          </cell>
        </row>
        <row r="23">
          <cell r="P23">
            <v>30</v>
          </cell>
        </row>
        <row r="24">
          <cell r="P24">
            <v>28</v>
          </cell>
        </row>
        <row r="25">
          <cell r="P25">
            <v>28</v>
          </cell>
        </row>
        <row r="26">
          <cell r="P26">
            <v>27.8</v>
          </cell>
        </row>
        <row r="27">
          <cell r="P27">
            <v>27.6</v>
          </cell>
        </row>
      </sheetData>
      <sheetData sheetId="56"/>
      <sheetData sheetId="57">
        <row r="10">
          <cell r="P10">
            <v>23.2</v>
          </cell>
        </row>
        <row r="11">
          <cell r="P11">
            <v>23</v>
          </cell>
        </row>
        <row r="12">
          <cell r="P12">
            <v>24.5</v>
          </cell>
        </row>
        <row r="13">
          <cell r="P13">
            <v>25.8</v>
          </cell>
        </row>
        <row r="14">
          <cell r="P14">
            <v>26.5</v>
          </cell>
        </row>
        <row r="15">
          <cell r="P15">
            <v>26.9</v>
          </cell>
        </row>
        <row r="16">
          <cell r="P16">
            <v>27.4</v>
          </cell>
        </row>
        <row r="17">
          <cell r="P17">
            <v>26.4</v>
          </cell>
        </row>
        <row r="18">
          <cell r="P18">
            <v>25.8</v>
          </cell>
        </row>
        <row r="19">
          <cell r="P19">
            <v>25.8</v>
          </cell>
        </row>
        <row r="20">
          <cell r="P20">
            <v>25.7</v>
          </cell>
        </row>
        <row r="21">
          <cell r="P21">
            <v>25.3</v>
          </cell>
        </row>
        <row r="22">
          <cell r="P22">
            <v>24.5</v>
          </cell>
        </row>
        <row r="23">
          <cell r="P23">
            <v>24.2</v>
          </cell>
        </row>
        <row r="24">
          <cell r="P24">
            <v>23.8</v>
          </cell>
        </row>
        <row r="25">
          <cell r="P25">
            <v>23.8</v>
          </cell>
        </row>
        <row r="26">
          <cell r="P26">
            <v>23.3</v>
          </cell>
        </row>
        <row r="27">
          <cell r="P27">
            <v>23.1</v>
          </cell>
        </row>
      </sheetData>
      <sheetData sheetId="58"/>
      <sheetData sheetId="59">
        <row r="10">
          <cell r="P10">
            <v>22.2</v>
          </cell>
        </row>
        <row r="11">
          <cell r="P11">
            <v>22.4</v>
          </cell>
        </row>
        <row r="12">
          <cell r="P12">
            <v>23</v>
          </cell>
        </row>
        <row r="13">
          <cell r="P13">
            <v>23.4</v>
          </cell>
        </row>
        <row r="14">
          <cell r="P14">
            <v>23.7</v>
          </cell>
        </row>
        <row r="15">
          <cell r="P15">
            <v>23.8</v>
          </cell>
        </row>
        <row r="16">
          <cell r="P16">
            <v>24.5</v>
          </cell>
        </row>
        <row r="17">
          <cell r="P17">
            <v>23.3</v>
          </cell>
        </row>
        <row r="18">
          <cell r="P18">
            <v>23.5</v>
          </cell>
        </row>
        <row r="19">
          <cell r="P19">
            <v>24.6</v>
          </cell>
        </row>
        <row r="20">
          <cell r="P20">
            <v>24.3</v>
          </cell>
        </row>
        <row r="21">
          <cell r="P21">
            <v>23.6</v>
          </cell>
        </row>
        <row r="22">
          <cell r="P22">
            <v>23.1</v>
          </cell>
        </row>
        <row r="23">
          <cell r="P23">
            <v>22.5</v>
          </cell>
        </row>
        <row r="24">
          <cell r="P24">
            <v>21.8</v>
          </cell>
        </row>
        <row r="25">
          <cell r="P25">
            <v>21.4</v>
          </cell>
        </row>
        <row r="26">
          <cell r="P26">
            <v>20.7</v>
          </cell>
        </row>
        <row r="27">
          <cell r="P27">
            <v>20.2</v>
          </cell>
        </row>
      </sheetData>
      <sheetData sheetId="60"/>
      <sheetData sheetId="61">
        <row r="10">
          <cell r="P10">
            <v>20</v>
          </cell>
        </row>
        <row r="11">
          <cell r="P11">
            <v>20</v>
          </cell>
        </row>
        <row r="12">
          <cell r="P12">
            <v>20</v>
          </cell>
        </row>
        <row r="13">
          <cell r="P13">
            <v>20.8</v>
          </cell>
        </row>
        <row r="14">
          <cell r="P14">
            <v>21.6</v>
          </cell>
        </row>
        <row r="15">
          <cell r="P15">
            <v>24</v>
          </cell>
        </row>
        <row r="16">
          <cell r="P16">
            <v>25</v>
          </cell>
        </row>
        <row r="17">
          <cell r="P17">
            <v>25</v>
          </cell>
        </row>
        <row r="18">
          <cell r="P18">
            <v>24.8</v>
          </cell>
        </row>
        <row r="19">
          <cell r="P19">
            <v>24.8</v>
          </cell>
        </row>
        <row r="20">
          <cell r="P20">
            <v>24.3</v>
          </cell>
        </row>
        <row r="21">
          <cell r="P21">
            <v>23.8</v>
          </cell>
        </row>
        <row r="22">
          <cell r="P22">
            <v>23.4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22.3</v>
          </cell>
        </row>
        <row r="26">
          <cell r="P26">
            <v>22</v>
          </cell>
        </row>
        <row r="27">
          <cell r="P27">
            <v>21.7</v>
          </cell>
        </row>
      </sheetData>
      <sheetData sheetId="62"/>
      <sheetData sheetId="63">
        <row r="10">
          <cell r="P10">
            <v>21</v>
          </cell>
        </row>
        <row r="11">
          <cell r="P11">
            <v>21</v>
          </cell>
        </row>
        <row r="12">
          <cell r="P12">
            <v>21.6</v>
          </cell>
        </row>
        <row r="13">
          <cell r="P13">
            <v>21.9</v>
          </cell>
        </row>
        <row r="14">
          <cell r="P14">
            <v>22.4</v>
          </cell>
        </row>
        <row r="15">
          <cell r="P15">
            <v>23.3</v>
          </cell>
        </row>
        <row r="16">
          <cell r="P16">
            <v>24.4</v>
          </cell>
        </row>
        <row r="17">
          <cell r="P17">
            <v>25.2</v>
          </cell>
        </row>
        <row r="18">
          <cell r="P18">
            <v>24.5</v>
          </cell>
        </row>
        <row r="19">
          <cell r="P19">
            <v>24.4</v>
          </cell>
        </row>
        <row r="20">
          <cell r="P20">
            <v>24.4</v>
          </cell>
        </row>
        <row r="21">
          <cell r="P21">
            <v>24.2</v>
          </cell>
        </row>
        <row r="22">
          <cell r="P22">
            <v>23.6</v>
          </cell>
        </row>
        <row r="23">
          <cell r="P23">
            <v>23.2</v>
          </cell>
        </row>
        <row r="24">
          <cell r="P24">
            <v>22.9</v>
          </cell>
        </row>
        <row r="25">
          <cell r="P25">
            <v>22.6</v>
          </cell>
        </row>
        <row r="26">
          <cell r="P26">
            <v>22.4</v>
          </cell>
        </row>
        <row r="27">
          <cell r="P27">
            <v>22.2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21.6</v>
          </cell>
        </row>
        <row r="11">
          <cell r="P11">
            <v>22.2</v>
          </cell>
        </row>
        <row r="12">
          <cell r="P12">
            <v>22.8</v>
          </cell>
        </row>
        <row r="13">
          <cell r="P13">
            <v>23.8</v>
          </cell>
        </row>
        <row r="14">
          <cell r="P14">
            <v>24.8</v>
          </cell>
        </row>
        <row r="15">
          <cell r="P15">
            <v>27.4</v>
          </cell>
        </row>
        <row r="16">
          <cell r="P16">
            <v>28.8</v>
          </cell>
        </row>
        <row r="17">
          <cell r="P17">
            <v>29.6</v>
          </cell>
        </row>
        <row r="18">
          <cell r="P18">
            <v>28.3</v>
          </cell>
        </row>
        <row r="19">
          <cell r="P19">
            <v>27</v>
          </cell>
        </row>
        <row r="20">
          <cell r="P20">
            <v>26</v>
          </cell>
        </row>
        <row r="21">
          <cell r="P21">
            <v>25.6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</v>
          </cell>
        </row>
        <row r="25">
          <cell r="P25">
            <v>23</v>
          </cell>
        </row>
        <row r="26">
          <cell r="P26">
            <v>23</v>
          </cell>
        </row>
        <row r="27">
          <cell r="P27">
            <v>22</v>
          </cell>
        </row>
      </sheetData>
      <sheetData sheetId="4">
        <row r="1">
          <cell r="C1" t="str">
            <v>FEVEREIRO DE 2022</v>
          </cell>
        </row>
      </sheetData>
      <sheetData sheetId="5">
        <row r="10">
          <cell r="P10">
            <v>21.6</v>
          </cell>
        </row>
        <row r="11">
          <cell r="P11">
            <v>22.4</v>
          </cell>
        </row>
        <row r="12">
          <cell r="P12">
            <v>23.7</v>
          </cell>
        </row>
        <row r="13">
          <cell r="P13">
            <v>24.7</v>
          </cell>
        </row>
        <row r="14">
          <cell r="P14">
            <v>26.1</v>
          </cell>
        </row>
        <row r="15">
          <cell r="P15">
            <v>27.2</v>
          </cell>
        </row>
        <row r="16">
          <cell r="P16">
            <v>26.8</v>
          </cell>
        </row>
        <row r="17">
          <cell r="P17">
            <v>26.1</v>
          </cell>
        </row>
        <row r="18">
          <cell r="P18">
            <v>26</v>
          </cell>
        </row>
        <row r="19">
          <cell r="P19">
            <v>26</v>
          </cell>
        </row>
        <row r="20">
          <cell r="P20">
            <v>26</v>
          </cell>
        </row>
        <row r="21">
          <cell r="P21">
            <v>23.6</v>
          </cell>
        </row>
        <row r="22">
          <cell r="P22">
            <v>23.4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22.8</v>
          </cell>
        </row>
        <row r="26">
          <cell r="P26">
            <v>22.4</v>
          </cell>
        </row>
        <row r="27">
          <cell r="P27">
            <v>22</v>
          </cell>
        </row>
      </sheetData>
      <sheetData sheetId="6"/>
      <sheetData sheetId="7">
        <row r="10">
          <cell r="P10">
            <v>21.3</v>
          </cell>
        </row>
        <row r="11">
          <cell r="P11">
            <v>21.9</v>
          </cell>
        </row>
        <row r="12">
          <cell r="P12">
            <v>22.7</v>
          </cell>
        </row>
        <row r="13">
          <cell r="P13">
            <v>23.6</v>
          </cell>
        </row>
        <row r="14">
          <cell r="P14">
            <v>25</v>
          </cell>
        </row>
        <row r="15">
          <cell r="P15">
            <v>25.6</v>
          </cell>
        </row>
        <row r="16">
          <cell r="P16">
            <v>26.2</v>
          </cell>
        </row>
        <row r="17">
          <cell r="P17">
            <v>26.9</v>
          </cell>
        </row>
        <row r="18">
          <cell r="P18">
            <v>26.1</v>
          </cell>
        </row>
        <row r="19">
          <cell r="P19">
            <v>25.9</v>
          </cell>
        </row>
        <row r="20">
          <cell r="P20">
            <v>25.4</v>
          </cell>
        </row>
        <row r="21">
          <cell r="P21">
            <v>24.9</v>
          </cell>
        </row>
        <row r="22">
          <cell r="P22">
            <v>24.3</v>
          </cell>
        </row>
        <row r="23">
          <cell r="P23">
            <v>23.8</v>
          </cell>
        </row>
        <row r="24">
          <cell r="P24">
            <v>23.4</v>
          </cell>
        </row>
        <row r="25">
          <cell r="P25">
            <v>23.3</v>
          </cell>
        </row>
        <row r="26">
          <cell r="P26">
            <v>23.1</v>
          </cell>
        </row>
        <row r="27">
          <cell r="P27">
            <v>22.7</v>
          </cell>
        </row>
      </sheetData>
      <sheetData sheetId="8"/>
      <sheetData sheetId="9">
        <row r="10">
          <cell r="P10">
            <v>21.8</v>
          </cell>
        </row>
        <row r="11">
          <cell r="P11">
            <v>22</v>
          </cell>
        </row>
        <row r="12">
          <cell r="P12">
            <v>22.6</v>
          </cell>
        </row>
        <row r="13">
          <cell r="P13">
            <v>22.8</v>
          </cell>
        </row>
        <row r="14">
          <cell r="P14">
            <v>23.8</v>
          </cell>
        </row>
        <row r="15">
          <cell r="P15">
            <v>24.4</v>
          </cell>
        </row>
        <row r="16">
          <cell r="P16">
            <v>25</v>
          </cell>
        </row>
        <row r="17">
          <cell r="P17">
            <v>25.8</v>
          </cell>
        </row>
        <row r="18">
          <cell r="P18">
            <v>27.2</v>
          </cell>
        </row>
        <row r="19">
          <cell r="P19">
            <v>28.5</v>
          </cell>
        </row>
        <row r="20">
          <cell r="P20">
            <v>28</v>
          </cell>
        </row>
        <row r="21">
          <cell r="P21">
            <v>27.4</v>
          </cell>
        </row>
        <row r="22">
          <cell r="P22">
            <v>26.4</v>
          </cell>
        </row>
        <row r="23">
          <cell r="P23">
            <v>25.6</v>
          </cell>
        </row>
        <row r="24">
          <cell r="P24">
            <v>25</v>
          </cell>
        </row>
        <row r="25">
          <cell r="P25">
            <v>24.6</v>
          </cell>
        </row>
        <row r="26">
          <cell r="P26">
            <v>24.2</v>
          </cell>
        </row>
        <row r="27">
          <cell r="P27">
            <v>23.8</v>
          </cell>
        </row>
      </sheetData>
      <sheetData sheetId="10"/>
      <sheetData sheetId="11">
        <row r="10">
          <cell r="P10">
            <v>22</v>
          </cell>
        </row>
        <row r="11">
          <cell r="P11">
            <v>24</v>
          </cell>
        </row>
        <row r="12">
          <cell r="P12">
            <v>25</v>
          </cell>
        </row>
        <row r="13">
          <cell r="P13">
            <v>25.4</v>
          </cell>
        </row>
        <row r="14">
          <cell r="P14">
            <v>27.6</v>
          </cell>
        </row>
        <row r="15">
          <cell r="P15">
            <v>28.2</v>
          </cell>
        </row>
        <row r="16">
          <cell r="P16">
            <v>29.8</v>
          </cell>
        </row>
        <row r="17">
          <cell r="P17">
            <v>31.2</v>
          </cell>
        </row>
        <row r="18">
          <cell r="P18">
            <v>32</v>
          </cell>
        </row>
        <row r="19">
          <cell r="P19">
            <v>32.6</v>
          </cell>
        </row>
        <row r="20">
          <cell r="P20">
            <v>30.6</v>
          </cell>
        </row>
        <row r="21">
          <cell r="P21">
            <v>29.4</v>
          </cell>
        </row>
        <row r="22">
          <cell r="P22">
            <v>28.3</v>
          </cell>
        </row>
        <row r="23">
          <cell r="P23">
            <v>27.2</v>
          </cell>
        </row>
        <row r="24">
          <cell r="P24">
            <v>26.5</v>
          </cell>
        </row>
        <row r="25">
          <cell r="P25">
            <v>25.9</v>
          </cell>
        </row>
        <row r="26">
          <cell r="P26">
            <v>25.4</v>
          </cell>
        </row>
        <row r="27">
          <cell r="P27">
            <v>24.9</v>
          </cell>
        </row>
      </sheetData>
      <sheetData sheetId="12"/>
      <sheetData sheetId="13">
        <row r="10">
          <cell r="P10">
            <v>23</v>
          </cell>
        </row>
        <row r="11">
          <cell r="P11">
            <v>23.4</v>
          </cell>
        </row>
        <row r="12">
          <cell r="P12">
            <v>23.6</v>
          </cell>
        </row>
        <row r="13">
          <cell r="P13">
            <v>24</v>
          </cell>
        </row>
        <row r="14">
          <cell r="P14">
            <v>25</v>
          </cell>
        </row>
        <row r="15">
          <cell r="P15">
            <v>25.6</v>
          </cell>
        </row>
        <row r="16">
          <cell r="P16">
            <v>26.8</v>
          </cell>
        </row>
        <row r="17">
          <cell r="P17">
            <v>28</v>
          </cell>
        </row>
        <row r="18">
          <cell r="P18">
            <v>30</v>
          </cell>
        </row>
        <row r="19">
          <cell r="P19">
            <v>30</v>
          </cell>
        </row>
        <row r="20">
          <cell r="P20">
            <v>28.6</v>
          </cell>
        </row>
        <row r="21">
          <cell r="P21">
            <v>27.5</v>
          </cell>
        </row>
        <row r="22">
          <cell r="P22">
            <v>26.7</v>
          </cell>
        </row>
        <row r="23">
          <cell r="P23">
            <v>26</v>
          </cell>
        </row>
        <row r="24">
          <cell r="P24">
            <v>25.5</v>
          </cell>
        </row>
        <row r="25">
          <cell r="P25">
            <v>25.1</v>
          </cell>
        </row>
        <row r="26">
          <cell r="P26">
            <v>24.7</v>
          </cell>
        </row>
        <row r="27">
          <cell r="P27">
            <v>24.3</v>
          </cell>
        </row>
      </sheetData>
      <sheetData sheetId="14"/>
      <sheetData sheetId="15">
        <row r="10">
          <cell r="P10">
            <v>23</v>
          </cell>
        </row>
        <row r="11">
          <cell r="P11">
            <v>22.5</v>
          </cell>
        </row>
        <row r="12">
          <cell r="P12">
            <v>22.4</v>
          </cell>
        </row>
        <row r="13">
          <cell r="P13">
            <v>22.4</v>
          </cell>
        </row>
        <row r="14">
          <cell r="P14">
            <v>22.8</v>
          </cell>
        </row>
        <row r="15">
          <cell r="P15">
            <v>23.2</v>
          </cell>
        </row>
        <row r="16">
          <cell r="P16">
            <v>24.1</v>
          </cell>
        </row>
        <row r="17">
          <cell r="P17">
            <v>23.9</v>
          </cell>
        </row>
        <row r="18">
          <cell r="P18">
            <v>24.3</v>
          </cell>
        </row>
        <row r="19">
          <cell r="P19">
            <v>24.2</v>
          </cell>
        </row>
        <row r="20">
          <cell r="P20">
            <v>24.2</v>
          </cell>
        </row>
        <row r="21">
          <cell r="P21">
            <v>23.6</v>
          </cell>
        </row>
        <row r="22">
          <cell r="P22">
            <v>23</v>
          </cell>
        </row>
        <row r="23">
          <cell r="P23">
            <v>22.6</v>
          </cell>
        </row>
        <row r="24">
          <cell r="P24">
            <v>22.3</v>
          </cell>
        </row>
        <row r="25">
          <cell r="P25">
            <v>22</v>
          </cell>
        </row>
        <row r="26">
          <cell r="P26">
            <v>21.8</v>
          </cell>
        </row>
        <row r="27">
          <cell r="P27">
            <v>21.8</v>
          </cell>
        </row>
      </sheetData>
      <sheetData sheetId="16"/>
      <sheetData sheetId="17">
        <row r="10">
          <cell r="P10">
            <v>20.7</v>
          </cell>
        </row>
        <row r="11">
          <cell r="P11">
            <v>20.8</v>
          </cell>
        </row>
        <row r="12">
          <cell r="P12">
            <v>21.8</v>
          </cell>
        </row>
        <row r="13">
          <cell r="P13">
            <v>22.8</v>
          </cell>
        </row>
        <row r="14">
          <cell r="P14">
            <v>24.6</v>
          </cell>
        </row>
        <row r="15">
          <cell r="P15">
            <v>25.2</v>
          </cell>
        </row>
        <row r="16">
          <cell r="P16">
            <v>25.8</v>
          </cell>
        </row>
        <row r="17">
          <cell r="P17">
            <v>26.8</v>
          </cell>
        </row>
        <row r="18">
          <cell r="P18">
            <v>27.3</v>
          </cell>
        </row>
        <row r="19">
          <cell r="P19">
            <v>27</v>
          </cell>
        </row>
        <row r="20">
          <cell r="P20">
            <v>26</v>
          </cell>
        </row>
        <row r="21">
          <cell r="P21">
            <v>25</v>
          </cell>
        </row>
        <row r="22">
          <cell r="P22">
            <v>24</v>
          </cell>
        </row>
        <row r="23">
          <cell r="P23">
            <v>23.4</v>
          </cell>
        </row>
        <row r="24">
          <cell r="P24">
            <v>22.6</v>
          </cell>
        </row>
        <row r="25">
          <cell r="P25">
            <v>22</v>
          </cell>
        </row>
        <row r="26">
          <cell r="P26">
            <v>22</v>
          </cell>
        </row>
        <row r="27">
          <cell r="P27">
            <v>21.3</v>
          </cell>
        </row>
      </sheetData>
      <sheetData sheetId="18"/>
      <sheetData sheetId="19">
        <row r="10">
          <cell r="P10">
            <v>19.399999999999999</v>
          </cell>
        </row>
        <row r="11">
          <cell r="P11">
            <v>20.2</v>
          </cell>
        </row>
        <row r="12">
          <cell r="P12">
            <v>22.2</v>
          </cell>
        </row>
        <row r="13">
          <cell r="P13">
            <v>24.7</v>
          </cell>
        </row>
        <row r="14">
          <cell r="P14">
            <v>27.5</v>
          </cell>
        </row>
        <row r="15">
          <cell r="P15">
            <v>28.7</v>
          </cell>
        </row>
        <row r="16">
          <cell r="P16">
            <v>29.8</v>
          </cell>
        </row>
        <row r="17">
          <cell r="P17">
            <v>31</v>
          </cell>
        </row>
        <row r="18">
          <cell r="P18">
            <v>31</v>
          </cell>
        </row>
        <row r="19">
          <cell r="P19">
            <v>30.2</v>
          </cell>
        </row>
        <row r="20">
          <cell r="P20">
            <v>29.8</v>
          </cell>
        </row>
        <row r="21">
          <cell r="P21">
            <v>28</v>
          </cell>
        </row>
        <row r="22">
          <cell r="P22">
            <v>25</v>
          </cell>
        </row>
        <row r="23">
          <cell r="P23">
            <v>25</v>
          </cell>
        </row>
        <row r="24">
          <cell r="P24">
            <v>24.8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20"/>
      <sheetData sheetId="21">
        <row r="10">
          <cell r="P10">
            <v>19.5</v>
          </cell>
        </row>
        <row r="11">
          <cell r="P11">
            <v>20.6</v>
          </cell>
        </row>
        <row r="12">
          <cell r="P12">
            <v>22.4</v>
          </cell>
        </row>
        <row r="13">
          <cell r="P13">
            <v>25.2</v>
          </cell>
        </row>
        <row r="14">
          <cell r="P14">
            <v>28.4</v>
          </cell>
        </row>
        <row r="15">
          <cell r="P15">
            <v>30.8</v>
          </cell>
        </row>
        <row r="16">
          <cell r="P16">
            <v>33.200000000000003</v>
          </cell>
        </row>
        <row r="17">
          <cell r="P17">
            <v>34.799999999999997</v>
          </cell>
        </row>
        <row r="18">
          <cell r="P18">
            <v>34.799999999999997</v>
          </cell>
        </row>
        <row r="19">
          <cell r="P19">
            <v>33.6</v>
          </cell>
        </row>
        <row r="20">
          <cell r="P20">
            <v>32</v>
          </cell>
        </row>
        <row r="21">
          <cell r="P21">
            <v>30.2</v>
          </cell>
        </row>
        <row r="22">
          <cell r="P22">
            <v>28.6</v>
          </cell>
        </row>
        <row r="23">
          <cell r="P23">
            <v>27.3</v>
          </cell>
        </row>
        <row r="24">
          <cell r="P24">
            <v>26.2</v>
          </cell>
        </row>
        <row r="25">
          <cell r="P25">
            <v>25.3</v>
          </cell>
        </row>
        <row r="26">
          <cell r="P26">
            <v>24.6</v>
          </cell>
        </row>
        <row r="27">
          <cell r="P27">
            <v>24</v>
          </cell>
        </row>
      </sheetData>
      <sheetData sheetId="22"/>
      <sheetData sheetId="23">
        <row r="10">
          <cell r="P10">
            <v>21</v>
          </cell>
        </row>
        <row r="11">
          <cell r="P11">
            <v>22</v>
          </cell>
        </row>
        <row r="12">
          <cell r="P12">
            <v>23.6</v>
          </cell>
        </row>
        <row r="13">
          <cell r="P13">
            <v>25.8</v>
          </cell>
        </row>
        <row r="14">
          <cell r="P14">
            <v>27.8</v>
          </cell>
        </row>
        <row r="15">
          <cell r="P15">
            <v>28.4</v>
          </cell>
        </row>
        <row r="16">
          <cell r="P16">
            <v>29.2</v>
          </cell>
        </row>
        <row r="17">
          <cell r="P17">
            <v>30</v>
          </cell>
        </row>
        <row r="18">
          <cell r="P18">
            <v>29</v>
          </cell>
        </row>
        <row r="19">
          <cell r="P19">
            <v>28.2</v>
          </cell>
        </row>
        <row r="20">
          <cell r="P20">
            <v>27.4</v>
          </cell>
        </row>
        <row r="21">
          <cell r="P21">
            <v>26.4</v>
          </cell>
        </row>
        <row r="22">
          <cell r="P22">
            <v>25.5</v>
          </cell>
        </row>
        <row r="23">
          <cell r="P23">
            <v>24.7</v>
          </cell>
        </row>
        <row r="24">
          <cell r="P24">
            <v>24</v>
          </cell>
        </row>
        <row r="25">
          <cell r="P25">
            <v>23.6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24"/>
      <sheetData sheetId="25">
        <row r="10">
          <cell r="P10">
            <v>21.8</v>
          </cell>
        </row>
        <row r="11">
          <cell r="P11">
            <v>22</v>
          </cell>
        </row>
        <row r="12">
          <cell r="P12">
            <v>23.2</v>
          </cell>
        </row>
        <row r="13">
          <cell r="P13">
            <v>24.2</v>
          </cell>
        </row>
        <row r="14">
          <cell r="P14">
            <v>26</v>
          </cell>
        </row>
        <row r="15">
          <cell r="P15">
            <v>28.4</v>
          </cell>
        </row>
        <row r="16">
          <cell r="P16">
            <v>30</v>
          </cell>
        </row>
        <row r="17">
          <cell r="P17">
            <v>32.799999999999997</v>
          </cell>
        </row>
        <row r="18">
          <cell r="P18">
            <v>34</v>
          </cell>
        </row>
        <row r="19">
          <cell r="P19">
            <v>33</v>
          </cell>
        </row>
        <row r="20">
          <cell r="P20">
            <v>32.1</v>
          </cell>
        </row>
        <row r="21">
          <cell r="P21">
            <v>30.6</v>
          </cell>
        </row>
        <row r="22">
          <cell r="P22">
            <v>29</v>
          </cell>
        </row>
        <row r="23">
          <cell r="P23">
            <v>28</v>
          </cell>
        </row>
        <row r="24">
          <cell r="P24">
            <v>27</v>
          </cell>
        </row>
        <row r="25">
          <cell r="P25">
            <v>26</v>
          </cell>
        </row>
        <row r="26">
          <cell r="P26">
            <v>25.5</v>
          </cell>
        </row>
        <row r="27">
          <cell r="P27">
            <v>25</v>
          </cell>
        </row>
      </sheetData>
      <sheetData sheetId="26"/>
      <sheetData sheetId="27">
        <row r="10">
          <cell r="P10">
            <v>22</v>
          </cell>
        </row>
        <row r="11">
          <cell r="P11">
            <v>22.8</v>
          </cell>
        </row>
        <row r="12">
          <cell r="P12">
            <v>23.8</v>
          </cell>
        </row>
        <row r="13">
          <cell r="P13">
            <v>25.4</v>
          </cell>
        </row>
        <row r="14">
          <cell r="P14">
            <v>28.5</v>
          </cell>
        </row>
        <row r="15">
          <cell r="P15">
            <v>29.7</v>
          </cell>
        </row>
        <row r="16">
          <cell r="P16">
            <v>32.6</v>
          </cell>
        </row>
        <row r="17">
          <cell r="P17">
            <v>33</v>
          </cell>
        </row>
        <row r="18">
          <cell r="P18">
            <v>33</v>
          </cell>
        </row>
        <row r="19">
          <cell r="P19">
            <v>33.1</v>
          </cell>
        </row>
        <row r="20">
          <cell r="P20">
            <v>31.8</v>
          </cell>
        </row>
        <row r="21">
          <cell r="P21">
            <v>30.1</v>
          </cell>
        </row>
        <row r="22">
          <cell r="P22">
            <v>29.1</v>
          </cell>
        </row>
        <row r="23">
          <cell r="P23">
            <v>28.1</v>
          </cell>
        </row>
        <row r="24">
          <cell r="P24">
            <v>27.4</v>
          </cell>
        </row>
        <row r="25">
          <cell r="P25">
            <v>26.7</v>
          </cell>
        </row>
        <row r="26">
          <cell r="P26">
            <v>25.6</v>
          </cell>
        </row>
        <row r="27">
          <cell r="P27">
            <v>25.1</v>
          </cell>
        </row>
      </sheetData>
      <sheetData sheetId="28"/>
      <sheetData sheetId="29">
        <row r="10">
          <cell r="P10">
            <v>22.5</v>
          </cell>
        </row>
        <row r="11">
          <cell r="P11">
            <v>23</v>
          </cell>
        </row>
        <row r="12">
          <cell r="P12">
            <v>25</v>
          </cell>
        </row>
        <row r="13">
          <cell r="P13">
            <v>28</v>
          </cell>
        </row>
        <row r="14">
          <cell r="P14">
            <v>31.2</v>
          </cell>
        </row>
        <row r="15">
          <cell r="P15">
            <v>33.799999999999997</v>
          </cell>
        </row>
        <row r="16">
          <cell r="P16">
            <v>36</v>
          </cell>
        </row>
        <row r="17">
          <cell r="P17">
            <v>36.799999999999997</v>
          </cell>
        </row>
        <row r="18">
          <cell r="P18">
            <v>37.1</v>
          </cell>
        </row>
        <row r="19">
          <cell r="P19">
            <v>36.200000000000003</v>
          </cell>
        </row>
        <row r="20">
          <cell r="P20">
            <v>33.9</v>
          </cell>
        </row>
        <row r="21">
          <cell r="P21">
            <v>33.1</v>
          </cell>
        </row>
        <row r="22">
          <cell r="P22">
            <v>31.4</v>
          </cell>
        </row>
        <row r="23">
          <cell r="P23">
            <v>30.2</v>
          </cell>
        </row>
        <row r="24">
          <cell r="P24">
            <v>29.3</v>
          </cell>
        </row>
        <row r="25">
          <cell r="P25">
            <v>28.2</v>
          </cell>
        </row>
        <row r="26">
          <cell r="P26">
            <v>27.4</v>
          </cell>
        </row>
        <row r="27">
          <cell r="P27">
            <v>27</v>
          </cell>
        </row>
      </sheetData>
      <sheetData sheetId="30"/>
      <sheetData sheetId="31">
        <row r="10">
          <cell r="P10">
            <v>23.8</v>
          </cell>
        </row>
        <row r="11">
          <cell r="P11">
            <v>24.6</v>
          </cell>
        </row>
        <row r="12">
          <cell r="P12">
            <v>26</v>
          </cell>
        </row>
        <row r="13">
          <cell r="P13">
            <v>28.6</v>
          </cell>
        </row>
        <row r="14">
          <cell r="P14">
            <v>29</v>
          </cell>
        </row>
        <row r="15">
          <cell r="P15">
            <v>31.6</v>
          </cell>
        </row>
        <row r="16">
          <cell r="P16">
            <v>32.799999999999997</v>
          </cell>
        </row>
        <row r="17">
          <cell r="P17">
            <v>32</v>
          </cell>
        </row>
        <row r="18">
          <cell r="P18">
            <v>33</v>
          </cell>
        </row>
        <row r="19">
          <cell r="P19">
            <v>32.6</v>
          </cell>
        </row>
        <row r="20">
          <cell r="P20">
            <v>31.6</v>
          </cell>
        </row>
        <row r="21">
          <cell r="P21">
            <v>30.5</v>
          </cell>
        </row>
        <row r="22">
          <cell r="P22">
            <v>29.2</v>
          </cell>
        </row>
        <row r="23">
          <cell r="P23">
            <v>28.1</v>
          </cell>
        </row>
        <row r="24">
          <cell r="P24">
            <v>27.2</v>
          </cell>
        </row>
        <row r="25">
          <cell r="P25">
            <v>26.4</v>
          </cell>
        </row>
        <row r="26">
          <cell r="P26">
            <v>25.8</v>
          </cell>
        </row>
        <row r="27">
          <cell r="P27">
            <v>25.2</v>
          </cell>
        </row>
      </sheetData>
      <sheetData sheetId="32"/>
      <sheetData sheetId="33">
        <row r="10">
          <cell r="P10">
            <v>22.7</v>
          </cell>
        </row>
        <row r="11">
          <cell r="P11">
            <v>23.4</v>
          </cell>
        </row>
        <row r="12">
          <cell r="P12">
            <v>24.1</v>
          </cell>
        </row>
        <row r="13">
          <cell r="P13">
            <v>24.9</v>
          </cell>
        </row>
        <row r="14">
          <cell r="P14">
            <v>25.8</v>
          </cell>
        </row>
        <row r="15">
          <cell r="P15">
            <v>27.5</v>
          </cell>
        </row>
        <row r="16">
          <cell r="P16">
            <v>29.7</v>
          </cell>
        </row>
        <row r="17">
          <cell r="P17">
            <v>31</v>
          </cell>
        </row>
        <row r="18">
          <cell r="P18">
            <v>32.1</v>
          </cell>
        </row>
        <row r="19">
          <cell r="P19">
            <v>31.7</v>
          </cell>
        </row>
        <row r="20">
          <cell r="P20">
            <v>30.9</v>
          </cell>
        </row>
        <row r="21">
          <cell r="P21">
            <v>29.5</v>
          </cell>
        </row>
        <row r="22">
          <cell r="P22">
            <v>28.3</v>
          </cell>
        </row>
        <row r="23">
          <cell r="P23">
            <v>27.1</v>
          </cell>
        </row>
        <row r="24">
          <cell r="P24">
            <v>26.4</v>
          </cell>
        </row>
        <row r="25">
          <cell r="P25">
            <v>25.9</v>
          </cell>
        </row>
        <row r="26">
          <cell r="P26">
            <v>25.4</v>
          </cell>
        </row>
        <row r="27">
          <cell r="P27">
            <v>24.9</v>
          </cell>
        </row>
      </sheetData>
      <sheetData sheetId="34"/>
      <sheetData sheetId="35">
        <row r="10">
          <cell r="P10">
            <v>23.1</v>
          </cell>
        </row>
        <row r="11">
          <cell r="P11">
            <v>23.7</v>
          </cell>
        </row>
        <row r="12">
          <cell r="P12">
            <v>25.4</v>
          </cell>
        </row>
        <row r="13">
          <cell r="P13">
            <v>28.3</v>
          </cell>
        </row>
        <row r="14">
          <cell r="P14">
            <v>30.3</v>
          </cell>
        </row>
        <row r="15">
          <cell r="P15">
            <v>30.2</v>
          </cell>
        </row>
        <row r="16">
          <cell r="P16">
            <v>32.299999999999997</v>
          </cell>
        </row>
        <row r="17">
          <cell r="P17">
            <v>35</v>
          </cell>
        </row>
        <row r="18">
          <cell r="P18">
            <v>33.700000000000003</v>
          </cell>
        </row>
        <row r="19">
          <cell r="P19">
            <v>32.6</v>
          </cell>
        </row>
        <row r="20">
          <cell r="P20">
            <v>28.4</v>
          </cell>
        </row>
        <row r="21">
          <cell r="P21">
            <v>28</v>
          </cell>
        </row>
        <row r="22">
          <cell r="P22">
            <v>26</v>
          </cell>
        </row>
        <row r="23">
          <cell r="P23">
            <v>24.8</v>
          </cell>
        </row>
        <row r="24">
          <cell r="P24">
            <v>24.2</v>
          </cell>
        </row>
        <row r="25">
          <cell r="P25">
            <v>24</v>
          </cell>
        </row>
        <row r="26">
          <cell r="P26">
            <v>24</v>
          </cell>
        </row>
        <row r="27">
          <cell r="P27">
            <v>23</v>
          </cell>
        </row>
      </sheetData>
      <sheetData sheetId="36"/>
      <sheetData sheetId="37">
        <row r="10">
          <cell r="P10">
            <v>21.6</v>
          </cell>
        </row>
        <row r="11">
          <cell r="P11">
            <v>22.3</v>
          </cell>
        </row>
        <row r="12">
          <cell r="P12">
            <v>23</v>
          </cell>
        </row>
        <row r="13">
          <cell r="P13">
            <v>26</v>
          </cell>
        </row>
        <row r="14">
          <cell r="P14">
            <v>27.2</v>
          </cell>
        </row>
        <row r="15">
          <cell r="P15">
            <v>28.2</v>
          </cell>
        </row>
        <row r="16">
          <cell r="P16">
            <v>28.4</v>
          </cell>
        </row>
        <row r="17">
          <cell r="P17">
            <v>30.6</v>
          </cell>
        </row>
        <row r="18">
          <cell r="P18">
            <v>29.6</v>
          </cell>
        </row>
        <row r="19">
          <cell r="P19">
            <v>28.2</v>
          </cell>
        </row>
        <row r="20">
          <cell r="P20">
            <v>27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23.6</v>
          </cell>
        </row>
        <row r="25">
          <cell r="P25">
            <v>23.6</v>
          </cell>
        </row>
        <row r="26">
          <cell r="P26">
            <v>23</v>
          </cell>
        </row>
        <row r="27">
          <cell r="P27">
            <v>21.8</v>
          </cell>
        </row>
      </sheetData>
      <sheetData sheetId="38"/>
      <sheetData sheetId="39">
        <row r="10">
          <cell r="P10">
            <v>19.399999999999999</v>
          </cell>
        </row>
        <row r="11">
          <cell r="P11">
            <v>20.399999999999999</v>
          </cell>
        </row>
        <row r="12">
          <cell r="P12">
            <v>22.8</v>
          </cell>
        </row>
        <row r="13">
          <cell r="P13">
            <v>25.5</v>
          </cell>
        </row>
        <row r="14">
          <cell r="P14">
            <v>27.3</v>
          </cell>
        </row>
        <row r="15">
          <cell r="P15">
            <v>28.9</v>
          </cell>
        </row>
        <row r="16">
          <cell r="P16">
            <v>30.2</v>
          </cell>
        </row>
        <row r="17">
          <cell r="P17">
            <v>30.5</v>
          </cell>
        </row>
        <row r="18">
          <cell r="P18">
            <v>29.6</v>
          </cell>
        </row>
        <row r="19">
          <cell r="P19">
            <v>29.2</v>
          </cell>
        </row>
        <row r="20">
          <cell r="P20">
            <v>29</v>
          </cell>
        </row>
        <row r="21">
          <cell r="P21">
            <v>27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23.8</v>
          </cell>
        </row>
        <row r="25">
          <cell r="P25">
            <v>23.5</v>
          </cell>
        </row>
        <row r="26">
          <cell r="P26">
            <v>23</v>
          </cell>
        </row>
        <row r="27">
          <cell r="P27">
            <v>22</v>
          </cell>
        </row>
      </sheetData>
      <sheetData sheetId="40"/>
      <sheetData sheetId="41">
        <row r="10">
          <cell r="P10">
            <v>21.7</v>
          </cell>
        </row>
        <row r="11">
          <cell r="P11">
            <v>22.4</v>
          </cell>
        </row>
        <row r="12">
          <cell r="P12">
            <v>24.4</v>
          </cell>
        </row>
        <row r="13">
          <cell r="P13">
            <v>26.6</v>
          </cell>
        </row>
        <row r="14">
          <cell r="P14">
            <v>28.8</v>
          </cell>
        </row>
        <row r="15">
          <cell r="P15">
            <v>31.6</v>
          </cell>
        </row>
        <row r="16">
          <cell r="P16">
            <v>33.4</v>
          </cell>
        </row>
        <row r="17">
          <cell r="P17">
            <v>35</v>
          </cell>
        </row>
        <row r="18">
          <cell r="P18">
            <v>35.9</v>
          </cell>
        </row>
        <row r="19">
          <cell r="P19">
            <v>35.200000000000003</v>
          </cell>
        </row>
        <row r="20">
          <cell r="P20">
            <v>30</v>
          </cell>
        </row>
        <row r="21">
          <cell r="P21">
            <v>28</v>
          </cell>
        </row>
        <row r="22">
          <cell r="P22">
            <v>26</v>
          </cell>
        </row>
        <row r="23">
          <cell r="P23">
            <v>26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24.6</v>
          </cell>
        </row>
        <row r="27">
          <cell r="P27">
            <v>23</v>
          </cell>
        </row>
      </sheetData>
      <sheetData sheetId="42"/>
      <sheetData sheetId="43">
        <row r="10">
          <cell r="P10">
            <v>21.4</v>
          </cell>
        </row>
        <row r="11">
          <cell r="P11">
            <v>22.5</v>
          </cell>
        </row>
        <row r="12">
          <cell r="P12">
            <v>24.3</v>
          </cell>
        </row>
        <row r="13">
          <cell r="P13">
            <v>26.8</v>
          </cell>
        </row>
        <row r="14">
          <cell r="P14">
            <v>28.8</v>
          </cell>
        </row>
        <row r="15">
          <cell r="P15">
            <v>31</v>
          </cell>
        </row>
        <row r="16">
          <cell r="P16">
            <v>33</v>
          </cell>
        </row>
        <row r="17">
          <cell r="P17">
            <v>33.299999999999997</v>
          </cell>
        </row>
        <row r="18">
          <cell r="P18">
            <v>32.9</v>
          </cell>
        </row>
        <row r="19">
          <cell r="P19">
            <v>33.200000000000003</v>
          </cell>
        </row>
        <row r="20">
          <cell r="P20">
            <v>31.2</v>
          </cell>
        </row>
        <row r="21">
          <cell r="P21">
            <v>30</v>
          </cell>
        </row>
        <row r="22">
          <cell r="P22">
            <v>28.6</v>
          </cell>
        </row>
        <row r="23">
          <cell r="P23">
            <v>27.6</v>
          </cell>
        </row>
        <row r="24">
          <cell r="P24">
            <v>26.6</v>
          </cell>
        </row>
        <row r="25">
          <cell r="P25">
            <v>26</v>
          </cell>
        </row>
        <row r="26">
          <cell r="P26">
            <v>25.3</v>
          </cell>
        </row>
        <row r="27">
          <cell r="P27">
            <v>24.7</v>
          </cell>
        </row>
      </sheetData>
      <sheetData sheetId="44"/>
      <sheetData sheetId="45">
        <row r="10">
          <cell r="P10">
            <v>21.9</v>
          </cell>
        </row>
        <row r="11">
          <cell r="P11">
            <v>23</v>
          </cell>
        </row>
        <row r="12">
          <cell r="P12">
            <v>25.3</v>
          </cell>
        </row>
        <row r="13">
          <cell r="P13">
            <v>27.5</v>
          </cell>
        </row>
        <row r="14">
          <cell r="P14">
            <v>30.7</v>
          </cell>
        </row>
        <row r="15">
          <cell r="P15">
            <v>34.200000000000003</v>
          </cell>
        </row>
        <row r="16">
          <cell r="P16">
            <v>35.799999999999997</v>
          </cell>
        </row>
        <row r="17">
          <cell r="P17">
            <v>38.1</v>
          </cell>
        </row>
        <row r="18">
          <cell r="P18">
            <v>36.799999999999997</v>
          </cell>
        </row>
        <row r="19">
          <cell r="P19">
            <v>34.4</v>
          </cell>
        </row>
        <row r="20">
          <cell r="P20">
            <v>33.4</v>
          </cell>
        </row>
        <row r="21">
          <cell r="P21">
            <v>32.200000000000003</v>
          </cell>
        </row>
        <row r="22">
          <cell r="P22">
            <v>30.7</v>
          </cell>
        </row>
        <row r="23">
          <cell r="P23">
            <v>29.4</v>
          </cell>
        </row>
        <row r="24">
          <cell r="P24">
            <v>28.3</v>
          </cell>
        </row>
        <row r="25">
          <cell r="P25">
            <v>27.4</v>
          </cell>
        </row>
        <row r="26">
          <cell r="P26">
            <v>26.6</v>
          </cell>
        </row>
        <row r="27">
          <cell r="P27">
            <v>25.8</v>
          </cell>
        </row>
      </sheetData>
      <sheetData sheetId="46"/>
      <sheetData sheetId="47">
        <row r="10">
          <cell r="P10">
            <v>22.9</v>
          </cell>
        </row>
        <row r="11">
          <cell r="P11">
            <v>23.7</v>
          </cell>
        </row>
        <row r="12">
          <cell r="P12">
            <v>25.9</v>
          </cell>
        </row>
        <row r="13">
          <cell r="P13">
            <v>28.5</v>
          </cell>
        </row>
        <row r="14">
          <cell r="P14">
            <v>31.6</v>
          </cell>
        </row>
        <row r="15">
          <cell r="P15">
            <v>34.200000000000003</v>
          </cell>
        </row>
        <row r="16">
          <cell r="P16">
            <v>36</v>
          </cell>
        </row>
        <row r="17">
          <cell r="P17">
            <v>35.700000000000003</v>
          </cell>
        </row>
        <row r="18">
          <cell r="P18">
            <v>33.299999999999997</v>
          </cell>
        </row>
        <row r="19">
          <cell r="P19">
            <v>31.4</v>
          </cell>
        </row>
        <row r="20">
          <cell r="P20">
            <v>30.2</v>
          </cell>
        </row>
        <row r="21">
          <cell r="P21">
            <v>29.3</v>
          </cell>
        </row>
        <row r="22">
          <cell r="P22">
            <v>28.4</v>
          </cell>
        </row>
        <row r="23">
          <cell r="P23">
            <v>27.6</v>
          </cell>
        </row>
        <row r="24">
          <cell r="P24">
            <v>26.8</v>
          </cell>
        </row>
        <row r="25">
          <cell r="P25">
            <v>26.1</v>
          </cell>
        </row>
        <row r="26">
          <cell r="P26">
            <v>25.7</v>
          </cell>
        </row>
        <row r="27">
          <cell r="P27">
            <v>25</v>
          </cell>
        </row>
      </sheetData>
      <sheetData sheetId="48"/>
      <sheetData sheetId="49">
        <row r="10">
          <cell r="P10">
            <v>22.1</v>
          </cell>
        </row>
        <row r="11">
          <cell r="P11">
            <v>23</v>
          </cell>
        </row>
        <row r="12">
          <cell r="P12">
            <v>25</v>
          </cell>
        </row>
        <row r="13">
          <cell r="P13">
            <v>27.8</v>
          </cell>
        </row>
        <row r="14">
          <cell r="P14">
            <v>30.8</v>
          </cell>
        </row>
        <row r="15">
          <cell r="P15">
            <v>33.6</v>
          </cell>
        </row>
        <row r="16">
          <cell r="P16">
            <v>35.799999999999997</v>
          </cell>
        </row>
        <row r="17">
          <cell r="P17">
            <v>36.9</v>
          </cell>
        </row>
        <row r="18">
          <cell r="P18">
            <v>37.5</v>
          </cell>
        </row>
        <row r="19">
          <cell r="P19">
            <v>36.6</v>
          </cell>
        </row>
        <row r="20">
          <cell r="P20">
            <v>35</v>
          </cell>
        </row>
        <row r="21">
          <cell r="P21">
            <v>32.6</v>
          </cell>
        </row>
        <row r="22">
          <cell r="P22">
            <v>32</v>
          </cell>
        </row>
        <row r="23">
          <cell r="P23">
            <v>30</v>
          </cell>
        </row>
        <row r="24">
          <cell r="P24">
            <v>29</v>
          </cell>
        </row>
        <row r="25">
          <cell r="P25">
            <v>28</v>
          </cell>
        </row>
        <row r="26">
          <cell r="P26">
            <v>27.8</v>
          </cell>
        </row>
        <row r="27">
          <cell r="P27">
            <v>27</v>
          </cell>
        </row>
      </sheetData>
      <sheetData sheetId="50"/>
      <sheetData sheetId="51">
        <row r="10">
          <cell r="P10">
            <v>24.6</v>
          </cell>
        </row>
        <row r="11">
          <cell r="P11">
            <v>24.8</v>
          </cell>
        </row>
        <row r="12">
          <cell r="P12">
            <v>25.6</v>
          </cell>
        </row>
        <row r="13">
          <cell r="P13">
            <v>27.8</v>
          </cell>
        </row>
        <row r="14">
          <cell r="P14">
            <v>30.8</v>
          </cell>
        </row>
        <row r="15">
          <cell r="P15">
            <v>34.4</v>
          </cell>
        </row>
        <row r="16">
          <cell r="P16">
            <v>37</v>
          </cell>
        </row>
        <row r="17">
          <cell r="P17">
            <v>37.799999999999997</v>
          </cell>
        </row>
        <row r="18">
          <cell r="P18">
            <v>38.5</v>
          </cell>
        </row>
        <row r="19">
          <cell r="P19">
            <v>37.6</v>
          </cell>
        </row>
        <row r="20">
          <cell r="P20">
            <v>36.200000000000003</v>
          </cell>
        </row>
        <row r="21">
          <cell r="P21">
            <v>34</v>
          </cell>
        </row>
        <row r="22">
          <cell r="P22">
            <v>32</v>
          </cell>
        </row>
        <row r="23">
          <cell r="P23">
            <v>30</v>
          </cell>
        </row>
        <row r="24">
          <cell r="P24">
            <v>29.5</v>
          </cell>
        </row>
        <row r="25">
          <cell r="P25">
            <v>28.4</v>
          </cell>
        </row>
        <row r="26">
          <cell r="P26">
            <v>27.6</v>
          </cell>
        </row>
        <row r="27">
          <cell r="P27">
            <v>27</v>
          </cell>
        </row>
      </sheetData>
      <sheetData sheetId="52"/>
      <sheetData sheetId="53">
        <row r="10">
          <cell r="P10">
            <v>23.2</v>
          </cell>
        </row>
        <row r="11">
          <cell r="P11">
            <v>23.8</v>
          </cell>
        </row>
        <row r="12">
          <cell r="P12">
            <v>25.6</v>
          </cell>
        </row>
        <row r="13">
          <cell r="P13">
            <v>28.2</v>
          </cell>
        </row>
        <row r="14">
          <cell r="P14">
            <v>31.6</v>
          </cell>
        </row>
        <row r="15">
          <cell r="P15">
            <v>34.799999999999997</v>
          </cell>
        </row>
        <row r="16">
          <cell r="P16">
            <v>37.200000000000003</v>
          </cell>
        </row>
        <row r="17">
          <cell r="P17">
            <v>38.799999999999997</v>
          </cell>
        </row>
        <row r="18">
          <cell r="P18">
            <v>39.1</v>
          </cell>
        </row>
        <row r="19">
          <cell r="P19">
            <v>39</v>
          </cell>
        </row>
        <row r="20">
          <cell r="P20">
            <v>37</v>
          </cell>
        </row>
        <row r="21">
          <cell r="P21">
            <v>34</v>
          </cell>
        </row>
        <row r="22">
          <cell r="P22">
            <v>32.6</v>
          </cell>
        </row>
        <row r="23">
          <cell r="P23">
            <v>30</v>
          </cell>
        </row>
        <row r="24">
          <cell r="P24">
            <v>29</v>
          </cell>
        </row>
        <row r="25">
          <cell r="P25">
            <v>28.6</v>
          </cell>
        </row>
        <row r="26">
          <cell r="P26">
            <v>28.4</v>
          </cell>
        </row>
        <row r="27">
          <cell r="P27">
            <v>27</v>
          </cell>
        </row>
      </sheetData>
      <sheetData sheetId="54"/>
      <sheetData sheetId="55">
        <row r="10">
          <cell r="P10">
            <v>24.2</v>
          </cell>
        </row>
        <row r="11">
          <cell r="P11">
            <v>24.7</v>
          </cell>
        </row>
        <row r="12">
          <cell r="P12">
            <v>26.4</v>
          </cell>
        </row>
        <row r="13">
          <cell r="P13">
            <v>29.4</v>
          </cell>
        </row>
        <row r="14">
          <cell r="P14">
            <v>32.200000000000003</v>
          </cell>
        </row>
        <row r="15">
          <cell r="P15">
            <v>34.4</v>
          </cell>
        </row>
        <row r="16">
          <cell r="P16">
            <v>36.200000000000003</v>
          </cell>
        </row>
        <row r="17">
          <cell r="P17">
            <v>36.6</v>
          </cell>
        </row>
        <row r="18">
          <cell r="P18">
            <v>37.4</v>
          </cell>
        </row>
        <row r="19">
          <cell r="P19">
            <v>37.299999999999997</v>
          </cell>
        </row>
        <row r="20">
          <cell r="P20">
            <v>35.700000000000003</v>
          </cell>
        </row>
        <row r="21">
          <cell r="P21">
            <v>33.799999999999997</v>
          </cell>
        </row>
        <row r="22">
          <cell r="P22">
            <v>32.6</v>
          </cell>
        </row>
        <row r="23">
          <cell r="P23">
            <v>31.3</v>
          </cell>
        </row>
        <row r="24">
          <cell r="P24">
            <v>30.2</v>
          </cell>
        </row>
        <row r="25">
          <cell r="P25">
            <v>29.3</v>
          </cell>
        </row>
        <row r="26">
          <cell r="P26">
            <v>28.5</v>
          </cell>
        </row>
        <row r="27">
          <cell r="P27">
            <v>27.8</v>
          </cell>
        </row>
      </sheetData>
      <sheetData sheetId="56"/>
      <sheetData sheetId="57">
        <row r="10">
          <cell r="P10">
            <v>24.6</v>
          </cell>
        </row>
        <row r="11">
          <cell r="P11">
            <v>25.4</v>
          </cell>
        </row>
        <row r="12">
          <cell r="P12">
            <v>27.3</v>
          </cell>
        </row>
        <row r="13">
          <cell r="P13">
            <v>30</v>
          </cell>
        </row>
        <row r="14">
          <cell r="P14">
            <v>33.200000000000003</v>
          </cell>
        </row>
        <row r="15">
          <cell r="P15">
            <v>35</v>
          </cell>
        </row>
        <row r="16">
          <cell r="P16">
            <v>36.6</v>
          </cell>
        </row>
        <row r="17">
          <cell r="P17">
            <v>37.4</v>
          </cell>
        </row>
        <row r="18">
          <cell r="P18">
            <v>38.4</v>
          </cell>
        </row>
        <row r="19">
          <cell r="P19">
            <v>38.5</v>
          </cell>
        </row>
        <row r="20">
          <cell r="P20">
            <v>37.299999999999997</v>
          </cell>
        </row>
        <row r="21">
          <cell r="P21">
            <v>35.700000000000003</v>
          </cell>
        </row>
        <row r="22">
          <cell r="P22">
            <v>33.9</v>
          </cell>
        </row>
        <row r="23">
          <cell r="P23">
            <v>32.299999999999997</v>
          </cell>
        </row>
        <row r="24">
          <cell r="P24">
            <v>31.4</v>
          </cell>
        </row>
        <row r="25">
          <cell r="P25">
            <v>30.4</v>
          </cell>
        </row>
        <row r="26">
          <cell r="P26">
            <v>29.6</v>
          </cell>
        </row>
        <row r="27">
          <cell r="P27">
            <v>28.9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26</v>
          </cell>
        </row>
        <row r="11">
          <cell r="P11">
            <v>26.4</v>
          </cell>
        </row>
        <row r="12">
          <cell r="P12">
            <v>29.2</v>
          </cell>
        </row>
        <row r="13">
          <cell r="P13">
            <v>30.4</v>
          </cell>
        </row>
        <row r="14">
          <cell r="P14">
            <v>33.6</v>
          </cell>
        </row>
        <row r="15">
          <cell r="P15">
            <v>36</v>
          </cell>
        </row>
        <row r="16">
          <cell r="P16">
            <v>37.200000000000003</v>
          </cell>
        </row>
        <row r="17">
          <cell r="P17">
            <v>35</v>
          </cell>
        </row>
        <row r="18">
          <cell r="P18">
            <v>33.200000000000003</v>
          </cell>
        </row>
        <row r="19">
          <cell r="P19">
            <v>32.200000000000003</v>
          </cell>
        </row>
        <row r="20">
          <cell r="P20">
            <v>30.9</v>
          </cell>
        </row>
        <row r="21">
          <cell r="P21">
            <v>29.4</v>
          </cell>
        </row>
        <row r="22">
          <cell r="P22">
            <v>28.8</v>
          </cell>
        </row>
        <row r="23">
          <cell r="P23">
            <v>26.5</v>
          </cell>
        </row>
        <row r="24">
          <cell r="P24">
            <v>25.5</v>
          </cell>
        </row>
        <row r="25">
          <cell r="P25">
            <v>25.3</v>
          </cell>
        </row>
        <row r="26">
          <cell r="P26">
            <v>25.2</v>
          </cell>
        </row>
        <row r="27">
          <cell r="P27">
            <v>25</v>
          </cell>
        </row>
      </sheetData>
      <sheetData sheetId="4">
        <row r="1">
          <cell r="C1" t="str">
            <v>MARÇO DE 2022</v>
          </cell>
        </row>
      </sheetData>
      <sheetData sheetId="5">
        <row r="10">
          <cell r="P10">
            <v>23</v>
          </cell>
        </row>
        <row r="11">
          <cell r="P11">
            <v>23.4</v>
          </cell>
        </row>
        <row r="12">
          <cell r="P12">
            <v>26</v>
          </cell>
        </row>
        <row r="13">
          <cell r="P13">
            <v>27</v>
          </cell>
        </row>
        <row r="14">
          <cell r="P14">
            <v>29</v>
          </cell>
        </row>
        <row r="15">
          <cell r="P15">
            <v>32</v>
          </cell>
        </row>
        <row r="16">
          <cell r="P16">
            <v>33.6</v>
          </cell>
        </row>
        <row r="17">
          <cell r="P17">
            <v>35.200000000000003</v>
          </cell>
        </row>
        <row r="18">
          <cell r="P18">
            <v>36</v>
          </cell>
        </row>
        <row r="19">
          <cell r="P19">
            <v>35.5</v>
          </cell>
        </row>
        <row r="20">
          <cell r="P20">
            <v>34</v>
          </cell>
        </row>
        <row r="21">
          <cell r="P21">
            <v>32.200000000000003</v>
          </cell>
        </row>
        <row r="22">
          <cell r="P22">
            <v>30.4</v>
          </cell>
        </row>
        <row r="23">
          <cell r="P23">
            <v>29</v>
          </cell>
        </row>
        <row r="24">
          <cell r="P24">
            <v>28.2</v>
          </cell>
        </row>
        <row r="25">
          <cell r="P25">
            <v>27.4</v>
          </cell>
        </row>
        <row r="26">
          <cell r="P26">
            <v>26.8</v>
          </cell>
        </row>
        <row r="27">
          <cell r="P27">
            <v>26.4</v>
          </cell>
        </row>
      </sheetData>
      <sheetData sheetId="6"/>
      <sheetData sheetId="7">
        <row r="10">
          <cell r="P10">
            <v>23.6</v>
          </cell>
        </row>
        <row r="11">
          <cell r="P11">
            <v>24</v>
          </cell>
        </row>
        <row r="12">
          <cell r="P12">
            <v>26</v>
          </cell>
        </row>
        <row r="13">
          <cell r="P13">
            <v>28.8</v>
          </cell>
        </row>
        <row r="14">
          <cell r="P14">
            <v>31.4</v>
          </cell>
        </row>
        <row r="15">
          <cell r="P15">
            <v>34</v>
          </cell>
        </row>
        <row r="16">
          <cell r="P16">
            <v>36.6</v>
          </cell>
        </row>
        <row r="17">
          <cell r="P17">
            <v>38</v>
          </cell>
        </row>
        <row r="18">
          <cell r="P18">
            <v>38</v>
          </cell>
        </row>
        <row r="19">
          <cell r="P19">
            <v>35.700000000000003</v>
          </cell>
        </row>
        <row r="20">
          <cell r="P20">
            <v>32.9</v>
          </cell>
        </row>
        <row r="21">
          <cell r="P21">
            <v>31.1</v>
          </cell>
        </row>
        <row r="22">
          <cell r="P22">
            <v>29.6</v>
          </cell>
        </row>
        <row r="23">
          <cell r="P23">
            <v>28.6</v>
          </cell>
        </row>
        <row r="24">
          <cell r="P24">
            <v>27.6</v>
          </cell>
        </row>
        <row r="25">
          <cell r="P25">
            <v>26.9</v>
          </cell>
        </row>
        <row r="26">
          <cell r="P26">
            <v>26.3</v>
          </cell>
        </row>
        <row r="27">
          <cell r="P27">
            <v>25.8</v>
          </cell>
        </row>
      </sheetData>
      <sheetData sheetId="8"/>
      <sheetData sheetId="9">
        <row r="10">
          <cell r="P10">
            <v>23.8</v>
          </cell>
        </row>
        <row r="11">
          <cell r="P11">
            <v>24.3</v>
          </cell>
        </row>
        <row r="12">
          <cell r="P12">
            <v>25.7</v>
          </cell>
        </row>
        <row r="13">
          <cell r="P13">
            <v>27.1</v>
          </cell>
        </row>
        <row r="14">
          <cell r="P14">
            <v>29.7</v>
          </cell>
        </row>
        <row r="15">
          <cell r="P15">
            <v>31.6</v>
          </cell>
        </row>
        <row r="16">
          <cell r="P16">
            <v>32.1</v>
          </cell>
        </row>
        <row r="17">
          <cell r="P17">
            <v>28.8</v>
          </cell>
        </row>
        <row r="18">
          <cell r="P18">
            <v>26</v>
          </cell>
        </row>
        <row r="19">
          <cell r="P19">
            <v>24.8</v>
          </cell>
        </row>
        <row r="20">
          <cell r="P20">
            <v>24.6</v>
          </cell>
        </row>
        <row r="21">
          <cell r="P21">
            <v>24.6</v>
          </cell>
        </row>
        <row r="22">
          <cell r="P22">
            <v>24.4</v>
          </cell>
        </row>
        <row r="23">
          <cell r="P23">
            <v>24.2</v>
          </cell>
        </row>
        <row r="24">
          <cell r="P24">
            <v>23.8</v>
          </cell>
        </row>
        <row r="25">
          <cell r="P25">
            <v>23.6</v>
          </cell>
        </row>
        <row r="26">
          <cell r="P26">
            <v>23.2</v>
          </cell>
        </row>
        <row r="27">
          <cell r="P27">
            <v>23</v>
          </cell>
        </row>
      </sheetData>
      <sheetData sheetId="10"/>
      <sheetData sheetId="11">
        <row r="10">
          <cell r="P10">
            <v>21.3</v>
          </cell>
        </row>
        <row r="11">
          <cell r="P11">
            <v>22.5</v>
          </cell>
        </row>
        <row r="12">
          <cell r="P12">
            <v>24.7</v>
          </cell>
        </row>
        <row r="13">
          <cell r="P13">
            <v>27</v>
          </cell>
        </row>
        <row r="14">
          <cell r="P14">
            <v>29.3</v>
          </cell>
        </row>
        <row r="15">
          <cell r="P15">
            <v>31.5</v>
          </cell>
        </row>
        <row r="16">
          <cell r="P16">
            <v>33.299999999999997</v>
          </cell>
        </row>
        <row r="17">
          <cell r="P17">
            <v>35.4</v>
          </cell>
        </row>
        <row r="18">
          <cell r="P18">
            <v>35.700000000000003</v>
          </cell>
        </row>
        <row r="19">
          <cell r="P19">
            <v>33</v>
          </cell>
        </row>
        <row r="20">
          <cell r="P20">
            <v>30.6</v>
          </cell>
        </row>
        <row r="21">
          <cell r="P21">
            <v>28.6</v>
          </cell>
        </row>
        <row r="22">
          <cell r="P22">
            <v>27</v>
          </cell>
        </row>
        <row r="23">
          <cell r="P23">
            <v>26</v>
          </cell>
        </row>
        <row r="24">
          <cell r="P24">
            <v>24.2</v>
          </cell>
        </row>
        <row r="25">
          <cell r="P25">
            <v>24</v>
          </cell>
        </row>
        <row r="26">
          <cell r="P26">
            <v>24</v>
          </cell>
        </row>
        <row r="27">
          <cell r="P27">
            <v>24</v>
          </cell>
        </row>
      </sheetData>
      <sheetData sheetId="12"/>
      <sheetData sheetId="13">
        <row r="10">
          <cell r="P10">
            <v>22.4</v>
          </cell>
        </row>
        <row r="11">
          <cell r="P11">
            <v>23.7</v>
          </cell>
        </row>
        <row r="12">
          <cell r="P12">
            <v>25.8</v>
          </cell>
        </row>
        <row r="13">
          <cell r="P13">
            <v>27.7</v>
          </cell>
        </row>
        <row r="14">
          <cell r="P14">
            <v>29.7</v>
          </cell>
        </row>
        <row r="15">
          <cell r="P15">
            <v>32.1</v>
          </cell>
        </row>
        <row r="16">
          <cell r="P16">
            <v>34.200000000000003</v>
          </cell>
        </row>
        <row r="17">
          <cell r="P17">
            <v>35.200000000000003</v>
          </cell>
        </row>
        <row r="18">
          <cell r="P18">
            <v>34.9</v>
          </cell>
        </row>
        <row r="19">
          <cell r="P19">
            <v>34.9</v>
          </cell>
        </row>
        <row r="20">
          <cell r="P20">
            <v>29.8</v>
          </cell>
        </row>
        <row r="21">
          <cell r="P21">
            <v>27.7</v>
          </cell>
        </row>
        <row r="22">
          <cell r="P22">
            <v>26.7</v>
          </cell>
        </row>
        <row r="23">
          <cell r="P23">
            <v>25.9</v>
          </cell>
        </row>
        <row r="24">
          <cell r="P24">
            <v>25.3</v>
          </cell>
        </row>
        <row r="25">
          <cell r="P25">
            <v>24.9</v>
          </cell>
        </row>
        <row r="26">
          <cell r="P26">
            <v>24.4</v>
          </cell>
        </row>
        <row r="27">
          <cell r="P27">
            <v>24.2</v>
          </cell>
        </row>
      </sheetData>
      <sheetData sheetId="14"/>
      <sheetData sheetId="15">
        <row r="10">
          <cell r="P10">
            <v>21.9</v>
          </cell>
        </row>
        <row r="11">
          <cell r="P11">
            <v>23.1</v>
          </cell>
        </row>
        <row r="12">
          <cell r="P12">
            <v>25.2</v>
          </cell>
        </row>
        <row r="13">
          <cell r="P13">
            <v>27.6</v>
          </cell>
        </row>
        <row r="14">
          <cell r="P14">
            <v>29.6</v>
          </cell>
        </row>
        <row r="15">
          <cell r="P15">
            <v>31.4</v>
          </cell>
        </row>
        <row r="16">
          <cell r="P16">
            <v>33.4</v>
          </cell>
        </row>
        <row r="17">
          <cell r="P17">
            <v>34.4</v>
          </cell>
        </row>
        <row r="18">
          <cell r="P18">
            <v>33.4</v>
          </cell>
        </row>
        <row r="19">
          <cell r="P19">
            <v>29</v>
          </cell>
        </row>
        <row r="20">
          <cell r="P20">
            <v>27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25</v>
          </cell>
        </row>
        <row r="24">
          <cell r="P24">
            <v>25</v>
          </cell>
        </row>
        <row r="25">
          <cell r="P25">
            <v>24</v>
          </cell>
        </row>
        <row r="26">
          <cell r="P26">
            <v>23</v>
          </cell>
        </row>
        <row r="27">
          <cell r="P27">
            <v>23</v>
          </cell>
        </row>
      </sheetData>
      <sheetData sheetId="16"/>
      <sheetData sheetId="17">
        <row r="10">
          <cell r="P10">
            <v>22</v>
          </cell>
        </row>
        <row r="11">
          <cell r="P11">
            <v>23</v>
          </cell>
        </row>
        <row r="12">
          <cell r="P12">
            <v>24.8</v>
          </cell>
        </row>
        <row r="13">
          <cell r="P13">
            <v>27</v>
          </cell>
        </row>
        <row r="14">
          <cell r="P14">
            <v>29.4</v>
          </cell>
        </row>
        <row r="15">
          <cell r="P15">
            <v>31</v>
          </cell>
        </row>
        <row r="16">
          <cell r="P16">
            <v>32</v>
          </cell>
        </row>
        <row r="17">
          <cell r="P17">
            <v>32</v>
          </cell>
        </row>
        <row r="18">
          <cell r="P18">
            <v>32.5</v>
          </cell>
        </row>
        <row r="19">
          <cell r="P19">
            <v>29.9</v>
          </cell>
        </row>
        <row r="20">
          <cell r="P20">
            <v>30.8</v>
          </cell>
        </row>
        <row r="21">
          <cell r="P21">
            <v>29.3</v>
          </cell>
        </row>
        <row r="22">
          <cell r="P22">
            <v>28.1</v>
          </cell>
        </row>
        <row r="23">
          <cell r="P23">
            <v>27.3</v>
          </cell>
        </row>
        <row r="24">
          <cell r="P24">
            <v>26.6</v>
          </cell>
        </row>
        <row r="25">
          <cell r="P25">
            <v>26.3</v>
          </cell>
        </row>
        <row r="26">
          <cell r="P26">
            <v>25.8</v>
          </cell>
        </row>
        <row r="27">
          <cell r="P27">
            <v>24.9</v>
          </cell>
        </row>
      </sheetData>
      <sheetData sheetId="18"/>
      <sheetData sheetId="19">
        <row r="10">
          <cell r="P10">
            <v>22.5</v>
          </cell>
        </row>
        <row r="11">
          <cell r="P11">
            <v>23.4</v>
          </cell>
        </row>
        <row r="12">
          <cell r="P12">
            <v>24.5</v>
          </cell>
        </row>
        <row r="13">
          <cell r="P13">
            <v>27.3</v>
          </cell>
        </row>
        <row r="14">
          <cell r="P14">
            <v>30.2</v>
          </cell>
        </row>
        <row r="15">
          <cell r="P15">
            <v>32.5</v>
          </cell>
        </row>
        <row r="16">
          <cell r="P16">
            <v>33.4</v>
          </cell>
        </row>
        <row r="17">
          <cell r="P17">
            <v>33.4</v>
          </cell>
        </row>
        <row r="18">
          <cell r="P18">
            <v>34</v>
          </cell>
        </row>
        <row r="19">
          <cell r="P19">
            <v>32.799999999999997</v>
          </cell>
        </row>
        <row r="20">
          <cell r="P20">
            <v>29.8</v>
          </cell>
        </row>
        <row r="21">
          <cell r="P21">
            <v>29.2</v>
          </cell>
        </row>
        <row r="22">
          <cell r="P22">
            <v>28.1</v>
          </cell>
        </row>
        <row r="23">
          <cell r="P23">
            <v>27.2</v>
          </cell>
        </row>
        <row r="24">
          <cell r="P24">
            <v>26.4</v>
          </cell>
        </row>
        <row r="25">
          <cell r="P25">
            <v>25.8</v>
          </cell>
        </row>
        <row r="26">
          <cell r="P26">
            <v>25.2</v>
          </cell>
        </row>
        <row r="27">
          <cell r="P27">
            <v>24.7</v>
          </cell>
        </row>
      </sheetData>
      <sheetData sheetId="20"/>
      <sheetData sheetId="21">
        <row r="10">
          <cell r="P10">
            <v>22.7</v>
          </cell>
        </row>
        <row r="11">
          <cell r="P11">
            <v>23.4</v>
          </cell>
        </row>
        <row r="12">
          <cell r="P12">
            <v>25.2</v>
          </cell>
        </row>
        <row r="13">
          <cell r="P13">
            <v>27.5</v>
          </cell>
        </row>
        <row r="14">
          <cell r="P14">
            <v>29.5</v>
          </cell>
        </row>
        <row r="15">
          <cell r="P15">
            <v>31.7</v>
          </cell>
        </row>
        <row r="16">
          <cell r="P16">
            <v>33.799999999999997</v>
          </cell>
        </row>
        <row r="17">
          <cell r="P17">
            <v>35.6</v>
          </cell>
        </row>
        <row r="18">
          <cell r="P18">
            <v>36.200000000000003</v>
          </cell>
        </row>
        <row r="19">
          <cell r="P19">
            <v>35.799999999999997</v>
          </cell>
        </row>
        <row r="20">
          <cell r="P20">
            <v>33</v>
          </cell>
        </row>
        <row r="21">
          <cell r="P21">
            <v>32</v>
          </cell>
        </row>
        <row r="22">
          <cell r="P22">
            <v>30</v>
          </cell>
        </row>
        <row r="23">
          <cell r="P23">
            <v>28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23</v>
          </cell>
        </row>
        <row r="27">
          <cell r="P27">
            <v>24</v>
          </cell>
        </row>
      </sheetData>
      <sheetData sheetId="22"/>
      <sheetData sheetId="23">
        <row r="10">
          <cell r="P10">
            <v>23.5</v>
          </cell>
        </row>
        <row r="11">
          <cell r="P11">
            <v>23.3</v>
          </cell>
        </row>
        <row r="12">
          <cell r="P12">
            <v>23.7</v>
          </cell>
        </row>
        <row r="13">
          <cell r="P13">
            <v>24</v>
          </cell>
        </row>
        <row r="14">
          <cell r="P14">
            <v>24.6</v>
          </cell>
        </row>
        <row r="15">
          <cell r="P15">
            <v>25.6</v>
          </cell>
        </row>
        <row r="16">
          <cell r="P16">
            <v>27.2</v>
          </cell>
        </row>
        <row r="17">
          <cell r="P17">
            <v>27.7</v>
          </cell>
        </row>
        <row r="18">
          <cell r="P18">
            <v>29.2</v>
          </cell>
        </row>
        <row r="19">
          <cell r="P19">
            <v>30</v>
          </cell>
        </row>
        <row r="20">
          <cell r="P20">
            <v>29.4</v>
          </cell>
        </row>
        <row r="21">
          <cell r="P21">
            <v>28.9</v>
          </cell>
        </row>
        <row r="22">
          <cell r="P22">
            <v>27</v>
          </cell>
        </row>
        <row r="23">
          <cell r="P23">
            <v>26.4</v>
          </cell>
        </row>
        <row r="24">
          <cell r="P24">
            <v>26</v>
          </cell>
        </row>
        <row r="25">
          <cell r="P25">
            <v>25.2</v>
          </cell>
        </row>
        <row r="26">
          <cell r="P26">
            <v>25</v>
          </cell>
        </row>
        <row r="27">
          <cell r="P27">
            <v>24</v>
          </cell>
        </row>
      </sheetData>
      <sheetData sheetId="24"/>
      <sheetData sheetId="25">
        <row r="10">
          <cell r="P10">
            <v>22.1</v>
          </cell>
        </row>
        <row r="11">
          <cell r="P11">
            <v>22.3</v>
          </cell>
        </row>
        <row r="12">
          <cell r="P12">
            <v>21.1</v>
          </cell>
        </row>
        <row r="13">
          <cell r="P13">
            <v>24.2</v>
          </cell>
        </row>
        <row r="14">
          <cell r="P14">
            <v>25.6</v>
          </cell>
        </row>
        <row r="15">
          <cell r="P15">
            <v>26.3</v>
          </cell>
        </row>
        <row r="16">
          <cell r="P16">
            <v>28.1</v>
          </cell>
        </row>
        <row r="17">
          <cell r="P17">
            <v>30.4</v>
          </cell>
        </row>
        <row r="18">
          <cell r="P18">
            <v>31.1</v>
          </cell>
        </row>
        <row r="19">
          <cell r="P19">
            <v>30.4</v>
          </cell>
        </row>
        <row r="20">
          <cell r="P20">
            <v>26.8</v>
          </cell>
        </row>
        <row r="21">
          <cell r="P21">
            <v>27.4</v>
          </cell>
        </row>
        <row r="22">
          <cell r="P22">
            <v>26.4</v>
          </cell>
        </row>
        <row r="23">
          <cell r="P23">
            <v>25.6</v>
          </cell>
        </row>
        <row r="24">
          <cell r="P24">
            <v>25</v>
          </cell>
        </row>
        <row r="25">
          <cell r="P25">
            <v>24.6</v>
          </cell>
        </row>
        <row r="26">
          <cell r="P26">
            <v>24.4</v>
          </cell>
        </row>
        <row r="27">
          <cell r="P27">
            <v>24</v>
          </cell>
        </row>
      </sheetData>
      <sheetData sheetId="26"/>
      <sheetData sheetId="27">
        <row r="10">
          <cell r="P10">
            <v>22.74</v>
          </cell>
        </row>
        <row r="11">
          <cell r="P11">
            <v>23.2</v>
          </cell>
        </row>
        <row r="12">
          <cell r="P12">
            <v>24.3</v>
          </cell>
        </row>
        <row r="13">
          <cell r="P13">
            <v>25.3</v>
          </cell>
        </row>
        <row r="14">
          <cell r="P14">
            <v>27.2</v>
          </cell>
        </row>
        <row r="15">
          <cell r="P15">
            <v>28.6</v>
          </cell>
        </row>
        <row r="16">
          <cell r="P16">
            <v>29.1</v>
          </cell>
        </row>
        <row r="17">
          <cell r="P17">
            <v>29.4</v>
          </cell>
        </row>
        <row r="18">
          <cell r="P18">
            <v>29.6</v>
          </cell>
        </row>
        <row r="19">
          <cell r="P19">
            <v>29.2</v>
          </cell>
        </row>
        <row r="20">
          <cell r="P20">
            <v>26.9</v>
          </cell>
        </row>
        <row r="21">
          <cell r="P21">
            <v>25</v>
          </cell>
        </row>
        <row r="22">
          <cell r="P22">
            <v>24.6</v>
          </cell>
        </row>
        <row r="23">
          <cell r="P23">
            <v>24.2</v>
          </cell>
        </row>
        <row r="24">
          <cell r="P24">
            <v>24</v>
          </cell>
        </row>
        <row r="25">
          <cell r="P25">
            <v>23.8</v>
          </cell>
        </row>
        <row r="26">
          <cell r="P26">
            <v>23.6</v>
          </cell>
        </row>
        <row r="27">
          <cell r="P27">
            <v>23.5</v>
          </cell>
        </row>
      </sheetData>
      <sheetData sheetId="28"/>
      <sheetData sheetId="29">
        <row r="10">
          <cell r="P10">
            <v>23</v>
          </cell>
        </row>
        <row r="11">
          <cell r="P11">
            <v>23</v>
          </cell>
        </row>
        <row r="12">
          <cell r="P12">
            <v>23.6</v>
          </cell>
        </row>
        <row r="13">
          <cell r="P13">
            <v>24.6</v>
          </cell>
        </row>
        <row r="14">
          <cell r="P14">
            <v>26.6</v>
          </cell>
        </row>
        <row r="15">
          <cell r="P15">
            <v>28.2</v>
          </cell>
        </row>
        <row r="16">
          <cell r="P16">
            <v>25.6</v>
          </cell>
        </row>
        <row r="17">
          <cell r="P17">
            <v>26.2</v>
          </cell>
        </row>
        <row r="18">
          <cell r="P18">
            <v>25.6</v>
          </cell>
        </row>
        <row r="19">
          <cell r="P19">
            <v>25.2</v>
          </cell>
        </row>
        <row r="20">
          <cell r="P20">
            <v>24.7</v>
          </cell>
        </row>
        <row r="21">
          <cell r="P21">
            <v>24.5</v>
          </cell>
        </row>
        <row r="22">
          <cell r="P22">
            <v>24.1</v>
          </cell>
        </row>
        <row r="23">
          <cell r="P23">
            <v>23.7</v>
          </cell>
        </row>
        <row r="24">
          <cell r="P24">
            <v>23.6</v>
          </cell>
        </row>
        <row r="25">
          <cell r="P25">
            <v>23.5</v>
          </cell>
        </row>
        <row r="26">
          <cell r="P26">
            <v>23.3</v>
          </cell>
        </row>
        <row r="27">
          <cell r="P27">
            <v>23.1</v>
          </cell>
        </row>
      </sheetData>
      <sheetData sheetId="30"/>
      <sheetData sheetId="31">
        <row r="10">
          <cell r="P10">
            <v>22</v>
          </cell>
        </row>
        <row r="11">
          <cell r="P11">
            <v>22.4</v>
          </cell>
        </row>
        <row r="12">
          <cell r="P12">
            <v>23.4</v>
          </cell>
        </row>
        <row r="13">
          <cell r="P13">
            <v>24.2</v>
          </cell>
        </row>
        <row r="14">
          <cell r="P14">
            <v>25.2</v>
          </cell>
        </row>
        <row r="15">
          <cell r="P15">
            <v>25.4</v>
          </cell>
        </row>
        <row r="16">
          <cell r="P16">
            <v>28</v>
          </cell>
        </row>
        <row r="17">
          <cell r="P17">
            <v>29.2</v>
          </cell>
        </row>
        <row r="18">
          <cell r="P18">
            <v>29.4</v>
          </cell>
        </row>
        <row r="19">
          <cell r="P19">
            <v>28.7</v>
          </cell>
        </row>
        <row r="20">
          <cell r="P20">
            <v>26.8</v>
          </cell>
        </row>
        <row r="21">
          <cell r="P21">
            <v>25.8</v>
          </cell>
        </row>
        <row r="22">
          <cell r="P22">
            <v>25.3</v>
          </cell>
        </row>
        <row r="23">
          <cell r="P23">
            <v>24.7</v>
          </cell>
        </row>
        <row r="24">
          <cell r="P24">
            <v>24.4</v>
          </cell>
        </row>
        <row r="25">
          <cell r="P25">
            <v>24</v>
          </cell>
        </row>
        <row r="26">
          <cell r="P26">
            <v>23.7</v>
          </cell>
        </row>
        <row r="27">
          <cell r="P27">
            <v>23.5</v>
          </cell>
        </row>
      </sheetData>
      <sheetData sheetId="32"/>
      <sheetData sheetId="33">
        <row r="10">
          <cell r="P10">
            <v>22.4</v>
          </cell>
        </row>
        <row r="11">
          <cell r="P11">
            <v>22.9</v>
          </cell>
        </row>
        <row r="12">
          <cell r="P12">
            <v>24.3</v>
          </cell>
        </row>
        <row r="13">
          <cell r="P13">
            <v>26.6</v>
          </cell>
        </row>
        <row r="14">
          <cell r="P14">
            <v>28.9</v>
          </cell>
        </row>
        <row r="15">
          <cell r="P15">
            <v>29.2</v>
          </cell>
        </row>
        <row r="16">
          <cell r="P16">
            <v>29.6</v>
          </cell>
        </row>
        <row r="17">
          <cell r="P17">
            <v>28.6</v>
          </cell>
        </row>
        <row r="18">
          <cell r="P18">
            <v>27.2</v>
          </cell>
        </row>
        <row r="19">
          <cell r="P19">
            <v>26.2</v>
          </cell>
        </row>
        <row r="20">
          <cell r="P20">
            <v>25.5</v>
          </cell>
        </row>
        <row r="21">
          <cell r="P21">
            <v>25</v>
          </cell>
        </row>
        <row r="22">
          <cell r="P22">
            <v>24.5</v>
          </cell>
        </row>
        <row r="23">
          <cell r="P23">
            <v>24</v>
          </cell>
        </row>
        <row r="24">
          <cell r="P24">
            <v>23.8</v>
          </cell>
        </row>
        <row r="25">
          <cell r="P25">
            <v>23.5</v>
          </cell>
        </row>
        <row r="26">
          <cell r="P26">
            <v>23.5</v>
          </cell>
        </row>
        <row r="27">
          <cell r="P27">
            <v>23.5</v>
          </cell>
        </row>
      </sheetData>
      <sheetData sheetId="34"/>
      <sheetData sheetId="35">
        <row r="10">
          <cell r="P10">
            <v>22.6</v>
          </cell>
        </row>
        <row r="11">
          <cell r="P11">
            <v>23.6</v>
          </cell>
        </row>
        <row r="12">
          <cell r="P12">
            <v>24.4</v>
          </cell>
        </row>
        <row r="13">
          <cell r="P13">
            <v>26.8</v>
          </cell>
        </row>
        <row r="14">
          <cell r="P14">
            <v>28.6</v>
          </cell>
        </row>
        <row r="15">
          <cell r="P15">
            <v>29</v>
          </cell>
        </row>
        <row r="16">
          <cell r="P16">
            <v>29.8</v>
          </cell>
        </row>
        <row r="17">
          <cell r="P17">
            <v>30.2</v>
          </cell>
        </row>
        <row r="18">
          <cell r="P18">
            <v>29.4</v>
          </cell>
        </row>
        <row r="19">
          <cell r="P19">
            <v>29.5</v>
          </cell>
        </row>
        <row r="20">
          <cell r="P20">
            <v>28.9</v>
          </cell>
        </row>
        <row r="21">
          <cell r="P21">
            <v>27.8</v>
          </cell>
        </row>
        <row r="22">
          <cell r="P22">
            <v>26.9</v>
          </cell>
        </row>
        <row r="23">
          <cell r="P23">
            <v>26.1</v>
          </cell>
        </row>
        <row r="24">
          <cell r="P24">
            <v>25.5</v>
          </cell>
        </row>
        <row r="25">
          <cell r="P25">
            <v>25.1</v>
          </cell>
        </row>
        <row r="26">
          <cell r="P26">
            <v>24.6</v>
          </cell>
        </row>
        <row r="27">
          <cell r="P27">
            <v>24.3</v>
          </cell>
        </row>
      </sheetData>
      <sheetData sheetId="36"/>
      <sheetData sheetId="37">
        <row r="10">
          <cell r="P10">
            <v>23.1</v>
          </cell>
        </row>
        <row r="11">
          <cell r="P11">
            <v>23.6</v>
          </cell>
        </row>
        <row r="12">
          <cell r="P12">
            <v>24.6</v>
          </cell>
        </row>
        <row r="13">
          <cell r="P13">
            <v>27.1</v>
          </cell>
        </row>
        <row r="14">
          <cell r="P14">
            <v>29.4</v>
          </cell>
        </row>
        <row r="15">
          <cell r="P15">
            <v>32</v>
          </cell>
        </row>
        <row r="16">
          <cell r="P16">
            <v>32.799999999999997</v>
          </cell>
        </row>
        <row r="17">
          <cell r="P17">
            <v>33.5</v>
          </cell>
        </row>
        <row r="18">
          <cell r="P18">
            <v>34.5</v>
          </cell>
        </row>
        <row r="19">
          <cell r="P19">
            <v>34</v>
          </cell>
        </row>
        <row r="20">
          <cell r="P20">
            <v>32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27.6</v>
          </cell>
        </row>
        <row r="24">
          <cell r="P24">
            <v>26.6</v>
          </cell>
        </row>
        <row r="25">
          <cell r="P25">
            <v>26</v>
          </cell>
        </row>
        <row r="26">
          <cell r="P26">
            <v>26</v>
          </cell>
        </row>
        <row r="27">
          <cell r="P27">
            <v>25</v>
          </cell>
        </row>
      </sheetData>
      <sheetData sheetId="38"/>
      <sheetData sheetId="39">
        <row r="10">
          <cell r="P10">
            <v>23.4</v>
          </cell>
        </row>
        <row r="11">
          <cell r="P11">
            <v>24.2</v>
          </cell>
        </row>
        <row r="12">
          <cell r="P12">
            <v>25.4</v>
          </cell>
        </row>
        <row r="13">
          <cell r="P13">
            <v>26.4</v>
          </cell>
        </row>
        <row r="14">
          <cell r="P14">
            <v>28.2</v>
          </cell>
        </row>
        <row r="15">
          <cell r="P15">
            <v>29.8</v>
          </cell>
        </row>
        <row r="16">
          <cell r="P16">
            <v>31</v>
          </cell>
        </row>
        <row r="17">
          <cell r="P17">
            <v>32</v>
          </cell>
        </row>
        <row r="18">
          <cell r="P18">
            <v>31.2</v>
          </cell>
        </row>
        <row r="19">
          <cell r="P19">
            <v>29.5</v>
          </cell>
        </row>
        <row r="20">
          <cell r="P20">
            <v>28.4</v>
          </cell>
        </row>
        <row r="21">
          <cell r="P21">
            <v>25.3</v>
          </cell>
        </row>
        <row r="22">
          <cell r="P22">
            <v>27.4</v>
          </cell>
        </row>
        <row r="23">
          <cell r="P23">
            <v>25.8</v>
          </cell>
        </row>
        <row r="24">
          <cell r="P24">
            <v>25.2</v>
          </cell>
        </row>
        <row r="25">
          <cell r="P25">
            <v>24.8</v>
          </cell>
        </row>
        <row r="26">
          <cell r="P26">
            <v>24.4</v>
          </cell>
        </row>
        <row r="27">
          <cell r="P27">
            <v>24</v>
          </cell>
        </row>
      </sheetData>
      <sheetData sheetId="40"/>
      <sheetData sheetId="41">
        <row r="10">
          <cell r="P10">
            <v>22</v>
          </cell>
        </row>
        <row r="11">
          <cell r="P11">
            <v>22</v>
          </cell>
        </row>
        <row r="12">
          <cell r="P12">
            <v>22</v>
          </cell>
        </row>
        <row r="13">
          <cell r="P13">
            <v>22.6</v>
          </cell>
        </row>
        <row r="14">
          <cell r="P14">
            <v>22.6</v>
          </cell>
        </row>
        <row r="15">
          <cell r="P15">
            <v>22.6</v>
          </cell>
        </row>
        <row r="16">
          <cell r="P16">
            <v>23</v>
          </cell>
        </row>
        <row r="17">
          <cell r="P17">
            <v>22.6</v>
          </cell>
        </row>
        <row r="18">
          <cell r="P18">
            <v>22.4</v>
          </cell>
        </row>
        <row r="19">
          <cell r="P19">
            <v>22.4</v>
          </cell>
        </row>
        <row r="20">
          <cell r="P20">
            <v>22.1</v>
          </cell>
        </row>
        <row r="21">
          <cell r="P21">
            <v>21.9</v>
          </cell>
        </row>
        <row r="22">
          <cell r="P22">
            <v>21.4</v>
          </cell>
        </row>
        <row r="23">
          <cell r="P23">
            <v>21</v>
          </cell>
        </row>
        <row r="24">
          <cell r="P24">
            <v>21.8</v>
          </cell>
        </row>
        <row r="25">
          <cell r="P25">
            <v>20.7</v>
          </cell>
        </row>
        <row r="26">
          <cell r="P26">
            <v>20.399999999999999</v>
          </cell>
        </row>
        <row r="27">
          <cell r="P27">
            <v>20.100000000000001</v>
          </cell>
        </row>
      </sheetData>
      <sheetData sheetId="42"/>
      <sheetData sheetId="43">
        <row r="10">
          <cell r="P10">
            <v>18.8</v>
          </cell>
        </row>
        <row r="11">
          <cell r="P11">
            <v>19.399999999999999</v>
          </cell>
        </row>
        <row r="12">
          <cell r="P12">
            <v>20.7</v>
          </cell>
        </row>
        <row r="13">
          <cell r="P13">
            <v>21.4</v>
          </cell>
        </row>
        <row r="14">
          <cell r="P14">
            <v>22.8</v>
          </cell>
        </row>
        <row r="15">
          <cell r="P15">
            <v>24.4</v>
          </cell>
        </row>
        <row r="16">
          <cell r="P16">
            <v>25.2</v>
          </cell>
        </row>
        <row r="17">
          <cell r="P17">
            <v>25.4</v>
          </cell>
        </row>
        <row r="18">
          <cell r="P18">
            <v>24.8</v>
          </cell>
        </row>
        <row r="19">
          <cell r="P19">
            <v>24</v>
          </cell>
        </row>
        <row r="20">
          <cell r="P20">
            <v>23.4</v>
          </cell>
        </row>
        <row r="21">
          <cell r="P21">
            <v>22.5</v>
          </cell>
        </row>
        <row r="22">
          <cell r="P22">
            <v>22</v>
          </cell>
        </row>
        <row r="23">
          <cell r="P23">
            <v>21.3</v>
          </cell>
        </row>
        <row r="24">
          <cell r="P24">
            <v>20.9</v>
          </cell>
        </row>
        <row r="25">
          <cell r="P25">
            <v>20.6</v>
          </cell>
        </row>
        <row r="26">
          <cell r="P26">
            <v>20.2</v>
          </cell>
        </row>
        <row r="27">
          <cell r="P27">
            <v>19.8</v>
          </cell>
        </row>
      </sheetData>
      <sheetData sheetId="44"/>
      <sheetData sheetId="45">
        <row r="10">
          <cell r="P10">
            <v>18.2</v>
          </cell>
        </row>
        <row r="11">
          <cell r="P11">
            <v>19</v>
          </cell>
        </row>
        <row r="12">
          <cell r="P12">
            <v>20.8</v>
          </cell>
        </row>
        <row r="13">
          <cell r="P13">
            <v>22.8</v>
          </cell>
        </row>
        <row r="14">
          <cell r="P14">
            <v>24.8</v>
          </cell>
        </row>
        <row r="15">
          <cell r="P15">
            <v>26.8</v>
          </cell>
        </row>
        <row r="16">
          <cell r="P16">
            <v>29.6</v>
          </cell>
        </row>
        <row r="17">
          <cell r="P17">
            <v>29.8</v>
          </cell>
        </row>
        <row r="18">
          <cell r="P18">
            <v>30.2</v>
          </cell>
        </row>
        <row r="19">
          <cell r="P19">
            <v>29.6</v>
          </cell>
        </row>
        <row r="20">
          <cell r="P20">
            <v>28.2</v>
          </cell>
        </row>
        <row r="21">
          <cell r="P21">
            <v>26</v>
          </cell>
        </row>
        <row r="22">
          <cell r="P22">
            <v>24.5</v>
          </cell>
        </row>
        <row r="23">
          <cell r="P23">
            <v>23.7</v>
          </cell>
        </row>
        <row r="24">
          <cell r="P24">
            <v>23.1</v>
          </cell>
        </row>
        <row r="25">
          <cell r="P25">
            <v>22.7</v>
          </cell>
        </row>
        <row r="26">
          <cell r="P26">
            <v>22.4</v>
          </cell>
        </row>
        <row r="27">
          <cell r="P27">
            <v>21.8</v>
          </cell>
        </row>
      </sheetData>
      <sheetData sheetId="46"/>
      <sheetData sheetId="47">
        <row r="10">
          <cell r="P10">
            <v>19.600000000000001</v>
          </cell>
        </row>
        <row r="11">
          <cell r="P11">
            <v>20.100000000000001</v>
          </cell>
        </row>
        <row r="12">
          <cell r="P12">
            <v>21.8</v>
          </cell>
        </row>
        <row r="13">
          <cell r="P13">
            <v>24.4</v>
          </cell>
        </row>
        <row r="14">
          <cell r="P14">
            <v>27.6</v>
          </cell>
        </row>
        <row r="15">
          <cell r="P15">
            <v>30.2</v>
          </cell>
        </row>
        <row r="16">
          <cell r="P16">
            <v>32.200000000000003</v>
          </cell>
        </row>
        <row r="17">
          <cell r="P17">
            <v>33.4</v>
          </cell>
        </row>
        <row r="18">
          <cell r="P18">
            <v>34.6</v>
          </cell>
        </row>
        <row r="19">
          <cell r="P19">
            <v>33.6</v>
          </cell>
        </row>
        <row r="20">
          <cell r="P20">
            <v>32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27.2</v>
          </cell>
        </row>
        <row r="24">
          <cell r="P24">
            <v>26</v>
          </cell>
        </row>
        <row r="25">
          <cell r="P25">
            <v>25.8</v>
          </cell>
        </row>
        <row r="26">
          <cell r="P26">
            <v>24.6</v>
          </cell>
        </row>
        <row r="27">
          <cell r="P27">
            <v>24</v>
          </cell>
        </row>
      </sheetData>
      <sheetData sheetId="48"/>
      <sheetData sheetId="49">
        <row r="10">
          <cell r="P10">
            <v>21.4</v>
          </cell>
        </row>
        <row r="11">
          <cell r="P11">
            <v>22.4</v>
          </cell>
        </row>
        <row r="12">
          <cell r="P12">
            <v>24</v>
          </cell>
        </row>
        <row r="13">
          <cell r="P13">
            <v>26.2</v>
          </cell>
        </row>
        <row r="14">
          <cell r="P14">
            <v>29</v>
          </cell>
        </row>
        <row r="15">
          <cell r="P15">
            <v>31.8</v>
          </cell>
        </row>
        <row r="16">
          <cell r="P16">
            <v>33.6</v>
          </cell>
        </row>
        <row r="17">
          <cell r="P17">
            <v>34.4</v>
          </cell>
        </row>
        <row r="18">
          <cell r="P18">
            <v>34.6</v>
          </cell>
        </row>
        <row r="19">
          <cell r="P19">
            <v>34.299999999999997</v>
          </cell>
        </row>
        <row r="20">
          <cell r="P20">
            <v>32.9</v>
          </cell>
        </row>
        <row r="21">
          <cell r="P21">
            <v>31.1</v>
          </cell>
        </row>
        <row r="22">
          <cell r="P22">
            <v>28.8</v>
          </cell>
        </row>
        <row r="23">
          <cell r="P23">
            <v>28.6</v>
          </cell>
        </row>
        <row r="24">
          <cell r="P24">
            <v>27.7</v>
          </cell>
        </row>
        <row r="25">
          <cell r="P25">
            <v>26.7</v>
          </cell>
        </row>
        <row r="26">
          <cell r="P26">
            <v>26.3</v>
          </cell>
        </row>
        <row r="27">
          <cell r="P27">
            <v>25.8</v>
          </cell>
        </row>
      </sheetData>
      <sheetData sheetId="50"/>
      <sheetData sheetId="51">
        <row r="10">
          <cell r="P10">
            <v>23.3</v>
          </cell>
        </row>
        <row r="11">
          <cell r="P11">
            <v>23.6</v>
          </cell>
        </row>
        <row r="12">
          <cell r="P12">
            <v>25.4</v>
          </cell>
        </row>
        <row r="13">
          <cell r="P13">
            <v>27.8</v>
          </cell>
        </row>
        <row r="14">
          <cell r="P14">
            <v>30.3</v>
          </cell>
        </row>
        <row r="15">
          <cell r="P15">
            <v>32.4</v>
          </cell>
        </row>
        <row r="16">
          <cell r="P16">
            <v>32.5</v>
          </cell>
        </row>
        <row r="17">
          <cell r="P17">
            <v>33</v>
          </cell>
        </row>
        <row r="18">
          <cell r="P18">
            <v>32.799999999999997</v>
          </cell>
        </row>
        <row r="19">
          <cell r="P19">
            <v>32.200000000000003</v>
          </cell>
        </row>
        <row r="20">
          <cell r="P20">
            <v>30.9</v>
          </cell>
        </row>
        <row r="21">
          <cell r="P21">
            <v>29.6</v>
          </cell>
        </row>
        <row r="22">
          <cell r="P22">
            <v>28.6</v>
          </cell>
        </row>
        <row r="23">
          <cell r="P23">
            <v>27.8</v>
          </cell>
        </row>
        <row r="24">
          <cell r="P24">
            <v>27.1</v>
          </cell>
        </row>
        <row r="25">
          <cell r="P25">
            <v>26.5</v>
          </cell>
        </row>
        <row r="26">
          <cell r="P26">
            <v>26</v>
          </cell>
        </row>
        <row r="27">
          <cell r="P27">
            <v>25.7</v>
          </cell>
        </row>
      </sheetData>
      <sheetData sheetId="52"/>
      <sheetData sheetId="53">
        <row r="10">
          <cell r="P10">
            <v>24</v>
          </cell>
        </row>
        <row r="11">
          <cell r="P11">
            <v>24.2</v>
          </cell>
        </row>
        <row r="12">
          <cell r="P12">
            <v>24.5</v>
          </cell>
        </row>
        <row r="13">
          <cell r="P13">
            <v>26.4</v>
          </cell>
        </row>
        <row r="14">
          <cell r="P14">
            <v>28.7</v>
          </cell>
        </row>
        <row r="15">
          <cell r="P15">
            <v>31.5</v>
          </cell>
        </row>
        <row r="16">
          <cell r="P16">
            <v>32.700000000000003</v>
          </cell>
        </row>
        <row r="17">
          <cell r="P17">
            <v>33.700000000000003</v>
          </cell>
        </row>
        <row r="18">
          <cell r="P18">
            <v>33.5</v>
          </cell>
        </row>
        <row r="19">
          <cell r="P19">
            <v>33</v>
          </cell>
        </row>
        <row r="20">
          <cell r="P20">
            <v>31</v>
          </cell>
        </row>
        <row r="21">
          <cell r="P21">
            <v>30</v>
          </cell>
        </row>
        <row r="22">
          <cell r="P22">
            <v>29</v>
          </cell>
        </row>
        <row r="23">
          <cell r="P23">
            <v>28</v>
          </cell>
        </row>
        <row r="24">
          <cell r="P24">
            <v>27</v>
          </cell>
        </row>
        <row r="25">
          <cell r="P25">
            <v>26.4</v>
          </cell>
        </row>
        <row r="26">
          <cell r="P26">
            <v>25.8</v>
          </cell>
        </row>
        <row r="27">
          <cell r="P27">
            <v>25.3</v>
          </cell>
        </row>
      </sheetData>
      <sheetData sheetId="54"/>
      <sheetData sheetId="55">
        <row r="10">
          <cell r="P10">
            <v>23.6</v>
          </cell>
        </row>
        <row r="11">
          <cell r="P11">
            <v>23.8</v>
          </cell>
        </row>
        <row r="12">
          <cell r="P12">
            <v>24.2</v>
          </cell>
        </row>
        <row r="13">
          <cell r="P13">
            <v>25.2</v>
          </cell>
        </row>
        <row r="14">
          <cell r="P14">
            <v>25.8</v>
          </cell>
        </row>
        <row r="15">
          <cell r="P15">
            <v>26.2</v>
          </cell>
        </row>
        <row r="16">
          <cell r="P16">
            <v>27.4</v>
          </cell>
        </row>
        <row r="17">
          <cell r="P17">
            <v>27.9</v>
          </cell>
        </row>
        <row r="18">
          <cell r="P18">
            <v>28.3</v>
          </cell>
        </row>
        <row r="19">
          <cell r="P19">
            <v>27.6</v>
          </cell>
        </row>
        <row r="20">
          <cell r="P20">
            <v>27.4</v>
          </cell>
        </row>
        <row r="21">
          <cell r="P21">
            <v>26.6</v>
          </cell>
        </row>
        <row r="22">
          <cell r="P22">
            <v>26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23</v>
          </cell>
        </row>
        <row r="26">
          <cell r="P26">
            <v>23</v>
          </cell>
        </row>
        <row r="27">
          <cell r="P27">
            <v>23</v>
          </cell>
        </row>
      </sheetData>
      <sheetData sheetId="56"/>
      <sheetData sheetId="57">
        <row r="10">
          <cell r="P10">
            <v>22</v>
          </cell>
        </row>
        <row r="11">
          <cell r="P11">
            <v>22.6</v>
          </cell>
        </row>
        <row r="12">
          <cell r="P12">
            <v>22.9</v>
          </cell>
        </row>
        <row r="13">
          <cell r="P13">
            <v>24.2</v>
          </cell>
        </row>
        <row r="14">
          <cell r="P14">
            <v>27.8</v>
          </cell>
        </row>
        <row r="15">
          <cell r="P15">
            <v>28.3</v>
          </cell>
        </row>
        <row r="16">
          <cell r="P16">
            <v>30.8</v>
          </cell>
        </row>
        <row r="17">
          <cell r="P17">
            <v>30.4</v>
          </cell>
        </row>
        <row r="18">
          <cell r="P18">
            <v>30</v>
          </cell>
        </row>
        <row r="19">
          <cell r="P19">
            <v>29.8</v>
          </cell>
        </row>
        <row r="20">
          <cell r="P20">
            <v>28.8</v>
          </cell>
        </row>
        <row r="21">
          <cell r="P21">
            <v>27.6</v>
          </cell>
        </row>
        <row r="22">
          <cell r="P22">
            <v>26.7</v>
          </cell>
        </row>
        <row r="23">
          <cell r="P23">
            <v>25.9</v>
          </cell>
        </row>
        <row r="24">
          <cell r="P24">
            <v>25.2</v>
          </cell>
        </row>
        <row r="25">
          <cell r="P25">
            <v>24.7</v>
          </cell>
        </row>
        <row r="26">
          <cell r="P26">
            <v>24.3</v>
          </cell>
        </row>
        <row r="27">
          <cell r="P27">
            <v>23.9</v>
          </cell>
        </row>
      </sheetData>
      <sheetData sheetId="58"/>
      <sheetData sheetId="59">
        <row r="10">
          <cell r="P10">
            <v>22</v>
          </cell>
        </row>
        <row r="11">
          <cell r="P11">
            <v>22.6</v>
          </cell>
        </row>
        <row r="12">
          <cell r="P12">
            <v>24</v>
          </cell>
        </row>
        <row r="13">
          <cell r="P13">
            <v>25</v>
          </cell>
        </row>
        <row r="14">
          <cell r="P14">
            <v>26.8</v>
          </cell>
        </row>
        <row r="15">
          <cell r="P15">
            <v>28</v>
          </cell>
        </row>
        <row r="16">
          <cell r="P16">
            <v>28.6</v>
          </cell>
        </row>
        <row r="17">
          <cell r="P17">
            <v>30</v>
          </cell>
        </row>
        <row r="18">
          <cell r="P18">
            <v>31.2</v>
          </cell>
        </row>
        <row r="19">
          <cell r="P19">
            <v>30.7</v>
          </cell>
        </row>
        <row r="20">
          <cell r="P20">
            <v>29.6</v>
          </cell>
        </row>
        <row r="21">
          <cell r="P21">
            <v>28.4</v>
          </cell>
        </row>
        <row r="22">
          <cell r="P22">
            <v>27.4</v>
          </cell>
        </row>
        <row r="23">
          <cell r="P23">
            <v>26.6</v>
          </cell>
        </row>
        <row r="24">
          <cell r="P24">
            <v>26</v>
          </cell>
        </row>
        <row r="25">
          <cell r="P25">
            <v>25.6</v>
          </cell>
        </row>
        <row r="26">
          <cell r="P26">
            <v>25.3</v>
          </cell>
        </row>
        <row r="27">
          <cell r="P27">
            <v>24.9</v>
          </cell>
        </row>
      </sheetData>
      <sheetData sheetId="60"/>
      <sheetData sheetId="61">
        <row r="10">
          <cell r="P10">
            <v>22.2</v>
          </cell>
        </row>
        <row r="11">
          <cell r="P11">
            <v>23</v>
          </cell>
        </row>
        <row r="12">
          <cell r="P12">
            <v>24.8</v>
          </cell>
        </row>
        <row r="13">
          <cell r="P13">
            <v>27.4</v>
          </cell>
        </row>
        <row r="14">
          <cell r="P14">
            <v>30.4</v>
          </cell>
        </row>
        <row r="15">
          <cell r="P15">
            <v>33</v>
          </cell>
        </row>
        <row r="16">
          <cell r="P16">
            <v>34.4</v>
          </cell>
        </row>
        <row r="17">
          <cell r="P17">
            <v>36</v>
          </cell>
        </row>
        <row r="18">
          <cell r="P18">
            <v>36.799999999999997</v>
          </cell>
        </row>
        <row r="19">
          <cell r="P19">
            <v>35.9</v>
          </cell>
        </row>
        <row r="20">
          <cell r="P20">
            <v>33.9</v>
          </cell>
        </row>
        <row r="21">
          <cell r="P21">
            <v>32.200000000000003</v>
          </cell>
        </row>
        <row r="22">
          <cell r="P22">
            <v>30.8</v>
          </cell>
        </row>
        <row r="23">
          <cell r="P23">
            <v>29.6</v>
          </cell>
        </row>
        <row r="24">
          <cell r="P24">
            <v>28.9</v>
          </cell>
        </row>
        <row r="25">
          <cell r="P25">
            <v>28.3</v>
          </cell>
        </row>
        <row r="26">
          <cell r="P26">
            <v>27.3</v>
          </cell>
        </row>
        <row r="27">
          <cell r="P27">
            <v>26.7</v>
          </cell>
        </row>
      </sheetData>
      <sheetData sheetId="62"/>
      <sheetData sheetId="63">
        <row r="10">
          <cell r="P10">
            <v>23.7</v>
          </cell>
        </row>
        <row r="11">
          <cell r="P11">
            <v>24</v>
          </cell>
        </row>
        <row r="12">
          <cell r="P12">
            <v>24.6</v>
          </cell>
        </row>
        <row r="13">
          <cell r="P13">
            <v>25</v>
          </cell>
        </row>
        <row r="14">
          <cell r="P14">
            <v>25.4</v>
          </cell>
        </row>
        <row r="15">
          <cell r="P15">
            <v>25.5</v>
          </cell>
        </row>
        <row r="16">
          <cell r="P16">
            <v>25.4</v>
          </cell>
        </row>
        <row r="17">
          <cell r="P17">
            <v>24.9</v>
          </cell>
        </row>
        <row r="18">
          <cell r="P18">
            <v>24.4</v>
          </cell>
        </row>
        <row r="19">
          <cell r="P19">
            <v>24</v>
          </cell>
        </row>
        <row r="20">
          <cell r="P20">
            <v>23.8</v>
          </cell>
        </row>
        <row r="21">
          <cell r="P21">
            <v>23.1</v>
          </cell>
        </row>
        <row r="22">
          <cell r="P22">
            <v>22.6</v>
          </cell>
        </row>
        <row r="23">
          <cell r="P23">
            <v>22.2</v>
          </cell>
        </row>
        <row r="24">
          <cell r="P24">
            <v>21.9</v>
          </cell>
        </row>
        <row r="25">
          <cell r="P25">
            <v>21.8</v>
          </cell>
        </row>
        <row r="26">
          <cell r="P26">
            <v>21.3</v>
          </cell>
        </row>
        <row r="27">
          <cell r="P27">
            <v>21.1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20</v>
          </cell>
        </row>
        <row r="11">
          <cell r="P11">
            <v>20</v>
          </cell>
        </row>
        <row r="12">
          <cell r="P12">
            <v>20.399999999999999</v>
          </cell>
        </row>
        <row r="13">
          <cell r="P13">
            <v>20.6</v>
          </cell>
        </row>
        <row r="14">
          <cell r="P14">
            <v>21.4</v>
          </cell>
        </row>
        <row r="15">
          <cell r="P15">
            <v>22</v>
          </cell>
        </row>
        <row r="16">
          <cell r="P16">
            <v>22</v>
          </cell>
        </row>
        <row r="17">
          <cell r="P17">
            <v>22</v>
          </cell>
        </row>
        <row r="18">
          <cell r="P18">
            <v>22</v>
          </cell>
        </row>
        <row r="19">
          <cell r="P19">
            <v>21.6</v>
          </cell>
        </row>
        <row r="20">
          <cell r="P20">
            <v>21.3</v>
          </cell>
        </row>
        <row r="21">
          <cell r="P21">
            <v>21</v>
          </cell>
        </row>
        <row r="22">
          <cell r="P22">
            <v>20.6</v>
          </cell>
        </row>
        <row r="23">
          <cell r="P23">
            <v>20.399999999999999</v>
          </cell>
        </row>
        <row r="24">
          <cell r="P24">
            <v>20.2</v>
          </cell>
        </row>
        <row r="25">
          <cell r="P25">
            <v>20.100000000000001</v>
          </cell>
        </row>
        <row r="26">
          <cell r="P26">
            <v>20</v>
          </cell>
        </row>
        <row r="27">
          <cell r="P27">
            <v>19.899999999999999</v>
          </cell>
        </row>
      </sheetData>
      <sheetData sheetId="4">
        <row r="1">
          <cell r="C1" t="str">
            <v>ABRIL DE 2022</v>
          </cell>
        </row>
      </sheetData>
      <sheetData sheetId="5">
        <row r="10">
          <cell r="P10">
            <v>19.399999999999999</v>
          </cell>
        </row>
        <row r="11">
          <cell r="P11">
            <v>19.7</v>
          </cell>
        </row>
        <row r="12">
          <cell r="P12">
            <v>20.2</v>
          </cell>
        </row>
        <row r="13">
          <cell r="P13">
            <v>20.8</v>
          </cell>
        </row>
        <row r="14">
          <cell r="P14">
            <v>21.8</v>
          </cell>
        </row>
        <row r="15">
          <cell r="P15">
            <v>22.6</v>
          </cell>
        </row>
        <row r="16">
          <cell r="P16">
            <v>22.6</v>
          </cell>
        </row>
        <row r="17">
          <cell r="P17">
            <v>22.8</v>
          </cell>
        </row>
        <row r="18">
          <cell r="P18">
            <v>22.7</v>
          </cell>
        </row>
        <row r="19">
          <cell r="P19">
            <v>22.4</v>
          </cell>
        </row>
        <row r="20">
          <cell r="P20">
            <v>22.1</v>
          </cell>
        </row>
        <row r="21">
          <cell r="P21">
            <v>21.6</v>
          </cell>
        </row>
        <row r="22">
          <cell r="P22">
            <v>21.2</v>
          </cell>
        </row>
        <row r="23">
          <cell r="P23">
            <v>20.8</v>
          </cell>
        </row>
        <row r="24">
          <cell r="P24">
            <v>20.6</v>
          </cell>
        </row>
        <row r="25">
          <cell r="P25">
            <v>20.3</v>
          </cell>
        </row>
        <row r="26">
          <cell r="P26">
            <v>20.2</v>
          </cell>
        </row>
        <row r="27">
          <cell r="P27">
            <v>20.100000000000001</v>
          </cell>
        </row>
      </sheetData>
      <sheetData sheetId="6"/>
      <sheetData sheetId="7">
        <row r="10">
          <cell r="P10">
            <v>19.899999999999999</v>
          </cell>
        </row>
        <row r="11">
          <cell r="P11">
            <v>20.399999999999999</v>
          </cell>
        </row>
        <row r="12">
          <cell r="P12">
            <v>21.5</v>
          </cell>
        </row>
        <row r="13">
          <cell r="P13">
            <v>23.3</v>
          </cell>
        </row>
        <row r="14">
          <cell r="P14">
            <v>24.5</v>
          </cell>
        </row>
        <row r="15">
          <cell r="P15">
            <v>25.3</v>
          </cell>
        </row>
        <row r="16">
          <cell r="P16">
            <v>25.8</v>
          </cell>
        </row>
        <row r="17">
          <cell r="P17">
            <v>27</v>
          </cell>
        </row>
        <row r="18">
          <cell r="P18">
            <v>28.5</v>
          </cell>
        </row>
        <row r="19">
          <cell r="P19">
            <v>27.6</v>
          </cell>
        </row>
        <row r="20">
          <cell r="P20">
            <v>26.3</v>
          </cell>
        </row>
        <row r="21">
          <cell r="P21">
            <v>25.2</v>
          </cell>
        </row>
        <row r="22">
          <cell r="P22">
            <v>24.4</v>
          </cell>
        </row>
        <row r="23">
          <cell r="P23">
            <v>23.8</v>
          </cell>
        </row>
        <row r="24">
          <cell r="P24">
            <v>23.4</v>
          </cell>
        </row>
        <row r="25">
          <cell r="P25">
            <v>23.1</v>
          </cell>
        </row>
        <row r="26">
          <cell r="P26">
            <v>22.9</v>
          </cell>
        </row>
        <row r="27">
          <cell r="P27">
            <v>22.6</v>
          </cell>
        </row>
      </sheetData>
      <sheetData sheetId="8"/>
      <sheetData sheetId="9">
        <row r="10">
          <cell r="P10">
            <v>21</v>
          </cell>
        </row>
        <row r="11">
          <cell r="P11">
            <v>22</v>
          </cell>
        </row>
        <row r="12">
          <cell r="P12">
            <v>23.6</v>
          </cell>
        </row>
        <row r="13">
          <cell r="P13">
            <v>25.6</v>
          </cell>
        </row>
        <row r="14">
          <cell r="P14">
            <v>28</v>
          </cell>
        </row>
        <row r="15">
          <cell r="P15">
            <v>30.6</v>
          </cell>
        </row>
        <row r="16">
          <cell r="P16">
            <v>32</v>
          </cell>
        </row>
        <row r="17">
          <cell r="P17">
            <v>33</v>
          </cell>
        </row>
        <row r="18">
          <cell r="P18">
            <v>33</v>
          </cell>
        </row>
        <row r="19">
          <cell r="P19">
            <v>32.700000000000003</v>
          </cell>
        </row>
        <row r="20">
          <cell r="P20">
            <v>31.6</v>
          </cell>
        </row>
        <row r="21">
          <cell r="P21">
            <v>30</v>
          </cell>
        </row>
        <row r="22">
          <cell r="P22">
            <v>28.5</v>
          </cell>
        </row>
        <row r="23">
          <cell r="P23">
            <v>27.5</v>
          </cell>
        </row>
        <row r="24">
          <cell r="P24">
            <v>26.7</v>
          </cell>
        </row>
        <row r="25">
          <cell r="P25">
            <v>26.1</v>
          </cell>
        </row>
        <row r="26">
          <cell r="P26">
            <v>25.3</v>
          </cell>
        </row>
        <row r="27">
          <cell r="P27">
            <v>24.6</v>
          </cell>
        </row>
      </sheetData>
      <sheetData sheetId="10"/>
      <sheetData sheetId="11">
        <row r="10">
          <cell r="P10">
            <v>22</v>
          </cell>
        </row>
        <row r="11">
          <cell r="P11">
            <v>22.2</v>
          </cell>
        </row>
        <row r="12">
          <cell r="P12">
            <v>22.4</v>
          </cell>
        </row>
        <row r="13">
          <cell r="P13">
            <v>22.7</v>
          </cell>
        </row>
        <row r="14">
          <cell r="P14">
            <v>23.2</v>
          </cell>
        </row>
        <row r="15">
          <cell r="P15">
            <v>23.7</v>
          </cell>
        </row>
        <row r="16">
          <cell r="P16">
            <v>24.4</v>
          </cell>
        </row>
        <row r="17">
          <cell r="P17">
            <v>25</v>
          </cell>
        </row>
        <row r="18">
          <cell r="P18">
            <v>24.8</v>
          </cell>
        </row>
        <row r="19">
          <cell r="P19">
            <v>24.4</v>
          </cell>
        </row>
        <row r="20">
          <cell r="P20">
            <v>24.2</v>
          </cell>
        </row>
        <row r="21">
          <cell r="P21">
            <v>23.7</v>
          </cell>
        </row>
        <row r="22">
          <cell r="P22">
            <v>23.2</v>
          </cell>
        </row>
        <row r="23">
          <cell r="P23">
            <v>22.9</v>
          </cell>
        </row>
        <row r="24">
          <cell r="P24">
            <v>22.6</v>
          </cell>
        </row>
        <row r="25">
          <cell r="P25">
            <v>22.3</v>
          </cell>
        </row>
        <row r="26">
          <cell r="P26">
            <v>22.1</v>
          </cell>
        </row>
        <row r="27">
          <cell r="P27">
            <v>21.9</v>
          </cell>
        </row>
      </sheetData>
      <sheetData sheetId="12"/>
      <sheetData sheetId="13">
        <row r="10">
          <cell r="P10">
            <v>19.600000000000001</v>
          </cell>
        </row>
        <row r="11">
          <cell r="P11">
            <v>20.399999999999999</v>
          </cell>
        </row>
        <row r="12">
          <cell r="P12">
            <v>22</v>
          </cell>
        </row>
        <row r="13">
          <cell r="P13">
            <v>23.2</v>
          </cell>
        </row>
        <row r="14">
          <cell r="P14">
            <v>25</v>
          </cell>
        </row>
        <row r="15">
          <cell r="P15">
            <v>26.2</v>
          </cell>
        </row>
        <row r="16">
          <cell r="P16">
            <v>26</v>
          </cell>
        </row>
        <row r="17">
          <cell r="P17">
            <v>29</v>
          </cell>
        </row>
        <row r="18">
          <cell r="P18">
            <v>29.6</v>
          </cell>
        </row>
        <row r="19">
          <cell r="P19">
            <v>29.2</v>
          </cell>
        </row>
        <row r="20">
          <cell r="P20">
            <v>28.1</v>
          </cell>
        </row>
        <row r="21">
          <cell r="P21">
            <v>26.5</v>
          </cell>
        </row>
        <row r="22">
          <cell r="P22">
            <v>25.4</v>
          </cell>
        </row>
        <row r="23">
          <cell r="P23">
            <v>24.6</v>
          </cell>
        </row>
        <row r="24">
          <cell r="P24">
            <v>23.8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14"/>
      <sheetData sheetId="15">
        <row r="10">
          <cell r="P10">
            <v>20</v>
          </cell>
        </row>
        <row r="11">
          <cell r="P11">
            <v>20.6</v>
          </cell>
        </row>
        <row r="12">
          <cell r="P12">
            <v>21.8</v>
          </cell>
        </row>
        <row r="13">
          <cell r="P13">
            <v>23</v>
          </cell>
        </row>
        <row r="14">
          <cell r="P14">
            <v>24.4</v>
          </cell>
        </row>
        <row r="15">
          <cell r="P15">
            <v>26.1</v>
          </cell>
        </row>
        <row r="16">
          <cell r="P16">
            <v>28.4</v>
          </cell>
        </row>
        <row r="17">
          <cell r="P17">
            <v>30.6</v>
          </cell>
        </row>
        <row r="18">
          <cell r="P18">
            <v>30.8</v>
          </cell>
        </row>
        <row r="19">
          <cell r="P19">
            <v>30.4</v>
          </cell>
        </row>
        <row r="20">
          <cell r="P20">
            <v>28.8</v>
          </cell>
        </row>
        <row r="21">
          <cell r="P21">
            <v>27.2</v>
          </cell>
        </row>
        <row r="22">
          <cell r="P22">
            <v>26.1</v>
          </cell>
        </row>
        <row r="23">
          <cell r="P23">
            <v>24.2</v>
          </cell>
        </row>
        <row r="24">
          <cell r="P24">
            <v>24.4</v>
          </cell>
        </row>
        <row r="25">
          <cell r="P25">
            <v>23.9</v>
          </cell>
        </row>
        <row r="26">
          <cell r="P26">
            <v>23.5</v>
          </cell>
        </row>
        <row r="27">
          <cell r="P27">
            <v>23.2</v>
          </cell>
        </row>
      </sheetData>
      <sheetData sheetId="16"/>
      <sheetData sheetId="17">
        <row r="10">
          <cell r="P10">
            <v>21.6</v>
          </cell>
        </row>
        <row r="11">
          <cell r="P11">
            <v>21.9</v>
          </cell>
        </row>
        <row r="12">
          <cell r="P12">
            <v>23.3</v>
          </cell>
        </row>
        <row r="13">
          <cell r="P13">
            <v>25.7</v>
          </cell>
        </row>
        <row r="14">
          <cell r="P14">
            <v>28.6</v>
          </cell>
        </row>
        <row r="15">
          <cell r="P15">
            <v>31.2</v>
          </cell>
        </row>
        <row r="16">
          <cell r="P16">
            <v>33</v>
          </cell>
        </row>
        <row r="17">
          <cell r="P17">
            <v>33.799999999999997</v>
          </cell>
        </row>
        <row r="18">
          <cell r="P18">
            <v>33</v>
          </cell>
        </row>
        <row r="19">
          <cell r="P19">
            <v>32.1</v>
          </cell>
        </row>
        <row r="20">
          <cell r="P20">
            <v>30.6</v>
          </cell>
        </row>
        <row r="21">
          <cell r="P21">
            <v>28.9</v>
          </cell>
        </row>
        <row r="22">
          <cell r="P22">
            <v>27.6</v>
          </cell>
        </row>
        <row r="23">
          <cell r="P23">
            <v>26.8</v>
          </cell>
        </row>
        <row r="24">
          <cell r="P24">
            <v>26.3</v>
          </cell>
        </row>
        <row r="25">
          <cell r="P25">
            <v>25.8</v>
          </cell>
        </row>
        <row r="26">
          <cell r="P26">
            <v>25.3</v>
          </cell>
        </row>
        <row r="27">
          <cell r="P27">
            <v>24.7</v>
          </cell>
        </row>
      </sheetData>
      <sheetData sheetId="18"/>
      <sheetData sheetId="19">
        <row r="10">
          <cell r="P10">
            <v>22.5</v>
          </cell>
        </row>
        <row r="11">
          <cell r="P11">
            <v>22.6</v>
          </cell>
        </row>
        <row r="12">
          <cell r="P12">
            <v>23.4</v>
          </cell>
        </row>
        <row r="13">
          <cell r="P13">
            <v>25</v>
          </cell>
        </row>
        <row r="14">
          <cell r="P14">
            <v>27</v>
          </cell>
        </row>
        <row r="15">
          <cell r="P15">
            <v>29</v>
          </cell>
        </row>
        <row r="16">
          <cell r="P16">
            <v>31</v>
          </cell>
        </row>
        <row r="17">
          <cell r="P17">
            <v>34</v>
          </cell>
        </row>
        <row r="18">
          <cell r="P18">
            <v>34</v>
          </cell>
        </row>
        <row r="19">
          <cell r="P19">
            <v>33.200000000000003</v>
          </cell>
        </row>
        <row r="20">
          <cell r="P20">
            <v>31.8</v>
          </cell>
        </row>
        <row r="21">
          <cell r="P21">
            <v>30.3</v>
          </cell>
        </row>
        <row r="22">
          <cell r="P22">
            <v>29</v>
          </cell>
        </row>
        <row r="23">
          <cell r="P23">
            <v>28.1</v>
          </cell>
        </row>
        <row r="24">
          <cell r="P24">
            <v>27.4</v>
          </cell>
        </row>
        <row r="25">
          <cell r="P25">
            <v>26.7</v>
          </cell>
        </row>
        <row r="26">
          <cell r="P26">
            <v>26.2</v>
          </cell>
        </row>
        <row r="27">
          <cell r="P27">
            <v>25.8</v>
          </cell>
        </row>
      </sheetData>
      <sheetData sheetId="20"/>
      <sheetData sheetId="21">
        <row r="10">
          <cell r="P10">
            <v>22.4</v>
          </cell>
        </row>
        <row r="11">
          <cell r="P11">
            <v>22.8</v>
          </cell>
        </row>
        <row r="12">
          <cell r="P12">
            <v>23.9</v>
          </cell>
        </row>
        <row r="13">
          <cell r="P13">
            <v>26.8</v>
          </cell>
        </row>
        <row r="14">
          <cell r="P14">
            <v>28.6</v>
          </cell>
        </row>
        <row r="15">
          <cell r="P15">
            <v>31.4</v>
          </cell>
        </row>
        <row r="16">
          <cell r="P16">
            <v>32.200000000000003</v>
          </cell>
        </row>
        <row r="17">
          <cell r="P17">
            <v>33.5</v>
          </cell>
        </row>
        <row r="18">
          <cell r="P18">
            <v>33.700000000000003</v>
          </cell>
        </row>
        <row r="19">
          <cell r="P19">
            <v>32.6</v>
          </cell>
        </row>
        <row r="20">
          <cell r="P20">
            <v>30.9</v>
          </cell>
        </row>
        <row r="21">
          <cell r="P21">
            <v>29.1</v>
          </cell>
        </row>
        <row r="22">
          <cell r="P22">
            <v>27.6</v>
          </cell>
        </row>
        <row r="23">
          <cell r="P23">
            <v>26.7</v>
          </cell>
        </row>
        <row r="24">
          <cell r="P24">
            <v>26.2</v>
          </cell>
        </row>
        <row r="25">
          <cell r="P25">
            <v>25.7</v>
          </cell>
        </row>
        <row r="26">
          <cell r="P26">
            <v>25.2</v>
          </cell>
        </row>
        <row r="27">
          <cell r="P27">
            <v>24.7</v>
          </cell>
        </row>
      </sheetData>
      <sheetData sheetId="22"/>
      <sheetData sheetId="23">
        <row r="10">
          <cell r="P10">
            <v>21.4</v>
          </cell>
        </row>
        <row r="11">
          <cell r="P11">
            <v>22</v>
          </cell>
        </row>
        <row r="12">
          <cell r="P12">
            <v>23.4</v>
          </cell>
        </row>
        <row r="13">
          <cell r="P13">
            <v>24.4</v>
          </cell>
        </row>
        <row r="14">
          <cell r="P14">
            <v>27.1</v>
          </cell>
        </row>
        <row r="15">
          <cell r="P15">
            <v>29.8</v>
          </cell>
        </row>
        <row r="16">
          <cell r="P16">
            <v>30.6</v>
          </cell>
        </row>
        <row r="17">
          <cell r="P17">
            <v>31.8</v>
          </cell>
        </row>
        <row r="18">
          <cell r="P18">
            <v>32.6</v>
          </cell>
        </row>
        <row r="19">
          <cell r="P19">
            <v>32.1</v>
          </cell>
        </row>
        <row r="20">
          <cell r="P20">
            <v>30.7</v>
          </cell>
        </row>
        <row r="21">
          <cell r="P21">
            <v>29.3</v>
          </cell>
        </row>
        <row r="22">
          <cell r="P22">
            <v>27.9</v>
          </cell>
        </row>
        <row r="23">
          <cell r="P23">
            <v>27.3</v>
          </cell>
        </row>
        <row r="24">
          <cell r="P24">
            <v>26.7</v>
          </cell>
        </row>
        <row r="25">
          <cell r="P25">
            <v>25.9</v>
          </cell>
        </row>
        <row r="26">
          <cell r="P26">
            <v>25.4</v>
          </cell>
        </row>
        <row r="27">
          <cell r="P27">
            <v>24.9</v>
          </cell>
        </row>
      </sheetData>
      <sheetData sheetId="24"/>
      <sheetData sheetId="25">
        <row r="10">
          <cell r="P10">
            <v>22.3</v>
          </cell>
        </row>
        <row r="11">
          <cell r="P11">
            <v>23.1</v>
          </cell>
        </row>
        <row r="12">
          <cell r="P12">
            <v>24.4</v>
          </cell>
        </row>
        <row r="13">
          <cell r="P13">
            <v>25.6</v>
          </cell>
        </row>
        <row r="14">
          <cell r="P14">
            <v>25.6</v>
          </cell>
        </row>
        <row r="15">
          <cell r="P15">
            <v>27.2</v>
          </cell>
        </row>
        <row r="16">
          <cell r="P16">
            <v>27</v>
          </cell>
        </row>
        <row r="17">
          <cell r="P17">
            <v>27.5</v>
          </cell>
        </row>
        <row r="18">
          <cell r="P18">
            <v>28</v>
          </cell>
        </row>
        <row r="19">
          <cell r="P19">
            <v>28</v>
          </cell>
        </row>
        <row r="20">
          <cell r="P20">
            <v>27.3</v>
          </cell>
        </row>
        <row r="21">
          <cell r="P21">
            <v>26.4</v>
          </cell>
        </row>
        <row r="22">
          <cell r="P22">
            <v>25.7</v>
          </cell>
        </row>
        <row r="23">
          <cell r="P23">
            <v>25.2</v>
          </cell>
        </row>
        <row r="24">
          <cell r="P24">
            <v>24.7</v>
          </cell>
        </row>
        <row r="25">
          <cell r="P25">
            <v>24.4</v>
          </cell>
        </row>
        <row r="26">
          <cell r="P26">
            <v>24.1</v>
          </cell>
        </row>
        <row r="27">
          <cell r="P27">
            <v>23.8</v>
          </cell>
        </row>
      </sheetData>
      <sheetData sheetId="26"/>
      <sheetData sheetId="27">
        <row r="10">
          <cell r="P10">
            <v>22.8</v>
          </cell>
        </row>
        <row r="11">
          <cell r="P11">
            <v>22.8</v>
          </cell>
        </row>
        <row r="12">
          <cell r="P12">
            <v>23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26.8</v>
          </cell>
        </row>
        <row r="20">
          <cell r="P20">
            <v>26</v>
          </cell>
        </row>
        <row r="21">
          <cell r="P21">
            <v>26</v>
          </cell>
        </row>
        <row r="22">
          <cell r="P22">
            <v>24.6</v>
          </cell>
        </row>
        <row r="23">
          <cell r="P23">
            <v>24.2</v>
          </cell>
        </row>
        <row r="24">
          <cell r="P24">
            <v>23.8</v>
          </cell>
        </row>
        <row r="25">
          <cell r="P25">
            <v>23.5</v>
          </cell>
        </row>
        <row r="26">
          <cell r="P26">
            <v>23.2</v>
          </cell>
        </row>
        <row r="27">
          <cell r="P27">
            <v>22.9</v>
          </cell>
        </row>
      </sheetData>
      <sheetData sheetId="28"/>
      <sheetData sheetId="29">
        <row r="10">
          <cell r="P10">
            <v>21.8</v>
          </cell>
        </row>
        <row r="11">
          <cell r="P11">
            <v>22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26.8</v>
          </cell>
        </row>
        <row r="20">
          <cell r="P20">
            <v>25.7</v>
          </cell>
        </row>
        <row r="21">
          <cell r="P21">
            <v>24.2</v>
          </cell>
        </row>
        <row r="22">
          <cell r="P22">
            <v>23.7</v>
          </cell>
        </row>
        <row r="23">
          <cell r="P23">
            <v>22.9</v>
          </cell>
        </row>
        <row r="24">
          <cell r="P24">
            <v>22.4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21</v>
          </cell>
        </row>
      </sheetData>
      <sheetData sheetId="30"/>
      <sheetData sheetId="31">
        <row r="10">
          <cell r="P10">
            <v>18.5</v>
          </cell>
        </row>
        <row r="11">
          <cell r="P11">
            <v>18.7</v>
          </cell>
        </row>
        <row r="12">
          <cell r="P12">
            <v>20.2</v>
          </cell>
        </row>
        <row r="13">
          <cell r="P13">
            <v>21.9</v>
          </cell>
        </row>
        <row r="14">
          <cell r="P14">
            <v>23.4</v>
          </cell>
        </row>
        <row r="15">
          <cell r="P15">
            <v>25.6</v>
          </cell>
        </row>
        <row r="16">
          <cell r="P16">
            <v>27.3</v>
          </cell>
        </row>
        <row r="17">
          <cell r="P17">
            <v>28.4</v>
          </cell>
        </row>
        <row r="18">
          <cell r="P18">
            <v>29.1</v>
          </cell>
        </row>
        <row r="19">
          <cell r="P19">
            <v>28.8</v>
          </cell>
        </row>
        <row r="20">
          <cell r="P20">
            <v>26.8</v>
          </cell>
        </row>
        <row r="21">
          <cell r="P21">
            <v>25</v>
          </cell>
        </row>
        <row r="22">
          <cell r="P22">
            <v>23.4</v>
          </cell>
        </row>
        <row r="23">
          <cell r="P23">
            <v>22.2</v>
          </cell>
        </row>
        <row r="24">
          <cell r="P24">
            <v>21.2</v>
          </cell>
        </row>
        <row r="25">
          <cell r="P25">
            <v>20.5</v>
          </cell>
        </row>
        <row r="26">
          <cell r="P26">
            <v>19.899999999999999</v>
          </cell>
        </row>
        <row r="27">
          <cell r="P27">
            <v>19.7</v>
          </cell>
        </row>
      </sheetData>
      <sheetData sheetId="32"/>
      <sheetData sheetId="33">
        <row r="10">
          <cell r="P10">
            <v>18.399999999999999</v>
          </cell>
        </row>
        <row r="11">
          <cell r="P11">
            <v>18.600000000000001</v>
          </cell>
        </row>
        <row r="12">
          <cell r="P12">
            <v>19.5</v>
          </cell>
        </row>
        <row r="13">
          <cell r="P13">
            <v>20.7</v>
          </cell>
        </row>
        <row r="14">
          <cell r="P14">
            <v>22.9</v>
          </cell>
        </row>
        <row r="15">
          <cell r="P15">
            <v>24</v>
          </cell>
        </row>
        <row r="16">
          <cell r="P16">
            <v>26.4</v>
          </cell>
        </row>
        <row r="17">
          <cell r="P17">
            <v>26.7</v>
          </cell>
        </row>
        <row r="18">
          <cell r="P18">
            <v>27.4</v>
          </cell>
        </row>
        <row r="19">
          <cell r="P19">
            <v>27.1</v>
          </cell>
        </row>
        <row r="20">
          <cell r="P20">
            <v>25.6</v>
          </cell>
        </row>
        <row r="21">
          <cell r="P21">
            <v>24.5</v>
          </cell>
        </row>
        <row r="22">
          <cell r="P22">
            <v>23.5</v>
          </cell>
        </row>
        <row r="23">
          <cell r="P23">
            <v>22.4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20.6</v>
          </cell>
        </row>
        <row r="27">
          <cell r="P27">
            <v>20.2</v>
          </cell>
        </row>
      </sheetData>
      <sheetData sheetId="34"/>
      <sheetData sheetId="35">
        <row r="10">
          <cell r="P10">
            <v>18.8</v>
          </cell>
        </row>
        <row r="11">
          <cell r="P11">
            <v>19.3</v>
          </cell>
        </row>
        <row r="12">
          <cell r="P12">
            <v>19.899999999999999</v>
          </cell>
        </row>
        <row r="13">
          <cell r="P13">
            <v>21</v>
          </cell>
        </row>
        <row r="14">
          <cell r="P14">
            <v>22.3</v>
          </cell>
        </row>
        <row r="15">
          <cell r="P15">
            <v>24</v>
          </cell>
        </row>
        <row r="16">
          <cell r="P16">
            <v>24.9</v>
          </cell>
        </row>
        <row r="17">
          <cell r="P17">
            <v>24.9</v>
          </cell>
        </row>
        <row r="18">
          <cell r="P18">
            <v>24.9</v>
          </cell>
        </row>
        <row r="19">
          <cell r="P19">
            <v>24.6</v>
          </cell>
        </row>
        <row r="20">
          <cell r="P20">
            <v>23.4</v>
          </cell>
        </row>
        <row r="21">
          <cell r="P21">
            <v>22.2</v>
          </cell>
        </row>
        <row r="22">
          <cell r="P22">
            <v>21.3</v>
          </cell>
        </row>
        <row r="23">
          <cell r="P23">
            <v>20.8</v>
          </cell>
        </row>
        <row r="24">
          <cell r="P24">
            <v>19.2</v>
          </cell>
        </row>
        <row r="25">
          <cell r="P25">
            <v>19.2</v>
          </cell>
        </row>
        <row r="26">
          <cell r="P26">
            <v>18.600000000000001</v>
          </cell>
        </row>
        <row r="27">
          <cell r="P27">
            <v>18.3</v>
          </cell>
        </row>
      </sheetData>
      <sheetData sheetId="36"/>
      <sheetData sheetId="37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26.7</v>
          </cell>
        </row>
        <row r="20">
          <cell r="P20">
            <v>25.2</v>
          </cell>
        </row>
        <row r="21">
          <cell r="P21">
            <v>23.8</v>
          </cell>
        </row>
        <row r="22">
          <cell r="P22">
            <v>22.7</v>
          </cell>
        </row>
        <row r="23">
          <cell r="P23">
            <v>22</v>
          </cell>
        </row>
        <row r="24">
          <cell r="P24">
            <v>21.5</v>
          </cell>
        </row>
        <row r="25">
          <cell r="P25">
            <v>20.9</v>
          </cell>
        </row>
        <row r="26">
          <cell r="P26">
            <v>20.100000000000001</v>
          </cell>
        </row>
        <row r="27">
          <cell r="P27">
            <v>19.7</v>
          </cell>
        </row>
      </sheetData>
      <sheetData sheetId="38"/>
      <sheetData sheetId="39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29.7</v>
          </cell>
        </row>
        <row r="20">
          <cell r="P20">
            <v>27.7</v>
          </cell>
        </row>
        <row r="21">
          <cell r="P21">
            <v>26.1</v>
          </cell>
        </row>
        <row r="22">
          <cell r="P22">
            <v>25</v>
          </cell>
        </row>
        <row r="23">
          <cell r="P23">
            <v>24.4</v>
          </cell>
        </row>
        <row r="24">
          <cell r="P24">
            <v>23.6</v>
          </cell>
        </row>
        <row r="25">
          <cell r="P25">
            <v>23.2</v>
          </cell>
        </row>
        <row r="26">
          <cell r="P26">
            <v>22.6</v>
          </cell>
        </row>
        <row r="27">
          <cell r="P27">
            <v>21.8</v>
          </cell>
        </row>
      </sheetData>
      <sheetData sheetId="40"/>
      <sheetData sheetId="41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-99</v>
          </cell>
        </row>
        <row r="17">
          <cell r="P17">
            <v>-99</v>
          </cell>
        </row>
        <row r="18">
          <cell r="P18">
            <v>-99</v>
          </cell>
        </row>
        <row r="19">
          <cell r="P19">
            <v>28.8</v>
          </cell>
        </row>
        <row r="20">
          <cell r="P20">
            <v>27.4</v>
          </cell>
        </row>
        <row r="21">
          <cell r="P21">
            <v>25.9</v>
          </cell>
        </row>
        <row r="22">
          <cell r="P22">
            <v>24.9</v>
          </cell>
        </row>
        <row r="23">
          <cell r="P23">
            <v>24.1</v>
          </cell>
        </row>
        <row r="24">
          <cell r="P24">
            <v>23.4</v>
          </cell>
        </row>
        <row r="25">
          <cell r="P25">
            <v>23</v>
          </cell>
        </row>
        <row r="26">
          <cell r="P26">
            <v>22.7</v>
          </cell>
        </row>
        <row r="27">
          <cell r="P27">
            <v>21.9</v>
          </cell>
        </row>
      </sheetData>
      <sheetData sheetId="42"/>
      <sheetData sheetId="43">
        <row r="10">
          <cell r="P10">
            <v>18.3</v>
          </cell>
        </row>
        <row r="11">
          <cell r="P11">
            <v>19.100000000000001</v>
          </cell>
        </row>
        <row r="12">
          <cell r="P12">
            <v>20.6</v>
          </cell>
        </row>
        <row r="13">
          <cell r="P13">
            <v>23.1</v>
          </cell>
        </row>
        <row r="14">
          <cell r="P14">
            <v>25.6</v>
          </cell>
        </row>
        <row r="15">
          <cell r="P15">
            <v>28.9</v>
          </cell>
        </row>
        <row r="16">
          <cell r="P16">
            <v>31</v>
          </cell>
        </row>
        <row r="17">
          <cell r="P17">
            <v>31.4</v>
          </cell>
        </row>
        <row r="18">
          <cell r="P18">
            <v>31.3</v>
          </cell>
        </row>
        <row r="19">
          <cell r="P19">
            <v>31</v>
          </cell>
        </row>
        <row r="20">
          <cell r="P20">
            <v>29.3</v>
          </cell>
        </row>
        <row r="21">
          <cell r="P21">
            <v>27.5</v>
          </cell>
        </row>
        <row r="22">
          <cell r="P22">
            <v>25.9</v>
          </cell>
        </row>
        <row r="23">
          <cell r="P23">
            <v>24.8</v>
          </cell>
        </row>
        <row r="24">
          <cell r="P24">
            <v>23.8</v>
          </cell>
        </row>
        <row r="25">
          <cell r="P25">
            <v>23.1</v>
          </cell>
        </row>
        <row r="26">
          <cell r="P26">
            <v>22.4</v>
          </cell>
        </row>
        <row r="27">
          <cell r="P27">
            <v>21.7</v>
          </cell>
        </row>
      </sheetData>
      <sheetData sheetId="44"/>
      <sheetData sheetId="45">
        <row r="10">
          <cell r="P10">
            <v>18.5</v>
          </cell>
        </row>
        <row r="11">
          <cell r="P11">
            <v>19</v>
          </cell>
        </row>
        <row r="12">
          <cell r="P12">
            <v>20.399999999999999</v>
          </cell>
        </row>
        <row r="13">
          <cell r="P13">
            <v>22</v>
          </cell>
        </row>
        <row r="14">
          <cell r="P14">
            <v>25</v>
          </cell>
        </row>
        <row r="15">
          <cell r="P15">
            <v>27.4</v>
          </cell>
        </row>
        <row r="16">
          <cell r="P16">
            <v>29</v>
          </cell>
        </row>
        <row r="17">
          <cell r="P17">
            <v>30.2</v>
          </cell>
        </row>
        <row r="18">
          <cell r="P18">
            <v>30.6</v>
          </cell>
        </row>
        <row r="19">
          <cell r="P19">
            <v>30.2</v>
          </cell>
        </row>
        <row r="20">
          <cell r="P20">
            <v>28.7</v>
          </cell>
        </row>
        <row r="21">
          <cell r="P21">
            <v>27.1</v>
          </cell>
        </row>
        <row r="22">
          <cell r="P22">
            <v>25.9</v>
          </cell>
        </row>
        <row r="23">
          <cell r="P23">
            <v>24.8</v>
          </cell>
        </row>
        <row r="24">
          <cell r="P24">
            <v>24</v>
          </cell>
        </row>
        <row r="25">
          <cell r="P25">
            <v>23.4</v>
          </cell>
        </row>
        <row r="26">
          <cell r="P26">
            <v>22.8</v>
          </cell>
        </row>
        <row r="27">
          <cell r="P27">
            <v>22.2</v>
          </cell>
        </row>
      </sheetData>
      <sheetData sheetId="46"/>
      <sheetData sheetId="47">
        <row r="10">
          <cell r="P10">
            <v>20.3</v>
          </cell>
        </row>
        <row r="11">
          <cell r="P11">
            <v>21</v>
          </cell>
        </row>
        <row r="12">
          <cell r="P12">
            <v>22</v>
          </cell>
        </row>
        <row r="13">
          <cell r="P13">
            <v>22.5</v>
          </cell>
        </row>
        <row r="14">
          <cell r="P14">
            <v>25</v>
          </cell>
        </row>
        <row r="15">
          <cell r="P15">
            <v>27.7</v>
          </cell>
        </row>
        <row r="16">
          <cell r="P16">
            <v>28.7</v>
          </cell>
        </row>
        <row r="17">
          <cell r="P17">
            <v>30.1</v>
          </cell>
        </row>
        <row r="18">
          <cell r="P18">
            <v>31</v>
          </cell>
        </row>
        <row r="19">
          <cell r="P19">
            <v>30.4</v>
          </cell>
        </row>
        <row r="20">
          <cell r="P20">
            <v>28.4</v>
          </cell>
        </row>
        <row r="21">
          <cell r="P21">
            <v>27.2</v>
          </cell>
        </row>
        <row r="22">
          <cell r="P22">
            <v>26</v>
          </cell>
        </row>
        <row r="23">
          <cell r="P23">
            <v>25</v>
          </cell>
        </row>
        <row r="24">
          <cell r="P24">
            <v>24</v>
          </cell>
        </row>
        <row r="25">
          <cell r="P25">
            <v>23.6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48"/>
      <sheetData sheetId="49">
        <row r="10">
          <cell r="P10">
            <v>19.5</v>
          </cell>
        </row>
        <row r="11">
          <cell r="P11">
            <v>20.100000000000001</v>
          </cell>
        </row>
        <row r="12">
          <cell r="P12">
            <v>21.6</v>
          </cell>
        </row>
        <row r="13">
          <cell r="P13">
            <v>24.4</v>
          </cell>
        </row>
        <row r="14">
          <cell r="P14">
            <v>27.3</v>
          </cell>
        </row>
        <row r="15">
          <cell r="P15">
            <v>29.3</v>
          </cell>
        </row>
        <row r="16">
          <cell r="P16">
            <v>31</v>
          </cell>
        </row>
        <row r="17">
          <cell r="P17">
            <v>31.9</v>
          </cell>
        </row>
        <row r="18">
          <cell r="P18">
            <v>32.200000000000003</v>
          </cell>
        </row>
        <row r="19">
          <cell r="P19">
            <v>31.4</v>
          </cell>
        </row>
        <row r="20">
          <cell r="P20">
            <v>29.5</v>
          </cell>
        </row>
        <row r="21">
          <cell r="P21">
            <v>27.9</v>
          </cell>
        </row>
        <row r="22">
          <cell r="P22">
            <v>26.8</v>
          </cell>
        </row>
        <row r="23">
          <cell r="P23">
            <v>26</v>
          </cell>
        </row>
        <row r="24">
          <cell r="P24">
            <v>25.4</v>
          </cell>
        </row>
        <row r="25">
          <cell r="P25">
            <v>24.7</v>
          </cell>
        </row>
        <row r="26">
          <cell r="P26">
            <v>24.5</v>
          </cell>
        </row>
        <row r="27">
          <cell r="P27">
            <v>24</v>
          </cell>
        </row>
      </sheetData>
      <sheetData sheetId="50"/>
      <sheetData sheetId="51">
        <row r="10">
          <cell r="P10">
            <v>-99</v>
          </cell>
        </row>
        <row r="11">
          <cell r="P11">
            <v>-99</v>
          </cell>
        </row>
        <row r="12">
          <cell r="P12">
            <v>-99</v>
          </cell>
        </row>
        <row r="13">
          <cell r="P13">
            <v>-99</v>
          </cell>
        </row>
        <row r="14">
          <cell r="P14">
            <v>-99</v>
          </cell>
        </row>
        <row r="15">
          <cell r="P15">
            <v>-99</v>
          </cell>
        </row>
        <row r="16">
          <cell r="P16">
            <v>32</v>
          </cell>
        </row>
        <row r="17">
          <cell r="P17">
            <v>33.200000000000003</v>
          </cell>
        </row>
        <row r="18">
          <cell r="P18">
            <v>33.200000000000003</v>
          </cell>
        </row>
        <row r="19">
          <cell r="P19">
            <v>32.4</v>
          </cell>
        </row>
        <row r="20">
          <cell r="P20">
            <v>30.8</v>
          </cell>
        </row>
        <row r="21">
          <cell r="P21">
            <v>28.9</v>
          </cell>
        </row>
        <row r="22">
          <cell r="P22">
            <v>27.6</v>
          </cell>
        </row>
        <row r="23">
          <cell r="P23">
            <v>27</v>
          </cell>
        </row>
        <row r="24">
          <cell r="P24">
            <v>26.4</v>
          </cell>
        </row>
        <row r="25">
          <cell r="P25">
            <v>25.7</v>
          </cell>
        </row>
        <row r="26">
          <cell r="P26">
            <v>24.9</v>
          </cell>
        </row>
        <row r="27">
          <cell r="P27">
            <v>24.3</v>
          </cell>
        </row>
      </sheetData>
      <sheetData sheetId="52"/>
      <sheetData sheetId="53">
        <row r="10">
          <cell r="P10">
            <v>22.4</v>
          </cell>
        </row>
        <row r="11">
          <cell r="P11">
            <v>22.5</v>
          </cell>
        </row>
        <row r="12">
          <cell r="P12">
            <v>23.6</v>
          </cell>
        </row>
        <row r="13">
          <cell r="P13">
            <v>25.6</v>
          </cell>
        </row>
        <row r="14">
          <cell r="P14">
            <v>28.7</v>
          </cell>
        </row>
        <row r="15">
          <cell r="P15">
            <v>31.5</v>
          </cell>
        </row>
        <row r="16">
          <cell r="P16">
            <v>32.9</v>
          </cell>
        </row>
        <row r="17">
          <cell r="P17">
            <v>33.200000000000003</v>
          </cell>
        </row>
        <row r="18">
          <cell r="P18">
            <v>33.799999999999997</v>
          </cell>
        </row>
        <row r="19">
          <cell r="P19">
            <v>33.799999999999997</v>
          </cell>
        </row>
        <row r="20">
          <cell r="P20">
            <v>31</v>
          </cell>
        </row>
        <row r="21">
          <cell r="P21">
            <v>30</v>
          </cell>
        </row>
        <row r="22">
          <cell r="P22">
            <v>28</v>
          </cell>
        </row>
        <row r="23">
          <cell r="P23">
            <v>27</v>
          </cell>
        </row>
        <row r="24">
          <cell r="P24">
            <v>26</v>
          </cell>
        </row>
        <row r="25">
          <cell r="P25">
            <v>25.2</v>
          </cell>
        </row>
        <row r="26">
          <cell r="P26">
            <v>24.6</v>
          </cell>
        </row>
        <row r="27">
          <cell r="P27">
            <v>24</v>
          </cell>
        </row>
      </sheetData>
      <sheetData sheetId="54"/>
      <sheetData sheetId="55">
        <row r="10">
          <cell r="P10">
            <v>21.4</v>
          </cell>
        </row>
        <row r="11">
          <cell r="P11">
            <v>21.8</v>
          </cell>
        </row>
        <row r="12">
          <cell r="P12">
            <v>22.5</v>
          </cell>
        </row>
        <row r="13">
          <cell r="P13">
            <v>26</v>
          </cell>
        </row>
        <row r="14">
          <cell r="P14">
            <v>28.8</v>
          </cell>
        </row>
        <row r="15">
          <cell r="P15">
            <v>31.1</v>
          </cell>
        </row>
        <row r="16">
          <cell r="P16">
            <v>32.299999999999997</v>
          </cell>
        </row>
        <row r="17">
          <cell r="P17">
            <v>34.299999999999997</v>
          </cell>
        </row>
        <row r="18">
          <cell r="P18">
            <v>34.9</v>
          </cell>
        </row>
        <row r="19">
          <cell r="P19">
            <v>34.4</v>
          </cell>
        </row>
        <row r="20">
          <cell r="P20">
            <v>32.299999999999997</v>
          </cell>
        </row>
        <row r="21">
          <cell r="P21">
            <v>30.7</v>
          </cell>
        </row>
        <row r="22">
          <cell r="P22">
            <v>30.5</v>
          </cell>
        </row>
        <row r="23">
          <cell r="P23">
            <v>28.1</v>
          </cell>
        </row>
        <row r="24">
          <cell r="P24">
            <v>27.2</v>
          </cell>
        </row>
        <row r="25">
          <cell r="P25">
            <v>26.4</v>
          </cell>
        </row>
        <row r="26">
          <cell r="P26">
            <v>25.8</v>
          </cell>
        </row>
        <row r="27">
          <cell r="P27">
            <v>25.1</v>
          </cell>
        </row>
      </sheetData>
      <sheetData sheetId="56"/>
      <sheetData sheetId="57">
        <row r="10">
          <cell r="P10">
            <v>22</v>
          </cell>
        </row>
        <row r="11">
          <cell r="P11">
            <v>22.2</v>
          </cell>
        </row>
        <row r="12">
          <cell r="P12">
            <v>24</v>
          </cell>
        </row>
        <row r="13">
          <cell r="P13">
            <v>26.2</v>
          </cell>
        </row>
        <row r="14">
          <cell r="P14">
            <v>28.8</v>
          </cell>
        </row>
        <row r="15">
          <cell r="P15">
            <v>31</v>
          </cell>
        </row>
        <row r="16">
          <cell r="P16">
            <v>33</v>
          </cell>
        </row>
        <row r="17">
          <cell r="P17">
            <v>34</v>
          </cell>
        </row>
        <row r="18">
          <cell r="P18">
            <v>34.799999999999997</v>
          </cell>
        </row>
        <row r="19">
          <cell r="P19">
            <v>34.299999999999997</v>
          </cell>
        </row>
        <row r="20">
          <cell r="P20">
            <v>32.299999999999997</v>
          </cell>
        </row>
        <row r="21">
          <cell r="P21">
            <v>30.4</v>
          </cell>
        </row>
        <row r="22">
          <cell r="P22">
            <v>29.3</v>
          </cell>
        </row>
        <row r="23">
          <cell r="P23">
            <v>27.9</v>
          </cell>
        </row>
        <row r="24">
          <cell r="P24">
            <v>27</v>
          </cell>
        </row>
        <row r="25">
          <cell r="P25">
            <v>26.2</v>
          </cell>
        </row>
        <row r="26">
          <cell r="P26">
            <v>25.4</v>
          </cell>
        </row>
        <row r="27">
          <cell r="P27">
            <v>24.9</v>
          </cell>
        </row>
      </sheetData>
      <sheetData sheetId="58"/>
      <sheetData sheetId="59">
        <row r="10">
          <cell r="P10">
            <v>22</v>
          </cell>
        </row>
        <row r="11">
          <cell r="P11">
            <v>22.6</v>
          </cell>
        </row>
        <row r="12">
          <cell r="P12">
            <v>22.8</v>
          </cell>
        </row>
        <row r="13">
          <cell r="P13">
            <v>23</v>
          </cell>
        </row>
        <row r="14">
          <cell r="P14">
            <v>23.6</v>
          </cell>
        </row>
        <row r="15">
          <cell r="P15">
            <v>23.6</v>
          </cell>
        </row>
        <row r="16">
          <cell r="P16">
            <v>23.6</v>
          </cell>
        </row>
        <row r="17">
          <cell r="P17">
            <v>23.8</v>
          </cell>
        </row>
        <row r="18">
          <cell r="P18">
            <v>23.8</v>
          </cell>
        </row>
        <row r="19">
          <cell r="P19">
            <v>24</v>
          </cell>
        </row>
        <row r="20">
          <cell r="P20">
            <v>23.7</v>
          </cell>
        </row>
        <row r="21">
          <cell r="P21">
            <v>23.2</v>
          </cell>
        </row>
        <row r="22">
          <cell r="P22">
            <v>22.8</v>
          </cell>
        </row>
        <row r="23">
          <cell r="P23">
            <v>22.4</v>
          </cell>
        </row>
        <row r="24">
          <cell r="P24">
            <v>22.4</v>
          </cell>
        </row>
        <row r="25">
          <cell r="P25">
            <v>22</v>
          </cell>
        </row>
        <row r="26">
          <cell r="P26">
            <v>21.9</v>
          </cell>
        </row>
        <row r="27">
          <cell r="P27">
            <v>21.7</v>
          </cell>
        </row>
      </sheetData>
      <sheetData sheetId="60"/>
      <sheetData sheetId="61">
        <row r="10">
          <cell r="P10">
            <v>20.9</v>
          </cell>
        </row>
        <row r="11">
          <cell r="P11">
            <v>20.8</v>
          </cell>
        </row>
        <row r="12">
          <cell r="P12">
            <v>20.9</v>
          </cell>
        </row>
        <row r="13">
          <cell r="P13">
            <v>21.1</v>
          </cell>
        </row>
        <row r="14">
          <cell r="P14">
            <v>21.9</v>
          </cell>
        </row>
        <row r="15">
          <cell r="P15">
            <v>22.2</v>
          </cell>
        </row>
        <row r="16">
          <cell r="P16">
            <v>22.4</v>
          </cell>
        </row>
        <row r="17">
          <cell r="P17">
            <v>22.7</v>
          </cell>
        </row>
        <row r="18">
          <cell r="P18">
            <v>23.2</v>
          </cell>
        </row>
        <row r="19">
          <cell r="P19">
            <v>23</v>
          </cell>
        </row>
        <row r="20">
          <cell r="P20">
            <v>22.6</v>
          </cell>
        </row>
        <row r="21">
          <cell r="P21">
            <v>22</v>
          </cell>
        </row>
        <row r="22">
          <cell r="P22">
            <v>21.7</v>
          </cell>
        </row>
        <row r="23">
          <cell r="P23">
            <v>21.4</v>
          </cell>
        </row>
        <row r="24">
          <cell r="P24">
            <v>21.2</v>
          </cell>
        </row>
        <row r="25">
          <cell r="P25">
            <v>21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19.5</v>
          </cell>
        </row>
        <row r="11">
          <cell r="P11">
            <v>19.7</v>
          </cell>
        </row>
        <row r="12">
          <cell r="P12">
            <v>21.6</v>
          </cell>
        </row>
        <row r="13">
          <cell r="P13">
            <v>23.8</v>
          </cell>
        </row>
        <row r="14">
          <cell r="P14">
            <v>25.6</v>
          </cell>
        </row>
        <row r="15">
          <cell r="P15">
            <v>27.5</v>
          </cell>
        </row>
        <row r="16">
          <cell r="P16">
            <v>29.5</v>
          </cell>
        </row>
        <row r="17">
          <cell r="P17">
            <v>30.1</v>
          </cell>
        </row>
        <row r="18">
          <cell r="P18">
            <v>30.1</v>
          </cell>
        </row>
        <row r="19">
          <cell r="P19">
            <v>29.2</v>
          </cell>
        </row>
        <row r="20">
          <cell r="P20">
            <v>28.2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24</v>
          </cell>
        </row>
        <row r="24">
          <cell r="P24">
            <v>23.6</v>
          </cell>
        </row>
        <row r="25">
          <cell r="P25">
            <v>22.8</v>
          </cell>
        </row>
        <row r="26">
          <cell r="P26">
            <v>22.2</v>
          </cell>
        </row>
        <row r="27">
          <cell r="P27">
            <v>21.8</v>
          </cell>
        </row>
      </sheetData>
      <sheetData sheetId="4">
        <row r="1">
          <cell r="C1" t="str">
            <v>MAIO DE 2022</v>
          </cell>
        </row>
      </sheetData>
      <sheetData sheetId="5">
        <row r="10">
          <cell r="P10">
            <v>19.600000000000001</v>
          </cell>
        </row>
        <row r="11">
          <cell r="P11">
            <v>20</v>
          </cell>
        </row>
        <row r="12">
          <cell r="P12">
            <v>21.4</v>
          </cell>
        </row>
        <row r="13">
          <cell r="P13">
            <v>24</v>
          </cell>
        </row>
        <row r="14">
          <cell r="P14">
            <v>26.6</v>
          </cell>
        </row>
        <row r="15">
          <cell r="P15">
            <v>28.8</v>
          </cell>
        </row>
        <row r="16">
          <cell r="P16">
            <v>30.2</v>
          </cell>
        </row>
        <row r="17">
          <cell r="P17">
            <v>29.4</v>
          </cell>
        </row>
        <row r="18">
          <cell r="P18">
            <v>28.6</v>
          </cell>
        </row>
        <row r="19">
          <cell r="P19">
            <v>28</v>
          </cell>
        </row>
        <row r="20">
          <cell r="P20">
            <v>26.6</v>
          </cell>
        </row>
        <row r="21">
          <cell r="P21">
            <v>25.8</v>
          </cell>
        </row>
        <row r="22">
          <cell r="P22">
            <v>24.8</v>
          </cell>
        </row>
        <row r="23">
          <cell r="P23">
            <v>24.4</v>
          </cell>
        </row>
        <row r="24">
          <cell r="P24">
            <v>24</v>
          </cell>
        </row>
        <row r="25">
          <cell r="P25">
            <v>23.8</v>
          </cell>
        </row>
        <row r="26">
          <cell r="P26">
            <v>23.2</v>
          </cell>
        </row>
        <row r="27">
          <cell r="P27">
            <v>22.8</v>
          </cell>
        </row>
      </sheetData>
      <sheetData sheetId="6"/>
      <sheetData sheetId="7">
        <row r="10">
          <cell r="P10">
            <v>20.8</v>
          </cell>
        </row>
        <row r="11">
          <cell r="P11">
            <v>21</v>
          </cell>
        </row>
        <row r="12">
          <cell r="P12">
            <v>22.6</v>
          </cell>
        </row>
        <row r="13">
          <cell r="P13">
            <v>24.5</v>
          </cell>
        </row>
        <row r="14">
          <cell r="P14">
            <v>27</v>
          </cell>
        </row>
        <row r="15">
          <cell r="P15">
            <v>29.6</v>
          </cell>
        </row>
        <row r="16">
          <cell r="P16">
            <v>31.4</v>
          </cell>
        </row>
        <row r="17">
          <cell r="P17">
            <v>31.8</v>
          </cell>
        </row>
        <row r="18">
          <cell r="P18">
            <v>31.7</v>
          </cell>
        </row>
        <row r="19">
          <cell r="P19">
            <v>30.8</v>
          </cell>
        </row>
        <row r="20">
          <cell r="P20">
            <v>29</v>
          </cell>
        </row>
        <row r="21">
          <cell r="P21">
            <v>28</v>
          </cell>
        </row>
        <row r="22">
          <cell r="P22">
            <v>27</v>
          </cell>
        </row>
        <row r="23">
          <cell r="P23">
            <v>25.8</v>
          </cell>
        </row>
        <row r="24">
          <cell r="P24">
            <v>25</v>
          </cell>
        </row>
        <row r="25">
          <cell r="P25">
            <v>24</v>
          </cell>
        </row>
        <row r="26">
          <cell r="P26">
            <v>23.8</v>
          </cell>
        </row>
        <row r="27">
          <cell r="P27">
            <v>23.6</v>
          </cell>
        </row>
      </sheetData>
      <sheetData sheetId="8"/>
      <sheetData sheetId="9">
        <row r="10">
          <cell r="P10">
            <v>21.9</v>
          </cell>
        </row>
        <row r="11">
          <cell r="P11">
            <v>22</v>
          </cell>
        </row>
        <row r="12">
          <cell r="P12">
            <v>21.8</v>
          </cell>
        </row>
        <row r="13">
          <cell r="P13">
            <v>21.8</v>
          </cell>
        </row>
        <row r="14">
          <cell r="P14">
            <v>21.5</v>
          </cell>
        </row>
        <row r="15">
          <cell r="P15">
            <v>21.4</v>
          </cell>
        </row>
        <row r="16">
          <cell r="P16">
            <v>22.6</v>
          </cell>
        </row>
        <row r="17">
          <cell r="P17">
            <v>23.4</v>
          </cell>
        </row>
        <row r="18">
          <cell r="P18">
            <v>23.1</v>
          </cell>
        </row>
        <row r="19">
          <cell r="P19">
            <v>22.2</v>
          </cell>
        </row>
        <row r="20">
          <cell r="P20">
            <v>21</v>
          </cell>
        </row>
        <row r="21">
          <cell r="P21">
            <v>20.6</v>
          </cell>
        </row>
        <row r="22">
          <cell r="P22">
            <v>19.600000000000001</v>
          </cell>
        </row>
        <row r="23">
          <cell r="P23">
            <v>18.8</v>
          </cell>
        </row>
        <row r="24">
          <cell r="P24">
            <v>18.2</v>
          </cell>
        </row>
        <row r="25">
          <cell r="P25">
            <v>17.8</v>
          </cell>
        </row>
        <row r="26">
          <cell r="P26">
            <v>17.2</v>
          </cell>
        </row>
        <row r="27">
          <cell r="P27">
            <v>16.600000000000001</v>
          </cell>
        </row>
      </sheetData>
      <sheetData sheetId="10"/>
      <sheetData sheetId="11">
        <row r="10">
          <cell r="P10">
            <v>15</v>
          </cell>
        </row>
        <row r="11">
          <cell r="P11">
            <v>15.5</v>
          </cell>
        </row>
        <row r="12">
          <cell r="P12">
            <v>16.399999999999999</v>
          </cell>
        </row>
        <row r="13">
          <cell r="P13">
            <v>17</v>
          </cell>
        </row>
        <row r="14">
          <cell r="P14">
            <v>17.7</v>
          </cell>
        </row>
        <row r="15">
          <cell r="P15">
            <v>18.399999999999999</v>
          </cell>
        </row>
        <row r="16">
          <cell r="P16">
            <v>19.399999999999999</v>
          </cell>
        </row>
        <row r="17">
          <cell r="P17">
            <v>20</v>
          </cell>
        </row>
        <row r="18">
          <cell r="P18">
            <v>20.100000000000001</v>
          </cell>
        </row>
        <row r="19">
          <cell r="P19">
            <v>20</v>
          </cell>
        </row>
        <row r="20">
          <cell r="P20">
            <v>19.8</v>
          </cell>
        </row>
        <row r="21">
          <cell r="P21">
            <v>19.3</v>
          </cell>
        </row>
        <row r="22">
          <cell r="P22">
            <v>18.7</v>
          </cell>
        </row>
        <row r="23">
          <cell r="P23">
            <v>18.600000000000001</v>
          </cell>
        </row>
        <row r="24">
          <cell r="P24">
            <v>18.2</v>
          </cell>
        </row>
        <row r="25">
          <cell r="P25">
            <v>18.2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12"/>
      <sheetData sheetId="13">
        <row r="10">
          <cell r="P10">
            <v>17.100000000000001</v>
          </cell>
        </row>
        <row r="11">
          <cell r="P11">
            <v>17.2</v>
          </cell>
        </row>
        <row r="12">
          <cell r="P12">
            <v>18</v>
          </cell>
        </row>
        <row r="13">
          <cell r="P13">
            <v>20.100000000000001</v>
          </cell>
        </row>
        <row r="14">
          <cell r="P14">
            <v>21.2</v>
          </cell>
        </row>
        <row r="15">
          <cell r="P15">
            <v>21.2</v>
          </cell>
        </row>
        <row r="16">
          <cell r="P16">
            <v>21.2</v>
          </cell>
        </row>
        <row r="17">
          <cell r="P17">
            <v>21.9</v>
          </cell>
        </row>
        <row r="18">
          <cell r="P18">
            <v>23</v>
          </cell>
        </row>
        <row r="19">
          <cell r="P19">
            <v>22.6</v>
          </cell>
        </row>
        <row r="20">
          <cell r="P20">
            <v>21.7</v>
          </cell>
        </row>
        <row r="21">
          <cell r="P21">
            <v>20.6</v>
          </cell>
        </row>
        <row r="22">
          <cell r="P22">
            <v>19.3</v>
          </cell>
        </row>
        <row r="23">
          <cell r="P23">
            <v>18.7</v>
          </cell>
        </row>
        <row r="24">
          <cell r="P24">
            <v>18.3</v>
          </cell>
        </row>
        <row r="25">
          <cell r="P25">
            <v>18.100000000000001</v>
          </cell>
        </row>
        <row r="26">
          <cell r="P26">
            <v>17.7</v>
          </cell>
        </row>
        <row r="27">
          <cell r="P27">
            <v>17.600000000000001</v>
          </cell>
        </row>
      </sheetData>
      <sheetData sheetId="14"/>
      <sheetData sheetId="15">
        <row r="10">
          <cell r="P10">
            <v>16.8</v>
          </cell>
        </row>
        <row r="11">
          <cell r="P11">
            <v>16.899999999999999</v>
          </cell>
        </row>
        <row r="12">
          <cell r="P12">
            <v>17.399999999999999</v>
          </cell>
        </row>
        <row r="13">
          <cell r="P13">
            <v>18</v>
          </cell>
        </row>
        <row r="14">
          <cell r="P14">
            <v>19</v>
          </cell>
        </row>
        <row r="15">
          <cell r="P15">
            <v>19.8</v>
          </cell>
        </row>
        <row r="16">
          <cell r="P16">
            <v>19.7</v>
          </cell>
        </row>
        <row r="17">
          <cell r="P17">
            <v>19.5</v>
          </cell>
        </row>
        <row r="18">
          <cell r="P18">
            <v>19.399999999999999</v>
          </cell>
        </row>
        <row r="19">
          <cell r="P19">
            <v>19.3</v>
          </cell>
        </row>
        <row r="20">
          <cell r="P20">
            <v>19</v>
          </cell>
        </row>
        <row r="21">
          <cell r="P21">
            <v>18.5</v>
          </cell>
        </row>
        <row r="22">
          <cell r="P22">
            <v>18.2</v>
          </cell>
        </row>
        <row r="23">
          <cell r="P23">
            <v>17.8</v>
          </cell>
        </row>
        <row r="24">
          <cell r="P24">
            <v>17.899999999999999</v>
          </cell>
        </row>
        <row r="25">
          <cell r="P25">
            <v>17.7</v>
          </cell>
        </row>
        <row r="26">
          <cell r="P26">
            <v>17.600000000000001</v>
          </cell>
        </row>
        <row r="27">
          <cell r="P27">
            <v>17.5</v>
          </cell>
        </row>
      </sheetData>
      <sheetData sheetId="16"/>
      <sheetData sheetId="17">
        <row r="10">
          <cell r="P10">
            <v>16.3</v>
          </cell>
        </row>
        <row r="11">
          <cell r="P11">
            <v>16.5</v>
          </cell>
        </row>
        <row r="12">
          <cell r="P12">
            <v>17</v>
          </cell>
        </row>
        <row r="13">
          <cell r="P13">
            <v>17.899999999999999</v>
          </cell>
        </row>
        <row r="14">
          <cell r="P14">
            <v>19</v>
          </cell>
        </row>
        <row r="15">
          <cell r="P15">
            <v>20.6</v>
          </cell>
        </row>
        <row r="16">
          <cell r="P16">
            <v>22.3</v>
          </cell>
        </row>
        <row r="17">
          <cell r="P17">
            <v>22</v>
          </cell>
        </row>
        <row r="18">
          <cell r="P18">
            <v>21.6</v>
          </cell>
        </row>
        <row r="19">
          <cell r="P19">
            <v>21.2</v>
          </cell>
        </row>
        <row r="20">
          <cell r="P20">
            <v>20.6</v>
          </cell>
        </row>
        <row r="21">
          <cell r="P21">
            <v>20</v>
          </cell>
        </row>
        <row r="22">
          <cell r="P22">
            <v>19.600000000000001</v>
          </cell>
        </row>
        <row r="23">
          <cell r="P23">
            <v>19</v>
          </cell>
        </row>
        <row r="24">
          <cell r="P24">
            <v>18.8</v>
          </cell>
        </row>
        <row r="25">
          <cell r="P25">
            <v>18.600000000000001</v>
          </cell>
        </row>
        <row r="26">
          <cell r="P26">
            <v>18.2</v>
          </cell>
        </row>
        <row r="27">
          <cell r="P27">
            <v>17.600000000000001</v>
          </cell>
        </row>
      </sheetData>
      <sheetData sheetId="18"/>
      <sheetData sheetId="19">
        <row r="10">
          <cell r="P10">
            <v>16.8</v>
          </cell>
        </row>
        <row r="11">
          <cell r="P11">
            <v>17</v>
          </cell>
        </row>
        <row r="12">
          <cell r="P12">
            <v>19.899999999999999</v>
          </cell>
        </row>
        <row r="13">
          <cell r="P13">
            <v>21.8</v>
          </cell>
        </row>
        <row r="14">
          <cell r="P14">
            <v>22.1</v>
          </cell>
        </row>
        <row r="15">
          <cell r="P15">
            <v>23.5</v>
          </cell>
        </row>
        <row r="16">
          <cell r="P16">
            <v>25.2</v>
          </cell>
        </row>
        <row r="17">
          <cell r="P17">
            <v>25</v>
          </cell>
        </row>
        <row r="18">
          <cell r="P18">
            <v>25.4</v>
          </cell>
        </row>
        <row r="19">
          <cell r="P19">
            <v>25.4</v>
          </cell>
        </row>
        <row r="20">
          <cell r="P20">
            <v>23.9</v>
          </cell>
        </row>
        <row r="21">
          <cell r="P21">
            <v>22.6</v>
          </cell>
        </row>
        <row r="22">
          <cell r="P22">
            <v>21.7</v>
          </cell>
        </row>
        <row r="23">
          <cell r="P23">
            <v>20.9</v>
          </cell>
        </row>
        <row r="24">
          <cell r="P24">
            <v>20.399999999999999</v>
          </cell>
        </row>
        <row r="25">
          <cell r="P25">
            <v>19.899999999999999</v>
          </cell>
        </row>
        <row r="26">
          <cell r="P26">
            <v>19.399999999999999</v>
          </cell>
        </row>
        <row r="27">
          <cell r="P27">
            <v>19</v>
          </cell>
        </row>
      </sheetData>
      <sheetData sheetId="20"/>
      <sheetData sheetId="21">
        <row r="10">
          <cell r="P10">
            <v>17.2</v>
          </cell>
        </row>
        <row r="11">
          <cell r="P11">
            <v>17.3</v>
          </cell>
        </row>
        <row r="12">
          <cell r="P12">
            <v>17.7</v>
          </cell>
        </row>
        <row r="13">
          <cell r="P13">
            <v>18.399999999999999</v>
          </cell>
        </row>
        <row r="14">
          <cell r="P14">
            <v>20.2</v>
          </cell>
        </row>
        <row r="15">
          <cell r="P15">
            <v>23</v>
          </cell>
        </row>
        <row r="16">
          <cell r="P16">
            <v>25.6</v>
          </cell>
        </row>
        <row r="17">
          <cell r="P17">
            <v>27.7</v>
          </cell>
        </row>
        <row r="18">
          <cell r="P18">
            <v>28.1</v>
          </cell>
        </row>
        <row r="19">
          <cell r="P19">
            <v>27.6</v>
          </cell>
        </row>
        <row r="20">
          <cell r="P20">
            <v>26</v>
          </cell>
        </row>
        <row r="21">
          <cell r="P21">
            <v>24</v>
          </cell>
        </row>
        <row r="22">
          <cell r="P22">
            <v>22.8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20.399999999999999</v>
          </cell>
        </row>
        <row r="26">
          <cell r="P26">
            <v>19.600000000000001</v>
          </cell>
        </row>
        <row r="27">
          <cell r="P27">
            <v>19</v>
          </cell>
        </row>
      </sheetData>
      <sheetData sheetId="22"/>
      <sheetData sheetId="23">
        <row r="10">
          <cell r="P10">
            <v>18</v>
          </cell>
        </row>
        <row r="11">
          <cell r="P11">
            <v>18.2</v>
          </cell>
        </row>
        <row r="12">
          <cell r="P12">
            <v>18.899999999999999</v>
          </cell>
        </row>
        <row r="13">
          <cell r="P13">
            <v>20.7</v>
          </cell>
        </row>
        <row r="14">
          <cell r="P14">
            <v>23</v>
          </cell>
        </row>
        <row r="15">
          <cell r="P15">
            <v>24.8</v>
          </cell>
        </row>
        <row r="16">
          <cell r="P16">
            <v>26.3</v>
          </cell>
        </row>
        <row r="17">
          <cell r="P17">
            <v>27</v>
          </cell>
        </row>
        <row r="18">
          <cell r="P18">
            <v>26</v>
          </cell>
        </row>
        <row r="19">
          <cell r="P19">
            <v>25.4</v>
          </cell>
        </row>
        <row r="20">
          <cell r="P20">
            <v>24.4</v>
          </cell>
        </row>
        <row r="21">
          <cell r="P21">
            <v>23.6</v>
          </cell>
        </row>
        <row r="22">
          <cell r="P22">
            <v>22.8</v>
          </cell>
        </row>
        <row r="23">
          <cell r="P23">
            <v>22.1</v>
          </cell>
        </row>
        <row r="24">
          <cell r="P24">
            <v>21.4</v>
          </cell>
        </row>
        <row r="25">
          <cell r="P25">
            <v>20.8</v>
          </cell>
        </row>
        <row r="26">
          <cell r="P26">
            <v>20.3</v>
          </cell>
        </row>
        <row r="27">
          <cell r="P27">
            <v>20</v>
          </cell>
        </row>
      </sheetData>
      <sheetData sheetId="24"/>
      <sheetData sheetId="25">
        <row r="10">
          <cell r="P10">
            <v>18.5</v>
          </cell>
        </row>
        <row r="11">
          <cell r="P11">
            <v>18.399999999999999</v>
          </cell>
        </row>
        <row r="12">
          <cell r="P12">
            <v>19.100000000000001</v>
          </cell>
        </row>
        <row r="13">
          <cell r="P13">
            <v>19.899999999999999</v>
          </cell>
        </row>
        <row r="14">
          <cell r="P14">
            <v>21.4</v>
          </cell>
        </row>
        <row r="15">
          <cell r="P15">
            <v>22.8</v>
          </cell>
        </row>
        <row r="16">
          <cell r="P16">
            <v>24.3</v>
          </cell>
        </row>
        <row r="17">
          <cell r="P17">
            <v>25.7</v>
          </cell>
        </row>
        <row r="18">
          <cell r="P18">
            <v>24.9</v>
          </cell>
        </row>
        <row r="19">
          <cell r="P19">
            <v>24.2</v>
          </cell>
        </row>
        <row r="20">
          <cell r="P20">
            <v>22.9</v>
          </cell>
        </row>
        <row r="21">
          <cell r="P21">
            <v>21.9</v>
          </cell>
        </row>
        <row r="22">
          <cell r="P22">
            <v>21.2</v>
          </cell>
        </row>
        <row r="23">
          <cell r="P23">
            <v>20.6</v>
          </cell>
        </row>
        <row r="24">
          <cell r="P24">
            <v>20.2</v>
          </cell>
        </row>
        <row r="25">
          <cell r="P25">
            <v>19.8</v>
          </cell>
        </row>
        <row r="26">
          <cell r="P26">
            <v>19.5</v>
          </cell>
        </row>
        <row r="27">
          <cell r="P27">
            <v>19.399999999999999</v>
          </cell>
        </row>
      </sheetData>
      <sheetData sheetId="26"/>
      <sheetData sheetId="27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18.8</v>
          </cell>
        </row>
        <row r="13">
          <cell r="P13">
            <v>20.2</v>
          </cell>
        </row>
        <row r="14">
          <cell r="P14">
            <v>22.5</v>
          </cell>
        </row>
        <row r="15">
          <cell r="P15">
            <v>23.9</v>
          </cell>
        </row>
        <row r="16">
          <cell r="P16">
            <v>25.6</v>
          </cell>
        </row>
        <row r="17">
          <cell r="P17">
            <v>26.6</v>
          </cell>
        </row>
        <row r="18">
          <cell r="P18">
            <v>27.2</v>
          </cell>
        </row>
        <row r="19">
          <cell r="P19">
            <v>26.5</v>
          </cell>
        </row>
        <row r="20">
          <cell r="P20">
            <v>25</v>
          </cell>
        </row>
        <row r="21">
          <cell r="P21">
            <v>23.7</v>
          </cell>
        </row>
        <row r="22">
          <cell r="P22">
            <v>23</v>
          </cell>
        </row>
        <row r="23">
          <cell r="P23">
            <v>22.2</v>
          </cell>
        </row>
        <row r="24">
          <cell r="P24">
            <v>21.6</v>
          </cell>
        </row>
        <row r="25">
          <cell r="P25">
            <v>21.3</v>
          </cell>
        </row>
        <row r="26">
          <cell r="P26">
            <v>20.9</v>
          </cell>
        </row>
        <row r="27">
          <cell r="P27">
            <v>20.7</v>
          </cell>
        </row>
      </sheetData>
      <sheetData sheetId="28"/>
      <sheetData sheetId="29">
        <row r="10">
          <cell r="P10">
            <v>18.8</v>
          </cell>
        </row>
        <row r="11">
          <cell r="P11">
            <v>19</v>
          </cell>
        </row>
        <row r="12">
          <cell r="P12">
            <v>19.5</v>
          </cell>
        </row>
        <row r="13">
          <cell r="P13">
            <v>21.2</v>
          </cell>
        </row>
        <row r="14">
          <cell r="P14">
            <v>24</v>
          </cell>
        </row>
        <row r="15">
          <cell r="P15">
            <v>26.3</v>
          </cell>
        </row>
        <row r="16">
          <cell r="P16">
            <v>28.7</v>
          </cell>
        </row>
        <row r="17">
          <cell r="P17">
            <v>29.4</v>
          </cell>
        </row>
        <row r="18">
          <cell r="P18">
            <v>29.8</v>
          </cell>
        </row>
        <row r="19">
          <cell r="P19">
            <v>28.4</v>
          </cell>
        </row>
        <row r="20">
          <cell r="P20">
            <v>26.6</v>
          </cell>
        </row>
        <row r="21">
          <cell r="P21">
            <v>25.2</v>
          </cell>
        </row>
        <row r="22">
          <cell r="P22">
            <v>24</v>
          </cell>
        </row>
        <row r="23">
          <cell r="P23">
            <v>23.6</v>
          </cell>
        </row>
        <row r="24">
          <cell r="P24">
            <v>22.6</v>
          </cell>
        </row>
        <row r="25">
          <cell r="P25">
            <v>22.2</v>
          </cell>
        </row>
        <row r="26">
          <cell r="P26">
            <v>22</v>
          </cell>
        </row>
        <row r="27">
          <cell r="P27">
            <v>21.6</v>
          </cell>
        </row>
      </sheetData>
      <sheetData sheetId="30"/>
      <sheetData sheetId="31">
        <row r="10">
          <cell r="P10">
            <v>19.5</v>
          </cell>
        </row>
        <row r="11">
          <cell r="P11">
            <v>19.5</v>
          </cell>
        </row>
        <row r="12">
          <cell r="P12">
            <v>20</v>
          </cell>
        </row>
        <row r="13">
          <cell r="P13">
            <v>20.6</v>
          </cell>
        </row>
        <row r="14">
          <cell r="P14">
            <v>21.4</v>
          </cell>
        </row>
        <row r="15">
          <cell r="P15">
            <v>22.4</v>
          </cell>
        </row>
        <row r="16">
          <cell r="P16">
            <v>23.4</v>
          </cell>
        </row>
        <row r="17">
          <cell r="P17">
            <v>22.8</v>
          </cell>
        </row>
        <row r="18">
          <cell r="P18">
            <v>22.8</v>
          </cell>
        </row>
        <row r="19">
          <cell r="P19">
            <v>22.8</v>
          </cell>
        </row>
        <row r="20">
          <cell r="P20">
            <v>22.2</v>
          </cell>
        </row>
        <row r="21">
          <cell r="P21">
            <v>21</v>
          </cell>
        </row>
        <row r="22">
          <cell r="P22">
            <v>20.6</v>
          </cell>
        </row>
        <row r="23">
          <cell r="P23">
            <v>20.100000000000001</v>
          </cell>
        </row>
        <row r="24">
          <cell r="P24">
            <v>19.8</v>
          </cell>
        </row>
        <row r="25">
          <cell r="P25">
            <v>19.600000000000001</v>
          </cell>
        </row>
        <row r="26">
          <cell r="P26">
            <v>19.2</v>
          </cell>
        </row>
        <row r="27">
          <cell r="P27">
            <v>19</v>
          </cell>
        </row>
      </sheetData>
      <sheetData sheetId="32"/>
      <sheetData sheetId="33">
        <row r="10">
          <cell r="P10">
            <v>17.399999999999999</v>
          </cell>
        </row>
        <row r="11">
          <cell r="P11">
            <v>17.7</v>
          </cell>
        </row>
        <row r="12">
          <cell r="P12">
            <v>18.5</v>
          </cell>
        </row>
        <row r="13">
          <cell r="P13">
            <v>19.7</v>
          </cell>
        </row>
        <row r="14">
          <cell r="P14">
            <v>20.8</v>
          </cell>
        </row>
        <row r="15">
          <cell r="P15">
            <v>21.1</v>
          </cell>
        </row>
        <row r="16">
          <cell r="P16">
            <v>22.4</v>
          </cell>
        </row>
        <row r="17">
          <cell r="P17">
            <v>23.5</v>
          </cell>
        </row>
        <row r="18">
          <cell r="P18">
            <v>24.4</v>
          </cell>
        </row>
        <row r="19">
          <cell r="P19">
            <v>24.4</v>
          </cell>
        </row>
        <row r="20">
          <cell r="P20">
            <v>23.2</v>
          </cell>
        </row>
        <row r="21">
          <cell r="P21">
            <v>21.8</v>
          </cell>
        </row>
        <row r="22">
          <cell r="P22">
            <v>21</v>
          </cell>
        </row>
        <row r="23">
          <cell r="P23">
            <v>20.399999999999999</v>
          </cell>
        </row>
        <row r="24">
          <cell r="P24">
            <v>20</v>
          </cell>
        </row>
        <row r="25">
          <cell r="P25">
            <v>19.5</v>
          </cell>
        </row>
        <row r="26">
          <cell r="P26">
            <v>19</v>
          </cell>
        </row>
        <row r="27">
          <cell r="P27">
            <v>18.399999999999999</v>
          </cell>
        </row>
      </sheetData>
      <sheetData sheetId="34"/>
      <sheetData sheetId="35">
        <row r="10">
          <cell r="P10">
            <v>16.2</v>
          </cell>
        </row>
        <row r="11">
          <cell r="P11">
            <v>16.399999999999999</v>
          </cell>
        </row>
        <row r="12">
          <cell r="P12">
            <v>17</v>
          </cell>
        </row>
        <row r="13">
          <cell r="P13">
            <v>18.2</v>
          </cell>
        </row>
        <row r="14">
          <cell r="P14">
            <v>20.2</v>
          </cell>
        </row>
        <row r="15">
          <cell r="P15">
            <v>22</v>
          </cell>
        </row>
        <row r="16">
          <cell r="P16">
            <v>24</v>
          </cell>
        </row>
        <row r="17">
          <cell r="P17">
            <v>25.3</v>
          </cell>
        </row>
        <row r="18">
          <cell r="P18">
            <v>25.6</v>
          </cell>
        </row>
        <row r="19">
          <cell r="P19">
            <v>24.5</v>
          </cell>
        </row>
        <row r="20">
          <cell r="P20">
            <v>22.4</v>
          </cell>
        </row>
        <row r="21">
          <cell r="P21">
            <v>21</v>
          </cell>
        </row>
        <row r="22">
          <cell r="P22">
            <v>19.399999999999999</v>
          </cell>
        </row>
        <row r="23">
          <cell r="P23">
            <v>18.399999999999999</v>
          </cell>
        </row>
        <row r="24">
          <cell r="P24">
            <v>17.5</v>
          </cell>
        </row>
        <row r="25">
          <cell r="P25">
            <v>16.8</v>
          </cell>
        </row>
        <row r="26">
          <cell r="P26">
            <v>16</v>
          </cell>
        </row>
        <row r="27">
          <cell r="P27">
            <v>15.6</v>
          </cell>
        </row>
      </sheetData>
      <sheetData sheetId="36"/>
      <sheetData sheetId="37">
        <row r="10">
          <cell r="P10">
            <v>12.2</v>
          </cell>
        </row>
        <row r="11">
          <cell r="P11">
            <v>12.2</v>
          </cell>
        </row>
        <row r="12">
          <cell r="P12">
            <v>13</v>
          </cell>
        </row>
        <row r="13">
          <cell r="P13">
            <v>14.9</v>
          </cell>
        </row>
        <row r="14">
          <cell r="P14">
            <v>17.2</v>
          </cell>
        </row>
        <row r="15">
          <cell r="P15">
            <v>18.399999999999999</v>
          </cell>
        </row>
        <row r="16">
          <cell r="P16">
            <v>20.2</v>
          </cell>
        </row>
        <row r="17">
          <cell r="P17">
            <v>21</v>
          </cell>
        </row>
        <row r="18">
          <cell r="P18">
            <v>21</v>
          </cell>
        </row>
        <row r="19">
          <cell r="P19">
            <v>20.3</v>
          </cell>
        </row>
        <row r="20">
          <cell r="P20">
            <v>19</v>
          </cell>
        </row>
        <row r="21">
          <cell r="P21">
            <v>17.600000000000001</v>
          </cell>
        </row>
        <row r="22">
          <cell r="P22">
            <v>16.600000000000001</v>
          </cell>
        </row>
        <row r="23">
          <cell r="P23">
            <v>15.9</v>
          </cell>
        </row>
        <row r="24">
          <cell r="P24">
            <v>15.4</v>
          </cell>
        </row>
        <row r="25">
          <cell r="P25">
            <v>14.9</v>
          </cell>
        </row>
        <row r="26">
          <cell r="P26">
            <v>14.5</v>
          </cell>
        </row>
        <row r="27">
          <cell r="P27">
            <v>14.2</v>
          </cell>
        </row>
      </sheetData>
      <sheetData sheetId="38"/>
      <sheetData sheetId="39">
        <row r="10">
          <cell r="P10">
            <v>12.5</v>
          </cell>
        </row>
        <row r="11">
          <cell r="P11">
            <v>12.6</v>
          </cell>
        </row>
        <row r="12">
          <cell r="P12">
            <v>13.2</v>
          </cell>
        </row>
        <row r="13">
          <cell r="P13">
            <v>14.2</v>
          </cell>
        </row>
        <row r="14">
          <cell r="P14">
            <v>16</v>
          </cell>
        </row>
        <row r="15">
          <cell r="P15">
            <v>18</v>
          </cell>
        </row>
        <row r="16">
          <cell r="P16">
            <v>18.2</v>
          </cell>
        </row>
        <row r="17">
          <cell r="P17">
            <v>18.399999999999999</v>
          </cell>
        </row>
        <row r="18">
          <cell r="P18">
            <v>18</v>
          </cell>
        </row>
        <row r="19">
          <cell r="P19">
            <v>17.8</v>
          </cell>
        </row>
        <row r="20">
          <cell r="P20">
            <v>17.2</v>
          </cell>
        </row>
        <row r="21">
          <cell r="P21">
            <v>16.600000000000001</v>
          </cell>
        </row>
        <row r="22">
          <cell r="P22">
            <v>15.8</v>
          </cell>
        </row>
        <row r="23">
          <cell r="P23">
            <v>15</v>
          </cell>
        </row>
        <row r="24">
          <cell r="P24">
            <v>14.3</v>
          </cell>
        </row>
        <row r="25">
          <cell r="P25">
            <v>13.7</v>
          </cell>
        </row>
        <row r="26">
          <cell r="P26">
            <v>13.3</v>
          </cell>
        </row>
        <row r="27">
          <cell r="P27">
            <v>12.8</v>
          </cell>
        </row>
      </sheetData>
      <sheetData sheetId="40"/>
      <sheetData sheetId="41">
        <row r="10">
          <cell r="P10">
            <v>10.199999999999999</v>
          </cell>
        </row>
        <row r="11">
          <cell r="P11">
            <v>11</v>
          </cell>
        </row>
        <row r="12">
          <cell r="P12">
            <v>12</v>
          </cell>
        </row>
        <row r="13">
          <cell r="P13">
            <v>14.8</v>
          </cell>
        </row>
        <row r="14">
          <cell r="P14">
            <v>16</v>
          </cell>
        </row>
        <row r="15">
          <cell r="P15">
            <v>17.399999999999999</v>
          </cell>
        </row>
        <row r="16">
          <cell r="P16">
            <v>19</v>
          </cell>
        </row>
        <row r="17">
          <cell r="P17">
            <v>20.8</v>
          </cell>
        </row>
        <row r="18">
          <cell r="P18">
            <v>21.4</v>
          </cell>
        </row>
        <row r="19">
          <cell r="P19">
            <v>20.9</v>
          </cell>
        </row>
        <row r="20">
          <cell r="P20">
            <v>19.7</v>
          </cell>
        </row>
        <row r="21">
          <cell r="P21">
            <v>18.5</v>
          </cell>
        </row>
        <row r="22">
          <cell r="P22">
            <v>17.399999999999999</v>
          </cell>
        </row>
        <row r="23">
          <cell r="P23">
            <v>16.600000000000001</v>
          </cell>
        </row>
        <row r="24">
          <cell r="P24">
            <v>15.8</v>
          </cell>
        </row>
        <row r="25">
          <cell r="P25">
            <v>15.1</v>
          </cell>
        </row>
        <row r="26">
          <cell r="P26">
            <v>14.6</v>
          </cell>
        </row>
        <row r="27">
          <cell r="P27">
            <v>14.1</v>
          </cell>
        </row>
      </sheetData>
      <sheetData sheetId="42"/>
      <sheetData sheetId="43">
        <row r="10">
          <cell r="P10">
            <v>13.8</v>
          </cell>
        </row>
        <row r="11">
          <cell r="P11">
            <v>14</v>
          </cell>
        </row>
        <row r="12">
          <cell r="P12">
            <v>14.4</v>
          </cell>
        </row>
        <row r="13">
          <cell r="P13">
            <v>16.2</v>
          </cell>
        </row>
        <row r="14">
          <cell r="P14">
            <v>18.8</v>
          </cell>
        </row>
        <row r="15">
          <cell r="P15">
            <v>22.1</v>
          </cell>
        </row>
        <row r="16">
          <cell r="P16">
            <v>24</v>
          </cell>
        </row>
        <row r="17">
          <cell r="P17">
            <v>25.3</v>
          </cell>
        </row>
        <row r="18">
          <cell r="P18">
            <v>25.1</v>
          </cell>
        </row>
        <row r="19">
          <cell r="P19">
            <v>26.1</v>
          </cell>
        </row>
        <row r="20">
          <cell r="P20">
            <v>22.5</v>
          </cell>
        </row>
        <row r="21">
          <cell r="P21">
            <v>21.1</v>
          </cell>
        </row>
        <row r="22">
          <cell r="P22">
            <v>20</v>
          </cell>
        </row>
        <row r="23">
          <cell r="P23">
            <v>18.600000000000001</v>
          </cell>
        </row>
        <row r="24">
          <cell r="P24">
            <v>17.7</v>
          </cell>
        </row>
        <row r="25">
          <cell r="P25">
            <v>17</v>
          </cell>
        </row>
        <row r="26">
          <cell r="P26">
            <v>16.3</v>
          </cell>
        </row>
        <row r="27">
          <cell r="P27">
            <v>15.8</v>
          </cell>
        </row>
      </sheetData>
      <sheetData sheetId="44"/>
      <sheetData sheetId="45">
        <row r="10">
          <cell r="P10">
            <v>14</v>
          </cell>
        </row>
        <row r="11">
          <cell r="P11">
            <v>14.4</v>
          </cell>
        </row>
        <row r="12">
          <cell r="P12">
            <v>15.2</v>
          </cell>
        </row>
        <row r="13">
          <cell r="P13">
            <v>17</v>
          </cell>
        </row>
        <row r="14">
          <cell r="P14">
            <v>19.399999999999999</v>
          </cell>
        </row>
        <row r="15">
          <cell r="P15">
            <v>22.6</v>
          </cell>
        </row>
        <row r="16">
          <cell r="P16">
            <v>24.8</v>
          </cell>
        </row>
        <row r="17">
          <cell r="P17">
            <v>26.4</v>
          </cell>
        </row>
        <row r="18">
          <cell r="P18">
            <v>26.4</v>
          </cell>
        </row>
        <row r="19">
          <cell r="P19">
            <v>25.8</v>
          </cell>
        </row>
        <row r="20">
          <cell r="P20">
            <v>24.2</v>
          </cell>
        </row>
        <row r="21">
          <cell r="P21">
            <v>22.4</v>
          </cell>
        </row>
        <row r="22">
          <cell r="P22">
            <v>21</v>
          </cell>
        </row>
        <row r="23">
          <cell r="P23">
            <v>19.899999999999999</v>
          </cell>
        </row>
        <row r="24">
          <cell r="P24">
            <v>18.899999999999999</v>
          </cell>
        </row>
        <row r="25">
          <cell r="P25">
            <v>18.100000000000001</v>
          </cell>
        </row>
        <row r="26">
          <cell r="P26">
            <v>17.399999999999999</v>
          </cell>
        </row>
        <row r="27">
          <cell r="P27">
            <v>16.7</v>
          </cell>
        </row>
      </sheetData>
      <sheetData sheetId="46"/>
      <sheetData sheetId="47">
        <row r="10">
          <cell r="P10">
            <v>13.6</v>
          </cell>
        </row>
        <row r="11">
          <cell r="P11">
            <v>14</v>
          </cell>
        </row>
        <row r="12">
          <cell r="P12">
            <v>15</v>
          </cell>
        </row>
        <row r="13">
          <cell r="P13">
            <v>17</v>
          </cell>
        </row>
        <row r="14">
          <cell r="P14">
            <v>19.8</v>
          </cell>
        </row>
        <row r="15">
          <cell r="P15">
            <v>22.2</v>
          </cell>
        </row>
        <row r="16">
          <cell r="P16">
            <v>24.4</v>
          </cell>
        </row>
        <row r="17">
          <cell r="P17">
            <v>26</v>
          </cell>
        </row>
        <row r="18">
          <cell r="P18">
            <v>26</v>
          </cell>
        </row>
        <row r="19">
          <cell r="P19">
            <v>25.6</v>
          </cell>
        </row>
        <row r="20">
          <cell r="P20">
            <v>24.5</v>
          </cell>
        </row>
        <row r="21">
          <cell r="P21">
            <v>23</v>
          </cell>
        </row>
        <row r="22">
          <cell r="P22">
            <v>21.9</v>
          </cell>
        </row>
        <row r="23">
          <cell r="P23">
            <v>20.6</v>
          </cell>
        </row>
        <row r="24">
          <cell r="P24">
            <v>19.899999999999999</v>
          </cell>
        </row>
        <row r="25">
          <cell r="P25">
            <v>18.899999999999999</v>
          </cell>
        </row>
        <row r="26">
          <cell r="P26">
            <v>18.3</v>
          </cell>
        </row>
        <row r="27">
          <cell r="P27">
            <v>17.600000000000001</v>
          </cell>
        </row>
      </sheetData>
      <sheetData sheetId="48"/>
      <sheetData sheetId="49">
        <row r="10">
          <cell r="P10">
            <v>15.1</v>
          </cell>
        </row>
        <row r="11">
          <cell r="P11">
            <v>15.4</v>
          </cell>
        </row>
        <row r="12">
          <cell r="P12">
            <v>16.399999999999999</v>
          </cell>
        </row>
        <row r="13">
          <cell r="P13">
            <v>18.600000000000001</v>
          </cell>
        </row>
        <row r="14">
          <cell r="P14">
            <v>21.3</v>
          </cell>
        </row>
        <row r="15">
          <cell r="P15">
            <v>24.1</v>
          </cell>
        </row>
        <row r="16">
          <cell r="P16">
            <v>26.6</v>
          </cell>
        </row>
        <row r="17">
          <cell r="P17">
            <v>27.8</v>
          </cell>
        </row>
        <row r="18">
          <cell r="P18">
            <v>27.9</v>
          </cell>
        </row>
        <row r="19">
          <cell r="P19">
            <v>27.1</v>
          </cell>
        </row>
        <row r="20">
          <cell r="P20">
            <v>25.4</v>
          </cell>
        </row>
        <row r="21">
          <cell r="P21">
            <v>23.8</v>
          </cell>
        </row>
        <row r="22">
          <cell r="P22">
            <v>22.5</v>
          </cell>
        </row>
        <row r="23">
          <cell r="P23">
            <v>21.4</v>
          </cell>
        </row>
        <row r="24">
          <cell r="P24">
            <v>20.399999999999999</v>
          </cell>
        </row>
        <row r="25">
          <cell r="P25">
            <v>19.600000000000001</v>
          </cell>
        </row>
        <row r="26">
          <cell r="P26">
            <v>18.8</v>
          </cell>
        </row>
        <row r="27">
          <cell r="P27">
            <v>18.2</v>
          </cell>
        </row>
      </sheetData>
      <sheetData sheetId="50"/>
      <sheetData sheetId="51">
        <row r="10">
          <cell r="P10">
            <v>15.4</v>
          </cell>
        </row>
        <row r="11">
          <cell r="P11">
            <v>16.2</v>
          </cell>
        </row>
        <row r="12">
          <cell r="P12">
            <v>16.399999999999999</v>
          </cell>
        </row>
        <row r="13">
          <cell r="P13">
            <v>18</v>
          </cell>
        </row>
        <row r="14">
          <cell r="P14">
            <v>20.2</v>
          </cell>
        </row>
        <row r="15">
          <cell r="P15">
            <v>22</v>
          </cell>
        </row>
        <row r="16">
          <cell r="P16">
            <v>24.6</v>
          </cell>
        </row>
        <row r="17">
          <cell r="P17">
            <v>26.8</v>
          </cell>
        </row>
        <row r="18">
          <cell r="P18">
            <v>27</v>
          </cell>
        </row>
        <row r="19">
          <cell r="P19">
            <v>26.4</v>
          </cell>
        </row>
        <row r="20">
          <cell r="P20">
            <v>25.1</v>
          </cell>
        </row>
        <row r="21">
          <cell r="P21">
            <v>23.4</v>
          </cell>
        </row>
        <row r="22">
          <cell r="P22">
            <v>21.8</v>
          </cell>
        </row>
        <row r="23">
          <cell r="P23">
            <v>21</v>
          </cell>
        </row>
        <row r="24">
          <cell r="P24">
            <v>20.2</v>
          </cell>
        </row>
        <row r="25">
          <cell r="P25">
            <v>19.5</v>
          </cell>
        </row>
        <row r="26">
          <cell r="P26">
            <v>18.8</v>
          </cell>
        </row>
        <row r="27">
          <cell r="P27">
            <v>18.3</v>
          </cell>
        </row>
      </sheetData>
      <sheetData sheetId="52"/>
      <sheetData sheetId="53">
        <row r="10">
          <cell r="P10">
            <v>15.5</v>
          </cell>
        </row>
        <row r="11">
          <cell r="P11">
            <v>15.7</v>
          </cell>
        </row>
        <row r="12">
          <cell r="P12">
            <v>16.8</v>
          </cell>
        </row>
        <row r="13">
          <cell r="P13">
            <v>19.399999999999999</v>
          </cell>
        </row>
        <row r="14">
          <cell r="P14">
            <v>21.9</v>
          </cell>
        </row>
        <row r="15">
          <cell r="P15">
            <v>24.4</v>
          </cell>
        </row>
        <row r="16">
          <cell r="P16">
            <v>25.4</v>
          </cell>
        </row>
        <row r="17">
          <cell r="P17">
            <v>26.9</v>
          </cell>
        </row>
        <row r="18">
          <cell r="P18">
            <v>27.4</v>
          </cell>
        </row>
        <row r="19">
          <cell r="P19">
            <v>26.8</v>
          </cell>
        </row>
        <row r="20">
          <cell r="P20">
            <v>25.2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20.2</v>
          </cell>
        </row>
        <row r="26">
          <cell r="P26">
            <v>20</v>
          </cell>
        </row>
        <row r="27">
          <cell r="P27">
            <v>19</v>
          </cell>
        </row>
      </sheetData>
      <sheetData sheetId="54"/>
      <sheetData sheetId="55">
        <row r="10">
          <cell r="P10">
            <v>16</v>
          </cell>
        </row>
        <row r="11">
          <cell r="P11">
            <v>16.399999999999999</v>
          </cell>
        </row>
        <row r="12">
          <cell r="P12">
            <v>17.600000000000001</v>
          </cell>
        </row>
        <row r="13">
          <cell r="P13">
            <v>19.8</v>
          </cell>
        </row>
        <row r="14">
          <cell r="P14">
            <v>22.2</v>
          </cell>
        </row>
        <row r="15">
          <cell r="P15">
            <v>24.6</v>
          </cell>
        </row>
        <row r="16">
          <cell r="P16">
            <v>26.2</v>
          </cell>
        </row>
        <row r="17">
          <cell r="P17">
            <v>27.8</v>
          </cell>
        </row>
        <row r="18">
          <cell r="P18">
            <v>27.9</v>
          </cell>
        </row>
        <row r="19">
          <cell r="P19">
            <v>27.1</v>
          </cell>
        </row>
        <row r="20">
          <cell r="P20">
            <v>25.6</v>
          </cell>
        </row>
        <row r="21">
          <cell r="P21">
            <v>24.2</v>
          </cell>
        </row>
        <row r="22">
          <cell r="P22">
            <v>22.9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19.899999999999999</v>
          </cell>
        </row>
        <row r="26">
          <cell r="P26">
            <v>19.600000000000001</v>
          </cell>
        </row>
        <row r="27">
          <cell r="P27">
            <v>19</v>
          </cell>
        </row>
      </sheetData>
      <sheetData sheetId="56"/>
      <sheetData sheetId="57">
        <row r="10">
          <cell r="P10">
            <v>16</v>
          </cell>
        </row>
        <row r="11">
          <cell r="P11">
            <v>16.2</v>
          </cell>
        </row>
        <row r="12">
          <cell r="P12">
            <v>17.2</v>
          </cell>
        </row>
        <row r="13">
          <cell r="P13">
            <v>18.8</v>
          </cell>
        </row>
        <row r="14">
          <cell r="P14">
            <v>21.4</v>
          </cell>
        </row>
        <row r="15">
          <cell r="P15">
            <v>23.8</v>
          </cell>
        </row>
        <row r="16">
          <cell r="P16">
            <v>26.4</v>
          </cell>
        </row>
        <row r="17">
          <cell r="P17">
            <v>27.8</v>
          </cell>
        </row>
        <row r="18">
          <cell r="P18">
            <v>28</v>
          </cell>
        </row>
        <row r="19">
          <cell r="P19">
            <v>27</v>
          </cell>
        </row>
        <row r="20">
          <cell r="P20">
            <v>25.8</v>
          </cell>
        </row>
        <row r="21">
          <cell r="P21">
            <v>24.2</v>
          </cell>
        </row>
        <row r="22">
          <cell r="P22">
            <v>22.6</v>
          </cell>
        </row>
        <row r="23">
          <cell r="P23">
            <v>21.6</v>
          </cell>
        </row>
        <row r="24">
          <cell r="P24">
            <v>20.6</v>
          </cell>
        </row>
        <row r="25">
          <cell r="P25">
            <v>20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58"/>
      <sheetData sheetId="59">
        <row r="10">
          <cell r="P10">
            <v>15.8</v>
          </cell>
        </row>
        <row r="11">
          <cell r="P11">
            <v>16.2</v>
          </cell>
        </row>
        <row r="12">
          <cell r="P12">
            <v>17.600000000000001</v>
          </cell>
        </row>
        <row r="13">
          <cell r="P13">
            <v>19.8</v>
          </cell>
        </row>
        <row r="14">
          <cell r="P14">
            <v>22.4</v>
          </cell>
        </row>
        <row r="15">
          <cell r="P15">
            <v>24.8</v>
          </cell>
        </row>
        <row r="16">
          <cell r="P16">
            <v>26.8</v>
          </cell>
        </row>
        <row r="17">
          <cell r="P17">
            <v>28</v>
          </cell>
        </row>
        <row r="18">
          <cell r="P18">
            <v>28</v>
          </cell>
        </row>
        <row r="19">
          <cell r="P19">
            <v>27.2</v>
          </cell>
        </row>
        <row r="20">
          <cell r="P20">
            <v>26</v>
          </cell>
        </row>
        <row r="21">
          <cell r="P21">
            <v>24.4</v>
          </cell>
        </row>
        <row r="22">
          <cell r="P22">
            <v>23.2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20.8</v>
          </cell>
        </row>
        <row r="27">
          <cell r="P27">
            <v>20.399999999999999</v>
          </cell>
        </row>
      </sheetData>
      <sheetData sheetId="60"/>
      <sheetData sheetId="61">
        <row r="10">
          <cell r="P10">
            <v>19.3</v>
          </cell>
        </row>
        <row r="11">
          <cell r="P11">
            <v>19.2</v>
          </cell>
        </row>
        <row r="12">
          <cell r="P12">
            <v>19.7</v>
          </cell>
        </row>
        <row r="13">
          <cell r="P13">
            <v>19.899999999999999</v>
          </cell>
        </row>
        <row r="14">
          <cell r="P14">
            <v>20.5</v>
          </cell>
        </row>
        <row r="15">
          <cell r="P15">
            <v>21.2</v>
          </cell>
        </row>
        <row r="16">
          <cell r="P16">
            <v>21.4</v>
          </cell>
        </row>
        <row r="17">
          <cell r="P17">
            <v>21.8</v>
          </cell>
        </row>
        <row r="18">
          <cell r="P18">
            <v>21.9</v>
          </cell>
        </row>
        <row r="19">
          <cell r="P19">
            <v>21.8</v>
          </cell>
        </row>
        <row r="20">
          <cell r="P20">
            <v>21.4</v>
          </cell>
        </row>
        <row r="21">
          <cell r="P21">
            <v>20.9</v>
          </cell>
        </row>
        <row r="22">
          <cell r="P22">
            <v>21.2</v>
          </cell>
        </row>
        <row r="23">
          <cell r="P23">
            <v>19.5</v>
          </cell>
        </row>
        <row r="24">
          <cell r="P24">
            <v>19</v>
          </cell>
        </row>
        <row r="25">
          <cell r="P25">
            <v>18.8</v>
          </cell>
        </row>
        <row r="26">
          <cell r="P26">
            <v>18.8</v>
          </cell>
        </row>
        <row r="27">
          <cell r="P27">
            <v>18.7</v>
          </cell>
        </row>
      </sheetData>
      <sheetData sheetId="62"/>
      <sheetData sheetId="63">
        <row r="10">
          <cell r="P10">
            <v>18</v>
          </cell>
        </row>
        <row r="11">
          <cell r="P11">
            <v>18</v>
          </cell>
        </row>
        <row r="12">
          <cell r="P12">
            <v>18.100000000000001</v>
          </cell>
        </row>
        <row r="13">
          <cell r="P13">
            <v>18.5</v>
          </cell>
        </row>
        <row r="14">
          <cell r="P14">
            <v>18.7</v>
          </cell>
        </row>
        <row r="15">
          <cell r="P15">
            <v>18.7</v>
          </cell>
        </row>
        <row r="16">
          <cell r="P16">
            <v>18.8</v>
          </cell>
        </row>
        <row r="17">
          <cell r="P17">
            <v>18.899999999999999</v>
          </cell>
        </row>
        <row r="18">
          <cell r="P18">
            <v>18.8</v>
          </cell>
        </row>
        <row r="19">
          <cell r="P19">
            <v>18.7</v>
          </cell>
        </row>
        <row r="20">
          <cell r="P20">
            <v>18.399999999999999</v>
          </cell>
        </row>
        <row r="21">
          <cell r="P21">
            <v>18.100000000000001</v>
          </cell>
        </row>
        <row r="22">
          <cell r="P22">
            <v>17.8</v>
          </cell>
        </row>
        <row r="23">
          <cell r="P23">
            <v>17.7</v>
          </cell>
        </row>
        <row r="24">
          <cell r="P24">
            <v>17.600000000000001</v>
          </cell>
        </row>
        <row r="25">
          <cell r="P25">
            <v>17.399999999999999</v>
          </cell>
        </row>
        <row r="26">
          <cell r="P26">
            <v>17.3</v>
          </cell>
        </row>
        <row r="27">
          <cell r="P27">
            <v>17.3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17</v>
          </cell>
        </row>
        <row r="11">
          <cell r="P11">
            <v>17</v>
          </cell>
        </row>
        <row r="12">
          <cell r="P12">
            <v>17.2</v>
          </cell>
        </row>
        <row r="13">
          <cell r="P13">
            <v>17.600000000000001</v>
          </cell>
        </row>
        <row r="14">
          <cell r="P14">
            <v>18.2</v>
          </cell>
        </row>
        <row r="15">
          <cell r="P15">
            <v>19.2</v>
          </cell>
        </row>
        <row r="16">
          <cell r="P16">
            <v>21</v>
          </cell>
        </row>
        <row r="17">
          <cell r="P17">
            <v>21.8</v>
          </cell>
        </row>
        <row r="18">
          <cell r="P18">
            <v>22</v>
          </cell>
        </row>
        <row r="19">
          <cell r="P19">
            <v>22.2</v>
          </cell>
        </row>
        <row r="20">
          <cell r="P20">
            <v>21.6</v>
          </cell>
        </row>
        <row r="21">
          <cell r="P21">
            <v>20.8</v>
          </cell>
        </row>
        <row r="22">
          <cell r="P22">
            <v>20.3</v>
          </cell>
        </row>
        <row r="23">
          <cell r="P23">
            <v>20</v>
          </cell>
        </row>
        <row r="24">
          <cell r="P24">
            <v>19.600000000000001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4">
        <row r="1">
          <cell r="C1" t="str">
            <v>JUNHO DE 2022</v>
          </cell>
        </row>
      </sheetData>
      <sheetData sheetId="5">
        <row r="10">
          <cell r="P10">
            <v>17.8</v>
          </cell>
        </row>
        <row r="11">
          <cell r="P11">
            <v>18</v>
          </cell>
        </row>
        <row r="12">
          <cell r="P12">
            <v>18.8</v>
          </cell>
        </row>
        <row r="13">
          <cell r="P13">
            <v>19.8</v>
          </cell>
        </row>
        <row r="14">
          <cell r="P14">
            <v>20</v>
          </cell>
        </row>
        <row r="15">
          <cell r="P15">
            <v>19.600000000000001</v>
          </cell>
        </row>
        <row r="16">
          <cell r="P16">
            <v>20</v>
          </cell>
        </row>
        <row r="17">
          <cell r="P17">
            <v>20</v>
          </cell>
        </row>
        <row r="18">
          <cell r="P18">
            <v>20</v>
          </cell>
        </row>
        <row r="19">
          <cell r="P19">
            <v>20.100000000000001</v>
          </cell>
        </row>
        <row r="20">
          <cell r="P20">
            <v>19.399999999999999</v>
          </cell>
        </row>
        <row r="21">
          <cell r="P21">
            <v>18.899999999999999</v>
          </cell>
        </row>
        <row r="22">
          <cell r="P22">
            <v>18.5</v>
          </cell>
        </row>
        <row r="23">
          <cell r="P23">
            <v>18.2</v>
          </cell>
        </row>
        <row r="24">
          <cell r="P24">
            <v>17.7</v>
          </cell>
        </row>
        <row r="25">
          <cell r="P25">
            <v>17.600000000000001</v>
          </cell>
        </row>
        <row r="26">
          <cell r="P26">
            <v>17.5</v>
          </cell>
        </row>
        <row r="27">
          <cell r="P27">
            <v>17.3</v>
          </cell>
        </row>
      </sheetData>
      <sheetData sheetId="6"/>
      <sheetData sheetId="7">
        <row r="10">
          <cell r="P10">
            <v>16.8</v>
          </cell>
        </row>
        <row r="11">
          <cell r="P11">
            <v>16.8</v>
          </cell>
        </row>
        <row r="12">
          <cell r="P12">
            <v>16.899999999999999</v>
          </cell>
        </row>
        <row r="13">
          <cell r="P13">
            <v>17.399999999999999</v>
          </cell>
        </row>
        <row r="14">
          <cell r="P14">
            <v>18.399999999999999</v>
          </cell>
        </row>
        <row r="15">
          <cell r="P15">
            <v>19.399999999999999</v>
          </cell>
        </row>
        <row r="16">
          <cell r="P16">
            <v>20.7</v>
          </cell>
        </row>
        <row r="17">
          <cell r="P17">
            <v>20.5</v>
          </cell>
        </row>
        <row r="18">
          <cell r="P18">
            <v>20.399999999999999</v>
          </cell>
        </row>
        <row r="19">
          <cell r="P19">
            <v>20</v>
          </cell>
        </row>
        <row r="20">
          <cell r="P20">
            <v>20</v>
          </cell>
        </row>
        <row r="21">
          <cell r="P21">
            <v>19</v>
          </cell>
        </row>
        <row r="22">
          <cell r="P22">
            <v>18</v>
          </cell>
        </row>
        <row r="23">
          <cell r="P23">
            <v>17</v>
          </cell>
        </row>
        <row r="24">
          <cell r="P24">
            <v>17.100000000000001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16.8</v>
          </cell>
        </row>
      </sheetData>
      <sheetData sheetId="8"/>
      <sheetData sheetId="9">
        <row r="10">
          <cell r="P10">
            <v>16.2</v>
          </cell>
        </row>
        <row r="11">
          <cell r="P11">
            <v>16.2</v>
          </cell>
        </row>
        <row r="12">
          <cell r="P12">
            <v>16.8</v>
          </cell>
        </row>
        <row r="13">
          <cell r="P13">
            <v>17</v>
          </cell>
        </row>
        <row r="14">
          <cell r="P14">
            <v>17.899999999999999</v>
          </cell>
        </row>
        <row r="15">
          <cell r="P15">
            <v>18.399999999999999</v>
          </cell>
        </row>
        <row r="16">
          <cell r="P16">
            <v>19.5</v>
          </cell>
        </row>
        <row r="17">
          <cell r="P17">
            <v>20.3</v>
          </cell>
        </row>
        <row r="18">
          <cell r="P18">
            <v>20.6</v>
          </cell>
        </row>
        <row r="19">
          <cell r="P19">
            <v>20</v>
          </cell>
        </row>
        <row r="20">
          <cell r="P20">
            <v>19.5</v>
          </cell>
        </row>
        <row r="21">
          <cell r="P21">
            <v>18.600000000000001</v>
          </cell>
        </row>
        <row r="22">
          <cell r="P22">
            <v>18</v>
          </cell>
        </row>
        <row r="23">
          <cell r="P23">
            <v>17.7</v>
          </cell>
        </row>
        <row r="24">
          <cell r="P24">
            <v>17.399999999999999</v>
          </cell>
        </row>
        <row r="25">
          <cell r="P25">
            <v>17.2</v>
          </cell>
        </row>
        <row r="26">
          <cell r="P26">
            <v>17</v>
          </cell>
        </row>
        <row r="27">
          <cell r="P27">
            <v>16.899999999999999</v>
          </cell>
        </row>
      </sheetData>
      <sheetData sheetId="10"/>
      <sheetData sheetId="11">
        <row r="10">
          <cell r="P10">
            <v>15.6</v>
          </cell>
        </row>
        <row r="11">
          <cell r="P11">
            <v>15.6</v>
          </cell>
        </row>
        <row r="12">
          <cell r="P12">
            <v>15.8</v>
          </cell>
        </row>
        <row r="13">
          <cell r="P13">
            <v>16.8</v>
          </cell>
        </row>
        <row r="14">
          <cell r="P14">
            <v>19.600000000000001</v>
          </cell>
        </row>
        <row r="15">
          <cell r="P15">
            <v>21</v>
          </cell>
        </row>
        <row r="16">
          <cell r="P16">
            <v>23</v>
          </cell>
        </row>
        <row r="17">
          <cell r="P17">
            <v>24</v>
          </cell>
        </row>
        <row r="18">
          <cell r="P18">
            <v>24.4</v>
          </cell>
        </row>
        <row r="19">
          <cell r="P19">
            <v>23.9</v>
          </cell>
        </row>
        <row r="20">
          <cell r="P20">
            <v>22.9</v>
          </cell>
        </row>
        <row r="21">
          <cell r="P21">
            <v>21.4</v>
          </cell>
        </row>
        <row r="22">
          <cell r="P22">
            <v>20</v>
          </cell>
        </row>
        <row r="23">
          <cell r="P23">
            <v>19.5</v>
          </cell>
        </row>
        <row r="24">
          <cell r="P24">
            <v>19.100000000000001</v>
          </cell>
        </row>
        <row r="25">
          <cell r="P25">
            <v>18.600000000000001</v>
          </cell>
        </row>
        <row r="26">
          <cell r="P26">
            <v>18.3</v>
          </cell>
        </row>
        <row r="27">
          <cell r="P27">
            <v>17.5</v>
          </cell>
        </row>
      </sheetData>
      <sheetData sheetId="12"/>
      <sheetData sheetId="13">
        <row r="10">
          <cell r="P10">
            <v>15.3</v>
          </cell>
        </row>
        <row r="11">
          <cell r="P11">
            <v>15.6</v>
          </cell>
        </row>
        <row r="12">
          <cell r="P12">
            <v>16.399999999999999</v>
          </cell>
        </row>
        <row r="13">
          <cell r="P13">
            <v>17.600000000000001</v>
          </cell>
        </row>
        <row r="14">
          <cell r="P14">
            <v>19.600000000000001</v>
          </cell>
        </row>
        <row r="15">
          <cell r="P15">
            <v>21.2</v>
          </cell>
        </row>
        <row r="16">
          <cell r="P16">
            <v>22.8</v>
          </cell>
        </row>
        <row r="17">
          <cell r="P17">
            <v>23.8</v>
          </cell>
        </row>
        <row r="18">
          <cell r="P18">
            <v>23.9</v>
          </cell>
        </row>
        <row r="19">
          <cell r="P19">
            <v>23.4</v>
          </cell>
        </row>
        <row r="20">
          <cell r="P20">
            <v>22.4</v>
          </cell>
        </row>
        <row r="21">
          <cell r="P21">
            <v>21.3</v>
          </cell>
        </row>
        <row r="22">
          <cell r="P22">
            <v>20.399999999999999</v>
          </cell>
        </row>
        <row r="23">
          <cell r="P23">
            <v>19.7</v>
          </cell>
        </row>
        <row r="24">
          <cell r="P24">
            <v>19</v>
          </cell>
        </row>
        <row r="25">
          <cell r="P25">
            <v>18.8</v>
          </cell>
        </row>
        <row r="26">
          <cell r="P26">
            <v>18.600000000000001</v>
          </cell>
        </row>
        <row r="27">
          <cell r="P27">
            <v>18.3</v>
          </cell>
        </row>
      </sheetData>
      <sheetData sheetId="14"/>
      <sheetData sheetId="15">
        <row r="10">
          <cell r="P10">
            <v>15.8</v>
          </cell>
        </row>
        <row r="11">
          <cell r="P11">
            <v>16.2</v>
          </cell>
        </row>
        <row r="12">
          <cell r="P12">
            <v>17.100000000000001</v>
          </cell>
        </row>
        <row r="13">
          <cell r="P13">
            <v>18.5</v>
          </cell>
        </row>
        <row r="14">
          <cell r="P14">
            <v>19.899999999999999</v>
          </cell>
        </row>
        <row r="15">
          <cell r="P15">
            <v>21.1</v>
          </cell>
        </row>
        <row r="16">
          <cell r="P16">
            <v>22.2</v>
          </cell>
        </row>
        <row r="17">
          <cell r="P17">
            <v>22.2</v>
          </cell>
        </row>
        <row r="18">
          <cell r="P18">
            <v>21.8</v>
          </cell>
        </row>
        <row r="19">
          <cell r="P19">
            <v>21.1</v>
          </cell>
        </row>
        <row r="20">
          <cell r="P20">
            <v>20.7</v>
          </cell>
        </row>
        <row r="21">
          <cell r="P21">
            <v>20</v>
          </cell>
        </row>
        <row r="22">
          <cell r="P22">
            <v>19.5</v>
          </cell>
        </row>
        <row r="23">
          <cell r="P23">
            <v>19.100000000000001</v>
          </cell>
        </row>
        <row r="24">
          <cell r="P24">
            <v>18.8</v>
          </cell>
        </row>
        <row r="25">
          <cell r="P25">
            <v>18.5</v>
          </cell>
        </row>
        <row r="26">
          <cell r="P26">
            <v>18.399999999999999</v>
          </cell>
        </row>
        <row r="27">
          <cell r="P27">
            <v>18.2</v>
          </cell>
        </row>
      </sheetData>
      <sheetData sheetId="16"/>
      <sheetData sheetId="17">
        <row r="10">
          <cell r="P10">
            <v>17.8</v>
          </cell>
        </row>
        <row r="11">
          <cell r="P11">
            <v>17.8</v>
          </cell>
        </row>
        <row r="12">
          <cell r="P12">
            <v>17.899999999999999</v>
          </cell>
        </row>
        <row r="13">
          <cell r="P13">
            <v>18.2</v>
          </cell>
        </row>
        <row r="14">
          <cell r="P14">
            <v>18.399999999999999</v>
          </cell>
        </row>
        <row r="15">
          <cell r="P15">
            <v>18.5</v>
          </cell>
        </row>
        <row r="16">
          <cell r="P16">
            <v>18.600000000000001</v>
          </cell>
        </row>
        <row r="17">
          <cell r="P17">
            <v>18.7</v>
          </cell>
        </row>
        <row r="18">
          <cell r="P18">
            <v>18.8</v>
          </cell>
        </row>
        <row r="19">
          <cell r="P19">
            <v>18.7</v>
          </cell>
        </row>
        <row r="20">
          <cell r="P20">
            <v>18.5</v>
          </cell>
        </row>
        <row r="21">
          <cell r="P21">
            <v>18.2</v>
          </cell>
        </row>
        <row r="22">
          <cell r="P22">
            <v>18</v>
          </cell>
        </row>
        <row r="23">
          <cell r="P23">
            <v>17.8</v>
          </cell>
        </row>
        <row r="24">
          <cell r="P24">
            <v>17.600000000000001</v>
          </cell>
        </row>
        <row r="25">
          <cell r="P25">
            <v>17.5</v>
          </cell>
        </row>
        <row r="26">
          <cell r="P26">
            <v>17.5</v>
          </cell>
        </row>
        <row r="27">
          <cell r="P27">
            <v>17.399999999999999</v>
          </cell>
        </row>
      </sheetData>
      <sheetData sheetId="18"/>
      <sheetData sheetId="19">
        <row r="10">
          <cell r="P10">
            <v>16.7</v>
          </cell>
        </row>
        <row r="11">
          <cell r="P11">
            <v>16.7</v>
          </cell>
        </row>
        <row r="12">
          <cell r="P12">
            <v>17.2</v>
          </cell>
        </row>
        <row r="13">
          <cell r="P13">
            <v>17.899999999999999</v>
          </cell>
        </row>
        <row r="14">
          <cell r="P14">
            <v>18.5</v>
          </cell>
        </row>
        <row r="15">
          <cell r="P15">
            <v>19.2</v>
          </cell>
        </row>
        <row r="16">
          <cell r="P16">
            <v>19.7</v>
          </cell>
        </row>
        <row r="17">
          <cell r="P17">
            <v>20.2</v>
          </cell>
        </row>
        <row r="18">
          <cell r="P18">
            <v>20.6</v>
          </cell>
        </row>
        <row r="19">
          <cell r="P19">
            <v>20.399999999999999</v>
          </cell>
        </row>
        <row r="20">
          <cell r="P20">
            <v>20</v>
          </cell>
        </row>
        <row r="21">
          <cell r="P21">
            <v>19.600000000000001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18.2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18.2</v>
          </cell>
        </row>
      </sheetData>
      <sheetData sheetId="20"/>
      <sheetData sheetId="21">
        <row r="10">
          <cell r="P10">
            <v>17.7</v>
          </cell>
        </row>
        <row r="11">
          <cell r="P11">
            <v>17.7</v>
          </cell>
        </row>
        <row r="12">
          <cell r="P12">
            <v>18.100000000000001</v>
          </cell>
        </row>
        <row r="13">
          <cell r="P13">
            <v>19.2</v>
          </cell>
        </row>
        <row r="14">
          <cell r="P14">
            <v>20.399999999999999</v>
          </cell>
        </row>
        <row r="15">
          <cell r="P15">
            <v>21.2</v>
          </cell>
        </row>
        <row r="16">
          <cell r="P16">
            <v>21.3</v>
          </cell>
        </row>
        <row r="17">
          <cell r="P17">
            <v>22.2</v>
          </cell>
        </row>
        <row r="18">
          <cell r="P18">
            <v>22.5</v>
          </cell>
        </row>
        <row r="19">
          <cell r="P19">
            <v>21.2</v>
          </cell>
        </row>
        <row r="20">
          <cell r="P20">
            <v>20.6</v>
          </cell>
        </row>
        <row r="21">
          <cell r="P21">
            <v>19.8</v>
          </cell>
        </row>
        <row r="22">
          <cell r="P22">
            <v>19.399999999999999</v>
          </cell>
        </row>
        <row r="23">
          <cell r="P23">
            <v>19</v>
          </cell>
        </row>
        <row r="24">
          <cell r="P24">
            <v>18.600000000000001</v>
          </cell>
        </row>
        <row r="25">
          <cell r="P25">
            <v>18.3</v>
          </cell>
        </row>
        <row r="26">
          <cell r="P26">
            <v>18</v>
          </cell>
        </row>
        <row r="27">
          <cell r="P27">
            <v>17.7</v>
          </cell>
        </row>
      </sheetData>
      <sheetData sheetId="22"/>
      <sheetData sheetId="23">
        <row r="10">
          <cell r="P10">
            <v>16.600000000000001</v>
          </cell>
        </row>
        <row r="11">
          <cell r="P11">
            <v>16.600000000000001</v>
          </cell>
        </row>
        <row r="12">
          <cell r="P12">
            <v>16.7</v>
          </cell>
        </row>
        <row r="13">
          <cell r="P13">
            <v>16.899999999999999</v>
          </cell>
        </row>
        <row r="14">
          <cell r="P14">
            <v>17.3</v>
          </cell>
        </row>
        <row r="15">
          <cell r="P15">
            <v>17.600000000000001</v>
          </cell>
        </row>
        <row r="16">
          <cell r="P16">
            <v>16.7</v>
          </cell>
        </row>
        <row r="17">
          <cell r="P17">
            <v>18</v>
          </cell>
        </row>
        <row r="18">
          <cell r="P18">
            <v>18.5</v>
          </cell>
        </row>
        <row r="19">
          <cell r="P19">
            <v>18.899999999999999</v>
          </cell>
        </row>
        <row r="20">
          <cell r="P20">
            <v>18.3</v>
          </cell>
        </row>
        <row r="21">
          <cell r="P21">
            <v>17.600000000000001</v>
          </cell>
        </row>
        <row r="22">
          <cell r="P22">
            <v>17</v>
          </cell>
        </row>
        <row r="23">
          <cell r="P23">
            <v>16.7</v>
          </cell>
        </row>
        <row r="24">
          <cell r="P24">
            <v>16.600000000000001</v>
          </cell>
        </row>
        <row r="25">
          <cell r="P25">
            <v>16.399999999999999</v>
          </cell>
        </row>
        <row r="26">
          <cell r="P26">
            <v>16.399999999999999</v>
          </cell>
        </row>
        <row r="27">
          <cell r="P27">
            <v>16.100000000000001</v>
          </cell>
        </row>
      </sheetData>
      <sheetData sheetId="24"/>
      <sheetData sheetId="25">
        <row r="10">
          <cell r="P10">
            <v>13.2</v>
          </cell>
        </row>
        <row r="11">
          <cell r="P11">
            <v>13</v>
          </cell>
        </row>
        <row r="12">
          <cell r="P12">
            <v>13.6</v>
          </cell>
        </row>
        <row r="13">
          <cell r="P13">
            <v>15.2</v>
          </cell>
        </row>
        <row r="14">
          <cell r="P14">
            <v>16.8</v>
          </cell>
        </row>
        <row r="15">
          <cell r="P15">
            <v>18.399999999999999</v>
          </cell>
        </row>
        <row r="16">
          <cell r="P16">
            <v>19.7</v>
          </cell>
        </row>
        <row r="17">
          <cell r="P17">
            <v>20.6</v>
          </cell>
        </row>
        <row r="18">
          <cell r="P18">
            <v>20.399999999999999</v>
          </cell>
        </row>
        <row r="19">
          <cell r="P19">
            <v>19.8</v>
          </cell>
        </row>
        <row r="20">
          <cell r="P20">
            <v>18.600000000000001</v>
          </cell>
        </row>
        <row r="21">
          <cell r="P21">
            <v>17.600000000000001</v>
          </cell>
        </row>
        <row r="22">
          <cell r="P22">
            <v>16.2</v>
          </cell>
        </row>
        <row r="23">
          <cell r="P23">
            <v>15.6</v>
          </cell>
        </row>
        <row r="24">
          <cell r="P24">
            <v>14</v>
          </cell>
        </row>
        <row r="25">
          <cell r="P25">
            <v>14</v>
          </cell>
        </row>
        <row r="26">
          <cell r="P26">
            <v>13.6</v>
          </cell>
        </row>
        <row r="27">
          <cell r="P27">
            <v>13</v>
          </cell>
        </row>
      </sheetData>
      <sheetData sheetId="26"/>
      <sheetData sheetId="27">
        <row r="10">
          <cell r="P10">
            <v>10.4</v>
          </cell>
        </row>
        <row r="11">
          <cell r="P11">
            <v>10.3</v>
          </cell>
        </row>
        <row r="12">
          <cell r="P12">
            <v>11.3</v>
          </cell>
        </row>
        <row r="13">
          <cell r="P13">
            <v>12.2</v>
          </cell>
        </row>
        <row r="14">
          <cell r="P14">
            <v>14.5</v>
          </cell>
        </row>
        <row r="15">
          <cell r="P15">
            <v>17.3</v>
          </cell>
        </row>
        <row r="16">
          <cell r="P16">
            <v>19.8</v>
          </cell>
        </row>
        <row r="17">
          <cell r="P17">
            <v>21.4</v>
          </cell>
        </row>
        <row r="18">
          <cell r="P18">
            <v>21.5</v>
          </cell>
        </row>
        <row r="19">
          <cell r="P19">
            <v>20.399999999999999</v>
          </cell>
        </row>
        <row r="20">
          <cell r="P20">
            <v>19.600000000000001</v>
          </cell>
        </row>
        <row r="21">
          <cell r="P21">
            <v>17.600000000000001</v>
          </cell>
        </row>
        <row r="22">
          <cell r="P22">
            <v>16.399999999999999</v>
          </cell>
        </row>
        <row r="23">
          <cell r="P23">
            <v>16</v>
          </cell>
        </row>
        <row r="24">
          <cell r="P24">
            <v>15.6</v>
          </cell>
        </row>
        <row r="25">
          <cell r="P25">
            <v>15.2</v>
          </cell>
        </row>
        <row r="26">
          <cell r="P26">
            <v>15</v>
          </cell>
        </row>
        <row r="27">
          <cell r="P27">
            <v>14</v>
          </cell>
        </row>
      </sheetData>
      <sheetData sheetId="28"/>
      <sheetData sheetId="29">
        <row r="10">
          <cell r="P10">
            <v>13.4</v>
          </cell>
        </row>
        <row r="11">
          <cell r="P11">
            <v>13.5</v>
          </cell>
        </row>
        <row r="12">
          <cell r="P12">
            <v>13.9</v>
          </cell>
        </row>
        <row r="13">
          <cell r="P13">
            <v>14.6</v>
          </cell>
        </row>
        <row r="14">
          <cell r="P14">
            <v>16.8</v>
          </cell>
        </row>
        <row r="15">
          <cell r="P15">
            <v>17</v>
          </cell>
        </row>
        <row r="16">
          <cell r="P16">
            <v>17.600000000000001</v>
          </cell>
        </row>
        <row r="17">
          <cell r="P17">
            <v>18.2</v>
          </cell>
        </row>
        <row r="18">
          <cell r="P18">
            <v>18.399999999999999</v>
          </cell>
        </row>
        <row r="19">
          <cell r="P19">
            <v>18.2</v>
          </cell>
        </row>
        <row r="20">
          <cell r="P20">
            <v>17.8</v>
          </cell>
        </row>
        <row r="21">
          <cell r="P21">
            <v>16.600000000000001</v>
          </cell>
        </row>
        <row r="22">
          <cell r="P22">
            <v>16</v>
          </cell>
        </row>
        <row r="23">
          <cell r="P23">
            <v>15</v>
          </cell>
        </row>
        <row r="24">
          <cell r="P24">
            <v>14.4</v>
          </cell>
        </row>
        <row r="25">
          <cell r="P25">
            <v>14</v>
          </cell>
        </row>
        <row r="26">
          <cell r="P26">
            <v>13.6</v>
          </cell>
        </row>
        <row r="27">
          <cell r="P27">
            <v>13.4</v>
          </cell>
        </row>
      </sheetData>
      <sheetData sheetId="30"/>
      <sheetData sheetId="31">
        <row r="10">
          <cell r="P10">
            <v>13.7</v>
          </cell>
        </row>
        <row r="11">
          <cell r="P11">
            <v>13.8</v>
          </cell>
        </row>
        <row r="12">
          <cell r="P12">
            <v>14</v>
          </cell>
        </row>
        <row r="13">
          <cell r="P13">
            <v>14.4</v>
          </cell>
        </row>
        <row r="14">
          <cell r="P14">
            <v>15.6</v>
          </cell>
        </row>
        <row r="15">
          <cell r="P15">
            <v>16.899999999999999</v>
          </cell>
        </row>
        <row r="16">
          <cell r="P16">
            <v>18.600000000000001</v>
          </cell>
        </row>
        <row r="17">
          <cell r="P17">
            <v>19.5</v>
          </cell>
        </row>
        <row r="18">
          <cell r="P18">
            <v>20.399999999999999</v>
          </cell>
        </row>
        <row r="19">
          <cell r="P19">
            <v>19.8</v>
          </cell>
        </row>
        <row r="20">
          <cell r="P20">
            <v>18.8</v>
          </cell>
        </row>
        <row r="21">
          <cell r="P21">
            <v>17.8</v>
          </cell>
        </row>
        <row r="22">
          <cell r="P22">
            <v>17.2</v>
          </cell>
        </row>
        <row r="23">
          <cell r="P23">
            <v>16.399999999999999</v>
          </cell>
        </row>
        <row r="24">
          <cell r="P24">
            <v>15.8</v>
          </cell>
        </row>
        <row r="25">
          <cell r="P25">
            <v>15.3</v>
          </cell>
        </row>
        <row r="26">
          <cell r="P26">
            <v>15.1</v>
          </cell>
        </row>
        <row r="27">
          <cell r="P27">
            <v>14.8</v>
          </cell>
        </row>
      </sheetData>
      <sheetData sheetId="32"/>
      <sheetData sheetId="33">
        <row r="10">
          <cell r="P10">
            <v>12</v>
          </cell>
        </row>
        <row r="11">
          <cell r="P11">
            <v>12.4</v>
          </cell>
        </row>
        <row r="12">
          <cell r="P12">
            <v>13.2</v>
          </cell>
        </row>
        <row r="13">
          <cell r="P13">
            <v>14.8</v>
          </cell>
        </row>
        <row r="14">
          <cell r="P14">
            <v>16.600000000000001</v>
          </cell>
        </row>
        <row r="15">
          <cell r="P15">
            <v>20</v>
          </cell>
        </row>
        <row r="16">
          <cell r="P16">
            <v>22</v>
          </cell>
        </row>
        <row r="17">
          <cell r="P17">
            <v>24.6</v>
          </cell>
        </row>
        <row r="18">
          <cell r="P18">
            <v>24.6</v>
          </cell>
        </row>
        <row r="19">
          <cell r="P19">
            <v>23.9</v>
          </cell>
        </row>
        <row r="20">
          <cell r="P20">
            <v>22.6</v>
          </cell>
        </row>
        <row r="21">
          <cell r="P21">
            <v>21.1</v>
          </cell>
        </row>
        <row r="22">
          <cell r="P22">
            <v>19.8</v>
          </cell>
        </row>
        <row r="23">
          <cell r="P23">
            <v>18.7</v>
          </cell>
        </row>
        <row r="24">
          <cell r="P24">
            <v>17.7</v>
          </cell>
        </row>
        <row r="25">
          <cell r="P25">
            <v>17.100000000000001</v>
          </cell>
        </row>
        <row r="26">
          <cell r="P26">
            <v>16.399999999999999</v>
          </cell>
        </row>
        <row r="27">
          <cell r="P27">
            <v>15.7</v>
          </cell>
        </row>
      </sheetData>
      <sheetData sheetId="34"/>
      <sheetData sheetId="35">
        <row r="10">
          <cell r="P10">
            <v>13.2</v>
          </cell>
        </row>
        <row r="11">
          <cell r="P11">
            <v>13.4</v>
          </cell>
        </row>
        <row r="12">
          <cell r="P12">
            <v>14.5</v>
          </cell>
        </row>
        <row r="13">
          <cell r="P13">
            <v>15.4</v>
          </cell>
        </row>
        <row r="14">
          <cell r="P14">
            <v>17.899999999999999</v>
          </cell>
        </row>
        <row r="15">
          <cell r="P15">
            <v>21</v>
          </cell>
        </row>
        <row r="16">
          <cell r="P16">
            <v>23.3</v>
          </cell>
        </row>
        <row r="17">
          <cell r="P17">
            <v>24.7</v>
          </cell>
        </row>
        <row r="18">
          <cell r="P18">
            <v>25</v>
          </cell>
        </row>
        <row r="19">
          <cell r="P19">
            <v>23.8</v>
          </cell>
        </row>
        <row r="20">
          <cell r="P20">
            <v>22.7</v>
          </cell>
        </row>
        <row r="21">
          <cell r="P21">
            <v>21</v>
          </cell>
        </row>
        <row r="22">
          <cell r="P22">
            <v>20.2</v>
          </cell>
        </row>
        <row r="23">
          <cell r="P23">
            <v>19.600000000000001</v>
          </cell>
        </row>
        <row r="24">
          <cell r="P24">
            <v>19.2</v>
          </cell>
        </row>
        <row r="25">
          <cell r="P25">
            <v>18.7</v>
          </cell>
        </row>
        <row r="26">
          <cell r="P26">
            <v>18.2</v>
          </cell>
        </row>
        <row r="27">
          <cell r="P27">
            <v>18.100000000000001</v>
          </cell>
        </row>
      </sheetData>
      <sheetData sheetId="36"/>
      <sheetData sheetId="37">
        <row r="10">
          <cell r="P10">
            <v>17.2</v>
          </cell>
        </row>
        <row r="11">
          <cell r="P11">
            <v>17.2</v>
          </cell>
        </row>
        <row r="12">
          <cell r="P12">
            <v>17.600000000000001</v>
          </cell>
        </row>
        <row r="13">
          <cell r="P13">
            <v>17.7</v>
          </cell>
        </row>
        <row r="14">
          <cell r="P14">
            <v>17.600000000000001</v>
          </cell>
        </row>
        <row r="15">
          <cell r="P15">
            <v>17.3</v>
          </cell>
        </row>
        <row r="16">
          <cell r="P16">
            <v>17.399999999999999</v>
          </cell>
        </row>
        <row r="17">
          <cell r="P17">
            <v>17.5</v>
          </cell>
        </row>
        <row r="18">
          <cell r="P18">
            <v>17.3</v>
          </cell>
        </row>
        <row r="19">
          <cell r="P19">
            <v>17.100000000000001</v>
          </cell>
        </row>
        <row r="20">
          <cell r="P20">
            <v>16.8</v>
          </cell>
        </row>
        <row r="21">
          <cell r="P21">
            <v>16.600000000000001</v>
          </cell>
        </row>
        <row r="22">
          <cell r="P22">
            <v>16.399999999999999</v>
          </cell>
        </row>
        <row r="23">
          <cell r="P23">
            <v>16.2</v>
          </cell>
        </row>
        <row r="24">
          <cell r="P24">
            <v>16</v>
          </cell>
        </row>
        <row r="25">
          <cell r="P25">
            <v>15.8</v>
          </cell>
        </row>
        <row r="26">
          <cell r="P26">
            <v>15.6</v>
          </cell>
        </row>
        <row r="27">
          <cell r="P27">
            <v>15.6</v>
          </cell>
        </row>
      </sheetData>
      <sheetData sheetId="38"/>
      <sheetData sheetId="39">
        <row r="10">
          <cell r="P10">
            <v>15.2</v>
          </cell>
        </row>
        <row r="11">
          <cell r="P11">
            <v>15.1</v>
          </cell>
        </row>
        <row r="12">
          <cell r="P12">
            <v>14</v>
          </cell>
        </row>
        <row r="13">
          <cell r="P13">
            <v>15.8</v>
          </cell>
        </row>
        <row r="14">
          <cell r="P14">
            <v>16.8</v>
          </cell>
        </row>
        <row r="15">
          <cell r="P15">
            <v>17</v>
          </cell>
        </row>
        <row r="16">
          <cell r="P16">
            <v>17.2</v>
          </cell>
        </row>
        <row r="17">
          <cell r="P17">
            <v>17.8</v>
          </cell>
        </row>
        <row r="18">
          <cell r="P18">
            <v>18.399999999999999</v>
          </cell>
        </row>
        <row r="19">
          <cell r="P19">
            <v>18.2</v>
          </cell>
        </row>
        <row r="20">
          <cell r="P20">
            <v>17.600000000000001</v>
          </cell>
        </row>
        <row r="21">
          <cell r="P21">
            <v>17</v>
          </cell>
        </row>
        <row r="22">
          <cell r="P22">
            <v>16.600000000000001</v>
          </cell>
        </row>
        <row r="23">
          <cell r="P23">
            <v>16.399999999999999</v>
          </cell>
        </row>
        <row r="24">
          <cell r="P24">
            <v>16.2</v>
          </cell>
        </row>
        <row r="25">
          <cell r="P25">
            <v>16</v>
          </cell>
        </row>
        <row r="26">
          <cell r="P26">
            <v>16</v>
          </cell>
        </row>
        <row r="27">
          <cell r="P27">
            <v>15.8</v>
          </cell>
        </row>
      </sheetData>
      <sheetData sheetId="40"/>
      <sheetData sheetId="41">
        <row r="10">
          <cell r="P10">
            <v>15</v>
          </cell>
        </row>
        <row r="11">
          <cell r="P11">
            <v>15.2</v>
          </cell>
        </row>
        <row r="12">
          <cell r="P12">
            <v>15.6</v>
          </cell>
        </row>
        <row r="13">
          <cell r="P13">
            <v>16</v>
          </cell>
        </row>
        <row r="14">
          <cell r="P14">
            <v>17</v>
          </cell>
        </row>
        <row r="15">
          <cell r="P15">
            <v>18.2</v>
          </cell>
        </row>
        <row r="16">
          <cell r="P16">
            <v>19</v>
          </cell>
        </row>
        <row r="17">
          <cell r="P17">
            <v>19.399999999999999</v>
          </cell>
        </row>
        <row r="18">
          <cell r="P18">
            <v>20</v>
          </cell>
        </row>
        <row r="19">
          <cell r="P19">
            <v>20.100000000000001</v>
          </cell>
        </row>
        <row r="20">
          <cell r="P20">
            <v>19.600000000000001</v>
          </cell>
        </row>
        <row r="21">
          <cell r="P21">
            <v>18.7</v>
          </cell>
        </row>
        <row r="22">
          <cell r="P22">
            <v>17.8</v>
          </cell>
        </row>
        <row r="23">
          <cell r="P23">
            <v>17.3</v>
          </cell>
        </row>
        <row r="24">
          <cell r="P24">
            <v>16.600000000000001</v>
          </cell>
        </row>
        <row r="25">
          <cell r="P25">
            <v>16.3</v>
          </cell>
        </row>
        <row r="26">
          <cell r="P26">
            <v>15.8</v>
          </cell>
        </row>
        <row r="27">
          <cell r="P27">
            <v>15.7</v>
          </cell>
        </row>
      </sheetData>
      <sheetData sheetId="42"/>
      <sheetData sheetId="43">
        <row r="10">
          <cell r="P10">
            <v>15.2</v>
          </cell>
        </row>
        <row r="11">
          <cell r="P11">
            <v>15.4</v>
          </cell>
        </row>
        <row r="12">
          <cell r="P12">
            <v>16.2</v>
          </cell>
        </row>
        <row r="13">
          <cell r="P13">
            <v>17</v>
          </cell>
        </row>
        <row r="14">
          <cell r="P14">
            <v>19.100000000000001</v>
          </cell>
        </row>
        <row r="15">
          <cell r="P15">
            <v>21.4</v>
          </cell>
        </row>
        <row r="16">
          <cell r="P16">
            <v>24.2</v>
          </cell>
        </row>
        <row r="17">
          <cell r="P17">
            <v>25.4</v>
          </cell>
        </row>
        <row r="18">
          <cell r="P18">
            <v>25.2</v>
          </cell>
        </row>
        <row r="19">
          <cell r="P19">
            <v>24.8</v>
          </cell>
        </row>
        <row r="20">
          <cell r="P20">
            <v>23.5</v>
          </cell>
        </row>
        <row r="21">
          <cell r="P21">
            <v>22.4</v>
          </cell>
        </row>
        <row r="22">
          <cell r="P22">
            <v>21.2</v>
          </cell>
        </row>
        <row r="23">
          <cell r="P23">
            <v>20.2</v>
          </cell>
        </row>
        <row r="24">
          <cell r="P24">
            <v>19.5</v>
          </cell>
        </row>
        <row r="25">
          <cell r="P25">
            <v>18.8</v>
          </cell>
        </row>
        <row r="26">
          <cell r="P26">
            <v>18.3</v>
          </cell>
        </row>
        <row r="27">
          <cell r="P27">
            <v>17.8</v>
          </cell>
        </row>
      </sheetData>
      <sheetData sheetId="44"/>
      <sheetData sheetId="45">
        <row r="10">
          <cell r="P10">
            <v>15.2</v>
          </cell>
        </row>
        <row r="11">
          <cell r="P11">
            <v>15.4</v>
          </cell>
        </row>
        <row r="12">
          <cell r="P12">
            <v>16</v>
          </cell>
        </row>
        <row r="13">
          <cell r="P13">
            <v>17.600000000000001</v>
          </cell>
        </row>
        <row r="14">
          <cell r="P14">
            <v>18</v>
          </cell>
        </row>
        <row r="15">
          <cell r="P15">
            <v>22.2</v>
          </cell>
        </row>
        <row r="16">
          <cell r="P16">
            <v>22.6</v>
          </cell>
        </row>
        <row r="17">
          <cell r="P17">
            <v>26</v>
          </cell>
        </row>
        <row r="18">
          <cell r="P18">
            <v>26.4</v>
          </cell>
        </row>
        <row r="19">
          <cell r="P19">
            <v>25.8</v>
          </cell>
        </row>
        <row r="20">
          <cell r="P20">
            <v>24.6</v>
          </cell>
        </row>
        <row r="21">
          <cell r="P21">
            <v>23.3</v>
          </cell>
        </row>
        <row r="22">
          <cell r="P22">
            <v>21.9</v>
          </cell>
        </row>
        <row r="23">
          <cell r="P23">
            <v>20.6</v>
          </cell>
        </row>
        <row r="24">
          <cell r="P24">
            <v>20</v>
          </cell>
        </row>
        <row r="25">
          <cell r="P25">
            <v>19.3</v>
          </cell>
        </row>
        <row r="26">
          <cell r="P26">
            <v>18.600000000000001</v>
          </cell>
        </row>
        <row r="27">
          <cell r="P27">
            <v>18.2</v>
          </cell>
        </row>
      </sheetData>
      <sheetData sheetId="46"/>
      <sheetData sheetId="47">
        <row r="10">
          <cell r="P10">
            <v>15.4</v>
          </cell>
        </row>
        <row r="11">
          <cell r="P11">
            <v>15.7</v>
          </cell>
        </row>
        <row r="12">
          <cell r="P12">
            <v>16.5</v>
          </cell>
        </row>
        <row r="13">
          <cell r="P13">
            <v>17.5</v>
          </cell>
        </row>
        <row r="14">
          <cell r="P14">
            <v>20.399999999999999</v>
          </cell>
        </row>
        <row r="15">
          <cell r="P15">
            <v>23.4</v>
          </cell>
        </row>
        <row r="16">
          <cell r="P16">
            <v>25.8</v>
          </cell>
        </row>
        <row r="17">
          <cell r="P17">
            <v>27.2</v>
          </cell>
        </row>
        <row r="18">
          <cell r="P18">
            <v>27.2</v>
          </cell>
        </row>
        <row r="19">
          <cell r="P19">
            <v>26.5</v>
          </cell>
        </row>
        <row r="20">
          <cell r="P20">
            <v>24.9</v>
          </cell>
        </row>
        <row r="21">
          <cell r="P21">
            <v>23.5</v>
          </cell>
        </row>
        <row r="22">
          <cell r="P22">
            <v>22.2</v>
          </cell>
        </row>
        <row r="23">
          <cell r="P23">
            <v>21</v>
          </cell>
        </row>
        <row r="24">
          <cell r="P24">
            <v>20.2</v>
          </cell>
        </row>
        <row r="25">
          <cell r="P25">
            <v>19.399999999999999</v>
          </cell>
        </row>
        <row r="26">
          <cell r="P26">
            <v>18.7</v>
          </cell>
        </row>
        <row r="27">
          <cell r="P27">
            <v>18</v>
          </cell>
        </row>
      </sheetData>
      <sheetData sheetId="48"/>
      <sheetData sheetId="49">
        <row r="10">
          <cell r="P10">
            <v>15.2</v>
          </cell>
        </row>
        <row r="11">
          <cell r="P11">
            <v>15.2</v>
          </cell>
        </row>
        <row r="12">
          <cell r="P12">
            <v>16.100000000000001</v>
          </cell>
        </row>
        <row r="13">
          <cell r="P13">
            <v>17.3</v>
          </cell>
        </row>
        <row r="14">
          <cell r="P14">
            <v>19.8</v>
          </cell>
        </row>
        <row r="15">
          <cell r="P15">
            <v>22.8</v>
          </cell>
        </row>
        <row r="16">
          <cell r="P16">
            <v>25.3</v>
          </cell>
        </row>
        <row r="17">
          <cell r="P17">
            <v>26.4</v>
          </cell>
        </row>
        <row r="18">
          <cell r="P18">
            <v>26.4</v>
          </cell>
        </row>
        <row r="19">
          <cell r="P19">
            <v>25.6</v>
          </cell>
        </row>
        <row r="20">
          <cell r="P20">
            <v>24.6</v>
          </cell>
        </row>
        <row r="21">
          <cell r="P21">
            <v>23</v>
          </cell>
        </row>
        <row r="22">
          <cell r="P22">
            <v>21.9</v>
          </cell>
        </row>
        <row r="23">
          <cell r="P23">
            <v>20.9</v>
          </cell>
        </row>
        <row r="24">
          <cell r="P24">
            <v>20</v>
          </cell>
        </row>
        <row r="25">
          <cell r="P25">
            <v>19.399999999999999</v>
          </cell>
        </row>
        <row r="26">
          <cell r="P26">
            <v>18.7</v>
          </cell>
        </row>
        <row r="27">
          <cell r="P27">
            <v>18.2</v>
          </cell>
        </row>
      </sheetData>
      <sheetData sheetId="50"/>
      <sheetData sheetId="51">
        <row r="10">
          <cell r="P10">
            <v>15.2</v>
          </cell>
        </row>
        <row r="11">
          <cell r="P11">
            <v>15.5</v>
          </cell>
        </row>
        <row r="12">
          <cell r="P12">
            <v>16.2</v>
          </cell>
        </row>
        <row r="13">
          <cell r="P13">
            <v>17.899999999999999</v>
          </cell>
        </row>
        <row r="14">
          <cell r="P14">
            <v>19.8</v>
          </cell>
        </row>
        <row r="15">
          <cell r="P15">
            <v>22.3</v>
          </cell>
        </row>
        <row r="16">
          <cell r="P16">
            <v>23.5</v>
          </cell>
        </row>
        <row r="17">
          <cell r="P17">
            <v>23.8</v>
          </cell>
        </row>
        <row r="18">
          <cell r="P18">
            <v>23.2</v>
          </cell>
        </row>
        <row r="19">
          <cell r="P19">
            <v>22</v>
          </cell>
        </row>
        <row r="20">
          <cell r="P20">
            <v>21.2</v>
          </cell>
        </row>
        <row r="21">
          <cell r="P21">
            <v>20.5</v>
          </cell>
        </row>
        <row r="22">
          <cell r="P22">
            <v>19.899999999999999</v>
          </cell>
        </row>
        <row r="23">
          <cell r="P23">
            <v>19.399999999999999</v>
          </cell>
        </row>
        <row r="24">
          <cell r="P24">
            <v>19</v>
          </cell>
        </row>
        <row r="25">
          <cell r="P25">
            <v>18.600000000000001</v>
          </cell>
        </row>
        <row r="26">
          <cell r="P26">
            <v>18.399999999999999</v>
          </cell>
        </row>
        <row r="27">
          <cell r="P27">
            <v>18.3</v>
          </cell>
        </row>
      </sheetData>
      <sheetData sheetId="52"/>
      <sheetData sheetId="53">
        <row r="10">
          <cell r="P10">
            <v>16.7</v>
          </cell>
        </row>
        <row r="11">
          <cell r="P11">
            <v>16.7</v>
          </cell>
        </row>
        <row r="12">
          <cell r="P12">
            <v>17.100000000000001</v>
          </cell>
        </row>
        <row r="13">
          <cell r="P13">
            <v>17.8</v>
          </cell>
        </row>
        <row r="14">
          <cell r="P14">
            <v>18.399999999999999</v>
          </cell>
        </row>
        <row r="15">
          <cell r="P15">
            <v>19.2</v>
          </cell>
        </row>
        <row r="16">
          <cell r="P16">
            <v>20.2</v>
          </cell>
        </row>
        <row r="17">
          <cell r="P17">
            <v>20.7</v>
          </cell>
        </row>
        <row r="18">
          <cell r="P18">
            <v>20.6</v>
          </cell>
        </row>
        <row r="19">
          <cell r="P19">
            <v>19.899999999999999</v>
          </cell>
        </row>
        <row r="20">
          <cell r="P20">
            <v>19</v>
          </cell>
        </row>
        <row r="21">
          <cell r="P21">
            <v>18.399999999999999</v>
          </cell>
        </row>
        <row r="22">
          <cell r="P22">
            <v>17.8</v>
          </cell>
        </row>
        <row r="23">
          <cell r="P23">
            <v>17.600000000000001</v>
          </cell>
        </row>
        <row r="24">
          <cell r="P24">
            <v>17.2</v>
          </cell>
        </row>
        <row r="25">
          <cell r="P25">
            <v>16.8</v>
          </cell>
        </row>
        <row r="26">
          <cell r="P26">
            <v>16.7</v>
          </cell>
        </row>
        <row r="27">
          <cell r="P27">
            <v>16.5</v>
          </cell>
        </row>
      </sheetData>
      <sheetData sheetId="54"/>
      <sheetData sheetId="55">
        <row r="10">
          <cell r="P10">
            <v>15.7</v>
          </cell>
        </row>
        <row r="11">
          <cell r="P11">
            <v>15.7</v>
          </cell>
        </row>
        <row r="12">
          <cell r="P12">
            <v>15.9</v>
          </cell>
        </row>
        <row r="13">
          <cell r="P13">
            <v>16.100000000000001</v>
          </cell>
        </row>
        <row r="14">
          <cell r="P14">
            <v>16.399999999999999</v>
          </cell>
        </row>
        <row r="15">
          <cell r="P15">
            <v>17.2</v>
          </cell>
        </row>
        <row r="16">
          <cell r="P16">
            <v>18.2</v>
          </cell>
        </row>
        <row r="17">
          <cell r="P17">
            <v>18.600000000000001</v>
          </cell>
        </row>
        <row r="18">
          <cell r="P18">
            <v>19.5</v>
          </cell>
        </row>
        <row r="19">
          <cell r="P19">
            <v>19.600000000000001</v>
          </cell>
        </row>
        <row r="20">
          <cell r="P20">
            <v>19</v>
          </cell>
        </row>
        <row r="21">
          <cell r="P21">
            <v>18</v>
          </cell>
        </row>
        <row r="22">
          <cell r="P22">
            <v>17</v>
          </cell>
        </row>
        <row r="23">
          <cell r="P23">
            <v>16.399999999999999</v>
          </cell>
        </row>
        <row r="24">
          <cell r="P24">
            <v>16.2</v>
          </cell>
        </row>
        <row r="25">
          <cell r="P25">
            <v>15.8</v>
          </cell>
        </row>
        <row r="26">
          <cell r="P26">
            <v>15.4</v>
          </cell>
        </row>
        <row r="27">
          <cell r="P27">
            <v>15</v>
          </cell>
        </row>
      </sheetData>
      <sheetData sheetId="56"/>
      <sheetData sheetId="57">
        <row r="10">
          <cell r="P10">
            <v>13.8</v>
          </cell>
        </row>
        <row r="11">
          <cell r="P11">
            <v>14</v>
          </cell>
        </row>
        <row r="12">
          <cell r="P12">
            <v>14.8</v>
          </cell>
        </row>
        <row r="13">
          <cell r="P13">
            <v>15.6</v>
          </cell>
        </row>
        <row r="14">
          <cell r="P14">
            <v>17.8</v>
          </cell>
        </row>
        <row r="15">
          <cell r="P15">
            <v>20.7</v>
          </cell>
        </row>
        <row r="16">
          <cell r="P16">
            <v>23.2</v>
          </cell>
        </row>
        <row r="17">
          <cell r="P17">
            <v>24.6</v>
          </cell>
        </row>
        <row r="18">
          <cell r="P18">
            <v>24.8</v>
          </cell>
        </row>
        <row r="19">
          <cell r="P19">
            <v>24</v>
          </cell>
        </row>
        <row r="20">
          <cell r="P20">
            <v>23.2</v>
          </cell>
        </row>
        <row r="21">
          <cell r="P21">
            <v>21.8</v>
          </cell>
        </row>
        <row r="22">
          <cell r="P22">
            <v>20.399999999999999</v>
          </cell>
        </row>
        <row r="23">
          <cell r="P23">
            <v>19.399999999999999</v>
          </cell>
        </row>
        <row r="24">
          <cell r="P24">
            <v>18.399999999999999</v>
          </cell>
        </row>
        <row r="25">
          <cell r="P25">
            <v>17.8</v>
          </cell>
        </row>
        <row r="26">
          <cell r="P26">
            <v>17.399999999999999</v>
          </cell>
        </row>
        <row r="27">
          <cell r="P27">
            <v>17</v>
          </cell>
        </row>
      </sheetData>
      <sheetData sheetId="58"/>
      <sheetData sheetId="59">
        <row r="10">
          <cell r="P10">
            <v>14.6</v>
          </cell>
        </row>
        <row r="11">
          <cell r="P11">
            <v>14.6</v>
          </cell>
        </row>
        <row r="12">
          <cell r="P12">
            <v>15.4</v>
          </cell>
        </row>
        <row r="13">
          <cell r="P13">
            <v>16.7</v>
          </cell>
        </row>
        <row r="14">
          <cell r="P14">
            <v>19</v>
          </cell>
        </row>
        <row r="15">
          <cell r="P15">
            <v>21.7</v>
          </cell>
        </row>
        <row r="16">
          <cell r="P16">
            <v>23</v>
          </cell>
        </row>
        <row r="17">
          <cell r="P17">
            <v>23.3</v>
          </cell>
        </row>
        <row r="18">
          <cell r="P18">
            <v>23.1</v>
          </cell>
        </row>
        <row r="19">
          <cell r="P19">
            <v>23</v>
          </cell>
        </row>
        <row r="20">
          <cell r="P20">
            <v>22.2</v>
          </cell>
        </row>
        <row r="21">
          <cell r="P21">
            <v>21.1</v>
          </cell>
        </row>
        <row r="22">
          <cell r="P22">
            <v>20.399999999999999</v>
          </cell>
        </row>
        <row r="23">
          <cell r="P23">
            <v>19.600000000000001</v>
          </cell>
        </row>
        <row r="24">
          <cell r="P24">
            <v>19</v>
          </cell>
        </row>
        <row r="25">
          <cell r="P25">
            <v>18.399999999999999</v>
          </cell>
        </row>
        <row r="26">
          <cell r="P26">
            <v>17.899999999999999</v>
          </cell>
        </row>
        <row r="27">
          <cell r="P27">
            <v>17.8</v>
          </cell>
        </row>
      </sheetData>
      <sheetData sheetId="60"/>
      <sheetData sheetId="61">
        <row r="10">
          <cell r="P10">
            <v>15.6</v>
          </cell>
        </row>
        <row r="11">
          <cell r="P11">
            <v>15.2</v>
          </cell>
        </row>
        <row r="12">
          <cell r="P12">
            <v>16</v>
          </cell>
        </row>
        <row r="13">
          <cell r="P13">
            <v>17</v>
          </cell>
        </row>
        <row r="14">
          <cell r="P14">
            <v>19</v>
          </cell>
        </row>
        <row r="15">
          <cell r="P15">
            <v>22</v>
          </cell>
        </row>
        <row r="16">
          <cell r="P16">
            <v>24.6</v>
          </cell>
        </row>
        <row r="17">
          <cell r="P17">
            <v>26</v>
          </cell>
        </row>
        <row r="18">
          <cell r="P18">
            <v>26.6</v>
          </cell>
        </row>
        <row r="19">
          <cell r="P19">
            <v>25.4</v>
          </cell>
        </row>
        <row r="20">
          <cell r="P20">
            <v>24.2</v>
          </cell>
        </row>
        <row r="21">
          <cell r="P21">
            <v>22.4</v>
          </cell>
        </row>
        <row r="22">
          <cell r="P22">
            <v>21.1</v>
          </cell>
        </row>
        <row r="23">
          <cell r="P23">
            <v>19.8</v>
          </cell>
        </row>
        <row r="24">
          <cell r="P24">
            <v>18.8</v>
          </cell>
        </row>
        <row r="25">
          <cell r="P25">
            <v>18.100000000000001</v>
          </cell>
        </row>
        <row r="26">
          <cell r="P26">
            <v>17.399999999999999</v>
          </cell>
        </row>
        <row r="27">
          <cell r="P27">
            <v>16.7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14.3</v>
          </cell>
        </row>
        <row r="11">
          <cell r="P11">
            <v>14.8</v>
          </cell>
        </row>
        <row r="12">
          <cell r="P12">
            <v>15.3</v>
          </cell>
        </row>
        <row r="13">
          <cell r="P13">
            <v>16.3</v>
          </cell>
        </row>
        <row r="14">
          <cell r="P14">
            <v>18.600000000000001</v>
          </cell>
        </row>
        <row r="15">
          <cell r="P15">
            <v>21.5</v>
          </cell>
        </row>
        <row r="16">
          <cell r="P16">
            <v>24</v>
          </cell>
        </row>
        <row r="17">
          <cell r="P17">
            <v>25.3</v>
          </cell>
        </row>
        <row r="18">
          <cell r="P18">
            <v>25.4</v>
          </cell>
        </row>
        <row r="19">
          <cell r="P19">
            <v>24.4</v>
          </cell>
        </row>
        <row r="20">
          <cell r="P20">
            <v>23.2</v>
          </cell>
        </row>
        <row r="21">
          <cell r="P21">
            <v>21.8</v>
          </cell>
        </row>
        <row r="22">
          <cell r="P22">
            <v>20.6</v>
          </cell>
        </row>
        <row r="23">
          <cell r="P23">
            <v>19.5</v>
          </cell>
        </row>
        <row r="24">
          <cell r="P24">
            <v>18.7</v>
          </cell>
        </row>
        <row r="25">
          <cell r="P25">
            <v>18</v>
          </cell>
        </row>
        <row r="26">
          <cell r="P26">
            <v>17.600000000000001</v>
          </cell>
        </row>
        <row r="27">
          <cell r="P27">
            <v>17.3</v>
          </cell>
        </row>
      </sheetData>
      <sheetData sheetId="4">
        <row r="1">
          <cell r="C1" t="str">
            <v>JULHO DE 2022</v>
          </cell>
        </row>
      </sheetData>
      <sheetData sheetId="5">
        <row r="10">
          <cell r="P10">
            <v>15.4</v>
          </cell>
        </row>
        <row r="11">
          <cell r="P11">
            <v>15.3</v>
          </cell>
        </row>
        <row r="12">
          <cell r="P12">
            <v>16</v>
          </cell>
        </row>
        <row r="13">
          <cell r="P13">
            <v>17.100000000000001</v>
          </cell>
        </row>
        <row r="14">
          <cell r="P14">
            <v>19.8</v>
          </cell>
        </row>
        <row r="15">
          <cell r="P15">
            <v>22.6</v>
          </cell>
        </row>
        <row r="16">
          <cell r="P16">
            <v>25.4</v>
          </cell>
        </row>
        <row r="17">
          <cell r="P17">
            <v>26.8</v>
          </cell>
        </row>
        <row r="18">
          <cell r="P18">
            <v>27.2</v>
          </cell>
        </row>
        <row r="19">
          <cell r="P19">
            <v>26.2</v>
          </cell>
        </row>
        <row r="20">
          <cell r="P20">
            <v>25</v>
          </cell>
        </row>
        <row r="21">
          <cell r="P21">
            <v>23.4</v>
          </cell>
        </row>
        <row r="22">
          <cell r="P22">
            <v>22</v>
          </cell>
        </row>
        <row r="23">
          <cell r="P23">
            <v>21</v>
          </cell>
        </row>
        <row r="24">
          <cell r="P24">
            <v>20.399999999999999</v>
          </cell>
        </row>
        <row r="25">
          <cell r="P25">
            <v>20.2</v>
          </cell>
        </row>
        <row r="26">
          <cell r="P26">
            <v>19.2</v>
          </cell>
        </row>
        <row r="27">
          <cell r="P27">
            <v>19</v>
          </cell>
        </row>
      </sheetData>
      <sheetData sheetId="6"/>
      <sheetData sheetId="7">
        <row r="10">
          <cell r="P10">
            <v>16.5</v>
          </cell>
        </row>
        <row r="11">
          <cell r="P11">
            <v>16.5</v>
          </cell>
        </row>
        <row r="12">
          <cell r="P12">
            <v>17</v>
          </cell>
        </row>
        <row r="13">
          <cell r="P13">
            <v>18.7</v>
          </cell>
        </row>
        <row r="14">
          <cell r="P14">
            <v>21</v>
          </cell>
        </row>
        <row r="15">
          <cell r="P15">
            <v>24.8</v>
          </cell>
        </row>
        <row r="16">
          <cell r="P16">
            <v>26.6</v>
          </cell>
        </row>
        <row r="17">
          <cell r="P17">
            <v>28.2</v>
          </cell>
        </row>
        <row r="18">
          <cell r="P18">
            <v>28.4</v>
          </cell>
        </row>
        <row r="19">
          <cell r="P19">
            <v>28.2</v>
          </cell>
        </row>
        <row r="20">
          <cell r="P20">
            <v>26.6</v>
          </cell>
        </row>
        <row r="21">
          <cell r="P21">
            <v>24.2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20.399999999999999</v>
          </cell>
        </row>
        <row r="26">
          <cell r="P26">
            <v>19.600000000000001</v>
          </cell>
        </row>
        <row r="27">
          <cell r="P27">
            <v>18.8</v>
          </cell>
        </row>
      </sheetData>
      <sheetData sheetId="8"/>
      <sheetData sheetId="9">
        <row r="10">
          <cell r="P10">
            <v>15.6</v>
          </cell>
        </row>
        <row r="11">
          <cell r="P11">
            <v>16</v>
          </cell>
        </row>
        <row r="12">
          <cell r="P12">
            <v>16.7</v>
          </cell>
        </row>
        <row r="13">
          <cell r="P13">
            <v>17.8</v>
          </cell>
        </row>
        <row r="14">
          <cell r="P14">
            <v>20.6</v>
          </cell>
        </row>
        <row r="15">
          <cell r="P15">
            <v>23.6</v>
          </cell>
        </row>
        <row r="16">
          <cell r="P16">
            <v>26.2</v>
          </cell>
        </row>
        <row r="17">
          <cell r="P17">
            <v>27.7</v>
          </cell>
        </row>
        <row r="18">
          <cell r="P18">
            <v>-99</v>
          </cell>
        </row>
        <row r="19">
          <cell r="P19">
            <v>27</v>
          </cell>
        </row>
        <row r="20">
          <cell r="P20">
            <v>25.8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21.6</v>
          </cell>
        </row>
        <row r="24">
          <cell r="P24">
            <v>20.399999999999999</v>
          </cell>
        </row>
        <row r="25">
          <cell r="P25">
            <v>19.8</v>
          </cell>
        </row>
        <row r="26">
          <cell r="P26">
            <v>19</v>
          </cell>
        </row>
        <row r="27">
          <cell r="P27">
            <v>18.399999999999999</v>
          </cell>
        </row>
      </sheetData>
      <sheetData sheetId="10"/>
      <sheetData sheetId="11">
        <row r="10">
          <cell r="P10">
            <v>15</v>
          </cell>
        </row>
        <row r="11">
          <cell r="P11">
            <v>15.3</v>
          </cell>
        </row>
        <row r="12">
          <cell r="P12">
            <v>16</v>
          </cell>
        </row>
        <row r="13">
          <cell r="P13">
            <v>17.5</v>
          </cell>
        </row>
        <row r="14">
          <cell r="P14">
            <v>20.2</v>
          </cell>
        </row>
        <row r="15">
          <cell r="P15">
            <v>23.1</v>
          </cell>
        </row>
        <row r="16">
          <cell r="P16">
            <v>25.3</v>
          </cell>
        </row>
        <row r="17">
          <cell r="P17">
            <v>26.8</v>
          </cell>
        </row>
        <row r="18">
          <cell r="P18">
            <v>27.3</v>
          </cell>
        </row>
        <row r="19">
          <cell r="P19">
            <v>26.3</v>
          </cell>
        </row>
        <row r="20">
          <cell r="P20">
            <v>25</v>
          </cell>
        </row>
        <row r="21">
          <cell r="P21">
            <v>23.4</v>
          </cell>
        </row>
        <row r="22">
          <cell r="P22">
            <v>21.9</v>
          </cell>
        </row>
        <row r="23">
          <cell r="P23">
            <v>20.8</v>
          </cell>
        </row>
        <row r="24">
          <cell r="P24">
            <v>19.899999999999999</v>
          </cell>
        </row>
        <row r="25">
          <cell r="P25">
            <v>19.2</v>
          </cell>
        </row>
        <row r="26">
          <cell r="P26">
            <v>18.399999999999999</v>
          </cell>
        </row>
        <row r="27">
          <cell r="P27">
            <v>17.8</v>
          </cell>
        </row>
      </sheetData>
      <sheetData sheetId="12"/>
      <sheetData sheetId="13">
        <row r="10">
          <cell r="P10">
            <v>14.9</v>
          </cell>
        </row>
        <row r="11">
          <cell r="P11">
            <v>14.9</v>
          </cell>
        </row>
        <row r="12">
          <cell r="P12">
            <v>15.6</v>
          </cell>
        </row>
        <row r="13">
          <cell r="P13">
            <v>17</v>
          </cell>
        </row>
        <row r="14">
          <cell r="P14">
            <v>19.899999999999999</v>
          </cell>
        </row>
        <row r="15">
          <cell r="P15">
            <v>22.5</v>
          </cell>
        </row>
        <row r="16">
          <cell r="P16">
            <v>24</v>
          </cell>
        </row>
        <row r="17">
          <cell r="P17">
            <v>24.3</v>
          </cell>
        </row>
        <row r="18">
          <cell r="P18">
            <v>24.5</v>
          </cell>
        </row>
        <row r="19">
          <cell r="P19">
            <v>24.5</v>
          </cell>
        </row>
        <row r="20">
          <cell r="P20">
            <v>23.5</v>
          </cell>
        </row>
        <row r="21">
          <cell r="P21">
            <v>22.4</v>
          </cell>
        </row>
        <row r="22">
          <cell r="P22">
            <v>21</v>
          </cell>
        </row>
        <row r="23">
          <cell r="P23">
            <v>20.100000000000001</v>
          </cell>
        </row>
        <row r="24">
          <cell r="P24">
            <v>19.399999999999999</v>
          </cell>
        </row>
        <row r="25">
          <cell r="P25">
            <v>18.8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14"/>
      <sheetData sheetId="15">
        <row r="10">
          <cell r="P10">
            <v>15.2</v>
          </cell>
        </row>
        <row r="11">
          <cell r="P11">
            <v>15.4</v>
          </cell>
        </row>
        <row r="12">
          <cell r="P12">
            <v>16.2</v>
          </cell>
        </row>
        <row r="13">
          <cell r="P13">
            <v>16.8</v>
          </cell>
        </row>
        <row r="14">
          <cell r="P14">
            <v>19</v>
          </cell>
        </row>
        <row r="15">
          <cell r="P15">
            <v>22</v>
          </cell>
        </row>
        <row r="16">
          <cell r="P16">
            <v>24.4</v>
          </cell>
        </row>
        <row r="17">
          <cell r="P17">
            <v>26</v>
          </cell>
        </row>
        <row r="18">
          <cell r="P18">
            <v>27</v>
          </cell>
        </row>
        <row r="19">
          <cell r="P19">
            <v>26</v>
          </cell>
        </row>
        <row r="20">
          <cell r="P20">
            <v>24.9</v>
          </cell>
        </row>
        <row r="21">
          <cell r="P21">
            <v>23.4</v>
          </cell>
        </row>
        <row r="22">
          <cell r="P22">
            <v>22.2</v>
          </cell>
        </row>
        <row r="23">
          <cell r="P23">
            <v>21</v>
          </cell>
        </row>
        <row r="24">
          <cell r="P24">
            <v>20.100000000000001</v>
          </cell>
        </row>
        <row r="25">
          <cell r="P25">
            <v>19.3</v>
          </cell>
        </row>
        <row r="26">
          <cell r="P26">
            <v>18.600000000000001</v>
          </cell>
        </row>
        <row r="27">
          <cell r="P27">
            <v>18.3</v>
          </cell>
        </row>
      </sheetData>
      <sheetData sheetId="16"/>
      <sheetData sheetId="17">
        <row r="10">
          <cell r="P10">
            <v>15.7</v>
          </cell>
        </row>
        <row r="11">
          <cell r="P11">
            <v>15.8</v>
          </cell>
        </row>
        <row r="12">
          <cell r="P12">
            <v>16.5</v>
          </cell>
        </row>
        <row r="13">
          <cell r="P13">
            <v>17.899999999999999</v>
          </cell>
        </row>
        <row r="14">
          <cell r="P14">
            <v>20.8</v>
          </cell>
        </row>
        <row r="15">
          <cell r="P15">
            <v>23.1</v>
          </cell>
        </row>
        <row r="16">
          <cell r="P16">
            <v>23.5</v>
          </cell>
        </row>
        <row r="17">
          <cell r="P17">
            <v>23.7</v>
          </cell>
        </row>
        <row r="18">
          <cell r="P18">
            <v>24.1</v>
          </cell>
        </row>
        <row r="19">
          <cell r="P19">
            <v>23.8</v>
          </cell>
        </row>
        <row r="20">
          <cell r="P20">
            <v>23</v>
          </cell>
        </row>
        <row r="21">
          <cell r="P21">
            <v>22</v>
          </cell>
        </row>
        <row r="22">
          <cell r="P22">
            <v>21</v>
          </cell>
        </row>
        <row r="23">
          <cell r="P23">
            <v>20</v>
          </cell>
        </row>
        <row r="24">
          <cell r="P24">
            <v>19.399999999999999</v>
          </cell>
        </row>
        <row r="25">
          <cell r="P25">
            <v>18.8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18"/>
      <sheetData sheetId="19">
        <row r="10">
          <cell r="P10">
            <v>15.7</v>
          </cell>
        </row>
        <row r="11">
          <cell r="P11">
            <v>15.7</v>
          </cell>
        </row>
        <row r="12">
          <cell r="P12">
            <v>16.399999999999999</v>
          </cell>
        </row>
        <row r="13">
          <cell r="P13">
            <v>17.5</v>
          </cell>
        </row>
        <row r="14">
          <cell r="P14">
            <v>19.899999999999999</v>
          </cell>
        </row>
        <row r="15">
          <cell r="P15">
            <v>23</v>
          </cell>
        </row>
        <row r="16">
          <cell r="P16">
            <v>25.2</v>
          </cell>
        </row>
        <row r="17">
          <cell r="P17">
            <v>26.7</v>
          </cell>
        </row>
        <row r="18">
          <cell r="P18">
            <v>27.1</v>
          </cell>
        </row>
        <row r="19">
          <cell r="P19">
            <v>26.4</v>
          </cell>
        </row>
        <row r="20">
          <cell r="P20">
            <v>24.8</v>
          </cell>
        </row>
        <row r="21">
          <cell r="P21">
            <v>23</v>
          </cell>
        </row>
        <row r="22">
          <cell r="P22">
            <v>21.8</v>
          </cell>
        </row>
        <row r="23">
          <cell r="P23">
            <v>21.7</v>
          </cell>
        </row>
        <row r="24">
          <cell r="P24">
            <v>21.4</v>
          </cell>
        </row>
        <row r="25">
          <cell r="P25">
            <v>20.100000000000001</v>
          </cell>
        </row>
        <row r="26">
          <cell r="P26">
            <v>19.600000000000001</v>
          </cell>
        </row>
        <row r="27">
          <cell r="P27">
            <v>19.2</v>
          </cell>
        </row>
      </sheetData>
      <sheetData sheetId="20"/>
      <sheetData sheetId="21">
        <row r="10">
          <cell r="P10">
            <v>16</v>
          </cell>
        </row>
        <row r="11">
          <cell r="P11">
            <v>16</v>
          </cell>
        </row>
        <row r="12">
          <cell r="P12">
            <v>16.399999999999999</v>
          </cell>
        </row>
        <row r="13">
          <cell r="P13">
            <v>17.2</v>
          </cell>
        </row>
        <row r="14">
          <cell r="P14">
            <v>20</v>
          </cell>
        </row>
        <row r="15">
          <cell r="P15">
            <v>22.6</v>
          </cell>
        </row>
        <row r="16">
          <cell r="P16">
            <v>25.4</v>
          </cell>
        </row>
        <row r="17">
          <cell r="P17">
            <v>27</v>
          </cell>
        </row>
        <row r="18">
          <cell r="P18">
            <v>27</v>
          </cell>
        </row>
        <row r="19">
          <cell r="P19">
            <v>26.3</v>
          </cell>
        </row>
        <row r="20">
          <cell r="P20">
            <v>25.2</v>
          </cell>
        </row>
        <row r="21">
          <cell r="P21">
            <v>23.5</v>
          </cell>
        </row>
        <row r="22">
          <cell r="P22">
            <v>22.2</v>
          </cell>
        </row>
        <row r="23">
          <cell r="P23">
            <v>21.2</v>
          </cell>
        </row>
        <row r="24">
          <cell r="P24">
            <v>20.399999999999999</v>
          </cell>
        </row>
        <row r="25">
          <cell r="P25">
            <v>19.7</v>
          </cell>
        </row>
        <row r="26">
          <cell r="P26">
            <v>19.3</v>
          </cell>
        </row>
        <row r="27">
          <cell r="P27">
            <v>18.5</v>
          </cell>
        </row>
      </sheetData>
      <sheetData sheetId="22"/>
      <sheetData sheetId="23">
        <row r="10">
          <cell r="P10">
            <v>15.6</v>
          </cell>
        </row>
        <row r="11">
          <cell r="P11">
            <v>15.6</v>
          </cell>
        </row>
        <row r="12">
          <cell r="P12">
            <v>16.2</v>
          </cell>
        </row>
        <row r="13">
          <cell r="P13">
            <v>17.899999999999999</v>
          </cell>
        </row>
        <row r="14">
          <cell r="P14">
            <v>20.7</v>
          </cell>
        </row>
        <row r="15">
          <cell r="P15">
            <v>23.5</v>
          </cell>
        </row>
        <row r="16">
          <cell r="P16">
            <v>25.6</v>
          </cell>
        </row>
        <row r="17">
          <cell r="P17">
            <v>27</v>
          </cell>
        </row>
        <row r="18">
          <cell r="P18">
            <v>27.5</v>
          </cell>
        </row>
        <row r="19">
          <cell r="P19">
            <v>26.4</v>
          </cell>
        </row>
        <row r="20">
          <cell r="P20">
            <v>25.2</v>
          </cell>
        </row>
        <row r="21">
          <cell r="P21">
            <v>23.8</v>
          </cell>
        </row>
        <row r="22">
          <cell r="P22">
            <v>22.6</v>
          </cell>
        </row>
        <row r="23">
          <cell r="P23">
            <v>21.8</v>
          </cell>
        </row>
        <row r="24">
          <cell r="P24">
            <v>20.8</v>
          </cell>
        </row>
        <row r="25">
          <cell r="P25">
            <v>20.399999999999999</v>
          </cell>
        </row>
        <row r="26">
          <cell r="P26">
            <v>19.8</v>
          </cell>
        </row>
        <row r="27">
          <cell r="P27">
            <v>19.5</v>
          </cell>
        </row>
      </sheetData>
      <sheetData sheetId="24"/>
      <sheetData sheetId="25">
        <row r="10">
          <cell r="P10">
            <v>17.600000000000001</v>
          </cell>
        </row>
        <row r="11">
          <cell r="P11">
            <v>17.8</v>
          </cell>
        </row>
        <row r="12">
          <cell r="P12">
            <v>18.399999999999999</v>
          </cell>
        </row>
        <row r="13">
          <cell r="P13">
            <v>19.399999999999999</v>
          </cell>
        </row>
        <row r="14">
          <cell r="P14">
            <v>21</v>
          </cell>
        </row>
        <row r="15">
          <cell r="P15">
            <v>22</v>
          </cell>
        </row>
        <row r="16">
          <cell r="P16">
            <v>24</v>
          </cell>
        </row>
        <row r="17">
          <cell r="P17">
            <v>25.8</v>
          </cell>
        </row>
        <row r="18">
          <cell r="P18">
            <v>26</v>
          </cell>
        </row>
        <row r="19">
          <cell r="P19">
            <v>25.4</v>
          </cell>
        </row>
        <row r="20">
          <cell r="P20">
            <v>24.6</v>
          </cell>
        </row>
        <row r="21">
          <cell r="P21">
            <v>23.7</v>
          </cell>
        </row>
        <row r="22">
          <cell r="P22">
            <v>23</v>
          </cell>
        </row>
        <row r="23">
          <cell r="P23">
            <v>22.4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20.7</v>
          </cell>
        </row>
        <row r="27">
          <cell r="P27">
            <v>20.399999999999999</v>
          </cell>
        </row>
      </sheetData>
      <sheetData sheetId="26"/>
      <sheetData sheetId="27">
        <row r="10">
          <cell r="P10">
            <v>18.2</v>
          </cell>
        </row>
        <row r="11">
          <cell r="P11">
            <v>18</v>
          </cell>
        </row>
        <row r="12">
          <cell r="P12">
            <v>18</v>
          </cell>
        </row>
        <row r="13">
          <cell r="P13">
            <v>18.3</v>
          </cell>
        </row>
        <row r="14">
          <cell r="P14">
            <v>18.8</v>
          </cell>
        </row>
        <row r="15">
          <cell r="P15">
            <v>19</v>
          </cell>
        </row>
        <row r="16">
          <cell r="P16">
            <v>19.399999999999999</v>
          </cell>
        </row>
        <row r="17">
          <cell r="P17">
            <v>19.8</v>
          </cell>
        </row>
        <row r="18">
          <cell r="P18">
            <v>20.2</v>
          </cell>
        </row>
        <row r="19">
          <cell r="P19">
            <v>20</v>
          </cell>
        </row>
        <row r="20">
          <cell r="P20">
            <v>19.7</v>
          </cell>
        </row>
        <row r="21">
          <cell r="P21">
            <v>19.2</v>
          </cell>
        </row>
        <row r="22">
          <cell r="P22">
            <v>18.8</v>
          </cell>
        </row>
        <row r="23">
          <cell r="P23">
            <v>18.600000000000001</v>
          </cell>
        </row>
        <row r="24">
          <cell r="P24">
            <v>18.3</v>
          </cell>
        </row>
        <row r="25">
          <cell r="P25">
            <v>18.2</v>
          </cell>
        </row>
        <row r="26">
          <cell r="P26">
            <v>17.8</v>
          </cell>
        </row>
        <row r="27">
          <cell r="P27">
            <v>17.7</v>
          </cell>
        </row>
      </sheetData>
      <sheetData sheetId="28"/>
      <sheetData sheetId="29">
        <row r="10">
          <cell r="P10">
            <v>17</v>
          </cell>
        </row>
        <row r="11">
          <cell r="P11">
            <v>16.8</v>
          </cell>
        </row>
        <row r="12">
          <cell r="P12">
            <v>17.2</v>
          </cell>
        </row>
        <row r="13">
          <cell r="P13">
            <v>18.600000000000001</v>
          </cell>
        </row>
        <row r="14">
          <cell r="P14">
            <v>20.6</v>
          </cell>
        </row>
        <row r="15">
          <cell r="P15">
            <v>23</v>
          </cell>
        </row>
        <row r="16">
          <cell r="P16">
            <v>25.6</v>
          </cell>
        </row>
        <row r="17">
          <cell r="P17">
            <v>27</v>
          </cell>
        </row>
        <row r="18">
          <cell r="P18">
            <v>28</v>
          </cell>
        </row>
        <row r="19">
          <cell r="P19">
            <v>27.2</v>
          </cell>
        </row>
        <row r="20">
          <cell r="P20">
            <v>25.8</v>
          </cell>
        </row>
        <row r="21">
          <cell r="P21">
            <v>24.4</v>
          </cell>
        </row>
        <row r="22">
          <cell r="P22">
            <v>23.2</v>
          </cell>
        </row>
        <row r="23">
          <cell r="P23">
            <v>22.2</v>
          </cell>
        </row>
        <row r="24">
          <cell r="P24">
            <v>21.2</v>
          </cell>
        </row>
        <row r="25">
          <cell r="P25">
            <v>20.6</v>
          </cell>
        </row>
        <row r="26">
          <cell r="P26">
            <v>19.8</v>
          </cell>
        </row>
        <row r="27">
          <cell r="P27">
            <v>19.3</v>
          </cell>
        </row>
      </sheetData>
      <sheetData sheetId="30"/>
      <sheetData sheetId="31">
        <row r="10">
          <cell r="P10">
            <v>16.399999999999999</v>
          </cell>
        </row>
        <row r="11">
          <cell r="P11">
            <v>16.5</v>
          </cell>
        </row>
        <row r="12">
          <cell r="P12">
            <v>17.2</v>
          </cell>
        </row>
        <row r="13">
          <cell r="P13">
            <v>18.600000000000001</v>
          </cell>
        </row>
        <row r="14">
          <cell r="P14">
            <v>20.7</v>
          </cell>
        </row>
        <row r="15">
          <cell r="P15">
            <v>23.7</v>
          </cell>
        </row>
        <row r="16">
          <cell r="P16">
            <v>25.7</v>
          </cell>
        </row>
        <row r="17">
          <cell r="P17">
            <v>27.4</v>
          </cell>
        </row>
        <row r="18">
          <cell r="P18">
            <v>27.8</v>
          </cell>
        </row>
        <row r="19">
          <cell r="P19">
            <v>27</v>
          </cell>
        </row>
        <row r="20">
          <cell r="P20">
            <v>25</v>
          </cell>
        </row>
        <row r="21">
          <cell r="P21">
            <v>24.6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20</v>
          </cell>
        </row>
        <row r="27">
          <cell r="P27">
            <v>19.600000000000001</v>
          </cell>
        </row>
      </sheetData>
      <sheetData sheetId="32"/>
      <sheetData sheetId="33">
        <row r="10">
          <cell r="P10">
            <v>16.899999999999999</v>
          </cell>
        </row>
        <row r="11">
          <cell r="P11">
            <v>17.100000000000001</v>
          </cell>
        </row>
        <row r="12">
          <cell r="P12">
            <v>17.7</v>
          </cell>
        </row>
        <row r="13">
          <cell r="P13">
            <v>20.399999999999999</v>
          </cell>
        </row>
        <row r="14">
          <cell r="P14">
            <v>21.5</v>
          </cell>
        </row>
        <row r="15">
          <cell r="P15">
            <v>24.6</v>
          </cell>
        </row>
        <row r="16">
          <cell r="P16">
            <v>26.5</v>
          </cell>
        </row>
        <row r="17">
          <cell r="P17">
            <v>27.7</v>
          </cell>
        </row>
        <row r="18">
          <cell r="P18">
            <v>27.9</v>
          </cell>
        </row>
        <row r="19">
          <cell r="P19">
            <v>27.1</v>
          </cell>
        </row>
        <row r="20">
          <cell r="P20">
            <v>26.2</v>
          </cell>
        </row>
        <row r="21">
          <cell r="P21">
            <v>24.8</v>
          </cell>
        </row>
        <row r="22">
          <cell r="P22">
            <v>23.6</v>
          </cell>
        </row>
        <row r="23">
          <cell r="P23">
            <v>22.8</v>
          </cell>
        </row>
        <row r="24">
          <cell r="P24">
            <v>22</v>
          </cell>
        </row>
        <row r="25">
          <cell r="P25">
            <v>21.4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34"/>
      <sheetData sheetId="35">
        <row r="10">
          <cell r="P10">
            <v>19</v>
          </cell>
        </row>
        <row r="11">
          <cell r="P11">
            <v>19.2</v>
          </cell>
        </row>
        <row r="12">
          <cell r="P12">
            <v>20</v>
          </cell>
        </row>
        <row r="13">
          <cell r="P13">
            <v>21</v>
          </cell>
        </row>
        <row r="14">
          <cell r="P14">
            <v>23</v>
          </cell>
        </row>
        <row r="15">
          <cell r="P15">
            <v>25</v>
          </cell>
        </row>
        <row r="16">
          <cell r="P16">
            <v>26</v>
          </cell>
        </row>
        <row r="17">
          <cell r="P17">
            <v>27</v>
          </cell>
        </row>
        <row r="18">
          <cell r="P18">
            <v>28</v>
          </cell>
        </row>
        <row r="19">
          <cell r="P19">
            <v>26.6</v>
          </cell>
        </row>
        <row r="20">
          <cell r="P20">
            <v>25.4</v>
          </cell>
        </row>
        <row r="21">
          <cell r="P21">
            <v>23.8</v>
          </cell>
        </row>
        <row r="22">
          <cell r="P22">
            <v>23</v>
          </cell>
        </row>
        <row r="23">
          <cell r="P23">
            <v>22.1</v>
          </cell>
        </row>
        <row r="24">
          <cell r="P24">
            <v>21.8</v>
          </cell>
        </row>
        <row r="25">
          <cell r="P25">
            <v>21.1</v>
          </cell>
        </row>
        <row r="26">
          <cell r="P26">
            <v>20.7</v>
          </cell>
        </row>
        <row r="27">
          <cell r="P27">
            <v>20.399999999999999</v>
          </cell>
        </row>
      </sheetData>
      <sheetData sheetId="36"/>
      <sheetData sheetId="37">
        <row r="10">
          <cell r="P10">
            <v>19.100000000000001</v>
          </cell>
        </row>
        <row r="11">
          <cell r="P11">
            <v>19</v>
          </cell>
        </row>
        <row r="12">
          <cell r="P12">
            <v>19.2</v>
          </cell>
        </row>
        <row r="13">
          <cell r="P13">
            <v>19.600000000000001</v>
          </cell>
        </row>
        <row r="14">
          <cell r="P14">
            <v>20.2</v>
          </cell>
        </row>
        <row r="15">
          <cell r="P15">
            <v>20.8</v>
          </cell>
        </row>
        <row r="16">
          <cell r="P16">
            <v>22</v>
          </cell>
        </row>
        <row r="17">
          <cell r="P17">
            <v>23.7</v>
          </cell>
        </row>
        <row r="18">
          <cell r="P18">
            <v>24.6</v>
          </cell>
        </row>
        <row r="19">
          <cell r="P19">
            <v>24.2</v>
          </cell>
        </row>
        <row r="20">
          <cell r="P20">
            <v>23.4</v>
          </cell>
        </row>
        <row r="21">
          <cell r="P21">
            <v>22.4</v>
          </cell>
        </row>
        <row r="22">
          <cell r="P22">
            <v>21.8</v>
          </cell>
        </row>
        <row r="23">
          <cell r="P23">
            <v>21.3</v>
          </cell>
        </row>
        <row r="24">
          <cell r="P24">
            <v>20.9</v>
          </cell>
        </row>
        <row r="25">
          <cell r="P25">
            <v>20.5</v>
          </cell>
        </row>
        <row r="26">
          <cell r="P26">
            <v>20.100000000000001</v>
          </cell>
        </row>
        <row r="27">
          <cell r="P27">
            <v>19.8</v>
          </cell>
        </row>
      </sheetData>
      <sheetData sheetId="38"/>
      <sheetData sheetId="39">
        <row r="10">
          <cell r="P10">
            <v>17.8</v>
          </cell>
        </row>
        <row r="11">
          <cell r="P11">
            <v>18</v>
          </cell>
        </row>
        <row r="12">
          <cell r="P12">
            <v>18.399999999999999</v>
          </cell>
        </row>
        <row r="13">
          <cell r="P13">
            <v>19.8</v>
          </cell>
        </row>
        <row r="14">
          <cell r="P14">
            <v>22</v>
          </cell>
        </row>
        <row r="15">
          <cell r="P15">
            <v>23</v>
          </cell>
        </row>
        <row r="16">
          <cell r="P16">
            <v>28</v>
          </cell>
        </row>
        <row r="17">
          <cell r="P17">
            <v>29</v>
          </cell>
        </row>
        <row r="18">
          <cell r="P18">
            <v>29.8</v>
          </cell>
        </row>
        <row r="19">
          <cell r="P19">
            <v>29.1</v>
          </cell>
        </row>
        <row r="20">
          <cell r="P20">
            <v>26.9</v>
          </cell>
        </row>
        <row r="21">
          <cell r="P21">
            <v>25.5</v>
          </cell>
        </row>
        <row r="22">
          <cell r="P22">
            <v>24.4</v>
          </cell>
        </row>
        <row r="23">
          <cell r="P23">
            <v>23.6</v>
          </cell>
        </row>
        <row r="24">
          <cell r="P24">
            <v>22.8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21.3</v>
          </cell>
        </row>
      </sheetData>
      <sheetData sheetId="40"/>
      <sheetData sheetId="41">
        <row r="10">
          <cell r="P10">
            <v>19.399999999999999</v>
          </cell>
        </row>
        <row r="11">
          <cell r="P11">
            <v>19.399999999999999</v>
          </cell>
        </row>
        <row r="12">
          <cell r="P12">
            <v>19.600000000000001</v>
          </cell>
        </row>
        <row r="13">
          <cell r="P13">
            <v>20.8</v>
          </cell>
        </row>
        <row r="14">
          <cell r="P14">
            <v>22.8</v>
          </cell>
        </row>
        <row r="15">
          <cell r="P15">
            <v>23.1</v>
          </cell>
        </row>
        <row r="16">
          <cell r="P16">
            <v>25.2</v>
          </cell>
        </row>
        <row r="17">
          <cell r="P17">
            <v>26</v>
          </cell>
        </row>
        <row r="18">
          <cell r="P18">
            <v>26.8</v>
          </cell>
        </row>
        <row r="19">
          <cell r="P19">
            <v>26.8</v>
          </cell>
        </row>
        <row r="20">
          <cell r="P20">
            <v>25.6</v>
          </cell>
        </row>
        <row r="21">
          <cell r="P21">
            <v>24.3</v>
          </cell>
        </row>
        <row r="22">
          <cell r="P22">
            <v>23.1</v>
          </cell>
        </row>
        <row r="23">
          <cell r="P23">
            <v>22.5</v>
          </cell>
        </row>
        <row r="24">
          <cell r="P24">
            <v>21.9</v>
          </cell>
        </row>
        <row r="25">
          <cell r="P25">
            <v>21.5</v>
          </cell>
        </row>
        <row r="26">
          <cell r="P26">
            <v>21.1</v>
          </cell>
        </row>
        <row r="27">
          <cell r="P27">
            <v>20.8</v>
          </cell>
        </row>
      </sheetData>
      <sheetData sheetId="42"/>
      <sheetData sheetId="43">
        <row r="10">
          <cell r="P10">
            <v>18.2</v>
          </cell>
        </row>
        <row r="11">
          <cell r="P11">
            <v>17.899999999999999</v>
          </cell>
        </row>
        <row r="12">
          <cell r="P12">
            <v>18.600000000000001</v>
          </cell>
        </row>
        <row r="13">
          <cell r="P13">
            <v>21.2</v>
          </cell>
        </row>
        <row r="14">
          <cell r="P14">
            <v>22.3</v>
          </cell>
        </row>
        <row r="15">
          <cell r="P15">
            <v>25.4</v>
          </cell>
        </row>
        <row r="16">
          <cell r="P16">
            <v>27.8</v>
          </cell>
        </row>
        <row r="17">
          <cell r="P17">
            <v>29.2</v>
          </cell>
        </row>
        <row r="18">
          <cell r="P18">
            <v>29.7</v>
          </cell>
        </row>
        <row r="19">
          <cell r="P19">
            <v>29</v>
          </cell>
        </row>
        <row r="20">
          <cell r="P20">
            <v>27.5</v>
          </cell>
        </row>
        <row r="21">
          <cell r="P21">
            <v>25.7</v>
          </cell>
        </row>
        <row r="22">
          <cell r="P22">
            <v>24.3</v>
          </cell>
        </row>
        <row r="23">
          <cell r="P23">
            <v>23.1</v>
          </cell>
        </row>
        <row r="24">
          <cell r="P24">
            <v>22.2</v>
          </cell>
        </row>
        <row r="25">
          <cell r="P25">
            <v>21.2</v>
          </cell>
        </row>
        <row r="26">
          <cell r="P26">
            <v>20.399999999999999</v>
          </cell>
        </row>
        <row r="27">
          <cell r="P27">
            <v>19.899999999999999</v>
          </cell>
        </row>
      </sheetData>
      <sheetData sheetId="44"/>
      <sheetData sheetId="45">
        <row r="10">
          <cell r="P10">
            <v>16.600000000000001</v>
          </cell>
        </row>
        <row r="11">
          <cell r="P11">
            <v>16.600000000000001</v>
          </cell>
        </row>
        <row r="12">
          <cell r="P12">
            <v>17.600000000000001</v>
          </cell>
        </row>
        <row r="13">
          <cell r="P13">
            <v>20</v>
          </cell>
        </row>
        <row r="14">
          <cell r="P14">
            <v>22.8</v>
          </cell>
        </row>
        <row r="15">
          <cell r="P15">
            <v>25.4</v>
          </cell>
        </row>
        <row r="16">
          <cell r="P16">
            <v>27.8</v>
          </cell>
        </row>
        <row r="17">
          <cell r="P17">
            <v>29</v>
          </cell>
        </row>
        <row r="18">
          <cell r="P18">
            <v>30</v>
          </cell>
        </row>
        <row r="19">
          <cell r="P19">
            <v>29.2</v>
          </cell>
        </row>
        <row r="20">
          <cell r="P20">
            <v>27.6</v>
          </cell>
        </row>
        <row r="21">
          <cell r="P21">
            <v>25.8</v>
          </cell>
        </row>
        <row r="22">
          <cell r="P22">
            <v>24.4</v>
          </cell>
        </row>
        <row r="23">
          <cell r="P23">
            <v>23.1</v>
          </cell>
        </row>
        <row r="24">
          <cell r="P24">
            <v>22</v>
          </cell>
        </row>
        <row r="25">
          <cell r="P25">
            <v>21</v>
          </cell>
        </row>
        <row r="26">
          <cell r="P26">
            <v>20.2</v>
          </cell>
        </row>
        <row r="27">
          <cell r="P27">
            <v>19.600000000000001</v>
          </cell>
        </row>
      </sheetData>
      <sheetData sheetId="46"/>
      <sheetData sheetId="47">
        <row r="10">
          <cell r="P10">
            <v>16</v>
          </cell>
        </row>
        <row r="11">
          <cell r="P11">
            <v>16.3</v>
          </cell>
        </row>
        <row r="12">
          <cell r="P12">
            <v>17.2</v>
          </cell>
        </row>
        <row r="13">
          <cell r="P13">
            <v>19.399999999999999</v>
          </cell>
        </row>
        <row r="14">
          <cell r="P14">
            <v>22.7</v>
          </cell>
        </row>
        <row r="15">
          <cell r="P15">
            <v>25.5</v>
          </cell>
        </row>
        <row r="16">
          <cell r="P16">
            <v>27.4</v>
          </cell>
        </row>
        <row r="17">
          <cell r="P17">
            <v>29.8</v>
          </cell>
        </row>
        <row r="18">
          <cell r="P18">
            <v>29.3</v>
          </cell>
        </row>
        <row r="19">
          <cell r="P19">
            <v>29.1</v>
          </cell>
        </row>
        <row r="20">
          <cell r="P20">
            <v>27.4</v>
          </cell>
        </row>
        <row r="21">
          <cell r="P21">
            <v>25.5</v>
          </cell>
        </row>
        <row r="22">
          <cell r="P22">
            <v>23.8</v>
          </cell>
        </row>
        <row r="23">
          <cell r="P23">
            <v>22.8</v>
          </cell>
        </row>
        <row r="24">
          <cell r="P24">
            <v>21.6</v>
          </cell>
        </row>
        <row r="25">
          <cell r="P25">
            <v>20.8</v>
          </cell>
        </row>
        <row r="26">
          <cell r="P26">
            <v>20</v>
          </cell>
        </row>
        <row r="27">
          <cell r="P27">
            <v>19.3</v>
          </cell>
        </row>
      </sheetData>
      <sheetData sheetId="48"/>
      <sheetData sheetId="49">
        <row r="10">
          <cell r="P10">
            <v>16</v>
          </cell>
        </row>
        <row r="11">
          <cell r="P11">
            <v>16.2</v>
          </cell>
        </row>
        <row r="12">
          <cell r="P12">
            <v>17.3</v>
          </cell>
        </row>
        <row r="13">
          <cell r="P13">
            <v>19.5</v>
          </cell>
        </row>
        <row r="14">
          <cell r="P14">
            <v>22.2</v>
          </cell>
        </row>
        <row r="15">
          <cell r="P15">
            <v>25.3</v>
          </cell>
        </row>
        <row r="16">
          <cell r="P16">
            <v>27.8</v>
          </cell>
        </row>
        <row r="17">
          <cell r="P17">
            <v>28.8</v>
          </cell>
        </row>
        <row r="18">
          <cell r="P18">
            <v>28.7</v>
          </cell>
        </row>
        <row r="19">
          <cell r="P19">
            <v>28.5</v>
          </cell>
        </row>
        <row r="20">
          <cell r="P20">
            <v>27</v>
          </cell>
        </row>
        <row r="21">
          <cell r="P21">
            <v>25.4</v>
          </cell>
        </row>
        <row r="22">
          <cell r="P22">
            <v>23.9</v>
          </cell>
        </row>
        <row r="23">
          <cell r="P23">
            <v>22.8</v>
          </cell>
        </row>
        <row r="24">
          <cell r="P24">
            <v>21.5</v>
          </cell>
        </row>
        <row r="25">
          <cell r="P25">
            <v>20.8</v>
          </cell>
        </row>
        <row r="26">
          <cell r="P26">
            <v>20.100000000000001</v>
          </cell>
        </row>
        <row r="27">
          <cell r="P27">
            <v>19.5</v>
          </cell>
        </row>
      </sheetData>
      <sheetData sheetId="50"/>
      <sheetData sheetId="51">
        <row r="10">
          <cell r="P10">
            <v>16.3</v>
          </cell>
        </row>
        <row r="11">
          <cell r="P11">
            <v>16.399999999999999</v>
          </cell>
        </row>
        <row r="12">
          <cell r="P12">
            <v>17.600000000000001</v>
          </cell>
        </row>
        <row r="13">
          <cell r="P13">
            <v>19.8</v>
          </cell>
        </row>
        <row r="14">
          <cell r="P14">
            <v>22.6</v>
          </cell>
        </row>
        <row r="15">
          <cell r="P15">
            <v>25.4</v>
          </cell>
        </row>
        <row r="16">
          <cell r="P16">
            <v>27.8</v>
          </cell>
        </row>
        <row r="17">
          <cell r="P17">
            <v>29</v>
          </cell>
        </row>
        <row r="18">
          <cell r="P18">
            <v>29.4</v>
          </cell>
        </row>
        <row r="19">
          <cell r="P19">
            <v>28.8</v>
          </cell>
        </row>
        <row r="20">
          <cell r="P20">
            <v>27.2</v>
          </cell>
        </row>
        <row r="21">
          <cell r="P21">
            <v>25.3</v>
          </cell>
        </row>
        <row r="22">
          <cell r="P22">
            <v>24</v>
          </cell>
        </row>
        <row r="23">
          <cell r="P23">
            <v>23.2</v>
          </cell>
        </row>
        <row r="24">
          <cell r="P24">
            <v>22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52"/>
      <sheetData sheetId="53">
        <row r="10">
          <cell r="P10">
            <v>16.399999999999999</v>
          </cell>
        </row>
        <row r="11">
          <cell r="P11">
            <v>16.7</v>
          </cell>
        </row>
        <row r="12">
          <cell r="P12">
            <v>17.7</v>
          </cell>
        </row>
        <row r="13">
          <cell r="P13">
            <v>19.8</v>
          </cell>
        </row>
        <row r="14">
          <cell r="P14">
            <v>22.4</v>
          </cell>
        </row>
        <row r="15">
          <cell r="P15">
            <v>25</v>
          </cell>
        </row>
        <row r="16">
          <cell r="P16">
            <v>27.1</v>
          </cell>
        </row>
        <row r="17">
          <cell r="P17">
            <v>28.5</v>
          </cell>
        </row>
        <row r="18">
          <cell r="P18">
            <v>28.6</v>
          </cell>
        </row>
        <row r="19">
          <cell r="P19">
            <v>27.4</v>
          </cell>
        </row>
        <row r="20">
          <cell r="P20">
            <v>26.2</v>
          </cell>
        </row>
        <row r="21">
          <cell r="P21">
            <v>24.2</v>
          </cell>
        </row>
        <row r="22">
          <cell r="P22">
            <v>23</v>
          </cell>
        </row>
        <row r="23">
          <cell r="P23">
            <v>22.6</v>
          </cell>
        </row>
        <row r="24">
          <cell r="P24">
            <v>22</v>
          </cell>
        </row>
        <row r="25">
          <cell r="P25">
            <v>21.4</v>
          </cell>
        </row>
        <row r="26">
          <cell r="P26">
            <v>21.2</v>
          </cell>
        </row>
        <row r="27">
          <cell r="P27">
            <v>21</v>
          </cell>
        </row>
      </sheetData>
      <sheetData sheetId="54"/>
      <sheetData sheetId="55">
        <row r="10">
          <cell r="P10">
            <v>18.3</v>
          </cell>
        </row>
        <row r="11">
          <cell r="P11">
            <v>18.5</v>
          </cell>
        </row>
        <row r="12">
          <cell r="P12">
            <v>19</v>
          </cell>
        </row>
        <row r="13">
          <cell r="P13">
            <v>20.7</v>
          </cell>
        </row>
        <row r="14">
          <cell r="P14">
            <v>23.1</v>
          </cell>
        </row>
        <row r="15">
          <cell r="P15">
            <v>25.4</v>
          </cell>
        </row>
        <row r="16">
          <cell r="P16">
            <v>27.8</v>
          </cell>
        </row>
        <row r="17">
          <cell r="P17">
            <v>28.9</v>
          </cell>
        </row>
        <row r="18">
          <cell r="P18">
            <v>28.9</v>
          </cell>
        </row>
        <row r="19">
          <cell r="P19">
            <v>28.2</v>
          </cell>
        </row>
        <row r="20">
          <cell r="P20">
            <v>26.8</v>
          </cell>
        </row>
        <row r="21">
          <cell r="P21">
            <v>25.4</v>
          </cell>
        </row>
        <row r="22">
          <cell r="P22">
            <v>23.9</v>
          </cell>
        </row>
        <row r="23">
          <cell r="P23">
            <v>23</v>
          </cell>
        </row>
        <row r="24">
          <cell r="P24">
            <v>22</v>
          </cell>
        </row>
        <row r="25">
          <cell r="P25">
            <v>21.2</v>
          </cell>
        </row>
        <row r="26">
          <cell r="P26">
            <v>20.6</v>
          </cell>
        </row>
        <row r="27">
          <cell r="P27">
            <v>20</v>
          </cell>
        </row>
      </sheetData>
      <sheetData sheetId="56"/>
      <sheetData sheetId="57">
        <row r="10">
          <cell r="P10">
            <v>17.2</v>
          </cell>
        </row>
        <row r="11">
          <cell r="P11">
            <v>17.2</v>
          </cell>
        </row>
        <row r="12">
          <cell r="P12">
            <v>18.2</v>
          </cell>
        </row>
        <row r="13">
          <cell r="P13">
            <v>21.2</v>
          </cell>
        </row>
        <row r="14">
          <cell r="P14">
            <v>22.8</v>
          </cell>
        </row>
        <row r="15">
          <cell r="P15">
            <v>25.5</v>
          </cell>
        </row>
        <row r="16">
          <cell r="P16">
            <v>27.5</v>
          </cell>
        </row>
        <row r="17">
          <cell r="P17">
            <v>28.8</v>
          </cell>
        </row>
        <row r="18">
          <cell r="P18">
            <v>29.3</v>
          </cell>
        </row>
        <row r="19">
          <cell r="P19">
            <v>28.6</v>
          </cell>
        </row>
        <row r="20">
          <cell r="P20">
            <v>27.1</v>
          </cell>
        </row>
        <row r="21">
          <cell r="P21">
            <v>25.7</v>
          </cell>
        </row>
        <row r="22">
          <cell r="P22">
            <v>24.4</v>
          </cell>
        </row>
        <row r="23">
          <cell r="P23">
            <v>23.4</v>
          </cell>
        </row>
        <row r="24">
          <cell r="P24">
            <v>22.6</v>
          </cell>
        </row>
        <row r="25">
          <cell r="P25">
            <v>21.8</v>
          </cell>
        </row>
        <row r="26">
          <cell r="P26">
            <v>21.1</v>
          </cell>
        </row>
        <row r="27">
          <cell r="P27">
            <v>20.6</v>
          </cell>
        </row>
      </sheetData>
      <sheetData sheetId="58"/>
      <sheetData sheetId="59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19.3</v>
          </cell>
        </row>
        <row r="13">
          <cell r="P13">
            <v>20.2</v>
          </cell>
        </row>
        <row r="14">
          <cell r="P14">
            <v>20.399999999999999</v>
          </cell>
        </row>
        <row r="15">
          <cell r="P15">
            <v>20.100000000000001</v>
          </cell>
        </row>
        <row r="16">
          <cell r="P16">
            <v>19.3</v>
          </cell>
        </row>
        <row r="17">
          <cell r="P17">
            <v>18.600000000000001</v>
          </cell>
        </row>
        <row r="18">
          <cell r="P18">
            <v>18.600000000000001</v>
          </cell>
        </row>
        <row r="19">
          <cell r="P19">
            <v>18.8</v>
          </cell>
        </row>
        <row r="20">
          <cell r="P20">
            <v>18.399999999999999</v>
          </cell>
        </row>
        <row r="21">
          <cell r="P21">
            <v>18</v>
          </cell>
        </row>
        <row r="22">
          <cell r="P22">
            <v>17</v>
          </cell>
        </row>
        <row r="23">
          <cell r="P23">
            <v>16.399999999999999</v>
          </cell>
        </row>
        <row r="24">
          <cell r="P24">
            <v>15.6</v>
          </cell>
        </row>
        <row r="25">
          <cell r="P25">
            <v>15</v>
          </cell>
        </row>
        <row r="26">
          <cell r="P26">
            <v>14.4</v>
          </cell>
        </row>
        <row r="27">
          <cell r="P27">
            <v>14</v>
          </cell>
        </row>
      </sheetData>
      <sheetData sheetId="60"/>
      <sheetData sheetId="61">
        <row r="10">
          <cell r="P10">
            <v>13</v>
          </cell>
        </row>
        <row r="11">
          <cell r="P11">
            <v>13</v>
          </cell>
        </row>
        <row r="12">
          <cell r="P12">
            <v>13.9</v>
          </cell>
        </row>
        <row r="13">
          <cell r="P13">
            <v>16</v>
          </cell>
        </row>
        <row r="14">
          <cell r="P14">
            <v>18.2</v>
          </cell>
        </row>
        <row r="15">
          <cell r="P15">
            <v>19.399999999999999</v>
          </cell>
        </row>
        <row r="16">
          <cell r="P16">
            <v>21</v>
          </cell>
        </row>
        <row r="17">
          <cell r="P17">
            <v>22.5</v>
          </cell>
        </row>
        <row r="18">
          <cell r="P18">
            <v>23</v>
          </cell>
        </row>
        <row r="19">
          <cell r="P19">
            <v>22</v>
          </cell>
        </row>
        <row r="20">
          <cell r="P20">
            <v>21</v>
          </cell>
        </row>
        <row r="21">
          <cell r="P21">
            <v>19</v>
          </cell>
        </row>
        <row r="22">
          <cell r="P22">
            <v>17.399999999999999</v>
          </cell>
        </row>
        <row r="23">
          <cell r="P23">
            <v>16.600000000000001</v>
          </cell>
        </row>
        <row r="24">
          <cell r="P24">
            <v>15.8</v>
          </cell>
        </row>
        <row r="25">
          <cell r="P25">
            <v>15.2</v>
          </cell>
        </row>
        <row r="26">
          <cell r="P26">
            <v>15</v>
          </cell>
        </row>
        <row r="27">
          <cell r="P27">
            <v>15</v>
          </cell>
        </row>
      </sheetData>
      <sheetData sheetId="62"/>
      <sheetData sheetId="63">
        <row r="10">
          <cell r="P10">
            <v>14.2</v>
          </cell>
        </row>
        <row r="11">
          <cell r="P11">
            <v>14.1</v>
          </cell>
        </row>
        <row r="12">
          <cell r="P12">
            <v>14.8</v>
          </cell>
        </row>
        <row r="13">
          <cell r="P13">
            <v>16.600000000000001</v>
          </cell>
        </row>
        <row r="14">
          <cell r="P14">
            <v>19.5</v>
          </cell>
        </row>
        <row r="15">
          <cell r="P15">
            <v>22.2</v>
          </cell>
        </row>
        <row r="16">
          <cell r="P16">
            <v>24.8</v>
          </cell>
        </row>
        <row r="17">
          <cell r="P17">
            <v>26.6</v>
          </cell>
        </row>
        <row r="18">
          <cell r="P18">
            <v>27.3</v>
          </cell>
        </row>
        <row r="19">
          <cell r="P19">
            <v>26.5</v>
          </cell>
        </row>
        <row r="20">
          <cell r="P20">
            <v>25</v>
          </cell>
        </row>
        <row r="21">
          <cell r="P21">
            <v>22.6</v>
          </cell>
        </row>
        <row r="22">
          <cell r="P22">
            <v>20</v>
          </cell>
        </row>
        <row r="23">
          <cell r="P23">
            <v>19.399999999999999</v>
          </cell>
        </row>
        <row r="24">
          <cell r="P24">
            <v>18.2</v>
          </cell>
        </row>
        <row r="25">
          <cell r="P25">
            <v>17</v>
          </cell>
        </row>
        <row r="26">
          <cell r="P26">
            <v>16.600000000000001</v>
          </cell>
        </row>
        <row r="27">
          <cell r="P27">
            <v>16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15</v>
          </cell>
        </row>
        <row r="11">
          <cell r="P11">
            <v>15.2</v>
          </cell>
        </row>
        <row r="12">
          <cell r="P12">
            <v>15.8</v>
          </cell>
        </row>
        <row r="13">
          <cell r="P13">
            <v>17.600000000000001</v>
          </cell>
        </row>
        <row r="14">
          <cell r="P14">
            <v>20.8</v>
          </cell>
        </row>
        <row r="15">
          <cell r="P15">
            <v>23.4</v>
          </cell>
        </row>
        <row r="16">
          <cell r="P16">
            <v>25.9</v>
          </cell>
        </row>
        <row r="17">
          <cell r="P17">
            <v>27.7</v>
          </cell>
        </row>
        <row r="18">
          <cell r="P18">
            <v>27.7</v>
          </cell>
        </row>
        <row r="19">
          <cell r="P19">
            <v>26.5</v>
          </cell>
        </row>
        <row r="20">
          <cell r="P20">
            <v>25.2</v>
          </cell>
        </row>
        <row r="21">
          <cell r="P21">
            <v>23.8</v>
          </cell>
        </row>
        <row r="22">
          <cell r="P22">
            <v>22.6</v>
          </cell>
        </row>
        <row r="23">
          <cell r="P23">
            <v>21.4</v>
          </cell>
        </row>
        <row r="24">
          <cell r="P24">
            <v>20.399999999999999</v>
          </cell>
        </row>
        <row r="25">
          <cell r="P25">
            <v>19.600000000000001</v>
          </cell>
        </row>
        <row r="26">
          <cell r="P26">
            <v>18.8</v>
          </cell>
        </row>
        <row r="27">
          <cell r="P27">
            <v>18.399999999999999</v>
          </cell>
        </row>
      </sheetData>
      <sheetData sheetId="4">
        <row r="1">
          <cell r="C1" t="str">
            <v>AGOSTO DE 2022</v>
          </cell>
        </row>
      </sheetData>
      <sheetData sheetId="5">
        <row r="10">
          <cell r="P10">
            <v>15.2</v>
          </cell>
        </row>
        <row r="11">
          <cell r="P11">
            <v>15.2</v>
          </cell>
        </row>
        <row r="12">
          <cell r="P12">
            <v>16.399999999999999</v>
          </cell>
        </row>
        <row r="13">
          <cell r="P13">
            <v>18.899999999999999</v>
          </cell>
        </row>
        <row r="14">
          <cell r="P14">
            <v>22</v>
          </cell>
        </row>
        <row r="15">
          <cell r="P15">
            <v>24.8</v>
          </cell>
        </row>
        <row r="16">
          <cell r="P16">
            <v>27.2</v>
          </cell>
        </row>
        <row r="17">
          <cell r="P17">
            <v>28.9</v>
          </cell>
        </row>
        <row r="18">
          <cell r="P18">
            <v>29.7</v>
          </cell>
        </row>
        <row r="19">
          <cell r="P19">
            <v>28.9</v>
          </cell>
        </row>
        <row r="20">
          <cell r="P20">
            <v>27.1</v>
          </cell>
        </row>
        <row r="21">
          <cell r="P21">
            <v>25.3</v>
          </cell>
        </row>
        <row r="22">
          <cell r="P22">
            <v>23.6</v>
          </cell>
        </row>
        <row r="23">
          <cell r="P23">
            <v>22.4</v>
          </cell>
        </row>
        <row r="24">
          <cell r="P24">
            <v>21.4</v>
          </cell>
        </row>
        <row r="25">
          <cell r="P25">
            <v>20.399999999999999</v>
          </cell>
        </row>
        <row r="26">
          <cell r="P26">
            <v>19.399999999999999</v>
          </cell>
        </row>
        <row r="27">
          <cell r="P27">
            <v>18.899999999999999</v>
          </cell>
        </row>
      </sheetData>
      <sheetData sheetId="6"/>
      <sheetData sheetId="7">
        <row r="10">
          <cell r="P10">
            <v>15</v>
          </cell>
        </row>
        <row r="11">
          <cell r="P11">
            <v>15.2</v>
          </cell>
        </row>
        <row r="12">
          <cell r="P12">
            <v>16</v>
          </cell>
        </row>
        <row r="13">
          <cell r="P13">
            <v>18.600000000000001</v>
          </cell>
        </row>
        <row r="14">
          <cell r="P14">
            <v>22.6</v>
          </cell>
        </row>
        <row r="15">
          <cell r="P15">
            <v>25</v>
          </cell>
        </row>
        <row r="16">
          <cell r="P16">
            <v>27</v>
          </cell>
        </row>
        <row r="17">
          <cell r="P17">
            <v>28.8</v>
          </cell>
        </row>
        <row r="18">
          <cell r="P18">
            <v>29.2</v>
          </cell>
        </row>
        <row r="19">
          <cell r="P19">
            <v>28.9</v>
          </cell>
        </row>
        <row r="20">
          <cell r="P20">
            <v>26.5</v>
          </cell>
        </row>
        <row r="21">
          <cell r="P21">
            <v>25</v>
          </cell>
        </row>
        <row r="22">
          <cell r="P22">
            <v>23.5</v>
          </cell>
        </row>
        <row r="23">
          <cell r="P23">
            <v>22.3</v>
          </cell>
        </row>
        <row r="24">
          <cell r="P24">
            <v>21.2</v>
          </cell>
        </row>
        <row r="25">
          <cell r="P25">
            <v>20.3</v>
          </cell>
        </row>
        <row r="26">
          <cell r="P26">
            <v>19.7</v>
          </cell>
        </row>
        <row r="27">
          <cell r="P27">
            <v>18.899999999999999</v>
          </cell>
        </row>
      </sheetData>
      <sheetData sheetId="8"/>
      <sheetData sheetId="9">
        <row r="10">
          <cell r="P10">
            <v>17</v>
          </cell>
        </row>
        <row r="11">
          <cell r="P11">
            <v>17.3</v>
          </cell>
        </row>
        <row r="12">
          <cell r="P12">
            <v>18.2</v>
          </cell>
        </row>
        <row r="13">
          <cell r="P13">
            <v>19.8</v>
          </cell>
        </row>
        <row r="14">
          <cell r="P14">
            <v>22.4</v>
          </cell>
        </row>
        <row r="15">
          <cell r="P15">
            <v>24.6</v>
          </cell>
        </row>
        <row r="16">
          <cell r="P16">
            <v>26.6</v>
          </cell>
        </row>
        <row r="17">
          <cell r="P17">
            <v>28.2</v>
          </cell>
        </row>
        <row r="18">
          <cell r="P18">
            <v>29</v>
          </cell>
        </row>
        <row r="19">
          <cell r="P19">
            <v>29</v>
          </cell>
        </row>
        <row r="20">
          <cell r="P20">
            <v>27.3</v>
          </cell>
        </row>
        <row r="21">
          <cell r="P21">
            <v>25.6</v>
          </cell>
        </row>
        <row r="22">
          <cell r="P22">
            <v>24.5</v>
          </cell>
        </row>
        <row r="23">
          <cell r="P23">
            <v>23.4</v>
          </cell>
        </row>
        <row r="24">
          <cell r="P24">
            <v>22.5</v>
          </cell>
        </row>
        <row r="25">
          <cell r="P25">
            <v>21.5</v>
          </cell>
        </row>
        <row r="26">
          <cell r="P26">
            <v>21</v>
          </cell>
        </row>
        <row r="27">
          <cell r="P27">
            <v>20.399999999999999</v>
          </cell>
        </row>
      </sheetData>
      <sheetData sheetId="10"/>
      <sheetData sheetId="11">
        <row r="10">
          <cell r="P10">
            <v>17.600000000000001</v>
          </cell>
        </row>
        <row r="11">
          <cell r="P11">
            <v>17.899999999999999</v>
          </cell>
        </row>
        <row r="12">
          <cell r="P12">
            <v>19</v>
          </cell>
        </row>
        <row r="13">
          <cell r="P13">
            <v>21.4</v>
          </cell>
        </row>
        <row r="14">
          <cell r="P14">
            <v>23</v>
          </cell>
        </row>
        <row r="15">
          <cell r="P15">
            <v>23.8</v>
          </cell>
        </row>
        <row r="16">
          <cell r="P16">
            <v>24.6</v>
          </cell>
        </row>
        <row r="17">
          <cell r="P17">
            <v>24.5</v>
          </cell>
        </row>
        <row r="18">
          <cell r="P18">
            <v>24</v>
          </cell>
        </row>
        <row r="19">
          <cell r="P19">
            <v>23</v>
          </cell>
        </row>
        <row r="20">
          <cell r="P20">
            <v>21.8</v>
          </cell>
        </row>
        <row r="21">
          <cell r="P21">
            <v>21</v>
          </cell>
        </row>
        <row r="22">
          <cell r="P22">
            <v>19.8</v>
          </cell>
        </row>
        <row r="23">
          <cell r="P23">
            <v>19</v>
          </cell>
        </row>
        <row r="24">
          <cell r="P24">
            <v>18.2</v>
          </cell>
        </row>
        <row r="25">
          <cell r="P25">
            <v>18</v>
          </cell>
        </row>
        <row r="26">
          <cell r="P26">
            <v>17.600000000000001</v>
          </cell>
        </row>
        <row r="27">
          <cell r="P27">
            <v>16.8</v>
          </cell>
        </row>
      </sheetData>
      <sheetData sheetId="12"/>
      <sheetData sheetId="13">
        <row r="10">
          <cell r="P10">
            <v>16.100000000000001</v>
          </cell>
        </row>
        <row r="11">
          <cell r="P11">
            <v>16.100000000000001</v>
          </cell>
        </row>
        <row r="12">
          <cell r="P12">
            <v>16.5</v>
          </cell>
        </row>
        <row r="13">
          <cell r="P13">
            <v>17.100000000000001</v>
          </cell>
        </row>
        <row r="14">
          <cell r="P14">
            <v>17.5</v>
          </cell>
        </row>
        <row r="15">
          <cell r="P15">
            <v>19</v>
          </cell>
        </row>
        <row r="16">
          <cell r="P16">
            <v>18.399999999999999</v>
          </cell>
        </row>
        <row r="17">
          <cell r="P17">
            <v>18.7</v>
          </cell>
        </row>
        <row r="18">
          <cell r="P18">
            <v>18.600000000000001</v>
          </cell>
        </row>
        <row r="19">
          <cell r="P19">
            <v>18.2</v>
          </cell>
        </row>
        <row r="20">
          <cell r="P20">
            <v>17.7</v>
          </cell>
        </row>
        <row r="21">
          <cell r="P21">
            <v>17.600000000000001</v>
          </cell>
        </row>
        <row r="22">
          <cell r="P22">
            <v>17.3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16.899999999999999</v>
          </cell>
        </row>
        <row r="26">
          <cell r="P26">
            <v>16.8</v>
          </cell>
        </row>
        <row r="27">
          <cell r="P27">
            <v>16.7</v>
          </cell>
        </row>
      </sheetData>
      <sheetData sheetId="14"/>
      <sheetData sheetId="15">
        <row r="10">
          <cell r="P10">
            <v>16.7</v>
          </cell>
        </row>
        <row r="11">
          <cell r="P11">
            <v>16.8</v>
          </cell>
        </row>
        <row r="12">
          <cell r="P12">
            <v>16.899999999999999</v>
          </cell>
        </row>
        <row r="13">
          <cell r="P13">
            <v>17.399999999999999</v>
          </cell>
        </row>
        <row r="14">
          <cell r="P14">
            <v>17.399999999999999</v>
          </cell>
        </row>
        <row r="15">
          <cell r="P15">
            <v>17.5</v>
          </cell>
        </row>
        <row r="16">
          <cell r="P16">
            <v>17.7</v>
          </cell>
        </row>
        <row r="17">
          <cell r="P17">
            <v>18.100000000000001</v>
          </cell>
        </row>
        <row r="18">
          <cell r="P18">
            <v>18.600000000000001</v>
          </cell>
        </row>
        <row r="19">
          <cell r="P19">
            <v>18.899999999999999</v>
          </cell>
        </row>
        <row r="20">
          <cell r="P20">
            <v>18.7</v>
          </cell>
        </row>
        <row r="21">
          <cell r="P21">
            <v>18.399999999999999</v>
          </cell>
        </row>
        <row r="22">
          <cell r="P22">
            <v>18</v>
          </cell>
        </row>
        <row r="23">
          <cell r="P23">
            <v>17.7</v>
          </cell>
        </row>
        <row r="24">
          <cell r="P24">
            <v>17.5</v>
          </cell>
        </row>
        <row r="25">
          <cell r="P25">
            <v>17.3</v>
          </cell>
        </row>
        <row r="26">
          <cell r="P26">
            <v>17.2</v>
          </cell>
        </row>
        <row r="27">
          <cell r="P27">
            <v>17.100000000000001</v>
          </cell>
        </row>
      </sheetData>
      <sheetData sheetId="16"/>
      <sheetData sheetId="17">
        <row r="10">
          <cell r="P10">
            <v>16.399999999999999</v>
          </cell>
        </row>
        <row r="11">
          <cell r="P11">
            <v>16.5</v>
          </cell>
        </row>
        <row r="12">
          <cell r="P12">
            <v>16.8</v>
          </cell>
        </row>
        <row r="13">
          <cell r="P13">
            <v>17.2</v>
          </cell>
        </row>
        <row r="14">
          <cell r="P14">
            <v>17.5</v>
          </cell>
        </row>
        <row r="15">
          <cell r="P15">
            <v>19.5</v>
          </cell>
        </row>
        <row r="16">
          <cell r="P16">
            <v>20.100000000000001</v>
          </cell>
        </row>
        <row r="17">
          <cell r="P17">
            <v>20.3</v>
          </cell>
        </row>
        <row r="18">
          <cell r="P18">
            <v>20.2</v>
          </cell>
        </row>
        <row r="19">
          <cell r="P19">
            <v>19.899999999999999</v>
          </cell>
        </row>
        <row r="20">
          <cell r="P20">
            <v>19.600000000000001</v>
          </cell>
        </row>
        <row r="21">
          <cell r="P21">
            <v>19.2</v>
          </cell>
        </row>
        <row r="22">
          <cell r="P22">
            <v>18.8</v>
          </cell>
        </row>
        <row r="23">
          <cell r="P23">
            <v>18.399999999999999</v>
          </cell>
        </row>
        <row r="24">
          <cell r="P24">
            <v>18.2</v>
          </cell>
        </row>
        <row r="25">
          <cell r="P25">
            <v>18</v>
          </cell>
        </row>
        <row r="26">
          <cell r="P26">
            <v>17.7</v>
          </cell>
        </row>
        <row r="27">
          <cell r="P27">
            <v>17.600000000000001</v>
          </cell>
        </row>
      </sheetData>
      <sheetData sheetId="18"/>
      <sheetData sheetId="19">
        <row r="10">
          <cell r="P10">
            <v>16.7</v>
          </cell>
        </row>
        <row r="11">
          <cell r="P11">
            <v>16.7</v>
          </cell>
        </row>
        <row r="12">
          <cell r="P12">
            <v>17</v>
          </cell>
        </row>
        <row r="13">
          <cell r="P13">
            <v>17.399999999999999</v>
          </cell>
        </row>
        <row r="14">
          <cell r="P14">
            <v>17.600000000000001</v>
          </cell>
        </row>
        <row r="15">
          <cell r="P15">
            <v>17.899999999999999</v>
          </cell>
        </row>
        <row r="16">
          <cell r="P16">
            <v>18</v>
          </cell>
        </row>
        <row r="17">
          <cell r="P17">
            <v>18.399999999999999</v>
          </cell>
        </row>
        <row r="18">
          <cell r="P18">
            <v>19</v>
          </cell>
        </row>
        <row r="19">
          <cell r="P19">
            <v>18.8</v>
          </cell>
        </row>
        <row r="20">
          <cell r="P20">
            <v>18.8</v>
          </cell>
        </row>
        <row r="21">
          <cell r="P21">
            <v>18.600000000000001</v>
          </cell>
        </row>
        <row r="22">
          <cell r="P22">
            <v>18</v>
          </cell>
        </row>
        <row r="23">
          <cell r="P23">
            <v>17.8</v>
          </cell>
        </row>
        <row r="24">
          <cell r="P24">
            <v>17.600000000000001</v>
          </cell>
        </row>
        <row r="25">
          <cell r="P25">
            <v>17.399999999999999</v>
          </cell>
        </row>
        <row r="26">
          <cell r="P26">
            <v>17.8</v>
          </cell>
        </row>
        <row r="27">
          <cell r="P27">
            <v>18</v>
          </cell>
        </row>
      </sheetData>
      <sheetData sheetId="20"/>
      <sheetData sheetId="21">
        <row r="10">
          <cell r="P10">
            <v>17.100000000000001</v>
          </cell>
        </row>
        <row r="11">
          <cell r="P11">
            <v>16.899999999999999</v>
          </cell>
        </row>
        <row r="12">
          <cell r="P12">
            <v>16.600000000000001</v>
          </cell>
        </row>
        <row r="13">
          <cell r="P13">
            <v>17</v>
          </cell>
        </row>
        <row r="14">
          <cell r="P14">
            <v>16.8</v>
          </cell>
        </row>
        <row r="15">
          <cell r="P15">
            <v>17.7</v>
          </cell>
        </row>
        <row r="16">
          <cell r="P16">
            <v>19.5</v>
          </cell>
        </row>
        <row r="17">
          <cell r="P17">
            <v>20.100000000000001</v>
          </cell>
        </row>
        <row r="18">
          <cell r="P18">
            <v>19.600000000000001</v>
          </cell>
        </row>
        <row r="19">
          <cell r="P19">
            <v>18.8</v>
          </cell>
        </row>
        <row r="20">
          <cell r="P20">
            <v>17.399999999999999</v>
          </cell>
        </row>
        <row r="21">
          <cell r="P21">
            <v>16</v>
          </cell>
        </row>
        <row r="22">
          <cell r="P22">
            <v>15.6</v>
          </cell>
        </row>
        <row r="23">
          <cell r="P23">
            <v>15.2</v>
          </cell>
        </row>
        <row r="24">
          <cell r="P24">
            <v>15</v>
          </cell>
        </row>
        <row r="25">
          <cell r="P25">
            <v>14</v>
          </cell>
        </row>
        <row r="26">
          <cell r="P26">
            <v>13</v>
          </cell>
        </row>
        <row r="27">
          <cell r="P27">
            <v>12</v>
          </cell>
        </row>
      </sheetData>
      <sheetData sheetId="22"/>
      <sheetData sheetId="23">
        <row r="10">
          <cell r="P10">
            <v>13.7</v>
          </cell>
        </row>
        <row r="11">
          <cell r="P11">
            <v>13.6</v>
          </cell>
        </row>
        <row r="12">
          <cell r="P12">
            <v>14.3</v>
          </cell>
        </row>
        <row r="13">
          <cell r="P13">
            <v>14.9</v>
          </cell>
        </row>
        <row r="14">
          <cell r="P14">
            <v>16.5</v>
          </cell>
        </row>
        <row r="15">
          <cell r="P15">
            <v>18.600000000000001</v>
          </cell>
        </row>
        <row r="16">
          <cell r="P16">
            <v>18.8</v>
          </cell>
        </row>
        <row r="17">
          <cell r="P17">
            <v>19.600000000000001</v>
          </cell>
        </row>
        <row r="18">
          <cell r="P18">
            <v>20</v>
          </cell>
        </row>
        <row r="19">
          <cell r="P19">
            <v>19.399999999999999</v>
          </cell>
        </row>
        <row r="20">
          <cell r="P20">
            <v>18.399999999999999</v>
          </cell>
        </row>
        <row r="21">
          <cell r="P21">
            <v>17.5</v>
          </cell>
        </row>
        <row r="22">
          <cell r="P22">
            <v>16.600000000000001</v>
          </cell>
        </row>
        <row r="23">
          <cell r="P23">
            <v>16.2</v>
          </cell>
        </row>
        <row r="24">
          <cell r="P24">
            <v>15.8</v>
          </cell>
        </row>
        <row r="25">
          <cell r="P25">
            <v>14.9</v>
          </cell>
        </row>
        <row r="26">
          <cell r="P26">
            <v>14.5</v>
          </cell>
        </row>
        <row r="27">
          <cell r="P27">
            <v>14.4</v>
          </cell>
        </row>
      </sheetData>
      <sheetData sheetId="24"/>
      <sheetData sheetId="25">
        <row r="10">
          <cell r="P10">
            <v>13.8</v>
          </cell>
        </row>
        <row r="11">
          <cell r="P11">
            <v>13.9</v>
          </cell>
        </row>
        <row r="12">
          <cell r="P12">
            <v>15.4</v>
          </cell>
        </row>
        <row r="13">
          <cell r="P13">
            <v>16.7</v>
          </cell>
        </row>
        <row r="14">
          <cell r="P14">
            <v>18.399999999999999</v>
          </cell>
        </row>
        <row r="15">
          <cell r="P15">
            <v>20.6</v>
          </cell>
        </row>
        <row r="16">
          <cell r="P16">
            <v>20.8</v>
          </cell>
        </row>
        <row r="17">
          <cell r="P17">
            <v>22.6</v>
          </cell>
        </row>
        <row r="18">
          <cell r="P18">
            <v>22.9</v>
          </cell>
        </row>
        <row r="19">
          <cell r="P19">
            <v>22.8</v>
          </cell>
        </row>
        <row r="20">
          <cell r="P20">
            <v>20.8</v>
          </cell>
        </row>
        <row r="21">
          <cell r="P21">
            <v>19.5</v>
          </cell>
        </row>
        <row r="22">
          <cell r="P22">
            <v>18.5</v>
          </cell>
        </row>
        <row r="23">
          <cell r="P23">
            <v>17.8</v>
          </cell>
        </row>
        <row r="24">
          <cell r="P24">
            <v>17.399999999999999</v>
          </cell>
        </row>
        <row r="25">
          <cell r="P25">
            <v>17.2</v>
          </cell>
        </row>
        <row r="26">
          <cell r="P26">
            <v>16.600000000000001</v>
          </cell>
        </row>
        <row r="27">
          <cell r="P27">
            <v>16</v>
          </cell>
        </row>
      </sheetData>
      <sheetData sheetId="26"/>
      <sheetData sheetId="27">
        <row r="10">
          <cell r="P10">
            <v>14</v>
          </cell>
        </row>
        <row r="11">
          <cell r="P11">
            <v>13.8</v>
          </cell>
        </row>
        <row r="12">
          <cell r="P12">
            <v>15</v>
          </cell>
        </row>
        <row r="13">
          <cell r="P13">
            <v>16.2</v>
          </cell>
        </row>
        <row r="14">
          <cell r="P14">
            <v>19</v>
          </cell>
        </row>
        <row r="15">
          <cell r="P15">
            <v>21</v>
          </cell>
        </row>
        <row r="16">
          <cell r="P16">
            <v>24.6</v>
          </cell>
        </row>
        <row r="17">
          <cell r="P17">
            <v>26.8</v>
          </cell>
        </row>
        <row r="18">
          <cell r="P18">
            <v>27</v>
          </cell>
        </row>
        <row r="19">
          <cell r="P19">
            <v>26.9</v>
          </cell>
        </row>
        <row r="20">
          <cell r="P20">
            <v>25</v>
          </cell>
        </row>
        <row r="21">
          <cell r="P21">
            <v>22.9</v>
          </cell>
        </row>
        <row r="22">
          <cell r="P22">
            <v>21.4</v>
          </cell>
        </row>
        <row r="23">
          <cell r="P23">
            <v>20.2</v>
          </cell>
        </row>
        <row r="24">
          <cell r="P24">
            <v>19.2</v>
          </cell>
        </row>
        <row r="25">
          <cell r="P25">
            <v>18.399999999999999</v>
          </cell>
        </row>
        <row r="26">
          <cell r="P26">
            <v>17.600000000000001</v>
          </cell>
        </row>
        <row r="27">
          <cell r="P27">
            <v>17</v>
          </cell>
        </row>
      </sheetData>
      <sheetData sheetId="28"/>
      <sheetData sheetId="29">
        <row r="10">
          <cell r="P10">
            <v>14</v>
          </cell>
        </row>
        <row r="11">
          <cell r="P11">
            <v>14.4</v>
          </cell>
        </row>
        <row r="12">
          <cell r="P12">
            <v>16</v>
          </cell>
        </row>
        <row r="13">
          <cell r="P13">
            <v>18</v>
          </cell>
        </row>
        <row r="14">
          <cell r="P14">
            <v>20</v>
          </cell>
        </row>
        <row r="15">
          <cell r="P15">
            <v>22.4</v>
          </cell>
        </row>
        <row r="16">
          <cell r="P16">
            <v>26.6</v>
          </cell>
        </row>
        <row r="17">
          <cell r="P17">
            <v>27.4</v>
          </cell>
        </row>
        <row r="18">
          <cell r="P18">
            <v>28.8</v>
          </cell>
        </row>
        <row r="19">
          <cell r="P19">
            <v>28.4</v>
          </cell>
        </row>
        <row r="20">
          <cell r="P20">
            <v>26.6</v>
          </cell>
        </row>
        <row r="21">
          <cell r="P21">
            <v>24.7</v>
          </cell>
        </row>
        <row r="22">
          <cell r="P22">
            <v>23.2</v>
          </cell>
        </row>
        <row r="23">
          <cell r="P23">
            <v>22</v>
          </cell>
        </row>
        <row r="24">
          <cell r="P24">
            <v>20.8</v>
          </cell>
        </row>
        <row r="25">
          <cell r="P25">
            <v>20</v>
          </cell>
        </row>
        <row r="26">
          <cell r="P26">
            <v>19.399999999999999</v>
          </cell>
        </row>
        <row r="27">
          <cell r="P27">
            <v>18.8</v>
          </cell>
        </row>
      </sheetData>
      <sheetData sheetId="30"/>
      <sheetData sheetId="31">
        <row r="10">
          <cell r="P10">
            <v>15.7</v>
          </cell>
        </row>
        <row r="11">
          <cell r="P11">
            <v>16</v>
          </cell>
        </row>
        <row r="12">
          <cell r="P12">
            <v>17.5</v>
          </cell>
        </row>
        <row r="13">
          <cell r="P13">
            <v>19.899999999999999</v>
          </cell>
        </row>
        <row r="14">
          <cell r="P14">
            <v>22.8</v>
          </cell>
        </row>
        <row r="15">
          <cell r="P15">
            <v>25.1</v>
          </cell>
        </row>
        <row r="16">
          <cell r="P16">
            <v>27.5</v>
          </cell>
        </row>
        <row r="17">
          <cell r="P17">
            <v>29.2</v>
          </cell>
        </row>
        <row r="18">
          <cell r="P18">
            <v>29.9</v>
          </cell>
        </row>
        <row r="19">
          <cell r="P19">
            <v>29.4</v>
          </cell>
        </row>
        <row r="20">
          <cell r="P20">
            <v>26.4</v>
          </cell>
        </row>
        <row r="21">
          <cell r="P21">
            <v>25.6</v>
          </cell>
        </row>
        <row r="22">
          <cell r="P22">
            <v>24.1</v>
          </cell>
        </row>
        <row r="23">
          <cell r="P23">
            <v>22.8</v>
          </cell>
        </row>
        <row r="24">
          <cell r="P24">
            <v>21.8</v>
          </cell>
        </row>
        <row r="25">
          <cell r="P25">
            <v>20.8</v>
          </cell>
        </row>
        <row r="26">
          <cell r="P26">
            <v>20.100000000000001</v>
          </cell>
        </row>
        <row r="27">
          <cell r="P27">
            <v>19.5</v>
          </cell>
        </row>
      </sheetData>
      <sheetData sheetId="32"/>
      <sheetData sheetId="33">
        <row r="10">
          <cell r="P10">
            <v>16.600000000000001</v>
          </cell>
        </row>
        <row r="11">
          <cell r="P11">
            <v>17.2</v>
          </cell>
        </row>
        <row r="12">
          <cell r="P12">
            <v>18.2</v>
          </cell>
        </row>
        <row r="13">
          <cell r="P13">
            <v>19.8</v>
          </cell>
        </row>
        <row r="14">
          <cell r="P14">
            <v>21.6</v>
          </cell>
        </row>
        <row r="15">
          <cell r="P15">
            <v>23.6</v>
          </cell>
        </row>
        <row r="16">
          <cell r="P16">
            <v>24.9</v>
          </cell>
        </row>
        <row r="17">
          <cell r="P17">
            <v>25.9</v>
          </cell>
        </row>
        <row r="18">
          <cell r="P18">
            <v>26.4</v>
          </cell>
        </row>
        <row r="19">
          <cell r="P19">
            <v>26.6</v>
          </cell>
        </row>
        <row r="20">
          <cell r="P20">
            <v>25.4</v>
          </cell>
        </row>
        <row r="21">
          <cell r="P21">
            <v>24</v>
          </cell>
        </row>
        <row r="22">
          <cell r="P22">
            <v>22.8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19.5</v>
          </cell>
        </row>
      </sheetData>
      <sheetData sheetId="34"/>
      <sheetData sheetId="35">
        <row r="10">
          <cell r="P10">
            <v>16.8</v>
          </cell>
        </row>
        <row r="11">
          <cell r="P11">
            <v>17</v>
          </cell>
        </row>
        <row r="12">
          <cell r="P12">
            <v>17.399999999999999</v>
          </cell>
        </row>
        <row r="13">
          <cell r="P13">
            <v>18</v>
          </cell>
        </row>
        <row r="14">
          <cell r="P14">
            <v>20.2</v>
          </cell>
        </row>
        <row r="15">
          <cell r="P15">
            <v>21</v>
          </cell>
        </row>
        <row r="16">
          <cell r="P16">
            <v>22</v>
          </cell>
        </row>
        <row r="17">
          <cell r="P17">
            <v>21.8</v>
          </cell>
        </row>
        <row r="18">
          <cell r="P18">
            <v>21.6</v>
          </cell>
        </row>
        <row r="19">
          <cell r="P19">
            <v>21.4</v>
          </cell>
        </row>
        <row r="20">
          <cell r="P20">
            <v>20.8</v>
          </cell>
        </row>
        <row r="21">
          <cell r="P21">
            <v>20.100000000000001</v>
          </cell>
        </row>
        <row r="22">
          <cell r="P22">
            <v>19.600000000000001</v>
          </cell>
        </row>
        <row r="23">
          <cell r="P23">
            <v>19.2</v>
          </cell>
        </row>
        <row r="24">
          <cell r="P24">
            <v>18.899999999999999</v>
          </cell>
        </row>
        <row r="25">
          <cell r="P25">
            <v>18.8</v>
          </cell>
        </row>
        <row r="26">
          <cell r="P26">
            <v>18.600000000000001</v>
          </cell>
        </row>
        <row r="27">
          <cell r="P27">
            <v>18.399999999999999</v>
          </cell>
        </row>
      </sheetData>
      <sheetData sheetId="36"/>
      <sheetData sheetId="37">
        <row r="10">
          <cell r="P10">
            <v>17.2</v>
          </cell>
        </row>
        <row r="11">
          <cell r="P11">
            <v>17.3</v>
          </cell>
        </row>
        <row r="12">
          <cell r="P12">
            <v>18.2</v>
          </cell>
        </row>
        <row r="13">
          <cell r="P13">
            <v>19.600000000000001</v>
          </cell>
        </row>
        <row r="14">
          <cell r="P14">
            <v>19.8</v>
          </cell>
        </row>
        <row r="15">
          <cell r="P15">
            <v>21.2</v>
          </cell>
        </row>
        <row r="16">
          <cell r="P16">
            <v>22.1</v>
          </cell>
        </row>
        <row r="17">
          <cell r="P17">
            <v>22.1</v>
          </cell>
        </row>
        <row r="18">
          <cell r="P18">
            <v>22.5</v>
          </cell>
        </row>
        <row r="19">
          <cell r="P19">
            <v>22.9</v>
          </cell>
        </row>
        <row r="20">
          <cell r="P20">
            <v>22.4</v>
          </cell>
        </row>
        <row r="21">
          <cell r="P21">
            <v>21.5</v>
          </cell>
        </row>
        <row r="22">
          <cell r="P22">
            <v>21</v>
          </cell>
        </row>
        <row r="23">
          <cell r="P23">
            <v>20.6</v>
          </cell>
        </row>
        <row r="24">
          <cell r="P24">
            <v>20.2</v>
          </cell>
        </row>
        <row r="25">
          <cell r="P25">
            <v>19.899999999999999</v>
          </cell>
        </row>
        <row r="26">
          <cell r="P26">
            <v>19.5</v>
          </cell>
        </row>
        <row r="27">
          <cell r="P27">
            <v>19.2</v>
          </cell>
        </row>
      </sheetData>
      <sheetData sheetId="38"/>
      <sheetData sheetId="39">
        <row r="10">
          <cell r="P10">
            <v>15.4</v>
          </cell>
        </row>
        <row r="11">
          <cell r="P11">
            <v>15.3</v>
          </cell>
        </row>
        <row r="12">
          <cell r="P12">
            <v>15</v>
          </cell>
        </row>
        <row r="13">
          <cell r="P13">
            <v>14.6</v>
          </cell>
        </row>
        <row r="14">
          <cell r="P14">
            <v>14.6</v>
          </cell>
        </row>
        <row r="15">
          <cell r="P15">
            <v>14.4</v>
          </cell>
        </row>
        <row r="16">
          <cell r="P16">
            <v>14.6</v>
          </cell>
        </row>
        <row r="17">
          <cell r="P17">
            <v>14.6</v>
          </cell>
        </row>
        <row r="18">
          <cell r="P18">
            <v>14.4</v>
          </cell>
        </row>
        <row r="19">
          <cell r="P19">
            <v>14.3</v>
          </cell>
        </row>
        <row r="20">
          <cell r="P20">
            <v>13.9</v>
          </cell>
        </row>
        <row r="21">
          <cell r="P21">
            <v>13.6</v>
          </cell>
        </row>
        <row r="22">
          <cell r="P22">
            <v>13.2</v>
          </cell>
        </row>
        <row r="23">
          <cell r="P23">
            <v>13</v>
          </cell>
        </row>
        <row r="24">
          <cell r="P24">
            <v>12.8</v>
          </cell>
        </row>
        <row r="25">
          <cell r="P25">
            <v>12.6</v>
          </cell>
        </row>
        <row r="26">
          <cell r="P26">
            <v>12.6</v>
          </cell>
        </row>
        <row r="27">
          <cell r="P27">
            <v>12.5</v>
          </cell>
        </row>
      </sheetData>
      <sheetData sheetId="40"/>
      <sheetData sheetId="41">
        <row r="10">
          <cell r="P10">
            <v>12.3</v>
          </cell>
        </row>
        <row r="11">
          <cell r="P11">
            <v>12.5</v>
          </cell>
        </row>
        <row r="12">
          <cell r="P12">
            <v>13</v>
          </cell>
        </row>
        <row r="13">
          <cell r="P13">
            <v>14.3</v>
          </cell>
        </row>
        <row r="14">
          <cell r="P14">
            <v>14.6</v>
          </cell>
        </row>
        <row r="15">
          <cell r="P15">
            <v>15.2</v>
          </cell>
        </row>
        <row r="16">
          <cell r="P16">
            <v>15.6</v>
          </cell>
        </row>
        <row r="17">
          <cell r="P17">
            <v>16</v>
          </cell>
        </row>
        <row r="18">
          <cell r="P18">
            <v>15.9</v>
          </cell>
        </row>
        <row r="19">
          <cell r="P19">
            <v>15.7</v>
          </cell>
        </row>
        <row r="20">
          <cell r="P20">
            <v>15.6</v>
          </cell>
        </row>
        <row r="21">
          <cell r="P21">
            <v>15.1</v>
          </cell>
        </row>
        <row r="22">
          <cell r="P22">
            <v>14.7</v>
          </cell>
        </row>
        <row r="23">
          <cell r="P23">
            <v>14.5</v>
          </cell>
        </row>
        <row r="24">
          <cell r="P24">
            <v>14.2</v>
          </cell>
        </row>
        <row r="25">
          <cell r="P25">
            <v>14.1</v>
          </cell>
        </row>
        <row r="26">
          <cell r="P26">
            <v>13.9</v>
          </cell>
        </row>
        <row r="27">
          <cell r="P27">
            <v>13.7</v>
          </cell>
        </row>
      </sheetData>
      <sheetData sheetId="42"/>
      <sheetData sheetId="43">
        <row r="10">
          <cell r="P10">
            <v>13</v>
          </cell>
        </row>
        <row r="11">
          <cell r="P11">
            <v>13.4</v>
          </cell>
        </row>
        <row r="12">
          <cell r="P12">
            <v>15</v>
          </cell>
        </row>
        <row r="13">
          <cell r="P13">
            <v>16</v>
          </cell>
        </row>
        <row r="14">
          <cell r="P14">
            <v>16.399999999999999</v>
          </cell>
        </row>
        <row r="15">
          <cell r="P15">
            <v>18.100000000000001</v>
          </cell>
        </row>
        <row r="16">
          <cell r="P16">
            <v>19.399999999999999</v>
          </cell>
        </row>
        <row r="17">
          <cell r="P17">
            <v>20.3</v>
          </cell>
        </row>
        <row r="18">
          <cell r="P18">
            <v>20.8</v>
          </cell>
        </row>
        <row r="19">
          <cell r="P19">
            <v>21</v>
          </cell>
        </row>
        <row r="20">
          <cell r="P20">
            <v>20.100000000000001</v>
          </cell>
        </row>
        <row r="21">
          <cell r="P21">
            <v>18.600000000000001</v>
          </cell>
        </row>
        <row r="22">
          <cell r="P22">
            <v>17.5</v>
          </cell>
        </row>
        <row r="23">
          <cell r="P23">
            <v>17.399999999999999</v>
          </cell>
        </row>
        <row r="24">
          <cell r="P24">
            <v>16.899999999999999</v>
          </cell>
        </row>
        <row r="25">
          <cell r="P25">
            <v>16.399999999999999</v>
          </cell>
        </row>
        <row r="26">
          <cell r="P26">
            <v>16.2</v>
          </cell>
        </row>
        <row r="27">
          <cell r="P27">
            <v>16</v>
          </cell>
        </row>
      </sheetData>
      <sheetData sheetId="44"/>
      <sheetData sheetId="45">
        <row r="10">
          <cell r="P10">
            <v>14.8</v>
          </cell>
        </row>
        <row r="11">
          <cell r="P11">
            <v>14.8</v>
          </cell>
        </row>
        <row r="12">
          <cell r="P12">
            <v>15.2</v>
          </cell>
        </row>
        <row r="13">
          <cell r="P13">
            <v>16</v>
          </cell>
        </row>
        <row r="14">
          <cell r="P14">
            <v>17.399999999999999</v>
          </cell>
        </row>
        <row r="15">
          <cell r="P15">
            <v>20.399999999999999</v>
          </cell>
        </row>
        <row r="16">
          <cell r="P16">
            <v>24</v>
          </cell>
        </row>
        <row r="17">
          <cell r="P17">
            <v>25.4</v>
          </cell>
        </row>
        <row r="18">
          <cell r="P18">
            <v>26</v>
          </cell>
        </row>
        <row r="19">
          <cell r="P19">
            <v>25.8</v>
          </cell>
        </row>
        <row r="20">
          <cell r="P20">
            <v>23.6</v>
          </cell>
        </row>
        <row r="21">
          <cell r="P21">
            <v>21.8</v>
          </cell>
        </row>
        <row r="22">
          <cell r="P22">
            <v>20.399999999999999</v>
          </cell>
        </row>
        <row r="23">
          <cell r="P23">
            <v>19.399999999999999</v>
          </cell>
        </row>
        <row r="24">
          <cell r="P24">
            <v>18.8</v>
          </cell>
        </row>
        <row r="25">
          <cell r="P25">
            <v>18</v>
          </cell>
        </row>
        <row r="26">
          <cell r="P26">
            <v>17.600000000000001</v>
          </cell>
        </row>
        <row r="27">
          <cell r="P27">
            <v>17</v>
          </cell>
        </row>
      </sheetData>
      <sheetData sheetId="46"/>
      <sheetData sheetId="47">
        <row r="10">
          <cell r="P10">
            <v>15.6</v>
          </cell>
        </row>
        <row r="11">
          <cell r="P11">
            <v>15.7</v>
          </cell>
        </row>
        <row r="12">
          <cell r="P12">
            <v>16.8</v>
          </cell>
        </row>
        <row r="13">
          <cell r="P13">
            <v>18.8</v>
          </cell>
        </row>
        <row r="14">
          <cell r="P14">
            <v>21.2</v>
          </cell>
        </row>
        <row r="15">
          <cell r="P15">
            <v>24.3</v>
          </cell>
        </row>
        <row r="16">
          <cell r="P16">
            <v>26.6</v>
          </cell>
        </row>
        <row r="17">
          <cell r="P17">
            <v>27.8</v>
          </cell>
        </row>
        <row r="18">
          <cell r="P18">
            <v>27.6</v>
          </cell>
        </row>
        <row r="19">
          <cell r="P19">
            <v>27</v>
          </cell>
        </row>
        <row r="20">
          <cell r="P20">
            <v>25.2</v>
          </cell>
        </row>
        <row r="21">
          <cell r="P21">
            <v>23.6</v>
          </cell>
        </row>
        <row r="22">
          <cell r="P22">
            <v>22.4</v>
          </cell>
        </row>
        <row r="23">
          <cell r="P23">
            <v>21.6</v>
          </cell>
        </row>
        <row r="24">
          <cell r="P24">
            <v>20.9</v>
          </cell>
        </row>
        <row r="25">
          <cell r="P25">
            <v>20.399999999999999</v>
          </cell>
        </row>
        <row r="26">
          <cell r="P26">
            <v>19.8</v>
          </cell>
        </row>
        <row r="27">
          <cell r="P27">
            <v>19.399999999999999</v>
          </cell>
        </row>
      </sheetData>
      <sheetData sheetId="48"/>
      <sheetData sheetId="49">
        <row r="10">
          <cell r="P10">
            <v>17.600000000000001</v>
          </cell>
        </row>
        <row r="11">
          <cell r="P11">
            <v>17.5</v>
          </cell>
        </row>
        <row r="12">
          <cell r="P12">
            <v>17.8</v>
          </cell>
        </row>
        <row r="13">
          <cell r="P13">
            <v>18.2</v>
          </cell>
        </row>
        <row r="14">
          <cell r="P14">
            <v>21.4</v>
          </cell>
        </row>
        <row r="15">
          <cell r="P15">
            <v>24.5</v>
          </cell>
        </row>
        <row r="16">
          <cell r="P16">
            <v>27.1</v>
          </cell>
        </row>
        <row r="17">
          <cell r="P17">
            <v>28.5</v>
          </cell>
        </row>
        <row r="18">
          <cell r="P18">
            <v>27.9</v>
          </cell>
        </row>
        <row r="19">
          <cell r="P19">
            <v>27.6</v>
          </cell>
        </row>
        <row r="20">
          <cell r="P20">
            <v>27.4</v>
          </cell>
        </row>
        <row r="21">
          <cell r="P21">
            <v>24.6</v>
          </cell>
        </row>
        <row r="22">
          <cell r="P22">
            <v>22.6</v>
          </cell>
        </row>
        <row r="23">
          <cell r="P23">
            <v>21.2</v>
          </cell>
        </row>
        <row r="24">
          <cell r="P24">
            <v>20.399999999999999</v>
          </cell>
        </row>
        <row r="25">
          <cell r="P25">
            <v>20.8</v>
          </cell>
        </row>
        <row r="26">
          <cell r="P26">
            <v>20.6</v>
          </cell>
        </row>
        <row r="27">
          <cell r="P27">
            <v>20.2</v>
          </cell>
        </row>
      </sheetData>
      <sheetData sheetId="50"/>
      <sheetData sheetId="51">
        <row r="10">
          <cell r="P10">
            <v>18.8</v>
          </cell>
        </row>
        <row r="11">
          <cell r="P11">
            <v>18.8</v>
          </cell>
        </row>
        <row r="12">
          <cell r="P12">
            <v>19.399999999999999</v>
          </cell>
        </row>
        <row r="13">
          <cell r="P13">
            <v>20.6</v>
          </cell>
        </row>
        <row r="14">
          <cell r="P14">
            <v>22</v>
          </cell>
        </row>
        <row r="15">
          <cell r="P15">
            <v>24.6</v>
          </cell>
        </row>
        <row r="16">
          <cell r="P16">
            <v>27.1</v>
          </cell>
        </row>
        <row r="17">
          <cell r="P17">
            <v>29.1</v>
          </cell>
        </row>
        <row r="18">
          <cell r="P18">
            <v>29.6</v>
          </cell>
        </row>
        <row r="19">
          <cell r="P19">
            <v>27.8</v>
          </cell>
        </row>
        <row r="20">
          <cell r="P20">
            <v>26.3</v>
          </cell>
        </row>
        <row r="21">
          <cell r="P21">
            <v>25</v>
          </cell>
        </row>
        <row r="22">
          <cell r="P22">
            <v>23.8</v>
          </cell>
        </row>
        <row r="23">
          <cell r="P23">
            <v>23.1</v>
          </cell>
        </row>
        <row r="24">
          <cell r="P24">
            <v>22.4</v>
          </cell>
        </row>
        <row r="25">
          <cell r="P25">
            <v>21.8</v>
          </cell>
        </row>
        <row r="26">
          <cell r="P26">
            <v>21.4</v>
          </cell>
        </row>
        <row r="27">
          <cell r="P27">
            <v>20.8</v>
          </cell>
        </row>
      </sheetData>
      <sheetData sheetId="52"/>
      <sheetData sheetId="53">
        <row r="10">
          <cell r="P10">
            <v>18.2</v>
          </cell>
        </row>
        <row r="11">
          <cell r="P11">
            <v>18.600000000000001</v>
          </cell>
        </row>
        <row r="12">
          <cell r="P12">
            <v>19.2</v>
          </cell>
        </row>
        <row r="13">
          <cell r="P13">
            <v>20</v>
          </cell>
        </row>
        <row r="14">
          <cell r="P14">
            <v>21.6</v>
          </cell>
        </row>
        <row r="15">
          <cell r="P15">
            <v>22.8</v>
          </cell>
        </row>
        <row r="16">
          <cell r="P16">
            <v>26.6</v>
          </cell>
        </row>
        <row r="17">
          <cell r="P17">
            <v>26.6</v>
          </cell>
        </row>
        <row r="18">
          <cell r="P18">
            <v>26.4</v>
          </cell>
        </row>
        <row r="19">
          <cell r="P19">
            <v>26.7</v>
          </cell>
        </row>
        <row r="20">
          <cell r="P20">
            <v>25.6</v>
          </cell>
        </row>
        <row r="21">
          <cell r="P21">
            <v>24.4</v>
          </cell>
        </row>
        <row r="22">
          <cell r="P22">
            <v>23.6</v>
          </cell>
        </row>
        <row r="23">
          <cell r="P23">
            <v>22.8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21.4</v>
          </cell>
        </row>
        <row r="27">
          <cell r="P27">
            <v>20.9</v>
          </cell>
        </row>
      </sheetData>
      <sheetData sheetId="54"/>
      <sheetData sheetId="55">
        <row r="10">
          <cell r="P10">
            <v>17</v>
          </cell>
        </row>
        <row r="11">
          <cell r="P11">
            <v>17.600000000000001</v>
          </cell>
        </row>
        <row r="12">
          <cell r="P12">
            <v>19.399999999999999</v>
          </cell>
        </row>
        <row r="13">
          <cell r="P13">
            <v>22.2</v>
          </cell>
        </row>
        <row r="14">
          <cell r="P14">
            <v>25.5</v>
          </cell>
        </row>
        <row r="15">
          <cell r="P15">
            <v>28.2</v>
          </cell>
        </row>
        <row r="16">
          <cell r="P16">
            <v>30.2</v>
          </cell>
        </row>
        <row r="17">
          <cell r="P17">
            <v>31.6</v>
          </cell>
        </row>
        <row r="18">
          <cell r="P18">
            <v>31.8</v>
          </cell>
        </row>
        <row r="19">
          <cell r="P19">
            <v>30.6</v>
          </cell>
        </row>
        <row r="20">
          <cell r="P20">
            <v>28.6</v>
          </cell>
        </row>
        <row r="21">
          <cell r="P21">
            <v>26.6</v>
          </cell>
        </row>
        <row r="22">
          <cell r="P22">
            <v>25.8</v>
          </cell>
        </row>
        <row r="23">
          <cell r="P23">
            <v>24.2</v>
          </cell>
        </row>
        <row r="24">
          <cell r="P24">
            <v>23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20.8</v>
          </cell>
        </row>
      </sheetData>
      <sheetData sheetId="56"/>
      <sheetData sheetId="57">
        <row r="10">
          <cell r="P10">
            <v>17.600000000000001</v>
          </cell>
        </row>
        <row r="11">
          <cell r="P11">
            <v>18.2</v>
          </cell>
        </row>
        <row r="12">
          <cell r="P12">
            <v>20.6</v>
          </cell>
        </row>
        <row r="13">
          <cell r="P13">
            <v>23.6</v>
          </cell>
        </row>
        <row r="14">
          <cell r="P14">
            <v>26</v>
          </cell>
        </row>
        <row r="15">
          <cell r="P15">
            <v>29.1</v>
          </cell>
        </row>
        <row r="16">
          <cell r="P16">
            <v>29.6</v>
          </cell>
        </row>
        <row r="17">
          <cell r="P17">
            <v>28.3</v>
          </cell>
        </row>
        <row r="18">
          <cell r="P18">
            <v>26.8</v>
          </cell>
        </row>
        <row r="19">
          <cell r="P19">
            <v>25.2</v>
          </cell>
        </row>
        <row r="20">
          <cell r="P20">
            <v>24</v>
          </cell>
        </row>
        <row r="21">
          <cell r="P21">
            <v>23.6</v>
          </cell>
        </row>
        <row r="22">
          <cell r="P22">
            <v>23.6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21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58"/>
      <sheetData sheetId="59">
        <row r="10">
          <cell r="P10">
            <v>17</v>
          </cell>
        </row>
        <row r="11">
          <cell r="P11">
            <v>16.899999999999999</v>
          </cell>
        </row>
        <row r="12">
          <cell r="P12">
            <v>17.3</v>
          </cell>
        </row>
        <row r="13">
          <cell r="P13">
            <v>17.899999999999999</v>
          </cell>
        </row>
        <row r="14">
          <cell r="P14">
            <v>18.399999999999999</v>
          </cell>
        </row>
        <row r="15">
          <cell r="P15">
            <v>19.100000000000001</v>
          </cell>
        </row>
        <row r="16">
          <cell r="P16">
            <v>19.600000000000001</v>
          </cell>
        </row>
        <row r="17">
          <cell r="P17">
            <v>19.5</v>
          </cell>
        </row>
        <row r="18">
          <cell r="P18">
            <v>19.399999999999999</v>
          </cell>
        </row>
        <row r="19">
          <cell r="P19">
            <v>19</v>
          </cell>
        </row>
        <row r="20">
          <cell r="P20">
            <v>18.3</v>
          </cell>
        </row>
        <row r="21">
          <cell r="P21">
            <v>17.3</v>
          </cell>
        </row>
        <row r="22">
          <cell r="P22">
            <v>16.600000000000001</v>
          </cell>
        </row>
        <row r="23">
          <cell r="P23">
            <v>16.3</v>
          </cell>
        </row>
        <row r="24">
          <cell r="P24">
            <v>15.9</v>
          </cell>
        </row>
        <row r="25">
          <cell r="P25">
            <v>15.6</v>
          </cell>
        </row>
        <row r="26">
          <cell r="P26">
            <v>15.4</v>
          </cell>
        </row>
        <row r="27">
          <cell r="P27">
            <v>15.1</v>
          </cell>
        </row>
      </sheetData>
      <sheetData sheetId="60"/>
      <sheetData sheetId="61">
        <row r="10">
          <cell r="P10">
            <v>13.6</v>
          </cell>
        </row>
        <row r="11">
          <cell r="P11">
            <v>14</v>
          </cell>
        </row>
        <row r="12">
          <cell r="P12">
            <v>14.8</v>
          </cell>
        </row>
        <row r="13">
          <cell r="P13">
            <v>16</v>
          </cell>
        </row>
        <row r="14">
          <cell r="P14">
            <v>17.399999999999999</v>
          </cell>
        </row>
        <row r="15">
          <cell r="P15">
            <v>17.8</v>
          </cell>
        </row>
        <row r="16">
          <cell r="P16">
            <v>17.600000000000001</v>
          </cell>
        </row>
        <row r="17">
          <cell r="P17">
            <v>17.7</v>
          </cell>
        </row>
        <row r="18">
          <cell r="P18">
            <v>18.399999999999999</v>
          </cell>
        </row>
        <row r="19">
          <cell r="P19">
            <v>19.7</v>
          </cell>
        </row>
        <row r="20">
          <cell r="P20">
            <v>18.8</v>
          </cell>
        </row>
        <row r="21">
          <cell r="P21">
            <v>17.7</v>
          </cell>
        </row>
        <row r="22">
          <cell r="P22">
            <v>16.899999999999999</v>
          </cell>
        </row>
        <row r="23">
          <cell r="P23">
            <v>16.5</v>
          </cell>
        </row>
        <row r="24">
          <cell r="P24">
            <v>16.100000000000001</v>
          </cell>
        </row>
        <row r="25">
          <cell r="P25">
            <v>15.7</v>
          </cell>
        </row>
        <row r="26">
          <cell r="P26">
            <v>15.5</v>
          </cell>
        </row>
        <row r="27">
          <cell r="P27">
            <v>15.2</v>
          </cell>
        </row>
      </sheetData>
      <sheetData sheetId="62"/>
      <sheetData sheetId="63">
        <row r="10">
          <cell r="P10">
            <v>12.6</v>
          </cell>
        </row>
        <row r="11">
          <cell r="P11">
            <v>13.2</v>
          </cell>
        </row>
        <row r="12">
          <cell r="P12">
            <v>15</v>
          </cell>
        </row>
        <row r="13">
          <cell r="P13">
            <v>17.600000000000001</v>
          </cell>
        </row>
        <row r="14">
          <cell r="P14">
            <v>20.8</v>
          </cell>
        </row>
        <row r="15">
          <cell r="P15">
            <v>23.8</v>
          </cell>
        </row>
        <row r="16">
          <cell r="P16">
            <v>26.5</v>
          </cell>
        </row>
        <row r="17">
          <cell r="P17">
            <v>28</v>
          </cell>
        </row>
        <row r="18">
          <cell r="P18">
            <v>28.4</v>
          </cell>
        </row>
        <row r="19">
          <cell r="P19">
            <v>27.6</v>
          </cell>
        </row>
        <row r="20">
          <cell r="P20">
            <v>25.2</v>
          </cell>
        </row>
        <row r="21">
          <cell r="P21">
            <v>23</v>
          </cell>
        </row>
        <row r="22">
          <cell r="P22">
            <v>21</v>
          </cell>
        </row>
        <row r="23">
          <cell r="P23">
            <v>20</v>
          </cell>
        </row>
        <row r="24">
          <cell r="P24">
            <v>19</v>
          </cell>
        </row>
        <row r="25">
          <cell r="P25">
            <v>18</v>
          </cell>
        </row>
        <row r="26">
          <cell r="P26">
            <v>17</v>
          </cell>
        </row>
        <row r="27">
          <cell r="P27">
            <v>16.399999999999999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13.8</v>
          </cell>
        </row>
        <row r="11">
          <cell r="P11">
            <v>14.3</v>
          </cell>
        </row>
        <row r="12">
          <cell r="P12">
            <v>16.2</v>
          </cell>
        </row>
        <row r="13">
          <cell r="P13">
            <v>19.5</v>
          </cell>
        </row>
        <row r="14">
          <cell r="P14">
            <v>22.4</v>
          </cell>
        </row>
        <row r="15">
          <cell r="P15">
            <v>25.8</v>
          </cell>
        </row>
        <row r="16">
          <cell r="P16">
            <v>28</v>
          </cell>
        </row>
        <row r="17">
          <cell r="P17">
            <v>29.6</v>
          </cell>
        </row>
        <row r="18">
          <cell r="P18">
            <v>30.2</v>
          </cell>
        </row>
        <row r="19">
          <cell r="P19">
            <v>29.6</v>
          </cell>
        </row>
        <row r="20">
          <cell r="P20">
            <v>27</v>
          </cell>
        </row>
        <row r="21">
          <cell r="P21">
            <v>25.6</v>
          </cell>
        </row>
        <row r="22">
          <cell r="P22">
            <v>23.4</v>
          </cell>
        </row>
        <row r="23">
          <cell r="P23">
            <v>22.2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4">
        <row r="1">
          <cell r="C1" t="str">
            <v>SETEMBRO DE 2022</v>
          </cell>
        </row>
      </sheetData>
      <sheetData sheetId="5">
        <row r="10">
          <cell r="P10">
            <v>15.2</v>
          </cell>
        </row>
        <row r="11">
          <cell r="P11">
            <v>15.9</v>
          </cell>
        </row>
        <row r="12">
          <cell r="P12">
            <v>18.100000000000001</v>
          </cell>
        </row>
        <row r="13">
          <cell r="P13">
            <v>21.1</v>
          </cell>
        </row>
        <row r="14">
          <cell r="P14">
            <v>24.2</v>
          </cell>
        </row>
        <row r="15">
          <cell r="P15">
            <v>27.2</v>
          </cell>
        </row>
        <row r="16">
          <cell r="P16">
            <v>29.3</v>
          </cell>
        </row>
        <row r="17">
          <cell r="P17">
            <v>31</v>
          </cell>
        </row>
        <row r="18">
          <cell r="P18">
            <v>31.6</v>
          </cell>
        </row>
        <row r="19">
          <cell r="P19">
            <v>31.1</v>
          </cell>
        </row>
        <row r="20">
          <cell r="P20">
            <v>28.5</v>
          </cell>
        </row>
        <row r="21">
          <cell r="P21">
            <v>26.8</v>
          </cell>
        </row>
        <row r="22">
          <cell r="P22">
            <v>25</v>
          </cell>
        </row>
        <row r="23">
          <cell r="P23">
            <v>23.6</v>
          </cell>
        </row>
        <row r="24">
          <cell r="P24">
            <v>22.8</v>
          </cell>
        </row>
        <row r="25">
          <cell r="P25">
            <v>21.8</v>
          </cell>
        </row>
        <row r="26">
          <cell r="P26">
            <v>21.1</v>
          </cell>
        </row>
        <row r="27">
          <cell r="P27">
            <v>21.5</v>
          </cell>
        </row>
      </sheetData>
      <sheetData sheetId="6"/>
      <sheetData sheetId="7">
        <row r="10">
          <cell r="P10">
            <v>17.899999999999999</v>
          </cell>
        </row>
        <row r="11">
          <cell r="P11">
            <v>18.2</v>
          </cell>
        </row>
        <row r="12">
          <cell r="P12">
            <v>18.399999999999999</v>
          </cell>
        </row>
        <row r="13">
          <cell r="P13">
            <v>20.100000000000001</v>
          </cell>
        </row>
        <row r="14">
          <cell r="P14">
            <v>21.9</v>
          </cell>
        </row>
        <row r="15">
          <cell r="P15">
            <v>24.2</v>
          </cell>
        </row>
        <row r="16">
          <cell r="P16">
            <v>25.2</v>
          </cell>
        </row>
        <row r="17">
          <cell r="P17">
            <v>25.9</v>
          </cell>
        </row>
        <row r="18">
          <cell r="P18">
            <v>25.1</v>
          </cell>
        </row>
        <row r="19">
          <cell r="P19">
            <v>23.8</v>
          </cell>
        </row>
        <row r="20">
          <cell r="P20">
            <v>22.4</v>
          </cell>
        </row>
        <row r="21">
          <cell r="P21">
            <v>21.4</v>
          </cell>
        </row>
        <row r="22">
          <cell r="P22">
            <v>20.7</v>
          </cell>
        </row>
        <row r="23">
          <cell r="P23">
            <v>19.7</v>
          </cell>
        </row>
        <row r="24">
          <cell r="P24">
            <v>19.100000000000001</v>
          </cell>
        </row>
        <row r="25">
          <cell r="P25">
            <v>18.399999999999999</v>
          </cell>
        </row>
        <row r="26">
          <cell r="P26">
            <v>17.8</v>
          </cell>
        </row>
        <row r="27">
          <cell r="P27">
            <v>16.899999999999999</v>
          </cell>
        </row>
      </sheetData>
      <sheetData sheetId="8"/>
      <sheetData sheetId="9">
        <row r="10">
          <cell r="P10">
            <v>15.1</v>
          </cell>
        </row>
        <row r="11">
          <cell r="P11">
            <v>15</v>
          </cell>
        </row>
        <row r="12">
          <cell r="P12">
            <v>15.1</v>
          </cell>
        </row>
        <row r="13">
          <cell r="P13">
            <v>15.4</v>
          </cell>
        </row>
        <row r="14">
          <cell r="P14">
            <v>15.8</v>
          </cell>
        </row>
        <row r="15">
          <cell r="P15">
            <v>16.2</v>
          </cell>
        </row>
        <row r="16">
          <cell r="P16">
            <v>17.5</v>
          </cell>
        </row>
        <row r="17">
          <cell r="P17">
            <v>17.8</v>
          </cell>
        </row>
        <row r="18">
          <cell r="P18">
            <v>17.399999999999999</v>
          </cell>
        </row>
        <row r="19">
          <cell r="P19">
            <v>17</v>
          </cell>
        </row>
        <row r="20">
          <cell r="P20">
            <v>16.600000000000001</v>
          </cell>
        </row>
        <row r="21">
          <cell r="P21">
            <v>16.2</v>
          </cell>
        </row>
        <row r="22">
          <cell r="P22">
            <v>15.8</v>
          </cell>
        </row>
        <row r="23">
          <cell r="P23">
            <v>15.5</v>
          </cell>
        </row>
        <row r="24">
          <cell r="P24">
            <v>15.3</v>
          </cell>
        </row>
        <row r="25">
          <cell r="P25">
            <v>15.2</v>
          </cell>
        </row>
        <row r="26">
          <cell r="P26">
            <v>14.9</v>
          </cell>
        </row>
        <row r="27">
          <cell r="P27">
            <v>14.6</v>
          </cell>
        </row>
      </sheetData>
      <sheetData sheetId="10"/>
      <sheetData sheetId="11">
        <row r="10">
          <cell r="P10">
            <v>14</v>
          </cell>
        </row>
        <row r="11">
          <cell r="P11">
            <v>14.2</v>
          </cell>
        </row>
        <row r="12">
          <cell r="P12">
            <v>14.8</v>
          </cell>
        </row>
        <row r="13">
          <cell r="P13">
            <v>16</v>
          </cell>
        </row>
        <row r="14">
          <cell r="P14">
            <v>16.600000000000001</v>
          </cell>
        </row>
        <row r="15">
          <cell r="P15">
            <v>17</v>
          </cell>
        </row>
        <row r="16">
          <cell r="P16">
            <v>18</v>
          </cell>
        </row>
        <row r="17">
          <cell r="P17">
            <v>18</v>
          </cell>
        </row>
        <row r="18">
          <cell r="P18">
            <v>18</v>
          </cell>
        </row>
        <row r="19">
          <cell r="P19">
            <v>17.5</v>
          </cell>
        </row>
        <row r="20">
          <cell r="P20">
            <v>17.100000000000001</v>
          </cell>
        </row>
        <row r="21">
          <cell r="P21">
            <v>16.600000000000001</v>
          </cell>
        </row>
        <row r="22">
          <cell r="P22">
            <v>16.2</v>
          </cell>
        </row>
        <row r="23">
          <cell r="P23">
            <v>16</v>
          </cell>
        </row>
        <row r="24">
          <cell r="P24">
            <v>15.8</v>
          </cell>
        </row>
        <row r="25">
          <cell r="P25">
            <v>15.6</v>
          </cell>
        </row>
        <row r="26">
          <cell r="P26">
            <v>15.4</v>
          </cell>
        </row>
        <row r="27">
          <cell r="P27">
            <v>15.4</v>
          </cell>
        </row>
      </sheetData>
      <sheetData sheetId="12"/>
      <sheetData sheetId="13">
        <row r="10">
          <cell r="P10">
            <v>15</v>
          </cell>
        </row>
        <row r="11">
          <cell r="P11">
            <v>15.2</v>
          </cell>
        </row>
        <row r="12">
          <cell r="P12">
            <v>15.6</v>
          </cell>
        </row>
        <row r="13">
          <cell r="P13">
            <v>15.8</v>
          </cell>
        </row>
        <row r="14">
          <cell r="P14">
            <v>18</v>
          </cell>
        </row>
        <row r="15">
          <cell r="P15">
            <v>20.6</v>
          </cell>
        </row>
        <row r="16">
          <cell r="P16">
            <v>22</v>
          </cell>
        </row>
        <row r="17">
          <cell r="P17">
            <v>21.6</v>
          </cell>
        </row>
        <row r="18">
          <cell r="P18">
            <v>21.2</v>
          </cell>
        </row>
        <row r="19">
          <cell r="P19">
            <v>20.2</v>
          </cell>
        </row>
        <row r="20">
          <cell r="P20">
            <v>19.399999999999999</v>
          </cell>
        </row>
        <row r="21">
          <cell r="P21">
            <v>18.8</v>
          </cell>
        </row>
        <row r="22">
          <cell r="P22">
            <v>18.2</v>
          </cell>
        </row>
        <row r="23">
          <cell r="P23">
            <v>17.7</v>
          </cell>
        </row>
        <row r="24">
          <cell r="P24">
            <v>17.399999999999999</v>
          </cell>
        </row>
        <row r="25">
          <cell r="P25">
            <v>17.100000000000001</v>
          </cell>
        </row>
        <row r="26">
          <cell r="P26">
            <v>16.8</v>
          </cell>
        </row>
        <row r="27">
          <cell r="P27">
            <v>16.600000000000001</v>
          </cell>
        </row>
      </sheetData>
      <sheetData sheetId="14"/>
      <sheetData sheetId="15">
        <row r="10">
          <cell r="P10">
            <v>15.7</v>
          </cell>
        </row>
        <row r="11">
          <cell r="P11">
            <v>15.9</v>
          </cell>
        </row>
        <row r="12">
          <cell r="P12">
            <v>15.7</v>
          </cell>
        </row>
        <row r="13">
          <cell r="P13">
            <v>15.7</v>
          </cell>
        </row>
        <row r="14">
          <cell r="P14">
            <v>16</v>
          </cell>
        </row>
        <row r="15">
          <cell r="P15">
            <v>16.100000000000001</v>
          </cell>
        </row>
        <row r="16">
          <cell r="P16">
            <v>16.600000000000001</v>
          </cell>
        </row>
        <row r="17">
          <cell r="P17">
            <v>17.5</v>
          </cell>
        </row>
        <row r="18">
          <cell r="P18">
            <v>18.2</v>
          </cell>
        </row>
        <row r="19">
          <cell r="P19">
            <v>18.2</v>
          </cell>
        </row>
        <row r="20">
          <cell r="P20">
            <v>18.100000000000001</v>
          </cell>
        </row>
        <row r="21">
          <cell r="P21">
            <v>17.7</v>
          </cell>
        </row>
        <row r="22">
          <cell r="P22">
            <v>17.399999999999999</v>
          </cell>
        </row>
        <row r="23">
          <cell r="P23">
            <v>17</v>
          </cell>
        </row>
        <row r="24">
          <cell r="P24">
            <v>16.399999999999999</v>
          </cell>
        </row>
        <row r="25">
          <cell r="P25">
            <v>16.2</v>
          </cell>
        </row>
        <row r="26">
          <cell r="P26">
            <v>15.8</v>
          </cell>
        </row>
        <row r="27">
          <cell r="P27">
            <v>15.7</v>
          </cell>
        </row>
      </sheetData>
      <sheetData sheetId="16"/>
      <sheetData sheetId="17">
        <row r="10">
          <cell r="P10">
            <v>14.2</v>
          </cell>
        </row>
        <row r="11">
          <cell r="P11">
            <v>15.1</v>
          </cell>
        </row>
        <row r="12">
          <cell r="P12">
            <v>15.8</v>
          </cell>
        </row>
        <row r="13">
          <cell r="P13">
            <v>17.7</v>
          </cell>
        </row>
        <row r="14">
          <cell r="P14">
            <v>20</v>
          </cell>
        </row>
        <row r="15">
          <cell r="P15">
            <v>21.7</v>
          </cell>
        </row>
        <row r="16">
          <cell r="P16">
            <v>22.4</v>
          </cell>
        </row>
        <row r="17">
          <cell r="P17">
            <v>23.8</v>
          </cell>
        </row>
        <row r="18">
          <cell r="P18">
            <v>24.2</v>
          </cell>
        </row>
        <row r="19">
          <cell r="P19">
            <v>24.8</v>
          </cell>
        </row>
        <row r="20">
          <cell r="P20">
            <v>23.9</v>
          </cell>
        </row>
        <row r="21">
          <cell r="P21">
            <v>22.5</v>
          </cell>
        </row>
        <row r="22">
          <cell r="P22">
            <v>21.1</v>
          </cell>
        </row>
        <row r="23">
          <cell r="P23">
            <v>20.5</v>
          </cell>
        </row>
        <row r="24">
          <cell r="P24">
            <v>19.600000000000001</v>
          </cell>
        </row>
        <row r="25">
          <cell r="P25">
            <v>19</v>
          </cell>
        </row>
        <row r="26">
          <cell r="P26">
            <v>18.600000000000001</v>
          </cell>
        </row>
        <row r="27">
          <cell r="P27">
            <v>18</v>
          </cell>
        </row>
      </sheetData>
      <sheetData sheetId="18"/>
      <sheetData sheetId="19">
        <row r="10">
          <cell r="P10">
            <v>17.100000000000001</v>
          </cell>
        </row>
        <row r="11">
          <cell r="P11">
            <v>17.600000000000001</v>
          </cell>
        </row>
        <row r="12">
          <cell r="P12">
            <v>19.5</v>
          </cell>
        </row>
        <row r="13">
          <cell r="P13">
            <v>21.8</v>
          </cell>
        </row>
        <row r="14">
          <cell r="P14">
            <v>24.6</v>
          </cell>
        </row>
        <row r="15">
          <cell r="P15">
            <v>27.8</v>
          </cell>
        </row>
        <row r="16">
          <cell r="P16">
            <v>30.1</v>
          </cell>
        </row>
        <row r="17">
          <cell r="P17">
            <v>31.4</v>
          </cell>
        </row>
        <row r="18">
          <cell r="P18">
            <v>32</v>
          </cell>
        </row>
        <row r="19">
          <cell r="P19">
            <v>31.5</v>
          </cell>
        </row>
        <row r="20">
          <cell r="P20">
            <v>29.7</v>
          </cell>
        </row>
        <row r="21">
          <cell r="P21">
            <v>27.6</v>
          </cell>
        </row>
        <row r="22">
          <cell r="P22">
            <v>26.1</v>
          </cell>
        </row>
        <row r="23">
          <cell r="P23">
            <v>24.8</v>
          </cell>
        </row>
        <row r="24">
          <cell r="P24">
            <v>23.6</v>
          </cell>
        </row>
        <row r="25">
          <cell r="P25">
            <v>22.8</v>
          </cell>
        </row>
        <row r="26">
          <cell r="P26">
            <v>21.9</v>
          </cell>
        </row>
        <row r="27">
          <cell r="P27">
            <v>21.2</v>
          </cell>
        </row>
      </sheetData>
      <sheetData sheetId="20"/>
      <sheetData sheetId="21">
        <row r="10">
          <cell r="P10">
            <v>17.8</v>
          </cell>
        </row>
        <row r="11">
          <cell r="P11">
            <v>19.2</v>
          </cell>
        </row>
        <row r="12">
          <cell r="P12">
            <v>20.2</v>
          </cell>
        </row>
        <row r="13">
          <cell r="P13">
            <v>22.6</v>
          </cell>
        </row>
        <row r="14">
          <cell r="P14">
            <v>27.2</v>
          </cell>
        </row>
        <row r="15">
          <cell r="P15">
            <v>29</v>
          </cell>
        </row>
        <row r="16">
          <cell r="P16">
            <v>30.6</v>
          </cell>
        </row>
        <row r="17">
          <cell r="P17">
            <v>31.2</v>
          </cell>
        </row>
        <row r="18">
          <cell r="P18">
            <v>30</v>
          </cell>
        </row>
        <row r="19">
          <cell r="P19">
            <v>27.8</v>
          </cell>
        </row>
        <row r="20">
          <cell r="P20">
            <v>26.2</v>
          </cell>
        </row>
        <row r="21">
          <cell r="P21">
            <v>24.8</v>
          </cell>
        </row>
        <row r="22">
          <cell r="P22">
            <v>23.7</v>
          </cell>
        </row>
        <row r="23">
          <cell r="P23">
            <v>22.7</v>
          </cell>
        </row>
        <row r="24">
          <cell r="P24">
            <v>21.8</v>
          </cell>
        </row>
        <row r="25">
          <cell r="P25">
            <v>21</v>
          </cell>
        </row>
        <row r="26">
          <cell r="P26">
            <v>20.399999999999999</v>
          </cell>
        </row>
        <row r="27">
          <cell r="P27">
            <v>19.7</v>
          </cell>
        </row>
      </sheetData>
      <sheetData sheetId="22"/>
      <sheetData sheetId="23">
        <row r="10">
          <cell r="P10">
            <v>16.399999999999999</v>
          </cell>
        </row>
        <row r="11">
          <cell r="P11">
            <v>16.399999999999999</v>
          </cell>
        </row>
        <row r="12">
          <cell r="P12">
            <v>16.600000000000001</v>
          </cell>
        </row>
        <row r="13">
          <cell r="P13">
            <v>16.600000000000001</v>
          </cell>
        </row>
        <row r="14">
          <cell r="P14">
            <v>17.600000000000001</v>
          </cell>
        </row>
        <row r="15">
          <cell r="P15">
            <v>17.600000000000001</v>
          </cell>
        </row>
        <row r="16">
          <cell r="P16">
            <v>17.600000000000001</v>
          </cell>
        </row>
        <row r="17">
          <cell r="P17">
            <v>17.8</v>
          </cell>
        </row>
        <row r="18">
          <cell r="P18">
            <v>17.8</v>
          </cell>
        </row>
        <row r="19">
          <cell r="P19">
            <v>17.7</v>
          </cell>
        </row>
        <row r="20">
          <cell r="P20">
            <v>17.3</v>
          </cell>
        </row>
        <row r="21">
          <cell r="P21">
            <v>16.899999999999999</v>
          </cell>
        </row>
        <row r="22">
          <cell r="P22">
            <v>16.600000000000001</v>
          </cell>
        </row>
        <row r="23">
          <cell r="P23">
            <v>16.3</v>
          </cell>
        </row>
        <row r="24">
          <cell r="P24">
            <v>16</v>
          </cell>
        </row>
        <row r="25">
          <cell r="P25">
            <v>15.9</v>
          </cell>
        </row>
        <row r="26">
          <cell r="P26">
            <v>15.8</v>
          </cell>
        </row>
        <row r="27">
          <cell r="P27">
            <v>15.6</v>
          </cell>
        </row>
      </sheetData>
      <sheetData sheetId="24"/>
      <sheetData sheetId="25">
        <row r="10">
          <cell r="P10">
            <v>15.4</v>
          </cell>
        </row>
        <row r="11">
          <cell r="P11">
            <v>15.5</v>
          </cell>
        </row>
        <row r="12">
          <cell r="P12">
            <v>15.8</v>
          </cell>
        </row>
        <row r="13">
          <cell r="P13">
            <v>16.3</v>
          </cell>
        </row>
        <row r="14">
          <cell r="P14">
            <v>17.2</v>
          </cell>
        </row>
        <row r="15">
          <cell r="P15">
            <v>17.600000000000001</v>
          </cell>
        </row>
        <row r="16">
          <cell r="P16">
            <v>17.7</v>
          </cell>
        </row>
        <row r="17">
          <cell r="P17">
            <v>17.7</v>
          </cell>
        </row>
        <row r="18">
          <cell r="P18">
            <v>17.8</v>
          </cell>
        </row>
        <row r="19">
          <cell r="P19">
            <v>17.600000000000001</v>
          </cell>
        </row>
        <row r="20">
          <cell r="P20">
            <v>17.2</v>
          </cell>
        </row>
        <row r="21">
          <cell r="P21">
            <v>17</v>
          </cell>
        </row>
        <row r="22">
          <cell r="P22">
            <v>16.8</v>
          </cell>
        </row>
        <row r="23">
          <cell r="P23">
            <v>16.600000000000001</v>
          </cell>
        </row>
        <row r="24">
          <cell r="P24">
            <v>16.399999999999999</v>
          </cell>
        </row>
        <row r="25">
          <cell r="P25">
            <v>16.2</v>
          </cell>
        </row>
        <row r="26">
          <cell r="P26">
            <v>16</v>
          </cell>
        </row>
        <row r="27">
          <cell r="P27">
            <v>16</v>
          </cell>
        </row>
      </sheetData>
      <sheetData sheetId="26"/>
      <sheetData sheetId="27">
        <row r="10">
          <cell r="P10">
            <v>16.2</v>
          </cell>
        </row>
        <row r="11">
          <cell r="P11">
            <v>16.399999999999999</v>
          </cell>
        </row>
        <row r="12">
          <cell r="P12">
            <v>17.399999999999999</v>
          </cell>
        </row>
        <row r="13">
          <cell r="P13">
            <v>18.100000000000001</v>
          </cell>
        </row>
        <row r="14">
          <cell r="P14">
            <v>18.8</v>
          </cell>
        </row>
        <row r="15">
          <cell r="P15">
            <v>21.1</v>
          </cell>
        </row>
        <row r="16">
          <cell r="P16">
            <v>21.9</v>
          </cell>
        </row>
        <row r="17">
          <cell r="P17">
            <v>22.8</v>
          </cell>
        </row>
        <row r="18">
          <cell r="P18">
            <v>23.1</v>
          </cell>
        </row>
        <row r="19">
          <cell r="P19">
            <v>22.6</v>
          </cell>
        </row>
        <row r="20">
          <cell r="P20">
            <v>22</v>
          </cell>
        </row>
        <row r="21">
          <cell r="P21">
            <v>21.4</v>
          </cell>
        </row>
        <row r="22">
          <cell r="P22">
            <v>20.6</v>
          </cell>
        </row>
        <row r="23">
          <cell r="P23">
            <v>20.2</v>
          </cell>
        </row>
        <row r="24">
          <cell r="P24">
            <v>19.8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19</v>
          </cell>
        </row>
      </sheetData>
      <sheetData sheetId="28"/>
      <sheetData sheetId="29">
        <row r="10">
          <cell r="P10">
            <v>17.7</v>
          </cell>
        </row>
        <row r="11">
          <cell r="P11">
            <v>17.8</v>
          </cell>
        </row>
        <row r="12">
          <cell r="P12">
            <v>17.8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18</v>
          </cell>
        </row>
        <row r="16">
          <cell r="P16">
            <v>18.399999999999999</v>
          </cell>
        </row>
        <row r="17">
          <cell r="P17">
            <v>18.8</v>
          </cell>
        </row>
        <row r="18">
          <cell r="P18">
            <v>19</v>
          </cell>
        </row>
        <row r="19">
          <cell r="P19">
            <v>18.8</v>
          </cell>
        </row>
        <row r="20">
          <cell r="P20">
            <v>18.2</v>
          </cell>
        </row>
        <row r="21">
          <cell r="P21">
            <v>17.7</v>
          </cell>
        </row>
        <row r="22">
          <cell r="P22">
            <v>17.600000000000001</v>
          </cell>
        </row>
        <row r="23">
          <cell r="P23">
            <v>17.3</v>
          </cell>
        </row>
        <row r="24">
          <cell r="P24">
            <v>17.100000000000001</v>
          </cell>
        </row>
        <row r="25">
          <cell r="P25">
            <v>16.8</v>
          </cell>
        </row>
        <row r="26">
          <cell r="P26">
            <v>16.8</v>
          </cell>
        </row>
        <row r="27">
          <cell r="P27">
            <v>16.7</v>
          </cell>
        </row>
      </sheetData>
      <sheetData sheetId="30"/>
      <sheetData sheetId="31">
        <row r="10">
          <cell r="P10">
            <v>16</v>
          </cell>
        </row>
        <row r="11">
          <cell r="P11">
            <v>16</v>
          </cell>
        </row>
        <row r="12">
          <cell r="P12">
            <v>15.8</v>
          </cell>
        </row>
        <row r="13">
          <cell r="P13">
            <v>16</v>
          </cell>
        </row>
        <row r="14">
          <cell r="P14">
            <v>16.399999999999999</v>
          </cell>
        </row>
        <row r="15">
          <cell r="P15">
            <v>16.600000000000001</v>
          </cell>
        </row>
        <row r="16">
          <cell r="P16">
            <v>17.399999999999999</v>
          </cell>
        </row>
        <row r="17">
          <cell r="P17">
            <v>17.2</v>
          </cell>
        </row>
        <row r="18">
          <cell r="P18">
            <v>17.2</v>
          </cell>
        </row>
        <row r="19">
          <cell r="P19">
            <v>17.2</v>
          </cell>
        </row>
        <row r="20">
          <cell r="P20">
            <v>17</v>
          </cell>
        </row>
        <row r="21">
          <cell r="P21">
            <v>16.8</v>
          </cell>
        </row>
        <row r="22">
          <cell r="P22">
            <v>16.5</v>
          </cell>
        </row>
        <row r="23">
          <cell r="P23">
            <v>16.600000000000001</v>
          </cell>
        </row>
        <row r="24">
          <cell r="P24">
            <v>16.2</v>
          </cell>
        </row>
        <row r="25">
          <cell r="P25">
            <v>16.100000000000001</v>
          </cell>
        </row>
        <row r="26">
          <cell r="P26">
            <v>15.8</v>
          </cell>
        </row>
        <row r="27">
          <cell r="P27">
            <v>15.8</v>
          </cell>
        </row>
      </sheetData>
      <sheetData sheetId="32"/>
      <sheetData sheetId="33">
        <row r="10">
          <cell r="P10">
            <v>15.2</v>
          </cell>
        </row>
        <row r="11">
          <cell r="P11">
            <v>15.2</v>
          </cell>
        </row>
        <row r="12">
          <cell r="P12">
            <v>15.4</v>
          </cell>
        </row>
        <row r="13">
          <cell r="P13">
            <v>16</v>
          </cell>
        </row>
        <row r="14">
          <cell r="P14">
            <v>16.2</v>
          </cell>
        </row>
        <row r="15">
          <cell r="P15">
            <v>16.8</v>
          </cell>
        </row>
        <row r="16">
          <cell r="P16">
            <v>17.2</v>
          </cell>
        </row>
        <row r="17">
          <cell r="P17">
            <v>17.600000000000001</v>
          </cell>
        </row>
        <row r="18">
          <cell r="P18">
            <v>17.399999999999999</v>
          </cell>
        </row>
        <row r="19">
          <cell r="P19">
            <v>17.3</v>
          </cell>
        </row>
        <row r="20">
          <cell r="P20">
            <v>16.8</v>
          </cell>
        </row>
        <row r="21">
          <cell r="P21">
            <v>16.399999999999999</v>
          </cell>
        </row>
        <row r="22">
          <cell r="P22">
            <v>15.9</v>
          </cell>
        </row>
        <row r="23">
          <cell r="P23">
            <v>15.6</v>
          </cell>
        </row>
        <row r="24">
          <cell r="P24">
            <v>15.4</v>
          </cell>
        </row>
        <row r="25">
          <cell r="P25">
            <v>15.2</v>
          </cell>
        </row>
        <row r="26">
          <cell r="P26">
            <v>14.9</v>
          </cell>
        </row>
        <row r="27">
          <cell r="P27">
            <v>14.7</v>
          </cell>
        </row>
      </sheetData>
      <sheetData sheetId="34"/>
      <sheetData sheetId="35">
        <row r="10">
          <cell r="P10">
            <v>13.6</v>
          </cell>
        </row>
        <row r="11">
          <cell r="P11">
            <v>14</v>
          </cell>
        </row>
        <row r="12">
          <cell r="P12">
            <v>14.8</v>
          </cell>
        </row>
        <row r="13">
          <cell r="P13">
            <v>15.6</v>
          </cell>
        </row>
        <row r="14">
          <cell r="P14">
            <v>17</v>
          </cell>
        </row>
        <row r="15">
          <cell r="P15">
            <v>18.8</v>
          </cell>
        </row>
        <row r="16">
          <cell r="P16">
            <v>20.399999999999999</v>
          </cell>
        </row>
        <row r="17">
          <cell r="P17">
            <v>21.4</v>
          </cell>
        </row>
        <row r="18">
          <cell r="P18">
            <v>22.2</v>
          </cell>
        </row>
        <row r="19">
          <cell r="P19">
            <v>21.9</v>
          </cell>
        </row>
        <row r="20">
          <cell r="P20">
            <v>20.399999999999999</v>
          </cell>
        </row>
        <row r="21">
          <cell r="P21">
            <v>18.3</v>
          </cell>
        </row>
        <row r="22">
          <cell r="P22">
            <v>17.3</v>
          </cell>
        </row>
        <row r="23">
          <cell r="P23">
            <v>16.399999999999999</v>
          </cell>
        </row>
        <row r="24">
          <cell r="P24">
            <v>15.7</v>
          </cell>
        </row>
        <row r="25">
          <cell r="P25">
            <v>15.1</v>
          </cell>
        </row>
        <row r="26">
          <cell r="P26">
            <v>14.5</v>
          </cell>
        </row>
        <row r="27">
          <cell r="P27">
            <v>14.2</v>
          </cell>
        </row>
      </sheetData>
      <sheetData sheetId="36"/>
      <sheetData sheetId="37">
        <row r="10">
          <cell r="P10">
            <v>12</v>
          </cell>
        </row>
        <row r="11">
          <cell r="P11">
            <v>13.4</v>
          </cell>
        </row>
        <row r="12">
          <cell r="P12">
            <v>15.5</v>
          </cell>
        </row>
        <row r="13">
          <cell r="P13">
            <v>18.2</v>
          </cell>
        </row>
        <row r="14">
          <cell r="P14">
            <v>21.8</v>
          </cell>
        </row>
        <row r="15">
          <cell r="P15">
            <v>24.6</v>
          </cell>
        </row>
        <row r="16">
          <cell r="P16">
            <v>26.4</v>
          </cell>
        </row>
        <row r="17">
          <cell r="P17">
            <v>27.9</v>
          </cell>
        </row>
        <row r="18">
          <cell r="P18">
            <v>28.1</v>
          </cell>
        </row>
        <row r="19">
          <cell r="P19">
            <v>27.5</v>
          </cell>
        </row>
        <row r="20">
          <cell r="P20">
            <v>24.7</v>
          </cell>
        </row>
        <row r="21">
          <cell r="P21">
            <v>22.9</v>
          </cell>
        </row>
        <row r="22">
          <cell r="P22">
            <v>21.5</v>
          </cell>
        </row>
        <row r="23">
          <cell r="P23">
            <v>20.6</v>
          </cell>
        </row>
        <row r="24">
          <cell r="P24">
            <v>19.7</v>
          </cell>
        </row>
        <row r="25">
          <cell r="P25">
            <v>19.100000000000001</v>
          </cell>
        </row>
        <row r="26">
          <cell r="P26">
            <v>18.3</v>
          </cell>
        </row>
        <row r="27">
          <cell r="P27">
            <v>17.399999999999999</v>
          </cell>
        </row>
      </sheetData>
      <sheetData sheetId="38"/>
      <sheetData sheetId="39">
        <row r="10">
          <cell r="P10">
            <v>15.4</v>
          </cell>
        </row>
        <row r="11">
          <cell r="P11">
            <v>15.8</v>
          </cell>
        </row>
        <row r="12">
          <cell r="P12">
            <v>17.399999999999999</v>
          </cell>
        </row>
        <row r="13">
          <cell r="P13">
            <v>20</v>
          </cell>
        </row>
        <row r="14">
          <cell r="P14">
            <v>22.6</v>
          </cell>
        </row>
        <row r="15">
          <cell r="P15">
            <v>25.8</v>
          </cell>
        </row>
        <row r="16">
          <cell r="P16">
            <v>28.2</v>
          </cell>
        </row>
        <row r="17">
          <cell r="P17">
            <v>29.6</v>
          </cell>
        </row>
        <row r="18">
          <cell r="P18">
            <v>29.9</v>
          </cell>
        </row>
        <row r="19">
          <cell r="P19">
            <v>24.3</v>
          </cell>
        </row>
        <row r="20">
          <cell r="P20">
            <v>27.2</v>
          </cell>
        </row>
        <row r="21">
          <cell r="P21">
            <v>23.2</v>
          </cell>
        </row>
        <row r="22">
          <cell r="P22">
            <v>23.5</v>
          </cell>
        </row>
        <row r="23">
          <cell r="P23">
            <v>22.8</v>
          </cell>
        </row>
        <row r="24">
          <cell r="P24">
            <v>21.6</v>
          </cell>
        </row>
        <row r="25">
          <cell r="P25">
            <v>21.1</v>
          </cell>
        </row>
        <row r="26">
          <cell r="P26">
            <v>20</v>
          </cell>
        </row>
        <row r="27">
          <cell r="P27">
            <v>19.7</v>
          </cell>
        </row>
      </sheetData>
      <sheetData sheetId="40"/>
      <sheetData sheetId="41">
        <row r="10">
          <cell r="P10">
            <v>17</v>
          </cell>
        </row>
        <row r="11">
          <cell r="P11">
            <v>17.8</v>
          </cell>
        </row>
        <row r="12">
          <cell r="P12">
            <v>20</v>
          </cell>
        </row>
        <row r="13">
          <cell r="P13">
            <v>22.4</v>
          </cell>
        </row>
        <row r="14">
          <cell r="P14">
            <v>24.7</v>
          </cell>
        </row>
        <row r="15">
          <cell r="P15">
            <v>26</v>
          </cell>
        </row>
        <row r="16">
          <cell r="P16">
            <v>26.8</v>
          </cell>
        </row>
        <row r="17">
          <cell r="P17">
            <v>27</v>
          </cell>
        </row>
        <row r="18">
          <cell r="P18">
            <v>26.4</v>
          </cell>
        </row>
        <row r="19">
          <cell r="P19">
            <v>26.6</v>
          </cell>
        </row>
        <row r="20">
          <cell r="P20">
            <v>25.4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21.2</v>
          </cell>
        </row>
        <row r="25">
          <cell r="P25">
            <v>20.6</v>
          </cell>
        </row>
        <row r="26">
          <cell r="P26">
            <v>20</v>
          </cell>
        </row>
        <row r="27">
          <cell r="P27">
            <v>19.600000000000001</v>
          </cell>
        </row>
      </sheetData>
      <sheetData sheetId="42"/>
      <sheetData sheetId="43">
        <row r="10">
          <cell r="P10">
            <v>17.8</v>
          </cell>
        </row>
        <row r="11">
          <cell r="P11">
            <v>17.8</v>
          </cell>
        </row>
        <row r="12">
          <cell r="P12">
            <v>18.8</v>
          </cell>
        </row>
        <row r="13">
          <cell r="P13">
            <v>19.399999999999999</v>
          </cell>
        </row>
        <row r="14">
          <cell r="P14">
            <v>20.5</v>
          </cell>
        </row>
        <row r="15">
          <cell r="P15">
            <v>21.3</v>
          </cell>
        </row>
        <row r="16">
          <cell r="P16">
            <v>24.4</v>
          </cell>
        </row>
        <row r="17">
          <cell r="P17">
            <v>24.4</v>
          </cell>
        </row>
        <row r="18">
          <cell r="P18">
            <v>23.4</v>
          </cell>
        </row>
        <row r="19">
          <cell r="P19">
            <v>22.2</v>
          </cell>
        </row>
        <row r="20">
          <cell r="P20">
            <v>21.4</v>
          </cell>
        </row>
        <row r="21">
          <cell r="P21">
            <v>20.5</v>
          </cell>
        </row>
        <row r="22">
          <cell r="P22">
            <v>19.8</v>
          </cell>
        </row>
        <row r="23">
          <cell r="P23">
            <v>19.399999999999999</v>
          </cell>
        </row>
        <row r="24">
          <cell r="P24">
            <v>19</v>
          </cell>
        </row>
        <row r="25">
          <cell r="P25">
            <v>18.7</v>
          </cell>
        </row>
        <row r="26">
          <cell r="P26">
            <v>18.3</v>
          </cell>
        </row>
        <row r="27">
          <cell r="P27">
            <v>18</v>
          </cell>
        </row>
      </sheetData>
      <sheetData sheetId="44"/>
      <sheetData sheetId="45">
        <row r="10">
          <cell r="P10">
            <v>17.2</v>
          </cell>
        </row>
        <row r="11">
          <cell r="P11">
            <v>18</v>
          </cell>
        </row>
        <row r="12">
          <cell r="P12">
            <v>19.8</v>
          </cell>
        </row>
        <row r="13">
          <cell r="P13">
            <v>21.2</v>
          </cell>
        </row>
        <row r="14">
          <cell r="P14">
            <v>22.6</v>
          </cell>
        </row>
        <row r="15">
          <cell r="P15">
            <v>22.8</v>
          </cell>
        </row>
        <row r="16">
          <cell r="P16">
            <v>22.4</v>
          </cell>
        </row>
        <row r="17">
          <cell r="P17">
            <v>22.4</v>
          </cell>
        </row>
        <row r="18">
          <cell r="P18">
            <v>22.2</v>
          </cell>
        </row>
        <row r="19">
          <cell r="P19">
            <v>22.2</v>
          </cell>
        </row>
        <row r="20">
          <cell r="P20">
            <v>21.8</v>
          </cell>
        </row>
        <row r="21">
          <cell r="P21">
            <v>21.4</v>
          </cell>
        </row>
        <row r="22">
          <cell r="P22">
            <v>20.7</v>
          </cell>
        </row>
        <row r="23">
          <cell r="P23">
            <v>20.2</v>
          </cell>
        </row>
        <row r="24">
          <cell r="P24">
            <v>19.5</v>
          </cell>
        </row>
        <row r="25">
          <cell r="P25">
            <v>19.100000000000001</v>
          </cell>
        </row>
        <row r="26">
          <cell r="P26">
            <v>18.600000000000001</v>
          </cell>
        </row>
        <row r="27">
          <cell r="P27">
            <v>18.3</v>
          </cell>
        </row>
      </sheetData>
      <sheetData sheetId="46"/>
      <sheetData sheetId="47">
        <row r="10">
          <cell r="P10">
            <v>16.600000000000001</v>
          </cell>
        </row>
        <row r="11">
          <cell r="P11">
            <v>17.600000000000001</v>
          </cell>
        </row>
        <row r="12">
          <cell r="P12">
            <v>19</v>
          </cell>
        </row>
        <row r="13">
          <cell r="P13">
            <v>20.7</v>
          </cell>
        </row>
        <row r="14">
          <cell r="P14">
            <v>23.1</v>
          </cell>
        </row>
        <row r="15">
          <cell r="P15">
            <v>25.6</v>
          </cell>
        </row>
        <row r="16">
          <cell r="P16">
            <v>28.2</v>
          </cell>
        </row>
        <row r="17">
          <cell r="P17">
            <v>29.6</v>
          </cell>
        </row>
        <row r="18">
          <cell r="P18">
            <v>30</v>
          </cell>
        </row>
        <row r="19">
          <cell r="P19">
            <v>29.2</v>
          </cell>
        </row>
        <row r="20">
          <cell r="P20">
            <v>26.8</v>
          </cell>
        </row>
        <row r="21">
          <cell r="P21">
            <v>24.2</v>
          </cell>
        </row>
        <row r="22">
          <cell r="P22">
            <v>22.4</v>
          </cell>
        </row>
        <row r="23">
          <cell r="P23">
            <v>20.7</v>
          </cell>
        </row>
        <row r="24">
          <cell r="P24">
            <v>19.399999999999999</v>
          </cell>
        </row>
        <row r="25">
          <cell r="P25">
            <v>18.5</v>
          </cell>
        </row>
        <row r="26">
          <cell r="P26">
            <v>17.8</v>
          </cell>
        </row>
        <row r="27">
          <cell r="P27">
            <v>17</v>
          </cell>
        </row>
      </sheetData>
      <sheetData sheetId="48"/>
      <sheetData sheetId="49">
        <row r="10">
          <cell r="P10">
            <v>13.4</v>
          </cell>
        </row>
        <row r="11">
          <cell r="P11">
            <v>14.8</v>
          </cell>
        </row>
        <row r="12">
          <cell r="P12">
            <v>16.600000000000001</v>
          </cell>
        </row>
        <row r="13">
          <cell r="P13">
            <v>18</v>
          </cell>
        </row>
        <row r="14">
          <cell r="P14">
            <v>20.2</v>
          </cell>
        </row>
        <row r="15">
          <cell r="P15">
            <v>26.6</v>
          </cell>
        </row>
        <row r="16">
          <cell r="P16">
            <v>26.4</v>
          </cell>
        </row>
        <row r="17">
          <cell r="P17">
            <v>28</v>
          </cell>
        </row>
        <row r="18">
          <cell r="P18">
            <v>28.8</v>
          </cell>
        </row>
        <row r="19">
          <cell r="P19">
            <v>28.2</v>
          </cell>
        </row>
        <row r="20">
          <cell r="P20">
            <v>26</v>
          </cell>
        </row>
        <row r="21">
          <cell r="P21">
            <v>24</v>
          </cell>
        </row>
        <row r="22">
          <cell r="P22">
            <v>22.6</v>
          </cell>
        </row>
        <row r="23">
          <cell r="P23">
            <v>21.4</v>
          </cell>
        </row>
        <row r="24">
          <cell r="P24">
            <v>20</v>
          </cell>
        </row>
        <row r="25">
          <cell r="P25">
            <v>20</v>
          </cell>
        </row>
        <row r="26">
          <cell r="P26">
            <v>19.399999999999999</v>
          </cell>
        </row>
        <row r="27">
          <cell r="P27">
            <v>19</v>
          </cell>
        </row>
      </sheetData>
      <sheetData sheetId="50"/>
      <sheetData sheetId="51">
        <row r="10">
          <cell r="P10">
            <v>16.600000000000001</v>
          </cell>
        </row>
        <row r="11">
          <cell r="P11">
            <v>16.600000000000001</v>
          </cell>
        </row>
        <row r="12">
          <cell r="P12">
            <v>17.2</v>
          </cell>
        </row>
        <row r="13">
          <cell r="P13">
            <v>18</v>
          </cell>
        </row>
        <row r="14">
          <cell r="P14">
            <v>19.2</v>
          </cell>
        </row>
        <row r="15">
          <cell r="P15">
            <v>20.399999999999999</v>
          </cell>
        </row>
        <row r="16">
          <cell r="P16">
            <v>24.6</v>
          </cell>
        </row>
        <row r="17">
          <cell r="P17">
            <v>26</v>
          </cell>
        </row>
        <row r="18">
          <cell r="P18">
            <v>25</v>
          </cell>
        </row>
        <row r="19">
          <cell r="P19">
            <v>24</v>
          </cell>
        </row>
        <row r="20">
          <cell r="P20">
            <v>22.6</v>
          </cell>
        </row>
        <row r="21">
          <cell r="P21">
            <v>21.6</v>
          </cell>
        </row>
        <row r="22">
          <cell r="P22">
            <v>20.8</v>
          </cell>
        </row>
        <row r="23">
          <cell r="P23">
            <v>20.2</v>
          </cell>
        </row>
        <row r="24">
          <cell r="P24">
            <v>19.8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18.8</v>
          </cell>
        </row>
      </sheetData>
      <sheetData sheetId="52"/>
      <sheetData sheetId="53">
        <row r="10">
          <cell r="P10">
            <v>17.600000000000001</v>
          </cell>
        </row>
        <row r="11">
          <cell r="P11">
            <v>17.600000000000001</v>
          </cell>
        </row>
        <row r="12">
          <cell r="P12">
            <v>17.600000000000001</v>
          </cell>
        </row>
        <row r="13">
          <cell r="P13">
            <v>17.7</v>
          </cell>
        </row>
        <row r="14">
          <cell r="P14">
            <v>18.2</v>
          </cell>
        </row>
        <row r="15">
          <cell r="P15">
            <v>17.899999999999999</v>
          </cell>
        </row>
        <row r="16">
          <cell r="P16">
            <v>18.2</v>
          </cell>
        </row>
        <row r="17">
          <cell r="P17">
            <v>18.399999999999999</v>
          </cell>
        </row>
        <row r="18">
          <cell r="P18">
            <v>18.899999999999999</v>
          </cell>
        </row>
        <row r="19">
          <cell r="P19">
            <v>18.5</v>
          </cell>
        </row>
        <row r="20">
          <cell r="P20">
            <v>18.3</v>
          </cell>
        </row>
        <row r="21">
          <cell r="P21">
            <v>18.100000000000001</v>
          </cell>
        </row>
        <row r="22">
          <cell r="P22">
            <v>17.8</v>
          </cell>
        </row>
        <row r="23">
          <cell r="P23">
            <v>17.7</v>
          </cell>
        </row>
        <row r="24">
          <cell r="P24">
            <v>17.600000000000001</v>
          </cell>
        </row>
        <row r="25">
          <cell r="P25">
            <v>17.399999999999999</v>
          </cell>
        </row>
        <row r="26">
          <cell r="P26">
            <v>17.2</v>
          </cell>
        </row>
        <row r="27">
          <cell r="P27">
            <v>17.100000000000001</v>
          </cell>
        </row>
      </sheetData>
      <sheetData sheetId="54"/>
      <sheetData sheetId="55">
        <row r="10">
          <cell r="P10">
            <v>16</v>
          </cell>
        </row>
        <row r="11">
          <cell r="P11">
            <v>16.8</v>
          </cell>
        </row>
        <row r="12">
          <cell r="P12">
            <v>17.600000000000001</v>
          </cell>
        </row>
        <row r="13">
          <cell r="P13">
            <v>18.399999999999999</v>
          </cell>
        </row>
        <row r="14">
          <cell r="P14">
            <v>21</v>
          </cell>
        </row>
        <row r="15">
          <cell r="P15">
            <v>24</v>
          </cell>
        </row>
        <row r="16">
          <cell r="P16">
            <v>24</v>
          </cell>
        </row>
        <row r="17">
          <cell r="P17">
            <v>23.6</v>
          </cell>
        </row>
        <row r="18">
          <cell r="P18">
            <v>22.6</v>
          </cell>
        </row>
        <row r="19">
          <cell r="P19">
            <v>21.4</v>
          </cell>
        </row>
        <row r="20">
          <cell r="P20">
            <v>20.6</v>
          </cell>
        </row>
        <row r="21">
          <cell r="P21">
            <v>19.8</v>
          </cell>
        </row>
        <row r="22">
          <cell r="P22">
            <v>19.3</v>
          </cell>
        </row>
        <row r="23">
          <cell r="P23">
            <v>18.8</v>
          </cell>
        </row>
        <row r="24">
          <cell r="P24">
            <v>18.600000000000001</v>
          </cell>
        </row>
        <row r="25">
          <cell r="P25">
            <v>18.3</v>
          </cell>
        </row>
        <row r="26">
          <cell r="P26">
            <v>18.100000000000001</v>
          </cell>
        </row>
        <row r="27">
          <cell r="P27">
            <v>17.899999999999999</v>
          </cell>
        </row>
      </sheetData>
      <sheetData sheetId="56"/>
      <sheetData sheetId="57">
        <row r="10">
          <cell r="P10">
            <v>17.2</v>
          </cell>
        </row>
        <row r="11">
          <cell r="P11">
            <v>17.3</v>
          </cell>
        </row>
        <row r="12">
          <cell r="P12">
            <v>17.399999999999999</v>
          </cell>
        </row>
        <row r="13">
          <cell r="P13">
            <v>17.8</v>
          </cell>
        </row>
        <row r="14">
          <cell r="P14">
            <v>18.2</v>
          </cell>
        </row>
        <row r="15">
          <cell r="P15">
            <v>18.399999999999999</v>
          </cell>
        </row>
        <row r="16">
          <cell r="P16">
            <v>18.399999999999999</v>
          </cell>
        </row>
        <row r="17">
          <cell r="P17">
            <v>18.3</v>
          </cell>
        </row>
        <row r="18">
          <cell r="P18">
            <v>18.2</v>
          </cell>
        </row>
        <row r="19">
          <cell r="P19">
            <v>17.8</v>
          </cell>
        </row>
        <row r="20">
          <cell r="P20">
            <v>17.3</v>
          </cell>
        </row>
        <row r="21">
          <cell r="P21">
            <v>16.8</v>
          </cell>
        </row>
        <row r="22">
          <cell r="P22">
            <v>16.5</v>
          </cell>
        </row>
        <row r="23">
          <cell r="P23">
            <v>16.2</v>
          </cell>
        </row>
        <row r="24">
          <cell r="P24">
            <v>16.100000000000001</v>
          </cell>
        </row>
        <row r="25">
          <cell r="P25">
            <v>15.9</v>
          </cell>
        </row>
        <row r="26">
          <cell r="P26">
            <v>15.8</v>
          </cell>
        </row>
        <row r="27">
          <cell r="P27">
            <v>15.7</v>
          </cell>
        </row>
      </sheetData>
      <sheetData sheetId="58"/>
      <sheetData sheetId="59">
        <row r="10">
          <cell r="P10">
            <v>14.8</v>
          </cell>
        </row>
        <row r="11">
          <cell r="P11">
            <v>15.1</v>
          </cell>
        </row>
        <row r="12">
          <cell r="P12">
            <v>15.4</v>
          </cell>
        </row>
        <row r="13">
          <cell r="P13">
            <v>16.399999999999999</v>
          </cell>
        </row>
        <row r="14">
          <cell r="P14">
            <v>17</v>
          </cell>
        </row>
        <row r="15">
          <cell r="P15">
            <v>17.3</v>
          </cell>
        </row>
        <row r="16">
          <cell r="P16">
            <v>17.8</v>
          </cell>
        </row>
        <row r="17">
          <cell r="P17">
            <v>17.600000000000001</v>
          </cell>
        </row>
        <row r="18">
          <cell r="P18">
            <v>17.5</v>
          </cell>
        </row>
        <row r="19">
          <cell r="P19">
            <v>16</v>
          </cell>
        </row>
        <row r="20">
          <cell r="P20">
            <v>16</v>
          </cell>
        </row>
        <row r="21">
          <cell r="P21">
            <v>16.2</v>
          </cell>
        </row>
        <row r="22">
          <cell r="P22">
            <v>16</v>
          </cell>
        </row>
        <row r="23">
          <cell r="P23">
            <v>15.6</v>
          </cell>
        </row>
        <row r="24">
          <cell r="P24">
            <v>15.6</v>
          </cell>
        </row>
        <row r="25">
          <cell r="P25">
            <v>15.4</v>
          </cell>
        </row>
        <row r="26">
          <cell r="P26">
            <v>15.4</v>
          </cell>
        </row>
        <row r="27">
          <cell r="P27">
            <v>15.2</v>
          </cell>
        </row>
      </sheetData>
      <sheetData sheetId="60"/>
      <sheetData sheetId="61">
        <row r="10">
          <cell r="P10">
            <v>14.9</v>
          </cell>
        </row>
        <row r="11">
          <cell r="P11">
            <v>15.2</v>
          </cell>
        </row>
        <row r="12">
          <cell r="P12">
            <v>15.8</v>
          </cell>
        </row>
        <row r="13">
          <cell r="P13">
            <v>17.2</v>
          </cell>
        </row>
        <row r="14">
          <cell r="P14">
            <v>17.8</v>
          </cell>
        </row>
        <row r="15">
          <cell r="P15">
            <v>17.8</v>
          </cell>
        </row>
        <row r="16">
          <cell r="P16">
            <v>17.899999999999999</v>
          </cell>
        </row>
        <row r="17">
          <cell r="P17">
            <v>17.8</v>
          </cell>
        </row>
        <row r="18">
          <cell r="P18">
            <v>17.399999999999999</v>
          </cell>
        </row>
        <row r="19">
          <cell r="P19">
            <v>17.2</v>
          </cell>
        </row>
        <row r="20">
          <cell r="P20">
            <v>17</v>
          </cell>
        </row>
        <row r="21">
          <cell r="P21">
            <v>16.8</v>
          </cell>
        </row>
        <row r="22">
          <cell r="P22">
            <v>16.600000000000001</v>
          </cell>
        </row>
        <row r="23">
          <cell r="P23">
            <v>16.399999999999999</v>
          </cell>
        </row>
        <row r="24">
          <cell r="P24">
            <v>16.399999999999999</v>
          </cell>
        </row>
        <row r="25">
          <cell r="P25">
            <v>16.399999999999999</v>
          </cell>
        </row>
        <row r="26">
          <cell r="P26">
            <v>16.399999999999999</v>
          </cell>
        </row>
        <row r="27">
          <cell r="P27">
            <v>16.399999999999999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16.399999999999999</v>
          </cell>
        </row>
        <row r="11">
          <cell r="P11">
            <v>16.899999999999999</v>
          </cell>
        </row>
        <row r="12">
          <cell r="P12">
            <v>17.8</v>
          </cell>
        </row>
        <row r="13">
          <cell r="P13">
            <v>19</v>
          </cell>
        </row>
        <row r="14">
          <cell r="P14">
            <v>19.5</v>
          </cell>
        </row>
        <row r="15">
          <cell r="P15">
            <v>20.2</v>
          </cell>
        </row>
        <row r="16">
          <cell r="P16">
            <v>20.5</v>
          </cell>
        </row>
        <row r="17">
          <cell r="P17">
            <v>21.8</v>
          </cell>
        </row>
        <row r="18">
          <cell r="P18">
            <v>22.1</v>
          </cell>
        </row>
        <row r="19">
          <cell r="P19">
            <v>22.4</v>
          </cell>
        </row>
        <row r="20">
          <cell r="P20">
            <v>21.7</v>
          </cell>
        </row>
        <row r="21">
          <cell r="P21">
            <v>20.7</v>
          </cell>
        </row>
        <row r="22">
          <cell r="P22">
            <v>20</v>
          </cell>
        </row>
        <row r="23">
          <cell r="P23">
            <v>19.5</v>
          </cell>
        </row>
        <row r="24">
          <cell r="P24">
            <v>19.3</v>
          </cell>
        </row>
        <row r="25">
          <cell r="P25">
            <v>18.899999999999999</v>
          </cell>
        </row>
        <row r="26">
          <cell r="P26">
            <v>18.600000000000001</v>
          </cell>
        </row>
        <row r="27">
          <cell r="P27">
            <v>18.2</v>
          </cell>
        </row>
      </sheetData>
      <sheetData sheetId="4">
        <row r="1">
          <cell r="C1" t="str">
            <v>OUTUBRO DE 2022</v>
          </cell>
        </row>
      </sheetData>
      <sheetData sheetId="5">
        <row r="10">
          <cell r="P10">
            <v>16.8</v>
          </cell>
        </row>
        <row r="11">
          <cell r="P11">
            <v>17.3</v>
          </cell>
        </row>
        <row r="12">
          <cell r="P12">
            <v>18.100000000000001</v>
          </cell>
        </row>
        <row r="13">
          <cell r="P13">
            <v>18.8</v>
          </cell>
        </row>
        <row r="14">
          <cell r="P14">
            <v>20.399999999999999</v>
          </cell>
        </row>
        <row r="15">
          <cell r="P15">
            <v>21.4</v>
          </cell>
        </row>
        <row r="16">
          <cell r="P16">
            <v>23.5</v>
          </cell>
        </row>
        <row r="17">
          <cell r="P17">
            <v>25</v>
          </cell>
        </row>
        <row r="18">
          <cell r="P18">
            <v>25.6</v>
          </cell>
        </row>
        <row r="19">
          <cell r="P19">
            <v>25.2</v>
          </cell>
        </row>
        <row r="20">
          <cell r="P20">
            <v>23.8</v>
          </cell>
        </row>
        <row r="21">
          <cell r="P21">
            <v>22.4</v>
          </cell>
        </row>
        <row r="22">
          <cell r="P22">
            <v>21.3</v>
          </cell>
        </row>
        <row r="23">
          <cell r="P23">
            <v>20.5</v>
          </cell>
        </row>
        <row r="24">
          <cell r="P24">
            <v>19.899999999999999</v>
          </cell>
        </row>
        <row r="25">
          <cell r="P25">
            <v>19.399999999999999</v>
          </cell>
        </row>
        <row r="26">
          <cell r="P26">
            <v>19</v>
          </cell>
        </row>
        <row r="27">
          <cell r="P27">
            <v>18.600000000000001</v>
          </cell>
        </row>
      </sheetData>
      <sheetData sheetId="6"/>
      <sheetData sheetId="7">
        <row r="10">
          <cell r="P10">
            <v>17.3</v>
          </cell>
        </row>
        <row r="11">
          <cell r="P11">
            <v>17.7</v>
          </cell>
        </row>
        <row r="12">
          <cell r="P12">
            <v>19.100000000000001</v>
          </cell>
        </row>
        <row r="13">
          <cell r="P13">
            <v>20.6</v>
          </cell>
        </row>
        <row r="14">
          <cell r="P14">
            <v>23.3</v>
          </cell>
        </row>
        <row r="15">
          <cell r="P15">
            <v>24.9</v>
          </cell>
        </row>
        <row r="16">
          <cell r="P16">
            <v>25.6</v>
          </cell>
        </row>
        <row r="17">
          <cell r="P17">
            <v>23.8</v>
          </cell>
        </row>
        <row r="18">
          <cell r="P18">
            <v>22.9</v>
          </cell>
        </row>
        <row r="19">
          <cell r="P19">
            <v>22</v>
          </cell>
        </row>
        <row r="20">
          <cell r="P20">
            <v>21.2</v>
          </cell>
        </row>
        <row r="21">
          <cell r="P21">
            <v>20.399999999999999</v>
          </cell>
        </row>
        <row r="22">
          <cell r="P22">
            <v>20</v>
          </cell>
        </row>
        <row r="23">
          <cell r="P23">
            <v>19.2</v>
          </cell>
        </row>
        <row r="24">
          <cell r="P24">
            <v>18.8</v>
          </cell>
        </row>
        <row r="25">
          <cell r="P25">
            <v>18.600000000000001</v>
          </cell>
        </row>
        <row r="26">
          <cell r="P26">
            <v>18.2</v>
          </cell>
        </row>
        <row r="27">
          <cell r="P27">
            <v>18</v>
          </cell>
        </row>
      </sheetData>
      <sheetData sheetId="8"/>
      <sheetData sheetId="9">
        <row r="10">
          <cell r="P10">
            <v>17.5</v>
          </cell>
        </row>
        <row r="11">
          <cell r="P11">
            <v>17.7</v>
          </cell>
        </row>
        <row r="12">
          <cell r="P12">
            <v>18.399999999999999</v>
          </cell>
        </row>
        <row r="13">
          <cell r="P13">
            <v>19</v>
          </cell>
        </row>
        <row r="14">
          <cell r="P14">
            <v>19.3</v>
          </cell>
        </row>
        <row r="15">
          <cell r="P15">
            <v>19.600000000000001</v>
          </cell>
        </row>
        <row r="16">
          <cell r="P16">
            <v>19.899999999999999</v>
          </cell>
        </row>
        <row r="17">
          <cell r="P17">
            <v>20.399999999999999</v>
          </cell>
        </row>
        <row r="18">
          <cell r="P18">
            <v>21</v>
          </cell>
        </row>
        <row r="19">
          <cell r="P19">
            <v>20.8</v>
          </cell>
        </row>
        <row r="20">
          <cell r="P20">
            <v>20</v>
          </cell>
        </row>
        <row r="21">
          <cell r="P21">
            <v>20</v>
          </cell>
        </row>
        <row r="22">
          <cell r="P22">
            <v>19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17.600000000000001</v>
          </cell>
        </row>
        <row r="27">
          <cell r="P27">
            <v>17.399999999999999</v>
          </cell>
        </row>
      </sheetData>
      <sheetData sheetId="10"/>
      <sheetData sheetId="11">
        <row r="10">
          <cell r="P10">
            <v>17</v>
          </cell>
        </row>
        <row r="11">
          <cell r="P11">
            <v>17.3</v>
          </cell>
        </row>
        <row r="12">
          <cell r="P12">
            <v>17.8</v>
          </cell>
        </row>
        <row r="13">
          <cell r="P13">
            <v>18.8</v>
          </cell>
        </row>
        <row r="14">
          <cell r="P14">
            <v>22</v>
          </cell>
        </row>
        <row r="15">
          <cell r="P15">
            <v>25.3</v>
          </cell>
        </row>
        <row r="16">
          <cell r="P16">
            <v>28.6</v>
          </cell>
        </row>
        <row r="17">
          <cell r="P17">
            <v>29.9</v>
          </cell>
        </row>
        <row r="18">
          <cell r="P18">
            <v>30.4</v>
          </cell>
        </row>
        <row r="19">
          <cell r="P19">
            <v>29.4</v>
          </cell>
        </row>
        <row r="20">
          <cell r="P20">
            <v>27.5</v>
          </cell>
        </row>
        <row r="21">
          <cell r="P21">
            <v>25.9</v>
          </cell>
        </row>
        <row r="22">
          <cell r="P22">
            <v>24.2</v>
          </cell>
        </row>
        <row r="23">
          <cell r="P23">
            <v>23.1</v>
          </cell>
        </row>
        <row r="24">
          <cell r="P24">
            <v>22.4</v>
          </cell>
        </row>
        <row r="25">
          <cell r="P25">
            <v>21.7</v>
          </cell>
        </row>
        <row r="26">
          <cell r="P26">
            <v>21.2</v>
          </cell>
        </row>
        <row r="27">
          <cell r="P27">
            <v>20.2</v>
          </cell>
        </row>
      </sheetData>
      <sheetData sheetId="12"/>
      <sheetData sheetId="13">
        <row r="10">
          <cell r="P10">
            <v>19.100000000000001</v>
          </cell>
        </row>
        <row r="11">
          <cell r="P11">
            <v>19.5</v>
          </cell>
        </row>
        <row r="12">
          <cell r="P12">
            <v>21</v>
          </cell>
        </row>
        <row r="13">
          <cell r="P13">
            <v>23.4</v>
          </cell>
        </row>
        <row r="14">
          <cell r="P14">
            <v>26.5</v>
          </cell>
        </row>
        <row r="15">
          <cell r="P15">
            <v>28.8</v>
          </cell>
        </row>
        <row r="16">
          <cell r="P16">
            <v>30.6</v>
          </cell>
        </row>
        <row r="17">
          <cell r="P17">
            <v>31.7</v>
          </cell>
        </row>
        <row r="18">
          <cell r="P18">
            <v>31.6</v>
          </cell>
        </row>
        <row r="19">
          <cell r="P19">
            <v>30.7</v>
          </cell>
        </row>
        <row r="20">
          <cell r="P20">
            <v>29.2</v>
          </cell>
        </row>
        <row r="21">
          <cell r="P21">
            <v>27.8</v>
          </cell>
        </row>
        <row r="22">
          <cell r="P22">
            <v>26.5</v>
          </cell>
        </row>
        <row r="23">
          <cell r="P23">
            <v>26</v>
          </cell>
        </row>
        <row r="24">
          <cell r="P24">
            <v>24.6</v>
          </cell>
        </row>
        <row r="25">
          <cell r="P25">
            <v>24.1</v>
          </cell>
        </row>
        <row r="26">
          <cell r="P26">
            <v>22.8</v>
          </cell>
        </row>
        <row r="27">
          <cell r="P27">
            <v>22.5</v>
          </cell>
        </row>
      </sheetData>
      <sheetData sheetId="14"/>
      <sheetData sheetId="15">
        <row r="10">
          <cell r="P10">
            <v>20.2</v>
          </cell>
        </row>
        <row r="11">
          <cell r="P11">
            <v>20.3</v>
          </cell>
        </row>
        <row r="12">
          <cell r="P12">
            <v>21.2</v>
          </cell>
        </row>
        <row r="13">
          <cell r="P13">
            <v>21.2</v>
          </cell>
        </row>
        <row r="14">
          <cell r="P14">
            <v>21.8</v>
          </cell>
        </row>
        <row r="15">
          <cell r="P15">
            <v>22.8</v>
          </cell>
        </row>
        <row r="16">
          <cell r="P16">
            <v>23.5</v>
          </cell>
        </row>
        <row r="17">
          <cell r="P17">
            <v>25.1</v>
          </cell>
        </row>
        <row r="18">
          <cell r="P18">
            <v>25.6</v>
          </cell>
        </row>
        <row r="19">
          <cell r="P19">
            <v>25.2</v>
          </cell>
        </row>
        <row r="20">
          <cell r="P20">
            <v>24.1</v>
          </cell>
        </row>
        <row r="21">
          <cell r="P21">
            <v>23</v>
          </cell>
        </row>
        <row r="22">
          <cell r="P22">
            <v>21.8</v>
          </cell>
        </row>
        <row r="23">
          <cell r="P23">
            <v>20.9</v>
          </cell>
        </row>
        <row r="24">
          <cell r="P24">
            <v>20.399999999999999</v>
          </cell>
        </row>
        <row r="25">
          <cell r="P25">
            <v>20</v>
          </cell>
        </row>
        <row r="26">
          <cell r="P26">
            <v>19.600000000000001</v>
          </cell>
        </row>
        <row r="27">
          <cell r="P27">
            <v>19.2</v>
          </cell>
        </row>
      </sheetData>
      <sheetData sheetId="16"/>
      <sheetData sheetId="17">
        <row r="10">
          <cell r="P10">
            <v>18.2</v>
          </cell>
        </row>
        <row r="11">
          <cell r="P11">
            <v>18.7</v>
          </cell>
        </row>
        <row r="12">
          <cell r="P12">
            <v>19.8</v>
          </cell>
        </row>
        <row r="13">
          <cell r="P13">
            <v>22</v>
          </cell>
        </row>
        <row r="14">
          <cell r="P14">
            <v>24.2</v>
          </cell>
        </row>
        <row r="15">
          <cell r="P15">
            <v>26.2</v>
          </cell>
        </row>
        <row r="16">
          <cell r="P16">
            <v>27.5</v>
          </cell>
        </row>
        <row r="17">
          <cell r="P17">
            <v>29.3</v>
          </cell>
        </row>
        <row r="18">
          <cell r="P18">
            <v>30</v>
          </cell>
        </row>
        <row r="19">
          <cell r="P19">
            <v>29</v>
          </cell>
        </row>
        <row r="20">
          <cell r="P20">
            <v>27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23.6</v>
          </cell>
        </row>
        <row r="24">
          <cell r="P24">
            <v>22</v>
          </cell>
        </row>
        <row r="25">
          <cell r="P25">
            <v>21.8</v>
          </cell>
        </row>
        <row r="26">
          <cell r="P26">
            <v>20.8</v>
          </cell>
        </row>
        <row r="27">
          <cell r="P27">
            <v>20.6</v>
          </cell>
        </row>
      </sheetData>
      <sheetData sheetId="18"/>
      <sheetData sheetId="19">
        <row r="10">
          <cell r="P10">
            <v>18.399999999999999</v>
          </cell>
        </row>
        <row r="11">
          <cell r="P11">
            <v>20</v>
          </cell>
        </row>
        <row r="12">
          <cell r="P12">
            <v>22.4</v>
          </cell>
        </row>
        <row r="13">
          <cell r="P13">
            <v>24.3</v>
          </cell>
        </row>
        <row r="14">
          <cell r="P14">
            <v>26.3</v>
          </cell>
        </row>
        <row r="15">
          <cell r="P15">
            <v>26.8</v>
          </cell>
        </row>
        <row r="16">
          <cell r="P16">
            <v>27.8</v>
          </cell>
        </row>
        <row r="17">
          <cell r="P17">
            <v>27.4</v>
          </cell>
        </row>
        <row r="18">
          <cell r="P18">
            <v>25.4</v>
          </cell>
        </row>
        <row r="19">
          <cell r="P19">
            <v>25</v>
          </cell>
        </row>
        <row r="20">
          <cell r="P20">
            <v>24</v>
          </cell>
        </row>
        <row r="21">
          <cell r="P21">
            <v>23</v>
          </cell>
        </row>
        <row r="22">
          <cell r="P22">
            <v>22</v>
          </cell>
        </row>
        <row r="23">
          <cell r="P23">
            <v>21.6</v>
          </cell>
        </row>
        <row r="24">
          <cell r="P24">
            <v>20.399999999999999</v>
          </cell>
        </row>
        <row r="25">
          <cell r="P25">
            <v>20</v>
          </cell>
        </row>
        <row r="26">
          <cell r="P26">
            <v>19.8</v>
          </cell>
        </row>
        <row r="27">
          <cell r="P27">
            <v>19.8</v>
          </cell>
        </row>
      </sheetData>
      <sheetData sheetId="20"/>
      <sheetData sheetId="21">
        <row r="10">
          <cell r="P10">
            <v>19.100000000000001</v>
          </cell>
        </row>
        <row r="11">
          <cell r="P11">
            <v>19.2</v>
          </cell>
        </row>
        <row r="12">
          <cell r="P12">
            <v>19.2</v>
          </cell>
        </row>
        <row r="13">
          <cell r="P13">
            <v>19.3</v>
          </cell>
        </row>
        <row r="14">
          <cell r="P14">
            <v>19.399999999999999</v>
          </cell>
        </row>
        <row r="15">
          <cell r="P15">
            <v>19.600000000000001</v>
          </cell>
        </row>
        <row r="16">
          <cell r="P16">
            <v>19.8</v>
          </cell>
        </row>
        <row r="17">
          <cell r="P17">
            <v>20.100000000000001</v>
          </cell>
        </row>
        <row r="18">
          <cell r="P18">
            <v>20.100000000000001</v>
          </cell>
        </row>
        <row r="19">
          <cell r="P19">
            <v>20.5</v>
          </cell>
        </row>
        <row r="20">
          <cell r="P20">
            <v>20.8</v>
          </cell>
        </row>
        <row r="21">
          <cell r="P21">
            <v>20.7</v>
          </cell>
        </row>
        <row r="22">
          <cell r="P22">
            <v>20.3</v>
          </cell>
        </row>
        <row r="23">
          <cell r="P23">
            <v>20</v>
          </cell>
        </row>
        <row r="24">
          <cell r="P24">
            <v>19.7</v>
          </cell>
        </row>
        <row r="25">
          <cell r="P25">
            <v>19.399999999999999</v>
          </cell>
        </row>
        <row r="26">
          <cell r="P26">
            <v>19.2</v>
          </cell>
        </row>
        <row r="27">
          <cell r="P27">
            <v>19.100000000000001</v>
          </cell>
        </row>
      </sheetData>
      <sheetData sheetId="22"/>
      <sheetData sheetId="23">
        <row r="10">
          <cell r="P10">
            <v>18.600000000000001</v>
          </cell>
        </row>
        <row r="11">
          <cell r="P11">
            <v>19</v>
          </cell>
        </row>
        <row r="12">
          <cell r="P12">
            <v>20.2</v>
          </cell>
        </row>
        <row r="13">
          <cell r="P13">
            <v>21.6</v>
          </cell>
        </row>
        <row r="14">
          <cell r="P14">
            <v>22.4</v>
          </cell>
        </row>
        <row r="15">
          <cell r="P15">
            <v>23.4</v>
          </cell>
        </row>
        <row r="16">
          <cell r="P16">
            <v>24.6</v>
          </cell>
        </row>
        <row r="17">
          <cell r="P17">
            <v>25</v>
          </cell>
        </row>
        <row r="18">
          <cell r="P18">
            <v>24.6</v>
          </cell>
        </row>
        <row r="19">
          <cell r="P19">
            <v>24.6</v>
          </cell>
        </row>
        <row r="20">
          <cell r="P20">
            <v>24.1</v>
          </cell>
        </row>
        <row r="21">
          <cell r="P21">
            <v>23.5</v>
          </cell>
        </row>
        <row r="22">
          <cell r="P22">
            <v>22.9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20.7</v>
          </cell>
        </row>
        <row r="27">
          <cell r="P27">
            <v>20.5</v>
          </cell>
        </row>
      </sheetData>
      <sheetData sheetId="24"/>
      <sheetData sheetId="25">
        <row r="10">
          <cell r="P10">
            <v>19</v>
          </cell>
        </row>
        <row r="11">
          <cell r="P11">
            <v>19.600000000000001</v>
          </cell>
        </row>
        <row r="12">
          <cell r="P12">
            <v>21</v>
          </cell>
        </row>
        <row r="13">
          <cell r="P13">
            <v>21.8</v>
          </cell>
        </row>
        <row r="14">
          <cell r="P14">
            <v>24.4</v>
          </cell>
        </row>
        <row r="15">
          <cell r="P15">
            <v>26.6</v>
          </cell>
        </row>
        <row r="16">
          <cell r="P16">
            <v>27.4</v>
          </cell>
        </row>
        <row r="17">
          <cell r="P17">
            <v>29.8</v>
          </cell>
        </row>
        <row r="18">
          <cell r="P18">
            <v>27.6</v>
          </cell>
        </row>
        <row r="19">
          <cell r="P19">
            <v>26.6</v>
          </cell>
        </row>
        <row r="20">
          <cell r="P20">
            <v>25.3</v>
          </cell>
        </row>
        <row r="21">
          <cell r="P21">
            <v>24</v>
          </cell>
        </row>
        <row r="22">
          <cell r="P22">
            <v>23.2</v>
          </cell>
        </row>
        <row r="23">
          <cell r="P23">
            <v>22.4</v>
          </cell>
        </row>
        <row r="24">
          <cell r="P24">
            <v>21.8</v>
          </cell>
        </row>
        <row r="25">
          <cell r="P25">
            <v>21.3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26"/>
      <sheetData sheetId="27">
        <row r="10">
          <cell r="P10">
            <v>19.5</v>
          </cell>
        </row>
        <row r="11">
          <cell r="P11">
            <v>20</v>
          </cell>
        </row>
        <row r="12">
          <cell r="P12">
            <v>21.2</v>
          </cell>
        </row>
        <row r="13">
          <cell r="P13">
            <v>22.7</v>
          </cell>
        </row>
        <row r="14">
          <cell r="P14">
            <v>23.8</v>
          </cell>
        </row>
        <row r="15">
          <cell r="P15">
            <v>25.6</v>
          </cell>
        </row>
        <row r="16">
          <cell r="P16">
            <v>27.2</v>
          </cell>
        </row>
        <row r="17">
          <cell r="P17">
            <v>29.6</v>
          </cell>
        </row>
        <row r="18">
          <cell r="P18">
            <v>30</v>
          </cell>
        </row>
        <row r="19">
          <cell r="P19">
            <v>28.6</v>
          </cell>
        </row>
        <row r="20">
          <cell r="P20">
            <v>27.4</v>
          </cell>
        </row>
        <row r="21">
          <cell r="P21">
            <v>25.4</v>
          </cell>
        </row>
        <row r="22">
          <cell r="P22">
            <v>24.6</v>
          </cell>
        </row>
        <row r="23">
          <cell r="P23">
            <v>23.6</v>
          </cell>
        </row>
        <row r="24">
          <cell r="P24">
            <v>22.6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21</v>
          </cell>
        </row>
      </sheetData>
      <sheetData sheetId="28"/>
      <sheetData sheetId="29">
        <row r="10">
          <cell r="P10">
            <v>19.399999999999999</v>
          </cell>
        </row>
        <row r="11">
          <cell r="P11">
            <v>20.6</v>
          </cell>
        </row>
        <row r="12">
          <cell r="P12">
            <v>22.6</v>
          </cell>
        </row>
        <row r="13">
          <cell r="P13">
            <v>25.2</v>
          </cell>
        </row>
        <row r="14">
          <cell r="P14">
            <v>27</v>
          </cell>
        </row>
        <row r="15">
          <cell r="P15">
            <v>26.2</v>
          </cell>
        </row>
        <row r="16">
          <cell r="P16">
            <v>25.4</v>
          </cell>
        </row>
        <row r="17">
          <cell r="P17">
            <v>25.1</v>
          </cell>
        </row>
        <row r="18">
          <cell r="P18">
            <v>24.6</v>
          </cell>
        </row>
        <row r="19">
          <cell r="P19">
            <v>24</v>
          </cell>
        </row>
        <row r="20">
          <cell r="P20">
            <v>23</v>
          </cell>
        </row>
        <row r="21">
          <cell r="P21">
            <v>22.4</v>
          </cell>
        </row>
        <row r="22">
          <cell r="P22">
            <v>21.6</v>
          </cell>
        </row>
        <row r="23">
          <cell r="P23">
            <v>21</v>
          </cell>
        </row>
        <row r="24">
          <cell r="P24">
            <v>20.8</v>
          </cell>
        </row>
        <row r="25">
          <cell r="P25">
            <v>20.6</v>
          </cell>
        </row>
        <row r="26">
          <cell r="P26">
            <v>20.399999999999999</v>
          </cell>
        </row>
        <row r="27">
          <cell r="P27">
            <v>20</v>
          </cell>
        </row>
      </sheetData>
      <sheetData sheetId="30"/>
      <sheetData sheetId="31">
        <row r="10">
          <cell r="P10">
            <v>19.399999999999999</v>
          </cell>
        </row>
        <row r="11">
          <cell r="P11">
            <v>19.7</v>
          </cell>
        </row>
        <row r="12">
          <cell r="P12">
            <v>20.2</v>
          </cell>
        </row>
        <row r="13">
          <cell r="P13">
            <v>22</v>
          </cell>
        </row>
        <row r="14">
          <cell r="P14">
            <v>22.8</v>
          </cell>
        </row>
        <row r="15">
          <cell r="P15">
            <v>23.1</v>
          </cell>
        </row>
        <row r="16">
          <cell r="P16">
            <v>22.5</v>
          </cell>
        </row>
        <row r="17">
          <cell r="P17">
            <v>22.1</v>
          </cell>
        </row>
        <row r="18">
          <cell r="P18">
            <v>21.8</v>
          </cell>
        </row>
        <row r="19">
          <cell r="P19">
            <v>21.5</v>
          </cell>
        </row>
        <row r="20">
          <cell r="P20">
            <v>21.1</v>
          </cell>
        </row>
        <row r="21">
          <cell r="P21">
            <v>20.399999999999999</v>
          </cell>
        </row>
        <row r="22">
          <cell r="P22">
            <v>20.399999999999999</v>
          </cell>
        </row>
        <row r="23">
          <cell r="P23">
            <v>20</v>
          </cell>
        </row>
        <row r="24">
          <cell r="P24">
            <v>19.7</v>
          </cell>
        </row>
        <row r="25">
          <cell r="P25">
            <v>19.5</v>
          </cell>
        </row>
        <row r="26">
          <cell r="P26">
            <v>19.3</v>
          </cell>
        </row>
        <row r="27">
          <cell r="P27">
            <v>19.2</v>
          </cell>
        </row>
      </sheetData>
      <sheetData sheetId="32"/>
      <sheetData sheetId="33">
        <row r="10">
          <cell r="P10">
            <v>18.3</v>
          </cell>
        </row>
        <row r="11">
          <cell r="P11">
            <v>19.3</v>
          </cell>
        </row>
        <row r="12">
          <cell r="P12">
            <v>21.5</v>
          </cell>
        </row>
        <row r="13">
          <cell r="P13">
            <v>23</v>
          </cell>
        </row>
        <row r="14">
          <cell r="P14">
            <v>25.7</v>
          </cell>
        </row>
        <row r="15">
          <cell r="P15">
            <v>28</v>
          </cell>
        </row>
        <row r="16">
          <cell r="P16">
            <v>30.2</v>
          </cell>
        </row>
        <row r="17">
          <cell r="P17">
            <v>28.7</v>
          </cell>
        </row>
        <row r="18">
          <cell r="P18">
            <v>28</v>
          </cell>
        </row>
        <row r="19">
          <cell r="P19">
            <v>26.4</v>
          </cell>
        </row>
        <row r="20">
          <cell r="P20">
            <v>25.4</v>
          </cell>
        </row>
        <row r="21">
          <cell r="P21">
            <v>24.6</v>
          </cell>
        </row>
        <row r="22">
          <cell r="P22">
            <v>23.6</v>
          </cell>
        </row>
        <row r="23">
          <cell r="P23">
            <v>22.9</v>
          </cell>
        </row>
        <row r="24">
          <cell r="P24">
            <v>22.2</v>
          </cell>
        </row>
        <row r="25">
          <cell r="P25">
            <v>21.5</v>
          </cell>
        </row>
        <row r="26">
          <cell r="P26">
            <v>21.3</v>
          </cell>
        </row>
        <row r="27">
          <cell r="P27">
            <v>20.8</v>
          </cell>
        </row>
      </sheetData>
      <sheetData sheetId="34"/>
      <sheetData sheetId="35">
        <row r="10">
          <cell r="P10">
            <v>18.2</v>
          </cell>
        </row>
        <row r="11">
          <cell r="P11">
            <v>19.2</v>
          </cell>
        </row>
        <row r="12">
          <cell r="P12">
            <v>21</v>
          </cell>
        </row>
        <row r="13">
          <cell r="P13">
            <v>23.2</v>
          </cell>
        </row>
        <row r="14">
          <cell r="P14">
            <v>25</v>
          </cell>
        </row>
        <row r="15">
          <cell r="P15">
            <v>28</v>
          </cell>
        </row>
        <row r="16">
          <cell r="P16">
            <v>30</v>
          </cell>
        </row>
        <row r="17">
          <cell r="P17">
            <v>31.8</v>
          </cell>
        </row>
        <row r="18">
          <cell r="P18">
            <v>32</v>
          </cell>
        </row>
        <row r="19">
          <cell r="P19">
            <v>30.6</v>
          </cell>
        </row>
        <row r="20">
          <cell r="P20">
            <v>28.7</v>
          </cell>
        </row>
        <row r="21">
          <cell r="P21">
            <v>27.1</v>
          </cell>
        </row>
        <row r="22">
          <cell r="P22">
            <v>25.4</v>
          </cell>
        </row>
        <row r="23">
          <cell r="P23">
            <v>24.4</v>
          </cell>
        </row>
        <row r="24">
          <cell r="P24">
            <v>23.6</v>
          </cell>
        </row>
        <row r="25">
          <cell r="P25">
            <v>22.8</v>
          </cell>
        </row>
        <row r="26">
          <cell r="P26">
            <v>22.6</v>
          </cell>
        </row>
        <row r="27">
          <cell r="P27">
            <v>22.2</v>
          </cell>
        </row>
      </sheetData>
      <sheetData sheetId="36"/>
      <sheetData sheetId="37">
        <row r="10">
          <cell r="P10">
            <v>20.2</v>
          </cell>
        </row>
        <row r="11">
          <cell r="P11">
            <v>20</v>
          </cell>
        </row>
        <row r="12">
          <cell r="P12">
            <v>20.399999999999999</v>
          </cell>
        </row>
        <row r="13">
          <cell r="P13">
            <v>20.7</v>
          </cell>
        </row>
        <row r="14">
          <cell r="P14">
            <v>20.6</v>
          </cell>
        </row>
        <row r="15">
          <cell r="P15">
            <v>20.2</v>
          </cell>
        </row>
        <row r="16">
          <cell r="P16">
            <v>20.399999999999999</v>
          </cell>
        </row>
        <row r="17">
          <cell r="P17">
            <v>20.8</v>
          </cell>
        </row>
        <row r="18">
          <cell r="P18">
            <v>20.6</v>
          </cell>
        </row>
        <row r="19">
          <cell r="P19">
            <v>20.6</v>
          </cell>
        </row>
        <row r="20">
          <cell r="P20">
            <v>20.5</v>
          </cell>
        </row>
        <row r="21">
          <cell r="P21">
            <v>20.2</v>
          </cell>
        </row>
        <row r="22">
          <cell r="P22">
            <v>19.8</v>
          </cell>
        </row>
        <row r="23">
          <cell r="P23">
            <v>19.600000000000001</v>
          </cell>
        </row>
        <row r="24">
          <cell r="P24">
            <v>19.399999999999999</v>
          </cell>
        </row>
        <row r="25">
          <cell r="P25">
            <v>19.3</v>
          </cell>
        </row>
        <row r="26">
          <cell r="P26">
            <v>19</v>
          </cell>
        </row>
        <row r="27">
          <cell r="P27">
            <v>18.899999999999999</v>
          </cell>
        </row>
      </sheetData>
      <sheetData sheetId="38"/>
      <sheetData sheetId="39">
        <row r="10">
          <cell r="P10">
            <v>18.7</v>
          </cell>
        </row>
        <row r="11">
          <cell r="P11">
            <v>18.899999999999999</v>
          </cell>
        </row>
        <row r="12">
          <cell r="P12">
            <v>19.3</v>
          </cell>
        </row>
        <row r="13">
          <cell r="P13">
            <v>19.899999999999999</v>
          </cell>
        </row>
        <row r="14">
          <cell r="P14">
            <v>20.2</v>
          </cell>
        </row>
        <row r="15">
          <cell r="P15">
            <v>20.3</v>
          </cell>
        </row>
        <row r="16">
          <cell r="P16">
            <v>20.2</v>
          </cell>
        </row>
        <row r="17">
          <cell r="P17">
            <v>21.2</v>
          </cell>
        </row>
        <row r="18">
          <cell r="P18">
            <v>23.3</v>
          </cell>
        </row>
        <row r="19">
          <cell r="P19">
            <v>22.7</v>
          </cell>
        </row>
        <row r="20">
          <cell r="P20">
            <v>22.6</v>
          </cell>
        </row>
        <row r="21">
          <cell r="P21">
            <v>22</v>
          </cell>
        </row>
        <row r="22">
          <cell r="P22">
            <v>21.2</v>
          </cell>
        </row>
        <row r="23">
          <cell r="P23">
            <v>20.399999999999999</v>
          </cell>
        </row>
        <row r="24">
          <cell r="P24">
            <v>19.899999999999999</v>
          </cell>
        </row>
        <row r="25">
          <cell r="P25">
            <v>19.5</v>
          </cell>
        </row>
        <row r="26">
          <cell r="P26">
            <v>19.2</v>
          </cell>
        </row>
        <row r="27">
          <cell r="P27">
            <v>19</v>
          </cell>
        </row>
      </sheetData>
      <sheetData sheetId="40"/>
      <sheetData sheetId="41">
        <row r="10">
          <cell r="P10">
            <v>18.399999999999999</v>
          </cell>
        </row>
        <row r="11">
          <cell r="P11">
            <v>19.8</v>
          </cell>
        </row>
        <row r="12">
          <cell r="P12">
            <v>22.2</v>
          </cell>
        </row>
        <row r="13">
          <cell r="P13">
            <v>23.7</v>
          </cell>
        </row>
        <row r="14">
          <cell r="P14">
            <v>25.4</v>
          </cell>
        </row>
        <row r="15">
          <cell r="P15">
            <v>28</v>
          </cell>
        </row>
        <row r="16">
          <cell r="P16">
            <v>30</v>
          </cell>
        </row>
        <row r="17">
          <cell r="P17">
            <v>30.2</v>
          </cell>
        </row>
        <row r="18">
          <cell r="P18">
            <v>29.4</v>
          </cell>
        </row>
        <row r="19">
          <cell r="P19">
            <v>38.799999999999997</v>
          </cell>
        </row>
        <row r="20">
          <cell r="P20">
            <v>27.6</v>
          </cell>
        </row>
        <row r="21">
          <cell r="P21">
            <v>26.3</v>
          </cell>
        </row>
        <row r="22">
          <cell r="P22">
            <v>25</v>
          </cell>
        </row>
        <row r="23">
          <cell r="P23">
            <v>24.2</v>
          </cell>
        </row>
        <row r="24">
          <cell r="P24">
            <v>23.6</v>
          </cell>
        </row>
        <row r="25">
          <cell r="P25">
            <v>23.1</v>
          </cell>
        </row>
        <row r="26">
          <cell r="P26">
            <v>22.7</v>
          </cell>
        </row>
        <row r="27">
          <cell r="P27">
            <v>22</v>
          </cell>
        </row>
      </sheetData>
      <sheetData sheetId="42"/>
      <sheetData sheetId="43">
        <row r="10">
          <cell r="P10">
            <v>20</v>
          </cell>
        </row>
        <row r="11">
          <cell r="P11">
            <v>20.2</v>
          </cell>
        </row>
        <row r="12">
          <cell r="P12">
            <v>20.8</v>
          </cell>
        </row>
        <row r="13">
          <cell r="P13">
            <v>20.8</v>
          </cell>
        </row>
        <row r="14">
          <cell r="P14">
            <v>20.8</v>
          </cell>
        </row>
        <row r="15">
          <cell r="P15">
            <v>23.2</v>
          </cell>
        </row>
        <row r="16">
          <cell r="P16">
            <v>24.1</v>
          </cell>
        </row>
        <row r="17">
          <cell r="P17">
            <v>23.7</v>
          </cell>
        </row>
        <row r="18">
          <cell r="P18">
            <v>23</v>
          </cell>
        </row>
        <row r="19">
          <cell r="P19">
            <v>23.3</v>
          </cell>
        </row>
        <row r="20">
          <cell r="P20">
            <v>23.1</v>
          </cell>
        </row>
        <row r="21">
          <cell r="P21">
            <v>22.5</v>
          </cell>
        </row>
        <row r="22">
          <cell r="P22">
            <v>22</v>
          </cell>
        </row>
        <row r="23">
          <cell r="P23">
            <v>21.5</v>
          </cell>
        </row>
        <row r="24">
          <cell r="P24">
            <v>21.3</v>
          </cell>
        </row>
        <row r="25">
          <cell r="P25">
            <v>21</v>
          </cell>
        </row>
        <row r="26">
          <cell r="P26">
            <v>20.7</v>
          </cell>
        </row>
        <row r="27">
          <cell r="P27">
            <v>20.5</v>
          </cell>
        </row>
      </sheetData>
      <sheetData sheetId="44"/>
      <sheetData sheetId="45">
        <row r="10">
          <cell r="P10">
            <v>20</v>
          </cell>
        </row>
        <row r="11">
          <cell r="P11">
            <v>21</v>
          </cell>
        </row>
        <row r="12">
          <cell r="P12">
            <v>22.4</v>
          </cell>
        </row>
        <row r="13">
          <cell r="P13">
            <v>24.2</v>
          </cell>
        </row>
        <row r="14">
          <cell r="P14">
            <v>26</v>
          </cell>
        </row>
        <row r="15">
          <cell r="P15">
            <v>28</v>
          </cell>
        </row>
        <row r="16">
          <cell r="P16">
            <v>29.2</v>
          </cell>
        </row>
        <row r="17">
          <cell r="P17">
            <v>29</v>
          </cell>
        </row>
        <row r="18">
          <cell r="P18">
            <v>28</v>
          </cell>
        </row>
        <row r="19">
          <cell r="P19">
            <v>26.1</v>
          </cell>
        </row>
        <row r="20">
          <cell r="P20">
            <v>24.8</v>
          </cell>
        </row>
        <row r="21">
          <cell r="P21">
            <v>23.9</v>
          </cell>
        </row>
        <row r="22">
          <cell r="P22">
            <v>23</v>
          </cell>
        </row>
        <row r="23">
          <cell r="P23">
            <v>22.2</v>
          </cell>
        </row>
        <row r="24">
          <cell r="P24">
            <v>21.6</v>
          </cell>
        </row>
        <row r="25">
          <cell r="P25">
            <v>21.2</v>
          </cell>
        </row>
        <row r="26">
          <cell r="P26">
            <v>20.7</v>
          </cell>
        </row>
        <row r="27">
          <cell r="P27">
            <v>20.2</v>
          </cell>
        </row>
      </sheetData>
      <sheetData sheetId="46"/>
      <sheetData sheetId="47">
        <row r="10">
          <cell r="P10">
            <v>19</v>
          </cell>
        </row>
        <row r="11">
          <cell r="P11">
            <v>20.2</v>
          </cell>
        </row>
        <row r="12">
          <cell r="P12">
            <v>23</v>
          </cell>
        </row>
        <row r="13">
          <cell r="P13">
            <v>25</v>
          </cell>
        </row>
        <row r="14">
          <cell r="P14">
            <v>29</v>
          </cell>
        </row>
        <row r="15">
          <cell r="P15">
            <v>31.6</v>
          </cell>
        </row>
        <row r="16">
          <cell r="P16">
            <v>33.200000000000003</v>
          </cell>
        </row>
        <row r="17">
          <cell r="P17">
            <v>34.6</v>
          </cell>
        </row>
        <row r="18">
          <cell r="P18">
            <v>34.4</v>
          </cell>
        </row>
        <row r="19">
          <cell r="P19">
            <v>32.6</v>
          </cell>
        </row>
        <row r="20">
          <cell r="P20">
            <v>30</v>
          </cell>
        </row>
        <row r="21">
          <cell r="P21">
            <v>28.2</v>
          </cell>
        </row>
        <row r="22">
          <cell r="P22">
            <v>26.8</v>
          </cell>
        </row>
        <row r="23">
          <cell r="P23">
            <v>25.7</v>
          </cell>
        </row>
        <row r="24">
          <cell r="P24">
            <v>24.7</v>
          </cell>
        </row>
        <row r="25">
          <cell r="P25">
            <v>23.8</v>
          </cell>
        </row>
        <row r="26">
          <cell r="P26">
            <v>23</v>
          </cell>
        </row>
        <row r="27">
          <cell r="P27">
            <v>22.6</v>
          </cell>
        </row>
      </sheetData>
      <sheetData sheetId="48"/>
      <sheetData sheetId="49">
        <row r="10">
          <cell r="P10">
            <v>19.399999999999999</v>
          </cell>
        </row>
        <row r="11">
          <cell r="P11">
            <v>20.100000000000001</v>
          </cell>
        </row>
        <row r="12">
          <cell r="P12">
            <v>20.8</v>
          </cell>
        </row>
        <row r="13">
          <cell r="P13">
            <v>21.8</v>
          </cell>
        </row>
        <row r="14">
          <cell r="P14">
            <v>23.5</v>
          </cell>
        </row>
        <row r="15">
          <cell r="P15">
            <v>27.1</v>
          </cell>
        </row>
        <row r="16">
          <cell r="P16">
            <v>29.8</v>
          </cell>
        </row>
        <row r="17">
          <cell r="P17">
            <v>30.8</v>
          </cell>
        </row>
        <row r="18">
          <cell r="P18">
            <v>29.8</v>
          </cell>
        </row>
        <row r="19">
          <cell r="P19">
            <v>27.8</v>
          </cell>
        </row>
        <row r="20">
          <cell r="P20">
            <v>26.2</v>
          </cell>
        </row>
        <row r="21">
          <cell r="P21">
            <v>25.2</v>
          </cell>
        </row>
        <row r="22">
          <cell r="P22">
            <v>24.3</v>
          </cell>
        </row>
        <row r="23">
          <cell r="P23">
            <v>23.4</v>
          </cell>
        </row>
        <row r="24">
          <cell r="P24">
            <v>22.6</v>
          </cell>
        </row>
        <row r="25">
          <cell r="P25">
            <v>22</v>
          </cell>
        </row>
        <row r="26">
          <cell r="P26">
            <v>21.4</v>
          </cell>
        </row>
        <row r="27">
          <cell r="P27">
            <v>21.2</v>
          </cell>
        </row>
      </sheetData>
      <sheetData sheetId="50"/>
      <sheetData sheetId="51">
        <row r="10">
          <cell r="P10">
            <v>20</v>
          </cell>
        </row>
        <row r="11">
          <cell r="P11">
            <v>21.3</v>
          </cell>
        </row>
        <row r="12">
          <cell r="P12">
            <v>22.8</v>
          </cell>
        </row>
        <row r="13">
          <cell r="P13">
            <v>26</v>
          </cell>
        </row>
        <row r="14">
          <cell r="P14">
            <v>29</v>
          </cell>
        </row>
        <row r="15">
          <cell r="P15">
            <v>31.4</v>
          </cell>
        </row>
        <row r="16">
          <cell r="P16">
            <v>33.299999999999997</v>
          </cell>
        </row>
        <row r="17">
          <cell r="P17">
            <v>34.200000000000003</v>
          </cell>
        </row>
        <row r="18">
          <cell r="P18">
            <v>34.299999999999997</v>
          </cell>
        </row>
        <row r="19">
          <cell r="P19">
            <v>33</v>
          </cell>
        </row>
        <row r="20">
          <cell r="P20">
            <v>21.6</v>
          </cell>
        </row>
        <row r="21">
          <cell r="P21">
            <v>29.6</v>
          </cell>
        </row>
        <row r="22">
          <cell r="P22">
            <v>27.6</v>
          </cell>
        </row>
        <row r="23">
          <cell r="P23">
            <v>26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22.8</v>
          </cell>
        </row>
      </sheetData>
      <sheetData sheetId="52"/>
      <sheetData sheetId="53">
        <row r="10">
          <cell r="P10">
            <v>19.7</v>
          </cell>
        </row>
        <row r="11">
          <cell r="P11">
            <v>21.1</v>
          </cell>
        </row>
        <row r="12">
          <cell r="P12">
            <v>23.5</v>
          </cell>
        </row>
        <row r="13">
          <cell r="P13">
            <v>26.8</v>
          </cell>
        </row>
        <row r="14">
          <cell r="P14">
            <v>30.4</v>
          </cell>
        </row>
        <row r="15">
          <cell r="P15">
            <v>33.200000000000003</v>
          </cell>
        </row>
        <row r="16">
          <cell r="P16">
            <v>35.5</v>
          </cell>
        </row>
        <row r="17">
          <cell r="P17">
            <v>36.4</v>
          </cell>
        </row>
        <row r="18">
          <cell r="P18">
            <v>36.200000000000003</v>
          </cell>
        </row>
        <row r="19">
          <cell r="P19">
            <v>34.6</v>
          </cell>
        </row>
        <row r="20">
          <cell r="P20">
            <v>33</v>
          </cell>
        </row>
        <row r="21">
          <cell r="P21">
            <v>30.8</v>
          </cell>
        </row>
        <row r="22">
          <cell r="P22">
            <v>29</v>
          </cell>
        </row>
        <row r="23">
          <cell r="P23">
            <v>27.6</v>
          </cell>
        </row>
        <row r="24">
          <cell r="P24">
            <v>26.6</v>
          </cell>
        </row>
        <row r="25">
          <cell r="P25">
            <v>25.2</v>
          </cell>
        </row>
        <row r="26">
          <cell r="P26">
            <v>24.8</v>
          </cell>
        </row>
        <row r="27">
          <cell r="P27">
            <v>24</v>
          </cell>
        </row>
      </sheetData>
      <sheetData sheetId="54"/>
      <sheetData sheetId="55">
        <row r="10">
          <cell r="P10">
            <v>22</v>
          </cell>
        </row>
        <row r="11">
          <cell r="P11">
            <v>23.4</v>
          </cell>
        </row>
        <row r="12">
          <cell r="P12">
            <v>25.7</v>
          </cell>
        </row>
        <row r="13">
          <cell r="P13">
            <v>29.2</v>
          </cell>
        </row>
        <row r="14">
          <cell r="P14">
            <v>31.8</v>
          </cell>
        </row>
        <row r="15">
          <cell r="P15">
            <v>34.4</v>
          </cell>
        </row>
        <row r="16">
          <cell r="P16">
            <v>36.299999999999997</v>
          </cell>
        </row>
        <row r="17">
          <cell r="P17">
            <v>36.9</v>
          </cell>
        </row>
        <row r="18">
          <cell r="P18">
            <v>36.799999999999997</v>
          </cell>
        </row>
        <row r="19">
          <cell r="P19">
            <v>35.9</v>
          </cell>
        </row>
        <row r="20">
          <cell r="P20">
            <v>34.200000000000003</v>
          </cell>
        </row>
        <row r="21">
          <cell r="P21">
            <v>32.6</v>
          </cell>
        </row>
        <row r="22">
          <cell r="P22">
            <v>31.2</v>
          </cell>
        </row>
        <row r="23">
          <cell r="P23">
            <v>30.1</v>
          </cell>
        </row>
        <row r="24">
          <cell r="P24">
            <v>29</v>
          </cell>
        </row>
        <row r="25">
          <cell r="P25">
            <v>28.4</v>
          </cell>
        </row>
        <row r="26">
          <cell r="P26">
            <v>27.7</v>
          </cell>
        </row>
        <row r="27">
          <cell r="P27">
            <v>26.9</v>
          </cell>
        </row>
      </sheetData>
      <sheetData sheetId="56"/>
      <sheetData sheetId="57">
        <row r="10">
          <cell r="P10">
            <v>23.8</v>
          </cell>
        </row>
        <row r="11">
          <cell r="P11">
            <v>24.4</v>
          </cell>
        </row>
        <row r="12">
          <cell r="P12">
            <v>25</v>
          </cell>
        </row>
        <row r="13">
          <cell r="P13">
            <v>27</v>
          </cell>
        </row>
        <row r="14">
          <cell r="P14">
            <v>28</v>
          </cell>
        </row>
        <row r="15">
          <cell r="P15">
            <v>29.8</v>
          </cell>
        </row>
        <row r="16">
          <cell r="P16">
            <v>32</v>
          </cell>
        </row>
        <row r="17">
          <cell r="P17">
            <v>34</v>
          </cell>
        </row>
        <row r="18">
          <cell r="P18">
            <v>34</v>
          </cell>
        </row>
        <row r="19">
          <cell r="P19">
            <v>33.200000000000003</v>
          </cell>
        </row>
        <row r="20">
          <cell r="P20">
            <v>32.6</v>
          </cell>
        </row>
        <row r="21">
          <cell r="P21">
            <v>31</v>
          </cell>
        </row>
        <row r="22">
          <cell r="P22">
            <v>29.2</v>
          </cell>
        </row>
        <row r="23">
          <cell r="P23">
            <v>28.4</v>
          </cell>
        </row>
        <row r="24">
          <cell r="P24">
            <v>27.6</v>
          </cell>
        </row>
        <row r="25">
          <cell r="P25">
            <v>26.9</v>
          </cell>
        </row>
        <row r="26">
          <cell r="P26">
            <v>26.4</v>
          </cell>
        </row>
        <row r="27">
          <cell r="P27">
            <v>25.8</v>
          </cell>
        </row>
      </sheetData>
      <sheetData sheetId="58"/>
      <sheetData sheetId="59">
        <row r="10">
          <cell r="P10">
            <v>23.3</v>
          </cell>
        </row>
        <row r="11">
          <cell r="P11">
            <v>24.9</v>
          </cell>
        </row>
        <row r="12">
          <cell r="P12">
            <v>27.4</v>
          </cell>
        </row>
        <row r="13">
          <cell r="P13">
            <v>30.7</v>
          </cell>
        </row>
        <row r="14">
          <cell r="P14">
            <v>33.700000000000003</v>
          </cell>
        </row>
        <row r="15">
          <cell r="P15">
            <v>35.700000000000003</v>
          </cell>
        </row>
        <row r="16">
          <cell r="P16">
            <v>36.4</v>
          </cell>
        </row>
        <row r="17">
          <cell r="P17">
            <v>36.4</v>
          </cell>
        </row>
        <row r="18">
          <cell r="P18">
            <v>36.6</v>
          </cell>
        </row>
        <row r="19">
          <cell r="P19">
            <v>35.200000000000003</v>
          </cell>
        </row>
        <row r="20">
          <cell r="P20">
            <v>32.4</v>
          </cell>
        </row>
        <row r="21">
          <cell r="P21">
            <v>32</v>
          </cell>
        </row>
        <row r="22">
          <cell r="P22">
            <v>30.4</v>
          </cell>
        </row>
        <row r="23">
          <cell r="P23">
            <v>27.8</v>
          </cell>
        </row>
        <row r="24">
          <cell r="P24">
            <v>26.3</v>
          </cell>
        </row>
        <row r="25">
          <cell r="P25">
            <v>25.4</v>
          </cell>
        </row>
        <row r="26">
          <cell r="P26">
            <v>24.6</v>
          </cell>
        </row>
        <row r="27">
          <cell r="P27">
            <v>24.2</v>
          </cell>
        </row>
      </sheetData>
      <sheetData sheetId="60"/>
      <sheetData sheetId="61">
        <row r="10">
          <cell r="P10">
            <v>21.9</v>
          </cell>
        </row>
        <row r="11">
          <cell r="P11">
            <v>23.3</v>
          </cell>
        </row>
        <row r="12">
          <cell r="P12">
            <v>25.4</v>
          </cell>
        </row>
        <row r="13">
          <cell r="P13">
            <v>27.8</v>
          </cell>
        </row>
        <row r="14">
          <cell r="P14">
            <v>29.3</v>
          </cell>
        </row>
        <row r="15">
          <cell r="P15">
            <v>31.7</v>
          </cell>
        </row>
        <row r="16">
          <cell r="P16">
            <v>33.4</v>
          </cell>
        </row>
        <row r="17">
          <cell r="P17">
            <v>34</v>
          </cell>
        </row>
        <row r="18">
          <cell r="P18">
            <v>33</v>
          </cell>
        </row>
        <row r="19">
          <cell r="P19">
            <v>31.7</v>
          </cell>
        </row>
        <row r="20">
          <cell r="P20">
            <v>30.6</v>
          </cell>
        </row>
        <row r="21">
          <cell r="P21">
            <v>29.2</v>
          </cell>
        </row>
        <row r="22">
          <cell r="P22">
            <v>28.3</v>
          </cell>
        </row>
        <row r="23">
          <cell r="P23">
            <v>27.1</v>
          </cell>
        </row>
        <row r="24">
          <cell r="P24">
            <v>26.3</v>
          </cell>
        </row>
        <row r="25">
          <cell r="P25">
            <v>25.6</v>
          </cell>
        </row>
        <row r="26">
          <cell r="P26">
            <v>25.1</v>
          </cell>
        </row>
        <row r="27">
          <cell r="P27">
            <v>24.8</v>
          </cell>
        </row>
      </sheetData>
      <sheetData sheetId="62"/>
      <sheetData sheetId="63">
        <row r="10">
          <cell r="P10">
            <v>22</v>
          </cell>
        </row>
        <row r="11">
          <cell r="P11">
            <v>22</v>
          </cell>
        </row>
        <row r="12">
          <cell r="P12">
            <v>22.6</v>
          </cell>
        </row>
        <row r="13">
          <cell r="P13">
            <v>23</v>
          </cell>
        </row>
        <row r="14">
          <cell r="P14">
            <v>23.2</v>
          </cell>
        </row>
        <row r="15">
          <cell r="P15">
            <v>24</v>
          </cell>
        </row>
        <row r="16">
          <cell r="P16">
            <v>24.6</v>
          </cell>
        </row>
        <row r="17">
          <cell r="P17">
            <v>25</v>
          </cell>
        </row>
        <row r="18">
          <cell r="P18">
            <v>25</v>
          </cell>
        </row>
        <row r="19">
          <cell r="P19">
            <v>24.6</v>
          </cell>
        </row>
        <row r="20">
          <cell r="P20">
            <v>24.8</v>
          </cell>
        </row>
        <row r="21">
          <cell r="P21">
            <v>24.3</v>
          </cell>
        </row>
        <row r="22">
          <cell r="P22">
            <v>23.6</v>
          </cell>
        </row>
        <row r="23">
          <cell r="P23">
            <v>23</v>
          </cell>
        </row>
        <row r="24">
          <cell r="P24">
            <v>22.5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21.4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P10">
            <v>19.600000000000001</v>
          </cell>
        </row>
        <row r="11">
          <cell r="P11">
            <v>19.8</v>
          </cell>
        </row>
        <row r="12">
          <cell r="P12">
            <v>20.8</v>
          </cell>
        </row>
        <row r="13">
          <cell r="P13">
            <v>21.8</v>
          </cell>
        </row>
        <row r="14">
          <cell r="P14">
            <v>22.8</v>
          </cell>
        </row>
        <row r="15">
          <cell r="P15">
            <v>23.2</v>
          </cell>
        </row>
        <row r="16">
          <cell r="P16">
            <v>23.1</v>
          </cell>
        </row>
        <row r="17">
          <cell r="P17">
            <v>22.8</v>
          </cell>
        </row>
        <row r="18">
          <cell r="P18">
            <v>22.8</v>
          </cell>
        </row>
        <row r="19">
          <cell r="P19">
            <v>22</v>
          </cell>
        </row>
        <row r="20">
          <cell r="P20">
            <v>20.8</v>
          </cell>
        </row>
        <row r="21">
          <cell r="P21">
            <v>20</v>
          </cell>
        </row>
        <row r="22">
          <cell r="P22">
            <v>19.600000000000001</v>
          </cell>
        </row>
        <row r="23">
          <cell r="P23">
            <v>18.8</v>
          </cell>
        </row>
        <row r="24">
          <cell r="P24">
            <v>18.2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17.8</v>
          </cell>
        </row>
      </sheetData>
      <sheetData sheetId="4">
        <row r="1">
          <cell r="C1" t="str">
            <v>NOVEMBRO DE 2022</v>
          </cell>
        </row>
      </sheetData>
      <sheetData sheetId="5">
        <row r="10">
          <cell r="P10">
            <v>16.7</v>
          </cell>
        </row>
        <row r="11">
          <cell r="P11">
            <v>16.8</v>
          </cell>
        </row>
        <row r="12">
          <cell r="P12">
            <v>17</v>
          </cell>
        </row>
        <row r="13">
          <cell r="P13">
            <v>17.399999999999999</v>
          </cell>
        </row>
        <row r="14">
          <cell r="P14">
            <v>17.600000000000001</v>
          </cell>
        </row>
        <row r="15">
          <cell r="P15">
            <v>17.8</v>
          </cell>
        </row>
        <row r="16">
          <cell r="P16">
            <v>18.2</v>
          </cell>
        </row>
        <row r="17">
          <cell r="P17">
            <v>17.899999999999999</v>
          </cell>
        </row>
        <row r="18">
          <cell r="P18">
            <v>17.600000000000001</v>
          </cell>
        </row>
        <row r="19">
          <cell r="P19">
            <v>17.399999999999999</v>
          </cell>
        </row>
        <row r="20">
          <cell r="P20">
            <v>17.100000000000001</v>
          </cell>
        </row>
        <row r="21">
          <cell r="P21">
            <v>16.7</v>
          </cell>
        </row>
        <row r="22">
          <cell r="P22">
            <v>16.2</v>
          </cell>
        </row>
        <row r="23">
          <cell r="P23">
            <v>15.9</v>
          </cell>
        </row>
        <row r="24">
          <cell r="P24">
            <v>15.7</v>
          </cell>
        </row>
        <row r="25">
          <cell r="P25">
            <v>15.7</v>
          </cell>
        </row>
        <row r="26">
          <cell r="P26">
            <v>15.5</v>
          </cell>
        </row>
        <row r="27">
          <cell r="P27">
            <v>15.3</v>
          </cell>
        </row>
      </sheetData>
      <sheetData sheetId="6"/>
      <sheetData sheetId="7">
        <row r="10">
          <cell r="P10">
            <v>14.8</v>
          </cell>
        </row>
        <row r="11">
          <cell r="P11">
            <v>15.3</v>
          </cell>
        </row>
        <row r="12">
          <cell r="P12">
            <v>15.8</v>
          </cell>
        </row>
        <row r="13">
          <cell r="P13">
            <v>16.600000000000001</v>
          </cell>
        </row>
        <row r="14">
          <cell r="P14">
            <v>17.2</v>
          </cell>
        </row>
        <row r="15">
          <cell r="P15">
            <v>19.2</v>
          </cell>
        </row>
        <row r="16">
          <cell r="P16">
            <v>20.2</v>
          </cell>
        </row>
        <row r="17">
          <cell r="P17">
            <v>20.399999999999999</v>
          </cell>
        </row>
        <row r="18">
          <cell r="P18">
            <v>20.3</v>
          </cell>
        </row>
        <row r="19">
          <cell r="P19">
            <v>20.399999999999999</v>
          </cell>
        </row>
        <row r="20">
          <cell r="P20">
            <v>20</v>
          </cell>
        </row>
        <row r="21">
          <cell r="P21">
            <v>19</v>
          </cell>
        </row>
        <row r="22">
          <cell r="P22">
            <v>18</v>
          </cell>
        </row>
        <row r="23">
          <cell r="P23">
            <v>17.399999999999999</v>
          </cell>
        </row>
        <row r="24">
          <cell r="P24">
            <v>16.8</v>
          </cell>
        </row>
        <row r="25">
          <cell r="P25">
            <v>16.2</v>
          </cell>
        </row>
        <row r="26">
          <cell r="P26">
            <v>15.5</v>
          </cell>
        </row>
        <row r="27">
          <cell r="P27">
            <v>15.2</v>
          </cell>
        </row>
      </sheetData>
      <sheetData sheetId="8"/>
      <sheetData sheetId="9">
        <row r="10">
          <cell r="P10">
            <v>13.7</v>
          </cell>
        </row>
        <row r="11">
          <cell r="P11">
            <v>15.7</v>
          </cell>
        </row>
        <row r="12">
          <cell r="P12">
            <v>17.899999999999999</v>
          </cell>
        </row>
        <row r="13">
          <cell r="P13">
            <v>20.7</v>
          </cell>
        </row>
        <row r="14">
          <cell r="P14">
            <v>21.1</v>
          </cell>
        </row>
        <row r="15">
          <cell r="P15">
            <v>21.5</v>
          </cell>
        </row>
        <row r="16">
          <cell r="P16">
            <v>22.5</v>
          </cell>
        </row>
        <row r="17">
          <cell r="P17">
            <v>23.2</v>
          </cell>
        </row>
        <row r="18">
          <cell r="P18">
            <v>22.8</v>
          </cell>
        </row>
        <row r="19">
          <cell r="P19">
            <v>22.6</v>
          </cell>
        </row>
        <row r="20">
          <cell r="P20">
            <v>22</v>
          </cell>
        </row>
        <row r="21">
          <cell r="P21">
            <v>20.399999999999999</v>
          </cell>
        </row>
        <row r="22">
          <cell r="P22">
            <v>19.3</v>
          </cell>
        </row>
        <row r="23">
          <cell r="P23">
            <v>18.399999999999999</v>
          </cell>
        </row>
        <row r="24">
          <cell r="P24">
            <v>17.8</v>
          </cell>
        </row>
        <row r="25">
          <cell r="P25">
            <v>17.5</v>
          </cell>
        </row>
        <row r="26">
          <cell r="P26">
            <v>17.2</v>
          </cell>
        </row>
        <row r="27">
          <cell r="P27">
            <v>16.899999999999999</v>
          </cell>
        </row>
      </sheetData>
      <sheetData sheetId="10"/>
      <sheetData sheetId="11">
        <row r="10">
          <cell r="P10">
            <v>15.6</v>
          </cell>
        </row>
        <row r="11">
          <cell r="P11">
            <v>17</v>
          </cell>
        </row>
        <row r="12">
          <cell r="P12">
            <v>18.7</v>
          </cell>
        </row>
        <row r="13">
          <cell r="P13">
            <v>21</v>
          </cell>
        </row>
        <row r="14">
          <cell r="P14">
            <v>20.6</v>
          </cell>
        </row>
        <row r="15">
          <cell r="P15">
            <v>21.4</v>
          </cell>
        </row>
        <row r="16">
          <cell r="P16">
            <v>22.2</v>
          </cell>
        </row>
        <row r="17">
          <cell r="P17">
            <v>24.4</v>
          </cell>
        </row>
        <row r="18">
          <cell r="P18">
            <v>25.6</v>
          </cell>
        </row>
        <row r="19">
          <cell r="P19">
            <v>25.4</v>
          </cell>
        </row>
        <row r="20">
          <cell r="P20">
            <v>23.2</v>
          </cell>
        </row>
        <row r="21">
          <cell r="P21">
            <v>22</v>
          </cell>
        </row>
        <row r="22">
          <cell r="P22">
            <v>21.2</v>
          </cell>
        </row>
        <row r="23">
          <cell r="P23">
            <v>19.2</v>
          </cell>
        </row>
        <row r="24">
          <cell r="P24">
            <v>18.399999999999999</v>
          </cell>
        </row>
        <row r="25">
          <cell r="P25">
            <v>18</v>
          </cell>
        </row>
        <row r="26">
          <cell r="P26">
            <v>18</v>
          </cell>
        </row>
        <row r="27">
          <cell r="P27">
            <v>17</v>
          </cell>
        </row>
      </sheetData>
      <sheetData sheetId="12"/>
      <sheetData sheetId="13">
        <row r="10">
          <cell r="P10">
            <v>15.8</v>
          </cell>
        </row>
        <row r="11">
          <cell r="P11">
            <v>16.8</v>
          </cell>
        </row>
        <row r="12">
          <cell r="P12">
            <v>18.399999999999999</v>
          </cell>
        </row>
        <row r="13">
          <cell r="P13">
            <v>19.8</v>
          </cell>
        </row>
        <row r="14">
          <cell r="P14">
            <v>22</v>
          </cell>
        </row>
        <row r="15">
          <cell r="P15">
            <v>23.8</v>
          </cell>
        </row>
        <row r="16">
          <cell r="P16">
            <v>24.6</v>
          </cell>
        </row>
        <row r="17">
          <cell r="P17">
            <v>24.1</v>
          </cell>
        </row>
        <row r="18">
          <cell r="P18">
            <v>25</v>
          </cell>
        </row>
        <row r="19">
          <cell r="P19">
            <v>24.8</v>
          </cell>
        </row>
        <row r="20">
          <cell r="P20">
            <v>23.8</v>
          </cell>
        </row>
        <row r="21">
          <cell r="P21">
            <v>22.6</v>
          </cell>
        </row>
        <row r="22">
          <cell r="P22">
            <v>21</v>
          </cell>
        </row>
        <row r="23">
          <cell r="P23">
            <v>20</v>
          </cell>
        </row>
        <row r="24">
          <cell r="P24">
            <v>19.600000000000001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18</v>
          </cell>
        </row>
      </sheetData>
      <sheetData sheetId="14"/>
      <sheetData sheetId="15">
        <row r="10">
          <cell r="P10">
            <v>16.8</v>
          </cell>
        </row>
        <row r="11">
          <cell r="P11">
            <v>17.2</v>
          </cell>
        </row>
        <row r="12">
          <cell r="P12">
            <v>17.7</v>
          </cell>
        </row>
        <row r="13">
          <cell r="P13">
            <v>18.399999999999999</v>
          </cell>
        </row>
        <row r="14">
          <cell r="P14">
            <v>19.5</v>
          </cell>
        </row>
        <row r="15">
          <cell r="P15">
            <v>22.4</v>
          </cell>
        </row>
        <row r="16">
          <cell r="P16">
            <v>23.1</v>
          </cell>
        </row>
        <row r="17">
          <cell r="P17">
            <v>24.8</v>
          </cell>
        </row>
        <row r="18">
          <cell r="P18">
            <v>24.3</v>
          </cell>
        </row>
        <row r="19">
          <cell r="P19">
            <v>24.2</v>
          </cell>
        </row>
        <row r="20">
          <cell r="P20">
            <v>23.6</v>
          </cell>
        </row>
        <row r="21">
          <cell r="P21">
            <v>22</v>
          </cell>
        </row>
        <row r="22">
          <cell r="P22">
            <v>20.8</v>
          </cell>
        </row>
        <row r="23">
          <cell r="P23">
            <v>20</v>
          </cell>
        </row>
        <row r="24">
          <cell r="P24">
            <v>19.399999999999999</v>
          </cell>
        </row>
        <row r="25">
          <cell r="P25">
            <v>18</v>
          </cell>
        </row>
        <row r="26">
          <cell r="P26">
            <v>17.8</v>
          </cell>
        </row>
        <row r="27">
          <cell r="P27">
            <v>17</v>
          </cell>
        </row>
      </sheetData>
      <sheetData sheetId="16"/>
      <sheetData sheetId="17">
        <row r="10">
          <cell r="P10">
            <v>14.9</v>
          </cell>
        </row>
        <row r="11">
          <cell r="P11">
            <v>16.600000000000001</v>
          </cell>
        </row>
        <row r="12">
          <cell r="P12">
            <v>18.600000000000001</v>
          </cell>
        </row>
        <row r="13">
          <cell r="P13">
            <v>23</v>
          </cell>
        </row>
        <row r="14">
          <cell r="P14">
            <v>26.4</v>
          </cell>
        </row>
        <row r="15">
          <cell r="P15">
            <v>29</v>
          </cell>
        </row>
        <row r="16">
          <cell r="P16">
            <v>29.8</v>
          </cell>
        </row>
        <row r="17">
          <cell r="P17">
            <v>31.1</v>
          </cell>
        </row>
        <row r="18">
          <cell r="P18">
            <v>31</v>
          </cell>
        </row>
        <row r="19">
          <cell r="P19">
            <v>30</v>
          </cell>
        </row>
        <row r="20">
          <cell r="P20">
            <v>28.2</v>
          </cell>
        </row>
        <row r="21">
          <cell r="P21">
            <v>26.2</v>
          </cell>
        </row>
        <row r="22">
          <cell r="P22">
            <v>24.3</v>
          </cell>
        </row>
        <row r="23">
          <cell r="P23">
            <v>23.2</v>
          </cell>
        </row>
        <row r="24">
          <cell r="P24">
            <v>22.2</v>
          </cell>
        </row>
        <row r="25">
          <cell r="P25">
            <v>21.5</v>
          </cell>
        </row>
        <row r="26">
          <cell r="P26">
            <v>20.8</v>
          </cell>
        </row>
        <row r="27">
          <cell r="P27">
            <v>20</v>
          </cell>
        </row>
      </sheetData>
      <sheetData sheetId="18"/>
      <sheetData sheetId="19">
        <row r="10">
          <cell r="P10">
            <v>18</v>
          </cell>
        </row>
        <row r="11">
          <cell r="P11">
            <v>18.8</v>
          </cell>
        </row>
        <row r="12">
          <cell r="P12">
            <v>20.399999999999999</v>
          </cell>
        </row>
        <row r="13">
          <cell r="P13">
            <v>23.6</v>
          </cell>
        </row>
        <row r="14">
          <cell r="P14">
            <v>24.8</v>
          </cell>
        </row>
        <row r="15">
          <cell r="P15">
            <v>30</v>
          </cell>
        </row>
        <row r="16">
          <cell r="P16">
            <v>30.2</v>
          </cell>
        </row>
        <row r="17">
          <cell r="P17">
            <v>30</v>
          </cell>
        </row>
        <row r="18">
          <cell r="P18">
            <v>29.2</v>
          </cell>
        </row>
        <row r="19">
          <cell r="P19">
            <v>29.6</v>
          </cell>
        </row>
        <row r="20">
          <cell r="P20">
            <v>28.3</v>
          </cell>
        </row>
        <row r="21">
          <cell r="P21">
            <v>26.4</v>
          </cell>
        </row>
        <row r="22">
          <cell r="P22">
            <v>25</v>
          </cell>
        </row>
        <row r="23">
          <cell r="P23">
            <v>23.8</v>
          </cell>
        </row>
        <row r="24">
          <cell r="P24">
            <v>22.8</v>
          </cell>
        </row>
        <row r="25">
          <cell r="P25">
            <v>21.8</v>
          </cell>
        </row>
        <row r="26">
          <cell r="P26">
            <v>21</v>
          </cell>
        </row>
        <row r="27">
          <cell r="P27">
            <v>20.6</v>
          </cell>
        </row>
      </sheetData>
      <sheetData sheetId="20"/>
      <sheetData sheetId="21">
        <row r="10">
          <cell r="P10">
            <v>19.399999999999999</v>
          </cell>
        </row>
        <row r="11">
          <cell r="P11">
            <v>19.7</v>
          </cell>
        </row>
        <row r="12">
          <cell r="P12">
            <v>20</v>
          </cell>
        </row>
        <row r="13">
          <cell r="P13">
            <v>20.8</v>
          </cell>
        </row>
        <row r="14">
          <cell r="P14">
            <v>23.9</v>
          </cell>
        </row>
        <row r="15">
          <cell r="P15">
            <v>28.3</v>
          </cell>
        </row>
        <row r="16">
          <cell r="P16">
            <v>31.4</v>
          </cell>
        </row>
        <row r="17">
          <cell r="P17">
            <v>32.799999999999997</v>
          </cell>
        </row>
        <row r="18">
          <cell r="P18">
            <v>33</v>
          </cell>
        </row>
        <row r="19">
          <cell r="P19">
            <v>31.4</v>
          </cell>
        </row>
        <row r="20">
          <cell r="P20">
            <v>29.7</v>
          </cell>
        </row>
        <row r="21">
          <cell r="P21">
            <v>27.9</v>
          </cell>
        </row>
        <row r="22">
          <cell r="P22">
            <v>26.5</v>
          </cell>
        </row>
        <row r="23">
          <cell r="P23">
            <v>25.5</v>
          </cell>
        </row>
        <row r="24">
          <cell r="P24">
            <v>24.6</v>
          </cell>
        </row>
        <row r="25">
          <cell r="P25">
            <v>23.8</v>
          </cell>
        </row>
        <row r="26">
          <cell r="P26">
            <v>23</v>
          </cell>
        </row>
        <row r="27">
          <cell r="P27">
            <v>22.3</v>
          </cell>
        </row>
      </sheetData>
      <sheetData sheetId="22"/>
      <sheetData sheetId="23">
        <row r="10">
          <cell r="P10">
            <v>20</v>
          </cell>
        </row>
        <row r="11">
          <cell r="P11">
            <v>21.8</v>
          </cell>
        </row>
        <row r="12">
          <cell r="P12">
            <v>24</v>
          </cell>
        </row>
        <row r="13">
          <cell r="P13">
            <v>26.2</v>
          </cell>
        </row>
        <row r="14">
          <cell r="P14">
            <v>28.6</v>
          </cell>
        </row>
        <row r="15">
          <cell r="P15">
            <v>30.4</v>
          </cell>
        </row>
        <row r="16">
          <cell r="P16">
            <v>31</v>
          </cell>
        </row>
        <row r="17">
          <cell r="P17">
            <v>31.8</v>
          </cell>
        </row>
        <row r="18">
          <cell r="P18">
            <v>29</v>
          </cell>
        </row>
        <row r="19">
          <cell r="P19">
            <v>27.4</v>
          </cell>
        </row>
        <row r="20">
          <cell r="P20">
            <v>26</v>
          </cell>
        </row>
        <row r="21">
          <cell r="P21">
            <v>24.3</v>
          </cell>
        </row>
        <row r="22">
          <cell r="P22">
            <v>23.5</v>
          </cell>
        </row>
        <row r="23">
          <cell r="P23">
            <v>22.8</v>
          </cell>
        </row>
        <row r="24">
          <cell r="P24">
            <v>22.4</v>
          </cell>
        </row>
        <row r="25">
          <cell r="P25">
            <v>21.9</v>
          </cell>
        </row>
        <row r="26">
          <cell r="P26">
            <v>21.7</v>
          </cell>
        </row>
        <row r="27">
          <cell r="P27">
            <v>21.5</v>
          </cell>
        </row>
      </sheetData>
      <sheetData sheetId="24"/>
      <sheetData sheetId="25">
        <row r="10">
          <cell r="P10">
            <v>20.3</v>
          </cell>
        </row>
        <row r="11">
          <cell r="P11">
            <v>20.9</v>
          </cell>
        </row>
        <row r="12">
          <cell r="P12">
            <v>22</v>
          </cell>
        </row>
        <row r="13">
          <cell r="P13">
            <v>23.8</v>
          </cell>
        </row>
        <row r="14">
          <cell r="P14">
            <v>25.3</v>
          </cell>
        </row>
        <row r="15">
          <cell r="P15">
            <v>25.5</v>
          </cell>
        </row>
        <row r="16">
          <cell r="P16">
            <v>26.4</v>
          </cell>
        </row>
        <row r="17">
          <cell r="P17">
            <v>26.3</v>
          </cell>
        </row>
        <row r="18">
          <cell r="P18">
            <v>27.6</v>
          </cell>
        </row>
        <row r="19">
          <cell r="P19">
            <v>27.1</v>
          </cell>
        </row>
        <row r="20">
          <cell r="P20">
            <v>26</v>
          </cell>
        </row>
        <row r="21">
          <cell r="P21">
            <v>24.7</v>
          </cell>
        </row>
        <row r="22">
          <cell r="P22">
            <v>23.7</v>
          </cell>
        </row>
        <row r="23">
          <cell r="P23">
            <v>23</v>
          </cell>
        </row>
        <row r="24">
          <cell r="P24">
            <v>22.4</v>
          </cell>
        </row>
        <row r="25">
          <cell r="P25">
            <v>21.9</v>
          </cell>
        </row>
        <row r="26">
          <cell r="P26">
            <v>21.6</v>
          </cell>
        </row>
        <row r="27">
          <cell r="P27">
            <v>21.4</v>
          </cell>
        </row>
      </sheetData>
      <sheetData sheetId="26"/>
      <sheetData sheetId="27">
        <row r="10">
          <cell r="P10">
            <v>20.6</v>
          </cell>
        </row>
        <row r="11">
          <cell r="P11">
            <v>21.8</v>
          </cell>
        </row>
        <row r="12">
          <cell r="P12">
            <v>24.5</v>
          </cell>
        </row>
        <row r="13">
          <cell r="P13">
            <v>26.7</v>
          </cell>
        </row>
        <row r="14">
          <cell r="P14">
            <v>30.2</v>
          </cell>
        </row>
        <row r="15">
          <cell r="P15">
            <v>33.4</v>
          </cell>
        </row>
        <row r="16">
          <cell r="P16">
            <v>35</v>
          </cell>
        </row>
        <row r="17">
          <cell r="P17">
            <v>36.299999999999997</v>
          </cell>
        </row>
        <row r="18">
          <cell r="P18">
            <v>36.200000000000003</v>
          </cell>
        </row>
        <row r="19">
          <cell r="P19">
            <v>34.200000000000003</v>
          </cell>
        </row>
        <row r="20">
          <cell r="P20">
            <v>31.8</v>
          </cell>
        </row>
        <row r="21">
          <cell r="P21">
            <v>30</v>
          </cell>
        </row>
        <row r="22">
          <cell r="P22">
            <v>28.4</v>
          </cell>
        </row>
        <row r="23">
          <cell r="P23">
            <v>27.4</v>
          </cell>
        </row>
        <row r="24">
          <cell r="P24">
            <v>26.6</v>
          </cell>
        </row>
        <row r="25">
          <cell r="P25">
            <v>25.8</v>
          </cell>
        </row>
        <row r="26">
          <cell r="P26">
            <v>25.1</v>
          </cell>
        </row>
        <row r="27">
          <cell r="P27">
            <v>24.5</v>
          </cell>
        </row>
      </sheetData>
      <sheetData sheetId="28"/>
      <sheetData sheetId="29">
        <row r="10">
          <cell r="P10">
            <v>22.4</v>
          </cell>
        </row>
        <row r="11">
          <cell r="P11">
            <v>23</v>
          </cell>
        </row>
        <row r="12">
          <cell r="P12">
            <v>24.1</v>
          </cell>
        </row>
        <row r="13">
          <cell r="P13">
            <v>24.4</v>
          </cell>
        </row>
        <row r="14">
          <cell r="P14">
            <v>23.8</v>
          </cell>
        </row>
        <row r="15">
          <cell r="P15">
            <v>24.6</v>
          </cell>
        </row>
        <row r="16">
          <cell r="P16">
            <v>27.8</v>
          </cell>
        </row>
        <row r="17">
          <cell r="P17">
            <v>28.4</v>
          </cell>
        </row>
        <row r="18">
          <cell r="P18">
            <v>29</v>
          </cell>
        </row>
        <row r="19">
          <cell r="P19">
            <v>28.9</v>
          </cell>
        </row>
        <row r="20">
          <cell r="P20">
            <v>28.2</v>
          </cell>
        </row>
        <row r="21">
          <cell r="P21">
            <v>26.5</v>
          </cell>
        </row>
        <row r="22">
          <cell r="P22">
            <v>25.4</v>
          </cell>
        </row>
        <row r="23">
          <cell r="P23">
            <v>24.2</v>
          </cell>
        </row>
        <row r="24">
          <cell r="P24">
            <v>23.7</v>
          </cell>
        </row>
        <row r="25">
          <cell r="P25">
            <v>23.2</v>
          </cell>
        </row>
        <row r="26">
          <cell r="P26">
            <v>22.5</v>
          </cell>
        </row>
        <row r="27">
          <cell r="P27">
            <v>22.3</v>
          </cell>
        </row>
      </sheetData>
      <sheetData sheetId="30"/>
      <sheetData sheetId="31">
        <row r="10">
          <cell r="P10">
            <v>21.2</v>
          </cell>
        </row>
        <row r="11">
          <cell r="P11">
            <v>23</v>
          </cell>
        </row>
        <row r="12">
          <cell r="P12">
            <v>24.8</v>
          </cell>
        </row>
        <row r="13">
          <cell r="P13">
            <v>26.7</v>
          </cell>
        </row>
        <row r="14">
          <cell r="P14">
            <v>29.2</v>
          </cell>
        </row>
        <row r="15">
          <cell r="P15">
            <v>31.2</v>
          </cell>
        </row>
        <row r="16">
          <cell r="P16">
            <v>30.4</v>
          </cell>
        </row>
        <row r="17">
          <cell r="P17">
            <v>33</v>
          </cell>
        </row>
        <row r="18">
          <cell r="P18">
            <v>33.4</v>
          </cell>
        </row>
        <row r="19">
          <cell r="P19">
            <v>32.6</v>
          </cell>
        </row>
        <row r="20">
          <cell r="P20">
            <v>30</v>
          </cell>
        </row>
        <row r="21">
          <cell r="P21">
            <v>28.6</v>
          </cell>
        </row>
        <row r="22">
          <cell r="P22">
            <v>26.6</v>
          </cell>
        </row>
        <row r="23">
          <cell r="P23">
            <v>25.6</v>
          </cell>
        </row>
        <row r="24">
          <cell r="P24">
            <v>24.4</v>
          </cell>
        </row>
        <row r="25">
          <cell r="P25">
            <v>23.8</v>
          </cell>
        </row>
        <row r="26">
          <cell r="P26">
            <v>22.8</v>
          </cell>
        </row>
        <row r="27">
          <cell r="P27">
            <v>22</v>
          </cell>
        </row>
      </sheetData>
      <sheetData sheetId="32"/>
      <sheetData sheetId="33">
        <row r="10">
          <cell r="P10">
            <v>19.8</v>
          </cell>
        </row>
        <row r="11">
          <cell r="P11">
            <v>20.3</v>
          </cell>
        </row>
        <row r="12">
          <cell r="P12">
            <v>22</v>
          </cell>
        </row>
        <row r="13">
          <cell r="P13">
            <v>25.8</v>
          </cell>
        </row>
        <row r="14">
          <cell r="P14">
            <v>29</v>
          </cell>
        </row>
        <row r="15">
          <cell r="P15">
            <v>30.7</v>
          </cell>
        </row>
        <row r="16">
          <cell r="P16">
            <v>30.8</v>
          </cell>
        </row>
        <row r="17">
          <cell r="P17">
            <v>30.4</v>
          </cell>
        </row>
        <row r="18">
          <cell r="P18">
            <v>30.2</v>
          </cell>
        </row>
        <row r="19">
          <cell r="P19">
            <v>29.7</v>
          </cell>
        </row>
        <row r="20">
          <cell r="P20">
            <v>28.2</v>
          </cell>
        </row>
        <row r="21">
          <cell r="P21">
            <v>26.7</v>
          </cell>
        </row>
        <row r="22">
          <cell r="P22">
            <v>25.4</v>
          </cell>
        </row>
        <row r="23">
          <cell r="P23">
            <v>24.2</v>
          </cell>
        </row>
        <row r="24">
          <cell r="P24">
            <v>23.2</v>
          </cell>
        </row>
        <row r="25">
          <cell r="P25">
            <v>22.3</v>
          </cell>
        </row>
        <row r="26">
          <cell r="P26">
            <v>21.6</v>
          </cell>
        </row>
        <row r="27">
          <cell r="P27">
            <v>20.8</v>
          </cell>
        </row>
      </sheetData>
      <sheetData sheetId="34"/>
      <sheetData sheetId="35">
        <row r="10">
          <cell r="P10">
            <v>17.7</v>
          </cell>
        </row>
        <row r="11">
          <cell r="P11">
            <v>19.5</v>
          </cell>
        </row>
        <row r="12">
          <cell r="P12">
            <v>23</v>
          </cell>
        </row>
        <row r="13">
          <cell r="P13">
            <v>26.3</v>
          </cell>
        </row>
        <row r="14">
          <cell r="P14">
            <v>29.4</v>
          </cell>
        </row>
        <row r="15">
          <cell r="P15">
            <v>32.299999999999997</v>
          </cell>
        </row>
        <row r="16">
          <cell r="P16">
            <v>34.200000000000003</v>
          </cell>
        </row>
        <row r="17">
          <cell r="P17">
            <v>34.799999999999997</v>
          </cell>
        </row>
        <row r="18">
          <cell r="P18">
            <v>34.299999999999997</v>
          </cell>
        </row>
        <row r="19">
          <cell r="P19">
            <v>32.700000000000003</v>
          </cell>
        </row>
        <row r="20">
          <cell r="P20">
            <v>31.1</v>
          </cell>
        </row>
        <row r="21">
          <cell r="P21">
            <v>29.4</v>
          </cell>
        </row>
        <row r="22">
          <cell r="P22">
            <v>27.7</v>
          </cell>
        </row>
        <row r="23">
          <cell r="P23">
            <v>26.5</v>
          </cell>
        </row>
        <row r="24">
          <cell r="P24">
            <v>25.5</v>
          </cell>
        </row>
        <row r="25">
          <cell r="P25">
            <v>24.3</v>
          </cell>
        </row>
        <row r="26">
          <cell r="P26">
            <v>23.6</v>
          </cell>
        </row>
        <row r="27">
          <cell r="P27">
            <v>22.8</v>
          </cell>
        </row>
      </sheetData>
      <sheetData sheetId="36"/>
      <sheetData sheetId="37">
        <row r="10">
          <cell r="P10">
            <v>19.600000000000001</v>
          </cell>
        </row>
        <row r="11">
          <cell r="P11">
            <v>21.6</v>
          </cell>
        </row>
        <row r="12">
          <cell r="P12">
            <v>24</v>
          </cell>
        </row>
        <row r="13">
          <cell r="P13">
            <v>26.6</v>
          </cell>
        </row>
        <row r="14">
          <cell r="P14">
            <v>30.2</v>
          </cell>
        </row>
        <row r="15">
          <cell r="P15">
            <v>32.4</v>
          </cell>
        </row>
        <row r="16">
          <cell r="P16">
            <v>34.6</v>
          </cell>
        </row>
        <row r="17">
          <cell r="P17">
            <v>35.4</v>
          </cell>
        </row>
        <row r="18">
          <cell r="P18">
            <v>35.200000000000003</v>
          </cell>
        </row>
        <row r="19">
          <cell r="P19">
            <v>33.9</v>
          </cell>
        </row>
        <row r="20">
          <cell r="P20">
            <v>31.5</v>
          </cell>
        </row>
        <row r="21">
          <cell r="P21">
            <v>29.7</v>
          </cell>
        </row>
        <row r="22">
          <cell r="P22">
            <v>27.9</v>
          </cell>
        </row>
        <row r="23">
          <cell r="P23">
            <v>26.3</v>
          </cell>
        </row>
        <row r="24">
          <cell r="P24">
            <v>25.4</v>
          </cell>
        </row>
        <row r="25">
          <cell r="P25">
            <v>24.5</v>
          </cell>
        </row>
        <row r="26">
          <cell r="P26">
            <v>23.6</v>
          </cell>
        </row>
        <row r="27">
          <cell r="P27">
            <v>23.1</v>
          </cell>
        </row>
      </sheetData>
      <sheetData sheetId="38"/>
      <sheetData sheetId="39">
        <row r="10">
          <cell r="P10">
            <v>21.1</v>
          </cell>
        </row>
        <row r="11">
          <cell r="P11">
            <v>22.6</v>
          </cell>
        </row>
        <row r="12">
          <cell r="P12">
            <v>25.2</v>
          </cell>
        </row>
        <row r="13">
          <cell r="P13">
            <v>28.2</v>
          </cell>
        </row>
        <row r="14">
          <cell r="P14">
            <v>31.5</v>
          </cell>
        </row>
        <row r="15">
          <cell r="P15">
            <v>34.200000000000003</v>
          </cell>
        </row>
        <row r="16">
          <cell r="P16">
            <v>35.700000000000003</v>
          </cell>
        </row>
        <row r="17">
          <cell r="P17">
            <v>36.4</v>
          </cell>
        </row>
        <row r="18">
          <cell r="P18">
            <v>36.200000000000003</v>
          </cell>
        </row>
        <row r="19">
          <cell r="P19">
            <v>35.5</v>
          </cell>
        </row>
        <row r="20">
          <cell r="P20">
            <v>31.7</v>
          </cell>
        </row>
        <row r="21">
          <cell r="P21">
            <v>29.7</v>
          </cell>
        </row>
        <row r="22">
          <cell r="P22">
            <v>29</v>
          </cell>
        </row>
        <row r="23">
          <cell r="P23">
            <v>27.6</v>
          </cell>
        </row>
        <row r="24">
          <cell r="P24">
            <v>26.8</v>
          </cell>
        </row>
        <row r="25">
          <cell r="P25">
            <v>26.1</v>
          </cell>
        </row>
        <row r="26">
          <cell r="P26">
            <v>25.4</v>
          </cell>
        </row>
        <row r="27">
          <cell r="P27">
            <v>24.8</v>
          </cell>
        </row>
      </sheetData>
      <sheetData sheetId="40"/>
      <sheetData sheetId="41">
        <row r="10">
          <cell r="P10">
            <v>22.8</v>
          </cell>
        </row>
        <row r="11">
          <cell r="P11">
            <v>24.3</v>
          </cell>
        </row>
        <row r="12">
          <cell r="P12">
            <v>27</v>
          </cell>
        </row>
        <row r="13">
          <cell r="P13">
            <v>30</v>
          </cell>
        </row>
        <row r="14">
          <cell r="P14">
            <v>32.200000000000003</v>
          </cell>
        </row>
        <row r="15">
          <cell r="P15">
            <v>33.799999999999997</v>
          </cell>
        </row>
        <row r="16">
          <cell r="P16">
            <v>34.5</v>
          </cell>
        </row>
        <row r="17">
          <cell r="P17">
            <v>33.200000000000003</v>
          </cell>
        </row>
        <row r="18">
          <cell r="P18">
            <v>32.799999999999997</v>
          </cell>
        </row>
        <row r="19">
          <cell r="P19">
            <v>32.6</v>
          </cell>
        </row>
        <row r="20">
          <cell r="P20">
            <v>32</v>
          </cell>
        </row>
        <row r="21">
          <cell r="P21">
            <v>30</v>
          </cell>
        </row>
        <row r="22">
          <cell r="P22">
            <v>27</v>
          </cell>
        </row>
        <row r="23">
          <cell r="P23">
            <v>25</v>
          </cell>
        </row>
        <row r="24">
          <cell r="P24">
            <v>23.4</v>
          </cell>
        </row>
        <row r="25">
          <cell r="P25">
            <v>24.8</v>
          </cell>
        </row>
        <row r="26">
          <cell r="P26">
            <v>24.2</v>
          </cell>
        </row>
        <row r="27">
          <cell r="P27">
            <v>23.6</v>
          </cell>
        </row>
      </sheetData>
      <sheetData sheetId="42"/>
      <sheetData sheetId="43">
        <row r="10">
          <cell r="P10">
            <v>21</v>
          </cell>
        </row>
        <row r="11">
          <cell r="P11">
            <v>22.4</v>
          </cell>
        </row>
        <row r="12">
          <cell r="P12">
            <v>25.1</v>
          </cell>
        </row>
        <row r="13">
          <cell r="P13">
            <v>28.3</v>
          </cell>
        </row>
        <row r="14">
          <cell r="P14">
            <v>31.2</v>
          </cell>
        </row>
        <row r="15">
          <cell r="P15">
            <v>34.1</v>
          </cell>
        </row>
        <row r="16">
          <cell r="P16">
            <v>35.700000000000003</v>
          </cell>
        </row>
        <row r="17">
          <cell r="P17">
            <v>36.1</v>
          </cell>
        </row>
        <row r="18">
          <cell r="P18">
            <v>34.700000000000003</v>
          </cell>
        </row>
        <row r="19">
          <cell r="P19">
            <v>34.4</v>
          </cell>
        </row>
        <row r="20">
          <cell r="P20">
            <v>32.799999999999997</v>
          </cell>
        </row>
        <row r="21">
          <cell r="P21">
            <v>31.3</v>
          </cell>
        </row>
        <row r="22">
          <cell r="P22">
            <v>29.6</v>
          </cell>
        </row>
        <row r="23">
          <cell r="P23">
            <v>28.3</v>
          </cell>
        </row>
        <row r="24">
          <cell r="P24">
            <v>27.2</v>
          </cell>
        </row>
        <row r="25">
          <cell r="P25">
            <v>26.3</v>
          </cell>
        </row>
        <row r="26">
          <cell r="P26">
            <v>25.6</v>
          </cell>
        </row>
        <row r="27">
          <cell r="P27">
            <v>24.8</v>
          </cell>
        </row>
      </sheetData>
      <sheetData sheetId="44"/>
      <sheetData sheetId="45">
        <row r="10">
          <cell r="P10">
            <v>22.2</v>
          </cell>
        </row>
        <row r="11">
          <cell r="P11">
            <v>23</v>
          </cell>
        </row>
        <row r="12">
          <cell r="P12">
            <v>24.6</v>
          </cell>
        </row>
        <row r="13">
          <cell r="P13">
            <v>26</v>
          </cell>
        </row>
        <row r="14">
          <cell r="P14">
            <v>28</v>
          </cell>
        </row>
        <row r="15">
          <cell r="P15">
            <v>29.6</v>
          </cell>
        </row>
        <row r="16">
          <cell r="P16">
            <v>32</v>
          </cell>
        </row>
        <row r="17">
          <cell r="P17">
            <v>33.6</v>
          </cell>
        </row>
        <row r="18">
          <cell r="P18">
            <v>33</v>
          </cell>
        </row>
        <row r="19">
          <cell r="P19">
            <v>31.6</v>
          </cell>
        </row>
        <row r="20">
          <cell r="P20">
            <v>29.7</v>
          </cell>
        </row>
        <row r="21">
          <cell r="P21">
            <v>28.1</v>
          </cell>
        </row>
        <row r="22">
          <cell r="P22">
            <v>26.8</v>
          </cell>
        </row>
        <row r="23">
          <cell r="P23">
            <v>25.9</v>
          </cell>
        </row>
        <row r="24">
          <cell r="P24">
            <v>25.1</v>
          </cell>
        </row>
        <row r="25">
          <cell r="P25">
            <v>24.4</v>
          </cell>
        </row>
        <row r="26">
          <cell r="P26">
            <v>23.9</v>
          </cell>
        </row>
        <row r="27">
          <cell r="P27">
            <v>23.6</v>
          </cell>
        </row>
      </sheetData>
      <sheetData sheetId="46"/>
      <sheetData sheetId="47">
        <row r="10">
          <cell r="P10">
            <v>22.1</v>
          </cell>
        </row>
        <row r="11">
          <cell r="P11">
            <v>22.5</v>
          </cell>
        </row>
        <row r="12">
          <cell r="P12">
            <v>23.6</v>
          </cell>
        </row>
        <row r="13">
          <cell r="P13">
            <v>25.6</v>
          </cell>
        </row>
        <row r="14">
          <cell r="P14">
            <v>28.1</v>
          </cell>
        </row>
        <row r="15">
          <cell r="P15">
            <v>29.4</v>
          </cell>
        </row>
        <row r="16">
          <cell r="P16">
            <v>31.4</v>
          </cell>
        </row>
        <row r="17">
          <cell r="P17">
            <v>31.7</v>
          </cell>
        </row>
        <row r="18">
          <cell r="P18">
            <v>31.8</v>
          </cell>
        </row>
        <row r="19">
          <cell r="P19">
            <v>30.3</v>
          </cell>
        </row>
        <row r="20">
          <cell r="P20">
            <v>28.5</v>
          </cell>
        </row>
        <row r="21">
          <cell r="P21">
            <v>27.5</v>
          </cell>
        </row>
        <row r="22">
          <cell r="P22">
            <v>25.1</v>
          </cell>
        </row>
        <row r="23">
          <cell r="P23">
            <v>24.2</v>
          </cell>
        </row>
        <row r="24">
          <cell r="P24">
            <v>23.2</v>
          </cell>
        </row>
        <row r="25">
          <cell r="P25">
            <v>22.5</v>
          </cell>
        </row>
        <row r="26">
          <cell r="P26">
            <v>22.1</v>
          </cell>
        </row>
        <row r="27">
          <cell r="P27">
            <v>21.6</v>
          </cell>
        </row>
      </sheetData>
      <sheetData sheetId="48"/>
      <sheetData sheetId="49">
        <row r="10">
          <cell r="P10">
            <v>19.600000000000001</v>
          </cell>
        </row>
        <row r="11">
          <cell r="P11">
            <v>21.7</v>
          </cell>
        </row>
        <row r="12">
          <cell r="P12">
            <v>23.6</v>
          </cell>
        </row>
        <row r="13">
          <cell r="P13">
            <v>25.4</v>
          </cell>
        </row>
        <row r="14">
          <cell r="P14">
            <v>26.8</v>
          </cell>
        </row>
        <row r="15">
          <cell r="P15">
            <v>27.4</v>
          </cell>
        </row>
        <row r="16">
          <cell r="P16">
            <v>28.1</v>
          </cell>
        </row>
        <row r="17">
          <cell r="P17">
            <v>29.4</v>
          </cell>
        </row>
        <row r="18">
          <cell r="P18">
            <v>29.8</v>
          </cell>
        </row>
        <row r="19">
          <cell r="P19">
            <v>28.6</v>
          </cell>
        </row>
        <row r="20">
          <cell r="P20">
            <v>27.1</v>
          </cell>
        </row>
        <row r="21">
          <cell r="P21">
            <v>25.6</v>
          </cell>
        </row>
        <row r="22">
          <cell r="P22">
            <v>24.6</v>
          </cell>
        </row>
        <row r="23">
          <cell r="P23">
            <v>23.6</v>
          </cell>
        </row>
        <row r="24">
          <cell r="P24">
            <v>23.2</v>
          </cell>
        </row>
        <row r="25">
          <cell r="P25">
            <v>22.7</v>
          </cell>
        </row>
        <row r="26">
          <cell r="P26">
            <v>21.9</v>
          </cell>
        </row>
        <row r="27">
          <cell r="P27">
            <v>21.2</v>
          </cell>
        </row>
      </sheetData>
      <sheetData sheetId="50"/>
      <sheetData sheetId="51">
        <row r="10">
          <cell r="P10">
            <v>18.8</v>
          </cell>
        </row>
        <row r="11">
          <cell r="P11">
            <v>19.399999999999999</v>
          </cell>
        </row>
        <row r="12">
          <cell r="P12">
            <v>20</v>
          </cell>
        </row>
        <row r="13">
          <cell r="P13">
            <v>22.8</v>
          </cell>
        </row>
        <row r="14">
          <cell r="P14">
            <v>22.6</v>
          </cell>
        </row>
        <row r="15">
          <cell r="P15">
            <v>23.8</v>
          </cell>
        </row>
        <row r="16">
          <cell r="P16">
            <v>23.8</v>
          </cell>
        </row>
        <row r="17">
          <cell r="P17">
            <v>23.4</v>
          </cell>
        </row>
        <row r="18">
          <cell r="P18">
            <v>23.7</v>
          </cell>
        </row>
        <row r="19">
          <cell r="P19">
            <v>22.9</v>
          </cell>
        </row>
        <row r="20">
          <cell r="P20">
            <v>22.2</v>
          </cell>
        </row>
        <row r="21">
          <cell r="P21">
            <v>21.4</v>
          </cell>
        </row>
        <row r="22">
          <cell r="P22">
            <v>20.7</v>
          </cell>
        </row>
        <row r="23">
          <cell r="P23">
            <v>20.3</v>
          </cell>
        </row>
        <row r="24">
          <cell r="P24">
            <v>19.7</v>
          </cell>
        </row>
        <row r="25">
          <cell r="P25">
            <v>19.2</v>
          </cell>
        </row>
        <row r="26">
          <cell r="P26">
            <v>18.8</v>
          </cell>
        </row>
        <row r="27">
          <cell r="P27">
            <v>18.600000000000001</v>
          </cell>
        </row>
      </sheetData>
      <sheetData sheetId="52"/>
      <sheetData sheetId="53">
        <row r="10">
          <cell r="P10">
            <v>18.100000000000001</v>
          </cell>
        </row>
        <row r="11">
          <cell r="P11">
            <v>19.2</v>
          </cell>
        </row>
        <row r="12">
          <cell r="P12">
            <v>21.4</v>
          </cell>
        </row>
        <row r="13">
          <cell r="P13">
            <v>22</v>
          </cell>
        </row>
        <row r="14">
          <cell r="P14">
            <v>23.6</v>
          </cell>
        </row>
        <row r="15">
          <cell r="P15">
            <v>25.5</v>
          </cell>
        </row>
        <row r="16">
          <cell r="P16">
            <v>27</v>
          </cell>
        </row>
        <row r="17">
          <cell r="P17">
            <v>28.5</v>
          </cell>
        </row>
        <row r="18">
          <cell r="P18">
            <v>28</v>
          </cell>
        </row>
        <row r="19">
          <cell r="P19">
            <v>27.5</v>
          </cell>
        </row>
        <row r="20">
          <cell r="P20">
            <v>26.5</v>
          </cell>
        </row>
        <row r="21">
          <cell r="P21">
            <v>25.2</v>
          </cell>
        </row>
        <row r="22">
          <cell r="P22">
            <v>23.8</v>
          </cell>
        </row>
        <row r="23">
          <cell r="P23">
            <v>22.7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20.5</v>
          </cell>
        </row>
        <row r="27">
          <cell r="P27">
            <v>20</v>
          </cell>
        </row>
      </sheetData>
      <sheetData sheetId="54"/>
      <sheetData sheetId="55">
        <row r="10">
          <cell r="P10">
            <v>19</v>
          </cell>
        </row>
        <row r="11">
          <cell r="P11">
            <v>20.7</v>
          </cell>
        </row>
        <row r="12">
          <cell r="P12">
            <v>23</v>
          </cell>
        </row>
        <row r="13">
          <cell r="P13">
            <v>25.9</v>
          </cell>
        </row>
        <row r="14">
          <cell r="P14">
            <v>29.5</v>
          </cell>
        </row>
        <row r="15">
          <cell r="P15">
            <v>31.1</v>
          </cell>
        </row>
        <row r="16">
          <cell r="P16">
            <v>29.8</v>
          </cell>
        </row>
        <row r="17">
          <cell r="P17">
            <v>28.4</v>
          </cell>
        </row>
        <row r="18">
          <cell r="P18">
            <v>28.4</v>
          </cell>
        </row>
        <row r="19">
          <cell r="P19">
            <v>26.9</v>
          </cell>
        </row>
        <row r="20">
          <cell r="P20">
            <v>25.6</v>
          </cell>
        </row>
        <row r="21">
          <cell r="P21">
            <v>24.6</v>
          </cell>
        </row>
        <row r="22">
          <cell r="P22">
            <v>23.8</v>
          </cell>
        </row>
        <row r="23">
          <cell r="P23">
            <v>23.1</v>
          </cell>
        </row>
        <row r="24">
          <cell r="P24">
            <v>22.6</v>
          </cell>
        </row>
        <row r="25">
          <cell r="P25">
            <v>22.2</v>
          </cell>
        </row>
        <row r="26">
          <cell r="P26">
            <v>22</v>
          </cell>
        </row>
        <row r="27">
          <cell r="P27">
            <v>21.6</v>
          </cell>
        </row>
      </sheetData>
      <sheetData sheetId="56"/>
      <sheetData sheetId="57">
        <row r="10">
          <cell r="P10">
            <v>20.8</v>
          </cell>
        </row>
        <row r="11">
          <cell r="P11">
            <v>21.6</v>
          </cell>
        </row>
        <row r="12">
          <cell r="P12">
            <v>22.4</v>
          </cell>
        </row>
        <row r="13">
          <cell r="P13">
            <v>24</v>
          </cell>
        </row>
        <row r="14">
          <cell r="P14">
            <v>26.8</v>
          </cell>
        </row>
        <row r="15">
          <cell r="P15">
            <v>28.6</v>
          </cell>
        </row>
        <row r="16">
          <cell r="P16">
            <v>29.8</v>
          </cell>
        </row>
        <row r="17">
          <cell r="P17">
            <v>28.1</v>
          </cell>
        </row>
        <row r="18">
          <cell r="P18">
            <v>24.4</v>
          </cell>
        </row>
        <row r="19">
          <cell r="P19">
            <v>24.4</v>
          </cell>
        </row>
        <row r="20">
          <cell r="P20">
            <v>22.6</v>
          </cell>
        </row>
        <row r="21">
          <cell r="P21">
            <v>22</v>
          </cell>
        </row>
        <row r="22">
          <cell r="P22">
            <v>22</v>
          </cell>
        </row>
        <row r="23">
          <cell r="P23">
            <v>21.2</v>
          </cell>
        </row>
        <row r="24">
          <cell r="P24">
            <v>20.6</v>
          </cell>
        </row>
        <row r="25">
          <cell r="P25">
            <v>20</v>
          </cell>
        </row>
        <row r="26">
          <cell r="P26">
            <v>20.2</v>
          </cell>
        </row>
        <row r="27">
          <cell r="P27">
            <v>20</v>
          </cell>
        </row>
      </sheetData>
      <sheetData sheetId="58"/>
      <sheetData sheetId="59">
        <row r="10">
          <cell r="P10">
            <v>20.2</v>
          </cell>
        </row>
        <row r="11">
          <cell r="P11">
            <v>21.1</v>
          </cell>
        </row>
        <row r="12">
          <cell r="P12">
            <v>22.2</v>
          </cell>
        </row>
        <row r="13">
          <cell r="P13">
            <v>25.2</v>
          </cell>
        </row>
        <row r="14">
          <cell r="P14">
            <v>26.4</v>
          </cell>
        </row>
        <row r="15">
          <cell r="P15">
            <v>26.6</v>
          </cell>
        </row>
        <row r="16">
          <cell r="P16">
            <v>24.9</v>
          </cell>
        </row>
        <row r="17">
          <cell r="P17">
            <v>24.5</v>
          </cell>
        </row>
        <row r="18">
          <cell r="P18">
            <v>23.6</v>
          </cell>
        </row>
        <row r="19">
          <cell r="P19">
            <v>23.4</v>
          </cell>
        </row>
        <row r="20">
          <cell r="P20">
            <v>22.4</v>
          </cell>
        </row>
        <row r="21">
          <cell r="P21">
            <v>22.2</v>
          </cell>
        </row>
        <row r="22">
          <cell r="P22">
            <v>21.6</v>
          </cell>
        </row>
        <row r="23">
          <cell r="P23">
            <v>21</v>
          </cell>
        </row>
        <row r="24">
          <cell r="P24">
            <v>20.8</v>
          </cell>
        </row>
        <row r="25">
          <cell r="P25">
            <v>20.6</v>
          </cell>
        </row>
        <row r="26">
          <cell r="P26">
            <v>20.399999999999999</v>
          </cell>
        </row>
        <row r="27">
          <cell r="P27">
            <v>20</v>
          </cell>
        </row>
      </sheetData>
      <sheetData sheetId="60"/>
      <sheetData sheetId="61">
        <row r="10">
          <cell r="P10">
            <v>19.7</v>
          </cell>
        </row>
        <row r="11">
          <cell r="P11">
            <v>20.3</v>
          </cell>
        </row>
        <row r="12">
          <cell r="P12">
            <v>21.6</v>
          </cell>
        </row>
        <row r="13">
          <cell r="P13">
            <v>22.6</v>
          </cell>
        </row>
        <row r="14">
          <cell r="P14">
            <v>23.1</v>
          </cell>
        </row>
        <row r="15">
          <cell r="P15">
            <v>23.4</v>
          </cell>
        </row>
        <row r="16">
          <cell r="P16">
            <v>25.3</v>
          </cell>
        </row>
        <row r="17">
          <cell r="P17">
            <v>25.8</v>
          </cell>
        </row>
        <row r="18">
          <cell r="P18">
            <v>27</v>
          </cell>
        </row>
        <row r="19">
          <cell r="P19">
            <v>25</v>
          </cell>
        </row>
        <row r="20">
          <cell r="P20">
            <v>23.5</v>
          </cell>
        </row>
        <row r="21">
          <cell r="P21">
            <v>21</v>
          </cell>
        </row>
        <row r="22">
          <cell r="P22">
            <v>22.6</v>
          </cell>
        </row>
        <row r="23">
          <cell r="P23">
            <v>22.2</v>
          </cell>
        </row>
        <row r="24">
          <cell r="P24">
            <v>21.5</v>
          </cell>
        </row>
        <row r="25">
          <cell r="P25">
            <v>21.2</v>
          </cell>
        </row>
        <row r="26">
          <cell r="P26">
            <v>20.5</v>
          </cell>
        </row>
        <row r="27">
          <cell r="P27">
            <v>20.2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>
        <row r="10">
          <cell r="P10">
            <v>20</v>
          </cell>
        </row>
        <row r="11">
          <cell r="P11">
            <v>20</v>
          </cell>
        </row>
        <row r="12">
          <cell r="P12">
            <v>21</v>
          </cell>
        </row>
        <row r="13">
          <cell r="P13">
            <v>22</v>
          </cell>
        </row>
        <row r="14">
          <cell r="P14">
            <v>22.4</v>
          </cell>
        </row>
        <row r="15">
          <cell r="P15">
            <v>25.2</v>
          </cell>
        </row>
        <row r="16">
          <cell r="P16">
            <v>25.6</v>
          </cell>
        </row>
        <row r="17">
          <cell r="P17">
            <v>24</v>
          </cell>
        </row>
        <row r="18">
          <cell r="P18">
            <v>24</v>
          </cell>
        </row>
        <row r="19">
          <cell r="P19">
            <v>25.2</v>
          </cell>
        </row>
        <row r="20">
          <cell r="P20">
            <v>24.4</v>
          </cell>
        </row>
        <row r="21">
          <cell r="P21">
            <v>24.1</v>
          </cell>
        </row>
        <row r="22">
          <cell r="P22">
            <v>23.4</v>
          </cell>
        </row>
        <row r="23">
          <cell r="P23">
            <v>22.7</v>
          </cell>
        </row>
        <row r="24">
          <cell r="P24">
            <v>22.4</v>
          </cell>
        </row>
        <row r="25">
          <cell r="P25">
            <v>22</v>
          </cell>
        </row>
        <row r="26">
          <cell r="P26">
            <v>21.5</v>
          </cell>
        </row>
        <row r="27">
          <cell r="P27">
            <v>21.2</v>
          </cell>
        </row>
      </sheetData>
      <sheetData sheetId="4">
        <row r="1">
          <cell r="C1" t="str">
            <v>DEZEMBRO DE 2022</v>
          </cell>
        </row>
      </sheetData>
      <sheetData sheetId="5">
        <row r="10">
          <cell r="P10">
            <v>20.6</v>
          </cell>
        </row>
        <row r="11">
          <cell r="P11">
            <v>21.9</v>
          </cell>
        </row>
        <row r="12">
          <cell r="P12">
            <v>23.4</v>
          </cell>
        </row>
        <row r="13">
          <cell r="P13">
            <v>24.8</v>
          </cell>
        </row>
        <row r="14">
          <cell r="P14">
            <v>27.2</v>
          </cell>
        </row>
        <row r="15">
          <cell r="P15">
            <v>27.9</v>
          </cell>
        </row>
        <row r="16">
          <cell r="P16">
            <v>29.8</v>
          </cell>
        </row>
        <row r="17">
          <cell r="P17">
            <v>27.4</v>
          </cell>
        </row>
        <row r="18">
          <cell r="P18">
            <v>26.6</v>
          </cell>
        </row>
        <row r="19">
          <cell r="P19">
            <v>25.4</v>
          </cell>
        </row>
        <row r="20">
          <cell r="P20">
            <v>25</v>
          </cell>
        </row>
        <row r="21">
          <cell r="P21">
            <v>24.3</v>
          </cell>
        </row>
        <row r="22">
          <cell r="P22">
            <v>23.8</v>
          </cell>
        </row>
        <row r="23">
          <cell r="P23">
            <v>23.3</v>
          </cell>
        </row>
        <row r="24">
          <cell r="P24">
            <v>23</v>
          </cell>
        </row>
        <row r="25">
          <cell r="P25">
            <v>22.7</v>
          </cell>
        </row>
        <row r="26">
          <cell r="P26">
            <v>22.5</v>
          </cell>
        </row>
        <row r="27">
          <cell r="P27">
            <v>22.2</v>
          </cell>
        </row>
      </sheetData>
      <sheetData sheetId="6" refreshError="1"/>
      <sheetData sheetId="7">
        <row r="10">
          <cell r="P10">
            <v>21.8</v>
          </cell>
        </row>
        <row r="11">
          <cell r="P11">
            <v>22.4</v>
          </cell>
        </row>
        <row r="12">
          <cell r="P12">
            <v>23.3</v>
          </cell>
        </row>
        <row r="13">
          <cell r="P13">
            <v>24.3</v>
          </cell>
        </row>
        <row r="14">
          <cell r="P14">
            <v>26.2</v>
          </cell>
        </row>
        <row r="15">
          <cell r="P15">
            <v>27.4</v>
          </cell>
        </row>
        <row r="16">
          <cell r="P16">
            <v>28.9</v>
          </cell>
        </row>
        <row r="17">
          <cell r="P17">
            <v>27.1</v>
          </cell>
        </row>
        <row r="18">
          <cell r="P18">
            <v>25.4</v>
          </cell>
        </row>
        <row r="19">
          <cell r="P19">
            <v>25.2</v>
          </cell>
        </row>
        <row r="20">
          <cell r="P20">
            <v>25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22.8</v>
          </cell>
        </row>
        <row r="24">
          <cell r="P24">
            <v>22.2</v>
          </cell>
        </row>
        <row r="25">
          <cell r="P25">
            <v>22</v>
          </cell>
        </row>
        <row r="26">
          <cell r="P26">
            <v>21.6</v>
          </cell>
        </row>
        <row r="27">
          <cell r="P27">
            <v>22</v>
          </cell>
        </row>
      </sheetData>
      <sheetData sheetId="8" refreshError="1"/>
      <sheetData sheetId="9">
        <row r="10">
          <cell r="P10">
            <v>21.4</v>
          </cell>
        </row>
        <row r="11">
          <cell r="P11">
            <v>22.4</v>
          </cell>
        </row>
        <row r="12">
          <cell r="P12">
            <v>23.7</v>
          </cell>
        </row>
        <row r="13">
          <cell r="P13">
            <v>25.1</v>
          </cell>
        </row>
        <row r="14">
          <cell r="P14">
            <v>25.4</v>
          </cell>
        </row>
        <row r="15">
          <cell r="P15">
            <v>27.4</v>
          </cell>
        </row>
        <row r="16">
          <cell r="P16">
            <v>28.2</v>
          </cell>
        </row>
        <row r="17">
          <cell r="P17">
            <v>27.2</v>
          </cell>
        </row>
        <row r="18">
          <cell r="P18">
            <v>25.8</v>
          </cell>
        </row>
        <row r="19">
          <cell r="P19">
            <v>25.6</v>
          </cell>
        </row>
        <row r="20">
          <cell r="P20">
            <v>25.4</v>
          </cell>
        </row>
        <row r="21">
          <cell r="P21">
            <v>25</v>
          </cell>
        </row>
        <row r="22">
          <cell r="P22">
            <v>23.6</v>
          </cell>
        </row>
        <row r="23">
          <cell r="P23">
            <v>22.6</v>
          </cell>
        </row>
        <row r="24">
          <cell r="P24">
            <v>22.8</v>
          </cell>
        </row>
        <row r="25">
          <cell r="P25">
            <v>22.8</v>
          </cell>
        </row>
        <row r="26">
          <cell r="P26">
            <v>22.4</v>
          </cell>
        </row>
        <row r="27">
          <cell r="P27">
            <v>22.2</v>
          </cell>
        </row>
      </sheetData>
      <sheetData sheetId="10" refreshError="1"/>
      <sheetData sheetId="11">
        <row r="10">
          <cell r="P10">
            <v>21.9</v>
          </cell>
        </row>
        <row r="11">
          <cell r="P11">
            <v>22.1</v>
          </cell>
        </row>
        <row r="12">
          <cell r="P12">
            <v>22.5</v>
          </cell>
        </row>
        <row r="13">
          <cell r="P13">
            <v>23.3</v>
          </cell>
        </row>
        <row r="14">
          <cell r="P14">
            <v>24.3</v>
          </cell>
        </row>
        <row r="15">
          <cell r="P15">
            <v>24.8</v>
          </cell>
        </row>
        <row r="16">
          <cell r="P16">
            <v>25.8</v>
          </cell>
        </row>
        <row r="17">
          <cell r="P17">
            <v>24.9</v>
          </cell>
        </row>
        <row r="18">
          <cell r="P18">
            <v>24.7</v>
          </cell>
        </row>
        <row r="19">
          <cell r="P19">
            <v>24.4</v>
          </cell>
        </row>
        <row r="20">
          <cell r="P20">
            <v>23.6</v>
          </cell>
        </row>
        <row r="21">
          <cell r="P21">
            <v>23.2</v>
          </cell>
        </row>
        <row r="22">
          <cell r="P22">
            <v>22.8</v>
          </cell>
        </row>
        <row r="23">
          <cell r="P23">
            <v>22.6</v>
          </cell>
        </row>
        <row r="24">
          <cell r="P24">
            <v>22.4</v>
          </cell>
        </row>
        <row r="25">
          <cell r="P25">
            <v>22.2</v>
          </cell>
        </row>
        <row r="26">
          <cell r="P26">
            <v>22</v>
          </cell>
        </row>
        <row r="27">
          <cell r="P27">
            <v>21.8</v>
          </cell>
        </row>
      </sheetData>
      <sheetData sheetId="12" refreshError="1"/>
      <sheetData sheetId="13">
        <row r="10">
          <cell r="P10">
            <v>21.1</v>
          </cell>
        </row>
        <row r="11">
          <cell r="P11">
            <v>21.3</v>
          </cell>
        </row>
        <row r="12">
          <cell r="P12">
            <v>22.3</v>
          </cell>
        </row>
        <row r="13">
          <cell r="P13">
            <v>22.7</v>
          </cell>
        </row>
        <row r="14">
          <cell r="P14">
            <v>23.2</v>
          </cell>
        </row>
        <row r="15">
          <cell r="P15">
            <v>23.3</v>
          </cell>
        </row>
        <row r="16">
          <cell r="P16">
            <v>24.2</v>
          </cell>
        </row>
        <row r="17">
          <cell r="P17">
            <v>24.4</v>
          </cell>
        </row>
        <row r="18">
          <cell r="P18">
            <v>24.3</v>
          </cell>
        </row>
        <row r="19">
          <cell r="P19">
            <v>24.5</v>
          </cell>
        </row>
        <row r="20">
          <cell r="P20">
            <v>24</v>
          </cell>
        </row>
        <row r="21">
          <cell r="P21">
            <v>23.7</v>
          </cell>
        </row>
        <row r="22">
          <cell r="P22">
            <v>23.4</v>
          </cell>
        </row>
        <row r="23">
          <cell r="P23">
            <v>23</v>
          </cell>
        </row>
        <row r="24">
          <cell r="P24">
            <v>22.4</v>
          </cell>
        </row>
        <row r="25">
          <cell r="P25">
            <v>22.2</v>
          </cell>
        </row>
        <row r="26">
          <cell r="P26">
            <v>21.9</v>
          </cell>
        </row>
        <row r="27">
          <cell r="P27">
            <v>21.7</v>
          </cell>
        </row>
      </sheetData>
      <sheetData sheetId="14" refreshError="1"/>
      <sheetData sheetId="15">
        <row r="10">
          <cell r="P10">
            <v>20.8</v>
          </cell>
        </row>
        <row r="11">
          <cell r="P11">
            <v>22</v>
          </cell>
        </row>
        <row r="12">
          <cell r="P12">
            <v>23</v>
          </cell>
        </row>
        <row r="13">
          <cell r="P13">
            <v>24</v>
          </cell>
        </row>
        <row r="14">
          <cell r="P14">
            <v>24</v>
          </cell>
        </row>
        <row r="15">
          <cell r="P15">
            <v>24.6</v>
          </cell>
        </row>
        <row r="16">
          <cell r="P16">
            <v>26.4</v>
          </cell>
        </row>
        <row r="17">
          <cell r="P17">
            <v>27.2</v>
          </cell>
        </row>
        <row r="18">
          <cell r="P18">
            <v>27.6</v>
          </cell>
        </row>
        <row r="19">
          <cell r="P19">
            <v>26.7</v>
          </cell>
        </row>
        <row r="20">
          <cell r="P20">
            <v>25.8</v>
          </cell>
        </row>
        <row r="21">
          <cell r="P21">
            <v>24.9</v>
          </cell>
        </row>
        <row r="22">
          <cell r="P22">
            <v>24</v>
          </cell>
        </row>
        <row r="23">
          <cell r="P23">
            <v>23.4</v>
          </cell>
        </row>
        <row r="24">
          <cell r="P24">
            <v>22.9</v>
          </cell>
        </row>
        <row r="25">
          <cell r="P25">
            <v>22.3</v>
          </cell>
        </row>
        <row r="26">
          <cell r="P26">
            <v>21.6</v>
          </cell>
        </row>
        <row r="27">
          <cell r="P27">
            <v>21.1</v>
          </cell>
        </row>
      </sheetData>
      <sheetData sheetId="16" refreshError="1"/>
      <sheetData sheetId="17">
        <row r="10">
          <cell r="P10">
            <v>19.8</v>
          </cell>
        </row>
        <row r="11">
          <cell r="P11">
            <v>21.4</v>
          </cell>
        </row>
        <row r="12">
          <cell r="P12">
            <v>23.6</v>
          </cell>
        </row>
        <row r="13">
          <cell r="P13">
            <v>25.8</v>
          </cell>
        </row>
        <row r="14">
          <cell r="P14">
            <v>28.4</v>
          </cell>
        </row>
        <row r="15">
          <cell r="P15">
            <v>31</v>
          </cell>
        </row>
        <row r="16">
          <cell r="P16">
            <v>33.4</v>
          </cell>
        </row>
        <row r="17">
          <cell r="P17">
            <v>33.5</v>
          </cell>
        </row>
        <row r="18">
          <cell r="P18">
            <v>33.4</v>
          </cell>
        </row>
        <row r="19">
          <cell r="P19">
            <v>31.9</v>
          </cell>
        </row>
        <row r="20">
          <cell r="P20">
            <v>30</v>
          </cell>
        </row>
        <row r="21">
          <cell r="P21">
            <v>28.6</v>
          </cell>
        </row>
        <row r="22">
          <cell r="P22">
            <v>26.9</v>
          </cell>
        </row>
        <row r="23">
          <cell r="P23">
            <v>25.7</v>
          </cell>
        </row>
        <row r="24">
          <cell r="P24">
            <v>25</v>
          </cell>
        </row>
        <row r="25">
          <cell r="P25">
            <v>23.6</v>
          </cell>
        </row>
        <row r="26">
          <cell r="P26">
            <v>22.9</v>
          </cell>
        </row>
        <row r="27">
          <cell r="P27">
            <v>22.2</v>
          </cell>
        </row>
      </sheetData>
      <sheetData sheetId="18" refreshError="1"/>
      <sheetData sheetId="19">
        <row r="10">
          <cell r="P10">
            <v>20.6</v>
          </cell>
        </row>
        <row r="11">
          <cell r="P11">
            <v>21.8</v>
          </cell>
        </row>
        <row r="12">
          <cell r="P12">
            <v>25</v>
          </cell>
        </row>
        <row r="13">
          <cell r="P13">
            <v>27.2</v>
          </cell>
        </row>
        <row r="14">
          <cell r="P14">
            <v>30.4</v>
          </cell>
        </row>
        <row r="15">
          <cell r="P15">
            <v>32.799999999999997</v>
          </cell>
        </row>
        <row r="16">
          <cell r="P16">
            <v>35.200000000000003</v>
          </cell>
        </row>
        <row r="17">
          <cell r="P17">
            <v>35.6</v>
          </cell>
        </row>
        <row r="18">
          <cell r="P18">
            <v>36</v>
          </cell>
        </row>
        <row r="19">
          <cell r="P19">
            <v>35</v>
          </cell>
        </row>
        <row r="20">
          <cell r="P20">
            <v>32</v>
          </cell>
        </row>
        <row r="21">
          <cell r="P21">
            <v>30.4</v>
          </cell>
        </row>
        <row r="22">
          <cell r="P22">
            <v>28.4</v>
          </cell>
        </row>
        <row r="23">
          <cell r="P23">
            <v>27.8</v>
          </cell>
        </row>
        <row r="24">
          <cell r="P24">
            <v>26</v>
          </cell>
        </row>
        <row r="25">
          <cell r="P25">
            <v>25</v>
          </cell>
        </row>
        <row r="26">
          <cell r="P26">
            <v>24.4</v>
          </cell>
        </row>
        <row r="27">
          <cell r="P27">
            <v>22</v>
          </cell>
        </row>
      </sheetData>
      <sheetData sheetId="20" refreshError="1"/>
      <sheetData sheetId="21">
        <row r="10">
          <cell r="P10">
            <v>21.2</v>
          </cell>
        </row>
        <row r="11">
          <cell r="P11">
            <v>22.8</v>
          </cell>
        </row>
        <row r="12">
          <cell r="P12">
            <v>25.2</v>
          </cell>
        </row>
        <row r="13">
          <cell r="P13">
            <v>28.5</v>
          </cell>
        </row>
        <row r="14">
          <cell r="P14">
            <v>31.8</v>
          </cell>
        </row>
        <row r="15">
          <cell r="P15">
            <v>34.6</v>
          </cell>
        </row>
        <row r="16">
          <cell r="P16">
            <v>36.200000000000003</v>
          </cell>
        </row>
        <row r="17">
          <cell r="P17">
            <v>35.700000000000003</v>
          </cell>
        </row>
        <row r="18">
          <cell r="P18">
            <v>36</v>
          </cell>
        </row>
        <row r="19">
          <cell r="P19">
            <v>35.200000000000003</v>
          </cell>
        </row>
        <row r="20">
          <cell r="P20">
            <v>33.299999999999997</v>
          </cell>
        </row>
        <row r="21">
          <cell r="P21">
            <v>31.4</v>
          </cell>
        </row>
        <row r="22">
          <cell r="P22">
            <v>29.9</v>
          </cell>
        </row>
        <row r="23">
          <cell r="P23">
            <v>28.7</v>
          </cell>
        </row>
        <row r="24">
          <cell r="P24">
            <v>27.6</v>
          </cell>
        </row>
        <row r="25">
          <cell r="P25">
            <v>26.6</v>
          </cell>
        </row>
        <row r="26">
          <cell r="P26">
            <v>25.9</v>
          </cell>
        </row>
        <row r="27">
          <cell r="P27">
            <v>25.3</v>
          </cell>
        </row>
      </sheetData>
      <sheetData sheetId="22" refreshError="1"/>
      <sheetData sheetId="23">
        <row r="10">
          <cell r="P10">
            <v>23.4</v>
          </cell>
        </row>
        <row r="11">
          <cell r="P11">
            <v>24.8</v>
          </cell>
        </row>
        <row r="12">
          <cell r="P12">
            <v>27.1</v>
          </cell>
        </row>
        <row r="13">
          <cell r="P13">
            <v>29.6</v>
          </cell>
        </row>
        <row r="14">
          <cell r="P14">
            <v>32.4</v>
          </cell>
        </row>
        <row r="15">
          <cell r="P15">
            <v>34.799999999999997</v>
          </cell>
        </row>
        <row r="16">
          <cell r="P16">
            <v>35.799999999999997</v>
          </cell>
        </row>
        <row r="17">
          <cell r="P17">
            <v>35.799999999999997</v>
          </cell>
        </row>
        <row r="18">
          <cell r="P18">
            <v>35.200000000000003</v>
          </cell>
        </row>
        <row r="19">
          <cell r="P19">
            <v>35.1</v>
          </cell>
        </row>
        <row r="20">
          <cell r="P20">
            <v>33.799999999999997</v>
          </cell>
        </row>
        <row r="21">
          <cell r="P21">
            <v>32.700000000000003</v>
          </cell>
        </row>
        <row r="22">
          <cell r="P22">
            <v>31.1</v>
          </cell>
        </row>
        <row r="23">
          <cell r="P23">
            <v>29.8</v>
          </cell>
        </row>
        <row r="24">
          <cell r="P24">
            <v>28.9</v>
          </cell>
        </row>
        <row r="25">
          <cell r="P25">
            <v>28</v>
          </cell>
        </row>
        <row r="26">
          <cell r="P26">
            <v>27.2</v>
          </cell>
        </row>
        <row r="27">
          <cell r="P27">
            <v>26.6</v>
          </cell>
        </row>
      </sheetData>
      <sheetData sheetId="24" refreshError="1"/>
      <sheetData sheetId="25">
        <row r="10">
          <cell r="P10">
            <v>24.8</v>
          </cell>
        </row>
        <row r="11">
          <cell r="P11">
            <v>25.3</v>
          </cell>
        </row>
        <row r="12">
          <cell r="P12">
            <v>26.4</v>
          </cell>
        </row>
        <row r="13">
          <cell r="P13">
            <v>27.4</v>
          </cell>
        </row>
        <row r="14">
          <cell r="P14">
            <v>30.1</v>
          </cell>
        </row>
        <row r="15">
          <cell r="P15">
            <v>32</v>
          </cell>
        </row>
        <row r="16">
          <cell r="P16">
            <v>32.4</v>
          </cell>
        </row>
        <row r="17">
          <cell r="P17">
            <v>30.4</v>
          </cell>
        </row>
        <row r="18">
          <cell r="P18">
            <v>28.5</v>
          </cell>
        </row>
        <row r="19">
          <cell r="P19">
            <v>27.2</v>
          </cell>
        </row>
        <row r="20">
          <cell r="P20">
            <v>26</v>
          </cell>
        </row>
        <row r="21">
          <cell r="P21">
            <v>25.4</v>
          </cell>
        </row>
        <row r="22">
          <cell r="P22">
            <v>24.8</v>
          </cell>
        </row>
        <row r="23">
          <cell r="P23">
            <v>24.2</v>
          </cell>
        </row>
        <row r="24">
          <cell r="P24">
            <v>24</v>
          </cell>
        </row>
        <row r="25">
          <cell r="P25">
            <v>23.6</v>
          </cell>
        </row>
        <row r="26">
          <cell r="P26">
            <v>23</v>
          </cell>
        </row>
        <row r="27">
          <cell r="P27">
            <v>23</v>
          </cell>
        </row>
      </sheetData>
      <sheetData sheetId="26" refreshError="1"/>
      <sheetData sheetId="27">
        <row r="10">
          <cell r="P10">
            <v>22.4</v>
          </cell>
        </row>
        <row r="11">
          <cell r="P11">
            <v>21.9</v>
          </cell>
        </row>
        <row r="12">
          <cell r="P12">
            <v>21.7</v>
          </cell>
        </row>
        <row r="13">
          <cell r="P13">
            <v>21.9</v>
          </cell>
        </row>
        <row r="14">
          <cell r="P14">
            <v>22.1</v>
          </cell>
        </row>
        <row r="15">
          <cell r="P15">
            <v>22.5</v>
          </cell>
        </row>
        <row r="16">
          <cell r="P16">
            <v>23.6</v>
          </cell>
        </row>
        <row r="17">
          <cell r="P17">
            <v>24.9</v>
          </cell>
        </row>
        <row r="18">
          <cell r="P18">
            <v>24.7</v>
          </cell>
        </row>
        <row r="19">
          <cell r="P19">
            <v>24.2</v>
          </cell>
        </row>
        <row r="20">
          <cell r="P20">
            <v>23.8</v>
          </cell>
        </row>
        <row r="21">
          <cell r="P21">
            <v>22.4</v>
          </cell>
        </row>
        <row r="22">
          <cell r="P22">
            <v>21.8</v>
          </cell>
        </row>
        <row r="23">
          <cell r="P23">
            <v>21</v>
          </cell>
        </row>
        <row r="24">
          <cell r="P24">
            <v>20.6</v>
          </cell>
        </row>
        <row r="25">
          <cell r="P25">
            <v>20</v>
          </cell>
        </row>
        <row r="26">
          <cell r="P26">
            <v>20</v>
          </cell>
        </row>
        <row r="27">
          <cell r="P27">
            <v>19.8</v>
          </cell>
        </row>
      </sheetData>
      <sheetData sheetId="28" refreshError="1"/>
      <sheetData sheetId="29">
        <row r="10">
          <cell r="P10">
            <v>18.8</v>
          </cell>
        </row>
        <row r="11">
          <cell r="P11">
            <v>19.600000000000001</v>
          </cell>
        </row>
        <row r="12">
          <cell r="P12">
            <v>21.3</v>
          </cell>
        </row>
        <row r="13">
          <cell r="P13">
            <v>22.7</v>
          </cell>
        </row>
        <row r="14">
          <cell r="P14">
            <v>24.4</v>
          </cell>
        </row>
        <row r="15">
          <cell r="P15">
            <v>26.3</v>
          </cell>
        </row>
        <row r="16">
          <cell r="P16">
            <v>27</v>
          </cell>
        </row>
        <row r="17">
          <cell r="P17">
            <v>27.4</v>
          </cell>
        </row>
        <row r="18">
          <cell r="P18">
            <v>28.2</v>
          </cell>
        </row>
        <row r="19">
          <cell r="P19">
            <v>28</v>
          </cell>
        </row>
        <row r="20">
          <cell r="P20">
            <v>26</v>
          </cell>
        </row>
        <row r="21">
          <cell r="P21">
            <v>24.4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20.399999999999999</v>
          </cell>
        </row>
        <row r="26">
          <cell r="P26">
            <v>20</v>
          </cell>
        </row>
        <row r="27">
          <cell r="P27">
            <v>20</v>
          </cell>
        </row>
      </sheetData>
      <sheetData sheetId="30" refreshError="1"/>
      <sheetData sheetId="31">
        <row r="10">
          <cell r="P10">
            <v>18.399999999999999</v>
          </cell>
        </row>
        <row r="11">
          <cell r="P11">
            <v>19.600000000000001</v>
          </cell>
        </row>
        <row r="12">
          <cell r="P12">
            <v>22</v>
          </cell>
        </row>
        <row r="13">
          <cell r="P13">
            <v>24.8</v>
          </cell>
        </row>
        <row r="14">
          <cell r="P14">
            <v>27.5</v>
          </cell>
        </row>
        <row r="15">
          <cell r="P15">
            <v>29.8</v>
          </cell>
        </row>
        <row r="16">
          <cell r="P16">
            <v>30.1</v>
          </cell>
        </row>
        <row r="17">
          <cell r="P17">
            <v>29.7</v>
          </cell>
        </row>
        <row r="18">
          <cell r="P18">
            <v>29.8</v>
          </cell>
        </row>
        <row r="19">
          <cell r="P19">
            <v>29.4</v>
          </cell>
        </row>
        <row r="20">
          <cell r="P20">
            <v>27.9</v>
          </cell>
        </row>
        <row r="21">
          <cell r="P21">
            <v>26.6</v>
          </cell>
        </row>
        <row r="22">
          <cell r="P22">
            <v>25.4</v>
          </cell>
        </row>
        <row r="23">
          <cell r="P23">
            <v>24.5</v>
          </cell>
        </row>
        <row r="24">
          <cell r="P24">
            <v>23.8</v>
          </cell>
        </row>
        <row r="25">
          <cell r="P25">
            <v>23.2</v>
          </cell>
        </row>
        <row r="26">
          <cell r="P26">
            <v>22.7</v>
          </cell>
        </row>
        <row r="27">
          <cell r="P27">
            <v>22</v>
          </cell>
        </row>
      </sheetData>
      <sheetData sheetId="32" refreshError="1"/>
      <sheetData sheetId="33">
        <row r="10">
          <cell r="P10">
            <v>20</v>
          </cell>
        </row>
        <row r="11">
          <cell r="P11">
            <v>21.2</v>
          </cell>
        </row>
        <row r="12">
          <cell r="P12">
            <v>23.6</v>
          </cell>
        </row>
        <row r="13">
          <cell r="P13">
            <v>27</v>
          </cell>
        </row>
        <row r="14">
          <cell r="P14">
            <v>28.6</v>
          </cell>
        </row>
        <row r="15">
          <cell r="P15">
            <v>30.6</v>
          </cell>
        </row>
        <row r="16">
          <cell r="P16">
            <v>30.4</v>
          </cell>
        </row>
        <row r="17">
          <cell r="P17">
            <v>30</v>
          </cell>
        </row>
        <row r="18">
          <cell r="P18">
            <v>29.8</v>
          </cell>
        </row>
        <row r="19">
          <cell r="P19">
            <v>27</v>
          </cell>
        </row>
        <row r="20">
          <cell r="P20">
            <v>25.6</v>
          </cell>
        </row>
        <row r="21">
          <cell r="P21">
            <v>24.8</v>
          </cell>
        </row>
        <row r="22">
          <cell r="P22">
            <v>23.8</v>
          </cell>
        </row>
        <row r="23">
          <cell r="P23">
            <v>23</v>
          </cell>
        </row>
        <row r="24">
          <cell r="P24">
            <v>22.4</v>
          </cell>
        </row>
        <row r="25">
          <cell r="P25">
            <v>21.8</v>
          </cell>
        </row>
        <row r="26">
          <cell r="P26">
            <v>21.1</v>
          </cell>
        </row>
        <row r="27">
          <cell r="P27">
            <v>20.6</v>
          </cell>
        </row>
      </sheetData>
      <sheetData sheetId="34" refreshError="1"/>
      <sheetData sheetId="35">
        <row r="10">
          <cell r="P10">
            <v>18.8</v>
          </cell>
        </row>
        <row r="11">
          <cell r="P11">
            <v>19.8</v>
          </cell>
        </row>
        <row r="12">
          <cell r="P12">
            <v>21.6</v>
          </cell>
        </row>
        <row r="13">
          <cell r="P13">
            <v>23.6</v>
          </cell>
        </row>
        <row r="14">
          <cell r="P14">
            <v>27</v>
          </cell>
        </row>
        <row r="15">
          <cell r="P15">
            <v>27.4</v>
          </cell>
        </row>
        <row r="16">
          <cell r="P16">
            <v>28</v>
          </cell>
        </row>
        <row r="17">
          <cell r="P17">
            <v>28</v>
          </cell>
        </row>
        <row r="18">
          <cell r="P18">
            <v>29</v>
          </cell>
        </row>
        <row r="19">
          <cell r="P19">
            <v>28.8</v>
          </cell>
        </row>
        <row r="20">
          <cell r="P20">
            <v>27.4</v>
          </cell>
        </row>
        <row r="21">
          <cell r="P21">
            <v>26</v>
          </cell>
        </row>
        <row r="22">
          <cell r="P22">
            <v>24.8</v>
          </cell>
        </row>
        <row r="23">
          <cell r="P23">
            <v>23.8</v>
          </cell>
        </row>
        <row r="24">
          <cell r="P24">
            <v>23.1</v>
          </cell>
        </row>
        <row r="25">
          <cell r="P25">
            <v>22.6</v>
          </cell>
        </row>
        <row r="26">
          <cell r="P26">
            <v>22</v>
          </cell>
        </row>
        <row r="27">
          <cell r="P27">
            <v>21.4</v>
          </cell>
        </row>
      </sheetData>
      <sheetData sheetId="36" refreshError="1"/>
      <sheetData sheetId="37">
        <row r="10">
          <cell r="P10">
            <v>20</v>
          </cell>
        </row>
        <row r="11">
          <cell r="P11">
            <v>21.6</v>
          </cell>
        </row>
        <row r="12">
          <cell r="P12">
            <v>22.6</v>
          </cell>
        </row>
        <row r="13">
          <cell r="P13">
            <v>24</v>
          </cell>
        </row>
        <row r="14">
          <cell r="P14">
            <v>25</v>
          </cell>
        </row>
        <row r="15">
          <cell r="P15">
            <v>26</v>
          </cell>
        </row>
        <row r="16">
          <cell r="P16">
            <v>26.8</v>
          </cell>
        </row>
        <row r="17">
          <cell r="P17">
            <v>27.6</v>
          </cell>
        </row>
        <row r="18">
          <cell r="P18">
            <v>27.2</v>
          </cell>
        </row>
        <row r="19">
          <cell r="P19">
            <v>26.6</v>
          </cell>
        </row>
        <row r="20">
          <cell r="P20">
            <v>25.3</v>
          </cell>
        </row>
        <row r="21">
          <cell r="P21">
            <v>24.2</v>
          </cell>
        </row>
        <row r="22">
          <cell r="P22">
            <v>23.4</v>
          </cell>
        </row>
        <row r="23">
          <cell r="P23">
            <v>22.8</v>
          </cell>
        </row>
        <row r="24">
          <cell r="P24">
            <v>22.4</v>
          </cell>
        </row>
        <row r="25">
          <cell r="P25">
            <v>22</v>
          </cell>
        </row>
        <row r="26">
          <cell r="P26">
            <v>21.4</v>
          </cell>
        </row>
        <row r="27">
          <cell r="P27">
            <v>21.4</v>
          </cell>
        </row>
      </sheetData>
      <sheetData sheetId="38" refreshError="1"/>
      <sheetData sheetId="39">
        <row r="10">
          <cell r="P10">
            <v>20</v>
          </cell>
        </row>
        <row r="11">
          <cell r="P11">
            <v>20.5</v>
          </cell>
        </row>
        <row r="12">
          <cell r="P12">
            <v>21.7</v>
          </cell>
        </row>
        <row r="13">
          <cell r="P13">
            <v>22.4</v>
          </cell>
        </row>
        <row r="14">
          <cell r="P14">
            <v>22.6</v>
          </cell>
        </row>
        <row r="15">
          <cell r="P15">
            <v>22.5</v>
          </cell>
        </row>
        <row r="16">
          <cell r="P16">
            <v>22.8</v>
          </cell>
        </row>
        <row r="17">
          <cell r="P17">
            <v>22.5</v>
          </cell>
        </row>
        <row r="18">
          <cell r="P18">
            <v>22.3</v>
          </cell>
        </row>
        <row r="19">
          <cell r="P19">
            <v>21.8</v>
          </cell>
        </row>
        <row r="20">
          <cell r="P20">
            <v>21.6</v>
          </cell>
        </row>
        <row r="21">
          <cell r="P21">
            <v>21.2</v>
          </cell>
        </row>
        <row r="22">
          <cell r="P22">
            <v>21.2</v>
          </cell>
        </row>
        <row r="23">
          <cell r="P23">
            <v>20.6</v>
          </cell>
        </row>
        <row r="24">
          <cell r="P24">
            <v>20.399999999999999</v>
          </cell>
        </row>
        <row r="25">
          <cell r="P25">
            <v>20.3</v>
          </cell>
        </row>
        <row r="26">
          <cell r="P26">
            <v>20</v>
          </cell>
        </row>
        <row r="27">
          <cell r="P27">
            <v>19.899999999999999</v>
          </cell>
        </row>
      </sheetData>
      <sheetData sheetId="40" refreshError="1"/>
      <sheetData sheetId="41">
        <row r="10">
          <cell r="P10">
            <v>19.399999999999999</v>
          </cell>
        </row>
        <row r="11">
          <cell r="P11">
            <v>19.8</v>
          </cell>
        </row>
        <row r="12">
          <cell r="P12">
            <v>20.7</v>
          </cell>
        </row>
        <row r="13">
          <cell r="P13">
            <v>21.1</v>
          </cell>
        </row>
        <row r="14">
          <cell r="P14">
            <v>22</v>
          </cell>
        </row>
        <row r="15">
          <cell r="P15">
            <v>22.4</v>
          </cell>
        </row>
        <row r="16">
          <cell r="P16">
            <v>22.5</v>
          </cell>
        </row>
        <row r="17">
          <cell r="P17">
            <v>22.4</v>
          </cell>
        </row>
        <row r="18">
          <cell r="P18">
            <v>22.6</v>
          </cell>
        </row>
        <row r="19">
          <cell r="P19">
            <v>22.7</v>
          </cell>
        </row>
        <row r="20">
          <cell r="P20">
            <v>22.2</v>
          </cell>
        </row>
        <row r="21">
          <cell r="P21">
            <v>21.8</v>
          </cell>
        </row>
        <row r="22">
          <cell r="P22">
            <v>21.2</v>
          </cell>
        </row>
        <row r="23">
          <cell r="P23">
            <v>20.8</v>
          </cell>
        </row>
        <row r="24">
          <cell r="P24">
            <v>20.399999999999999</v>
          </cell>
        </row>
        <row r="25">
          <cell r="P25">
            <v>19.8</v>
          </cell>
        </row>
        <row r="26">
          <cell r="P26">
            <v>19.5</v>
          </cell>
        </row>
        <row r="27">
          <cell r="P27">
            <v>19.399999999999999</v>
          </cell>
        </row>
      </sheetData>
      <sheetData sheetId="42" refreshError="1"/>
      <sheetData sheetId="43">
        <row r="10">
          <cell r="P10">
            <v>19.100000000000001</v>
          </cell>
        </row>
        <row r="11">
          <cell r="P11">
            <v>19.5</v>
          </cell>
        </row>
        <row r="12">
          <cell r="P12">
            <v>20.8</v>
          </cell>
        </row>
        <row r="13">
          <cell r="P13">
            <v>21.7</v>
          </cell>
        </row>
        <row r="14">
          <cell r="P14">
            <v>23.1</v>
          </cell>
        </row>
        <row r="15">
          <cell r="P15">
            <v>24</v>
          </cell>
        </row>
        <row r="16">
          <cell r="P16">
            <v>24.4</v>
          </cell>
        </row>
        <row r="17">
          <cell r="P17">
            <v>24.7</v>
          </cell>
        </row>
        <row r="18">
          <cell r="P18">
            <v>24.4</v>
          </cell>
        </row>
        <row r="19">
          <cell r="P19">
            <v>23.9</v>
          </cell>
        </row>
        <row r="20">
          <cell r="P20">
            <v>23.3</v>
          </cell>
        </row>
        <row r="21">
          <cell r="P21">
            <v>22.4</v>
          </cell>
        </row>
        <row r="22">
          <cell r="P22">
            <v>21.5</v>
          </cell>
        </row>
        <row r="23">
          <cell r="P23">
            <v>20.8</v>
          </cell>
        </row>
        <row r="24">
          <cell r="P24">
            <v>20.3</v>
          </cell>
        </row>
        <row r="25">
          <cell r="P25">
            <v>19.899999999999999</v>
          </cell>
        </row>
        <row r="26">
          <cell r="P26">
            <v>19.2</v>
          </cell>
        </row>
        <row r="27">
          <cell r="P27">
            <v>18.7</v>
          </cell>
        </row>
      </sheetData>
      <sheetData sheetId="44" refreshError="1"/>
      <sheetData sheetId="45">
        <row r="10">
          <cell r="P10">
            <v>16.600000000000001</v>
          </cell>
        </row>
        <row r="11">
          <cell r="P11">
            <v>16.399999999999999</v>
          </cell>
        </row>
        <row r="12">
          <cell r="P12">
            <v>20.2</v>
          </cell>
        </row>
        <row r="13">
          <cell r="P13">
            <v>20.8</v>
          </cell>
        </row>
        <row r="14">
          <cell r="P14">
            <v>22.2</v>
          </cell>
        </row>
        <row r="15">
          <cell r="P15">
            <v>22.8</v>
          </cell>
        </row>
        <row r="16">
          <cell r="P16">
            <v>23.2</v>
          </cell>
        </row>
        <row r="17">
          <cell r="P17">
            <v>23.4</v>
          </cell>
        </row>
        <row r="18">
          <cell r="P18">
            <v>23.2</v>
          </cell>
        </row>
        <row r="19">
          <cell r="P19">
            <v>22.6</v>
          </cell>
        </row>
        <row r="20">
          <cell r="P20">
            <v>22</v>
          </cell>
        </row>
        <row r="21">
          <cell r="P21">
            <v>21.6</v>
          </cell>
        </row>
        <row r="22">
          <cell r="P22">
            <v>20.399999999999999</v>
          </cell>
        </row>
        <row r="23">
          <cell r="P23">
            <v>20</v>
          </cell>
        </row>
        <row r="24">
          <cell r="P24">
            <v>19.600000000000001</v>
          </cell>
        </row>
        <row r="25">
          <cell r="P25">
            <v>19</v>
          </cell>
        </row>
        <row r="26">
          <cell r="P26">
            <v>18.600000000000001</v>
          </cell>
        </row>
        <row r="27">
          <cell r="P27">
            <v>18</v>
          </cell>
        </row>
      </sheetData>
      <sheetData sheetId="46" refreshError="1"/>
      <sheetData sheetId="47">
        <row r="10">
          <cell r="P10">
            <v>17.100000000000001</v>
          </cell>
        </row>
        <row r="11">
          <cell r="P11">
            <v>18.5</v>
          </cell>
        </row>
        <row r="12">
          <cell r="P12">
            <v>20.6</v>
          </cell>
        </row>
        <row r="13">
          <cell r="P13">
            <v>23.2</v>
          </cell>
        </row>
        <row r="14">
          <cell r="P14">
            <v>25.7</v>
          </cell>
        </row>
        <row r="15">
          <cell r="P15">
            <v>27.6</v>
          </cell>
        </row>
        <row r="16">
          <cell r="P16">
            <v>29.6</v>
          </cell>
        </row>
        <row r="17">
          <cell r="P17">
            <v>29.3</v>
          </cell>
        </row>
        <row r="18">
          <cell r="P18">
            <v>27.5</v>
          </cell>
        </row>
        <row r="19">
          <cell r="P19">
            <v>27</v>
          </cell>
        </row>
        <row r="20">
          <cell r="P20">
            <v>26</v>
          </cell>
        </row>
        <row r="21">
          <cell r="P21">
            <v>24</v>
          </cell>
        </row>
        <row r="22">
          <cell r="P22">
            <v>23</v>
          </cell>
        </row>
        <row r="23">
          <cell r="P23">
            <v>22.2</v>
          </cell>
        </row>
        <row r="24">
          <cell r="P24">
            <v>21.8</v>
          </cell>
        </row>
        <row r="25">
          <cell r="P25">
            <v>21.2</v>
          </cell>
        </row>
        <row r="26">
          <cell r="P26">
            <v>20.6</v>
          </cell>
        </row>
        <row r="27">
          <cell r="P27">
            <v>20.399999999999999</v>
          </cell>
        </row>
      </sheetData>
      <sheetData sheetId="48" refreshError="1"/>
      <sheetData sheetId="49">
        <row r="10">
          <cell r="P10">
            <v>19.600000000000001</v>
          </cell>
        </row>
        <row r="11">
          <cell r="P11">
            <v>20.2</v>
          </cell>
        </row>
        <row r="12">
          <cell r="P12">
            <v>21.8</v>
          </cell>
        </row>
        <row r="13">
          <cell r="P13">
            <v>24.8</v>
          </cell>
        </row>
        <row r="14">
          <cell r="P14">
            <v>28.3</v>
          </cell>
        </row>
        <row r="15">
          <cell r="P15">
            <v>30.7</v>
          </cell>
        </row>
        <row r="16">
          <cell r="P16">
            <v>31.2</v>
          </cell>
        </row>
        <row r="17">
          <cell r="P17">
            <v>31.8</v>
          </cell>
        </row>
        <row r="18">
          <cell r="P18">
            <v>32.5</v>
          </cell>
        </row>
        <row r="19">
          <cell r="P19">
            <v>31.2</v>
          </cell>
        </row>
        <row r="20">
          <cell r="P20">
            <v>29.2</v>
          </cell>
        </row>
        <row r="21">
          <cell r="P21">
            <v>27.3</v>
          </cell>
        </row>
        <row r="22">
          <cell r="P22">
            <v>26.1</v>
          </cell>
        </row>
        <row r="23">
          <cell r="P23">
            <v>25.2</v>
          </cell>
        </row>
        <row r="24">
          <cell r="P24">
            <v>24.2</v>
          </cell>
        </row>
        <row r="25">
          <cell r="P25">
            <v>23.6</v>
          </cell>
        </row>
        <row r="26">
          <cell r="P26">
            <v>22.8</v>
          </cell>
        </row>
        <row r="27">
          <cell r="P27">
            <v>22.6</v>
          </cell>
        </row>
      </sheetData>
      <sheetData sheetId="50" refreshError="1"/>
      <sheetData sheetId="51">
        <row r="10">
          <cell r="P10">
            <v>20.6</v>
          </cell>
        </row>
        <row r="11">
          <cell r="P11">
            <v>21.4</v>
          </cell>
        </row>
        <row r="12">
          <cell r="P12">
            <v>23.8</v>
          </cell>
        </row>
        <row r="13">
          <cell r="P13">
            <v>26.8</v>
          </cell>
        </row>
        <row r="14">
          <cell r="P14">
            <v>29.6</v>
          </cell>
        </row>
        <row r="15">
          <cell r="P15">
            <v>32.200000000000003</v>
          </cell>
        </row>
        <row r="16">
          <cell r="P16">
            <v>34.200000000000003</v>
          </cell>
        </row>
        <row r="17">
          <cell r="P17">
            <v>34.200000000000003</v>
          </cell>
        </row>
        <row r="18">
          <cell r="P18">
            <v>32.799999999999997</v>
          </cell>
        </row>
        <row r="19">
          <cell r="P19">
            <v>30.6</v>
          </cell>
        </row>
        <row r="20">
          <cell r="P20">
            <v>29.8</v>
          </cell>
        </row>
        <row r="21">
          <cell r="P21">
            <v>27.9</v>
          </cell>
        </row>
        <row r="22">
          <cell r="P22">
            <v>27</v>
          </cell>
        </row>
        <row r="23">
          <cell r="P23">
            <v>26.2</v>
          </cell>
        </row>
        <row r="24">
          <cell r="P24">
            <v>25.3</v>
          </cell>
        </row>
        <row r="25">
          <cell r="P25">
            <v>24.6</v>
          </cell>
        </row>
        <row r="26">
          <cell r="P26">
            <v>24.3</v>
          </cell>
        </row>
        <row r="27">
          <cell r="P27">
            <v>24</v>
          </cell>
        </row>
      </sheetData>
      <sheetData sheetId="52" refreshError="1"/>
      <sheetData sheetId="53">
        <row r="10">
          <cell r="P10">
            <v>22.4</v>
          </cell>
        </row>
        <row r="11">
          <cell r="P11">
            <v>22.5</v>
          </cell>
        </row>
        <row r="12">
          <cell r="P12">
            <v>23</v>
          </cell>
        </row>
        <row r="13">
          <cell r="P13">
            <v>23.5</v>
          </cell>
        </row>
        <row r="14">
          <cell r="P14">
            <v>24.3</v>
          </cell>
        </row>
        <row r="15">
          <cell r="P15">
            <v>25.5</v>
          </cell>
        </row>
        <row r="16">
          <cell r="P16">
            <v>27.4</v>
          </cell>
        </row>
        <row r="17">
          <cell r="P17">
            <v>29.5</v>
          </cell>
        </row>
        <row r="18">
          <cell r="P18">
            <v>29.6</v>
          </cell>
        </row>
        <row r="19">
          <cell r="P19">
            <v>28.6</v>
          </cell>
        </row>
        <row r="20">
          <cell r="P20">
            <v>27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24.6</v>
          </cell>
        </row>
        <row r="24">
          <cell r="P24">
            <v>23.8</v>
          </cell>
        </row>
        <row r="25">
          <cell r="P25">
            <v>23.4</v>
          </cell>
        </row>
        <row r="26">
          <cell r="P26">
            <v>23</v>
          </cell>
        </row>
        <row r="27">
          <cell r="P27">
            <v>22.8</v>
          </cell>
        </row>
      </sheetData>
      <sheetData sheetId="54" refreshError="1"/>
      <sheetData sheetId="55">
        <row r="10">
          <cell r="P10">
            <v>22.2</v>
          </cell>
        </row>
        <row r="11">
          <cell r="P11">
            <v>22.8</v>
          </cell>
        </row>
        <row r="12">
          <cell r="P12">
            <v>23.6</v>
          </cell>
        </row>
        <row r="13">
          <cell r="P13">
            <v>24.8</v>
          </cell>
        </row>
        <row r="14">
          <cell r="P14">
            <v>27</v>
          </cell>
        </row>
        <row r="15">
          <cell r="P15">
            <v>29.5</v>
          </cell>
        </row>
        <row r="16">
          <cell r="P16">
            <v>31</v>
          </cell>
        </row>
        <row r="17">
          <cell r="P17">
            <v>31.6</v>
          </cell>
        </row>
        <row r="18">
          <cell r="P18">
            <v>30.4</v>
          </cell>
        </row>
        <row r="19">
          <cell r="P19">
            <v>29.4</v>
          </cell>
        </row>
        <row r="20">
          <cell r="P20">
            <v>27</v>
          </cell>
        </row>
        <row r="21">
          <cell r="P21">
            <v>26</v>
          </cell>
        </row>
        <row r="22">
          <cell r="P22">
            <v>25</v>
          </cell>
        </row>
        <row r="23">
          <cell r="P23">
            <v>26</v>
          </cell>
        </row>
        <row r="24">
          <cell r="P24">
            <v>25</v>
          </cell>
        </row>
        <row r="25">
          <cell r="P25">
            <v>24</v>
          </cell>
        </row>
        <row r="26">
          <cell r="P26">
            <v>23.8</v>
          </cell>
        </row>
        <row r="27">
          <cell r="P27">
            <v>23.6</v>
          </cell>
        </row>
      </sheetData>
      <sheetData sheetId="56" refreshError="1"/>
      <sheetData sheetId="57">
        <row r="10">
          <cell r="P10">
            <v>22</v>
          </cell>
        </row>
        <row r="11">
          <cell r="P11">
            <v>22</v>
          </cell>
        </row>
        <row r="12">
          <cell r="P12">
            <v>21.8</v>
          </cell>
        </row>
        <row r="13">
          <cell r="P13">
            <v>22.7</v>
          </cell>
        </row>
        <row r="14">
          <cell r="P14">
            <v>25.6</v>
          </cell>
        </row>
        <row r="15">
          <cell r="P15">
            <v>26.8</v>
          </cell>
        </row>
        <row r="16">
          <cell r="P16">
            <v>26.4</v>
          </cell>
        </row>
        <row r="17">
          <cell r="P17">
            <v>26.6</v>
          </cell>
        </row>
        <row r="18">
          <cell r="P18">
            <v>26.6</v>
          </cell>
        </row>
        <row r="19">
          <cell r="P19">
            <v>25.8</v>
          </cell>
        </row>
        <row r="20">
          <cell r="P20">
            <v>25.1</v>
          </cell>
        </row>
        <row r="21">
          <cell r="P21">
            <v>24.2</v>
          </cell>
        </row>
        <row r="22">
          <cell r="P22">
            <v>23.5</v>
          </cell>
        </row>
        <row r="23">
          <cell r="P23">
            <v>22.9</v>
          </cell>
        </row>
        <row r="24">
          <cell r="P24">
            <v>22.6</v>
          </cell>
        </row>
        <row r="25">
          <cell r="P25">
            <v>22.2</v>
          </cell>
        </row>
        <row r="26">
          <cell r="P26">
            <v>21.9</v>
          </cell>
        </row>
        <row r="27">
          <cell r="P27">
            <v>21.7</v>
          </cell>
        </row>
      </sheetData>
      <sheetData sheetId="58" refreshError="1"/>
      <sheetData sheetId="59">
        <row r="10">
          <cell r="P10">
            <v>21.4</v>
          </cell>
        </row>
        <row r="11">
          <cell r="P11">
            <v>21.7</v>
          </cell>
        </row>
        <row r="12">
          <cell r="P12">
            <v>22.5</v>
          </cell>
        </row>
        <row r="13">
          <cell r="P13">
            <v>23.3</v>
          </cell>
        </row>
        <row r="14">
          <cell r="P14">
            <v>24.7</v>
          </cell>
        </row>
        <row r="15">
          <cell r="P15">
            <v>25.6</v>
          </cell>
        </row>
        <row r="16">
          <cell r="P16">
            <v>26.1</v>
          </cell>
        </row>
        <row r="17">
          <cell r="P17">
            <v>27</v>
          </cell>
        </row>
        <row r="18">
          <cell r="P18">
            <v>27.2</v>
          </cell>
        </row>
        <row r="19">
          <cell r="P19">
            <v>27.4</v>
          </cell>
        </row>
        <row r="20">
          <cell r="P20">
            <v>26.5</v>
          </cell>
        </row>
        <row r="21">
          <cell r="P21">
            <v>25.4</v>
          </cell>
        </row>
        <row r="22">
          <cell r="P22">
            <v>24</v>
          </cell>
        </row>
        <row r="23">
          <cell r="P23">
            <v>23.7</v>
          </cell>
        </row>
        <row r="24">
          <cell r="P24">
            <v>23</v>
          </cell>
        </row>
        <row r="25">
          <cell r="P25">
            <v>22.6</v>
          </cell>
        </row>
        <row r="26">
          <cell r="P26">
            <v>22.4</v>
          </cell>
        </row>
        <row r="27">
          <cell r="P27">
            <v>22.2</v>
          </cell>
        </row>
      </sheetData>
      <sheetData sheetId="60" refreshError="1"/>
      <sheetData sheetId="61">
        <row r="10">
          <cell r="P10">
            <v>21.3</v>
          </cell>
        </row>
        <row r="11">
          <cell r="P11">
            <v>21.6</v>
          </cell>
        </row>
        <row r="12">
          <cell r="P12">
            <v>22.3</v>
          </cell>
        </row>
        <row r="13">
          <cell r="P13">
            <v>22.9</v>
          </cell>
        </row>
        <row r="14">
          <cell r="P14">
            <v>23.7</v>
          </cell>
        </row>
        <row r="15">
          <cell r="P15">
            <v>25</v>
          </cell>
        </row>
        <row r="16">
          <cell r="P16">
            <v>25.9</v>
          </cell>
        </row>
        <row r="17">
          <cell r="P17">
            <v>27</v>
          </cell>
        </row>
        <row r="18">
          <cell r="P18">
            <v>27.8</v>
          </cell>
        </row>
        <row r="19">
          <cell r="P19">
            <v>26.4</v>
          </cell>
        </row>
        <row r="20">
          <cell r="P20">
            <v>25.3</v>
          </cell>
        </row>
        <row r="21">
          <cell r="P21">
            <v>24.4</v>
          </cell>
        </row>
        <row r="22">
          <cell r="P22">
            <v>23.8</v>
          </cell>
        </row>
        <row r="23">
          <cell r="P23">
            <v>23.2</v>
          </cell>
        </row>
        <row r="24">
          <cell r="P24">
            <v>22.6</v>
          </cell>
        </row>
        <row r="25">
          <cell r="P25">
            <v>22.4</v>
          </cell>
        </row>
        <row r="26">
          <cell r="P26">
            <v>22.2</v>
          </cell>
        </row>
        <row r="27">
          <cell r="P27">
            <v>22</v>
          </cell>
        </row>
      </sheetData>
      <sheetData sheetId="62" refreshError="1"/>
      <sheetData sheetId="63">
        <row r="10">
          <cell r="P10">
            <v>21.4</v>
          </cell>
        </row>
        <row r="11">
          <cell r="P11">
            <v>21.4</v>
          </cell>
        </row>
        <row r="12">
          <cell r="P12">
            <v>23.4</v>
          </cell>
        </row>
        <row r="13">
          <cell r="P13">
            <v>25.2</v>
          </cell>
        </row>
        <row r="14">
          <cell r="P14">
            <v>26.4</v>
          </cell>
        </row>
        <row r="15">
          <cell r="P15">
            <v>28</v>
          </cell>
        </row>
        <row r="16">
          <cell r="P16">
            <v>30.6</v>
          </cell>
        </row>
        <row r="17">
          <cell r="P17">
            <v>31</v>
          </cell>
        </row>
        <row r="18">
          <cell r="P18">
            <v>27.6</v>
          </cell>
        </row>
        <row r="19">
          <cell r="P19">
            <v>25.9</v>
          </cell>
        </row>
        <row r="20">
          <cell r="P20">
            <v>25.5</v>
          </cell>
        </row>
        <row r="21">
          <cell r="P21">
            <v>25.1</v>
          </cell>
        </row>
        <row r="22">
          <cell r="P22">
            <v>24.5</v>
          </cell>
        </row>
        <row r="23">
          <cell r="P23">
            <v>23.8</v>
          </cell>
        </row>
        <row r="24">
          <cell r="P24">
            <v>23.2</v>
          </cell>
        </row>
        <row r="25">
          <cell r="P25">
            <v>22.6</v>
          </cell>
        </row>
        <row r="26">
          <cell r="P26">
            <v>22.2</v>
          </cell>
        </row>
        <row r="27">
          <cell r="P27">
            <v>22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(a)'!$P10</f>
        <v>20.3</v>
      </c>
      <c r="C4" s="12">
        <f>'[1]Dia 2 (a)'!$P10</f>
        <v>21.8</v>
      </c>
      <c r="D4" s="12">
        <f>'[1]Dia 3 (a)'!$P10</f>
        <v>22.6</v>
      </c>
      <c r="E4" s="12">
        <f>'[1]Dia 4 (a)'!$P10</f>
        <v>22.4</v>
      </c>
      <c r="F4" s="12">
        <f>'[1]Dia 5 (a)'!$P10</f>
        <v>21.8</v>
      </c>
      <c r="G4" s="12">
        <f>'[1]Dia 6 (a)'!$P10</f>
        <v>22</v>
      </c>
      <c r="H4" s="12">
        <f>'[1]Dia 7 (a)'!$P10</f>
        <v>21.1</v>
      </c>
      <c r="I4" s="12">
        <f>'[1]Dia 8 (a)'!$P10</f>
        <v>20.100000000000001</v>
      </c>
      <c r="J4" s="12">
        <f>'[1]Dia 9 (a)'!$P10</f>
        <v>19.600000000000001</v>
      </c>
      <c r="K4" s="12">
        <f>'[1]Dia 10 (a)'!$P10</f>
        <v>19.399999999999999</v>
      </c>
      <c r="L4" s="12">
        <f>'[1]Dia 11 (a)'!$P10</f>
        <v>20.399999999999999</v>
      </c>
      <c r="M4" s="12">
        <f>'[1]Dia 12 (a)'!$P10</f>
        <v>20.2</v>
      </c>
      <c r="N4" s="12">
        <f>'[1]Dia 13 (a)'!$P10</f>
        <v>22</v>
      </c>
      <c r="O4" s="12">
        <f>'[1]Dia 14 (a)'!$P10</f>
        <v>21.6</v>
      </c>
      <c r="P4" s="12">
        <f>'[1]Dia 15 (a)'!$P10</f>
        <v>22.7</v>
      </c>
      <c r="Q4" s="12">
        <f>'[1]Dia 16 (a)'!$P10</f>
        <v>21.2</v>
      </c>
      <c r="R4" s="12">
        <f>'[1]Dia 17 (a)'!$P10</f>
        <v>21.5</v>
      </c>
      <c r="S4" s="12">
        <f>'[1]Dia 18 (a)'!$P10</f>
        <v>22.7</v>
      </c>
      <c r="T4" s="12">
        <f>'[1]Dia 19 (a)'!$P10</f>
        <v>23.2</v>
      </c>
      <c r="U4" s="12">
        <f>'[1]Dia 20 (a)'!$P10</f>
        <v>22</v>
      </c>
      <c r="V4" s="12">
        <f>'[1]Dia 21 (a)'!$P10</f>
        <v>22.8</v>
      </c>
      <c r="W4" s="12">
        <f>'[1]Dia 22 (a)'!$P10</f>
        <v>22.8</v>
      </c>
      <c r="X4" s="12">
        <f>'[1]Dia 23 (a)'!$P10</f>
        <v>24.7</v>
      </c>
      <c r="Y4" s="12">
        <f>'[1]Dia 24 (a)'!$P10</f>
        <v>25</v>
      </c>
      <c r="Z4" s="12">
        <f>'[1]Dia 25 (a)'!$P10</f>
        <v>24.8</v>
      </c>
      <c r="AA4" s="12">
        <f>'[1]Dia 26 (a)'!$P10</f>
        <v>25.5</v>
      </c>
      <c r="AB4" s="12">
        <f>'[1]Dia 27 (a)'!$P10</f>
        <v>23.8</v>
      </c>
      <c r="AC4" s="12">
        <f>'[1]Dia 28 (a)'!$P10</f>
        <v>23.2</v>
      </c>
      <c r="AD4" s="12">
        <f>'[1]Dia 29 (a)'!$P10</f>
        <v>22.2</v>
      </c>
      <c r="AE4" s="12">
        <f>'[1]Dia 30 (a)'!$P10</f>
        <v>20</v>
      </c>
      <c r="AF4" s="13">
        <f>'[1]Dia 31 (a)'!$P10</f>
        <v>21</v>
      </c>
      <c r="AG4" s="14"/>
    </row>
    <row r="5" spans="1:33" ht="20.100000000000001" customHeight="1">
      <c r="A5" s="11">
        <v>8</v>
      </c>
      <c r="B5" s="12">
        <f>'[1]Dia 1 (a)'!$P11</f>
        <v>21.2</v>
      </c>
      <c r="C5" s="12">
        <f>'[1]Dia 2 (a)'!$P11</f>
        <v>22.3</v>
      </c>
      <c r="D5" s="12">
        <f>'[1]Dia 3 (a)'!$P11</f>
        <v>23.1</v>
      </c>
      <c r="E5" s="12">
        <f>'[1]Dia 4 (a)'!$P11</f>
        <v>23.2</v>
      </c>
      <c r="F5" s="12">
        <f>'[1]Dia 5 (a)'!$P11</f>
        <v>22.3</v>
      </c>
      <c r="G5" s="12">
        <f>'[1]Dia 6 (a)'!$P11</f>
        <v>22.6</v>
      </c>
      <c r="H5" s="12">
        <f>'[1]Dia 7 (a)'!$P11</f>
        <v>21.3</v>
      </c>
      <c r="I5" s="12">
        <f>'[1]Dia 8 (a)'!$P11</f>
        <v>20.100000000000001</v>
      </c>
      <c r="J5" s="12">
        <f>'[1]Dia 9 (a)'!$P11</f>
        <v>20</v>
      </c>
      <c r="K5" s="12">
        <f>'[1]Dia 10 (a)'!$P11</f>
        <v>19.8</v>
      </c>
      <c r="L5" s="12">
        <f>'[1]Dia 11 (a)'!$P11</f>
        <v>20.6</v>
      </c>
      <c r="M5" s="12">
        <f>'[1]Dia 12 (a)'!$P11</f>
        <v>20.8</v>
      </c>
      <c r="N5" s="12">
        <f>'[1]Dia 13 (a)'!$P11</f>
        <v>22.3</v>
      </c>
      <c r="O5" s="12">
        <f>'[1]Dia 14 (a)'!$P11</f>
        <v>22.1</v>
      </c>
      <c r="P5" s="12">
        <f>'[1]Dia 15 (a)'!$P11</f>
        <v>23.1</v>
      </c>
      <c r="Q5" s="12">
        <f>'[1]Dia 16 (a)'!$P11</f>
        <v>22.4</v>
      </c>
      <c r="R5" s="12">
        <f>'[1]Dia 17 (a)'!$P11</f>
        <v>22.4</v>
      </c>
      <c r="S5" s="12">
        <f>'[1]Dia 18 (a)'!$P11</f>
        <v>23.5</v>
      </c>
      <c r="T5" s="12">
        <f>'[1]Dia 19 (a)'!$P11</f>
        <v>24</v>
      </c>
      <c r="U5" s="12">
        <f>'[1]Dia 20 (a)'!$P11</f>
        <v>23</v>
      </c>
      <c r="V5" s="12">
        <f>'[1]Dia 21 (a)'!$P11</f>
        <v>23.9</v>
      </c>
      <c r="W5" s="12">
        <f>'[1]Dia 22 (a)'!$P11</f>
        <v>23.4</v>
      </c>
      <c r="X5" s="12">
        <f>'[1]Dia 23 (a)'!$P11</f>
        <v>25.2</v>
      </c>
      <c r="Y5" s="12">
        <f>'[1]Dia 24 (a)'!$P11</f>
        <v>25.6</v>
      </c>
      <c r="Z5" s="12">
        <f>'[1]Dia 25 (a)'!$P11</f>
        <v>25.2</v>
      </c>
      <c r="AA5" s="12">
        <f>'[1]Dia 26 (a)'!$P11</f>
        <v>26.2</v>
      </c>
      <c r="AB5" s="12">
        <f>'[1]Dia 27 (a)'!$P11</f>
        <v>24.4</v>
      </c>
      <c r="AC5" s="12">
        <f>'[1]Dia 28 (a)'!$P11</f>
        <v>23</v>
      </c>
      <c r="AD5" s="12">
        <f>'[1]Dia 29 (a)'!$P11</f>
        <v>22.4</v>
      </c>
      <c r="AE5" s="12">
        <f>'[1]Dia 30 (a)'!$P11</f>
        <v>20</v>
      </c>
      <c r="AF5" s="13">
        <f>'[1]Dia 31 (a)'!$P11</f>
        <v>21</v>
      </c>
      <c r="AG5" s="14"/>
    </row>
    <row r="6" spans="1:33" ht="20.100000000000001" customHeight="1">
      <c r="A6" s="11">
        <v>9</v>
      </c>
      <c r="B6" s="12">
        <f>'[1]Dia 1 (a)'!$P12</f>
        <v>22.3</v>
      </c>
      <c r="C6" s="12">
        <f>'[1]Dia 2 (a)'!$P12</f>
        <v>23.7</v>
      </c>
      <c r="D6" s="12">
        <f>'[1]Dia 3 (a)'!$P12</f>
        <v>24.7</v>
      </c>
      <c r="E6" s="12">
        <f>'[1]Dia 4 (a)'!$P12</f>
        <v>24.6</v>
      </c>
      <c r="F6" s="12">
        <f>'[1]Dia 5 (a)'!$P12</f>
        <v>22.5</v>
      </c>
      <c r="G6" s="12">
        <f>'[1]Dia 6 (a)'!$P12</f>
        <v>23.3</v>
      </c>
      <c r="H6" s="12">
        <f>'[1]Dia 7 (a)'!$P12</f>
        <v>21.8</v>
      </c>
      <c r="I6" s="12">
        <f>'[1]Dia 8 (a)'!$P12</f>
        <v>20.9</v>
      </c>
      <c r="J6" s="12">
        <f>'[1]Dia 9 (a)'!$P12</f>
        <v>20.9</v>
      </c>
      <c r="K6" s="12">
        <f>'[1]Dia 10 (a)'!$P12</f>
        <v>20.8</v>
      </c>
      <c r="L6" s="12">
        <f>'[1]Dia 11 (a)'!$P12</f>
        <v>21.2</v>
      </c>
      <c r="M6" s="12">
        <f>'[1]Dia 12 (a)'!$P12</f>
        <v>22</v>
      </c>
      <c r="N6" s="12">
        <f>'[1]Dia 13 (a)'!$P12</f>
        <v>23.5</v>
      </c>
      <c r="O6" s="12">
        <f>'[1]Dia 14 (a)'!$P12</f>
        <v>23.2</v>
      </c>
      <c r="P6" s="12">
        <f>'[1]Dia 15 (a)'!$P12</f>
        <v>25.8</v>
      </c>
      <c r="Q6" s="12">
        <f>'[1]Dia 16 (a)'!$P12</f>
        <v>24.4</v>
      </c>
      <c r="R6" s="15">
        <f>'[1]Dia 17 (a)'!$P12</f>
        <v>23.4</v>
      </c>
      <c r="S6" s="12">
        <f>'[1]Dia 18 (a)'!$P12</f>
        <v>25.3</v>
      </c>
      <c r="T6" s="12">
        <f>'[1]Dia 19 (a)'!$P12</f>
        <v>26.1</v>
      </c>
      <c r="U6" s="12">
        <f>'[1]Dia 20 (a)'!$P12</f>
        <v>25</v>
      </c>
      <c r="V6" s="12">
        <f>'[1]Dia 21 (a)'!$P12</f>
        <v>25</v>
      </c>
      <c r="W6" s="12">
        <f>'[1]Dia 22 (a)'!$P12</f>
        <v>24.2</v>
      </c>
      <c r="X6" s="12">
        <f>'[1]Dia 23 (a)'!$P12</f>
        <v>27</v>
      </c>
      <c r="Y6" s="12">
        <f>'[1]Dia 24 (a)'!$P12</f>
        <v>27.6</v>
      </c>
      <c r="Z6" s="12">
        <f>'[1]Dia 25 (a)'!$P12</f>
        <v>27</v>
      </c>
      <c r="AA6" s="12">
        <f>'[1]Dia 26 (a)'!$P12</f>
        <v>27.8</v>
      </c>
      <c r="AB6" s="12">
        <f>'[1]Dia 27 (a)'!$P12</f>
        <v>25.7</v>
      </c>
      <c r="AC6" s="12">
        <f>'[1]Dia 28 (a)'!$P12</f>
        <v>24.5</v>
      </c>
      <c r="AD6" s="12">
        <f>'[1]Dia 29 (a)'!$P12</f>
        <v>23</v>
      </c>
      <c r="AE6" s="12">
        <f>'[1]Dia 30 (a)'!$P12</f>
        <v>20</v>
      </c>
      <c r="AF6" s="13">
        <f>'[1]Dia 31 (a)'!$P12</f>
        <v>21.6</v>
      </c>
      <c r="AG6" s="14"/>
    </row>
    <row r="7" spans="1:33" ht="20.100000000000001" customHeight="1">
      <c r="A7" s="11">
        <v>10</v>
      </c>
      <c r="B7" s="12">
        <f>'[1]Dia 1 (a)'!$P13</f>
        <v>23.5</v>
      </c>
      <c r="C7" s="12">
        <f>'[1]Dia 2 (a)'!$P13</f>
        <v>25.3</v>
      </c>
      <c r="D7" s="12">
        <f>'[1]Dia 3 (a)'!$P13</f>
        <v>26.4</v>
      </c>
      <c r="E7" s="12">
        <f>'[1]Dia 4 (a)'!$P13</f>
        <v>25.2</v>
      </c>
      <c r="F7" s="12">
        <f>'[1]Dia 5 (a)'!$P13</f>
        <v>23.1</v>
      </c>
      <c r="G7" s="12">
        <f>'[1]Dia 6 (a)'!$P13</f>
        <v>24.2</v>
      </c>
      <c r="H7" s="12">
        <f>'[1]Dia 7 (a)'!$P13</f>
        <v>22.8</v>
      </c>
      <c r="I7" s="12">
        <f>'[1]Dia 8 (a)'!$P13</f>
        <v>21.4</v>
      </c>
      <c r="J7" s="12">
        <f>'[1]Dia 9 (a)'!$P13</f>
        <v>21.7</v>
      </c>
      <c r="K7" s="12">
        <f>'[1]Dia 10 (a)'!$P13</f>
        <v>22.6</v>
      </c>
      <c r="L7" s="12">
        <f>'[1]Dia 11 (a)'!$P13</f>
        <v>22.1</v>
      </c>
      <c r="M7" s="12">
        <f>'[1]Dia 12 (a)'!$P13</f>
        <v>23.8</v>
      </c>
      <c r="N7" s="12">
        <f>'[1]Dia 13 (a)'!$P13</f>
        <v>25.1</v>
      </c>
      <c r="O7" s="12">
        <f>'[1]Dia 14 (a)'!$P13</f>
        <v>22.8</v>
      </c>
      <c r="P7" s="12">
        <f>'[1]Dia 15 (a)'!$P13</f>
        <v>25.8</v>
      </c>
      <c r="Q7" s="12">
        <f>'[1]Dia 16 (a)'!$P13</f>
        <v>26.6</v>
      </c>
      <c r="R7" s="15">
        <f>'[1]Dia 17 (a)'!$P13</f>
        <v>26.1</v>
      </c>
      <c r="S7" s="12">
        <f>'[1]Dia 18 (a)'!$P13</f>
        <v>28.1</v>
      </c>
      <c r="T7" s="12">
        <f>'[1]Dia 19 (a)'!$P13</f>
        <v>28.8</v>
      </c>
      <c r="U7" s="12">
        <f>'[1]Dia 20 (a)'!$P13</f>
        <v>27.6</v>
      </c>
      <c r="V7" s="12">
        <f>'[1]Dia 21 (a)'!$P13</f>
        <v>27.8</v>
      </c>
      <c r="W7" s="12">
        <f>'[1]Dia 22 (a)'!$P13</f>
        <v>26.9</v>
      </c>
      <c r="X7" s="12">
        <f>'[1]Dia 23 (a)'!$P13</f>
        <v>29.6</v>
      </c>
      <c r="Y7" s="12">
        <f>'[1]Dia 24 (a)'!$P13</f>
        <v>29.6</v>
      </c>
      <c r="Z7" s="12">
        <f>'[1]Dia 25 (a)'!$P13</f>
        <v>29</v>
      </c>
      <c r="AA7" s="12">
        <f>'[1]Dia 26 (a)'!$P13</f>
        <v>30.3</v>
      </c>
      <c r="AB7" s="12">
        <f>'[1]Dia 27 (a)'!$P13</f>
        <v>27.5</v>
      </c>
      <c r="AC7" s="12">
        <f>'[1]Dia 28 (a)'!$P13</f>
        <v>25.8</v>
      </c>
      <c r="AD7" s="12">
        <f>'[1]Dia 29 (a)'!$P13</f>
        <v>23.4</v>
      </c>
      <c r="AE7" s="12">
        <f>'[1]Dia 30 (a)'!$P13</f>
        <v>20.8</v>
      </c>
      <c r="AF7" s="13">
        <f>'[1]Dia 31 (a)'!$P13</f>
        <v>21.9</v>
      </c>
      <c r="AG7" s="14"/>
    </row>
    <row r="8" spans="1:33" ht="20.100000000000001" customHeight="1">
      <c r="A8" s="11">
        <v>11</v>
      </c>
      <c r="B8" s="12">
        <f>'[1]Dia 1 (a)'!$P14</f>
        <v>24.4</v>
      </c>
      <c r="C8" s="12">
        <f>'[1]Dia 2 (a)'!$P14</f>
        <v>27</v>
      </c>
      <c r="D8" s="12">
        <f>'[1]Dia 3 (a)'!$P14</f>
        <v>28.9</v>
      </c>
      <c r="E8" s="12">
        <f>'[1]Dia 4 (a)'!$P14</f>
        <v>26.3</v>
      </c>
      <c r="F8" s="12">
        <f>'[1]Dia 5 (a)'!$P14</f>
        <v>23.4</v>
      </c>
      <c r="G8" s="12">
        <f>'[1]Dia 6 (a)'!$P14</f>
        <v>25.1</v>
      </c>
      <c r="H8" s="12">
        <f>'[1]Dia 7 (a)'!$P14</f>
        <v>23.6</v>
      </c>
      <c r="I8" s="12">
        <f>'[1]Dia 8 (a)'!$P14</f>
        <v>22.8</v>
      </c>
      <c r="J8" s="12">
        <f>'[1]Dia 9 (a)'!$P14</f>
        <v>22.3</v>
      </c>
      <c r="K8" s="12">
        <f>'[1]Dia 10 (a)'!$P14</f>
        <v>23.3</v>
      </c>
      <c r="L8" s="12">
        <f>'[1]Dia 11 (a)'!$P14</f>
        <v>23.7</v>
      </c>
      <c r="M8" s="12">
        <f>'[1]Dia 12 (a)'!$P14</f>
        <v>25.3</v>
      </c>
      <c r="N8" s="12">
        <f>'[1]Dia 13 (a)'!$P14</f>
        <v>26.8</v>
      </c>
      <c r="O8" s="12">
        <f>'[1]Dia 14 (a)'!$P14</f>
        <v>23</v>
      </c>
      <c r="P8" s="12">
        <f>'[1]Dia 15 (a)'!$P14</f>
        <v>26.2</v>
      </c>
      <c r="Q8" s="12">
        <f>'[1]Dia 16 (a)'!$P14</f>
        <v>29.2</v>
      </c>
      <c r="R8" s="15">
        <f>'[1]Dia 17 (a)'!$P14</f>
        <v>28.6</v>
      </c>
      <c r="S8" s="12">
        <f>'[1]Dia 18 (a)'!$P14</f>
        <v>30.9</v>
      </c>
      <c r="T8" s="12">
        <f>'[1]Dia 19 (a)'!$P14</f>
        <v>32</v>
      </c>
      <c r="U8" s="12">
        <f>'[1]Dia 20 (a)'!$P14</f>
        <v>29.9</v>
      </c>
      <c r="V8" s="12">
        <f>'[1]Dia 21 (a)'!$P14</f>
        <v>30.5</v>
      </c>
      <c r="W8" s="12">
        <f>'[1]Dia 22 (a)'!$P14</f>
        <v>30.4</v>
      </c>
      <c r="X8" s="12">
        <f>'[1]Dia 23 (a)'!$P14</f>
        <v>32.200000000000003</v>
      </c>
      <c r="Y8" s="12">
        <f>'[1]Dia 24 (a)'!$P14</f>
        <v>32</v>
      </c>
      <c r="Z8" s="12">
        <f>'[1]Dia 25 (a)'!$P14</f>
        <v>31.6</v>
      </c>
      <c r="AA8" s="12">
        <f>'[1]Dia 26 (a)'!$P14</f>
        <v>33.1</v>
      </c>
      <c r="AB8" s="12">
        <f>'[1]Dia 27 (a)'!$P14</f>
        <v>29.3</v>
      </c>
      <c r="AC8" s="12">
        <f>'[1]Dia 28 (a)'!$P14</f>
        <v>26.5</v>
      </c>
      <c r="AD8" s="12">
        <f>'[1]Dia 29 (a)'!$P14</f>
        <v>23.7</v>
      </c>
      <c r="AE8" s="12">
        <f>'[1]Dia 30 (a)'!$P14</f>
        <v>21.6</v>
      </c>
      <c r="AF8" s="13">
        <f>'[1]Dia 31 (a)'!$P14</f>
        <v>22.4</v>
      </c>
      <c r="AG8" s="14"/>
    </row>
    <row r="9" spans="1:33" ht="20.100000000000001" customHeight="1">
      <c r="A9" s="11">
        <v>12</v>
      </c>
      <c r="B9" s="12">
        <f>'[1]Dia 1 (a)'!$P15</f>
        <v>26.5</v>
      </c>
      <c r="C9" s="12">
        <f>'[1]Dia 2 (a)'!$P15</f>
        <v>28.1</v>
      </c>
      <c r="D9" s="12">
        <f>'[1]Dia 3 (a)'!$P15</f>
        <v>31.4</v>
      </c>
      <c r="E9" s="12">
        <f>'[1]Dia 4 (a)'!$P15</f>
        <v>27.5</v>
      </c>
      <c r="F9" s="12">
        <f>'[1]Dia 5 (a)'!$P15</f>
        <v>24.2</v>
      </c>
      <c r="G9" s="12">
        <f>'[1]Dia 6 (a)'!$P15</f>
        <v>25.8</v>
      </c>
      <c r="H9" s="12">
        <f>'[1]Dia 7 (a)'!$P15</f>
        <v>23.8</v>
      </c>
      <c r="I9" s="12">
        <f>'[1]Dia 8 (a)'!$P15</f>
        <v>23.2</v>
      </c>
      <c r="J9" s="12">
        <f>'[1]Dia 9 (a)'!$P15</f>
        <v>22</v>
      </c>
      <c r="K9" s="12">
        <f>'[1]Dia 10 (a)'!$P15</f>
        <v>23.6</v>
      </c>
      <c r="L9" s="12">
        <f>'[1]Dia 11 (a)'!$P15</f>
        <v>24.8</v>
      </c>
      <c r="M9" s="12">
        <f>'[1]Dia 12 (a)'!$P15</f>
        <v>26.4</v>
      </c>
      <c r="N9" s="12">
        <f>'[1]Dia 13 (a)'!$P15</f>
        <v>27.3</v>
      </c>
      <c r="O9" s="12">
        <f>'[1]Dia 14 (a)'!$P15</f>
        <v>24.2</v>
      </c>
      <c r="P9" s="12">
        <f>'[1]Dia 15 (a)'!$P15</f>
        <v>27.1</v>
      </c>
      <c r="Q9" s="12">
        <f>'[1]Dia 16 (a)'!$P15</f>
        <v>29.4</v>
      </c>
      <c r="R9" s="15">
        <f>'[1]Dia 17 (a)'!$P15</f>
        <v>30.5</v>
      </c>
      <c r="S9" s="12">
        <f>'[1]Dia 18 (a)'!$P15</f>
        <v>33.5</v>
      </c>
      <c r="T9" s="12">
        <f>'[1]Dia 19 (a)'!$P15</f>
        <v>35</v>
      </c>
      <c r="U9" s="12">
        <f>'[1]Dia 20 (a)'!$P15</f>
        <v>33</v>
      </c>
      <c r="V9" s="12">
        <f>'[1]Dia 21 (a)'!$P15</f>
        <v>33</v>
      </c>
      <c r="W9" s="12">
        <f>'[1]Dia 22 (a)'!$P15</f>
        <v>33.4</v>
      </c>
      <c r="X9" s="12">
        <f>'[1]Dia 23 (a)'!$P15</f>
        <v>34.799999999999997</v>
      </c>
      <c r="Y9" s="12">
        <f>'[1]Dia 24 (a)'!$P15</f>
        <v>34.799999999999997</v>
      </c>
      <c r="Z9" s="12">
        <f>'[1]Dia 25 (a)'!$P15</f>
        <v>34</v>
      </c>
      <c r="AA9" s="12">
        <f>'[1]Dia 26 (a)'!$P15</f>
        <v>35.5</v>
      </c>
      <c r="AB9" s="12">
        <f>'[1]Dia 27 (a)'!$P15</f>
        <v>32.299999999999997</v>
      </c>
      <c r="AC9" s="12">
        <f>'[1]Dia 28 (a)'!$P15</f>
        <v>26.9</v>
      </c>
      <c r="AD9" s="12">
        <f>'[1]Dia 29 (a)'!$P15</f>
        <v>23.8</v>
      </c>
      <c r="AE9" s="12">
        <f>'[1]Dia 30 (a)'!$P15</f>
        <v>24</v>
      </c>
      <c r="AF9" s="13">
        <f>'[1]Dia 31 (a)'!$P15</f>
        <v>23.3</v>
      </c>
      <c r="AG9" s="14"/>
    </row>
    <row r="10" spans="1:33" ht="20.100000000000001" customHeight="1">
      <c r="A10" s="11">
        <v>13</v>
      </c>
      <c r="B10" s="12">
        <f>'[1]Dia 1 (a)'!$P16</f>
        <v>26.9</v>
      </c>
      <c r="C10" s="12">
        <f>'[1]Dia 2 (a)'!$P16</f>
        <v>29.1</v>
      </c>
      <c r="D10" s="12">
        <f>'[1]Dia 3 (a)'!$P16</f>
        <v>32</v>
      </c>
      <c r="E10" s="12">
        <f>'[1]Dia 4 (a)'!$P16</f>
        <v>26.2</v>
      </c>
      <c r="F10" s="12">
        <f>'[1]Dia 5 (a)'!$P16</f>
        <v>25.5</v>
      </c>
      <c r="G10" s="12">
        <f>'[1]Dia 6 (a)'!$P16</f>
        <v>26.2</v>
      </c>
      <c r="H10" s="12">
        <f>'[1]Dia 7 (a)'!$P16</f>
        <v>23.8</v>
      </c>
      <c r="I10" s="12">
        <f>'[1]Dia 8 (a)'!$P16</f>
        <v>23.5</v>
      </c>
      <c r="J10" s="12">
        <f>'[1]Dia 9 (a)'!$P16</f>
        <v>21.4</v>
      </c>
      <c r="K10" s="12">
        <f>'[1]Dia 10 (a)'!$P16</f>
        <v>23.7</v>
      </c>
      <c r="L10" s="12">
        <f>'[1]Dia 11 (a)'!$P16</f>
        <v>24.7</v>
      </c>
      <c r="M10" s="12">
        <f>'[1]Dia 12 (a)'!$P16</f>
        <v>26.5</v>
      </c>
      <c r="N10" s="12">
        <f>'[1]Dia 13 (a)'!$P16</f>
        <v>27.9</v>
      </c>
      <c r="O10" s="12">
        <f>'[1]Dia 14 (a)'!$P16</f>
        <v>26.8</v>
      </c>
      <c r="P10" s="12">
        <f>'[1]Dia 15 (a)'!$P16</f>
        <v>27.8</v>
      </c>
      <c r="Q10" s="12">
        <f>'[1]Dia 16 (a)'!$P16</f>
        <v>30</v>
      </c>
      <c r="R10" s="15">
        <f>'[1]Dia 17 (a)'!$P16</f>
        <v>32.6</v>
      </c>
      <c r="S10" s="12">
        <f>'[1]Dia 18 (a)'!$P16</f>
        <v>35.799999999999997</v>
      </c>
      <c r="T10" s="12">
        <f>'[1]Dia 19 (a)'!$P16</f>
        <v>37.200000000000003</v>
      </c>
      <c r="U10" s="12">
        <f>'[1]Dia 20 (a)'!$P16</f>
        <v>35.4</v>
      </c>
      <c r="V10" s="12">
        <f>'[1]Dia 21 (a)'!$P16</f>
        <v>35.200000000000003</v>
      </c>
      <c r="W10" s="12">
        <f>'[1]Dia 22 (a)'!$P16</f>
        <v>36</v>
      </c>
      <c r="X10" s="12">
        <f>'[1]Dia 23 (a)'!$P16</f>
        <v>37.200000000000003</v>
      </c>
      <c r="Y10" s="12">
        <f>'[1]Dia 24 (a)'!$P16</f>
        <v>36</v>
      </c>
      <c r="Z10" s="12">
        <f>'[1]Dia 25 (a)'!$P16</f>
        <v>36.6</v>
      </c>
      <c r="AA10" s="12">
        <f>'[1]Dia 26 (a)'!$P16</f>
        <v>36.799999999999997</v>
      </c>
      <c r="AB10" s="12">
        <f>'[1]Dia 27 (a)'!$P16</f>
        <v>34.4</v>
      </c>
      <c r="AC10" s="12">
        <f>'[1]Dia 28 (a)'!$P16</f>
        <v>27.4</v>
      </c>
      <c r="AD10" s="12">
        <f>'[1]Dia 29 (a)'!$P16</f>
        <v>24.5</v>
      </c>
      <c r="AE10" s="12">
        <f>'[1]Dia 30 (a)'!$P16</f>
        <v>25</v>
      </c>
      <c r="AF10" s="13">
        <f>'[1]Dia 31 (a)'!$P16</f>
        <v>24.4</v>
      </c>
      <c r="AG10" s="14"/>
    </row>
    <row r="11" spans="1:33" ht="20.100000000000001" customHeight="1">
      <c r="A11" s="11">
        <v>14</v>
      </c>
      <c r="B11" s="12">
        <f>'[1]Dia 1 (a)'!$P17</f>
        <v>27</v>
      </c>
      <c r="C11" s="12">
        <f>'[1]Dia 2 (a)'!$P17</f>
        <v>31</v>
      </c>
      <c r="D11" s="12">
        <f>'[1]Dia 3 (a)'!$P17</f>
        <v>30</v>
      </c>
      <c r="E11" s="12">
        <f>'[1]Dia 4 (a)'!$P17</f>
        <v>25.7</v>
      </c>
      <c r="F11" s="12">
        <f>'[1]Dia 5 (a)'!$P17</f>
        <v>25.8</v>
      </c>
      <c r="G11" s="12">
        <f>'[1]Dia 6 (a)'!$P17</f>
        <v>26.6</v>
      </c>
      <c r="H11" s="12">
        <f>'[1]Dia 7 (a)'!$P17</f>
        <v>24</v>
      </c>
      <c r="I11" s="12">
        <f>'[1]Dia 8 (a)'!$P17</f>
        <v>23.9</v>
      </c>
      <c r="J11" s="12">
        <f>'[1]Dia 9 (a)'!$P17</f>
        <v>21.3</v>
      </c>
      <c r="K11" s="12">
        <f>'[1]Dia 10 (a)'!$P17</f>
        <v>23.8</v>
      </c>
      <c r="L11" s="12">
        <f>'[1]Dia 11 (a)'!$P17</f>
        <v>22.7</v>
      </c>
      <c r="M11" s="12">
        <f>'[1]Dia 12 (a)'!$P17</f>
        <v>28.2</v>
      </c>
      <c r="N11" s="12">
        <f>'[1]Dia 13 (a)'!$P17</f>
        <v>27.7</v>
      </c>
      <c r="O11" s="12">
        <f>'[1]Dia 14 (a)'!$P17</f>
        <v>27.8</v>
      </c>
      <c r="P11" s="12">
        <f>'[1]Dia 15 (a)'!$P17</f>
        <v>27.3</v>
      </c>
      <c r="Q11" s="12">
        <f>'[1]Dia 16 (a)'!$P17</f>
        <v>32.1</v>
      </c>
      <c r="R11" s="12">
        <f>'[1]Dia 17 (a)'!$P17</f>
        <v>34</v>
      </c>
      <c r="S11" s="12">
        <f>'[1]Dia 18 (a)'!$P17</f>
        <v>35.4</v>
      </c>
      <c r="T11" s="12">
        <f>'[1]Dia 19 (a)'!$P17</f>
        <v>37.5</v>
      </c>
      <c r="U11" s="12">
        <f>'[1]Dia 20 (a)'!$P17</f>
        <v>36.200000000000003</v>
      </c>
      <c r="V11" s="12">
        <f>'[1]Dia 21 (a)'!$P17</f>
        <v>36.9</v>
      </c>
      <c r="W11" s="12">
        <f>'[1]Dia 22 (a)'!$P17</f>
        <v>37.5</v>
      </c>
      <c r="X11" s="12">
        <f>'[1]Dia 23 (a)'!$P17</f>
        <v>37.700000000000003</v>
      </c>
      <c r="Y11" s="12">
        <f>'[1]Dia 24 (a)'!$P17</f>
        <v>37.6</v>
      </c>
      <c r="Z11" s="12">
        <f>'[1]Dia 25 (a)'!$P17</f>
        <v>37</v>
      </c>
      <c r="AA11" s="12">
        <f>'[1]Dia 26 (a)'!$P17</f>
        <v>38</v>
      </c>
      <c r="AB11" s="12">
        <f>'[1]Dia 27 (a)'!$P17</f>
        <v>35.5</v>
      </c>
      <c r="AC11" s="12">
        <f>'[1]Dia 28 (a)'!$P17</f>
        <v>26.4</v>
      </c>
      <c r="AD11" s="12">
        <f>'[1]Dia 29 (a)'!$P17</f>
        <v>23.3</v>
      </c>
      <c r="AE11" s="12">
        <f>'[1]Dia 30 (a)'!$P17</f>
        <v>25</v>
      </c>
      <c r="AF11" s="13">
        <f>'[1]Dia 31 (a)'!$P17</f>
        <v>25.2</v>
      </c>
      <c r="AG11" s="14"/>
    </row>
    <row r="12" spans="1:33" ht="20.100000000000001" customHeight="1">
      <c r="A12" s="11">
        <v>15</v>
      </c>
      <c r="B12" s="12">
        <f>'[1]Dia 1 (a)'!$P18</f>
        <v>27.8</v>
      </c>
      <c r="C12" s="12">
        <f>'[1]Dia 2 (a)'!$P18</f>
        <v>31.9</v>
      </c>
      <c r="D12" s="12">
        <f>'[1]Dia 3 (a)'!$P18</f>
        <v>28.4</v>
      </c>
      <c r="E12" s="12">
        <f>'[1]Dia 4 (a)'!$P18</f>
        <v>25.4</v>
      </c>
      <c r="F12" s="12">
        <f>'[1]Dia 5 (a)'!$P18</f>
        <v>26.1</v>
      </c>
      <c r="G12" s="12">
        <f>'[1]Dia 6 (a)'!$P18</f>
        <v>26.2</v>
      </c>
      <c r="H12" s="12">
        <f>'[1]Dia 7 (a)'!$P18</f>
        <v>23.9</v>
      </c>
      <c r="I12" s="12">
        <f>'[1]Dia 8 (a)'!$P18</f>
        <v>23.8</v>
      </c>
      <c r="J12" s="12">
        <f>'[1]Dia 9 (a)'!$P18</f>
        <v>21.2</v>
      </c>
      <c r="K12" s="12">
        <f>'[1]Dia 10 (a)'!$P18</f>
        <v>24.6</v>
      </c>
      <c r="L12" s="12">
        <f>'[1]Dia 11 (a)'!$P18</f>
        <v>22.2</v>
      </c>
      <c r="M12" s="12">
        <f>'[1]Dia 12 (a)'!$P18</f>
        <v>26.8</v>
      </c>
      <c r="N12" s="12">
        <f>'[1]Dia 13 (a)'!$P18</f>
        <v>26.6</v>
      </c>
      <c r="O12" s="12">
        <f>'[1]Dia 14 (a)'!$P18</f>
        <v>27.5</v>
      </c>
      <c r="P12" s="12">
        <f>'[1]Dia 15 (a)'!$P18</f>
        <v>27.1</v>
      </c>
      <c r="Q12" s="12">
        <f>'[1]Dia 16 (a)'!$P18</f>
        <v>33.4</v>
      </c>
      <c r="R12" s="15">
        <f>'[1]Dia 17 (a)'!$P18</f>
        <v>33</v>
      </c>
      <c r="S12" s="12">
        <f>'[1]Dia 18 (a)'!$P18</f>
        <v>35.5</v>
      </c>
      <c r="T12" s="12">
        <f>'[1]Dia 19 (a)'!$P18</f>
        <v>34.799999999999997</v>
      </c>
      <c r="U12" s="12">
        <f>'[1]Dia 20 (a)'!$P18</f>
        <v>36.4</v>
      </c>
      <c r="V12" s="12">
        <f>'[1]Dia 21 (a)'!$P18</f>
        <v>37.700000000000003</v>
      </c>
      <c r="W12" s="12">
        <f>'[1]Dia 22 (a)'!$P18</f>
        <v>38.200000000000003</v>
      </c>
      <c r="X12" s="12">
        <f>'[1]Dia 23 (a)'!$P18</f>
        <v>38</v>
      </c>
      <c r="Y12" s="12">
        <f>'[1]Dia 24 (a)'!$P18</f>
        <v>36.799999999999997</v>
      </c>
      <c r="Z12" s="12">
        <f>'[1]Dia 25 (a)'!$P18</f>
        <v>36</v>
      </c>
      <c r="AA12" s="12">
        <f>'[1]Dia 26 (a)'!$P18</f>
        <v>38.799999999999997</v>
      </c>
      <c r="AB12" s="12">
        <f>'[1]Dia 27 (a)'!$P18</f>
        <v>35.700000000000003</v>
      </c>
      <c r="AC12" s="12">
        <f>'[1]Dia 28 (a)'!$P18</f>
        <v>25.8</v>
      </c>
      <c r="AD12" s="12">
        <f>'[1]Dia 29 (a)'!$P18</f>
        <v>23.5</v>
      </c>
      <c r="AE12" s="12">
        <f>'[1]Dia 30 (a)'!$P18</f>
        <v>24.8</v>
      </c>
      <c r="AF12" s="13">
        <f>'[1]Dia 31 (a)'!$P18</f>
        <v>24.5</v>
      </c>
      <c r="AG12" s="14"/>
    </row>
    <row r="13" spans="1:33" ht="20.100000000000001" customHeight="1">
      <c r="A13" s="11">
        <v>16</v>
      </c>
      <c r="B13" s="12">
        <f>'[1]Dia 1 (a)'!$P19</f>
        <v>26.7</v>
      </c>
      <c r="C13" s="12">
        <f>'[1]Dia 2 (a)'!$P19</f>
        <v>31.1</v>
      </c>
      <c r="D13" s="12">
        <f>'[1]Dia 3 (a)'!$P19</f>
        <v>27.4</v>
      </c>
      <c r="E13" s="12">
        <f>'[1]Dia 4 (a)'!$P19</f>
        <v>24.8</v>
      </c>
      <c r="F13" s="12">
        <f>'[1]Dia 5 (a)'!$P19</f>
        <v>26.2</v>
      </c>
      <c r="G13" s="12">
        <f>'[1]Dia 6 (a)'!$P19</f>
        <v>25.5</v>
      </c>
      <c r="H13" s="12">
        <f>'[1]Dia 7 (a)'!$P19</f>
        <v>23.3</v>
      </c>
      <c r="I13" s="12">
        <f>'[1]Dia 8 (a)'!$P19</f>
        <v>23.4</v>
      </c>
      <c r="J13" s="12">
        <f>'[1]Dia 9 (a)'!$P19</f>
        <v>20.8</v>
      </c>
      <c r="K13" s="12">
        <f>'[1]Dia 10 (a)'!$P19</f>
        <v>24.6</v>
      </c>
      <c r="L13" s="12">
        <f>'[1]Dia 11 (a)'!$P19</f>
        <v>22</v>
      </c>
      <c r="M13" s="12">
        <f>'[1]Dia 12 (a)'!$P19</f>
        <v>26</v>
      </c>
      <c r="N13" s="12">
        <f>'[1]Dia 13 (a)'!$P19</f>
        <v>26.2</v>
      </c>
      <c r="O13" s="12">
        <f>'[1]Dia 14 (a)'!$P19</f>
        <v>27</v>
      </c>
      <c r="P13" s="12">
        <f>'[1]Dia 15 (a)'!$P19</f>
        <v>27.5</v>
      </c>
      <c r="Q13" s="12">
        <f>'[1]Dia 16 (a)'!$P19</f>
        <v>32.1</v>
      </c>
      <c r="R13" s="12">
        <f>'[1]Dia 17 (a)'!$P19</f>
        <v>32.5</v>
      </c>
      <c r="S13" s="12">
        <f>'[1]Dia 18 (a)'!$P19</f>
        <v>35</v>
      </c>
      <c r="T13" s="12">
        <f>'[1]Dia 19 (a)'!$P19</f>
        <v>31.9</v>
      </c>
      <c r="U13" s="12">
        <f>'[1]Dia 20 (a)'!$P19</f>
        <v>36.1</v>
      </c>
      <c r="V13" s="12">
        <f>'[1]Dia 21 (a)'!$P19</f>
        <v>37.4</v>
      </c>
      <c r="W13" s="12">
        <f>'[1]Dia 22 (a)'!$P19</f>
        <v>37.700000000000003</v>
      </c>
      <c r="X13" s="12">
        <f>'[1]Dia 23 (a)'!$P19</f>
        <v>36.6</v>
      </c>
      <c r="Y13" s="12">
        <f>'[1]Dia 24 (a)'!$P19</f>
        <v>34.799999999999997</v>
      </c>
      <c r="Z13" s="12">
        <f>'[1]Dia 25 (a)'!$P19</f>
        <v>36</v>
      </c>
      <c r="AA13" s="12">
        <f>'[1]Dia 26 (a)'!$P19</f>
        <v>37.6</v>
      </c>
      <c r="AB13" s="12">
        <f>'[1]Dia 27 (a)'!$P19</f>
        <v>35</v>
      </c>
      <c r="AC13" s="12">
        <f>'[1]Dia 28 (a)'!$P19</f>
        <v>25.8</v>
      </c>
      <c r="AD13" s="12">
        <f>'[1]Dia 29 (a)'!$P19</f>
        <v>24.6</v>
      </c>
      <c r="AE13" s="12">
        <f>'[1]Dia 30 (a)'!$P19</f>
        <v>24.8</v>
      </c>
      <c r="AF13" s="13">
        <f>'[1]Dia 31 (a)'!$P19</f>
        <v>24.4</v>
      </c>
      <c r="AG13" s="14"/>
    </row>
    <row r="14" spans="1:33" ht="20.100000000000001" customHeight="1">
      <c r="A14" s="11">
        <v>17</v>
      </c>
      <c r="B14" s="12">
        <f>'[1]Dia 1 (a)'!$P20</f>
        <v>25.9</v>
      </c>
      <c r="C14" s="12">
        <f>'[1]Dia 2 (a)'!$P20</f>
        <v>28.4</v>
      </c>
      <c r="D14" s="12">
        <f>'[1]Dia 3 (a)'!$P20</f>
        <v>26.6</v>
      </c>
      <c r="E14" s="12">
        <f>'[1]Dia 4 (a)'!$P20</f>
        <v>24.9</v>
      </c>
      <c r="F14" s="12">
        <f>'[1]Dia 5 (a)'!$P20</f>
        <v>26</v>
      </c>
      <c r="G14" s="12">
        <f>'[1]Dia 6 (a)'!$P20</f>
        <v>25.2</v>
      </c>
      <c r="H14" s="12">
        <f>'[1]Dia 7 (a)'!$P20</f>
        <v>23.2</v>
      </c>
      <c r="I14" s="12">
        <f>'[1]Dia 8 (a)'!$P20</f>
        <v>23</v>
      </c>
      <c r="J14" s="12">
        <f>'[1]Dia 9 (a)'!$P20</f>
        <v>20.399999999999999</v>
      </c>
      <c r="K14" s="12">
        <f>'[1]Dia 10 (a)'!$P20</f>
        <v>24.1</v>
      </c>
      <c r="L14" s="12">
        <f>'[1]Dia 11 (a)'!$P20</f>
        <v>22.3</v>
      </c>
      <c r="M14" s="12">
        <f>'[1]Dia 12 (a)'!$P20</f>
        <v>25.2</v>
      </c>
      <c r="N14" s="12">
        <f>'[1]Dia 13 (a)'!$P20</f>
        <v>25.5</v>
      </c>
      <c r="O14" s="12">
        <f>'[1]Dia 14 (a)'!$P20</f>
        <v>26.6</v>
      </c>
      <c r="P14" s="12">
        <f>'[1]Dia 15 (a)'!$P20</f>
        <v>27.2</v>
      </c>
      <c r="Q14" s="12">
        <f>'[1]Dia 16 (a)'!$P20</f>
        <v>29.2</v>
      </c>
      <c r="R14" s="12">
        <f>'[1]Dia 17 (a)'!$P20</f>
        <v>31.4</v>
      </c>
      <c r="S14" s="12">
        <f>'[1]Dia 18 (a)'!$P20</f>
        <v>33.6</v>
      </c>
      <c r="T14" s="12">
        <f>'[1]Dia 19 (a)'!$P20</f>
        <v>29.7</v>
      </c>
      <c r="U14" s="12">
        <f>'[1]Dia 20 (a)'!$P20</f>
        <v>33.799999999999997</v>
      </c>
      <c r="V14" s="12">
        <f>'[1]Dia 21 (a)'!$P20</f>
        <v>35.700000000000003</v>
      </c>
      <c r="W14" s="12">
        <f>'[1]Dia 22 (a)'!$P20</f>
        <v>35.799999999999997</v>
      </c>
      <c r="X14" s="12">
        <f>'[1]Dia 23 (a)'!$P20</f>
        <v>34.200000000000003</v>
      </c>
      <c r="Y14" s="12">
        <f>'[1]Dia 24 (a)'!$P20</f>
        <v>33.5</v>
      </c>
      <c r="Z14" s="12">
        <f>'[1]Dia 25 (a)'!$P20</f>
        <v>34.6</v>
      </c>
      <c r="AA14" s="12">
        <f>'[1]Dia 26 (a)'!$P20</f>
        <v>36.200000000000003</v>
      </c>
      <c r="AB14" s="12">
        <f>'[1]Dia 27 (a)'!$P20</f>
        <v>34.6</v>
      </c>
      <c r="AC14" s="12">
        <f>'[1]Dia 28 (a)'!$P20</f>
        <v>25.7</v>
      </c>
      <c r="AD14" s="12">
        <f>'[1]Dia 29 (a)'!$P20</f>
        <v>24.3</v>
      </c>
      <c r="AE14" s="12">
        <f>'[1]Dia 30 (a)'!$P20</f>
        <v>24.3</v>
      </c>
      <c r="AF14" s="13">
        <f>'[1]Dia 31 (a)'!$P20</f>
        <v>24.4</v>
      </c>
      <c r="AG14" s="14"/>
    </row>
    <row r="15" spans="1:33" ht="20.100000000000001" customHeight="1">
      <c r="A15" s="11">
        <v>18</v>
      </c>
      <c r="B15" s="12">
        <f>'[1]Dia 1 (a)'!$P21</f>
        <v>25.4</v>
      </c>
      <c r="C15" s="12">
        <f>'[1]Dia 2 (a)'!$P21</f>
        <v>27.2</v>
      </c>
      <c r="D15" s="12">
        <f>'[1]Dia 3 (a)'!$P21</f>
        <v>26.1</v>
      </c>
      <c r="E15" s="12">
        <f>'[1]Dia 4 (a)'!$P21</f>
        <v>24.7</v>
      </c>
      <c r="F15" s="12">
        <f>'[1]Dia 5 (a)'!$P21</f>
        <v>25.6</v>
      </c>
      <c r="G15" s="12">
        <f>'[1]Dia 6 (a)'!$P21</f>
        <v>24.6</v>
      </c>
      <c r="H15" s="12">
        <f>'[1]Dia 7 (a)'!$P21</f>
        <v>22.8</v>
      </c>
      <c r="I15" s="12">
        <f>'[1]Dia 8 (a)'!$P21</f>
        <v>22.4</v>
      </c>
      <c r="J15" s="12">
        <f>'[1]Dia 9 (a)'!$P21</f>
        <v>20.3</v>
      </c>
      <c r="K15" s="12">
        <f>'[1]Dia 10 (a)'!$P21</f>
        <v>23.7</v>
      </c>
      <c r="L15" s="12">
        <f>'[1]Dia 11 (a)'!$P21</f>
        <v>22.4</v>
      </c>
      <c r="M15" s="12">
        <f>'[1]Dia 12 (a)'!$P21</f>
        <v>24.6</v>
      </c>
      <c r="N15" s="12">
        <f>'[1]Dia 13 (a)'!$P21</f>
        <v>24.8</v>
      </c>
      <c r="O15" s="12">
        <f>'[1]Dia 14 (a)'!$P21</f>
        <v>26.1</v>
      </c>
      <c r="P15" s="12">
        <f>'[1]Dia 15 (a)'!$P21</f>
        <v>26.6</v>
      </c>
      <c r="Q15" s="12">
        <f>'[1]Dia 16 (a)'!$P21</f>
        <v>27.2</v>
      </c>
      <c r="R15" s="12">
        <f>'[1]Dia 17 (a)'!$P21</f>
        <v>30.3</v>
      </c>
      <c r="S15" s="12">
        <f>'[1]Dia 18 (a)'!$P21</f>
        <v>32.200000000000003</v>
      </c>
      <c r="T15" s="12">
        <f>'[1]Dia 19 (a)'!$P21</f>
        <v>28.3</v>
      </c>
      <c r="U15" s="12">
        <f>'[1]Dia 20 (a)'!$P21</f>
        <v>30.8</v>
      </c>
      <c r="V15" s="12">
        <f>'[1]Dia 21 (a)'!$P21</f>
        <v>33.5</v>
      </c>
      <c r="W15" s="12">
        <f>'[1]Dia 22 (a)'!$P21</f>
        <v>33.9</v>
      </c>
      <c r="X15" s="12">
        <f>'[1]Dia 23 (a)'!$P21</f>
        <v>32.6</v>
      </c>
      <c r="Y15" s="12">
        <f>'[1]Dia 24 (a)'!$P21</f>
        <v>32.4</v>
      </c>
      <c r="Z15" s="12">
        <f>'[1]Dia 25 (a)'!$P21</f>
        <v>33</v>
      </c>
      <c r="AA15" s="12">
        <f>'[1]Dia 26 (a)'!$P21</f>
        <v>34</v>
      </c>
      <c r="AB15" s="12">
        <f>'[1]Dia 27 (a)'!$P21</f>
        <v>33.200000000000003</v>
      </c>
      <c r="AC15" s="12">
        <f>'[1]Dia 28 (a)'!$P21</f>
        <v>25.3</v>
      </c>
      <c r="AD15" s="12">
        <f>'[1]Dia 29 (a)'!$P21</f>
        <v>23.6</v>
      </c>
      <c r="AE15" s="12">
        <f>'[1]Dia 30 (a)'!$P21</f>
        <v>23.8</v>
      </c>
      <c r="AF15" s="13">
        <f>'[1]Dia 31 (a)'!$P21</f>
        <v>24.2</v>
      </c>
      <c r="AG15" s="14"/>
    </row>
    <row r="16" spans="1:33" ht="20.100000000000001" customHeight="1">
      <c r="A16" s="11">
        <v>19</v>
      </c>
      <c r="B16" s="12">
        <f>'[1]Dia 1 (a)'!$P22</f>
        <v>24.7</v>
      </c>
      <c r="C16" s="12">
        <f>'[1]Dia 2 (a)'!$P22</f>
        <v>26.2</v>
      </c>
      <c r="D16" s="12">
        <f>'[1]Dia 3 (a)'!$P22</f>
        <v>25.6</v>
      </c>
      <c r="E16" s="12">
        <f>'[1]Dia 4 (a)'!$P22</f>
        <v>24.3</v>
      </c>
      <c r="F16" s="12">
        <f>'[1]Dia 5 (a)'!$P22</f>
        <v>25.2</v>
      </c>
      <c r="G16" s="12">
        <f>'[1]Dia 6 (a)'!$P22</f>
        <v>23.8</v>
      </c>
      <c r="H16" s="12">
        <f>'[1]Dia 7 (a)'!$P22</f>
        <v>22.44</v>
      </c>
      <c r="I16" s="12">
        <f>'[1]Dia 8 (a)'!$P22</f>
        <v>21.6</v>
      </c>
      <c r="J16" s="12">
        <f>'[1]Dia 9 (a)'!$P22</f>
        <v>20.100000000000001</v>
      </c>
      <c r="K16" s="12">
        <f>'[1]Dia 10 (a)'!$P22</f>
        <v>23.3</v>
      </c>
      <c r="L16" s="12">
        <f>'[1]Dia 11 (a)'!$P22</f>
        <v>22.2</v>
      </c>
      <c r="M16" s="12">
        <f>'[1]Dia 12 (a)'!$P22</f>
        <v>24</v>
      </c>
      <c r="N16" s="12">
        <f>'[1]Dia 13 (a)'!$P22</f>
        <v>24.3</v>
      </c>
      <c r="O16" s="12">
        <f>'[1]Dia 14 (a)'!$P22</f>
        <v>25.3</v>
      </c>
      <c r="P16" s="12">
        <f>'[1]Dia 15 (a)'!$P22</f>
        <v>25.9</v>
      </c>
      <c r="Q16" s="12">
        <f>'[1]Dia 16 (a)'!$P22</f>
        <v>26.2</v>
      </c>
      <c r="R16" s="12">
        <f>'[1]Dia 17 (a)'!$P22</f>
        <v>29.1</v>
      </c>
      <c r="S16" s="12">
        <f>'[1]Dia 18 (a)'!$P22</f>
        <v>31</v>
      </c>
      <c r="T16" s="12">
        <f>'[1]Dia 19 (a)'!$P22</f>
        <v>27.4</v>
      </c>
      <c r="U16" s="12">
        <f>'[1]Dia 20 (a)'!$P22</f>
        <v>29.2</v>
      </c>
      <c r="V16" s="12">
        <f>'[1]Dia 21 (a)'!$P22</f>
        <v>31.6</v>
      </c>
      <c r="W16" s="12">
        <f>'[1]Dia 22 (a)'!$P22</f>
        <v>32.4</v>
      </c>
      <c r="X16" s="12">
        <f>'[1]Dia 23 (a)'!$P22</f>
        <v>31.6</v>
      </c>
      <c r="Y16" s="12">
        <f>'[1]Dia 24 (a)'!$P22</f>
        <v>31.2</v>
      </c>
      <c r="Z16" s="12">
        <f>'[1]Dia 25 (a)'!$P22</f>
        <v>31.7</v>
      </c>
      <c r="AA16" s="12">
        <f>'[1]Dia 26 (a)'!$P22</f>
        <v>30</v>
      </c>
      <c r="AB16" s="12">
        <f>'[1]Dia 27 (a)'!$P22</f>
        <v>31.4</v>
      </c>
      <c r="AC16" s="12">
        <f>'[1]Dia 28 (a)'!$P22</f>
        <v>24.5</v>
      </c>
      <c r="AD16" s="12">
        <f>'[1]Dia 29 (a)'!$P22</f>
        <v>23.1</v>
      </c>
      <c r="AE16" s="12">
        <f>'[1]Dia 30 (a)'!$P22</f>
        <v>23.4</v>
      </c>
      <c r="AF16" s="13">
        <f>'[1]Dia 31 (a)'!$P22</f>
        <v>23.6</v>
      </c>
      <c r="AG16" s="14"/>
    </row>
    <row r="17" spans="1:33" ht="20.100000000000001" customHeight="1">
      <c r="A17" s="11">
        <v>20</v>
      </c>
      <c r="B17" s="12">
        <f>'[1]Dia 1 (a)'!$P23</f>
        <v>24.3</v>
      </c>
      <c r="C17" s="12">
        <f>'[1]Dia 2 (a)'!$P23</f>
        <v>25.4</v>
      </c>
      <c r="D17" s="12">
        <f>'[1]Dia 3 (a)'!$P23</f>
        <v>25.2</v>
      </c>
      <c r="E17" s="12">
        <f>'[1]Dia 4 (a)'!$P23</f>
        <v>23.9</v>
      </c>
      <c r="F17" s="12">
        <f>'[1]Dia 5 (a)'!$P23</f>
        <v>24.6</v>
      </c>
      <c r="G17" s="12">
        <f>'[1]Dia 6 (a)'!$P23</f>
        <v>23.3</v>
      </c>
      <c r="H17" s="12">
        <f>'[1]Dia 7 (a)'!$P23</f>
        <v>22.2</v>
      </c>
      <c r="I17" s="12">
        <f>'[1]Dia 8 (a)'!$P23</f>
        <v>21.3</v>
      </c>
      <c r="J17" s="12">
        <f>'[1]Dia 9 (a)'!$P23</f>
        <v>19.8</v>
      </c>
      <c r="K17" s="12">
        <f>'[1]Dia 10 (a)'!$P23</f>
        <v>22.7</v>
      </c>
      <c r="L17" s="12">
        <f>'[1]Dia 11 (a)'!$P23</f>
        <v>22</v>
      </c>
      <c r="M17" s="12">
        <f>'[1]Dia 12 (a)'!$P23</f>
        <v>23.4</v>
      </c>
      <c r="N17" s="12">
        <f>'[1]Dia 13 (a)'!$P23</f>
        <v>23.6</v>
      </c>
      <c r="O17" s="12">
        <f>'[1]Dia 14 (a)'!$P23</f>
        <v>24.7</v>
      </c>
      <c r="P17" s="12">
        <f>'[1]Dia 15 (a)'!$P23</f>
        <v>25.3</v>
      </c>
      <c r="Q17" s="12">
        <f>'[1]Dia 16 (a)'!$P23</f>
        <v>25.4</v>
      </c>
      <c r="R17" s="12">
        <f>'[1]Dia 17 (a)'!$P23</f>
        <v>27.8</v>
      </c>
      <c r="S17" s="12">
        <f>'[1]Dia 18 (a)'!$P23</f>
        <v>29.8</v>
      </c>
      <c r="T17" s="12">
        <f>'[1]Dia 19 (a)'!$P23</f>
        <v>26.6</v>
      </c>
      <c r="U17" s="12">
        <f>'[1]Dia 20 (a)'!$P23</f>
        <v>28</v>
      </c>
      <c r="V17" s="12">
        <f>'[1]Dia 21 (a)'!$P23</f>
        <v>30.1</v>
      </c>
      <c r="W17" s="12">
        <f>'[1]Dia 22 (a)'!$P23</f>
        <v>31.3</v>
      </c>
      <c r="X17" s="12">
        <f>'[1]Dia 23 (a)'!$P23</f>
        <v>30.4</v>
      </c>
      <c r="Y17" s="12">
        <f>'[1]Dia 24 (a)'!$P23</f>
        <v>30.3</v>
      </c>
      <c r="Z17" s="12">
        <f>'[1]Dia 25 (a)'!$P23</f>
        <v>30.7</v>
      </c>
      <c r="AA17" s="12">
        <f>'[1]Dia 26 (a)'!$P23</f>
        <v>28</v>
      </c>
      <c r="AB17" s="12">
        <f>'[1]Dia 27 (a)'!$P23</f>
        <v>30</v>
      </c>
      <c r="AC17" s="12">
        <f>'[1]Dia 28 (a)'!$P23</f>
        <v>24.2</v>
      </c>
      <c r="AD17" s="12">
        <f>'[1]Dia 29 (a)'!$P23</f>
        <v>22.5</v>
      </c>
      <c r="AE17" s="12">
        <f>'[1]Dia 30 (a)'!$P23</f>
        <v>23</v>
      </c>
      <c r="AF17" s="13">
        <f>'[1]Dia 31 (a)'!$P23</f>
        <v>23.2</v>
      </c>
      <c r="AG17" s="14"/>
    </row>
    <row r="18" spans="1:33" ht="20.100000000000001" customHeight="1">
      <c r="A18" s="11">
        <v>21</v>
      </c>
      <c r="B18" s="12">
        <f>'[1]Dia 1 (a)'!$P24</f>
        <v>23.4</v>
      </c>
      <c r="C18" s="12">
        <f>'[1]Dia 2 (a)'!$P24</f>
        <v>24.8</v>
      </c>
      <c r="D18" s="12">
        <f>'[1]Dia 3 (a)'!$P24</f>
        <v>24.7</v>
      </c>
      <c r="E18" s="12">
        <f>'[1]Dia 4 (a)'!$P24</f>
        <v>23.7</v>
      </c>
      <c r="F18" s="12">
        <f>'[1]Dia 5 (a)'!$P24</f>
        <v>23.8</v>
      </c>
      <c r="G18" s="12">
        <f>'[1]Dia 6 (a)'!$P24</f>
        <v>22.8</v>
      </c>
      <c r="H18" s="12">
        <f>'[1]Dia 7 (a)'!$P24</f>
        <v>21.6</v>
      </c>
      <c r="I18" s="12">
        <f>'[1]Dia 8 (a)'!$P24</f>
        <v>20.8</v>
      </c>
      <c r="J18" s="12">
        <f>'[1]Dia 9 (a)'!$P24</f>
        <v>19.600000000000001</v>
      </c>
      <c r="K18" s="12">
        <f>'[1]Dia 10 (a)'!$P24</f>
        <v>22.2</v>
      </c>
      <c r="L18" s="12">
        <f>'[1]Dia 11 (a)'!$P24</f>
        <v>21.6</v>
      </c>
      <c r="M18" s="12">
        <f>'[1]Dia 12 (a)'!$P24</f>
        <v>23</v>
      </c>
      <c r="N18" s="12">
        <f>'[1]Dia 13 (a)'!$P24</f>
        <v>23.5</v>
      </c>
      <c r="O18" s="12">
        <f>'[1]Dia 14 (a)'!$P24</f>
        <v>24.3</v>
      </c>
      <c r="P18" s="12">
        <f>'[1]Dia 15 (a)'!$P24</f>
        <v>24.8</v>
      </c>
      <c r="Q18" s="12">
        <f>'[1]Dia 16 (a)'!$P24</f>
        <v>24.8</v>
      </c>
      <c r="R18" s="12">
        <f>'[1]Dia 17 (a)'!$P24</f>
        <v>27</v>
      </c>
      <c r="S18" s="12">
        <f>'[1]Dia 18 (a)'!$P24</f>
        <v>28.8</v>
      </c>
      <c r="T18" s="12">
        <f>'[1]Dia 19 (a)'!$P24</f>
        <v>26</v>
      </c>
      <c r="U18" s="12">
        <f>'[1]Dia 20 (a)'!$P24</f>
        <v>27</v>
      </c>
      <c r="V18" s="12">
        <f>'[1]Dia 21 (a)'!$P24</f>
        <v>29.1</v>
      </c>
      <c r="W18" s="12">
        <f>'[1]Dia 22 (a)'!$P24</f>
        <v>29.9</v>
      </c>
      <c r="X18" s="12">
        <f>'[1]Dia 23 (a)'!$P24</f>
        <v>29.5</v>
      </c>
      <c r="Y18" s="12">
        <f>'[1]Dia 24 (a)'!$P24</f>
        <v>29.4</v>
      </c>
      <c r="Z18" s="12">
        <f>'[1]Dia 25 (a)'!$P24</f>
        <v>29.8</v>
      </c>
      <c r="AA18" s="12">
        <f>'[1]Dia 26 (a)'!$P24</f>
        <v>26</v>
      </c>
      <c r="AB18" s="12">
        <f>'[1]Dia 27 (a)'!$P24</f>
        <v>28</v>
      </c>
      <c r="AC18" s="12">
        <f>'[1]Dia 28 (a)'!$P24</f>
        <v>23.8</v>
      </c>
      <c r="AD18" s="12">
        <f>'[1]Dia 29 (a)'!$P24</f>
        <v>21.8</v>
      </c>
      <c r="AE18" s="12">
        <f>'[1]Dia 30 (a)'!$P24</f>
        <v>22.6</v>
      </c>
      <c r="AF18" s="13">
        <f>'[1]Dia 31 (a)'!$P24</f>
        <v>22.9</v>
      </c>
      <c r="AG18" s="14"/>
    </row>
    <row r="19" spans="1:33" ht="20.100000000000001" customHeight="1">
      <c r="A19" s="11">
        <v>22</v>
      </c>
      <c r="B19" s="12">
        <f>'[1]Dia 1 (a)'!$P25</f>
        <v>23.2</v>
      </c>
      <c r="C19" s="12">
        <f>'[1]Dia 2 (a)'!$P25</f>
        <v>24.5</v>
      </c>
      <c r="D19" s="12">
        <f>'[1]Dia 3 (a)'!$P25</f>
        <v>24.4</v>
      </c>
      <c r="E19" s="12">
        <f>'[1]Dia 4 (a)'!$P25</f>
        <v>23.6</v>
      </c>
      <c r="F19" s="12">
        <f>'[1]Dia 5 (a)'!$P25</f>
        <v>23.3</v>
      </c>
      <c r="G19" s="12">
        <f>'[1]Dia 6 (a)'!$P25</f>
        <v>22.5</v>
      </c>
      <c r="H19" s="12">
        <f>'[1]Dia 7 (a)'!$P25</f>
        <v>21.4</v>
      </c>
      <c r="I19" s="12">
        <f>'[1]Dia 8 (a)'!$P25</f>
        <v>20.5</v>
      </c>
      <c r="J19" s="12">
        <f>'[1]Dia 9 (a)'!$P25</f>
        <v>19.5</v>
      </c>
      <c r="K19" s="12">
        <f>'[1]Dia 10 (a)'!$P25</f>
        <v>21.7</v>
      </c>
      <c r="L19" s="12">
        <f>'[1]Dia 11 (a)'!$P25</f>
        <v>21.4</v>
      </c>
      <c r="M19" s="12">
        <f>'[1]Dia 12 (a)'!$P25</f>
        <v>22.7</v>
      </c>
      <c r="N19" s="12">
        <f>'[1]Dia 13 (a)'!$P25</f>
        <v>23.3</v>
      </c>
      <c r="O19" s="12">
        <f>'[1]Dia 14 (a)'!$P25</f>
        <v>24</v>
      </c>
      <c r="P19" s="12">
        <f>'[1]Dia 15 (a)'!$P25</f>
        <v>24.4</v>
      </c>
      <c r="Q19" s="12">
        <f>'[1]Dia 16 (a)'!$P25</f>
        <v>24.4</v>
      </c>
      <c r="R19" s="12">
        <f>'[1]Dia 17 (a)'!$P25</f>
        <v>26.2</v>
      </c>
      <c r="S19" s="12">
        <f>'[1]Dia 18 (a)'!$P25</f>
        <v>27.8</v>
      </c>
      <c r="T19" s="12">
        <f>'[1]Dia 19 (a)'!$P25</f>
        <v>25.4</v>
      </c>
      <c r="U19" s="12">
        <f>'[1]Dia 20 (a)'!$P25</f>
        <v>26.4</v>
      </c>
      <c r="V19" s="12">
        <f>'[1]Dia 21 (a)'!$P25</f>
        <v>28.4</v>
      </c>
      <c r="W19" s="12">
        <f>'[1]Dia 22 (a)'!$P25</f>
        <v>28.8</v>
      </c>
      <c r="X19" s="12">
        <f>'[1]Dia 23 (a)'!$P25</f>
        <v>28.7</v>
      </c>
      <c r="Y19" s="12">
        <f>'[1]Dia 24 (a)'!$P25</f>
        <v>28.7</v>
      </c>
      <c r="Z19" s="12">
        <f>'[1]Dia 25 (a)'!$P25</f>
        <v>29</v>
      </c>
      <c r="AA19" s="12">
        <f>'[1]Dia 26 (a)'!$P25</f>
        <v>26</v>
      </c>
      <c r="AB19" s="12">
        <f>'[1]Dia 27 (a)'!$P25</f>
        <v>28</v>
      </c>
      <c r="AC19" s="12">
        <f>'[1]Dia 28 (a)'!$P25</f>
        <v>23.8</v>
      </c>
      <c r="AD19" s="12">
        <f>'[1]Dia 29 (a)'!$P25</f>
        <v>21.4</v>
      </c>
      <c r="AE19" s="12">
        <f>'[1]Dia 30 (a)'!$P25</f>
        <v>22.3</v>
      </c>
      <c r="AF19" s="13">
        <f>'[1]Dia 31 (a)'!$P25</f>
        <v>22.6</v>
      </c>
      <c r="AG19" s="14"/>
    </row>
    <row r="20" spans="1:33" ht="20.100000000000001" customHeight="1">
      <c r="A20" s="11">
        <v>23</v>
      </c>
      <c r="B20" s="12">
        <f>'[1]Dia 1 (a)'!$P26</f>
        <v>22.8</v>
      </c>
      <c r="C20" s="12">
        <f>'[1]Dia 2 (a)'!$P26</f>
        <v>24.3</v>
      </c>
      <c r="D20" s="12">
        <f>'[1]Dia 3 (a)'!$P26</f>
        <v>24.2</v>
      </c>
      <c r="E20" s="12">
        <f>'[1]Dia 4 (a)'!$P26</f>
        <v>23.3</v>
      </c>
      <c r="F20" s="12">
        <f>'[1]Dia 5 (a)'!$P26</f>
        <v>23</v>
      </c>
      <c r="G20" s="12">
        <f>'[1]Dia 6 (a)'!$P26</f>
        <v>22.2</v>
      </c>
      <c r="H20" s="12">
        <f>'[1]Dia 7 (a)'!$P26</f>
        <v>21.3</v>
      </c>
      <c r="I20" s="12">
        <f>'[1]Dia 8 (a)'!$P26</f>
        <v>20.399999999999999</v>
      </c>
      <c r="J20" s="12">
        <f>'[1]Dia 9 (a)'!$P26</f>
        <v>19.5</v>
      </c>
      <c r="K20" s="12">
        <f>'[1]Dia 10 (a)'!$P26</f>
        <v>21.6</v>
      </c>
      <c r="L20" s="12">
        <f>'[1]Dia 11 (a)'!$P26</f>
        <v>21.3</v>
      </c>
      <c r="M20" s="12">
        <f>'[1]Dia 12 (a)'!$P26</f>
        <v>22.4</v>
      </c>
      <c r="N20" s="12">
        <f>'[1]Dia 13 (a)'!$P26</f>
        <v>23.2</v>
      </c>
      <c r="O20" s="12">
        <f>'[1]Dia 14 (a)'!$P26</f>
        <v>23.7</v>
      </c>
      <c r="P20" s="12">
        <f>'[1]Dia 15 (a)'!$P26</f>
        <v>24</v>
      </c>
      <c r="Q20" s="12">
        <f>'[1]Dia 16 (a)'!$P26</f>
        <v>23.9</v>
      </c>
      <c r="R20" s="12">
        <f>'[1]Dia 17 (a)'!$P26</f>
        <v>25.5</v>
      </c>
      <c r="S20" s="12">
        <f>'[1]Dia 18 (a)'!$P26</f>
        <v>27.4</v>
      </c>
      <c r="T20" s="12">
        <f>'[1]Dia 19 (a)'!$P26</f>
        <v>24.8</v>
      </c>
      <c r="U20" s="12">
        <f>'[1]Dia 20 (a)'!$P26</f>
        <v>25.8</v>
      </c>
      <c r="V20" s="12">
        <f>'[1]Dia 21 (a)'!$P26</f>
        <v>27.4</v>
      </c>
      <c r="W20" s="12">
        <f>'[1]Dia 22 (a)'!$P26</f>
        <v>28.1</v>
      </c>
      <c r="X20" s="12">
        <f>'[1]Dia 23 (a)'!$P26</f>
        <v>27.9</v>
      </c>
      <c r="Y20" s="12">
        <f>'[1]Dia 24 (a)'!$P26</f>
        <v>28.1</v>
      </c>
      <c r="Z20" s="12">
        <f>'[1]Dia 25 (a)'!$P26</f>
        <v>28.5</v>
      </c>
      <c r="AA20" s="12">
        <f>'[1]Dia 26 (a)'!$P26</f>
        <v>26</v>
      </c>
      <c r="AB20" s="12">
        <f>'[1]Dia 27 (a)'!$P26</f>
        <v>27.8</v>
      </c>
      <c r="AC20" s="12">
        <f>'[1]Dia 28 (a)'!$P26</f>
        <v>23.3</v>
      </c>
      <c r="AD20" s="12">
        <f>'[1]Dia 29 (a)'!$P26</f>
        <v>20.7</v>
      </c>
      <c r="AE20" s="12">
        <f>'[1]Dia 30 (a)'!$P26</f>
        <v>22</v>
      </c>
      <c r="AF20" s="13">
        <f>'[1]Dia 31 (a)'!$P26</f>
        <v>22.4</v>
      </c>
      <c r="AG20" s="14"/>
    </row>
    <row r="21" spans="1:33" ht="20.100000000000001" customHeight="1" thickBot="1">
      <c r="A21" s="16">
        <v>24</v>
      </c>
      <c r="B21" s="17">
        <f>'[1]Dia 1 (a)'!$P27</f>
        <v>22.6</v>
      </c>
      <c r="C21" s="17">
        <f>'[1]Dia 2 (a)'!$P27</f>
        <v>23.7</v>
      </c>
      <c r="D21" s="17">
        <f>'[1]Dia 3 (a)'!$P27</f>
        <v>23.8</v>
      </c>
      <c r="E21" s="17">
        <f>'[1]Dia 4 (a)'!$P27</f>
        <v>23</v>
      </c>
      <c r="F21" s="17">
        <f>'[1]Dia 5 (a)'!$P27</f>
        <v>22.8</v>
      </c>
      <c r="G21" s="17">
        <f>'[1]Dia 6 (a)'!$P27</f>
        <v>22</v>
      </c>
      <c r="H21" s="17">
        <f>'[1]Dia 7 (a)'!$P27</f>
        <v>21.1</v>
      </c>
      <c r="I21" s="17">
        <f>'[1]Dia 8 (a)'!$P27</f>
        <v>20.399999999999999</v>
      </c>
      <c r="J21" s="17">
        <f>'[1]Dia 9 (a)'!$P27</f>
        <v>19.399999999999999</v>
      </c>
      <c r="K21" s="17">
        <f>'[1]Dia 10 (a)'!$P27</f>
        <v>21.2</v>
      </c>
      <c r="L21" s="17">
        <f>'[1]Dia 11 (a)'!$P27</f>
        <v>21.1</v>
      </c>
      <c r="M21" s="17">
        <f>'[1]Dia 12 (a)'!$P27</f>
        <v>22.2</v>
      </c>
      <c r="N21" s="17">
        <f>'[1]Dia 13 (a)'!$P27</f>
        <v>22.1</v>
      </c>
      <c r="O21" s="17">
        <f>'[1]Dia 14 (a)'!$P27</f>
        <v>23.6</v>
      </c>
      <c r="P21" s="17">
        <f>'[1]Dia 15 (a)'!$P27</f>
        <v>23.6</v>
      </c>
      <c r="Q21" s="17">
        <f>'[1]Dia 16 (a)'!$P27</f>
        <v>23.5</v>
      </c>
      <c r="R21" s="17">
        <f>'[1]Dia 17 (a)'!$P27</f>
        <v>25.1</v>
      </c>
      <c r="S21" s="17">
        <f>'[1]Dia 18 (a)'!$P27</f>
        <v>26.9</v>
      </c>
      <c r="T21" s="17">
        <f>'[1]Dia 19 (a)'!$P27</f>
        <v>24.4</v>
      </c>
      <c r="U21" s="17">
        <f>'[1]Dia 20 (a)'!$P27</f>
        <v>25.2</v>
      </c>
      <c r="V21" s="17">
        <f>'[1]Dia 21 (a)'!$P27</f>
        <v>26.7</v>
      </c>
      <c r="W21" s="17">
        <f>'[1]Dia 22 (a)'!$P27</f>
        <v>27.2</v>
      </c>
      <c r="X21" s="17">
        <f>'[1]Dia 23 (a)'!$P27</f>
        <v>27.3</v>
      </c>
      <c r="Y21" s="17">
        <f>'[1]Dia 24 (a)'!$P27</f>
        <v>27.6</v>
      </c>
      <c r="Z21" s="17">
        <f>'[1]Dia 25 (a)'!$P27</f>
        <v>28</v>
      </c>
      <c r="AA21" s="17">
        <f>'[1]Dia 26 (a)'!$P27</f>
        <v>26.4</v>
      </c>
      <c r="AB21" s="17">
        <f>'[1]Dia 27 (a)'!$P27</f>
        <v>27.6</v>
      </c>
      <c r="AC21" s="17">
        <f>'[1]Dia 28 (a)'!$P27</f>
        <v>23.1</v>
      </c>
      <c r="AD21" s="17">
        <f>'[1]Dia 29 (a)'!$P27</f>
        <v>20.2</v>
      </c>
      <c r="AE21" s="17">
        <f>'[1]Dia 30 (a)'!$P27</f>
        <v>21.7</v>
      </c>
      <c r="AF21" s="18">
        <f>'[1]Dia 31 (a)'!$P27</f>
        <v>22.2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 t="s">
        <v>2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24.383333333333333</v>
      </c>
      <c r="C25" s="26">
        <f t="shared" ref="C25:AF25" si="0">AVERAGE(C4:C21)</f>
        <v>26.43333333333333</v>
      </c>
      <c r="D25" s="26">
        <f t="shared" si="0"/>
        <v>26.416666666666671</v>
      </c>
      <c r="E25" s="26">
        <f t="shared" si="0"/>
        <v>24.594444444444445</v>
      </c>
      <c r="F25" s="26">
        <f t="shared" si="0"/>
        <v>24.177777777777781</v>
      </c>
      <c r="G25" s="26">
        <f t="shared" si="0"/>
        <v>24.105555555555558</v>
      </c>
      <c r="H25" s="26">
        <f t="shared" si="0"/>
        <v>22.524444444444448</v>
      </c>
      <c r="I25" s="26">
        <f t="shared" si="0"/>
        <v>21.861111111111111</v>
      </c>
      <c r="J25" s="26">
        <f t="shared" si="0"/>
        <v>20.544444444444448</v>
      </c>
      <c r="K25" s="26">
        <f t="shared" si="0"/>
        <v>22.594444444444445</v>
      </c>
      <c r="L25" s="26">
        <f t="shared" si="0"/>
        <v>22.15</v>
      </c>
      <c r="M25" s="26">
        <f t="shared" si="0"/>
        <v>24.083333333333329</v>
      </c>
      <c r="N25" s="26">
        <f t="shared" si="0"/>
        <v>24.761111111111113</v>
      </c>
      <c r="O25" s="26">
        <f t="shared" si="0"/>
        <v>24.683333333333337</v>
      </c>
      <c r="P25" s="26">
        <f t="shared" si="0"/>
        <v>25.677777777777777</v>
      </c>
      <c r="Q25" s="26">
        <f t="shared" si="0"/>
        <v>26.966666666666661</v>
      </c>
      <c r="R25" s="26">
        <f t="shared" si="0"/>
        <v>28.166666666666671</v>
      </c>
      <c r="S25" s="26">
        <f t="shared" si="0"/>
        <v>30.177777777777781</v>
      </c>
      <c r="T25" s="26">
        <f t="shared" si="0"/>
        <v>29.061111111111114</v>
      </c>
      <c r="U25" s="26">
        <f t="shared" si="0"/>
        <v>29.488888888888894</v>
      </c>
      <c r="V25" s="26">
        <f t="shared" si="0"/>
        <v>30.705555555555559</v>
      </c>
      <c r="W25" s="26">
        <f t="shared" si="0"/>
        <v>30.994444444444444</v>
      </c>
      <c r="X25" s="26">
        <f t="shared" si="0"/>
        <v>31.399999999999995</v>
      </c>
      <c r="Y25" s="26">
        <f t="shared" si="0"/>
        <v>31.166666666666668</v>
      </c>
      <c r="Z25" s="26">
        <f t="shared" si="0"/>
        <v>31.25</v>
      </c>
      <c r="AA25" s="26">
        <f t="shared" si="0"/>
        <v>31.233333333333331</v>
      </c>
      <c r="AB25" s="26">
        <f t="shared" si="0"/>
        <v>30.233333333333334</v>
      </c>
      <c r="AC25" s="26">
        <f t="shared" si="0"/>
        <v>24.94444444444445</v>
      </c>
      <c r="AD25" s="26">
        <f t="shared" si="0"/>
        <v>22.888888888888889</v>
      </c>
      <c r="AE25" s="26">
        <f t="shared" si="0"/>
        <v>22.727777777777778</v>
      </c>
      <c r="AF25" s="27">
        <f t="shared" si="0"/>
        <v>23.066666666666666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27.8</v>
      </c>
      <c r="C29" s="26">
        <f t="shared" ref="C29:AF29" si="1">MAX(C4:C21)</f>
        <v>31.9</v>
      </c>
      <c r="D29" s="26">
        <f t="shared" si="1"/>
        <v>32</v>
      </c>
      <c r="E29" s="26">
        <f t="shared" si="1"/>
        <v>27.5</v>
      </c>
      <c r="F29" s="26">
        <f t="shared" si="1"/>
        <v>26.2</v>
      </c>
      <c r="G29" s="26">
        <f t="shared" si="1"/>
        <v>26.6</v>
      </c>
      <c r="H29" s="26">
        <f t="shared" si="1"/>
        <v>24</v>
      </c>
      <c r="I29" s="26">
        <f t="shared" si="1"/>
        <v>23.9</v>
      </c>
      <c r="J29" s="26">
        <f t="shared" si="1"/>
        <v>22.3</v>
      </c>
      <c r="K29" s="26">
        <f t="shared" si="1"/>
        <v>24.6</v>
      </c>
      <c r="L29" s="26">
        <f t="shared" si="1"/>
        <v>24.8</v>
      </c>
      <c r="M29" s="26">
        <f t="shared" si="1"/>
        <v>28.2</v>
      </c>
      <c r="N29" s="26">
        <f t="shared" si="1"/>
        <v>27.9</v>
      </c>
      <c r="O29" s="26">
        <f t="shared" si="1"/>
        <v>27.8</v>
      </c>
      <c r="P29" s="26">
        <f t="shared" si="1"/>
        <v>27.8</v>
      </c>
      <c r="Q29" s="26">
        <f t="shared" si="1"/>
        <v>33.4</v>
      </c>
      <c r="R29" s="26">
        <f t="shared" si="1"/>
        <v>34</v>
      </c>
      <c r="S29" s="26">
        <f t="shared" si="1"/>
        <v>35.799999999999997</v>
      </c>
      <c r="T29" s="26">
        <f t="shared" si="1"/>
        <v>37.5</v>
      </c>
      <c r="U29" s="26">
        <f t="shared" si="1"/>
        <v>36.4</v>
      </c>
      <c r="V29" s="26">
        <f t="shared" si="1"/>
        <v>37.700000000000003</v>
      </c>
      <c r="W29" s="26">
        <f t="shared" si="1"/>
        <v>38.200000000000003</v>
      </c>
      <c r="X29" s="26">
        <f t="shared" si="1"/>
        <v>38</v>
      </c>
      <c r="Y29" s="26">
        <f t="shared" si="1"/>
        <v>37.6</v>
      </c>
      <c r="Z29" s="26">
        <f t="shared" si="1"/>
        <v>37</v>
      </c>
      <c r="AA29" s="26">
        <f t="shared" si="1"/>
        <v>38.799999999999997</v>
      </c>
      <c r="AB29" s="26">
        <f t="shared" si="1"/>
        <v>35.700000000000003</v>
      </c>
      <c r="AC29" s="26">
        <f t="shared" si="1"/>
        <v>27.4</v>
      </c>
      <c r="AD29" s="26">
        <f t="shared" si="1"/>
        <v>24.6</v>
      </c>
      <c r="AE29" s="26">
        <f t="shared" si="1"/>
        <v>25</v>
      </c>
      <c r="AF29" s="27">
        <f t="shared" si="1"/>
        <v>25.2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20.3</v>
      </c>
      <c r="C33" s="26">
        <f t="shared" ref="C33:AF33" si="2">MIN(C4:C21)</f>
        <v>21.8</v>
      </c>
      <c r="D33" s="26">
        <f t="shared" si="2"/>
        <v>22.6</v>
      </c>
      <c r="E33" s="26">
        <f t="shared" si="2"/>
        <v>22.4</v>
      </c>
      <c r="F33" s="26">
        <f t="shared" si="2"/>
        <v>21.8</v>
      </c>
      <c r="G33" s="26">
        <f t="shared" si="2"/>
        <v>22</v>
      </c>
      <c r="H33" s="26">
        <f t="shared" si="2"/>
        <v>21.1</v>
      </c>
      <c r="I33" s="26">
        <f t="shared" si="2"/>
        <v>20.100000000000001</v>
      </c>
      <c r="J33" s="26">
        <f t="shared" si="2"/>
        <v>19.399999999999999</v>
      </c>
      <c r="K33" s="26">
        <f t="shared" si="2"/>
        <v>19.399999999999999</v>
      </c>
      <c r="L33" s="26">
        <f t="shared" si="2"/>
        <v>20.399999999999999</v>
      </c>
      <c r="M33" s="26">
        <f t="shared" si="2"/>
        <v>20.2</v>
      </c>
      <c r="N33" s="26">
        <f t="shared" si="2"/>
        <v>22</v>
      </c>
      <c r="O33" s="26">
        <f t="shared" si="2"/>
        <v>21.6</v>
      </c>
      <c r="P33" s="26">
        <f t="shared" si="2"/>
        <v>22.7</v>
      </c>
      <c r="Q33" s="26">
        <f t="shared" si="2"/>
        <v>21.2</v>
      </c>
      <c r="R33" s="26">
        <f t="shared" si="2"/>
        <v>21.5</v>
      </c>
      <c r="S33" s="26">
        <f t="shared" si="2"/>
        <v>22.7</v>
      </c>
      <c r="T33" s="26">
        <f t="shared" si="2"/>
        <v>23.2</v>
      </c>
      <c r="U33" s="26">
        <f t="shared" si="2"/>
        <v>22</v>
      </c>
      <c r="V33" s="26">
        <f t="shared" si="2"/>
        <v>22.8</v>
      </c>
      <c r="W33" s="26">
        <f t="shared" si="2"/>
        <v>22.8</v>
      </c>
      <c r="X33" s="26">
        <f t="shared" si="2"/>
        <v>24.7</v>
      </c>
      <c r="Y33" s="26">
        <f t="shared" si="2"/>
        <v>25</v>
      </c>
      <c r="Z33" s="26">
        <f t="shared" si="2"/>
        <v>24.8</v>
      </c>
      <c r="AA33" s="26">
        <f t="shared" si="2"/>
        <v>25.5</v>
      </c>
      <c r="AB33" s="26">
        <f t="shared" si="2"/>
        <v>23.8</v>
      </c>
      <c r="AC33" s="26">
        <f t="shared" si="2"/>
        <v>23</v>
      </c>
      <c r="AD33" s="26">
        <f t="shared" si="2"/>
        <v>20.2</v>
      </c>
      <c r="AE33" s="26">
        <f t="shared" si="2"/>
        <v>20</v>
      </c>
      <c r="AF33" s="27">
        <f t="shared" si="2"/>
        <v>21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7.5</v>
      </c>
      <c r="C37" s="26">
        <f t="shared" si="3"/>
        <v>10.099999999999998</v>
      </c>
      <c r="D37" s="26">
        <f t="shared" si="3"/>
        <v>9.3999999999999986</v>
      </c>
      <c r="E37" s="26">
        <f t="shared" si="3"/>
        <v>5.1000000000000014</v>
      </c>
      <c r="F37" s="26">
        <f t="shared" si="3"/>
        <v>4.3999999999999986</v>
      </c>
      <c r="G37" s="26">
        <f t="shared" si="3"/>
        <v>4.6000000000000014</v>
      </c>
      <c r="H37" s="26">
        <f t="shared" si="3"/>
        <v>2.8999999999999986</v>
      </c>
      <c r="I37" s="26">
        <f t="shared" si="3"/>
        <v>3.7999999999999972</v>
      </c>
      <c r="J37" s="26">
        <f t="shared" si="3"/>
        <v>2.9000000000000021</v>
      </c>
      <c r="K37" s="26">
        <f t="shared" si="3"/>
        <v>5.2000000000000028</v>
      </c>
      <c r="L37" s="26">
        <f t="shared" si="3"/>
        <v>4.4000000000000021</v>
      </c>
      <c r="M37" s="26">
        <f t="shared" si="3"/>
        <v>8</v>
      </c>
      <c r="N37" s="26">
        <f t="shared" si="3"/>
        <v>5.8999999999999986</v>
      </c>
      <c r="O37" s="26">
        <f t="shared" si="3"/>
        <v>6.1999999999999993</v>
      </c>
      <c r="P37" s="26">
        <f t="shared" si="3"/>
        <v>5.1000000000000014</v>
      </c>
      <c r="Q37" s="26">
        <f t="shared" si="3"/>
        <v>12.2</v>
      </c>
      <c r="R37" s="26">
        <f t="shared" si="3"/>
        <v>12.5</v>
      </c>
      <c r="S37" s="26">
        <f t="shared" si="3"/>
        <v>13.099999999999998</v>
      </c>
      <c r="T37" s="26">
        <f t="shared" si="3"/>
        <v>14.3</v>
      </c>
      <c r="U37" s="26">
        <f t="shared" si="3"/>
        <v>14.399999999999999</v>
      </c>
      <c r="V37" s="26">
        <f t="shared" si="3"/>
        <v>14.900000000000002</v>
      </c>
      <c r="W37" s="26">
        <f t="shared" si="3"/>
        <v>15.400000000000002</v>
      </c>
      <c r="X37" s="26">
        <f t="shared" si="3"/>
        <v>13.3</v>
      </c>
      <c r="Y37" s="26">
        <f t="shared" si="3"/>
        <v>12.600000000000001</v>
      </c>
      <c r="Z37" s="26">
        <f t="shared" si="3"/>
        <v>12.2</v>
      </c>
      <c r="AA37" s="26">
        <f t="shared" si="3"/>
        <v>13.299999999999997</v>
      </c>
      <c r="AB37" s="26">
        <f t="shared" si="3"/>
        <v>11.900000000000002</v>
      </c>
      <c r="AC37" s="26">
        <f t="shared" si="3"/>
        <v>4.3999999999999986</v>
      </c>
      <c r="AD37" s="26">
        <f t="shared" si="3"/>
        <v>4.4000000000000021</v>
      </c>
      <c r="AE37" s="26">
        <f t="shared" si="3"/>
        <v>5</v>
      </c>
      <c r="AF37" s="27">
        <f t="shared" si="3"/>
        <v>4.1999999999999993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26.240752688172044</v>
      </c>
      <c r="I43" s="39"/>
      <c r="J43" s="41"/>
      <c r="K43" s="40">
        <f>MAX(B29:AF29)</f>
        <v>38.799999999999997</v>
      </c>
      <c r="L43" s="41"/>
      <c r="M43" s="41"/>
      <c r="N43" s="40">
        <f>MIN(B33:AF33)</f>
        <v>19.399999999999999</v>
      </c>
      <c r="O43" s="41"/>
      <c r="P43" s="41"/>
      <c r="Q43" s="40">
        <f>K43-N43</f>
        <v>19.399999999999999</v>
      </c>
      <c r="R43" s="39"/>
      <c r="S43" s="40"/>
      <c r="T43" s="40">
        <f>AVERAGE(B29:AF29)</f>
        <v>30.503225806451617</v>
      </c>
      <c r="U43" s="40"/>
      <c r="V43" s="40">
        <f>AVERAGE(B33:AF33)</f>
        <v>22</v>
      </c>
      <c r="W43" s="40"/>
      <c r="X43" s="40">
        <f>T43-V43</f>
        <v>8.5032258064516171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2">
        <f>'[2]Dia 1 (a)'!$P10</f>
        <v>21.6</v>
      </c>
      <c r="C4" s="12">
        <f>'[2]Dia 2 (a)'!$P10</f>
        <v>21.6</v>
      </c>
      <c r="D4" s="12">
        <f>'[2]Dia 3 (a)'!$P10</f>
        <v>21.3</v>
      </c>
      <c r="E4" s="12">
        <f>'[2]Dia 4 (a)'!$P10</f>
        <v>21.8</v>
      </c>
      <c r="F4" s="12">
        <f>'[2]Dia 5 (a)'!$P10</f>
        <v>22</v>
      </c>
      <c r="G4" s="12">
        <f>'[2]Dia 6 (a)'!$P10</f>
        <v>23</v>
      </c>
      <c r="H4" s="12">
        <f>'[2]Dia 7 (a)'!$P10</f>
        <v>23</v>
      </c>
      <c r="I4" s="12">
        <f>'[2]Dia 8 (a)'!$P10</f>
        <v>20.7</v>
      </c>
      <c r="J4" s="12">
        <f>'[2]Dia 9 (a)'!$P10</f>
        <v>19.399999999999999</v>
      </c>
      <c r="K4" s="12">
        <f>'[2]Dia 10 (a)'!$P10</f>
        <v>19.5</v>
      </c>
      <c r="L4" s="12">
        <f>'[2]Dia 11 (a)'!$P10</f>
        <v>21</v>
      </c>
      <c r="M4" s="12">
        <f>'[2]Dia 12 (a)'!$P10</f>
        <v>21.8</v>
      </c>
      <c r="N4" s="12">
        <f>'[2]Dia 13 (a)'!$P10</f>
        <v>22</v>
      </c>
      <c r="O4" s="12">
        <f>'[2]Dia 14 (a)'!$P10</f>
        <v>22.5</v>
      </c>
      <c r="P4" s="12">
        <f>'[2]Dia 15 (a)'!$P10</f>
        <v>23.8</v>
      </c>
      <c r="Q4" s="12">
        <f>'[2]Dia 16 (a)'!$P10</f>
        <v>22.7</v>
      </c>
      <c r="R4" s="12">
        <f>'[2]Dia 17 (a)'!$P10</f>
        <v>23.1</v>
      </c>
      <c r="S4" s="12">
        <f>'[2]Dia 18 (a)'!$P10</f>
        <v>21.6</v>
      </c>
      <c r="T4" s="12">
        <f>'[2]Dia 19 (a)'!$P10</f>
        <v>19.399999999999999</v>
      </c>
      <c r="U4" s="12">
        <f>'[2]Dia 20 (a)'!$P10</f>
        <v>21.7</v>
      </c>
      <c r="V4" s="12">
        <f>'[2]Dia 21 (a)'!$P10</f>
        <v>21.4</v>
      </c>
      <c r="W4" s="12">
        <f>'[2]Dia 22 (a)'!$P10</f>
        <v>21.9</v>
      </c>
      <c r="X4" s="12">
        <f>'[2]Dia 23 (a)'!$P10</f>
        <v>22.9</v>
      </c>
      <c r="Y4" s="12">
        <f>'[2]Dia 24 (a)'!$P10</f>
        <v>22.1</v>
      </c>
      <c r="Z4" s="12">
        <f>'[2]Dia 25 (a)'!$P10</f>
        <v>24.6</v>
      </c>
      <c r="AA4" s="12">
        <f>'[2]Dia 26 (a)'!$P10</f>
        <v>23.2</v>
      </c>
      <c r="AB4" s="12">
        <f>'[2]Dia 27 (a)'!$P10</f>
        <v>24.2</v>
      </c>
      <c r="AC4" s="12">
        <f>'[2]Dia 28 (a)'!$P10</f>
        <v>24.6</v>
      </c>
      <c r="AD4" s="12"/>
      <c r="AE4" s="12"/>
      <c r="AF4" s="13"/>
      <c r="AG4" s="14"/>
    </row>
    <row r="5" spans="1:33" ht="20.100000000000001" customHeight="1">
      <c r="A5" s="11">
        <v>8</v>
      </c>
      <c r="B5" s="12">
        <f>'[2]Dia 1 (a)'!$P11</f>
        <v>22.2</v>
      </c>
      <c r="C5" s="12">
        <f>'[2]Dia 2 (a)'!$P11</f>
        <v>22.4</v>
      </c>
      <c r="D5" s="12">
        <f>'[2]Dia 3 (a)'!$P11</f>
        <v>21.9</v>
      </c>
      <c r="E5" s="12">
        <f>'[2]Dia 4 (a)'!$P11</f>
        <v>22</v>
      </c>
      <c r="F5" s="12">
        <f>'[2]Dia 5 (a)'!$P11</f>
        <v>24</v>
      </c>
      <c r="G5" s="12">
        <f>'[2]Dia 6 (a)'!$P11</f>
        <v>23.4</v>
      </c>
      <c r="H5" s="12">
        <f>'[2]Dia 7 (a)'!$P11</f>
        <v>22.5</v>
      </c>
      <c r="I5" s="12">
        <f>'[2]Dia 8 (a)'!$P11</f>
        <v>20.8</v>
      </c>
      <c r="J5" s="12">
        <f>'[2]Dia 9 (a)'!$P11</f>
        <v>20.2</v>
      </c>
      <c r="K5" s="12">
        <f>'[2]Dia 10 (a)'!$P11</f>
        <v>20.6</v>
      </c>
      <c r="L5" s="12">
        <f>'[2]Dia 11 (a)'!$P11</f>
        <v>22</v>
      </c>
      <c r="M5" s="12">
        <f>'[2]Dia 12 (a)'!$P11</f>
        <v>22</v>
      </c>
      <c r="N5" s="12">
        <f>'[2]Dia 13 (a)'!$P11</f>
        <v>22.8</v>
      </c>
      <c r="O5" s="12">
        <f>'[2]Dia 14 (a)'!$P11</f>
        <v>23</v>
      </c>
      <c r="P5" s="12">
        <f>'[2]Dia 15 (a)'!$P11</f>
        <v>24.6</v>
      </c>
      <c r="Q5" s="12">
        <f>'[2]Dia 16 (a)'!$P11</f>
        <v>23.4</v>
      </c>
      <c r="R5" s="12">
        <f>'[2]Dia 17 (a)'!$P11</f>
        <v>23.7</v>
      </c>
      <c r="S5" s="12">
        <f>'[2]Dia 18 (a)'!$P11</f>
        <v>22.3</v>
      </c>
      <c r="T5" s="12">
        <f>'[2]Dia 19 (a)'!$P11</f>
        <v>20.399999999999999</v>
      </c>
      <c r="U5" s="12">
        <f>'[2]Dia 20 (a)'!$P11</f>
        <v>22.4</v>
      </c>
      <c r="V5" s="12">
        <f>'[2]Dia 21 (a)'!$P11</f>
        <v>22.5</v>
      </c>
      <c r="W5" s="12">
        <f>'[2]Dia 22 (a)'!$P11</f>
        <v>23</v>
      </c>
      <c r="X5" s="12">
        <f>'[2]Dia 23 (a)'!$P11</f>
        <v>23.7</v>
      </c>
      <c r="Y5" s="12">
        <f>'[2]Dia 24 (a)'!$P11</f>
        <v>23</v>
      </c>
      <c r="Z5" s="12">
        <f>'[2]Dia 25 (a)'!$P11</f>
        <v>24.8</v>
      </c>
      <c r="AA5" s="12">
        <f>'[2]Dia 26 (a)'!$P11</f>
        <v>23.8</v>
      </c>
      <c r="AB5" s="12">
        <f>'[2]Dia 27 (a)'!$P11</f>
        <v>24.7</v>
      </c>
      <c r="AC5" s="12">
        <f>'[2]Dia 28 (a)'!$P11</f>
        <v>25.4</v>
      </c>
      <c r="AD5" s="12"/>
      <c r="AE5" s="12"/>
      <c r="AF5" s="13"/>
      <c r="AG5" s="14"/>
    </row>
    <row r="6" spans="1:33" ht="20.100000000000001" customHeight="1">
      <c r="A6" s="11">
        <v>9</v>
      </c>
      <c r="B6" s="12">
        <f>'[2]Dia 1 (a)'!$P12</f>
        <v>22.8</v>
      </c>
      <c r="C6" s="12">
        <f>'[2]Dia 2 (a)'!$P12</f>
        <v>23.7</v>
      </c>
      <c r="D6" s="12">
        <f>'[2]Dia 3 (a)'!$P12</f>
        <v>22.7</v>
      </c>
      <c r="E6" s="12">
        <f>'[2]Dia 4 (a)'!$P12</f>
        <v>22.6</v>
      </c>
      <c r="F6" s="12">
        <f>'[2]Dia 5 (a)'!$P12</f>
        <v>25</v>
      </c>
      <c r="G6" s="12">
        <f>'[2]Dia 6 (a)'!$P12</f>
        <v>23.6</v>
      </c>
      <c r="H6" s="12">
        <f>'[2]Dia 7 (a)'!$P12</f>
        <v>22.4</v>
      </c>
      <c r="I6" s="12">
        <f>'[2]Dia 8 (a)'!$P12</f>
        <v>21.8</v>
      </c>
      <c r="J6" s="12">
        <f>'[2]Dia 9 (a)'!$P12</f>
        <v>22.2</v>
      </c>
      <c r="K6" s="12">
        <f>'[2]Dia 10 (a)'!$P12</f>
        <v>22.4</v>
      </c>
      <c r="L6" s="12">
        <f>'[2]Dia 11 (a)'!$P12</f>
        <v>23.6</v>
      </c>
      <c r="M6" s="12">
        <f>'[2]Dia 12 (a)'!$P12</f>
        <v>23.2</v>
      </c>
      <c r="N6" s="12">
        <f>'[2]Dia 13 (a)'!$P12</f>
        <v>23.8</v>
      </c>
      <c r="O6" s="12">
        <f>'[2]Dia 14 (a)'!$P12</f>
        <v>25</v>
      </c>
      <c r="P6" s="12">
        <f>'[2]Dia 15 (a)'!$P12</f>
        <v>26</v>
      </c>
      <c r="Q6" s="12">
        <f>'[2]Dia 16 (a)'!$P12</f>
        <v>24.1</v>
      </c>
      <c r="R6" s="12">
        <f>'[2]Dia 17 (a)'!$P12</f>
        <v>25.4</v>
      </c>
      <c r="S6" s="12">
        <f>'[2]Dia 18 (a)'!$P12</f>
        <v>23</v>
      </c>
      <c r="T6" s="12">
        <f>'[2]Dia 19 (a)'!$P12</f>
        <v>22.8</v>
      </c>
      <c r="U6" s="12">
        <f>'[2]Dia 20 (a)'!$P12</f>
        <v>24.4</v>
      </c>
      <c r="V6" s="12">
        <f>'[2]Dia 21 (a)'!$P12</f>
        <v>24.3</v>
      </c>
      <c r="W6" s="12">
        <f>'[2]Dia 22 (a)'!$P12</f>
        <v>25.3</v>
      </c>
      <c r="X6" s="12">
        <f>'[2]Dia 23 (a)'!$P12</f>
        <v>25.9</v>
      </c>
      <c r="Y6" s="12">
        <f>'[2]Dia 24 (a)'!$P12</f>
        <v>25</v>
      </c>
      <c r="Z6" s="12">
        <f>'[2]Dia 25 (a)'!$P12</f>
        <v>25.6</v>
      </c>
      <c r="AA6" s="12">
        <f>'[2]Dia 26 (a)'!$P12</f>
        <v>25.6</v>
      </c>
      <c r="AB6" s="12">
        <f>'[2]Dia 27 (a)'!$P12</f>
        <v>26.4</v>
      </c>
      <c r="AC6" s="12">
        <f>'[2]Dia 28 (a)'!$P12</f>
        <v>27.3</v>
      </c>
      <c r="AD6" s="12"/>
      <c r="AE6" s="12"/>
      <c r="AF6" s="13"/>
      <c r="AG6" s="14"/>
    </row>
    <row r="7" spans="1:33" ht="20.100000000000001" customHeight="1">
      <c r="A7" s="11">
        <v>10</v>
      </c>
      <c r="B7" s="12">
        <f>'[2]Dia 1 (a)'!$P13</f>
        <v>23.8</v>
      </c>
      <c r="C7" s="12">
        <f>'[2]Dia 2 (a)'!$P13</f>
        <v>24.7</v>
      </c>
      <c r="D7" s="12">
        <f>'[2]Dia 3 (a)'!$P13</f>
        <v>23.6</v>
      </c>
      <c r="E7" s="12">
        <f>'[2]Dia 4 (a)'!$P13</f>
        <v>22.8</v>
      </c>
      <c r="F7" s="12">
        <f>'[2]Dia 5 (a)'!$P13</f>
        <v>25.4</v>
      </c>
      <c r="G7" s="12">
        <f>'[2]Dia 6 (a)'!$P13</f>
        <v>24</v>
      </c>
      <c r="H7" s="12">
        <f>'[2]Dia 7 (a)'!$P13</f>
        <v>22.4</v>
      </c>
      <c r="I7" s="12">
        <f>'[2]Dia 8 (a)'!$P13</f>
        <v>22.8</v>
      </c>
      <c r="J7" s="12">
        <f>'[2]Dia 9 (a)'!$P13</f>
        <v>24.7</v>
      </c>
      <c r="K7" s="12">
        <f>'[2]Dia 10 (a)'!$P13</f>
        <v>25.2</v>
      </c>
      <c r="L7" s="12">
        <f>'[2]Dia 11 (a)'!$P13</f>
        <v>25.8</v>
      </c>
      <c r="M7" s="12">
        <f>'[2]Dia 12 (a)'!$P13</f>
        <v>24.2</v>
      </c>
      <c r="N7" s="12">
        <f>'[2]Dia 13 (a)'!$P13</f>
        <v>25.4</v>
      </c>
      <c r="O7" s="12">
        <f>'[2]Dia 14 (a)'!$P13</f>
        <v>28</v>
      </c>
      <c r="P7" s="12">
        <f>'[2]Dia 15 (a)'!$P13</f>
        <v>28.6</v>
      </c>
      <c r="Q7" s="12">
        <f>'[2]Dia 16 (a)'!$P13</f>
        <v>24.9</v>
      </c>
      <c r="R7" s="12">
        <f>'[2]Dia 17 (a)'!$P13</f>
        <v>28.3</v>
      </c>
      <c r="S7" s="12">
        <f>'[2]Dia 18 (a)'!$P13</f>
        <v>26</v>
      </c>
      <c r="T7" s="12">
        <f>'[2]Dia 19 (a)'!$P13</f>
        <v>25.5</v>
      </c>
      <c r="U7" s="12">
        <f>'[2]Dia 20 (a)'!$P13</f>
        <v>26.6</v>
      </c>
      <c r="V7" s="12">
        <f>'[2]Dia 21 (a)'!$P13</f>
        <v>26.8</v>
      </c>
      <c r="W7" s="12">
        <f>'[2]Dia 22 (a)'!$P13</f>
        <v>27.5</v>
      </c>
      <c r="X7" s="12">
        <f>'[2]Dia 23 (a)'!$P13</f>
        <v>28.5</v>
      </c>
      <c r="Y7" s="12">
        <f>'[2]Dia 24 (a)'!$P13</f>
        <v>27.8</v>
      </c>
      <c r="Z7" s="12">
        <f>'[2]Dia 25 (a)'!$P13</f>
        <v>27.8</v>
      </c>
      <c r="AA7" s="12">
        <f>'[2]Dia 26 (a)'!$P13</f>
        <v>28.2</v>
      </c>
      <c r="AB7" s="12">
        <f>'[2]Dia 27 (a)'!$P13</f>
        <v>29.4</v>
      </c>
      <c r="AC7" s="12">
        <f>'[2]Dia 28 (a)'!$P13</f>
        <v>30</v>
      </c>
      <c r="AD7" s="12"/>
      <c r="AE7" s="12"/>
      <c r="AF7" s="13"/>
      <c r="AG7" s="14"/>
    </row>
    <row r="8" spans="1:33" ht="20.100000000000001" customHeight="1">
      <c r="A8" s="11">
        <v>11</v>
      </c>
      <c r="B8" s="12">
        <f>'[2]Dia 1 (a)'!$P14</f>
        <v>24.8</v>
      </c>
      <c r="C8" s="12">
        <f>'[2]Dia 2 (a)'!$P14</f>
        <v>26.1</v>
      </c>
      <c r="D8" s="12">
        <f>'[2]Dia 3 (a)'!$P14</f>
        <v>25</v>
      </c>
      <c r="E8" s="12">
        <f>'[2]Dia 4 (a)'!$P14</f>
        <v>23.8</v>
      </c>
      <c r="F8" s="12">
        <f>'[2]Dia 5 (a)'!$P14</f>
        <v>27.6</v>
      </c>
      <c r="G8" s="12">
        <f>'[2]Dia 6 (a)'!$P14</f>
        <v>25</v>
      </c>
      <c r="H8" s="12">
        <f>'[2]Dia 7 (a)'!$P14</f>
        <v>22.8</v>
      </c>
      <c r="I8" s="12">
        <f>'[2]Dia 8 (a)'!$P14</f>
        <v>24.6</v>
      </c>
      <c r="J8" s="12">
        <f>'[2]Dia 9 (a)'!$P14</f>
        <v>27.5</v>
      </c>
      <c r="K8" s="12">
        <f>'[2]Dia 10 (a)'!$P14</f>
        <v>28.4</v>
      </c>
      <c r="L8" s="12">
        <f>'[2]Dia 11 (a)'!$P14</f>
        <v>27.8</v>
      </c>
      <c r="M8" s="12">
        <f>'[2]Dia 12 (a)'!$P14</f>
        <v>26</v>
      </c>
      <c r="N8" s="12">
        <f>'[2]Dia 13 (a)'!$P14</f>
        <v>28.5</v>
      </c>
      <c r="O8" s="12">
        <f>'[2]Dia 14 (a)'!$P14</f>
        <v>31.2</v>
      </c>
      <c r="P8" s="12">
        <f>'[2]Dia 15 (a)'!$P14</f>
        <v>29</v>
      </c>
      <c r="Q8" s="12">
        <f>'[2]Dia 16 (a)'!$P14</f>
        <v>25.8</v>
      </c>
      <c r="R8" s="12">
        <f>'[2]Dia 17 (a)'!$P14</f>
        <v>30.3</v>
      </c>
      <c r="S8" s="12">
        <f>'[2]Dia 18 (a)'!$P14</f>
        <v>27.2</v>
      </c>
      <c r="T8" s="12">
        <f>'[2]Dia 19 (a)'!$P14</f>
        <v>27.3</v>
      </c>
      <c r="U8" s="12">
        <f>'[2]Dia 20 (a)'!$P14</f>
        <v>28.8</v>
      </c>
      <c r="V8" s="12">
        <f>'[2]Dia 21 (a)'!$P14</f>
        <v>28.8</v>
      </c>
      <c r="W8" s="12">
        <f>'[2]Dia 22 (a)'!$P14</f>
        <v>30.7</v>
      </c>
      <c r="X8" s="12">
        <f>'[2]Dia 23 (a)'!$P14</f>
        <v>31.6</v>
      </c>
      <c r="Y8" s="12">
        <f>'[2]Dia 24 (a)'!$P14</f>
        <v>30.8</v>
      </c>
      <c r="Z8" s="12">
        <f>'[2]Dia 25 (a)'!$P14</f>
        <v>30.8</v>
      </c>
      <c r="AA8" s="12">
        <f>'[2]Dia 26 (a)'!$P14</f>
        <v>31.6</v>
      </c>
      <c r="AB8" s="12">
        <f>'[2]Dia 27 (a)'!$P14</f>
        <v>32.200000000000003</v>
      </c>
      <c r="AC8" s="12">
        <f>'[2]Dia 28 (a)'!$P14</f>
        <v>33.200000000000003</v>
      </c>
      <c r="AD8" s="12"/>
      <c r="AE8" s="12"/>
      <c r="AF8" s="13"/>
      <c r="AG8" s="14"/>
    </row>
    <row r="9" spans="1:33" ht="20.100000000000001" customHeight="1">
      <c r="A9" s="11">
        <v>12</v>
      </c>
      <c r="B9" s="12">
        <f>'[2]Dia 1 (a)'!$P15</f>
        <v>27.4</v>
      </c>
      <c r="C9" s="12">
        <f>'[2]Dia 2 (a)'!$P15</f>
        <v>27.2</v>
      </c>
      <c r="D9" s="12">
        <f>'[2]Dia 3 (a)'!$P15</f>
        <v>25.6</v>
      </c>
      <c r="E9" s="12">
        <f>'[2]Dia 4 (a)'!$P15</f>
        <v>24.4</v>
      </c>
      <c r="F9" s="12">
        <f>'[2]Dia 5 (a)'!$P15</f>
        <v>28.2</v>
      </c>
      <c r="G9" s="12">
        <f>'[2]Dia 6 (a)'!$P15</f>
        <v>25.6</v>
      </c>
      <c r="H9" s="12">
        <f>'[2]Dia 7 (a)'!$P15</f>
        <v>23.2</v>
      </c>
      <c r="I9" s="12">
        <f>'[2]Dia 8 (a)'!$P15</f>
        <v>25.2</v>
      </c>
      <c r="J9" s="12">
        <f>'[2]Dia 9 (a)'!$P15</f>
        <v>28.7</v>
      </c>
      <c r="K9" s="12">
        <f>'[2]Dia 10 (a)'!$P15</f>
        <v>30.8</v>
      </c>
      <c r="L9" s="12">
        <f>'[2]Dia 11 (a)'!$P15</f>
        <v>28.4</v>
      </c>
      <c r="M9" s="12">
        <f>'[2]Dia 12 (a)'!$P15</f>
        <v>28.4</v>
      </c>
      <c r="N9" s="12">
        <f>'[2]Dia 13 (a)'!$P15</f>
        <v>29.7</v>
      </c>
      <c r="O9" s="12">
        <f>'[2]Dia 14 (a)'!$P15</f>
        <v>33.799999999999997</v>
      </c>
      <c r="P9" s="12">
        <f>'[2]Dia 15 (a)'!$P15</f>
        <v>31.6</v>
      </c>
      <c r="Q9" s="12">
        <f>'[2]Dia 16 (a)'!$P15</f>
        <v>27.5</v>
      </c>
      <c r="R9" s="12">
        <f>'[2]Dia 17 (a)'!$P15</f>
        <v>30.2</v>
      </c>
      <c r="S9" s="12">
        <f>'[2]Dia 18 (a)'!$P15</f>
        <v>28.2</v>
      </c>
      <c r="T9" s="12">
        <f>'[2]Dia 19 (a)'!$P15</f>
        <v>28.9</v>
      </c>
      <c r="U9" s="12">
        <f>'[2]Dia 20 (a)'!$P15</f>
        <v>31.6</v>
      </c>
      <c r="V9" s="12">
        <f>'[2]Dia 21 (a)'!$P15</f>
        <v>31</v>
      </c>
      <c r="W9" s="12">
        <f>'[2]Dia 22 (a)'!$P15</f>
        <v>34.200000000000003</v>
      </c>
      <c r="X9" s="12">
        <f>'[2]Dia 23 (a)'!$P15</f>
        <v>34.200000000000003</v>
      </c>
      <c r="Y9" s="12">
        <f>'[2]Dia 24 (a)'!$P15</f>
        <v>33.6</v>
      </c>
      <c r="Z9" s="12">
        <f>'[2]Dia 25 (a)'!$P15</f>
        <v>34.4</v>
      </c>
      <c r="AA9" s="12">
        <f>'[2]Dia 26 (a)'!$P15</f>
        <v>34.799999999999997</v>
      </c>
      <c r="AB9" s="12">
        <f>'[2]Dia 27 (a)'!$P15</f>
        <v>34.4</v>
      </c>
      <c r="AC9" s="12">
        <f>'[2]Dia 28 (a)'!$P15</f>
        <v>35</v>
      </c>
      <c r="AD9" s="12"/>
      <c r="AE9" s="12"/>
      <c r="AF9" s="13"/>
      <c r="AG9" s="14"/>
    </row>
    <row r="10" spans="1:33" ht="20.100000000000001" customHeight="1">
      <c r="A10" s="11">
        <v>13</v>
      </c>
      <c r="B10" s="12">
        <f>'[2]Dia 1 (a)'!$P16</f>
        <v>28.8</v>
      </c>
      <c r="C10" s="12">
        <f>'[2]Dia 2 (a)'!$P16</f>
        <v>26.8</v>
      </c>
      <c r="D10" s="12">
        <f>'[2]Dia 3 (a)'!$P16</f>
        <v>26.2</v>
      </c>
      <c r="E10" s="12">
        <f>'[2]Dia 4 (a)'!$P16</f>
        <v>25</v>
      </c>
      <c r="F10" s="12">
        <f>'[2]Dia 5 (a)'!$P16</f>
        <v>29.8</v>
      </c>
      <c r="G10" s="12">
        <f>'[2]Dia 6 (a)'!$P16</f>
        <v>26.8</v>
      </c>
      <c r="H10" s="12">
        <f>'[2]Dia 7 (a)'!$P16</f>
        <v>24.1</v>
      </c>
      <c r="I10" s="12">
        <f>'[2]Dia 8 (a)'!$P16</f>
        <v>25.8</v>
      </c>
      <c r="J10" s="12">
        <f>'[2]Dia 9 (a)'!$P16</f>
        <v>29.8</v>
      </c>
      <c r="K10" s="12">
        <f>'[2]Dia 10 (a)'!$P16</f>
        <v>33.200000000000003</v>
      </c>
      <c r="L10" s="12">
        <f>'[2]Dia 11 (a)'!$P16</f>
        <v>29.2</v>
      </c>
      <c r="M10" s="12">
        <f>'[2]Dia 12 (a)'!$P16</f>
        <v>30</v>
      </c>
      <c r="N10" s="12">
        <f>'[2]Dia 13 (a)'!$P16</f>
        <v>32.6</v>
      </c>
      <c r="O10" s="12">
        <f>'[2]Dia 14 (a)'!$P16</f>
        <v>36</v>
      </c>
      <c r="P10" s="12">
        <f>'[2]Dia 15 (a)'!$P16</f>
        <v>32.799999999999997</v>
      </c>
      <c r="Q10" s="12">
        <f>'[2]Dia 16 (a)'!$P16</f>
        <v>29.7</v>
      </c>
      <c r="R10" s="12">
        <f>'[2]Dia 17 (a)'!$P16</f>
        <v>32.299999999999997</v>
      </c>
      <c r="S10" s="12">
        <f>'[2]Dia 18 (a)'!$P16</f>
        <v>28.4</v>
      </c>
      <c r="T10" s="12">
        <f>'[2]Dia 19 (a)'!$P16</f>
        <v>30.2</v>
      </c>
      <c r="U10" s="12">
        <f>'[2]Dia 20 (a)'!$P16</f>
        <v>33.4</v>
      </c>
      <c r="V10" s="12">
        <f>'[2]Dia 21 (a)'!$P16</f>
        <v>33</v>
      </c>
      <c r="W10" s="12">
        <f>'[2]Dia 22 (a)'!$P16</f>
        <v>35.799999999999997</v>
      </c>
      <c r="X10" s="12">
        <f>'[2]Dia 23 (a)'!$P16</f>
        <v>36</v>
      </c>
      <c r="Y10" s="12">
        <f>'[2]Dia 24 (a)'!$P16</f>
        <v>35.799999999999997</v>
      </c>
      <c r="Z10" s="12">
        <f>'[2]Dia 25 (a)'!$P16</f>
        <v>37</v>
      </c>
      <c r="AA10" s="12">
        <f>'[2]Dia 26 (a)'!$P16</f>
        <v>37.200000000000003</v>
      </c>
      <c r="AB10" s="12">
        <f>'[2]Dia 27 (a)'!$P16</f>
        <v>36.200000000000003</v>
      </c>
      <c r="AC10" s="12">
        <f>'[2]Dia 28 (a)'!$P16</f>
        <v>36.6</v>
      </c>
      <c r="AD10" s="12"/>
      <c r="AE10" s="12"/>
      <c r="AF10" s="13"/>
      <c r="AG10" s="14"/>
    </row>
    <row r="11" spans="1:33" ht="20.100000000000001" customHeight="1">
      <c r="A11" s="11">
        <v>14</v>
      </c>
      <c r="B11" s="12">
        <f>'[2]Dia 1 (a)'!$P17</f>
        <v>29.6</v>
      </c>
      <c r="C11" s="12">
        <f>'[2]Dia 2 (a)'!$P17</f>
        <v>26.1</v>
      </c>
      <c r="D11" s="12">
        <f>'[2]Dia 3 (a)'!$P17</f>
        <v>26.9</v>
      </c>
      <c r="E11" s="12">
        <f>'[2]Dia 4 (a)'!$P17</f>
        <v>25.8</v>
      </c>
      <c r="F11" s="12">
        <f>'[2]Dia 5 (a)'!$P17</f>
        <v>31.2</v>
      </c>
      <c r="G11" s="12">
        <f>'[2]Dia 6 (a)'!$P17</f>
        <v>28</v>
      </c>
      <c r="H11" s="12">
        <f>'[2]Dia 7 (a)'!$P17</f>
        <v>23.9</v>
      </c>
      <c r="I11" s="12">
        <f>'[2]Dia 8 (a)'!$P17</f>
        <v>26.8</v>
      </c>
      <c r="J11" s="12">
        <f>'[2]Dia 9 (a)'!$P17</f>
        <v>31</v>
      </c>
      <c r="K11" s="12">
        <f>'[2]Dia 10 (a)'!$P17</f>
        <v>34.799999999999997</v>
      </c>
      <c r="L11" s="12">
        <f>'[2]Dia 11 (a)'!$P17</f>
        <v>30</v>
      </c>
      <c r="M11" s="12">
        <f>'[2]Dia 12 (a)'!$P17</f>
        <v>32.799999999999997</v>
      </c>
      <c r="N11" s="12">
        <f>'[2]Dia 13 (a)'!$P17</f>
        <v>33</v>
      </c>
      <c r="O11" s="12">
        <f>'[2]Dia 14 (a)'!$P17</f>
        <v>36.799999999999997</v>
      </c>
      <c r="P11" s="12">
        <f>'[2]Dia 15 (a)'!$P17</f>
        <v>32</v>
      </c>
      <c r="Q11" s="12">
        <f>'[2]Dia 16 (a)'!$P17</f>
        <v>31</v>
      </c>
      <c r="R11" s="12">
        <f>'[2]Dia 17 (a)'!$P17</f>
        <v>35</v>
      </c>
      <c r="S11" s="12">
        <f>'[2]Dia 18 (a)'!$P17</f>
        <v>30.6</v>
      </c>
      <c r="T11" s="12">
        <f>'[2]Dia 19 (a)'!$P17</f>
        <v>30.5</v>
      </c>
      <c r="U11" s="12">
        <f>'[2]Dia 20 (a)'!$P17</f>
        <v>35</v>
      </c>
      <c r="V11" s="12">
        <f>'[2]Dia 21 (a)'!$P17</f>
        <v>33.299999999999997</v>
      </c>
      <c r="W11" s="12">
        <f>'[2]Dia 22 (a)'!$P17</f>
        <v>38.1</v>
      </c>
      <c r="X11" s="12">
        <f>'[2]Dia 23 (a)'!$P17</f>
        <v>35.700000000000003</v>
      </c>
      <c r="Y11" s="12">
        <f>'[2]Dia 24 (a)'!$P17</f>
        <v>36.9</v>
      </c>
      <c r="Z11" s="12">
        <f>'[2]Dia 25 (a)'!$P17</f>
        <v>37.799999999999997</v>
      </c>
      <c r="AA11" s="12">
        <f>'[2]Dia 26 (a)'!$P17</f>
        <v>38.799999999999997</v>
      </c>
      <c r="AB11" s="12">
        <f>'[2]Dia 27 (a)'!$P17</f>
        <v>36.6</v>
      </c>
      <c r="AC11" s="12">
        <f>'[2]Dia 28 (a)'!$P17</f>
        <v>37.4</v>
      </c>
      <c r="AD11" s="12"/>
      <c r="AE11" s="12"/>
      <c r="AF11" s="13"/>
      <c r="AG11" s="14"/>
    </row>
    <row r="12" spans="1:33" ht="20.100000000000001" customHeight="1">
      <c r="A12" s="11">
        <v>15</v>
      </c>
      <c r="B12" s="12">
        <f>'[2]Dia 1 (a)'!$P18</f>
        <v>28.3</v>
      </c>
      <c r="C12" s="12">
        <f>'[2]Dia 2 (a)'!$P18</f>
        <v>26</v>
      </c>
      <c r="D12" s="12">
        <f>'[2]Dia 3 (a)'!$P18</f>
        <v>26.1</v>
      </c>
      <c r="E12" s="12">
        <f>'[2]Dia 4 (a)'!$P18</f>
        <v>27.2</v>
      </c>
      <c r="F12" s="12">
        <f>'[2]Dia 5 (a)'!$P18</f>
        <v>32</v>
      </c>
      <c r="G12" s="12">
        <f>'[2]Dia 6 (a)'!$P18</f>
        <v>30</v>
      </c>
      <c r="H12" s="12">
        <f>'[2]Dia 7 (a)'!$P18</f>
        <v>24.3</v>
      </c>
      <c r="I12" s="12">
        <f>'[2]Dia 8 (a)'!$P18</f>
        <v>27.3</v>
      </c>
      <c r="J12" s="12">
        <f>'[2]Dia 9 (a)'!$P18</f>
        <v>31</v>
      </c>
      <c r="K12" s="12">
        <f>'[2]Dia 10 (a)'!$P18</f>
        <v>34.799999999999997</v>
      </c>
      <c r="L12" s="12">
        <f>'[2]Dia 11 (a)'!$P18</f>
        <v>29</v>
      </c>
      <c r="M12" s="12">
        <f>'[2]Dia 12 (a)'!$P18</f>
        <v>34</v>
      </c>
      <c r="N12" s="12">
        <f>'[2]Dia 13 (a)'!$P18</f>
        <v>33</v>
      </c>
      <c r="O12" s="12">
        <f>'[2]Dia 14 (a)'!$P18</f>
        <v>37.1</v>
      </c>
      <c r="P12" s="12">
        <f>'[2]Dia 15 (a)'!$P18</f>
        <v>33</v>
      </c>
      <c r="Q12" s="12">
        <f>'[2]Dia 16 (a)'!$P18</f>
        <v>32.1</v>
      </c>
      <c r="R12" s="12">
        <f>'[2]Dia 17 (a)'!$P18</f>
        <v>33.700000000000003</v>
      </c>
      <c r="S12" s="12">
        <f>'[2]Dia 18 (a)'!$P18</f>
        <v>29.6</v>
      </c>
      <c r="T12" s="12">
        <f>'[2]Dia 19 (a)'!$P18</f>
        <v>29.6</v>
      </c>
      <c r="U12" s="12">
        <f>'[2]Dia 20 (a)'!$P18</f>
        <v>35.9</v>
      </c>
      <c r="V12" s="12">
        <f>'[2]Dia 21 (a)'!$P18</f>
        <v>32.9</v>
      </c>
      <c r="W12" s="12">
        <f>'[2]Dia 22 (a)'!$P18</f>
        <v>36.799999999999997</v>
      </c>
      <c r="X12" s="12">
        <f>'[2]Dia 23 (a)'!$P18</f>
        <v>33.299999999999997</v>
      </c>
      <c r="Y12" s="12">
        <f>'[2]Dia 24 (a)'!$P18</f>
        <v>37.5</v>
      </c>
      <c r="Z12" s="12">
        <f>'[2]Dia 25 (a)'!$P18</f>
        <v>38.5</v>
      </c>
      <c r="AA12" s="12">
        <f>'[2]Dia 26 (a)'!$P18</f>
        <v>39.1</v>
      </c>
      <c r="AB12" s="12">
        <f>'[2]Dia 27 (a)'!$P18</f>
        <v>37.4</v>
      </c>
      <c r="AC12" s="12">
        <f>'[2]Dia 28 (a)'!$P18</f>
        <v>38.4</v>
      </c>
      <c r="AD12" s="12"/>
      <c r="AE12" s="12"/>
      <c r="AF12" s="13"/>
      <c r="AG12" s="14"/>
    </row>
    <row r="13" spans="1:33" ht="20.100000000000001" customHeight="1">
      <c r="A13" s="11">
        <v>16</v>
      </c>
      <c r="B13" s="12">
        <f>'[2]Dia 1 (a)'!$P19</f>
        <v>27</v>
      </c>
      <c r="C13" s="12">
        <f>'[2]Dia 2 (a)'!$P19</f>
        <v>26</v>
      </c>
      <c r="D13" s="12">
        <f>'[2]Dia 3 (a)'!$P19</f>
        <v>25.9</v>
      </c>
      <c r="E13" s="12">
        <f>'[2]Dia 4 (a)'!$P19</f>
        <v>28.5</v>
      </c>
      <c r="F13" s="12">
        <f>'[2]Dia 5 (a)'!$P19</f>
        <v>32.6</v>
      </c>
      <c r="G13" s="12">
        <f>'[2]Dia 6 (a)'!$P19</f>
        <v>30</v>
      </c>
      <c r="H13" s="12">
        <f>'[2]Dia 7 (a)'!$P19</f>
        <v>24.2</v>
      </c>
      <c r="I13" s="12">
        <f>'[2]Dia 8 (a)'!$P19</f>
        <v>27</v>
      </c>
      <c r="J13" s="12">
        <f>'[2]Dia 9 (a)'!$P19</f>
        <v>30.2</v>
      </c>
      <c r="K13" s="12">
        <f>'[2]Dia 10 (a)'!$P19</f>
        <v>33.6</v>
      </c>
      <c r="L13" s="12">
        <f>'[2]Dia 11 (a)'!$P19</f>
        <v>28.2</v>
      </c>
      <c r="M13" s="12">
        <f>'[2]Dia 12 (a)'!$P19</f>
        <v>33</v>
      </c>
      <c r="N13" s="12">
        <f>'[2]Dia 13 (a)'!$P19</f>
        <v>33.1</v>
      </c>
      <c r="O13" s="12">
        <f>'[2]Dia 14 (a)'!$P19</f>
        <v>36.200000000000003</v>
      </c>
      <c r="P13" s="12">
        <f>'[2]Dia 15 (a)'!$P19</f>
        <v>32.6</v>
      </c>
      <c r="Q13" s="12">
        <f>'[2]Dia 16 (a)'!$P19</f>
        <v>31.7</v>
      </c>
      <c r="R13" s="12">
        <f>'[2]Dia 17 (a)'!$P19</f>
        <v>32.6</v>
      </c>
      <c r="S13" s="12">
        <f>'[2]Dia 18 (a)'!$P19</f>
        <v>28.2</v>
      </c>
      <c r="T13" s="12">
        <f>'[2]Dia 19 (a)'!$P19</f>
        <v>29.2</v>
      </c>
      <c r="U13" s="12">
        <f>'[2]Dia 20 (a)'!$P19</f>
        <v>35.200000000000003</v>
      </c>
      <c r="V13" s="12">
        <f>'[2]Dia 21 (a)'!$P19</f>
        <v>33.200000000000003</v>
      </c>
      <c r="W13" s="12">
        <f>'[2]Dia 22 (a)'!$P19</f>
        <v>34.4</v>
      </c>
      <c r="X13" s="12">
        <f>'[2]Dia 23 (a)'!$P19</f>
        <v>31.4</v>
      </c>
      <c r="Y13" s="12">
        <f>'[2]Dia 24 (a)'!$P19</f>
        <v>36.6</v>
      </c>
      <c r="Z13" s="12">
        <f>'[2]Dia 25 (a)'!$P19</f>
        <v>37.6</v>
      </c>
      <c r="AA13" s="12">
        <f>'[2]Dia 26 (a)'!$P19</f>
        <v>39</v>
      </c>
      <c r="AB13" s="12">
        <f>'[2]Dia 27 (a)'!$P19</f>
        <v>37.299999999999997</v>
      </c>
      <c r="AC13" s="12">
        <f>'[2]Dia 28 (a)'!$P19</f>
        <v>38.5</v>
      </c>
      <c r="AD13" s="12"/>
      <c r="AE13" s="12"/>
      <c r="AF13" s="13"/>
      <c r="AG13" s="14"/>
    </row>
    <row r="14" spans="1:33" ht="20.100000000000001" customHeight="1">
      <c r="A14" s="11">
        <v>17</v>
      </c>
      <c r="B14" s="12">
        <f>'[2]Dia 1 (a)'!$P20</f>
        <v>26</v>
      </c>
      <c r="C14" s="12">
        <f>'[2]Dia 2 (a)'!$P20</f>
        <v>26</v>
      </c>
      <c r="D14" s="12">
        <f>'[2]Dia 3 (a)'!$P20</f>
        <v>25.4</v>
      </c>
      <c r="E14" s="12">
        <f>'[2]Dia 4 (a)'!$P20</f>
        <v>28</v>
      </c>
      <c r="F14" s="12">
        <f>'[2]Dia 5 (a)'!$P20</f>
        <v>30.6</v>
      </c>
      <c r="G14" s="12">
        <f>'[2]Dia 6 (a)'!$P20</f>
        <v>28.6</v>
      </c>
      <c r="H14" s="12">
        <f>'[2]Dia 7 (a)'!$P20</f>
        <v>24.2</v>
      </c>
      <c r="I14" s="12">
        <f>'[2]Dia 8 (a)'!$P20</f>
        <v>26</v>
      </c>
      <c r="J14" s="12">
        <f>'[2]Dia 9 (a)'!$P20</f>
        <v>29.8</v>
      </c>
      <c r="K14" s="12">
        <f>'[2]Dia 10 (a)'!$P20</f>
        <v>32</v>
      </c>
      <c r="L14" s="12">
        <f>'[2]Dia 11 (a)'!$P20</f>
        <v>27.4</v>
      </c>
      <c r="M14" s="12">
        <f>'[2]Dia 12 (a)'!$P20</f>
        <v>32.1</v>
      </c>
      <c r="N14" s="12">
        <f>'[2]Dia 13 (a)'!$P20</f>
        <v>31.8</v>
      </c>
      <c r="O14" s="12">
        <f>'[2]Dia 14 (a)'!$P20</f>
        <v>33.9</v>
      </c>
      <c r="P14" s="12">
        <f>'[2]Dia 15 (a)'!$P20</f>
        <v>31.6</v>
      </c>
      <c r="Q14" s="12">
        <f>'[2]Dia 16 (a)'!$P20</f>
        <v>30.9</v>
      </c>
      <c r="R14" s="12">
        <f>'[2]Dia 17 (a)'!$P20</f>
        <v>28.4</v>
      </c>
      <c r="S14" s="12">
        <f>'[2]Dia 18 (a)'!$P20</f>
        <v>27</v>
      </c>
      <c r="T14" s="12">
        <f>'[2]Dia 19 (a)'!$P20</f>
        <v>29</v>
      </c>
      <c r="U14" s="12">
        <f>'[2]Dia 20 (a)'!$P20</f>
        <v>30</v>
      </c>
      <c r="V14" s="12">
        <f>'[2]Dia 21 (a)'!$P20</f>
        <v>31.2</v>
      </c>
      <c r="W14" s="12">
        <f>'[2]Dia 22 (a)'!$P20</f>
        <v>33.4</v>
      </c>
      <c r="X14" s="12">
        <f>'[2]Dia 23 (a)'!$P20</f>
        <v>30.2</v>
      </c>
      <c r="Y14" s="12">
        <f>'[2]Dia 24 (a)'!$P20</f>
        <v>35</v>
      </c>
      <c r="Z14" s="12">
        <f>'[2]Dia 25 (a)'!$P20</f>
        <v>36.200000000000003</v>
      </c>
      <c r="AA14" s="12">
        <f>'[2]Dia 26 (a)'!$P20</f>
        <v>37</v>
      </c>
      <c r="AB14" s="12">
        <f>'[2]Dia 27 (a)'!$P20</f>
        <v>35.700000000000003</v>
      </c>
      <c r="AC14" s="12">
        <f>'[2]Dia 28 (a)'!$P20</f>
        <v>37.299999999999997</v>
      </c>
      <c r="AD14" s="12"/>
      <c r="AE14" s="12"/>
      <c r="AF14" s="13"/>
      <c r="AG14" s="14"/>
    </row>
    <row r="15" spans="1:33" ht="20.100000000000001" customHeight="1">
      <c r="A15" s="11">
        <v>18</v>
      </c>
      <c r="B15" s="12">
        <f>'[2]Dia 1 (a)'!$P21</f>
        <v>25.6</v>
      </c>
      <c r="C15" s="12">
        <f>'[2]Dia 2 (a)'!$P21</f>
        <v>23.6</v>
      </c>
      <c r="D15" s="12">
        <f>'[2]Dia 3 (a)'!$P21</f>
        <v>24.9</v>
      </c>
      <c r="E15" s="12">
        <f>'[2]Dia 4 (a)'!$P21</f>
        <v>27.4</v>
      </c>
      <c r="F15" s="12">
        <f>'[2]Dia 5 (a)'!$P21</f>
        <v>29.4</v>
      </c>
      <c r="G15" s="12">
        <f>'[2]Dia 6 (a)'!$P21</f>
        <v>27.5</v>
      </c>
      <c r="H15" s="12">
        <f>'[2]Dia 7 (a)'!$P21</f>
        <v>23.6</v>
      </c>
      <c r="I15" s="12">
        <f>'[2]Dia 8 (a)'!$P21</f>
        <v>25</v>
      </c>
      <c r="J15" s="12">
        <f>'[2]Dia 9 (a)'!$P21</f>
        <v>28</v>
      </c>
      <c r="K15" s="12">
        <f>'[2]Dia 10 (a)'!$P21</f>
        <v>30.2</v>
      </c>
      <c r="L15" s="12">
        <f>'[2]Dia 11 (a)'!$P21</f>
        <v>26.4</v>
      </c>
      <c r="M15" s="12">
        <f>'[2]Dia 12 (a)'!$P21</f>
        <v>30.6</v>
      </c>
      <c r="N15" s="12">
        <f>'[2]Dia 13 (a)'!$P21</f>
        <v>30.1</v>
      </c>
      <c r="O15" s="12">
        <f>'[2]Dia 14 (a)'!$P21</f>
        <v>33.1</v>
      </c>
      <c r="P15" s="12">
        <f>'[2]Dia 15 (a)'!$P21</f>
        <v>30.5</v>
      </c>
      <c r="Q15" s="12">
        <f>'[2]Dia 16 (a)'!$P21</f>
        <v>29.5</v>
      </c>
      <c r="R15" s="12">
        <f>'[2]Dia 17 (a)'!$P21</f>
        <v>28</v>
      </c>
      <c r="S15" s="12">
        <f>'[2]Dia 18 (a)'!$P21</f>
        <v>26</v>
      </c>
      <c r="T15" s="12">
        <f>'[2]Dia 19 (a)'!$P21</f>
        <v>27</v>
      </c>
      <c r="U15" s="12">
        <f>'[2]Dia 20 (a)'!$P21</f>
        <v>28</v>
      </c>
      <c r="V15" s="12">
        <f>'[2]Dia 21 (a)'!$P21</f>
        <v>30</v>
      </c>
      <c r="W15" s="12">
        <f>'[2]Dia 22 (a)'!$P21</f>
        <v>32.200000000000003</v>
      </c>
      <c r="X15" s="12">
        <f>'[2]Dia 23 (a)'!$P21</f>
        <v>29.3</v>
      </c>
      <c r="Y15" s="12">
        <f>'[2]Dia 24 (a)'!$P21</f>
        <v>32.6</v>
      </c>
      <c r="Z15" s="12">
        <f>'[2]Dia 25 (a)'!$P21</f>
        <v>34</v>
      </c>
      <c r="AA15" s="12">
        <f>'[2]Dia 26 (a)'!$P21</f>
        <v>34</v>
      </c>
      <c r="AB15" s="12">
        <f>'[2]Dia 27 (a)'!$P21</f>
        <v>33.799999999999997</v>
      </c>
      <c r="AC15" s="12">
        <f>'[2]Dia 28 (a)'!$P21</f>
        <v>35.700000000000003</v>
      </c>
      <c r="AD15" s="12"/>
      <c r="AE15" s="12"/>
      <c r="AF15" s="13"/>
      <c r="AG15" s="14"/>
    </row>
    <row r="16" spans="1:33" ht="20.100000000000001" customHeight="1">
      <c r="A16" s="11">
        <v>19</v>
      </c>
      <c r="B16" s="12">
        <f>'[2]Dia 1 (a)'!$P22</f>
        <v>25</v>
      </c>
      <c r="C16" s="12">
        <f>'[2]Dia 2 (a)'!$P22</f>
        <v>23.4</v>
      </c>
      <c r="D16" s="12">
        <f>'[2]Dia 3 (a)'!$P22</f>
        <v>24.3</v>
      </c>
      <c r="E16" s="12">
        <f>'[2]Dia 4 (a)'!$P22</f>
        <v>26.4</v>
      </c>
      <c r="F16" s="12">
        <f>'[2]Dia 5 (a)'!$P22</f>
        <v>28.3</v>
      </c>
      <c r="G16" s="12">
        <f>'[2]Dia 6 (a)'!$P22</f>
        <v>26.7</v>
      </c>
      <c r="H16" s="12">
        <f>'[2]Dia 7 (a)'!$P22</f>
        <v>23</v>
      </c>
      <c r="I16" s="12">
        <f>'[2]Dia 8 (a)'!$P22</f>
        <v>24</v>
      </c>
      <c r="J16" s="12">
        <f>'[2]Dia 9 (a)'!$P22</f>
        <v>25</v>
      </c>
      <c r="K16" s="12">
        <f>'[2]Dia 10 (a)'!$P22</f>
        <v>28.6</v>
      </c>
      <c r="L16" s="12">
        <f>'[2]Dia 11 (a)'!$P22</f>
        <v>25.5</v>
      </c>
      <c r="M16" s="12">
        <f>'[2]Dia 12 (a)'!$P22</f>
        <v>29</v>
      </c>
      <c r="N16" s="12">
        <f>'[2]Dia 13 (a)'!$P22</f>
        <v>29.1</v>
      </c>
      <c r="O16" s="12">
        <f>'[2]Dia 14 (a)'!$P22</f>
        <v>31.4</v>
      </c>
      <c r="P16" s="12">
        <f>'[2]Dia 15 (a)'!$P22</f>
        <v>29.2</v>
      </c>
      <c r="Q16" s="12">
        <f>'[2]Dia 16 (a)'!$P22</f>
        <v>28.3</v>
      </c>
      <c r="R16" s="12">
        <f>'[2]Dia 17 (a)'!$P22</f>
        <v>26</v>
      </c>
      <c r="S16" s="12">
        <f>'[2]Dia 18 (a)'!$P22</f>
        <v>25</v>
      </c>
      <c r="T16" s="12">
        <f>'[2]Dia 19 (a)'!$P22</f>
        <v>25</v>
      </c>
      <c r="U16" s="12">
        <f>'[2]Dia 20 (a)'!$P22</f>
        <v>26</v>
      </c>
      <c r="V16" s="12">
        <f>'[2]Dia 21 (a)'!$P22</f>
        <v>28.6</v>
      </c>
      <c r="W16" s="12">
        <f>'[2]Dia 22 (a)'!$P22</f>
        <v>30.7</v>
      </c>
      <c r="X16" s="12">
        <f>'[2]Dia 23 (a)'!$P22</f>
        <v>28.4</v>
      </c>
      <c r="Y16" s="12">
        <f>'[2]Dia 24 (a)'!$P22</f>
        <v>32</v>
      </c>
      <c r="Z16" s="12">
        <f>'[2]Dia 25 (a)'!$P22</f>
        <v>32</v>
      </c>
      <c r="AA16" s="12">
        <f>'[2]Dia 26 (a)'!$P22</f>
        <v>32.6</v>
      </c>
      <c r="AB16" s="12">
        <f>'[2]Dia 27 (a)'!$P22</f>
        <v>32.6</v>
      </c>
      <c r="AC16" s="12">
        <f>'[2]Dia 28 (a)'!$P22</f>
        <v>33.9</v>
      </c>
      <c r="AD16" s="12"/>
      <c r="AE16" s="12"/>
      <c r="AF16" s="13"/>
      <c r="AG16" s="14"/>
    </row>
    <row r="17" spans="1:33" ht="20.100000000000001" customHeight="1">
      <c r="A17" s="11">
        <v>20</v>
      </c>
      <c r="B17" s="12">
        <f>'[2]Dia 1 (a)'!$P23</f>
        <v>24</v>
      </c>
      <c r="C17" s="12">
        <f>'[2]Dia 2 (a)'!$P23</f>
        <v>23</v>
      </c>
      <c r="D17" s="12">
        <f>'[2]Dia 3 (a)'!$P23</f>
        <v>23.8</v>
      </c>
      <c r="E17" s="12">
        <f>'[2]Dia 4 (a)'!$P23</f>
        <v>25.6</v>
      </c>
      <c r="F17" s="12">
        <f>'[2]Dia 5 (a)'!$P23</f>
        <v>27.2</v>
      </c>
      <c r="G17" s="12">
        <f>'[2]Dia 6 (a)'!$P23</f>
        <v>26</v>
      </c>
      <c r="H17" s="12">
        <f>'[2]Dia 7 (a)'!$P23</f>
        <v>22.6</v>
      </c>
      <c r="I17" s="12">
        <f>'[2]Dia 8 (a)'!$P23</f>
        <v>23.4</v>
      </c>
      <c r="J17" s="12">
        <f>'[2]Dia 9 (a)'!$P23</f>
        <v>25</v>
      </c>
      <c r="K17" s="12">
        <f>'[2]Dia 10 (a)'!$P23</f>
        <v>27.3</v>
      </c>
      <c r="L17" s="12">
        <f>'[2]Dia 11 (a)'!$P23</f>
        <v>24.7</v>
      </c>
      <c r="M17" s="12">
        <f>'[2]Dia 12 (a)'!$P23</f>
        <v>28</v>
      </c>
      <c r="N17" s="12">
        <f>'[2]Dia 13 (a)'!$P23</f>
        <v>28.1</v>
      </c>
      <c r="O17" s="12">
        <f>'[2]Dia 14 (a)'!$P23</f>
        <v>30.2</v>
      </c>
      <c r="P17" s="12">
        <f>'[2]Dia 15 (a)'!$P23</f>
        <v>28.1</v>
      </c>
      <c r="Q17" s="12">
        <f>'[2]Dia 16 (a)'!$P23</f>
        <v>27.1</v>
      </c>
      <c r="R17" s="12">
        <f>'[2]Dia 17 (a)'!$P23</f>
        <v>24.8</v>
      </c>
      <c r="S17" s="12">
        <f>'[2]Dia 18 (a)'!$P23</f>
        <v>24</v>
      </c>
      <c r="T17" s="12">
        <f>'[2]Dia 19 (a)'!$P23</f>
        <v>24</v>
      </c>
      <c r="U17" s="12">
        <f>'[2]Dia 20 (a)'!$P23</f>
        <v>26</v>
      </c>
      <c r="V17" s="12">
        <f>'[2]Dia 21 (a)'!$P23</f>
        <v>27.6</v>
      </c>
      <c r="W17" s="12">
        <f>'[2]Dia 22 (a)'!$P23</f>
        <v>29.4</v>
      </c>
      <c r="X17" s="12">
        <f>'[2]Dia 23 (a)'!$P23</f>
        <v>27.6</v>
      </c>
      <c r="Y17" s="12">
        <f>'[2]Dia 24 (a)'!$P23</f>
        <v>30</v>
      </c>
      <c r="Z17" s="12">
        <f>'[2]Dia 25 (a)'!$P23</f>
        <v>30</v>
      </c>
      <c r="AA17" s="12">
        <f>'[2]Dia 26 (a)'!$P23</f>
        <v>30</v>
      </c>
      <c r="AB17" s="12">
        <f>'[2]Dia 27 (a)'!$P23</f>
        <v>31.3</v>
      </c>
      <c r="AC17" s="12">
        <f>'[2]Dia 28 (a)'!$P23</f>
        <v>32.299999999999997</v>
      </c>
      <c r="AD17" s="12"/>
      <c r="AE17" s="12"/>
      <c r="AF17" s="13"/>
      <c r="AG17" s="14"/>
    </row>
    <row r="18" spans="1:33" ht="20.100000000000001" customHeight="1">
      <c r="A18" s="11">
        <v>21</v>
      </c>
      <c r="B18" s="12">
        <f>'[2]Dia 1 (a)'!$P24</f>
        <v>23</v>
      </c>
      <c r="C18" s="12">
        <f>'[2]Dia 2 (a)'!$P24</f>
        <v>22.6</v>
      </c>
      <c r="D18" s="12">
        <f>'[2]Dia 3 (a)'!$P24</f>
        <v>23.4</v>
      </c>
      <c r="E18" s="12">
        <f>'[2]Dia 4 (a)'!$P24</f>
        <v>25</v>
      </c>
      <c r="F18" s="12">
        <f>'[2]Dia 5 (a)'!$P24</f>
        <v>26.5</v>
      </c>
      <c r="G18" s="12">
        <f>'[2]Dia 6 (a)'!$P24</f>
        <v>25.5</v>
      </c>
      <c r="H18" s="12">
        <f>'[2]Dia 7 (a)'!$P24</f>
        <v>22.3</v>
      </c>
      <c r="I18" s="12">
        <f>'[2]Dia 8 (a)'!$P24</f>
        <v>22.6</v>
      </c>
      <c r="J18" s="12">
        <f>'[2]Dia 9 (a)'!$P24</f>
        <v>24.8</v>
      </c>
      <c r="K18" s="12">
        <f>'[2]Dia 10 (a)'!$P24</f>
        <v>26.2</v>
      </c>
      <c r="L18" s="12">
        <f>'[2]Dia 11 (a)'!$P24</f>
        <v>24</v>
      </c>
      <c r="M18" s="12">
        <f>'[2]Dia 12 (a)'!$P24</f>
        <v>27</v>
      </c>
      <c r="N18" s="12">
        <f>'[2]Dia 13 (a)'!$P24</f>
        <v>27.4</v>
      </c>
      <c r="O18" s="12">
        <f>'[2]Dia 14 (a)'!$P24</f>
        <v>29.3</v>
      </c>
      <c r="P18" s="12">
        <f>'[2]Dia 15 (a)'!$P24</f>
        <v>27.2</v>
      </c>
      <c r="Q18" s="12">
        <f>'[2]Dia 16 (a)'!$P24</f>
        <v>26.4</v>
      </c>
      <c r="R18" s="12">
        <f>'[2]Dia 17 (a)'!$P24</f>
        <v>24.2</v>
      </c>
      <c r="S18" s="12">
        <f>'[2]Dia 18 (a)'!$P24</f>
        <v>23.6</v>
      </c>
      <c r="T18" s="12">
        <f>'[2]Dia 19 (a)'!$P24</f>
        <v>23.8</v>
      </c>
      <c r="U18" s="12">
        <f>'[2]Dia 20 (a)'!$P24</f>
        <v>26</v>
      </c>
      <c r="V18" s="12">
        <f>'[2]Dia 21 (a)'!$P24</f>
        <v>26.6</v>
      </c>
      <c r="W18" s="12">
        <f>'[2]Dia 22 (a)'!$P24</f>
        <v>28.3</v>
      </c>
      <c r="X18" s="12">
        <f>'[2]Dia 23 (a)'!$P24</f>
        <v>26.8</v>
      </c>
      <c r="Y18" s="12">
        <f>'[2]Dia 24 (a)'!$P24</f>
        <v>29</v>
      </c>
      <c r="Z18" s="12">
        <f>'[2]Dia 25 (a)'!$P24</f>
        <v>29.5</v>
      </c>
      <c r="AA18" s="12">
        <f>'[2]Dia 26 (a)'!$P24</f>
        <v>29</v>
      </c>
      <c r="AB18" s="12">
        <f>'[2]Dia 27 (a)'!$P24</f>
        <v>30.2</v>
      </c>
      <c r="AC18" s="12">
        <f>'[2]Dia 28 (a)'!$P24</f>
        <v>31.4</v>
      </c>
      <c r="AD18" s="12"/>
      <c r="AE18" s="12"/>
      <c r="AF18" s="13"/>
      <c r="AG18" s="14"/>
    </row>
    <row r="19" spans="1:33" ht="20.100000000000001" customHeight="1">
      <c r="A19" s="11">
        <v>22</v>
      </c>
      <c r="B19" s="12">
        <f>'[2]Dia 1 (a)'!$P25</f>
        <v>23</v>
      </c>
      <c r="C19" s="12">
        <f>'[2]Dia 2 (a)'!$P25</f>
        <v>22.8</v>
      </c>
      <c r="D19" s="12">
        <f>'[2]Dia 3 (a)'!$P25</f>
        <v>23.3</v>
      </c>
      <c r="E19" s="12">
        <f>'[2]Dia 4 (a)'!$P25</f>
        <v>24.6</v>
      </c>
      <c r="F19" s="12">
        <f>'[2]Dia 5 (a)'!$P25</f>
        <v>25.9</v>
      </c>
      <c r="G19" s="12">
        <f>'[2]Dia 6 (a)'!$P25</f>
        <v>25.1</v>
      </c>
      <c r="H19" s="12">
        <f>'[2]Dia 7 (a)'!$P25</f>
        <v>22</v>
      </c>
      <c r="I19" s="12">
        <f>'[2]Dia 8 (a)'!$P25</f>
        <v>22</v>
      </c>
      <c r="J19" s="12">
        <f>'[2]Dia 9 (a)'!$P25</f>
        <v>24</v>
      </c>
      <c r="K19" s="12">
        <f>'[2]Dia 10 (a)'!$P25</f>
        <v>25.3</v>
      </c>
      <c r="L19" s="12">
        <f>'[2]Dia 11 (a)'!$P25</f>
        <v>23.6</v>
      </c>
      <c r="M19" s="12">
        <f>'[2]Dia 12 (a)'!$P25</f>
        <v>26</v>
      </c>
      <c r="N19" s="12">
        <f>'[2]Dia 13 (a)'!$P25</f>
        <v>26.7</v>
      </c>
      <c r="O19" s="12">
        <f>'[2]Dia 14 (a)'!$P25</f>
        <v>28.2</v>
      </c>
      <c r="P19" s="12">
        <f>'[2]Dia 15 (a)'!$P25</f>
        <v>26.4</v>
      </c>
      <c r="Q19" s="12">
        <f>'[2]Dia 16 (a)'!$P25</f>
        <v>25.9</v>
      </c>
      <c r="R19" s="12">
        <f>'[2]Dia 17 (a)'!$P25</f>
        <v>24</v>
      </c>
      <c r="S19" s="12">
        <f>'[2]Dia 18 (a)'!$P25</f>
        <v>23.6</v>
      </c>
      <c r="T19" s="12">
        <f>'[2]Dia 19 (a)'!$P25</f>
        <v>23.5</v>
      </c>
      <c r="U19" s="12">
        <f>'[2]Dia 20 (a)'!$P25</f>
        <v>25</v>
      </c>
      <c r="V19" s="12">
        <f>'[2]Dia 21 (a)'!$P25</f>
        <v>26</v>
      </c>
      <c r="W19" s="12">
        <f>'[2]Dia 22 (a)'!$P25</f>
        <v>27.4</v>
      </c>
      <c r="X19" s="12">
        <f>'[2]Dia 23 (a)'!$P25</f>
        <v>26.1</v>
      </c>
      <c r="Y19" s="12">
        <f>'[2]Dia 24 (a)'!$P25</f>
        <v>28</v>
      </c>
      <c r="Z19" s="12">
        <f>'[2]Dia 25 (a)'!$P25</f>
        <v>28.4</v>
      </c>
      <c r="AA19" s="12">
        <f>'[2]Dia 26 (a)'!$P25</f>
        <v>28.6</v>
      </c>
      <c r="AB19" s="12">
        <f>'[2]Dia 27 (a)'!$P25</f>
        <v>29.3</v>
      </c>
      <c r="AC19" s="12">
        <f>'[2]Dia 28 (a)'!$P25</f>
        <v>30.4</v>
      </c>
      <c r="AD19" s="12"/>
      <c r="AE19" s="12"/>
      <c r="AF19" s="13"/>
      <c r="AG19" s="14"/>
    </row>
    <row r="20" spans="1:33" ht="20.100000000000001" customHeight="1">
      <c r="A20" s="11">
        <v>23</v>
      </c>
      <c r="B20" s="12">
        <f>'[2]Dia 1 (a)'!$P26</f>
        <v>23</v>
      </c>
      <c r="C20" s="12">
        <f>'[2]Dia 2 (a)'!$P26</f>
        <v>22.4</v>
      </c>
      <c r="D20" s="12">
        <f>'[2]Dia 3 (a)'!$P26</f>
        <v>23.1</v>
      </c>
      <c r="E20" s="12">
        <f>'[2]Dia 4 (a)'!$P26</f>
        <v>24.2</v>
      </c>
      <c r="F20" s="12">
        <f>'[2]Dia 5 (a)'!$P26</f>
        <v>25.4</v>
      </c>
      <c r="G20" s="12">
        <f>'[2]Dia 6 (a)'!$P26</f>
        <v>24.7</v>
      </c>
      <c r="H20" s="12">
        <f>'[2]Dia 7 (a)'!$P26</f>
        <v>21.8</v>
      </c>
      <c r="I20" s="12">
        <f>'[2]Dia 8 (a)'!$P26</f>
        <v>22</v>
      </c>
      <c r="J20" s="12">
        <f>'[2]Dia 9 (a)'!$P26</f>
        <v>23</v>
      </c>
      <c r="K20" s="12">
        <f>'[2]Dia 10 (a)'!$P26</f>
        <v>24.6</v>
      </c>
      <c r="L20" s="12">
        <f>'[2]Dia 11 (a)'!$P26</f>
        <v>23</v>
      </c>
      <c r="M20" s="12">
        <f>'[2]Dia 12 (a)'!$P26</f>
        <v>25.5</v>
      </c>
      <c r="N20" s="12">
        <f>'[2]Dia 13 (a)'!$P26</f>
        <v>25.6</v>
      </c>
      <c r="O20" s="12">
        <f>'[2]Dia 14 (a)'!$P26</f>
        <v>27.4</v>
      </c>
      <c r="P20" s="12">
        <f>'[2]Dia 15 (a)'!$P26</f>
        <v>25.8</v>
      </c>
      <c r="Q20" s="12">
        <f>'[2]Dia 16 (a)'!$P26</f>
        <v>25.4</v>
      </c>
      <c r="R20" s="12">
        <f>'[2]Dia 17 (a)'!$P26</f>
        <v>24</v>
      </c>
      <c r="S20" s="12">
        <f>'[2]Dia 18 (a)'!$P26</f>
        <v>23</v>
      </c>
      <c r="T20" s="12">
        <f>'[2]Dia 19 (a)'!$P26</f>
        <v>23</v>
      </c>
      <c r="U20" s="12">
        <f>'[2]Dia 20 (a)'!$P26</f>
        <v>24.6</v>
      </c>
      <c r="V20" s="12">
        <f>'[2]Dia 21 (a)'!$P26</f>
        <v>25.3</v>
      </c>
      <c r="W20" s="12">
        <f>'[2]Dia 22 (a)'!$P26</f>
        <v>26.6</v>
      </c>
      <c r="X20" s="12">
        <f>'[2]Dia 23 (a)'!$P26</f>
        <v>25.7</v>
      </c>
      <c r="Y20" s="12">
        <f>'[2]Dia 24 (a)'!$P26</f>
        <v>27.8</v>
      </c>
      <c r="Z20" s="12">
        <f>'[2]Dia 25 (a)'!$P26</f>
        <v>27.6</v>
      </c>
      <c r="AA20" s="12">
        <f>'[2]Dia 26 (a)'!$P26</f>
        <v>28.4</v>
      </c>
      <c r="AB20" s="12">
        <f>'[2]Dia 27 (a)'!$P26</f>
        <v>28.5</v>
      </c>
      <c r="AC20" s="12">
        <f>'[2]Dia 28 (a)'!$P26</f>
        <v>29.6</v>
      </c>
      <c r="AD20" s="12"/>
      <c r="AE20" s="12"/>
      <c r="AF20" s="13"/>
      <c r="AG20" s="14"/>
    </row>
    <row r="21" spans="1:33" ht="20.100000000000001" customHeight="1" thickBot="1">
      <c r="A21" s="16">
        <v>24</v>
      </c>
      <c r="B21" s="17">
        <f>'[2]Dia 1 (a)'!$P27</f>
        <v>22</v>
      </c>
      <c r="C21" s="17">
        <f>'[2]Dia 2 (a)'!$P27</f>
        <v>22</v>
      </c>
      <c r="D21" s="17">
        <f>'[2]Dia 3 (a)'!$P27</f>
        <v>22.7</v>
      </c>
      <c r="E21" s="17">
        <f>'[2]Dia 4 (a)'!$P27</f>
        <v>23.8</v>
      </c>
      <c r="F21" s="17">
        <f>'[2]Dia 5 (a)'!$P27</f>
        <v>24.9</v>
      </c>
      <c r="G21" s="17">
        <f>'[2]Dia 6 (a)'!$P27</f>
        <v>24.3</v>
      </c>
      <c r="H21" s="17">
        <f>'[2]Dia 7 (a)'!$P27</f>
        <v>21.8</v>
      </c>
      <c r="I21" s="17">
        <f>'[2]Dia 8 (a)'!$P27</f>
        <v>21.3</v>
      </c>
      <c r="J21" s="17">
        <f>'[2]Dia 9 (a)'!$P27</f>
        <v>22.6</v>
      </c>
      <c r="K21" s="17">
        <f>'[2]Dia 10 (a)'!$P27</f>
        <v>24</v>
      </c>
      <c r="L21" s="17">
        <f>'[2]Dia 11 (a)'!$P27</f>
        <v>22.6</v>
      </c>
      <c r="M21" s="17">
        <f>'[2]Dia 12 (a)'!$P27</f>
        <v>25</v>
      </c>
      <c r="N21" s="17">
        <f>'[2]Dia 13 (a)'!$P27</f>
        <v>25.1</v>
      </c>
      <c r="O21" s="17">
        <f>'[2]Dia 14 (a)'!$P27</f>
        <v>27</v>
      </c>
      <c r="P21" s="17">
        <f>'[2]Dia 15 (a)'!$P27</f>
        <v>25.2</v>
      </c>
      <c r="Q21" s="17">
        <f>'[2]Dia 16 (a)'!$P27</f>
        <v>24.9</v>
      </c>
      <c r="R21" s="17">
        <f>'[2]Dia 17 (a)'!$P27</f>
        <v>23</v>
      </c>
      <c r="S21" s="17">
        <f>'[2]Dia 18 (a)'!$P27</f>
        <v>21.8</v>
      </c>
      <c r="T21" s="17">
        <f>'[2]Dia 19 (a)'!$P27</f>
        <v>22</v>
      </c>
      <c r="U21" s="17">
        <f>'[2]Dia 20 (a)'!$P27</f>
        <v>23</v>
      </c>
      <c r="V21" s="17">
        <f>'[2]Dia 21 (a)'!$P27</f>
        <v>24.7</v>
      </c>
      <c r="W21" s="17">
        <f>'[2]Dia 22 (a)'!$P27</f>
        <v>25.8</v>
      </c>
      <c r="X21" s="17">
        <f>'[2]Dia 23 (a)'!$P27</f>
        <v>25</v>
      </c>
      <c r="Y21" s="17">
        <f>'[2]Dia 24 (a)'!$P27</f>
        <v>27</v>
      </c>
      <c r="Z21" s="17">
        <f>'[2]Dia 25 (a)'!$P27</f>
        <v>27</v>
      </c>
      <c r="AA21" s="17">
        <f>'[2]Dia 26 (a)'!$P27</f>
        <v>27</v>
      </c>
      <c r="AB21" s="17">
        <f>'[2]Dia 27 (a)'!$P27</f>
        <v>27.8</v>
      </c>
      <c r="AC21" s="17">
        <f>'[2]Dia 28 (a)'!$P27</f>
        <v>28.9</v>
      </c>
      <c r="AD21" s="17"/>
      <c r="AE21" s="17"/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24.883333333333336</v>
      </c>
      <c r="C25" s="26">
        <f t="shared" ref="C25:AC25" si="0">AVERAGE(C4:C21)</f>
        <v>24.244444444444447</v>
      </c>
      <c r="D25" s="26">
        <f t="shared" si="0"/>
        <v>24.227777777777774</v>
      </c>
      <c r="E25" s="26">
        <f t="shared" si="0"/>
        <v>24.938888888888886</v>
      </c>
      <c r="F25" s="26">
        <f t="shared" si="0"/>
        <v>27.555555555555554</v>
      </c>
      <c r="G25" s="26">
        <f t="shared" si="0"/>
        <v>25.988888888888891</v>
      </c>
      <c r="H25" s="26">
        <f t="shared" si="0"/>
        <v>23.00555555555556</v>
      </c>
      <c r="I25" s="26">
        <f t="shared" si="0"/>
        <v>23.838888888888889</v>
      </c>
      <c r="J25" s="26">
        <f t="shared" si="0"/>
        <v>25.93888888888889</v>
      </c>
      <c r="K25" s="26">
        <f t="shared" si="0"/>
        <v>27.861111111111118</v>
      </c>
      <c r="L25" s="26">
        <f t="shared" si="0"/>
        <v>25.677777777777777</v>
      </c>
      <c r="M25" s="26">
        <f t="shared" si="0"/>
        <v>27.700000000000003</v>
      </c>
      <c r="N25" s="26">
        <f t="shared" si="0"/>
        <v>28.211111111111116</v>
      </c>
      <c r="O25" s="26">
        <f t="shared" si="0"/>
        <v>30.561111111111114</v>
      </c>
      <c r="P25" s="26">
        <f t="shared" si="0"/>
        <v>28.777777777777779</v>
      </c>
      <c r="Q25" s="26">
        <f t="shared" si="0"/>
        <v>27.294444444444437</v>
      </c>
      <c r="R25" s="26">
        <f t="shared" si="0"/>
        <v>27.611111111111107</v>
      </c>
      <c r="S25" s="26">
        <f t="shared" si="0"/>
        <v>25.50555555555556</v>
      </c>
      <c r="T25" s="26">
        <f t="shared" si="0"/>
        <v>25.616666666666664</v>
      </c>
      <c r="U25" s="26">
        <f t="shared" si="0"/>
        <v>27.977777777777778</v>
      </c>
      <c r="V25" s="26">
        <f t="shared" si="0"/>
        <v>28.177777777777784</v>
      </c>
      <c r="W25" s="26">
        <f t="shared" si="0"/>
        <v>30.083333333333329</v>
      </c>
      <c r="X25" s="26">
        <f t="shared" si="0"/>
        <v>29.016666666666666</v>
      </c>
      <c r="Y25" s="26">
        <f t="shared" si="0"/>
        <v>30.583333333333332</v>
      </c>
      <c r="Z25" s="26">
        <f t="shared" si="0"/>
        <v>31.311111111111114</v>
      </c>
      <c r="AA25" s="26">
        <f t="shared" si="0"/>
        <v>31.549999999999997</v>
      </c>
      <c r="AB25" s="26">
        <f t="shared" si="0"/>
        <v>31.555555555555557</v>
      </c>
      <c r="AC25" s="26">
        <f t="shared" si="0"/>
        <v>32.549999999999997</v>
      </c>
      <c r="AD25" s="26"/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29.6</v>
      </c>
      <c r="C29" s="26">
        <f t="shared" ref="C29:AC29" si="1">MAX(C4:C21)</f>
        <v>27.2</v>
      </c>
      <c r="D29" s="26">
        <f t="shared" si="1"/>
        <v>26.9</v>
      </c>
      <c r="E29" s="26">
        <f t="shared" si="1"/>
        <v>28.5</v>
      </c>
      <c r="F29" s="26">
        <f t="shared" si="1"/>
        <v>32.6</v>
      </c>
      <c r="G29" s="26">
        <f t="shared" si="1"/>
        <v>30</v>
      </c>
      <c r="H29" s="26">
        <f t="shared" si="1"/>
        <v>24.3</v>
      </c>
      <c r="I29" s="26">
        <f t="shared" si="1"/>
        <v>27.3</v>
      </c>
      <c r="J29" s="26">
        <f t="shared" si="1"/>
        <v>31</v>
      </c>
      <c r="K29" s="26">
        <f t="shared" si="1"/>
        <v>34.799999999999997</v>
      </c>
      <c r="L29" s="26">
        <f t="shared" si="1"/>
        <v>30</v>
      </c>
      <c r="M29" s="26">
        <f t="shared" si="1"/>
        <v>34</v>
      </c>
      <c r="N29" s="26">
        <f t="shared" si="1"/>
        <v>33.1</v>
      </c>
      <c r="O29" s="26">
        <f t="shared" si="1"/>
        <v>37.1</v>
      </c>
      <c r="P29" s="26">
        <f t="shared" si="1"/>
        <v>33</v>
      </c>
      <c r="Q29" s="26">
        <f t="shared" si="1"/>
        <v>32.1</v>
      </c>
      <c r="R29" s="26">
        <f t="shared" si="1"/>
        <v>35</v>
      </c>
      <c r="S29" s="26">
        <f t="shared" si="1"/>
        <v>30.6</v>
      </c>
      <c r="T29" s="26">
        <f t="shared" si="1"/>
        <v>30.5</v>
      </c>
      <c r="U29" s="26">
        <f t="shared" si="1"/>
        <v>35.9</v>
      </c>
      <c r="V29" s="26">
        <f t="shared" si="1"/>
        <v>33.299999999999997</v>
      </c>
      <c r="W29" s="26">
        <f t="shared" si="1"/>
        <v>38.1</v>
      </c>
      <c r="X29" s="26">
        <f t="shared" si="1"/>
        <v>36</v>
      </c>
      <c r="Y29" s="26">
        <f t="shared" si="1"/>
        <v>37.5</v>
      </c>
      <c r="Z29" s="26">
        <f t="shared" si="1"/>
        <v>38.5</v>
      </c>
      <c r="AA29" s="26">
        <f t="shared" si="1"/>
        <v>39.1</v>
      </c>
      <c r="AB29" s="26">
        <f t="shared" si="1"/>
        <v>37.4</v>
      </c>
      <c r="AC29" s="26">
        <f t="shared" si="1"/>
        <v>38.5</v>
      </c>
      <c r="AD29" s="26"/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21.6</v>
      </c>
      <c r="C33" s="26">
        <f t="shared" ref="C33:AC33" si="2">MIN(C4:C21)</f>
        <v>21.6</v>
      </c>
      <c r="D33" s="26">
        <f t="shared" si="2"/>
        <v>21.3</v>
      </c>
      <c r="E33" s="26">
        <f t="shared" si="2"/>
        <v>21.8</v>
      </c>
      <c r="F33" s="26">
        <f t="shared" si="2"/>
        <v>22</v>
      </c>
      <c r="G33" s="26">
        <f t="shared" si="2"/>
        <v>23</v>
      </c>
      <c r="H33" s="26">
        <f t="shared" si="2"/>
        <v>21.8</v>
      </c>
      <c r="I33" s="26">
        <f t="shared" si="2"/>
        <v>20.7</v>
      </c>
      <c r="J33" s="26">
        <f t="shared" si="2"/>
        <v>19.399999999999999</v>
      </c>
      <c r="K33" s="26">
        <f t="shared" si="2"/>
        <v>19.5</v>
      </c>
      <c r="L33" s="26">
        <f t="shared" si="2"/>
        <v>21</v>
      </c>
      <c r="M33" s="26">
        <f t="shared" si="2"/>
        <v>21.8</v>
      </c>
      <c r="N33" s="26">
        <f t="shared" si="2"/>
        <v>22</v>
      </c>
      <c r="O33" s="26">
        <f t="shared" si="2"/>
        <v>22.5</v>
      </c>
      <c r="P33" s="26">
        <f t="shared" si="2"/>
        <v>23.8</v>
      </c>
      <c r="Q33" s="26">
        <f t="shared" si="2"/>
        <v>22.7</v>
      </c>
      <c r="R33" s="26">
        <f t="shared" si="2"/>
        <v>23</v>
      </c>
      <c r="S33" s="26">
        <f t="shared" si="2"/>
        <v>21.6</v>
      </c>
      <c r="T33" s="26">
        <f t="shared" si="2"/>
        <v>19.399999999999999</v>
      </c>
      <c r="U33" s="26">
        <f t="shared" si="2"/>
        <v>21.7</v>
      </c>
      <c r="V33" s="26">
        <f t="shared" si="2"/>
        <v>21.4</v>
      </c>
      <c r="W33" s="26">
        <f t="shared" si="2"/>
        <v>21.9</v>
      </c>
      <c r="X33" s="26">
        <f t="shared" si="2"/>
        <v>22.9</v>
      </c>
      <c r="Y33" s="26">
        <f t="shared" si="2"/>
        <v>22.1</v>
      </c>
      <c r="Z33" s="26">
        <f t="shared" si="2"/>
        <v>24.6</v>
      </c>
      <c r="AA33" s="26">
        <f t="shared" si="2"/>
        <v>23.2</v>
      </c>
      <c r="AB33" s="26">
        <f t="shared" si="2"/>
        <v>24.2</v>
      </c>
      <c r="AC33" s="26">
        <f t="shared" si="2"/>
        <v>24.6</v>
      </c>
      <c r="AD33" s="26"/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C37" si="3">B29-B33</f>
        <v>8</v>
      </c>
      <c r="C37" s="26">
        <f t="shared" si="3"/>
        <v>5.5999999999999979</v>
      </c>
      <c r="D37" s="26">
        <f t="shared" si="3"/>
        <v>5.5999999999999979</v>
      </c>
      <c r="E37" s="26">
        <f t="shared" si="3"/>
        <v>6.6999999999999993</v>
      </c>
      <c r="F37" s="26">
        <f t="shared" si="3"/>
        <v>10.600000000000001</v>
      </c>
      <c r="G37" s="26">
        <f t="shared" si="3"/>
        <v>7</v>
      </c>
      <c r="H37" s="26">
        <f t="shared" si="3"/>
        <v>2.5</v>
      </c>
      <c r="I37" s="26">
        <f t="shared" si="3"/>
        <v>6.6000000000000014</v>
      </c>
      <c r="J37" s="26">
        <f t="shared" si="3"/>
        <v>11.600000000000001</v>
      </c>
      <c r="K37" s="26">
        <f t="shared" si="3"/>
        <v>15.299999999999997</v>
      </c>
      <c r="L37" s="26">
        <f t="shared" si="3"/>
        <v>9</v>
      </c>
      <c r="M37" s="26">
        <f t="shared" si="3"/>
        <v>12.2</v>
      </c>
      <c r="N37" s="26">
        <f t="shared" si="3"/>
        <v>11.100000000000001</v>
      </c>
      <c r="O37" s="26">
        <f t="shared" si="3"/>
        <v>14.600000000000001</v>
      </c>
      <c r="P37" s="26">
        <f t="shared" si="3"/>
        <v>9.1999999999999993</v>
      </c>
      <c r="Q37" s="26">
        <f t="shared" si="3"/>
        <v>9.4000000000000021</v>
      </c>
      <c r="R37" s="26">
        <f t="shared" si="3"/>
        <v>12</v>
      </c>
      <c r="S37" s="26">
        <f t="shared" si="3"/>
        <v>9</v>
      </c>
      <c r="T37" s="26">
        <f t="shared" si="3"/>
        <v>11.100000000000001</v>
      </c>
      <c r="U37" s="26">
        <f t="shared" si="3"/>
        <v>14.2</v>
      </c>
      <c r="V37" s="26">
        <f t="shared" si="3"/>
        <v>11.899999999999999</v>
      </c>
      <c r="W37" s="26">
        <f t="shared" si="3"/>
        <v>16.200000000000003</v>
      </c>
      <c r="X37" s="26">
        <f t="shared" si="3"/>
        <v>13.100000000000001</v>
      </c>
      <c r="Y37" s="26">
        <f t="shared" si="3"/>
        <v>15.399999999999999</v>
      </c>
      <c r="Z37" s="26">
        <f t="shared" si="3"/>
        <v>13.899999999999999</v>
      </c>
      <c r="AA37" s="26">
        <f t="shared" si="3"/>
        <v>15.900000000000002</v>
      </c>
      <c r="AB37" s="26">
        <f t="shared" si="3"/>
        <v>13.2</v>
      </c>
      <c r="AC37" s="26">
        <f t="shared" si="3"/>
        <v>13.899999999999999</v>
      </c>
      <c r="AD37" s="26"/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27.580158730158729</v>
      </c>
      <c r="I43" s="39"/>
      <c r="J43" s="41"/>
      <c r="K43" s="40">
        <f>MAX(B29:AF29)</f>
        <v>39.1</v>
      </c>
      <c r="L43" s="41"/>
      <c r="M43" s="41"/>
      <c r="N43" s="40">
        <f>MIN(B33:AF33)</f>
        <v>19.399999999999999</v>
      </c>
      <c r="O43" s="41"/>
      <c r="P43" s="41"/>
      <c r="Q43" s="40">
        <f>K43-N43</f>
        <v>19.700000000000003</v>
      </c>
      <c r="R43" s="39"/>
      <c r="S43" s="40"/>
      <c r="T43" s="40">
        <f>AVERAGE(B29:AF29)</f>
        <v>32.924999999999997</v>
      </c>
      <c r="U43" s="40"/>
      <c r="V43" s="40">
        <f>AVERAGE(B33:AF33)</f>
        <v>22.039285714285715</v>
      </c>
      <c r="W43" s="40"/>
      <c r="X43" s="40">
        <f>T43-V43</f>
        <v>10.885714285714283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(a)'!$P10</f>
        <v>26</v>
      </c>
      <c r="C4" s="12">
        <f>'[3]Dia 2 (a)'!$P10</f>
        <v>23</v>
      </c>
      <c r="D4" s="12">
        <f>'[3]Dia 3 (a)'!$P10</f>
        <v>23.6</v>
      </c>
      <c r="E4" s="12">
        <f>'[3]Dia 4 (a)'!$P10</f>
        <v>23.8</v>
      </c>
      <c r="F4" s="12">
        <f>'[3]Dia 5 (a)'!$P10</f>
        <v>21.3</v>
      </c>
      <c r="G4" s="12">
        <f>'[3]Dia 6 (a)'!$P10</f>
        <v>22.4</v>
      </c>
      <c r="H4" s="12">
        <f>'[3]Dia 7 (a)'!$P10</f>
        <v>21.9</v>
      </c>
      <c r="I4" s="12">
        <f>'[3]Dia 8 (a)'!$P10</f>
        <v>22</v>
      </c>
      <c r="J4" s="12">
        <f>'[3]Dia 9 (a)'!$P10</f>
        <v>22.5</v>
      </c>
      <c r="K4" s="12">
        <f>'[3]Dia 10 (a)'!$P10</f>
        <v>22.7</v>
      </c>
      <c r="L4" s="12">
        <f>'[3]Dia 11 (a)'!$P10</f>
        <v>23.5</v>
      </c>
      <c r="M4" s="12">
        <f>'[3]Dia 12 (a)'!$P10</f>
        <v>22.1</v>
      </c>
      <c r="N4" s="12">
        <f>'[3]Dia 13 (a)'!$P10</f>
        <v>22.74</v>
      </c>
      <c r="O4" s="12">
        <f>'[3]Dia 14 (a)'!$P10</f>
        <v>23</v>
      </c>
      <c r="P4" s="12">
        <f>'[3]Dia 15 (a)'!$P10</f>
        <v>22</v>
      </c>
      <c r="Q4" s="12">
        <f>'[3]Dia 16 (a)'!$P10</f>
        <v>22.4</v>
      </c>
      <c r="R4" s="12">
        <f>'[3]Dia 17 (a)'!$P10</f>
        <v>22.6</v>
      </c>
      <c r="S4" s="12">
        <f>'[3]Dia 18 (a)'!$P10</f>
        <v>23.1</v>
      </c>
      <c r="T4" s="12">
        <f>'[3]Dia 19 (a)'!$P10</f>
        <v>23.4</v>
      </c>
      <c r="U4" s="12">
        <f>'[3]Dia 20 (a)'!$P10</f>
        <v>22</v>
      </c>
      <c r="V4" s="12">
        <f>'[3]Dia 21 (a)'!$P10</f>
        <v>18.8</v>
      </c>
      <c r="W4" s="12">
        <f>'[3]Dia 22 (a)'!$P10</f>
        <v>18.2</v>
      </c>
      <c r="X4" s="12">
        <f>'[3]Dia 23 (a)'!$P10</f>
        <v>19.600000000000001</v>
      </c>
      <c r="Y4" s="12">
        <f>'[3]Dia 24 (a)'!$P10</f>
        <v>21.4</v>
      </c>
      <c r="Z4" s="12">
        <f>'[3]Dia 25 (a)'!$P10</f>
        <v>23.3</v>
      </c>
      <c r="AA4" s="12">
        <f>'[3]Dia 26 (a)'!$P10</f>
        <v>24</v>
      </c>
      <c r="AB4" s="12">
        <f>'[3]Dia 27 (a)'!$P10</f>
        <v>23.6</v>
      </c>
      <c r="AC4" s="12">
        <f>'[3]Dia 28 (a)'!$P10</f>
        <v>22</v>
      </c>
      <c r="AD4" s="12">
        <f>'[3]Dia 29 (a)'!$P10</f>
        <v>22</v>
      </c>
      <c r="AE4" s="12">
        <f>'[3]Dia 30 (a)'!$P10</f>
        <v>22.2</v>
      </c>
      <c r="AF4" s="13">
        <f>'[3]Dia 31 (a)'!$P10</f>
        <v>23.7</v>
      </c>
      <c r="AG4" s="14"/>
    </row>
    <row r="5" spans="1:33" ht="20.100000000000001" customHeight="1">
      <c r="A5" s="11">
        <v>8</v>
      </c>
      <c r="B5" s="12">
        <f>'[3]Dia 1 (a)'!$P11</f>
        <v>26.4</v>
      </c>
      <c r="C5" s="12">
        <f>'[3]Dia 2 (a)'!$P11</f>
        <v>23.4</v>
      </c>
      <c r="D5" s="12">
        <f>'[3]Dia 3 (a)'!$P11</f>
        <v>24</v>
      </c>
      <c r="E5" s="12">
        <f>'[3]Dia 4 (a)'!$P11</f>
        <v>24.3</v>
      </c>
      <c r="F5" s="12">
        <f>'[3]Dia 5 (a)'!$P11</f>
        <v>22.5</v>
      </c>
      <c r="G5" s="12">
        <f>'[3]Dia 6 (a)'!$P11</f>
        <v>23.7</v>
      </c>
      <c r="H5" s="12">
        <f>'[3]Dia 7 (a)'!$P11</f>
        <v>23.1</v>
      </c>
      <c r="I5" s="12">
        <f>'[3]Dia 8 (a)'!$P11</f>
        <v>23</v>
      </c>
      <c r="J5" s="12">
        <f>'[3]Dia 9 (a)'!$P11</f>
        <v>23.4</v>
      </c>
      <c r="K5" s="12">
        <f>'[3]Dia 10 (a)'!$P11</f>
        <v>23.4</v>
      </c>
      <c r="L5" s="12">
        <f>'[3]Dia 11 (a)'!$P11</f>
        <v>23.3</v>
      </c>
      <c r="M5" s="12">
        <f>'[3]Dia 12 (a)'!$P11</f>
        <v>22.3</v>
      </c>
      <c r="N5" s="12">
        <f>'[3]Dia 13 (a)'!$P11</f>
        <v>23.2</v>
      </c>
      <c r="O5" s="12">
        <f>'[3]Dia 14 (a)'!$P11</f>
        <v>23</v>
      </c>
      <c r="P5" s="12">
        <f>'[3]Dia 15 (a)'!$P11</f>
        <v>22.4</v>
      </c>
      <c r="Q5" s="12">
        <f>'[3]Dia 16 (a)'!$P11</f>
        <v>22.9</v>
      </c>
      <c r="R5" s="12">
        <f>'[3]Dia 17 (a)'!$P11</f>
        <v>23.6</v>
      </c>
      <c r="S5" s="12">
        <f>'[3]Dia 18 (a)'!$P11</f>
        <v>23.6</v>
      </c>
      <c r="T5" s="12">
        <f>'[3]Dia 19 (a)'!$P11</f>
        <v>24.2</v>
      </c>
      <c r="U5" s="12">
        <f>'[3]Dia 20 (a)'!$P11</f>
        <v>22</v>
      </c>
      <c r="V5" s="12">
        <f>'[3]Dia 21 (a)'!$P11</f>
        <v>19.399999999999999</v>
      </c>
      <c r="W5" s="12">
        <f>'[3]Dia 22 (a)'!$P11</f>
        <v>19</v>
      </c>
      <c r="X5" s="12">
        <f>'[3]Dia 23 (a)'!$P11</f>
        <v>20.100000000000001</v>
      </c>
      <c r="Y5" s="43">
        <f>'[3]Dia 24 (a)'!$P11</f>
        <v>22.4</v>
      </c>
      <c r="Z5" s="12">
        <f>'[3]Dia 25 (a)'!$P11</f>
        <v>23.6</v>
      </c>
      <c r="AA5" s="12">
        <f>'[3]Dia 26 (a)'!$P11</f>
        <v>24.2</v>
      </c>
      <c r="AB5" s="12">
        <f>'[3]Dia 27 (a)'!$P11</f>
        <v>23.8</v>
      </c>
      <c r="AC5" s="12">
        <f>'[3]Dia 28 (a)'!$P11</f>
        <v>22.6</v>
      </c>
      <c r="AD5" s="12">
        <f>'[3]Dia 29 (a)'!$P11</f>
        <v>22.6</v>
      </c>
      <c r="AE5" s="12">
        <f>'[3]Dia 30 (a)'!$P11</f>
        <v>23</v>
      </c>
      <c r="AF5" s="13">
        <f>'[3]Dia 31 (a)'!$P11</f>
        <v>24</v>
      </c>
      <c r="AG5" s="14"/>
    </row>
    <row r="6" spans="1:33" ht="20.100000000000001" customHeight="1">
      <c r="A6" s="11">
        <v>9</v>
      </c>
      <c r="B6" s="12">
        <f>'[3]Dia 1 (a)'!$P12</f>
        <v>29.2</v>
      </c>
      <c r="C6" s="12">
        <f>'[3]Dia 2 (a)'!$P12</f>
        <v>26</v>
      </c>
      <c r="D6" s="12">
        <f>'[3]Dia 3 (a)'!$P12</f>
        <v>26</v>
      </c>
      <c r="E6" s="12">
        <f>'[3]Dia 4 (a)'!$P12</f>
        <v>25.7</v>
      </c>
      <c r="F6" s="12">
        <f>'[3]Dia 5 (a)'!$P12</f>
        <v>24.7</v>
      </c>
      <c r="G6" s="12">
        <f>'[3]Dia 6 (a)'!$P12</f>
        <v>25.8</v>
      </c>
      <c r="H6" s="12">
        <f>'[3]Dia 7 (a)'!$P12</f>
        <v>25.2</v>
      </c>
      <c r="I6" s="12">
        <f>'[3]Dia 8 (a)'!$P12</f>
        <v>24.8</v>
      </c>
      <c r="J6" s="12">
        <f>'[3]Dia 9 (a)'!$P12</f>
        <v>24.5</v>
      </c>
      <c r="K6" s="12">
        <f>'[3]Dia 10 (a)'!$P12</f>
        <v>25.2</v>
      </c>
      <c r="L6" s="12">
        <f>'[3]Dia 11 (a)'!$P12</f>
        <v>23.7</v>
      </c>
      <c r="M6" s="12">
        <f>'[3]Dia 12 (a)'!$P12</f>
        <v>21.1</v>
      </c>
      <c r="N6" s="12">
        <f>'[3]Dia 13 (a)'!$P12</f>
        <v>24.3</v>
      </c>
      <c r="O6" s="12">
        <f>'[3]Dia 14 (a)'!$P12</f>
        <v>23.6</v>
      </c>
      <c r="P6" s="12">
        <f>'[3]Dia 15 (a)'!$P12</f>
        <v>23.4</v>
      </c>
      <c r="Q6" s="12">
        <f>'[3]Dia 16 (a)'!$P12</f>
        <v>24.3</v>
      </c>
      <c r="R6" s="12">
        <f>'[3]Dia 17 (a)'!$P12</f>
        <v>24.4</v>
      </c>
      <c r="S6" s="12">
        <f>'[3]Dia 18 (a)'!$P12</f>
        <v>24.6</v>
      </c>
      <c r="T6" s="12">
        <f>'[3]Dia 19 (a)'!$P12</f>
        <v>25.4</v>
      </c>
      <c r="U6" s="12">
        <f>'[3]Dia 20 (a)'!$P12</f>
        <v>22</v>
      </c>
      <c r="V6" s="12">
        <f>'[3]Dia 21 (a)'!$P12</f>
        <v>20.7</v>
      </c>
      <c r="W6" s="12">
        <f>'[3]Dia 22 (a)'!$P12</f>
        <v>20.8</v>
      </c>
      <c r="X6" s="12">
        <f>'[3]Dia 23 (a)'!$P12</f>
        <v>21.8</v>
      </c>
      <c r="Y6" s="12">
        <f>'[3]Dia 24 (a)'!$P12</f>
        <v>24</v>
      </c>
      <c r="Z6" s="12">
        <f>'[3]Dia 25 (a)'!$P12</f>
        <v>25.4</v>
      </c>
      <c r="AA6" s="12">
        <f>'[3]Dia 26 (a)'!$P12</f>
        <v>24.5</v>
      </c>
      <c r="AB6" s="12">
        <f>'[3]Dia 27 (a)'!$P12</f>
        <v>24.2</v>
      </c>
      <c r="AC6" s="12">
        <f>'[3]Dia 28 (a)'!$P12</f>
        <v>22.9</v>
      </c>
      <c r="AD6" s="12">
        <f>'[3]Dia 29 (a)'!$P12</f>
        <v>24</v>
      </c>
      <c r="AE6" s="12">
        <f>'[3]Dia 30 (a)'!$P12</f>
        <v>24.8</v>
      </c>
      <c r="AF6" s="13">
        <f>'[3]Dia 31 (a)'!$P12</f>
        <v>24.6</v>
      </c>
      <c r="AG6" s="14"/>
    </row>
    <row r="7" spans="1:33" ht="20.100000000000001" customHeight="1">
      <c r="A7" s="11">
        <v>10</v>
      </c>
      <c r="B7" s="12">
        <f>'[3]Dia 1 (a)'!$P13</f>
        <v>30.4</v>
      </c>
      <c r="C7" s="12">
        <f>'[3]Dia 2 (a)'!$P13</f>
        <v>27</v>
      </c>
      <c r="D7" s="12">
        <f>'[3]Dia 3 (a)'!$P13</f>
        <v>28.8</v>
      </c>
      <c r="E7" s="12">
        <f>'[3]Dia 4 (a)'!$P13</f>
        <v>27.1</v>
      </c>
      <c r="F7" s="12">
        <f>'[3]Dia 5 (a)'!$P13</f>
        <v>27</v>
      </c>
      <c r="G7" s="12">
        <f>'[3]Dia 6 (a)'!$P13</f>
        <v>27.7</v>
      </c>
      <c r="H7" s="12">
        <f>'[3]Dia 7 (a)'!$P13</f>
        <v>27.6</v>
      </c>
      <c r="I7" s="12">
        <f>'[3]Dia 8 (a)'!$P13</f>
        <v>27</v>
      </c>
      <c r="J7" s="12">
        <f>'[3]Dia 9 (a)'!$P13</f>
        <v>27.3</v>
      </c>
      <c r="K7" s="12">
        <f>'[3]Dia 10 (a)'!$P13</f>
        <v>27.5</v>
      </c>
      <c r="L7" s="12">
        <f>'[3]Dia 11 (a)'!$P13</f>
        <v>24</v>
      </c>
      <c r="M7" s="12">
        <f>'[3]Dia 12 (a)'!$P13</f>
        <v>24.2</v>
      </c>
      <c r="N7" s="12">
        <f>'[3]Dia 13 (a)'!$P13</f>
        <v>25.3</v>
      </c>
      <c r="O7" s="12">
        <f>'[3]Dia 14 (a)'!$P13</f>
        <v>24.6</v>
      </c>
      <c r="P7" s="12">
        <f>'[3]Dia 15 (a)'!$P13</f>
        <v>24.2</v>
      </c>
      <c r="Q7" s="12">
        <f>'[3]Dia 16 (a)'!$P13</f>
        <v>26.6</v>
      </c>
      <c r="R7" s="12">
        <f>'[3]Dia 17 (a)'!$P13</f>
        <v>26.8</v>
      </c>
      <c r="S7" s="12">
        <f>'[3]Dia 18 (a)'!$P13</f>
        <v>27.1</v>
      </c>
      <c r="T7" s="12">
        <f>'[3]Dia 19 (a)'!$P13</f>
        <v>26.4</v>
      </c>
      <c r="U7" s="12">
        <f>'[3]Dia 20 (a)'!$P13</f>
        <v>22.6</v>
      </c>
      <c r="V7" s="12">
        <f>'[3]Dia 21 (a)'!$P13</f>
        <v>21.4</v>
      </c>
      <c r="W7" s="12">
        <f>'[3]Dia 22 (a)'!$P13</f>
        <v>22.8</v>
      </c>
      <c r="X7" s="12">
        <f>'[3]Dia 23 (a)'!$P13</f>
        <v>24.4</v>
      </c>
      <c r="Y7" s="12">
        <f>'[3]Dia 24 (a)'!$P13</f>
        <v>26.2</v>
      </c>
      <c r="Z7" s="12">
        <f>'[3]Dia 25 (a)'!$P13</f>
        <v>27.8</v>
      </c>
      <c r="AA7" s="12">
        <f>'[3]Dia 26 (a)'!$P13</f>
        <v>26.4</v>
      </c>
      <c r="AB7" s="12">
        <f>'[3]Dia 27 (a)'!$P13</f>
        <v>25.2</v>
      </c>
      <c r="AC7" s="12">
        <f>'[3]Dia 28 (a)'!$P13</f>
        <v>24.2</v>
      </c>
      <c r="AD7" s="12">
        <f>'[3]Dia 29 (a)'!$P13</f>
        <v>25</v>
      </c>
      <c r="AE7" s="12">
        <f>'[3]Dia 30 (a)'!$P13</f>
        <v>27.4</v>
      </c>
      <c r="AF7" s="13">
        <f>'[3]Dia 31 (a)'!$P13</f>
        <v>25</v>
      </c>
      <c r="AG7" s="14"/>
    </row>
    <row r="8" spans="1:33" ht="20.100000000000001" customHeight="1">
      <c r="A8" s="11">
        <v>11</v>
      </c>
      <c r="B8" s="12">
        <f>'[3]Dia 1 (a)'!$P14</f>
        <v>33.6</v>
      </c>
      <c r="C8" s="12">
        <f>'[3]Dia 2 (a)'!$P14</f>
        <v>29</v>
      </c>
      <c r="D8" s="12">
        <f>'[3]Dia 3 (a)'!$P14</f>
        <v>31.4</v>
      </c>
      <c r="E8" s="12">
        <f>'[3]Dia 4 (a)'!$P14</f>
        <v>29.7</v>
      </c>
      <c r="F8" s="12">
        <f>'[3]Dia 5 (a)'!$P14</f>
        <v>29.3</v>
      </c>
      <c r="G8" s="12">
        <f>'[3]Dia 6 (a)'!$P14</f>
        <v>29.7</v>
      </c>
      <c r="H8" s="12">
        <f>'[3]Dia 7 (a)'!$P14</f>
        <v>29.6</v>
      </c>
      <c r="I8" s="12">
        <f>'[3]Dia 8 (a)'!$P14</f>
        <v>29.4</v>
      </c>
      <c r="J8" s="12">
        <f>'[3]Dia 9 (a)'!$P14</f>
        <v>30.2</v>
      </c>
      <c r="K8" s="12">
        <f>'[3]Dia 10 (a)'!$P14</f>
        <v>29.5</v>
      </c>
      <c r="L8" s="12">
        <f>'[3]Dia 11 (a)'!$P14</f>
        <v>24.6</v>
      </c>
      <c r="M8" s="12">
        <f>'[3]Dia 12 (a)'!$P14</f>
        <v>25.6</v>
      </c>
      <c r="N8" s="12">
        <f>'[3]Dia 13 (a)'!$P14</f>
        <v>27.2</v>
      </c>
      <c r="O8" s="12">
        <f>'[3]Dia 14 (a)'!$P14</f>
        <v>26.6</v>
      </c>
      <c r="P8" s="12">
        <f>'[3]Dia 15 (a)'!$P14</f>
        <v>25.2</v>
      </c>
      <c r="Q8" s="12">
        <f>'[3]Dia 16 (a)'!$P14</f>
        <v>28.9</v>
      </c>
      <c r="R8" s="12">
        <f>'[3]Dia 17 (a)'!$P14</f>
        <v>28.6</v>
      </c>
      <c r="S8" s="12">
        <f>'[3]Dia 18 (a)'!$P14</f>
        <v>29.4</v>
      </c>
      <c r="T8" s="12">
        <f>'[3]Dia 19 (a)'!$P14</f>
        <v>28.2</v>
      </c>
      <c r="U8" s="12">
        <f>'[3]Dia 20 (a)'!$P14</f>
        <v>22.6</v>
      </c>
      <c r="V8" s="12">
        <f>'[3]Dia 21 (a)'!$P14</f>
        <v>22.8</v>
      </c>
      <c r="W8" s="12">
        <f>'[3]Dia 22 (a)'!$P14</f>
        <v>24.8</v>
      </c>
      <c r="X8" s="12">
        <f>'[3]Dia 23 (a)'!$P14</f>
        <v>27.6</v>
      </c>
      <c r="Y8" s="12">
        <f>'[3]Dia 24 (a)'!$P14</f>
        <v>29</v>
      </c>
      <c r="Z8" s="12">
        <f>'[3]Dia 25 (a)'!$P14</f>
        <v>30.3</v>
      </c>
      <c r="AA8" s="12">
        <f>'[3]Dia 26 (a)'!$P14</f>
        <v>28.7</v>
      </c>
      <c r="AB8" s="12">
        <f>'[3]Dia 27 (a)'!$P14</f>
        <v>25.8</v>
      </c>
      <c r="AC8" s="12">
        <f>'[3]Dia 28 (a)'!$P14</f>
        <v>27.8</v>
      </c>
      <c r="AD8" s="12">
        <f>'[3]Dia 29 (a)'!$P14</f>
        <v>26.8</v>
      </c>
      <c r="AE8" s="12">
        <f>'[3]Dia 30 (a)'!$P14</f>
        <v>30.4</v>
      </c>
      <c r="AF8" s="13">
        <f>'[3]Dia 31 (a)'!$P14</f>
        <v>25.4</v>
      </c>
      <c r="AG8" s="14"/>
    </row>
    <row r="9" spans="1:33" ht="20.100000000000001" customHeight="1">
      <c r="A9" s="11">
        <v>12</v>
      </c>
      <c r="B9" s="12">
        <f>'[3]Dia 1 (a)'!$P15</f>
        <v>36</v>
      </c>
      <c r="C9" s="12">
        <f>'[3]Dia 2 (a)'!$P15</f>
        <v>32</v>
      </c>
      <c r="D9" s="12">
        <f>'[3]Dia 3 (a)'!$P15</f>
        <v>34</v>
      </c>
      <c r="E9" s="12">
        <f>'[3]Dia 4 (a)'!$P15</f>
        <v>31.6</v>
      </c>
      <c r="F9" s="12">
        <f>'[3]Dia 5 (a)'!$P15</f>
        <v>31.5</v>
      </c>
      <c r="G9" s="12">
        <f>'[3]Dia 6 (a)'!$P15</f>
        <v>32.1</v>
      </c>
      <c r="H9" s="12">
        <f>'[3]Dia 7 (a)'!$P15</f>
        <v>31.4</v>
      </c>
      <c r="I9" s="12">
        <f>'[3]Dia 8 (a)'!$P15</f>
        <v>31</v>
      </c>
      <c r="J9" s="12">
        <f>'[3]Dia 9 (a)'!$P15</f>
        <v>32.5</v>
      </c>
      <c r="K9" s="12">
        <f>'[3]Dia 10 (a)'!$P15</f>
        <v>31.7</v>
      </c>
      <c r="L9" s="12">
        <f>'[3]Dia 11 (a)'!$P15</f>
        <v>25.6</v>
      </c>
      <c r="M9" s="12">
        <f>'[3]Dia 12 (a)'!$P15</f>
        <v>26.3</v>
      </c>
      <c r="N9" s="12">
        <f>'[3]Dia 13 (a)'!$P15</f>
        <v>28.6</v>
      </c>
      <c r="O9" s="12">
        <f>'[3]Dia 14 (a)'!$P15</f>
        <v>28.2</v>
      </c>
      <c r="P9" s="12">
        <f>'[3]Dia 15 (a)'!$P15</f>
        <v>25.4</v>
      </c>
      <c r="Q9" s="12">
        <f>'[3]Dia 16 (a)'!$P15</f>
        <v>29.2</v>
      </c>
      <c r="R9" s="12">
        <f>'[3]Dia 17 (a)'!$P15</f>
        <v>29</v>
      </c>
      <c r="S9" s="12">
        <f>'[3]Dia 18 (a)'!$P15</f>
        <v>32</v>
      </c>
      <c r="T9" s="12">
        <f>'[3]Dia 19 (a)'!$P15</f>
        <v>29.8</v>
      </c>
      <c r="U9" s="12">
        <f>'[3]Dia 20 (a)'!$P15</f>
        <v>22.6</v>
      </c>
      <c r="V9" s="12">
        <f>'[3]Dia 21 (a)'!$P15</f>
        <v>24.4</v>
      </c>
      <c r="W9" s="12">
        <f>'[3]Dia 22 (a)'!$P15</f>
        <v>26.8</v>
      </c>
      <c r="X9" s="12">
        <f>'[3]Dia 23 (a)'!$P15</f>
        <v>30.2</v>
      </c>
      <c r="Y9" s="12">
        <f>'[3]Dia 24 (a)'!$P15</f>
        <v>31.8</v>
      </c>
      <c r="Z9" s="12">
        <f>'[3]Dia 25 (a)'!$P15</f>
        <v>32.4</v>
      </c>
      <c r="AA9" s="12">
        <f>'[3]Dia 26 (a)'!$P15</f>
        <v>31.5</v>
      </c>
      <c r="AB9" s="12">
        <f>'[3]Dia 27 (a)'!$P15</f>
        <v>26.2</v>
      </c>
      <c r="AC9" s="12">
        <f>'[3]Dia 28 (a)'!$P15</f>
        <v>28.3</v>
      </c>
      <c r="AD9" s="12">
        <f>'[3]Dia 29 (a)'!$P15</f>
        <v>28</v>
      </c>
      <c r="AE9" s="12">
        <f>'[3]Dia 30 (a)'!$P15</f>
        <v>33</v>
      </c>
      <c r="AF9" s="13">
        <f>'[3]Dia 31 (a)'!$P15</f>
        <v>25.5</v>
      </c>
      <c r="AG9" s="14"/>
    </row>
    <row r="10" spans="1:33" ht="20.100000000000001" customHeight="1">
      <c r="A10" s="11">
        <v>13</v>
      </c>
      <c r="B10" s="12">
        <f>'[3]Dia 1 (a)'!$P16</f>
        <v>37.200000000000003</v>
      </c>
      <c r="C10" s="12">
        <f>'[3]Dia 2 (a)'!$P16</f>
        <v>33.6</v>
      </c>
      <c r="D10" s="12">
        <f>'[3]Dia 3 (a)'!$P16</f>
        <v>36.6</v>
      </c>
      <c r="E10" s="12">
        <f>'[3]Dia 4 (a)'!$P16</f>
        <v>32.1</v>
      </c>
      <c r="F10" s="12">
        <f>'[3]Dia 5 (a)'!$P16</f>
        <v>33.299999999999997</v>
      </c>
      <c r="G10" s="12">
        <f>'[3]Dia 6 (a)'!$P16</f>
        <v>34.200000000000003</v>
      </c>
      <c r="H10" s="12">
        <f>'[3]Dia 7 (a)'!$P16</f>
        <v>33.4</v>
      </c>
      <c r="I10" s="12">
        <f>'[3]Dia 8 (a)'!$P16</f>
        <v>32</v>
      </c>
      <c r="J10" s="12">
        <f>'[3]Dia 9 (a)'!$P16</f>
        <v>33.4</v>
      </c>
      <c r="K10" s="12">
        <f>'[3]Dia 10 (a)'!$P16</f>
        <v>33.799999999999997</v>
      </c>
      <c r="L10" s="12">
        <f>'[3]Dia 11 (a)'!$P16</f>
        <v>27.2</v>
      </c>
      <c r="M10" s="12">
        <f>'[3]Dia 12 (a)'!$P16</f>
        <v>28.1</v>
      </c>
      <c r="N10" s="12">
        <f>'[3]Dia 13 (a)'!$P16</f>
        <v>29.1</v>
      </c>
      <c r="O10" s="12">
        <f>'[3]Dia 14 (a)'!$P16</f>
        <v>25.6</v>
      </c>
      <c r="P10" s="12">
        <f>'[3]Dia 15 (a)'!$P16</f>
        <v>28</v>
      </c>
      <c r="Q10" s="12">
        <f>'[3]Dia 16 (a)'!$P16</f>
        <v>29.6</v>
      </c>
      <c r="R10" s="12">
        <f>'[3]Dia 17 (a)'!$P16</f>
        <v>29.8</v>
      </c>
      <c r="S10" s="12">
        <f>'[3]Dia 18 (a)'!$P16</f>
        <v>32.799999999999997</v>
      </c>
      <c r="T10" s="12">
        <f>'[3]Dia 19 (a)'!$P16</f>
        <v>31</v>
      </c>
      <c r="U10" s="12">
        <f>'[3]Dia 20 (a)'!$P16</f>
        <v>23</v>
      </c>
      <c r="V10" s="12">
        <f>'[3]Dia 21 (a)'!$P16</f>
        <v>25.2</v>
      </c>
      <c r="W10" s="12">
        <f>'[3]Dia 22 (a)'!$P16</f>
        <v>29.6</v>
      </c>
      <c r="X10" s="12">
        <f>'[3]Dia 23 (a)'!$P16</f>
        <v>32.200000000000003</v>
      </c>
      <c r="Y10" s="12">
        <f>'[3]Dia 24 (a)'!$P16</f>
        <v>33.6</v>
      </c>
      <c r="Z10" s="12">
        <f>'[3]Dia 25 (a)'!$P16</f>
        <v>32.5</v>
      </c>
      <c r="AA10" s="12">
        <f>'[3]Dia 26 (a)'!$P16</f>
        <v>32.700000000000003</v>
      </c>
      <c r="AB10" s="12">
        <f>'[3]Dia 27 (a)'!$P16</f>
        <v>27.4</v>
      </c>
      <c r="AC10" s="12">
        <f>'[3]Dia 28 (a)'!$P16</f>
        <v>30.8</v>
      </c>
      <c r="AD10" s="12">
        <f>'[3]Dia 29 (a)'!$P16</f>
        <v>28.6</v>
      </c>
      <c r="AE10" s="12">
        <f>'[3]Dia 30 (a)'!$P16</f>
        <v>34.4</v>
      </c>
      <c r="AF10" s="13">
        <f>'[3]Dia 31 (a)'!$P16</f>
        <v>25.4</v>
      </c>
      <c r="AG10" s="14"/>
    </row>
    <row r="11" spans="1:33" ht="20.100000000000001" customHeight="1">
      <c r="A11" s="11">
        <v>14</v>
      </c>
      <c r="B11" s="12">
        <f>'[3]Dia 1 (a)'!$P17</f>
        <v>35</v>
      </c>
      <c r="C11" s="12">
        <f>'[3]Dia 2 (a)'!$P17</f>
        <v>35.200000000000003</v>
      </c>
      <c r="D11" s="12">
        <f>'[3]Dia 3 (a)'!$P17</f>
        <v>38</v>
      </c>
      <c r="E11" s="12">
        <f>'[3]Dia 4 (a)'!$P17</f>
        <v>28.8</v>
      </c>
      <c r="F11" s="12">
        <f>'[3]Dia 5 (a)'!$P17</f>
        <v>35.4</v>
      </c>
      <c r="G11" s="12">
        <f>'[3]Dia 6 (a)'!$P17</f>
        <v>35.200000000000003</v>
      </c>
      <c r="H11" s="12">
        <f>'[3]Dia 7 (a)'!$P17</f>
        <v>34.4</v>
      </c>
      <c r="I11" s="12">
        <f>'[3]Dia 8 (a)'!$P17</f>
        <v>32</v>
      </c>
      <c r="J11" s="12">
        <f>'[3]Dia 9 (a)'!$P17</f>
        <v>33.4</v>
      </c>
      <c r="K11" s="12">
        <f>'[3]Dia 10 (a)'!$P17</f>
        <v>35.6</v>
      </c>
      <c r="L11" s="12">
        <f>'[3]Dia 11 (a)'!$P17</f>
        <v>27.7</v>
      </c>
      <c r="M11" s="12">
        <f>'[3]Dia 12 (a)'!$P17</f>
        <v>30.4</v>
      </c>
      <c r="N11" s="12">
        <f>'[3]Dia 13 (a)'!$P17</f>
        <v>29.4</v>
      </c>
      <c r="O11" s="12">
        <f>'[3]Dia 14 (a)'!$P17</f>
        <v>26.2</v>
      </c>
      <c r="P11" s="12">
        <f>'[3]Dia 15 (a)'!$P17</f>
        <v>29.2</v>
      </c>
      <c r="Q11" s="12">
        <f>'[3]Dia 16 (a)'!$P17</f>
        <v>28.6</v>
      </c>
      <c r="R11" s="12">
        <f>'[3]Dia 17 (a)'!$P17</f>
        <v>30.2</v>
      </c>
      <c r="S11" s="12">
        <f>'[3]Dia 18 (a)'!$P17</f>
        <v>33.5</v>
      </c>
      <c r="T11" s="12">
        <f>'[3]Dia 19 (a)'!$P17</f>
        <v>32</v>
      </c>
      <c r="U11" s="12">
        <f>'[3]Dia 20 (a)'!$P17</f>
        <v>22.6</v>
      </c>
      <c r="V11" s="12">
        <f>'[3]Dia 21 (a)'!$P17</f>
        <v>25.4</v>
      </c>
      <c r="W11" s="12">
        <f>'[3]Dia 22 (a)'!$P17</f>
        <v>29.8</v>
      </c>
      <c r="X11" s="12">
        <f>'[3]Dia 23 (a)'!$P17</f>
        <v>33.4</v>
      </c>
      <c r="Y11" s="12">
        <f>'[3]Dia 24 (a)'!$P17</f>
        <v>34.4</v>
      </c>
      <c r="Z11" s="12">
        <f>'[3]Dia 25 (a)'!$P17</f>
        <v>33</v>
      </c>
      <c r="AA11" s="12">
        <f>'[3]Dia 26 (a)'!$P17</f>
        <v>33.700000000000003</v>
      </c>
      <c r="AB11" s="12">
        <f>'[3]Dia 27 (a)'!$P17</f>
        <v>27.9</v>
      </c>
      <c r="AC11" s="12">
        <f>'[3]Dia 28 (a)'!$P17</f>
        <v>30.4</v>
      </c>
      <c r="AD11" s="12">
        <f>'[3]Dia 29 (a)'!$P17</f>
        <v>30</v>
      </c>
      <c r="AE11" s="12">
        <f>'[3]Dia 30 (a)'!$P17</f>
        <v>36</v>
      </c>
      <c r="AF11" s="13">
        <f>'[3]Dia 31 (a)'!$P17</f>
        <v>24.9</v>
      </c>
      <c r="AG11" s="14"/>
    </row>
    <row r="12" spans="1:33" ht="20.100000000000001" customHeight="1">
      <c r="A12" s="11">
        <v>15</v>
      </c>
      <c r="B12" s="12">
        <f>'[3]Dia 1 (a)'!$P18</f>
        <v>33.200000000000003</v>
      </c>
      <c r="C12" s="12">
        <f>'[3]Dia 2 (a)'!$P18</f>
        <v>36</v>
      </c>
      <c r="D12" s="12">
        <f>'[3]Dia 3 (a)'!$P18</f>
        <v>38</v>
      </c>
      <c r="E12" s="12">
        <f>'[3]Dia 4 (a)'!$P18</f>
        <v>26</v>
      </c>
      <c r="F12" s="12">
        <f>'[3]Dia 5 (a)'!$P18</f>
        <v>35.700000000000003</v>
      </c>
      <c r="G12" s="12">
        <f>'[3]Dia 6 (a)'!$P18</f>
        <v>34.9</v>
      </c>
      <c r="H12" s="12">
        <f>'[3]Dia 7 (a)'!$P18</f>
        <v>33.4</v>
      </c>
      <c r="I12" s="12">
        <f>'[3]Dia 8 (a)'!$P18</f>
        <v>32.5</v>
      </c>
      <c r="J12" s="12">
        <f>'[3]Dia 9 (a)'!$P18</f>
        <v>34</v>
      </c>
      <c r="K12" s="12">
        <f>'[3]Dia 10 (a)'!$P18</f>
        <v>36.200000000000003</v>
      </c>
      <c r="L12" s="12">
        <f>'[3]Dia 11 (a)'!$P18</f>
        <v>29.2</v>
      </c>
      <c r="M12" s="12">
        <f>'[3]Dia 12 (a)'!$P18</f>
        <v>31.1</v>
      </c>
      <c r="N12" s="12">
        <f>'[3]Dia 13 (a)'!$P18</f>
        <v>29.6</v>
      </c>
      <c r="O12" s="12">
        <f>'[3]Dia 14 (a)'!$P18</f>
        <v>25.6</v>
      </c>
      <c r="P12" s="12">
        <f>'[3]Dia 15 (a)'!$P18</f>
        <v>29.4</v>
      </c>
      <c r="Q12" s="12">
        <f>'[3]Dia 16 (a)'!$P18</f>
        <v>27.2</v>
      </c>
      <c r="R12" s="12">
        <f>'[3]Dia 17 (a)'!$P18</f>
        <v>29.4</v>
      </c>
      <c r="S12" s="12">
        <f>'[3]Dia 18 (a)'!$P18</f>
        <v>34.5</v>
      </c>
      <c r="T12" s="12">
        <f>'[3]Dia 19 (a)'!$P18</f>
        <v>31.2</v>
      </c>
      <c r="U12" s="12">
        <f>'[3]Dia 20 (a)'!$P18</f>
        <v>22.4</v>
      </c>
      <c r="V12" s="12">
        <f>'[3]Dia 21 (a)'!$P18</f>
        <v>24.8</v>
      </c>
      <c r="W12" s="12">
        <f>'[3]Dia 22 (a)'!$P18</f>
        <v>30.2</v>
      </c>
      <c r="X12" s="12">
        <f>'[3]Dia 23 (a)'!$P18</f>
        <v>34.6</v>
      </c>
      <c r="Y12" s="12">
        <f>'[3]Dia 24 (a)'!$P18</f>
        <v>34.6</v>
      </c>
      <c r="Z12" s="12">
        <f>'[3]Dia 25 (a)'!$P18</f>
        <v>32.799999999999997</v>
      </c>
      <c r="AA12" s="12">
        <f>'[3]Dia 26 (a)'!$P18</f>
        <v>33.5</v>
      </c>
      <c r="AB12" s="12">
        <f>'[3]Dia 27 (a)'!$P18</f>
        <v>28.3</v>
      </c>
      <c r="AC12" s="12">
        <f>'[3]Dia 28 (a)'!$P18</f>
        <v>30</v>
      </c>
      <c r="AD12" s="12">
        <f>'[3]Dia 29 (a)'!$P18</f>
        <v>31.2</v>
      </c>
      <c r="AE12" s="12">
        <f>'[3]Dia 30 (a)'!$P18</f>
        <v>36.799999999999997</v>
      </c>
      <c r="AF12" s="13">
        <f>'[3]Dia 31 (a)'!$P18</f>
        <v>24.4</v>
      </c>
      <c r="AG12" s="14"/>
    </row>
    <row r="13" spans="1:33" ht="20.100000000000001" customHeight="1">
      <c r="A13" s="11">
        <v>16</v>
      </c>
      <c r="B13" s="12">
        <f>'[3]Dia 1 (a)'!$P19</f>
        <v>32.200000000000003</v>
      </c>
      <c r="C13" s="12">
        <f>'[3]Dia 2 (a)'!$P19</f>
        <v>35.5</v>
      </c>
      <c r="D13" s="12">
        <f>'[3]Dia 3 (a)'!$P19</f>
        <v>35.700000000000003</v>
      </c>
      <c r="E13" s="12">
        <f>'[3]Dia 4 (a)'!$P19</f>
        <v>24.8</v>
      </c>
      <c r="F13" s="12">
        <f>'[3]Dia 5 (a)'!$P19</f>
        <v>33</v>
      </c>
      <c r="G13" s="12">
        <f>'[3]Dia 6 (a)'!$P19</f>
        <v>34.9</v>
      </c>
      <c r="H13" s="12">
        <f>'[3]Dia 7 (a)'!$P19</f>
        <v>29</v>
      </c>
      <c r="I13" s="12">
        <f>'[3]Dia 8 (a)'!$P19</f>
        <v>29.9</v>
      </c>
      <c r="J13" s="12">
        <f>'[3]Dia 9 (a)'!$P19</f>
        <v>32.799999999999997</v>
      </c>
      <c r="K13" s="12">
        <f>'[3]Dia 10 (a)'!$P19</f>
        <v>35.799999999999997</v>
      </c>
      <c r="L13" s="12">
        <f>'[3]Dia 11 (a)'!$P19</f>
        <v>30</v>
      </c>
      <c r="M13" s="12">
        <f>'[3]Dia 12 (a)'!$P19</f>
        <v>30.4</v>
      </c>
      <c r="N13" s="12">
        <f>'[3]Dia 13 (a)'!$P19</f>
        <v>29.2</v>
      </c>
      <c r="O13" s="12">
        <f>'[3]Dia 14 (a)'!$P19</f>
        <v>25.2</v>
      </c>
      <c r="P13" s="12">
        <f>'[3]Dia 15 (a)'!$P19</f>
        <v>28.7</v>
      </c>
      <c r="Q13" s="12">
        <f>'[3]Dia 16 (a)'!$P19</f>
        <v>26.2</v>
      </c>
      <c r="R13" s="12">
        <f>'[3]Dia 17 (a)'!$P19</f>
        <v>29.5</v>
      </c>
      <c r="S13" s="12">
        <f>'[3]Dia 18 (a)'!$P19</f>
        <v>34</v>
      </c>
      <c r="T13" s="12">
        <f>'[3]Dia 19 (a)'!$P19</f>
        <v>29.5</v>
      </c>
      <c r="U13" s="12">
        <f>'[3]Dia 20 (a)'!$P19</f>
        <v>22.4</v>
      </c>
      <c r="V13" s="12">
        <f>'[3]Dia 21 (a)'!$P19</f>
        <v>24</v>
      </c>
      <c r="W13" s="12">
        <f>'[3]Dia 22 (a)'!$P19</f>
        <v>29.6</v>
      </c>
      <c r="X13" s="12">
        <f>'[3]Dia 23 (a)'!$P19</f>
        <v>33.6</v>
      </c>
      <c r="Y13" s="12">
        <f>'[3]Dia 24 (a)'!$P19</f>
        <v>34.299999999999997</v>
      </c>
      <c r="Z13" s="12">
        <f>'[3]Dia 25 (a)'!$P19</f>
        <v>32.200000000000003</v>
      </c>
      <c r="AA13" s="12">
        <f>'[3]Dia 26 (a)'!$P19</f>
        <v>33</v>
      </c>
      <c r="AB13" s="12">
        <f>'[3]Dia 27 (a)'!$P19</f>
        <v>27.6</v>
      </c>
      <c r="AC13" s="12">
        <f>'[3]Dia 28 (a)'!$P19</f>
        <v>29.8</v>
      </c>
      <c r="AD13" s="12">
        <f>'[3]Dia 29 (a)'!$P19</f>
        <v>30.7</v>
      </c>
      <c r="AE13" s="12">
        <f>'[3]Dia 30 (a)'!$P19</f>
        <v>35.9</v>
      </c>
      <c r="AF13" s="13">
        <f>'[3]Dia 31 (a)'!$P19</f>
        <v>24</v>
      </c>
      <c r="AG13" s="14"/>
    </row>
    <row r="14" spans="1:33" ht="20.100000000000001" customHeight="1">
      <c r="A14" s="11">
        <v>17</v>
      </c>
      <c r="B14" s="12">
        <f>'[3]Dia 1 (a)'!$P20</f>
        <v>30.9</v>
      </c>
      <c r="C14" s="12">
        <f>'[3]Dia 2 (a)'!$P20</f>
        <v>34</v>
      </c>
      <c r="D14" s="12">
        <f>'[3]Dia 3 (a)'!$P20</f>
        <v>32.9</v>
      </c>
      <c r="E14" s="12">
        <f>'[3]Dia 4 (a)'!$P20</f>
        <v>24.6</v>
      </c>
      <c r="F14" s="12">
        <f>'[3]Dia 5 (a)'!$P20</f>
        <v>30.6</v>
      </c>
      <c r="G14" s="12">
        <f>'[3]Dia 6 (a)'!$P20</f>
        <v>29.8</v>
      </c>
      <c r="H14" s="12">
        <f>'[3]Dia 7 (a)'!$P20</f>
        <v>27</v>
      </c>
      <c r="I14" s="12">
        <f>'[3]Dia 8 (a)'!$P20</f>
        <v>30.8</v>
      </c>
      <c r="J14" s="12">
        <f>'[3]Dia 9 (a)'!$P20</f>
        <v>29.8</v>
      </c>
      <c r="K14" s="12">
        <f>'[3]Dia 10 (a)'!$P20</f>
        <v>33</v>
      </c>
      <c r="L14" s="12">
        <f>'[3]Dia 11 (a)'!$P20</f>
        <v>29.4</v>
      </c>
      <c r="M14" s="12">
        <f>'[3]Dia 12 (a)'!$P20</f>
        <v>26.8</v>
      </c>
      <c r="N14" s="12">
        <f>'[3]Dia 13 (a)'!$P20</f>
        <v>26.9</v>
      </c>
      <c r="O14" s="12">
        <f>'[3]Dia 14 (a)'!$P20</f>
        <v>24.7</v>
      </c>
      <c r="P14" s="12">
        <f>'[3]Dia 15 (a)'!$P20</f>
        <v>26.8</v>
      </c>
      <c r="Q14" s="12">
        <f>'[3]Dia 16 (a)'!$P20</f>
        <v>25.5</v>
      </c>
      <c r="R14" s="12">
        <f>'[3]Dia 17 (a)'!$P20</f>
        <v>28.9</v>
      </c>
      <c r="S14" s="12">
        <f>'[3]Dia 18 (a)'!$P20</f>
        <v>32</v>
      </c>
      <c r="T14" s="12">
        <f>'[3]Dia 19 (a)'!$P20</f>
        <v>28.4</v>
      </c>
      <c r="U14" s="12">
        <f>'[3]Dia 20 (a)'!$P20</f>
        <v>22.1</v>
      </c>
      <c r="V14" s="12">
        <f>'[3]Dia 21 (a)'!$P20</f>
        <v>23.4</v>
      </c>
      <c r="W14" s="12">
        <f>'[3]Dia 22 (a)'!$P20</f>
        <v>28.2</v>
      </c>
      <c r="X14" s="12">
        <f>'[3]Dia 23 (a)'!$P20</f>
        <v>32</v>
      </c>
      <c r="Y14" s="12">
        <f>'[3]Dia 24 (a)'!$P20</f>
        <v>32.9</v>
      </c>
      <c r="Z14" s="12">
        <f>'[3]Dia 25 (a)'!$P20</f>
        <v>30.9</v>
      </c>
      <c r="AA14" s="12">
        <f>'[3]Dia 26 (a)'!$P20</f>
        <v>31</v>
      </c>
      <c r="AB14" s="12">
        <f>'[3]Dia 27 (a)'!$P20</f>
        <v>27.4</v>
      </c>
      <c r="AC14" s="12">
        <f>'[3]Dia 28 (a)'!$P20</f>
        <v>28.8</v>
      </c>
      <c r="AD14" s="12">
        <f>'[3]Dia 29 (a)'!$P20</f>
        <v>29.6</v>
      </c>
      <c r="AE14" s="12">
        <f>'[3]Dia 30 (a)'!$P20</f>
        <v>33.9</v>
      </c>
      <c r="AF14" s="13">
        <f>'[3]Dia 31 (a)'!$P20</f>
        <v>23.8</v>
      </c>
      <c r="AG14" s="14"/>
    </row>
    <row r="15" spans="1:33" ht="20.100000000000001" customHeight="1">
      <c r="A15" s="11">
        <v>18</v>
      </c>
      <c r="B15" s="12">
        <f>'[3]Dia 1 (a)'!$P21</f>
        <v>29.4</v>
      </c>
      <c r="C15" s="12">
        <f>'[3]Dia 2 (a)'!$P21</f>
        <v>32.200000000000003</v>
      </c>
      <c r="D15" s="12">
        <f>'[3]Dia 3 (a)'!$P21</f>
        <v>31.1</v>
      </c>
      <c r="E15" s="12">
        <f>'[3]Dia 4 (a)'!$P21</f>
        <v>24.6</v>
      </c>
      <c r="F15" s="12">
        <f>'[3]Dia 5 (a)'!$P21</f>
        <v>28.6</v>
      </c>
      <c r="G15" s="12">
        <f>'[3]Dia 6 (a)'!$P21</f>
        <v>27.7</v>
      </c>
      <c r="H15" s="12">
        <f>'[3]Dia 7 (a)'!$P21</f>
        <v>26</v>
      </c>
      <c r="I15" s="12">
        <f>'[3]Dia 8 (a)'!$P21</f>
        <v>29.3</v>
      </c>
      <c r="J15" s="12">
        <f>'[3]Dia 9 (a)'!$P21</f>
        <v>29.2</v>
      </c>
      <c r="K15" s="12">
        <f>'[3]Dia 10 (a)'!$P21</f>
        <v>32</v>
      </c>
      <c r="L15" s="12">
        <f>'[3]Dia 11 (a)'!$P21</f>
        <v>28.9</v>
      </c>
      <c r="M15" s="12">
        <f>'[3]Dia 12 (a)'!$P21</f>
        <v>27.4</v>
      </c>
      <c r="N15" s="12">
        <f>'[3]Dia 13 (a)'!$P21</f>
        <v>25</v>
      </c>
      <c r="O15" s="12">
        <f>'[3]Dia 14 (a)'!$P21</f>
        <v>24.5</v>
      </c>
      <c r="P15" s="12">
        <f>'[3]Dia 15 (a)'!$P21</f>
        <v>25.8</v>
      </c>
      <c r="Q15" s="12">
        <f>'[3]Dia 16 (a)'!$P21</f>
        <v>25</v>
      </c>
      <c r="R15" s="12">
        <f>'[3]Dia 17 (a)'!$P21</f>
        <v>27.8</v>
      </c>
      <c r="S15" s="12">
        <f>'[3]Dia 18 (a)'!$P21</f>
        <v>30</v>
      </c>
      <c r="T15" s="12">
        <f>'[3]Dia 19 (a)'!$P21</f>
        <v>25.3</v>
      </c>
      <c r="U15" s="12">
        <f>'[3]Dia 20 (a)'!$P21</f>
        <v>21.9</v>
      </c>
      <c r="V15" s="12">
        <f>'[3]Dia 21 (a)'!$P21</f>
        <v>22.5</v>
      </c>
      <c r="W15" s="12">
        <f>'[3]Dia 22 (a)'!$P21</f>
        <v>26</v>
      </c>
      <c r="X15" s="12">
        <f>'[3]Dia 23 (a)'!$P21</f>
        <v>30</v>
      </c>
      <c r="Y15" s="12">
        <f>'[3]Dia 24 (a)'!$P21</f>
        <v>31.1</v>
      </c>
      <c r="Z15" s="12">
        <f>'[3]Dia 25 (a)'!$P21</f>
        <v>29.6</v>
      </c>
      <c r="AA15" s="12">
        <f>'[3]Dia 26 (a)'!$P21</f>
        <v>30</v>
      </c>
      <c r="AB15" s="12">
        <f>'[3]Dia 27 (a)'!$P21</f>
        <v>26.6</v>
      </c>
      <c r="AC15" s="12">
        <f>'[3]Dia 28 (a)'!$P21</f>
        <v>27.6</v>
      </c>
      <c r="AD15" s="12">
        <f>'[3]Dia 29 (a)'!$P21</f>
        <v>28.4</v>
      </c>
      <c r="AE15" s="12">
        <f>'[3]Dia 30 (a)'!$P21</f>
        <v>32.200000000000003</v>
      </c>
      <c r="AF15" s="13">
        <f>'[3]Dia 31 (a)'!$P21</f>
        <v>23.1</v>
      </c>
      <c r="AG15" s="14"/>
    </row>
    <row r="16" spans="1:33" ht="20.100000000000001" customHeight="1">
      <c r="A16" s="11">
        <v>19</v>
      </c>
      <c r="B16" s="12">
        <f>'[3]Dia 1 (a)'!$P22</f>
        <v>28.8</v>
      </c>
      <c r="C16" s="12">
        <f>'[3]Dia 2 (a)'!$P22</f>
        <v>30.4</v>
      </c>
      <c r="D16" s="12">
        <f>'[3]Dia 3 (a)'!$P22</f>
        <v>29.6</v>
      </c>
      <c r="E16" s="12">
        <f>'[3]Dia 4 (a)'!$P22</f>
        <v>24.4</v>
      </c>
      <c r="F16" s="12">
        <f>'[3]Dia 5 (a)'!$P22</f>
        <v>27</v>
      </c>
      <c r="G16" s="12">
        <f>'[3]Dia 6 (a)'!$P22</f>
        <v>26.7</v>
      </c>
      <c r="H16" s="12">
        <f>'[3]Dia 7 (a)'!$P22</f>
        <v>25</v>
      </c>
      <c r="I16" s="12">
        <f>'[3]Dia 8 (a)'!$P22</f>
        <v>28.1</v>
      </c>
      <c r="J16" s="12">
        <f>'[3]Dia 9 (a)'!$P22</f>
        <v>28.1</v>
      </c>
      <c r="K16" s="12">
        <f>'[3]Dia 10 (a)'!$P22</f>
        <v>30</v>
      </c>
      <c r="L16" s="12">
        <f>'[3]Dia 11 (a)'!$P22</f>
        <v>27</v>
      </c>
      <c r="M16" s="12">
        <f>'[3]Dia 12 (a)'!$P22</f>
        <v>26.4</v>
      </c>
      <c r="N16" s="12">
        <f>'[3]Dia 13 (a)'!$P22</f>
        <v>24.6</v>
      </c>
      <c r="O16" s="12">
        <f>'[3]Dia 14 (a)'!$P22</f>
        <v>24.1</v>
      </c>
      <c r="P16" s="12">
        <f>'[3]Dia 15 (a)'!$P22</f>
        <v>25.3</v>
      </c>
      <c r="Q16" s="12">
        <f>'[3]Dia 16 (a)'!$P22</f>
        <v>24.5</v>
      </c>
      <c r="R16" s="12">
        <f>'[3]Dia 17 (a)'!$P22</f>
        <v>26.9</v>
      </c>
      <c r="S16" s="12">
        <f>'[3]Dia 18 (a)'!$P22</f>
        <v>28</v>
      </c>
      <c r="T16" s="12">
        <f>'[3]Dia 19 (a)'!$P22</f>
        <v>27.4</v>
      </c>
      <c r="U16" s="12">
        <f>'[3]Dia 20 (a)'!$P22</f>
        <v>21.4</v>
      </c>
      <c r="V16" s="12">
        <f>'[3]Dia 21 (a)'!$P22</f>
        <v>22</v>
      </c>
      <c r="W16" s="12">
        <f>'[3]Dia 22 (a)'!$P22</f>
        <v>24.5</v>
      </c>
      <c r="X16" s="12">
        <f>'[3]Dia 23 (a)'!$P22</f>
        <v>28</v>
      </c>
      <c r="Y16" s="12">
        <f>'[3]Dia 24 (a)'!$P22</f>
        <v>28.8</v>
      </c>
      <c r="Z16" s="12">
        <f>'[3]Dia 25 (a)'!$P22</f>
        <v>28.6</v>
      </c>
      <c r="AA16" s="12">
        <f>'[3]Dia 26 (a)'!$P22</f>
        <v>29</v>
      </c>
      <c r="AB16" s="12">
        <f>'[3]Dia 27 (a)'!$P22</f>
        <v>26</v>
      </c>
      <c r="AC16" s="12">
        <f>'[3]Dia 28 (a)'!$P22</f>
        <v>26.7</v>
      </c>
      <c r="AD16" s="12">
        <f>'[3]Dia 29 (a)'!$P22</f>
        <v>27.4</v>
      </c>
      <c r="AE16" s="12">
        <f>'[3]Dia 30 (a)'!$P22</f>
        <v>30.8</v>
      </c>
      <c r="AF16" s="13">
        <f>'[3]Dia 31 (a)'!$P22</f>
        <v>22.6</v>
      </c>
      <c r="AG16" s="14"/>
    </row>
    <row r="17" spans="1:33" ht="20.100000000000001" customHeight="1">
      <c r="A17" s="11">
        <v>20</v>
      </c>
      <c r="B17" s="12">
        <f>'[3]Dia 1 (a)'!$P23</f>
        <v>26.5</v>
      </c>
      <c r="C17" s="12">
        <f>'[3]Dia 2 (a)'!$P23</f>
        <v>29</v>
      </c>
      <c r="D17" s="12">
        <f>'[3]Dia 3 (a)'!$P23</f>
        <v>28.6</v>
      </c>
      <c r="E17" s="12">
        <f>'[3]Dia 4 (a)'!$P23</f>
        <v>24.2</v>
      </c>
      <c r="F17" s="12">
        <f>'[3]Dia 5 (a)'!$P23</f>
        <v>26</v>
      </c>
      <c r="G17" s="12">
        <f>'[3]Dia 6 (a)'!$P23</f>
        <v>25.9</v>
      </c>
      <c r="H17" s="12">
        <f>'[3]Dia 7 (a)'!$P23</f>
        <v>25</v>
      </c>
      <c r="I17" s="12">
        <f>'[3]Dia 8 (a)'!$P23</f>
        <v>27.3</v>
      </c>
      <c r="J17" s="12">
        <f>'[3]Dia 9 (a)'!$P23</f>
        <v>27.2</v>
      </c>
      <c r="K17" s="12">
        <f>'[3]Dia 10 (a)'!$P23</f>
        <v>28</v>
      </c>
      <c r="L17" s="12">
        <f>'[3]Dia 11 (a)'!$P23</f>
        <v>26.4</v>
      </c>
      <c r="M17" s="12">
        <f>'[3]Dia 12 (a)'!$P23</f>
        <v>25.6</v>
      </c>
      <c r="N17" s="12">
        <f>'[3]Dia 13 (a)'!$P23</f>
        <v>24.2</v>
      </c>
      <c r="O17" s="12">
        <f>'[3]Dia 14 (a)'!$P23</f>
        <v>23.7</v>
      </c>
      <c r="P17" s="12">
        <f>'[3]Dia 15 (a)'!$P23</f>
        <v>24.7</v>
      </c>
      <c r="Q17" s="12">
        <f>'[3]Dia 16 (a)'!$P23</f>
        <v>24</v>
      </c>
      <c r="R17" s="12">
        <f>'[3]Dia 17 (a)'!$P23</f>
        <v>26.1</v>
      </c>
      <c r="S17" s="12">
        <f>'[3]Dia 18 (a)'!$P23</f>
        <v>27.6</v>
      </c>
      <c r="T17" s="12">
        <f>'[3]Dia 19 (a)'!$P23</f>
        <v>25.8</v>
      </c>
      <c r="U17" s="12">
        <f>'[3]Dia 20 (a)'!$P23</f>
        <v>21</v>
      </c>
      <c r="V17" s="12">
        <f>'[3]Dia 21 (a)'!$P23</f>
        <v>21.3</v>
      </c>
      <c r="W17" s="12">
        <f>'[3]Dia 22 (a)'!$P23</f>
        <v>23.7</v>
      </c>
      <c r="X17" s="12">
        <f>'[3]Dia 23 (a)'!$P23</f>
        <v>27.2</v>
      </c>
      <c r="Y17" s="12">
        <f>'[3]Dia 24 (a)'!$P23</f>
        <v>28.6</v>
      </c>
      <c r="Z17" s="12">
        <f>'[3]Dia 25 (a)'!$P23</f>
        <v>27.8</v>
      </c>
      <c r="AA17" s="12">
        <f>'[3]Dia 26 (a)'!$P23</f>
        <v>28</v>
      </c>
      <c r="AB17" s="12">
        <f>'[3]Dia 27 (a)'!$P23</f>
        <v>25</v>
      </c>
      <c r="AC17" s="12">
        <f>'[3]Dia 28 (a)'!$P23</f>
        <v>25.9</v>
      </c>
      <c r="AD17" s="12">
        <f>'[3]Dia 29 (a)'!$P23</f>
        <v>26.6</v>
      </c>
      <c r="AE17" s="12">
        <f>'[3]Dia 30 (a)'!$P23</f>
        <v>29.6</v>
      </c>
      <c r="AF17" s="13">
        <f>'[3]Dia 31 (a)'!$P23</f>
        <v>22.2</v>
      </c>
      <c r="AG17" s="14"/>
    </row>
    <row r="18" spans="1:33" ht="20.100000000000001" customHeight="1">
      <c r="A18" s="11">
        <v>21</v>
      </c>
      <c r="B18" s="12">
        <f>'[3]Dia 1 (a)'!$P24</f>
        <v>25.5</v>
      </c>
      <c r="C18" s="12">
        <f>'[3]Dia 2 (a)'!$P24</f>
        <v>28.2</v>
      </c>
      <c r="D18" s="12">
        <f>'[3]Dia 3 (a)'!$P24</f>
        <v>27.6</v>
      </c>
      <c r="E18" s="12">
        <f>'[3]Dia 4 (a)'!$P24</f>
        <v>23.8</v>
      </c>
      <c r="F18" s="12">
        <f>'[3]Dia 5 (a)'!$P24</f>
        <v>24.2</v>
      </c>
      <c r="G18" s="12">
        <f>'[3]Dia 6 (a)'!$P24</f>
        <v>25.3</v>
      </c>
      <c r="H18" s="12">
        <f>'[3]Dia 7 (a)'!$P24</f>
        <v>25</v>
      </c>
      <c r="I18" s="12">
        <f>'[3]Dia 8 (a)'!$P24</f>
        <v>26.6</v>
      </c>
      <c r="J18" s="12">
        <f>'[3]Dia 9 (a)'!$P24</f>
        <v>26.4</v>
      </c>
      <c r="K18" s="12">
        <f>'[3]Dia 10 (a)'!$P24</f>
        <v>26</v>
      </c>
      <c r="L18" s="12">
        <f>'[3]Dia 11 (a)'!$P24</f>
        <v>26</v>
      </c>
      <c r="M18" s="12">
        <f>'[3]Dia 12 (a)'!$P24</f>
        <v>25</v>
      </c>
      <c r="N18" s="12">
        <f>'[3]Dia 13 (a)'!$P24</f>
        <v>24</v>
      </c>
      <c r="O18" s="12">
        <f>'[3]Dia 14 (a)'!$P24</f>
        <v>23.6</v>
      </c>
      <c r="P18" s="12">
        <f>'[3]Dia 15 (a)'!$P24</f>
        <v>24.4</v>
      </c>
      <c r="Q18" s="12">
        <f>'[3]Dia 16 (a)'!$P24</f>
        <v>23.8</v>
      </c>
      <c r="R18" s="12">
        <f>'[3]Dia 17 (a)'!$P24</f>
        <v>25.5</v>
      </c>
      <c r="S18" s="12">
        <f>'[3]Dia 18 (a)'!$P24</f>
        <v>26.6</v>
      </c>
      <c r="T18" s="12">
        <f>'[3]Dia 19 (a)'!$P24</f>
        <v>25.2</v>
      </c>
      <c r="U18" s="12">
        <f>'[3]Dia 20 (a)'!$P24</f>
        <v>21.8</v>
      </c>
      <c r="V18" s="12">
        <f>'[3]Dia 21 (a)'!$P24</f>
        <v>20.9</v>
      </c>
      <c r="W18" s="12">
        <f>'[3]Dia 22 (a)'!$P24</f>
        <v>23.1</v>
      </c>
      <c r="X18" s="12">
        <f>'[3]Dia 23 (a)'!$P24</f>
        <v>26</v>
      </c>
      <c r="Y18" s="12">
        <f>'[3]Dia 24 (a)'!$P24</f>
        <v>27.7</v>
      </c>
      <c r="Z18" s="12">
        <f>'[3]Dia 25 (a)'!$P24</f>
        <v>27.1</v>
      </c>
      <c r="AA18" s="12">
        <f>'[3]Dia 26 (a)'!$P24</f>
        <v>27</v>
      </c>
      <c r="AB18" s="12">
        <f>'[3]Dia 27 (a)'!$P24</f>
        <v>24</v>
      </c>
      <c r="AC18" s="12">
        <f>'[3]Dia 28 (a)'!$P24</f>
        <v>25.2</v>
      </c>
      <c r="AD18" s="12">
        <f>'[3]Dia 29 (a)'!$P24</f>
        <v>26</v>
      </c>
      <c r="AE18" s="12">
        <f>'[3]Dia 30 (a)'!$P24</f>
        <v>28.9</v>
      </c>
      <c r="AF18" s="13">
        <f>'[3]Dia 31 (a)'!$P24</f>
        <v>21.9</v>
      </c>
      <c r="AG18" s="14"/>
    </row>
    <row r="19" spans="1:33" ht="20.100000000000001" customHeight="1">
      <c r="A19" s="11">
        <v>22</v>
      </c>
      <c r="B19" s="12">
        <f>'[3]Dia 1 (a)'!$P25</f>
        <v>25.3</v>
      </c>
      <c r="C19" s="12">
        <f>'[3]Dia 2 (a)'!$P25</f>
        <v>27.4</v>
      </c>
      <c r="D19" s="12">
        <f>'[3]Dia 3 (a)'!$P25</f>
        <v>26.9</v>
      </c>
      <c r="E19" s="12">
        <f>'[3]Dia 4 (a)'!$P25</f>
        <v>23.6</v>
      </c>
      <c r="F19" s="12">
        <f>'[3]Dia 5 (a)'!$P25</f>
        <v>24</v>
      </c>
      <c r="G19" s="12">
        <f>'[3]Dia 6 (a)'!$P25</f>
        <v>24.9</v>
      </c>
      <c r="H19" s="12">
        <f>'[3]Dia 7 (a)'!$P25</f>
        <v>24</v>
      </c>
      <c r="I19" s="12">
        <f>'[3]Dia 8 (a)'!$P25</f>
        <v>26.3</v>
      </c>
      <c r="J19" s="12">
        <f>'[3]Dia 9 (a)'!$P25</f>
        <v>25.8</v>
      </c>
      <c r="K19" s="12">
        <f>'[3]Dia 10 (a)'!$P25</f>
        <v>25</v>
      </c>
      <c r="L19" s="12">
        <f>'[3]Dia 11 (a)'!$P25</f>
        <v>25.2</v>
      </c>
      <c r="M19" s="12">
        <f>'[3]Dia 12 (a)'!$P25</f>
        <v>24.6</v>
      </c>
      <c r="N19" s="12">
        <f>'[3]Dia 13 (a)'!$P25</f>
        <v>23.8</v>
      </c>
      <c r="O19" s="12">
        <f>'[3]Dia 14 (a)'!$P25</f>
        <v>23.5</v>
      </c>
      <c r="P19" s="12">
        <f>'[3]Dia 15 (a)'!$P25</f>
        <v>24</v>
      </c>
      <c r="Q19" s="12">
        <f>'[3]Dia 16 (a)'!$P25</f>
        <v>23.5</v>
      </c>
      <c r="R19" s="12">
        <f>'[3]Dia 17 (a)'!$P25</f>
        <v>25.1</v>
      </c>
      <c r="S19" s="12">
        <f>'[3]Dia 18 (a)'!$P25</f>
        <v>26</v>
      </c>
      <c r="T19" s="12">
        <f>'[3]Dia 19 (a)'!$P25</f>
        <v>24.8</v>
      </c>
      <c r="U19" s="12">
        <f>'[3]Dia 20 (a)'!$P25</f>
        <v>20.7</v>
      </c>
      <c r="V19" s="12">
        <f>'[3]Dia 21 (a)'!$P25</f>
        <v>20.6</v>
      </c>
      <c r="W19" s="12">
        <f>'[3]Dia 22 (a)'!$P25</f>
        <v>22.7</v>
      </c>
      <c r="X19" s="12">
        <f>'[3]Dia 23 (a)'!$P25</f>
        <v>25.8</v>
      </c>
      <c r="Y19" s="12">
        <f>'[3]Dia 24 (a)'!$P25</f>
        <v>26.7</v>
      </c>
      <c r="Z19" s="12">
        <f>'[3]Dia 25 (a)'!$P25</f>
        <v>26.5</v>
      </c>
      <c r="AA19" s="12">
        <f>'[3]Dia 26 (a)'!$P25</f>
        <v>26.4</v>
      </c>
      <c r="AB19" s="12">
        <f>'[3]Dia 27 (a)'!$P25</f>
        <v>23</v>
      </c>
      <c r="AC19" s="12">
        <f>'[3]Dia 28 (a)'!$P25</f>
        <v>24.7</v>
      </c>
      <c r="AD19" s="12">
        <f>'[3]Dia 29 (a)'!$P25</f>
        <v>25.6</v>
      </c>
      <c r="AE19" s="12">
        <f>'[3]Dia 30 (a)'!$P25</f>
        <v>28.3</v>
      </c>
      <c r="AF19" s="13">
        <f>'[3]Dia 31 (a)'!$P25</f>
        <v>21.8</v>
      </c>
      <c r="AG19" s="14"/>
    </row>
    <row r="20" spans="1:33" ht="20.100000000000001" customHeight="1">
      <c r="A20" s="11">
        <v>23</v>
      </c>
      <c r="B20" s="12">
        <f>'[3]Dia 1 (a)'!$P26</f>
        <v>25.2</v>
      </c>
      <c r="C20" s="12">
        <f>'[3]Dia 2 (a)'!$P26</f>
        <v>26.8</v>
      </c>
      <c r="D20" s="12">
        <f>'[3]Dia 3 (a)'!$P26</f>
        <v>26.3</v>
      </c>
      <c r="E20" s="12">
        <f>'[3]Dia 4 (a)'!$P26</f>
        <v>23.2</v>
      </c>
      <c r="F20" s="12">
        <f>'[3]Dia 5 (a)'!$P26</f>
        <v>24</v>
      </c>
      <c r="G20" s="12">
        <f>'[3]Dia 6 (a)'!$P26</f>
        <v>24.4</v>
      </c>
      <c r="H20" s="12">
        <f>'[3]Dia 7 (a)'!$P26</f>
        <v>23</v>
      </c>
      <c r="I20" s="12">
        <f>'[3]Dia 8 (a)'!$P26</f>
        <v>25.8</v>
      </c>
      <c r="J20" s="12">
        <f>'[3]Dia 9 (a)'!$P26</f>
        <v>25.2</v>
      </c>
      <c r="K20" s="12">
        <f>'[3]Dia 10 (a)'!$P26</f>
        <v>23</v>
      </c>
      <c r="L20" s="12">
        <f>'[3]Dia 11 (a)'!$P26</f>
        <v>25</v>
      </c>
      <c r="M20" s="12">
        <f>'[3]Dia 12 (a)'!$P26</f>
        <v>24.4</v>
      </c>
      <c r="N20" s="12">
        <f>'[3]Dia 13 (a)'!$P26</f>
        <v>23.6</v>
      </c>
      <c r="O20" s="12">
        <f>'[3]Dia 14 (a)'!$P26</f>
        <v>23.3</v>
      </c>
      <c r="P20" s="12">
        <f>'[3]Dia 15 (a)'!$P26</f>
        <v>23.7</v>
      </c>
      <c r="Q20" s="12">
        <f>'[3]Dia 16 (a)'!$P26</f>
        <v>23.5</v>
      </c>
      <c r="R20" s="12">
        <f>'[3]Dia 17 (a)'!$P26</f>
        <v>24.6</v>
      </c>
      <c r="S20" s="12">
        <f>'[3]Dia 18 (a)'!$P26</f>
        <v>26</v>
      </c>
      <c r="T20" s="12">
        <f>'[3]Dia 19 (a)'!$P26</f>
        <v>24.4</v>
      </c>
      <c r="U20" s="12">
        <f>'[3]Dia 20 (a)'!$P26</f>
        <v>20.399999999999999</v>
      </c>
      <c r="V20" s="12">
        <f>'[3]Dia 21 (a)'!$P26</f>
        <v>20.2</v>
      </c>
      <c r="W20" s="12">
        <f>'[3]Dia 22 (a)'!$P26</f>
        <v>22.4</v>
      </c>
      <c r="X20" s="12">
        <f>'[3]Dia 23 (a)'!$P26</f>
        <v>24.6</v>
      </c>
      <c r="Y20" s="12">
        <f>'[3]Dia 24 (a)'!$P26</f>
        <v>26.3</v>
      </c>
      <c r="Z20" s="12">
        <f>'[3]Dia 25 (a)'!$P26</f>
        <v>26</v>
      </c>
      <c r="AA20" s="12">
        <f>'[3]Dia 26 (a)'!$P26</f>
        <v>25.8</v>
      </c>
      <c r="AB20" s="12">
        <f>'[3]Dia 27 (a)'!$P26</f>
        <v>23</v>
      </c>
      <c r="AC20" s="12">
        <f>'[3]Dia 28 (a)'!$P26</f>
        <v>24.3</v>
      </c>
      <c r="AD20" s="12">
        <f>'[3]Dia 29 (a)'!$P26</f>
        <v>25.3</v>
      </c>
      <c r="AE20" s="12">
        <f>'[3]Dia 30 (a)'!$P26</f>
        <v>27.3</v>
      </c>
      <c r="AF20" s="13">
        <f>'[3]Dia 31 (a)'!$P26</f>
        <v>21.3</v>
      </c>
      <c r="AG20" s="14"/>
    </row>
    <row r="21" spans="1:33" ht="20.100000000000001" customHeight="1" thickBot="1">
      <c r="A21" s="16">
        <v>24</v>
      </c>
      <c r="B21" s="17">
        <f>'[3]Dia 1 (a)'!$P27</f>
        <v>25</v>
      </c>
      <c r="C21" s="17">
        <f>'[3]Dia 2 (a)'!$P27</f>
        <v>26.4</v>
      </c>
      <c r="D21" s="17">
        <f>'[3]Dia 3 (a)'!$P27</f>
        <v>25.8</v>
      </c>
      <c r="E21" s="17">
        <f>'[3]Dia 4 (a)'!$P27</f>
        <v>23</v>
      </c>
      <c r="F21" s="17">
        <f>'[3]Dia 5 (a)'!$P27</f>
        <v>24</v>
      </c>
      <c r="G21" s="17">
        <f>'[3]Dia 6 (a)'!$P27</f>
        <v>24.2</v>
      </c>
      <c r="H21" s="17">
        <f>'[3]Dia 7 (a)'!$P27</f>
        <v>23</v>
      </c>
      <c r="I21" s="17">
        <f>'[3]Dia 8 (a)'!$P27</f>
        <v>24.9</v>
      </c>
      <c r="J21" s="17">
        <f>'[3]Dia 9 (a)'!$P27</f>
        <v>24.7</v>
      </c>
      <c r="K21" s="17">
        <f>'[3]Dia 10 (a)'!$P27</f>
        <v>24</v>
      </c>
      <c r="L21" s="17">
        <f>'[3]Dia 11 (a)'!$P27</f>
        <v>24</v>
      </c>
      <c r="M21" s="17">
        <f>'[3]Dia 12 (a)'!$P27</f>
        <v>24</v>
      </c>
      <c r="N21" s="17">
        <f>'[3]Dia 13 (a)'!$P27</f>
        <v>23.5</v>
      </c>
      <c r="O21" s="17">
        <f>'[3]Dia 14 (a)'!$P27</f>
        <v>23.1</v>
      </c>
      <c r="P21" s="17">
        <f>'[3]Dia 15 (a)'!$P27</f>
        <v>23.5</v>
      </c>
      <c r="Q21" s="17">
        <f>'[3]Dia 16 (a)'!$P27</f>
        <v>23.5</v>
      </c>
      <c r="R21" s="17">
        <f>'[3]Dia 17 (a)'!$P27</f>
        <v>24.3</v>
      </c>
      <c r="S21" s="17">
        <f>'[3]Dia 18 (a)'!$P27</f>
        <v>25</v>
      </c>
      <c r="T21" s="17">
        <f>'[3]Dia 19 (a)'!$P27</f>
        <v>24</v>
      </c>
      <c r="U21" s="17">
        <f>'[3]Dia 20 (a)'!$P27</f>
        <v>20.100000000000001</v>
      </c>
      <c r="V21" s="17">
        <f>'[3]Dia 21 (a)'!$P27</f>
        <v>19.8</v>
      </c>
      <c r="W21" s="17">
        <f>'[3]Dia 22 (a)'!$P27</f>
        <v>21.8</v>
      </c>
      <c r="X21" s="17">
        <f>'[3]Dia 23 (a)'!$P27</f>
        <v>24</v>
      </c>
      <c r="Y21" s="17">
        <f>'[3]Dia 24 (a)'!$P27</f>
        <v>25.8</v>
      </c>
      <c r="Z21" s="17">
        <f>'[3]Dia 25 (a)'!$P27</f>
        <v>25.7</v>
      </c>
      <c r="AA21" s="17">
        <f>'[3]Dia 26 (a)'!$P27</f>
        <v>25.3</v>
      </c>
      <c r="AB21" s="17">
        <f>'[3]Dia 27 (a)'!$P27</f>
        <v>23</v>
      </c>
      <c r="AC21" s="17">
        <f>'[3]Dia 28 (a)'!$P27</f>
        <v>23.9</v>
      </c>
      <c r="AD21" s="17">
        <f>'[3]Dia 29 (a)'!$P27</f>
        <v>24.9</v>
      </c>
      <c r="AE21" s="17">
        <f>'[3]Dia 30 (a)'!$P27</f>
        <v>26.7</v>
      </c>
      <c r="AF21" s="18">
        <f>'[3]Dia 31 (a)'!$P27</f>
        <v>21.1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29.766666666666666</v>
      </c>
      <c r="C25" s="26">
        <f t="shared" ref="C25:AF25" si="0">AVERAGE(C4:C21)</f>
        <v>29.727777777777774</v>
      </c>
      <c r="D25" s="26">
        <f t="shared" si="0"/>
        <v>30.272222222222222</v>
      </c>
      <c r="E25" s="26">
        <f t="shared" si="0"/>
        <v>25.85</v>
      </c>
      <c r="F25" s="26">
        <f t="shared" si="0"/>
        <v>27.894444444444449</v>
      </c>
      <c r="G25" s="26">
        <f t="shared" si="0"/>
        <v>28.305555555555546</v>
      </c>
      <c r="H25" s="26">
        <f t="shared" si="0"/>
        <v>27.055555555555557</v>
      </c>
      <c r="I25" s="26">
        <f t="shared" si="0"/>
        <v>27.927777777777781</v>
      </c>
      <c r="J25" s="26">
        <f t="shared" si="0"/>
        <v>28.355555555555558</v>
      </c>
      <c r="K25" s="26">
        <f t="shared" si="0"/>
        <v>29.022222222222226</v>
      </c>
      <c r="L25" s="26">
        <f t="shared" si="0"/>
        <v>26.149999999999991</v>
      </c>
      <c r="M25" s="26">
        <f t="shared" si="0"/>
        <v>25.87777777777778</v>
      </c>
      <c r="N25" s="26">
        <f t="shared" si="0"/>
        <v>25.79111111111111</v>
      </c>
      <c r="O25" s="26">
        <f t="shared" si="0"/>
        <v>24.561111111111114</v>
      </c>
      <c r="P25" s="26">
        <f t="shared" si="0"/>
        <v>25.338888888888889</v>
      </c>
      <c r="Q25" s="26">
        <f t="shared" si="0"/>
        <v>25.511111111111109</v>
      </c>
      <c r="R25" s="26">
        <f t="shared" si="0"/>
        <v>26.838888888888889</v>
      </c>
      <c r="S25" s="26">
        <f t="shared" si="0"/>
        <v>28.655555555555559</v>
      </c>
      <c r="T25" s="26">
        <f t="shared" si="0"/>
        <v>27.022222222222222</v>
      </c>
      <c r="U25" s="26">
        <f t="shared" si="0"/>
        <v>21.866666666666664</v>
      </c>
      <c r="V25" s="26">
        <f t="shared" si="0"/>
        <v>22.088888888888889</v>
      </c>
      <c r="W25" s="26">
        <f t="shared" si="0"/>
        <v>24.666666666666668</v>
      </c>
      <c r="X25" s="26">
        <f t="shared" si="0"/>
        <v>27.505555555555556</v>
      </c>
      <c r="Y25" s="26">
        <f>AVERAGE(Y4:Y21)</f>
        <v>28.866666666666667</v>
      </c>
      <c r="Z25" s="26">
        <f t="shared" si="0"/>
        <v>28.638888888888896</v>
      </c>
      <c r="AA25" s="26">
        <f t="shared" si="0"/>
        <v>28.594444444444441</v>
      </c>
      <c r="AB25" s="26">
        <f t="shared" si="0"/>
        <v>25.444444444444446</v>
      </c>
      <c r="AC25" s="26">
        <f t="shared" si="0"/>
        <v>26.438888888888886</v>
      </c>
      <c r="AD25" s="26">
        <f t="shared" si="0"/>
        <v>26.816666666666666</v>
      </c>
      <c r="AE25" s="26">
        <f t="shared" si="0"/>
        <v>30.088888888888889</v>
      </c>
      <c r="AF25" s="27">
        <f t="shared" si="0"/>
        <v>23.594444444444449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37.200000000000003</v>
      </c>
      <c r="C29" s="26">
        <f t="shared" ref="C29:AF29" si="1">MAX(C4:C21)</f>
        <v>36</v>
      </c>
      <c r="D29" s="26">
        <f t="shared" si="1"/>
        <v>38</v>
      </c>
      <c r="E29" s="26">
        <f t="shared" si="1"/>
        <v>32.1</v>
      </c>
      <c r="F29" s="26">
        <f t="shared" si="1"/>
        <v>35.700000000000003</v>
      </c>
      <c r="G29" s="26">
        <f t="shared" si="1"/>
        <v>35.200000000000003</v>
      </c>
      <c r="H29" s="26">
        <f t="shared" si="1"/>
        <v>34.4</v>
      </c>
      <c r="I29" s="26">
        <f t="shared" si="1"/>
        <v>32.5</v>
      </c>
      <c r="J29" s="26">
        <f t="shared" si="1"/>
        <v>34</v>
      </c>
      <c r="K29" s="26">
        <f t="shared" si="1"/>
        <v>36.200000000000003</v>
      </c>
      <c r="L29" s="26">
        <f t="shared" si="1"/>
        <v>30</v>
      </c>
      <c r="M29" s="26">
        <f t="shared" si="1"/>
        <v>31.1</v>
      </c>
      <c r="N29" s="26">
        <f t="shared" si="1"/>
        <v>29.6</v>
      </c>
      <c r="O29" s="26">
        <f t="shared" si="1"/>
        <v>28.2</v>
      </c>
      <c r="P29" s="26">
        <f t="shared" si="1"/>
        <v>29.4</v>
      </c>
      <c r="Q29" s="26">
        <f t="shared" si="1"/>
        <v>29.6</v>
      </c>
      <c r="R29" s="26">
        <f t="shared" si="1"/>
        <v>30.2</v>
      </c>
      <c r="S29" s="26">
        <f t="shared" si="1"/>
        <v>34.5</v>
      </c>
      <c r="T29" s="26">
        <f t="shared" si="1"/>
        <v>32</v>
      </c>
      <c r="U29" s="26">
        <f t="shared" si="1"/>
        <v>23</v>
      </c>
      <c r="V29" s="26">
        <f t="shared" si="1"/>
        <v>25.4</v>
      </c>
      <c r="W29" s="26">
        <f t="shared" si="1"/>
        <v>30.2</v>
      </c>
      <c r="X29" s="26">
        <f t="shared" si="1"/>
        <v>34.6</v>
      </c>
      <c r="Y29" s="26">
        <f>MAX(Y4:Y21)</f>
        <v>34.6</v>
      </c>
      <c r="Z29" s="26">
        <f t="shared" si="1"/>
        <v>33</v>
      </c>
      <c r="AA29" s="26">
        <f t="shared" si="1"/>
        <v>33.700000000000003</v>
      </c>
      <c r="AB29" s="26">
        <f t="shared" si="1"/>
        <v>28.3</v>
      </c>
      <c r="AC29" s="26">
        <f t="shared" si="1"/>
        <v>30.8</v>
      </c>
      <c r="AD29" s="26">
        <f t="shared" si="1"/>
        <v>31.2</v>
      </c>
      <c r="AE29" s="26">
        <f t="shared" si="1"/>
        <v>36.799999999999997</v>
      </c>
      <c r="AF29" s="27">
        <f t="shared" si="1"/>
        <v>25.5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25</v>
      </c>
      <c r="C33" s="26">
        <f t="shared" ref="C33:AF33" si="2">MIN(C4:C21)</f>
        <v>23</v>
      </c>
      <c r="D33" s="26">
        <f t="shared" si="2"/>
        <v>23.6</v>
      </c>
      <c r="E33" s="26">
        <f t="shared" si="2"/>
        <v>23</v>
      </c>
      <c r="F33" s="26">
        <f t="shared" si="2"/>
        <v>21.3</v>
      </c>
      <c r="G33" s="26">
        <f t="shared" si="2"/>
        <v>22.4</v>
      </c>
      <c r="H33" s="26">
        <f t="shared" si="2"/>
        <v>21.9</v>
      </c>
      <c r="I33" s="26">
        <f t="shared" si="2"/>
        <v>22</v>
      </c>
      <c r="J33" s="26">
        <f t="shared" si="2"/>
        <v>22.5</v>
      </c>
      <c r="K33" s="26">
        <f t="shared" si="2"/>
        <v>22.7</v>
      </c>
      <c r="L33" s="26">
        <f t="shared" si="2"/>
        <v>23.3</v>
      </c>
      <c r="M33" s="26">
        <f t="shared" si="2"/>
        <v>21.1</v>
      </c>
      <c r="N33" s="26">
        <f t="shared" si="2"/>
        <v>22.74</v>
      </c>
      <c r="O33" s="26">
        <f t="shared" si="2"/>
        <v>23</v>
      </c>
      <c r="P33" s="26">
        <f t="shared" si="2"/>
        <v>22</v>
      </c>
      <c r="Q33" s="26">
        <f t="shared" si="2"/>
        <v>22.4</v>
      </c>
      <c r="R33" s="26">
        <f t="shared" si="2"/>
        <v>22.6</v>
      </c>
      <c r="S33" s="26">
        <f t="shared" si="2"/>
        <v>23.1</v>
      </c>
      <c r="T33" s="26">
        <f t="shared" si="2"/>
        <v>23.4</v>
      </c>
      <c r="U33" s="26">
        <f t="shared" si="2"/>
        <v>20.100000000000001</v>
      </c>
      <c r="V33" s="26">
        <f t="shared" si="2"/>
        <v>18.8</v>
      </c>
      <c r="W33" s="26">
        <f t="shared" si="2"/>
        <v>18.2</v>
      </c>
      <c r="X33" s="26">
        <f t="shared" si="2"/>
        <v>19.600000000000001</v>
      </c>
      <c r="Y33" s="26">
        <f>MIN(Y4:Y21)</f>
        <v>21.4</v>
      </c>
      <c r="Z33" s="26">
        <f t="shared" si="2"/>
        <v>23.3</v>
      </c>
      <c r="AA33" s="26">
        <f t="shared" si="2"/>
        <v>24</v>
      </c>
      <c r="AB33" s="26">
        <f t="shared" si="2"/>
        <v>23</v>
      </c>
      <c r="AC33" s="26">
        <f t="shared" si="2"/>
        <v>22</v>
      </c>
      <c r="AD33" s="26">
        <f t="shared" si="2"/>
        <v>22</v>
      </c>
      <c r="AE33" s="26">
        <f t="shared" si="2"/>
        <v>22.2</v>
      </c>
      <c r="AF33" s="27">
        <f t="shared" si="2"/>
        <v>21.1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12.200000000000003</v>
      </c>
      <c r="C37" s="26">
        <f t="shared" si="3"/>
        <v>13</v>
      </c>
      <c r="D37" s="26">
        <f t="shared" si="3"/>
        <v>14.399999999999999</v>
      </c>
      <c r="E37" s="26">
        <f t="shared" si="3"/>
        <v>9.1000000000000014</v>
      </c>
      <c r="F37" s="26">
        <f t="shared" si="3"/>
        <v>14.400000000000002</v>
      </c>
      <c r="G37" s="26">
        <f t="shared" si="3"/>
        <v>12.800000000000004</v>
      </c>
      <c r="H37" s="26">
        <f t="shared" si="3"/>
        <v>12.5</v>
      </c>
      <c r="I37" s="26">
        <f t="shared" si="3"/>
        <v>10.5</v>
      </c>
      <c r="J37" s="26">
        <f t="shared" si="3"/>
        <v>11.5</v>
      </c>
      <c r="K37" s="26">
        <f t="shared" si="3"/>
        <v>13.500000000000004</v>
      </c>
      <c r="L37" s="26">
        <f t="shared" si="3"/>
        <v>6.6999999999999993</v>
      </c>
      <c r="M37" s="26">
        <f t="shared" si="3"/>
        <v>10</v>
      </c>
      <c r="N37" s="26">
        <f t="shared" si="3"/>
        <v>6.860000000000003</v>
      </c>
      <c r="O37" s="26">
        <f t="shared" si="3"/>
        <v>5.1999999999999993</v>
      </c>
      <c r="P37" s="26">
        <f t="shared" si="3"/>
        <v>7.3999999999999986</v>
      </c>
      <c r="Q37" s="26">
        <f t="shared" si="3"/>
        <v>7.2000000000000028</v>
      </c>
      <c r="R37" s="26">
        <f t="shared" si="3"/>
        <v>7.5999999999999979</v>
      </c>
      <c r="S37" s="26">
        <f t="shared" si="3"/>
        <v>11.399999999999999</v>
      </c>
      <c r="T37" s="26">
        <f t="shared" si="3"/>
        <v>8.6000000000000014</v>
      </c>
      <c r="U37" s="26">
        <f t="shared" si="3"/>
        <v>2.8999999999999986</v>
      </c>
      <c r="V37" s="26">
        <f t="shared" si="3"/>
        <v>6.5999999999999979</v>
      </c>
      <c r="W37" s="26">
        <f t="shared" si="3"/>
        <v>12</v>
      </c>
      <c r="X37" s="26">
        <f t="shared" si="3"/>
        <v>15</v>
      </c>
      <c r="Y37" s="26">
        <f t="shared" si="3"/>
        <v>13.200000000000003</v>
      </c>
      <c r="Z37" s="26">
        <f t="shared" si="3"/>
        <v>9.6999999999999993</v>
      </c>
      <c r="AA37" s="26">
        <f t="shared" si="3"/>
        <v>9.7000000000000028</v>
      </c>
      <c r="AB37" s="26">
        <f t="shared" si="3"/>
        <v>5.3000000000000007</v>
      </c>
      <c r="AC37" s="26">
        <f t="shared" si="3"/>
        <v>8.8000000000000007</v>
      </c>
      <c r="AD37" s="26">
        <f t="shared" si="3"/>
        <v>9.1999999999999993</v>
      </c>
      <c r="AE37" s="26">
        <f t="shared" si="3"/>
        <v>14.599999999999998</v>
      </c>
      <c r="AF37" s="27">
        <f t="shared" si="3"/>
        <v>4.3999999999999986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26.920501792114695</v>
      </c>
      <c r="I43" s="39"/>
      <c r="J43" s="41"/>
      <c r="K43" s="40">
        <f>MAX(B29:AF29)</f>
        <v>38</v>
      </c>
      <c r="L43" s="41"/>
      <c r="M43" s="41"/>
      <c r="N43" s="40">
        <f>MIN(B33:AF33)</f>
        <v>18.2</v>
      </c>
      <c r="O43" s="41"/>
      <c r="P43" s="41"/>
      <c r="Q43" s="40">
        <f>K43-N43</f>
        <v>19.8</v>
      </c>
      <c r="R43" s="39"/>
      <c r="S43" s="40"/>
      <c r="T43" s="40">
        <f>AVERAGE(B29:AF29)</f>
        <v>32.032258064516135</v>
      </c>
      <c r="U43" s="40"/>
      <c r="V43" s="40">
        <f>AVERAGE(B33:AF33)</f>
        <v>22.152903225806455</v>
      </c>
      <c r="W43" s="40"/>
      <c r="X43" s="40">
        <f>T43-V43</f>
        <v>9.8793548387096806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(a)'!$P10</f>
        <v>20</v>
      </c>
      <c r="C4" s="12">
        <f>'[4]Dia 2 (a)'!$P10</f>
        <v>19.399999999999999</v>
      </c>
      <c r="D4" s="12">
        <f>'[4]Dia 3 (a)'!$P10</f>
        <v>19.899999999999999</v>
      </c>
      <c r="E4" s="12">
        <f>'[4]Dia 4 (a)'!$P10</f>
        <v>21</v>
      </c>
      <c r="F4" s="12">
        <f>'[4]Dia 5 (a)'!$P10</f>
        <v>22</v>
      </c>
      <c r="G4" s="12">
        <f>'[4]Dia 6 (a)'!$P10</f>
        <v>19.600000000000001</v>
      </c>
      <c r="H4" s="12">
        <f>'[4]Dia 7 (a)'!$P10</f>
        <v>20</v>
      </c>
      <c r="I4" s="12">
        <f>'[4]Dia 8 (a)'!$P10</f>
        <v>21.6</v>
      </c>
      <c r="J4" s="12">
        <f>'[4]Dia 9 (a)'!$P10</f>
        <v>22.5</v>
      </c>
      <c r="K4" s="12">
        <f>'[4]Dia 10 (a)'!$P10</f>
        <v>22.4</v>
      </c>
      <c r="L4" s="12">
        <f>'[4]Dia 11 (a)'!$P10</f>
        <v>21.4</v>
      </c>
      <c r="M4" s="12">
        <f>'[4]Dia 12 (a)'!$P10</f>
        <v>22.3</v>
      </c>
      <c r="N4" s="12">
        <f>'[4]Dia 13 (a)'!$P10</f>
        <v>22.8</v>
      </c>
      <c r="O4" s="12">
        <f>'[4]Dia 14 (a)'!$P10</f>
        <v>21.8</v>
      </c>
      <c r="P4" s="12">
        <f>'[4]Dia 15 (a)'!$P10</f>
        <v>18.5</v>
      </c>
      <c r="Q4" s="12">
        <f>'[4]Dia 16 (a)'!$P10</f>
        <v>18.399999999999999</v>
      </c>
      <c r="R4" s="12">
        <f>'[4]Dia 17 (a)'!$P10</f>
        <v>18.8</v>
      </c>
      <c r="S4" s="44">
        <f>'[4]Dia 18 (a)'!$P10</f>
        <v>-99</v>
      </c>
      <c r="T4" s="44">
        <f>'[4]Dia 19 (a)'!$P10</f>
        <v>-99</v>
      </c>
      <c r="U4" s="44">
        <f>'[4]Dia 20 (a)'!$P10</f>
        <v>-99</v>
      </c>
      <c r="V4" s="12">
        <f>'[4]Dia 21 (a)'!$P10</f>
        <v>18.3</v>
      </c>
      <c r="W4" s="12">
        <f>'[4]Dia 22 (a)'!$P10</f>
        <v>18.5</v>
      </c>
      <c r="X4" s="12">
        <f>'[4]Dia 23 (a)'!$P10</f>
        <v>20.3</v>
      </c>
      <c r="Y4" s="12">
        <f>'[4]Dia 24 (a)'!$P10</f>
        <v>19.5</v>
      </c>
      <c r="Z4" s="44">
        <f>'[4]Dia 25 (a)'!$P10</f>
        <v>-99</v>
      </c>
      <c r="AA4" s="12">
        <f>'[4]Dia 26 (a)'!$P10</f>
        <v>22.4</v>
      </c>
      <c r="AB4" s="12">
        <f>'[4]Dia 27 (a)'!$P10</f>
        <v>21.4</v>
      </c>
      <c r="AC4" s="12">
        <f>'[4]Dia 28 (a)'!$P10</f>
        <v>22</v>
      </c>
      <c r="AD4" s="12">
        <f>'[4]Dia 29 (a)'!$P10</f>
        <v>22</v>
      </c>
      <c r="AE4" s="12">
        <f>'[4]Dia 30 (a)'!$P10</f>
        <v>20.9</v>
      </c>
      <c r="AF4" s="13"/>
      <c r="AG4" s="14"/>
    </row>
    <row r="5" spans="1:33" ht="20.100000000000001" customHeight="1">
      <c r="A5" s="11">
        <v>8</v>
      </c>
      <c r="B5" s="12">
        <f>'[4]Dia 1 (a)'!$P11</f>
        <v>20</v>
      </c>
      <c r="C5" s="12">
        <f>'[4]Dia 2 (a)'!$P11</f>
        <v>19.7</v>
      </c>
      <c r="D5" s="12">
        <f>'[4]Dia 3 (a)'!$P11</f>
        <v>20.399999999999999</v>
      </c>
      <c r="E5" s="12">
        <f>'[4]Dia 4 (a)'!$P11</f>
        <v>22</v>
      </c>
      <c r="F5" s="12">
        <f>'[4]Dia 5 (a)'!$P11</f>
        <v>22.2</v>
      </c>
      <c r="G5" s="12">
        <f>'[4]Dia 6 (a)'!$P11</f>
        <v>20.399999999999999</v>
      </c>
      <c r="H5" s="12">
        <f>'[4]Dia 7 (a)'!$P11</f>
        <v>20.6</v>
      </c>
      <c r="I5" s="12">
        <f>'[4]Dia 8 (a)'!$P11</f>
        <v>21.9</v>
      </c>
      <c r="J5" s="12">
        <f>'[4]Dia 9 (a)'!$P11</f>
        <v>22.6</v>
      </c>
      <c r="K5" s="12">
        <f>'[4]Dia 10 (a)'!$P11</f>
        <v>22.8</v>
      </c>
      <c r="L5" s="12">
        <f>'[4]Dia 11 (a)'!$P11</f>
        <v>22</v>
      </c>
      <c r="M5" s="12">
        <f>'[4]Dia 12 (a)'!$P11</f>
        <v>23.1</v>
      </c>
      <c r="N5" s="12">
        <f>'[4]Dia 13 (a)'!$P11</f>
        <v>22.8</v>
      </c>
      <c r="O5" s="12">
        <f>'[4]Dia 14 (a)'!$P11</f>
        <v>22</v>
      </c>
      <c r="P5" s="12">
        <f>'[4]Dia 15 (a)'!$P11</f>
        <v>18.7</v>
      </c>
      <c r="Q5" s="12">
        <f>'[4]Dia 16 (a)'!$P11</f>
        <v>18.600000000000001</v>
      </c>
      <c r="R5" s="12">
        <f>'[4]Dia 17 (a)'!$P11</f>
        <v>19.3</v>
      </c>
      <c r="S5" s="44">
        <f>'[4]Dia 18 (a)'!$P11</f>
        <v>-99</v>
      </c>
      <c r="T5" s="44">
        <f>'[4]Dia 19 (a)'!$P11</f>
        <v>-99</v>
      </c>
      <c r="U5" s="44">
        <f>'[4]Dia 20 (a)'!$P11</f>
        <v>-99</v>
      </c>
      <c r="V5" s="12">
        <f>'[4]Dia 21 (a)'!$P11</f>
        <v>19.100000000000001</v>
      </c>
      <c r="W5" s="12">
        <f>'[4]Dia 22 (a)'!$P11</f>
        <v>19</v>
      </c>
      <c r="X5" s="12">
        <f>'[4]Dia 23 (a)'!$P11</f>
        <v>21</v>
      </c>
      <c r="Y5" s="43">
        <f>'[4]Dia 24 (a)'!$P11</f>
        <v>20.100000000000001</v>
      </c>
      <c r="Z5" s="44">
        <f>'[4]Dia 25 (a)'!$P11</f>
        <v>-99</v>
      </c>
      <c r="AA5" s="12">
        <f>'[4]Dia 26 (a)'!$P11</f>
        <v>22.5</v>
      </c>
      <c r="AB5" s="12">
        <f>'[4]Dia 27 (a)'!$P11</f>
        <v>21.8</v>
      </c>
      <c r="AC5" s="12">
        <f>'[4]Dia 28 (a)'!$P11</f>
        <v>22.2</v>
      </c>
      <c r="AD5" s="12">
        <f>'[4]Dia 29 (a)'!$P11</f>
        <v>22.6</v>
      </c>
      <c r="AE5" s="12">
        <f>'[4]Dia 30 (a)'!$P11</f>
        <v>20.8</v>
      </c>
      <c r="AF5" s="13"/>
      <c r="AG5" s="14"/>
    </row>
    <row r="6" spans="1:33" ht="20.100000000000001" customHeight="1">
      <c r="A6" s="11">
        <v>9</v>
      </c>
      <c r="B6" s="12">
        <f>'[4]Dia 1 (a)'!$P12</f>
        <v>20.399999999999999</v>
      </c>
      <c r="C6" s="12">
        <f>'[4]Dia 2 (a)'!$P12</f>
        <v>20.2</v>
      </c>
      <c r="D6" s="12">
        <f>'[4]Dia 3 (a)'!$P12</f>
        <v>21.5</v>
      </c>
      <c r="E6" s="12">
        <f>'[4]Dia 4 (a)'!$P12</f>
        <v>23.6</v>
      </c>
      <c r="F6" s="12">
        <f>'[4]Dia 5 (a)'!$P12</f>
        <v>22.4</v>
      </c>
      <c r="G6" s="12">
        <f>'[4]Dia 6 (a)'!$P12</f>
        <v>22</v>
      </c>
      <c r="H6" s="12">
        <f>'[4]Dia 7 (a)'!$P12</f>
        <v>21.8</v>
      </c>
      <c r="I6" s="12">
        <f>'[4]Dia 8 (a)'!$P12</f>
        <v>23.3</v>
      </c>
      <c r="J6" s="12">
        <f>'[4]Dia 9 (a)'!$P12</f>
        <v>23.4</v>
      </c>
      <c r="K6" s="12">
        <f>'[4]Dia 10 (a)'!$P12</f>
        <v>23.9</v>
      </c>
      <c r="L6" s="12">
        <f>'[4]Dia 11 (a)'!$P12</f>
        <v>23.4</v>
      </c>
      <c r="M6" s="12">
        <f>'[4]Dia 12 (a)'!$P12</f>
        <v>24.4</v>
      </c>
      <c r="N6" s="12">
        <f>'[4]Dia 13 (a)'!$P12</f>
        <v>23</v>
      </c>
      <c r="O6" s="44">
        <f>'[4]Dia 14 (a)'!$P12</f>
        <v>-99</v>
      </c>
      <c r="P6" s="12">
        <f>'[4]Dia 15 (a)'!$P12</f>
        <v>20.2</v>
      </c>
      <c r="Q6" s="12">
        <f>'[4]Dia 16 (a)'!$P12</f>
        <v>19.5</v>
      </c>
      <c r="R6" s="12">
        <f>'[4]Dia 17 (a)'!$P12</f>
        <v>19.899999999999999</v>
      </c>
      <c r="S6" s="44">
        <f>'[4]Dia 18 (a)'!$P12</f>
        <v>-99</v>
      </c>
      <c r="T6" s="44">
        <f>'[4]Dia 19 (a)'!$P12</f>
        <v>-99</v>
      </c>
      <c r="U6" s="44">
        <f>'[4]Dia 20 (a)'!$P12</f>
        <v>-99</v>
      </c>
      <c r="V6" s="12">
        <f>'[4]Dia 21 (a)'!$P12</f>
        <v>20.6</v>
      </c>
      <c r="W6" s="12">
        <f>'[4]Dia 22 (a)'!$P12</f>
        <v>20.399999999999999</v>
      </c>
      <c r="X6" s="12">
        <f>'[4]Dia 23 (a)'!$P12</f>
        <v>22</v>
      </c>
      <c r="Y6" s="12">
        <f>'[4]Dia 24 (a)'!$P12</f>
        <v>21.6</v>
      </c>
      <c r="Z6" s="44">
        <f>'[4]Dia 25 (a)'!$P12</f>
        <v>-99</v>
      </c>
      <c r="AA6" s="12">
        <f>'[4]Dia 26 (a)'!$P12</f>
        <v>23.6</v>
      </c>
      <c r="AB6" s="12">
        <f>'[4]Dia 27 (a)'!$P12</f>
        <v>22.5</v>
      </c>
      <c r="AC6" s="12">
        <f>'[4]Dia 28 (a)'!$P12</f>
        <v>24</v>
      </c>
      <c r="AD6" s="12">
        <f>'[4]Dia 29 (a)'!$P12</f>
        <v>22.8</v>
      </c>
      <c r="AE6" s="12">
        <f>'[4]Dia 30 (a)'!$P12</f>
        <v>20.9</v>
      </c>
      <c r="AF6" s="13"/>
      <c r="AG6" s="14"/>
    </row>
    <row r="7" spans="1:33" ht="20.100000000000001" customHeight="1">
      <c r="A7" s="11">
        <v>10</v>
      </c>
      <c r="B7" s="12">
        <f>'[4]Dia 1 (a)'!$P13</f>
        <v>20.6</v>
      </c>
      <c r="C7" s="12">
        <f>'[4]Dia 2 (a)'!$P13</f>
        <v>20.8</v>
      </c>
      <c r="D7" s="12">
        <f>'[4]Dia 3 (a)'!$P13</f>
        <v>23.3</v>
      </c>
      <c r="E7" s="12">
        <f>'[4]Dia 4 (a)'!$P13</f>
        <v>25.6</v>
      </c>
      <c r="F7" s="12">
        <f>'[4]Dia 5 (a)'!$P13</f>
        <v>22.7</v>
      </c>
      <c r="G7" s="12">
        <f>'[4]Dia 6 (a)'!$P13</f>
        <v>23.2</v>
      </c>
      <c r="H7" s="12">
        <f>'[4]Dia 7 (a)'!$P13</f>
        <v>23</v>
      </c>
      <c r="I7" s="12">
        <f>'[4]Dia 8 (a)'!$P13</f>
        <v>25.7</v>
      </c>
      <c r="J7" s="12">
        <f>'[4]Dia 9 (a)'!$P13</f>
        <v>25</v>
      </c>
      <c r="K7" s="12">
        <f>'[4]Dia 10 (a)'!$P13</f>
        <v>26.8</v>
      </c>
      <c r="L7" s="12">
        <f>'[4]Dia 11 (a)'!$P13</f>
        <v>24.4</v>
      </c>
      <c r="M7" s="12">
        <f>'[4]Dia 12 (a)'!$P13</f>
        <v>25.6</v>
      </c>
      <c r="N7" s="44">
        <f>'[4]Dia 13 (a)'!$P13</f>
        <v>-99</v>
      </c>
      <c r="O7" s="44">
        <f>'[4]Dia 14 (a)'!$P13</f>
        <v>-99</v>
      </c>
      <c r="P7" s="12">
        <f>'[4]Dia 15 (a)'!$P13</f>
        <v>21.9</v>
      </c>
      <c r="Q7" s="12">
        <f>'[4]Dia 16 (a)'!$P13</f>
        <v>20.7</v>
      </c>
      <c r="R7" s="12">
        <f>'[4]Dia 17 (a)'!$P13</f>
        <v>21</v>
      </c>
      <c r="S7" s="44">
        <f>'[4]Dia 18 (a)'!$P13</f>
        <v>-99</v>
      </c>
      <c r="T7" s="44">
        <f>'[4]Dia 19 (a)'!$P13</f>
        <v>-99</v>
      </c>
      <c r="U7" s="44">
        <f>'[4]Dia 20 (a)'!$P13</f>
        <v>-99</v>
      </c>
      <c r="V7" s="12">
        <f>'[4]Dia 21 (a)'!$P13</f>
        <v>23.1</v>
      </c>
      <c r="W7" s="12">
        <f>'[4]Dia 22 (a)'!$P13</f>
        <v>22</v>
      </c>
      <c r="X7" s="12">
        <f>'[4]Dia 23 (a)'!$P13</f>
        <v>22.5</v>
      </c>
      <c r="Y7" s="12">
        <f>'[4]Dia 24 (a)'!$P13</f>
        <v>24.4</v>
      </c>
      <c r="Z7" s="44">
        <f>'[4]Dia 25 (a)'!$P13</f>
        <v>-99</v>
      </c>
      <c r="AA7" s="12">
        <f>'[4]Dia 26 (a)'!$P13</f>
        <v>25.6</v>
      </c>
      <c r="AB7" s="12">
        <f>'[4]Dia 27 (a)'!$P13</f>
        <v>26</v>
      </c>
      <c r="AC7" s="12">
        <f>'[4]Dia 28 (a)'!$P13</f>
        <v>26.2</v>
      </c>
      <c r="AD7" s="12">
        <f>'[4]Dia 29 (a)'!$P13</f>
        <v>23</v>
      </c>
      <c r="AE7" s="12">
        <f>'[4]Dia 30 (a)'!$P13</f>
        <v>21.1</v>
      </c>
      <c r="AF7" s="13"/>
      <c r="AG7" s="14"/>
    </row>
    <row r="8" spans="1:33" ht="20.100000000000001" customHeight="1">
      <c r="A8" s="11">
        <v>11</v>
      </c>
      <c r="B8" s="12">
        <f>'[4]Dia 1 (a)'!$P14</f>
        <v>21.4</v>
      </c>
      <c r="C8" s="12">
        <f>'[4]Dia 2 (a)'!$P14</f>
        <v>21.8</v>
      </c>
      <c r="D8" s="12">
        <f>'[4]Dia 3 (a)'!$P14</f>
        <v>24.5</v>
      </c>
      <c r="E8" s="12">
        <f>'[4]Dia 4 (a)'!$P14</f>
        <v>28</v>
      </c>
      <c r="F8" s="12">
        <f>'[4]Dia 5 (a)'!$P14</f>
        <v>23.2</v>
      </c>
      <c r="G8" s="12">
        <f>'[4]Dia 6 (a)'!$P14</f>
        <v>25</v>
      </c>
      <c r="H8" s="12">
        <f>'[4]Dia 7 (a)'!$P14</f>
        <v>24.4</v>
      </c>
      <c r="I8" s="12">
        <f>'[4]Dia 8 (a)'!$P14</f>
        <v>28.6</v>
      </c>
      <c r="J8" s="12">
        <f>'[4]Dia 9 (a)'!$P14</f>
        <v>27</v>
      </c>
      <c r="K8" s="12">
        <f>'[4]Dia 10 (a)'!$P14</f>
        <v>28.6</v>
      </c>
      <c r="L8" s="12">
        <f>'[4]Dia 11 (a)'!$P14</f>
        <v>27.1</v>
      </c>
      <c r="M8" s="12">
        <f>'[4]Dia 12 (a)'!$P14</f>
        <v>25.6</v>
      </c>
      <c r="N8" s="44">
        <f>'[4]Dia 13 (a)'!$P14</f>
        <v>-99</v>
      </c>
      <c r="O8" s="44">
        <f>'[4]Dia 14 (a)'!$P14</f>
        <v>-99</v>
      </c>
      <c r="P8" s="12">
        <f>'[4]Dia 15 (a)'!$P14</f>
        <v>23.4</v>
      </c>
      <c r="Q8" s="12">
        <f>'[4]Dia 16 (a)'!$P14</f>
        <v>22.9</v>
      </c>
      <c r="R8" s="12">
        <f>'[4]Dia 17 (a)'!$P14</f>
        <v>22.3</v>
      </c>
      <c r="S8" s="44">
        <f>'[4]Dia 18 (a)'!$P14</f>
        <v>-99</v>
      </c>
      <c r="T8" s="44">
        <f>'[4]Dia 19 (a)'!$P14</f>
        <v>-99</v>
      </c>
      <c r="U8" s="44">
        <f>'[4]Dia 20 (a)'!$P14</f>
        <v>-99</v>
      </c>
      <c r="V8" s="12">
        <f>'[4]Dia 21 (a)'!$P14</f>
        <v>25.6</v>
      </c>
      <c r="W8" s="12">
        <f>'[4]Dia 22 (a)'!$P14</f>
        <v>25</v>
      </c>
      <c r="X8" s="12">
        <f>'[4]Dia 23 (a)'!$P14</f>
        <v>25</v>
      </c>
      <c r="Y8" s="12">
        <f>'[4]Dia 24 (a)'!$P14</f>
        <v>27.3</v>
      </c>
      <c r="Z8" s="44">
        <f>'[4]Dia 25 (a)'!$P14</f>
        <v>-99</v>
      </c>
      <c r="AA8" s="12">
        <f>'[4]Dia 26 (a)'!$P14</f>
        <v>28.7</v>
      </c>
      <c r="AB8" s="12">
        <f>'[4]Dia 27 (a)'!$P14</f>
        <v>28.8</v>
      </c>
      <c r="AC8" s="12">
        <f>'[4]Dia 28 (a)'!$P14</f>
        <v>28.8</v>
      </c>
      <c r="AD8" s="12">
        <f>'[4]Dia 29 (a)'!$P14</f>
        <v>23.6</v>
      </c>
      <c r="AE8" s="12">
        <f>'[4]Dia 30 (a)'!$P14</f>
        <v>21.9</v>
      </c>
      <c r="AF8" s="13"/>
      <c r="AG8" s="14"/>
    </row>
    <row r="9" spans="1:33" ht="20.100000000000001" customHeight="1">
      <c r="A9" s="11">
        <v>12</v>
      </c>
      <c r="B9" s="12">
        <f>'[4]Dia 1 (a)'!$P15</f>
        <v>22</v>
      </c>
      <c r="C9" s="12">
        <f>'[4]Dia 2 (a)'!$P15</f>
        <v>22.6</v>
      </c>
      <c r="D9" s="12">
        <f>'[4]Dia 3 (a)'!$P15</f>
        <v>25.3</v>
      </c>
      <c r="E9" s="12">
        <f>'[4]Dia 4 (a)'!$P15</f>
        <v>30.6</v>
      </c>
      <c r="F9" s="12">
        <f>'[4]Dia 5 (a)'!$P15</f>
        <v>23.7</v>
      </c>
      <c r="G9" s="12">
        <f>'[4]Dia 6 (a)'!$P15</f>
        <v>26.2</v>
      </c>
      <c r="H9" s="12">
        <f>'[4]Dia 7 (a)'!$P15</f>
        <v>26.1</v>
      </c>
      <c r="I9" s="12">
        <f>'[4]Dia 8 (a)'!$P15</f>
        <v>31.2</v>
      </c>
      <c r="J9" s="12">
        <f>'[4]Dia 9 (a)'!$P15</f>
        <v>29</v>
      </c>
      <c r="K9" s="12">
        <f>'[4]Dia 10 (a)'!$P15</f>
        <v>31.4</v>
      </c>
      <c r="L9" s="12">
        <f>'[4]Dia 11 (a)'!$P15</f>
        <v>29.8</v>
      </c>
      <c r="M9" s="12">
        <f>'[4]Dia 12 (a)'!$P15</f>
        <v>27.2</v>
      </c>
      <c r="N9" s="44">
        <f>'[4]Dia 13 (a)'!$P15</f>
        <v>-99</v>
      </c>
      <c r="O9" s="44">
        <f>'[4]Dia 14 (a)'!$P15</f>
        <v>-99</v>
      </c>
      <c r="P9" s="12">
        <f>'[4]Dia 15 (a)'!$P15</f>
        <v>25.6</v>
      </c>
      <c r="Q9" s="12">
        <f>'[4]Dia 16 (a)'!$P15</f>
        <v>24</v>
      </c>
      <c r="R9" s="12">
        <f>'[4]Dia 17 (a)'!$P15</f>
        <v>24</v>
      </c>
      <c r="S9" s="44">
        <f>'[4]Dia 18 (a)'!$P15</f>
        <v>-99</v>
      </c>
      <c r="T9" s="44">
        <f>'[4]Dia 19 (a)'!$P15</f>
        <v>-99</v>
      </c>
      <c r="U9" s="44">
        <f>'[4]Dia 20 (a)'!$P15</f>
        <v>-99</v>
      </c>
      <c r="V9" s="12">
        <f>'[4]Dia 21 (a)'!$P15</f>
        <v>28.9</v>
      </c>
      <c r="W9" s="12">
        <f>'[4]Dia 22 (a)'!$P15</f>
        <v>27.4</v>
      </c>
      <c r="X9" s="12">
        <f>'[4]Dia 23 (a)'!$P15</f>
        <v>27.7</v>
      </c>
      <c r="Y9" s="12">
        <f>'[4]Dia 24 (a)'!$P15</f>
        <v>29.3</v>
      </c>
      <c r="Z9" s="44">
        <f>'[4]Dia 25 (a)'!$P15</f>
        <v>-99</v>
      </c>
      <c r="AA9" s="12">
        <f>'[4]Dia 26 (a)'!$P15</f>
        <v>31.5</v>
      </c>
      <c r="AB9" s="12">
        <f>'[4]Dia 27 (a)'!$P15</f>
        <v>31.1</v>
      </c>
      <c r="AC9" s="12">
        <f>'[4]Dia 28 (a)'!$P15</f>
        <v>31</v>
      </c>
      <c r="AD9" s="12">
        <f>'[4]Dia 29 (a)'!$P15</f>
        <v>23.6</v>
      </c>
      <c r="AE9" s="12">
        <f>'[4]Dia 30 (a)'!$P15</f>
        <v>22.2</v>
      </c>
      <c r="AF9" s="13"/>
      <c r="AG9" s="14"/>
    </row>
    <row r="10" spans="1:33" ht="20.100000000000001" customHeight="1">
      <c r="A10" s="11">
        <v>13</v>
      </c>
      <c r="B10" s="12">
        <f>'[4]Dia 1 (a)'!$P16</f>
        <v>22</v>
      </c>
      <c r="C10" s="12">
        <f>'[4]Dia 2 (a)'!$P16</f>
        <v>22.6</v>
      </c>
      <c r="D10" s="12">
        <f>'[4]Dia 3 (a)'!$P16</f>
        <v>25.8</v>
      </c>
      <c r="E10" s="12">
        <f>'[4]Dia 4 (a)'!$P16</f>
        <v>32</v>
      </c>
      <c r="F10" s="12">
        <f>'[4]Dia 5 (a)'!$P16</f>
        <v>24.4</v>
      </c>
      <c r="G10" s="12">
        <f>'[4]Dia 6 (a)'!$P16</f>
        <v>26</v>
      </c>
      <c r="H10" s="12">
        <f>'[4]Dia 7 (a)'!$P16</f>
        <v>28.4</v>
      </c>
      <c r="I10" s="12">
        <f>'[4]Dia 8 (a)'!$P16</f>
        <v>33</v>
      </c>
      <c r="J10" s="12">
        <f>'[4]Dia 9 (a)'!$P16</f>
        <v>31</v>
      </c>
      <c r="K10" s="12">
        <f>'[4]Dia 10 (a)'!$P16</f>
        <v>32.200000000000003</v>
      </c>
      <c r="L10" s="12">
        <f>'[4]Dia 11 (a)'!$P16</f>
        <v>30.6</v>
      </c>
      <c r="M10" s="12">
        <f>'[4]Dia 12 (a)'!$P16</f>
        <v>27</v>
      </c>
      <c r="N10" s="44">
        <f>'[4]Dia 13 (a)'!$P16</f>
        <v>-99</v>
      </c>
      <c r="O10" s="44">
        <f>'[4]Dia 14 (a)'!$P16</f>
        <v>-99</v>
      </c>
      <c r="P10" s="12">
        <f>'[4]Dia 15 (a)'!$P16</f>
        <v>27.3</v>
      </c>
      <c r="Q10" s="12">
        <f>'[4]Dia 16 (a)'!$P16</f>
        <v>26.4</v>
      </c>
      <c r="R10" s="12">
        <f>'[4]Dia 17 (a)'!$P16</f>
        <v>24.9</v>
      </c>
      <c r="S10" s="44">
        <f>'[4]Dia 18 (a)'!$P16</f>
        <v>-99</v>
      </c>
      <c r="T10" s="44">
        <f>'[4]Dia 19 (a)'!$P16</f>
        <v>-99</v>
      </c>
      <c r="U10" s="44">
        <f>'[4]Dia 20 (a)'!$P16</f>
        <v>-99</v>
      </c>
      <c r="V10" s="12">
        <f>'[4]Dia 21 (a)'!$P16</f>
        <v>31</v>
      </c>
      <c r="W10" s="12">
        <f>'[4]Dia 22 (a)'!$P16</f>
        <v>29</v>
      </c>
      <c r="X10" s="12">
        <f>'[4]Dia 23 (a)'!$P16</f>
        <v>28.7</v>
      </c>
      <c r="Y10" s="12">
        <f>'[4]Dia 24 (a)'!$P16</f>
        <v>31</v>
      </c>
      <c r="Z10" s="12">
        <f>'[4]Dia 25 (a)'!$P16</f>
        <v>32</v>
      </c>
      <c r="AA10" s="12">
        <f>'[4]Dia 26 (a)'!$P16</f>
        <v>32.9</v>
      </c>
      <c r="AB10" s="12">
        <f>'[4]Dia 27 (a)'!$P16</f>
        <v>32.299999999999997</v>
      </c>
      <c r="AC10" s="12">
        <f>'[4]Dia 28 (a)'!$P16</f>
        <v>33</v>
      </c>
      <c r="AD10" s="12">
        <f>'[4]Dia 29 (a)'!$P16</f>
        <v>23.6</v>
      </c>
      <c r="AE10" s="12">
        <f>'[4]Dia 30 (a)'!$P16</f>
        <v>22.4</v>
      </c>
      <c r="AF10" s="13"/>
      <c r="AG10" s="14"/>
    </row>
    <row r="11" spans="1:33" ht="20.100000000000001" customHeight="1">
      <c r="A11" s="11">
        <v>14</v>
      </c>
      <c r="B11" s="12">
        <f>'[4]Dia 1 (a)'!$P17</f>
        <v>22</v>
      </c>
      <c r="C11" s="12">
        <f>'[4]Dia 2 (a)'!$P17</f>
        <v>22.8</v>
      </c>
      <c r="D11" s="12">
        <f>'[4]Dia 3 (a)'!$P17</f>
        <v>27</v>
      </c>
      <c r="E11" s="12">
        <f>'[4]Dia 4 (a)'!$P17</f>
        <v>33</v>
      </c>
      <c r="F11" s="12">
        <f>'[4]Dia 5 (a)'!$P17</f>
        <v>25</v>
      </c>
      <c r="G11" s="12">
        <f>'[4]Dia 6 (a)'!$P17</f>
        <v>29</v>
      </c>
      <c r="H11" s="12">
        <f>'[4]Dia 7 (a)'!$P17</f>
        <v>30.6</v>
      </c>
      <c r="I11" s="12">
        <f>'[4]Dia 8 (a)'!$P17</f>
        <v>33.799999999999997</v>
      </c>
      <c r="J11" s="12">
        <f>'[4]Dia 9 (a)'!$P17</f>
        <v>34</v>
      </c>
      <c r="K11" s="12">
        <f>'[4]Dia 10 (a)'!$P17</f>
        <v>33.5</v>
      </c>
      <c r="L11" s="12">
        <f>'[4]Dia 11 (a)'!$P17</f>
        <v>31.8</v>
      </c>
      <c r="M11" s="12">
        <f>'[4]Dia 12 (a)'!$P17</f>
        <v>27.5</v>
      </c>
      <c r="N11" s="44">
        <f>'[4]Dia 13 (a)'!$P17</f>
        <v>-99</v>
      </c>
      <c r="O11" s="44">
        <f>'[4]Dia 14 (a)'!$P17</f>
        <v>-99</v>
      </c>
      <c r="P11" s="12">
        <f>'[4]Dia 15 (a)'!$P17</f>
        <v>28.4</v>
      </c>
      <c r="Q11" s="12">
        <f>'[4]Dia 16 (a)'!$P17</f>
        <v>26.7</v>
      </c>
      <c r="R11" s="12">
        <f>'[4]Dia 17 (a)'!$P17</f>
        <v>24.9</v>
      </c>
      <c r="S11" s="44">
        <f>'[4]Dia 18 (a)'!$P17</f>
        <v>-99</v>
      </c>
      <c r="T11" s="44">
        <f>'[4]Dia 19 (a)'!$P17</f>
        <v>-99</v>
      </c>
      <c r="U11" s="44">
        <f>'[4]Dia 20 (a)'!$P17</f>
        <v>-99</v>
      </c>
      <c r="V11" s="12">
        <f>'[4]Dia 21 (a)'!$P17</f>
        <v>31.4</v>
      </c>
      <c r="W11" s="12">
        <f>'[4]Dia 22 (a)'!$P17</f>
        <v>30.2</v>
      </c>
      <c r="X11" s="12">
        <f>'[4]Dia 23 (a)'!$P17</f>
        <v>30.1</v>
      </c>
      <c r="Y11" s="12">
        <f>'[4]Dia 24 (a)'!$P17</f>
        <v>31.9</v>
      </c>
      <c r="Z11" s="12">
        <f>'[4]Dia 25 (a)'!$P17</f>
        <v>33.200000000000003</v>
      </c>
      <c r="AA11" s="12">
        <f>'[4]Dia 26 (a)'!$P17</f>
        <v>33.200000000000003</v>
      </c>
      <c r="AB11" s="12">
        <f>'[4]Dia 27 (a)'!$P17</f>
        <v>34.299999999999997</v>
      </c>
      <c r="AC11" s="12">
        <f>'[4]Dia 28 (a)'!$P17</f>
        <v>34</v>
      </c>
      <c r="AD11" s="12">
        <f>'[4]Dia 29 (a)'!$P17</f>
        <v>23.8</v>
      </c>
      <c r="AE11" s="12">
        <f>'[4]Dia 30 (a)'!$P17</f>
        <v>22.7</v>
      </c>
      <c r="AF11" s="13"/>
      <c r="AG11" s="14"/>
    </row>
    <row r="12" spans="1:33" ht="20.100000000000001" customHeight="1">
      <c r="A12" s="11">
        <v>15</v>
      </c>
      <c r="B12" s="12">
        <f>'[4]Dia 1 (a)'!$P18</f>
        <v>22</v>
      </c>
      <c r="C12" s="12">
        <f>'[4]Dia 2 (a)'!$P18</f>
        <v>22.7</v>
      </c>
      <c r="D12" s="12">
        <f>'[4]Dia 3 (a)'!$P18</f>
        <v>28.5</v>
      </c>
      <c r="E12" s="12">
        <f>'[4]Dia 4 (a)'!$P18</f>
        <v>33</v>
      </c>
      <c r="F12" s="12">
        <f>'[4]Dia 5 (a)'!$P18</f>
        <v>24.8</v>
      </c>
      <c r="G12" s="12">
        <f>'[4]Dia 6 (a)'!$P18</f>
        <v>29.6</v>
      </c>
      <c r="H12" s="12">
        <f>'[4]Dia 7 (a)'!$P18</f>
        <v>30.8</v>
      </c>
      <c r="I12" s="12">
        <f>'[4]Dia 8 (a)'!$P18</f>
        <v>33</v>
      </c>
      <c r="J12" s="12">
        <f>'[4]Dia 9 (a)'!$P18</f>
        <v>34</v>
      </c>
      <c r="K12" s="12">
        <f>'[4]Dia 10 (a)'!$P18</f>
        <v>33.700000000000003</v>
      </c>
      <c r="L12" s="12">
        <f>'[4]Dia 11 (a)'!$P18</f>
        <v>32.6</v>
      </c>
      <c r="M12" s="12">
        <f>'[4]Dia 12 (a)'!$P18</f>
        <v>28</v>
      </c>
      <c r="N12" s="44">
        <f>'[4]Dia 13 (a)'!$P18</f>
        <v>-99</v>
      </c>
      <c r="O12" s="44">
        <f>'[4]Dia 14 (a)'!$P18</f>
        <v>-99</v>
      </c>
      <c r="P12" s="12">
        <f>'[4]Dia 15 (a)'!$P18</f>
        <v>29.1</v>
      </c>
      <c r="Q12" s="12">
        <f>'[4]Dia 16 (a)'!$P18</f>
        <v>27.4</v>
      </c>
      <c r="R12" s="12">
        <f>'[4]Dia 17 (a)'!$P18</f>
        <v>24.9</v>
      </c>
      <c r="S12" s="44">
        <f>'[4]Dia 18 (a)'!$P18</f>
        <v>-99</v>
      </c>
      <c r="T12" s="44">
        <f>'[4]Dia 19 (a)'!$P18</f>
        <v>-99</v>
      </c>
      <c r="U12" s="44">
        <f>'[4]Dia 20 (a)'!$P18</f>
        <v>-99</v>
      </c>
      <c r="V12" s="12">
        <f>'[4]Dia 21 (a)'!$P18</f>
        <v>31.3</v>
      </c>
      <c r="W12" s="12">
        <f>'[4]Dia 22 (a)'!$P18</f>
        <v>30.6</v>
      </c>
      <c r="X12" s="12">
        <f>'[4]Dia 23 (a)'!$P18</f>
        <v>31</v>
      </c>
      <c r="Y12" s="12">
        <f>'[4]Dia 24 (a)'!$P18</f>
        <v>32.200000000000003</v>
      </c>
      <c r="Z12" s="12">
        <f>'[4]Dia 25 (a)'!$P18</f>
        <v>33.200000000000003</v>
      </c>
      <c r="AA12" s="12">
        <f>'[4]Dia 26 (a)'!$P18</f>
        <v>33.799999999999997</v>
      </c>
      <c r="AB12" s="12">
        <f>'[4]Dia 27 (a)'!$P18</f>
        <v>34.9</v>
      </c>
      <c r="AC12" s="12">
        <f>'[4]Dia 28 (a)'!$P18</f>
        <v>34.799999999999997</v>
      </c>
      <c r="AD12" s="12">
        <f>'[4]Dia 29 (a)'!$P18</f>
        <v>23.8</v>
      </c>
      <c r="AE12" s="12">
        <f>'[4]Dia 30 (a)'!$P18</f>
        <v>23.2</v>
      </c>
      <c r="AF12" s="13"/>
      <c r="AG12" s="14"/>
    </row>
    <row r="13" spans="1:33" ht="20.100000000000001" customHeight="1">
      <c r="A13" s="11">
        <v>16</v>
      </c>
      <c r="B13" s="12">
        <f>'[4]Dia 1 (a)'!$P19</f>
        <v>21.6</v>
      </c>
      <c r="C13" s="12">
        <f>'[4]Dia 2 (a)'!$P19</f>
        <v>22.4</v>
      </c>
      <c r="D13" s="12">
        <f>'[4]Dia 3 (a)'!$P19</f>
        <v>27.6</v>
      </c>
      <c r="E13" s="12">
        <f>'[4]Dia 4 (a)'!$P19</f>
        <v>32.700000000000003</v>
      </c>
      <c r="F13" s="12">
        <f>'[4]Dia 5 (a)'!$P19</f>
        <v>24.4</v>
      </c>
      <c r="G13" s="12">
        <f>'[4]Dia 6 (a)'!$P19</f>
        <v>29.2</v>
      </c>
      <c r="H13" s="12">
        <f>'[4]Dia 7 (a)'!$P19</f>
        <v>30.4</v>
      </c>
      <c r="I13" s="12">
        <f>'[4]Dia 8 (a)'!$P19</f>
        <v>32.1</v>
      </c>
      <c r="J13" s="12">
        <f>'[4]Dia 9 (a)'!$P19</f>
        <v>33.200000000000003</v>
      </c>
      <c r="K13" s="12">
        <f>'[4]Dia 10 (a)'!$P19</f>
        <v>32.6</v>
      </c>
      <c r="L13" s="12">
        <f>'[4]Dia 11 (a)'!$P19</f>
        <v>32.1</v>
      </c>
      <c r="M13" s="12">
        <f>'[4]Dia 12 (a)'!$P19</f>
        <v>28</v>
      </c>
      <c r="N13" s="12">
        <f>'[4]Dia 13 (a)'!$P19</f>
        <v>26.8</v>
      </c>
      <c r="O13" s="12">
        <f>'[4]Dia 14 (a)'!$P19</f>
        <v>26.8</v>
      </c>
      <c r="P13" s="12">
        <f>'[4]Dia 15 (a)'!$P19</f>
        <v>28.8</v>
      </c>
      <c r="Q13" s="12">
        <f>'[4]Dia 16 (a)'!$P19</f>
        <v>27.1</v>
      </c>
      <c r="R13" s="12">
        <f>'[4]Dia 17 (a)'!$P19</f>
        <v>24.6</v>
      </c>
      <c r="S13" s="12">
        <f>'[4]Dia 18 (a)'!$P19</f>
        <v>26.7</v>
      </c>
      <c r="T13" s="12">
        <f>'[4]Dia 19 (a)'!$P19</f>
        <v>29.7</v>
      </c>
      <c r="U13" s="12">
        <f>'[4]Dia 20 (a)'!$P19</f>
        <v>28.8</v>
      </c>
      <c r="V13" s="12">
        <f>'[4]Dia 21 (a)'!$P19</f>
        <v>31</v>
      </c>
      <c r="W13" s="12">
        <f>'[4]Dia 22 (a)'!$P19</f>
        <v>30.2</v>
      </c>
      <c r="X13" s="12">
        <f>'[4]Dia 23 (a)'!$P19</f>
        <v>30.4</v>
      </c>
      <c r="Y13" s="12">
        <f>'[4]Dia 24 (a)'!$P19</f>
        <v>31.4</v>
      </c>
      <c r="Z13" s="12">
        <f>'[4]Dia 25 (a)'!$P19</f>
        <v>32.4</v>
      </c>
      <c r="AA13" s="12">
        <f>'[4]Dia 26 (a)'!$P19</f>
        <v>33.799999999999997</v>
      </c>
      <c r="AB13" s="12">
        <f>'[4]Dia 27 (a)'!$P19</f>
        <v>34.4</v>
      </c>
      <c r="AC13" s="12">
        <f>'[4]Dia 28 (a)'!$P19</f>
        <v>34.299999999999997</v>
      </c>
      <c r="AD13" s="12">
        <f>'[4]Dia 29 (a)'!$P19</f>
        <v>24</v>
      </c>
      <c r="AE13" s="12">
        <f>'[4]Dia 30 (a)'!$P19</f>
        <v>23</v>
      </c>
      <c r="AF13" s="13"/>
      <c r="AG13" s="14"/>
    </row>
    <row r="14" spans="1:33" ht="20.100000000000001" customHeight="1">
      <c r="A14" s="11">
        <v>17</v>
      </c>
      <c r="B14" s="12">
        <f>'[4]Dia 1 (a)'!$P20</f>
        <v>21.3</v>
      </c>
      <c r="C14" s="12">
        <f>'[4]Dia 2 (a)'!$P20</f>
        <v>22.1</v>
      </c>
      <c r="D14" s="12">
        <f>'[4]Dia 3 (a)'!$P20</f>
        <v>26.3</v>
      </c>
      <c r="E14" s="12">
        <f>'[4]Dia 4 (a)'!$P20</f>
        <v>31.6</v>
      </c>
      <c r="F14" s="12">
        <f>'[4]Dia 5 (a)'!$P20</f>
        <v>24.2</v>
      </c>
      <c r="G14" s="12">
        <f>'[4]Dia 6 (a)'!$P20</f>
        <v>28.1</v>
      </c>
      <c r="H14" s="12">
        <f>'[4]Dia 7 (a)'!$P20</f>
        <v>28.8</v>
      </c>
      <c r="I14" s="12">
        <f>'[4]Dia 8 (a)'!$P20</f>
        <v>30.6</v>
      </c>
      <c r="J14" s="12">
        <f>'[4]Dia 9 (a)'!$P20</f>
        <v>31.8</v>
      </c>
      <c r="K14" s="12">
        <f>'[4]Dia 10 (a)'!$P20</f>
        <v>30.9</v>
      </c>
      <c r="L14" s="12">
        <f>'[4]Dia 11 (a)'!$P20</f>
        <v>30.7</v>
      </c>
      <c r="M14" s="12">
        <f>'[4]Dia 12 (a)'!$P20</f>
        <v>27.3</v>
      </c>
      <c r="N14" s="12">
        <f>'[4]Dia 13 (a)'!$P20</f>
        <v>26</v>
      </c>
      <c r="O14" s="12">
        <f>'[4]Dia 14 (a)'!$P20</f>
        <v>25.7</v>
      </c>
      <c r="P14" s="12">
        <f>'[4]Dia 15 (a)'!$P20</f>
        <v>26.8</v>
      </c>
      <c r="Q14" s="12">
        <f>'[4]Dia 16 (a)'!$P20</f>
        <v>25.6</v>
      </c>
      <c r="R14" s="12">
        <f>'[4]Dia 17 (a)'!$P20</f>
        <v>23.4</v>
      </c>
      <c r="S14" s="12">
        <f>'[4]Dia 18 (a)'!$P20</f>
        <v>25.2</v>
      </c>
      <c r="T14" s="12">
        <f>'[4]Dia 19 (a)'!$P20</f>
        <v>27.7</v>
      </c>
      <c r="U14" s="12">
        <f>'[4]Dia 20 (a)'!$P20</f>
        <v>27.4</v>
      </c>
      <c r="V14" s="12">
        <f>'[4]Dia 21 (a)'!$P20</f>
        <v>29.3</v>
      </c>
      <c r="W14" s="12">
        <f>'[4]Dia 22 (a)'!$P20</f>
        <v>28.7</v>
      </c>
      <c r="X14" s="12">
        <f>'[4]Dia 23 (a)'!$P20</f>
        <v>28.4</v>
      </c>
      <c r="Y14" s="12">
        <f>'[4]Dia 24 (a)'!$P20</f>
        <v>29.5</v>
      </c>
      <c r="Z14" s="12">
        <f>'[4]Dia 25 (a)'!$P20</f>
        <v>30.8</v>
      </c>
      <c r="AA14" s="12">
        <f>'[4]Dia 26 (a)'!$P20</f>
        <v>31</v>
      </c>
      <c r="AB14" s="12">
        <f>'[4]Dia 27 (a)'!$P20</f>
        <v>32.299999999999997</v>
      </c>
      <c r="AC14" s="12">
        <f>'[4]Dia 28 (a)'!$P20</f>
        <v>32.299999999999997</v>
      </c>
      <c r="AD14" s="12">
        <f>'[4]Dia 29 (a)'!$P20</f>
        <v>23.7</v>
      </c>
      <c r="AE14" s="12">
        <f>'[4]Dia 30 (a)'!$P20</f>
        <v>22.6</v>
      </c>
      <c r="AF14" s="13"/>
      <c r="AG14" s="14"/>
    </row>
    <row r="15" spans="1:33" ht="20.100000000000001" customHeight="1">
      <c r="A15" s="11">
        <v>18</v>
      </c>
      <c r="B15" s="12">
        <f>'[4]Dia 1 (a)'!$P21</f>
        <v>21</v>
      </c>
      <c r="C15" s="12">
        <f>'[4]Dia 2 (a)'!$P21</f>
        <v>21.6</v>
      </c>
      <c r="D15" s="12">
        <f>'[4]Dia 3 (a)'!$P21</f>
        <v>25.2</v>
      </c>
      <c r="E15" s="12">
        <f>'[4]Dia 4 (a)'!$P21</f>
        <v>30</v>
      </c>
      <c r="F15" s="12">
        <f>'[4]Dia 5 (a)'!$P21</f>
        <v>23.7</v>
      </c>
      <c r="G15" s="12">
        <f>'[4]Dia 6 (a)'!$P21</f>
        <v>26.5</v>
      </c>
      <c r="H15" s="12">
        <f>'[4]Dia 7 (a)'!$P21</f>
        <v>27.2</v>
      </c>
      <c r="I15" s="12">
        <f>'[4]Dia 8 (a)'!$P21</f>
        <v>28.9</v>
      </c>
      <c r="J15" s="12">
        <f>'[4]Dia 9 (a)'!$P21</f>
        <v>30.3</v>
      </c>
      <c r="K15" s="12">
        <f>'[4]Dia 10 (a)'!$P21</f>
        <v>29.1</v>
      </c>
      <c r="L15" s="12">
        <f>'[4]Dia 11 (a)'!$P21</f>
        <v>29.3</v>
      </c>
      <c r="M15" s="12">
        <f>'[4]Dia 12 (a)'!$P21</f>
        <v>26.4</v>
      </c>
      <c r="N15" s="12">
        <f>'[4]Dia 13 (a)'!$P21</f>
        <v>26</v>
      </c>
      <c r="O15" s="12">
        <f>'[4]Dia 14 (a)'!$P21</f>
        <v>24.2</v>
      </c>
      <c r="P15" s="12">
        <f>'[4]Dia 15 (a)'!$P21</f>
        <v>25</v>
      </c>
      <c r="Q15" s="12">
        <f>'[4]Dia 16 (a)'!$P21</f>
        <v>24.5</v>
      </c>
      <c r="R15" s="12">
        <f>'[4]Dia 17 (a)'!$P21</f>
        <v>22.2</v>
      </c>
      <c r="S15" s="12">
        <f>'[4]Dia 18 (a)'!$P21</f>
        <v>23.8</v>
      </c>
      <c r="T15" s="12">
        <f>'[4]Dia 19 (a)'!$P21</f>
        <v>26.1</v>
      </c>
      <c r="U15" s="12">
        <f>'[4]Dia 20 (a)'!$P21</f>
        <v>25.9</v>
      </c>
      <c r="V15" s="12">
        <f>'[4]Dia 21 (a)'!$P21</f>
        <v>27.5</v>
      </c>
      <c r="W15" s="12">
        <f>'[4]Dia 22 (a)'!$P21</f>
        <v>27.1</v>
      </c>
      <c r="X15" s="12">
        <f>'[4]Dia 23 (a)'!$P21</f>
        <v>27.2</v>
      </c>
      <c r="Y15" s="12">
        <f>'[4]Dia 24 (a)'!$P21</f>
        <v>27.9</v>
      </c>
      <c r="Z15" s="12">
        <f>'[4]Dia 25 (a)'!$P21</f>
        <v>28.9</v>
      </c>
      <c r="AA15" s="12">
        <f>'[4]Dia 26 (a)'!$P21</f>
        <v>30</v>
      </c>
      <c r="AB15" s="12">
        <f>'[4]Dia 27 (a)'!$P21</f>
        <v>30.7</v>
      </c>
      <c r="AC15" s="12">
        <f>'[4]Dia 28 (a)'!$P21</f>
        <v>30.4</v>
      </c>
      <c r="AD15" s="12">
        <f>'[4]Dia 29 (a)'!$P21</f>
        <v>23.2</v>
      </c>
      <c r="AE15" s="12">
        <f>'[4]Dia 30 (a)'!$P21</f>
        <v>22</v>
      </c>
      <c r="AF15" s="13"/>
      <c r="AG15" s="14"/>
    </row>
    <row r="16" spans="1:33" ht="20.100000000000001" customHeight="1">
      <c r="A16" s="11">
        <v>19</v>
      </c>
      <c r="B16" s="12">
        <f>'[4]Dia 1 (a)'!$P22</f>
        <v>20.6</v>
      </c>
      <c r="C16" s="12">
        <f>'[4]Dia 2 (a)'!$P22</f>
        <v>21.2</v>
      </c>
      <c r="D16" s="12">
        <f>'[4]Dia 3 (a)'!$P22</f>
        <v>24.4</v>
      </c>
      <c r="E16" s="12">
        <f>'[4]Dia 4 (a)'!$P22</f>
        <v>28.5</v>
      </c>
      <c r="F16" s="12">
        <f>'[4]Dia 5 (a)'!$P22</f>
        <v>23.2</v>
      </c>
      <c r="G16" s="12">
        <f>'[4]Dia 6 (a)'!$P22</f>
        <v>25.4</v>
      </c>
      <c r="H16" s="12">
        <f>'[4]Dia 7 (a)'!$P22</f>
        <v>26.1</v>
      </c>
      <c r="I16" s="12">
        <f>'[4]Dia 8 (a)'!$P22</f>
        <v>27.6</v>
      </c>
      <c r="J16" s="12">
        <f>'[4]Dia 9 (a)'!$P22</f>
        <v>29</v>
      </c>
      <c r="K16" s="12">
        <f>'[4]Dia 10 (a)'!$P22</f>
        <v>27.6</v>
      </c>
      <c r="L16" s="12">
        <f>'[4]Dia 11 (a)'!$P22</f>
        <v>27.9</v>
      </c>
      <c r="M16" s="12">
        <f>'[4]Dia 12 (a)'!$P22</f>
        <v>25.7</v>
      </c>
      <c r="N16" s="12">
        <f>'[4]Dia 13 (a)'!$P22</f>
        <v>24.6</v>
      </c>
      <c r="O16" s="12">
        <f>'[4]Dia 14 (a)'!$P22</f>
        <v>23.7</v>
      </c>
      <c r="P16" s="12">
        <f>'[4]Dia 15 (a)'!$P22</f>
        <v>23.4</v>
      </c>
      <c r="Q16" s="12">
        <f>'[4]Dia 16 (a)'!$P22</f>
        <v>23.5</v>
      </c>
      <c r="R16" s="12">
        <f>'[4]Dia 17 (a)'!$P22</f>
        <v>21.3</v>
      </c>
      <c r="S16" s="12">
        <f>'[4]Dia 18 (a)'!$P22</f>
        <v>22.7</v>
      </c>
      <c r="T16" s="12">
        <f>'[4]Dia 19 (a)'!$P22</f>
        <v>25</v>
      </c>
      <c r="U16" s="12">
        <f>'[4]Dia 20 (a)'!$P22</f>
        <v>24.9</v>
      </c>
      <c r="V16" s="12">
        <f>'[4]Dia 21 (a)'!$P22</f>
        <v>25.9</v>
      </c>
      <c r="W16" s="12">
        <f>'[4]Dia 22 (a)'!$P22</f>
        <v>25.9</v>
      </c>
      <c r="X16" s="12">
        <f>'[4]Dia 23 (a)'!$P22</f>
        <v>26</v>
      </c>
      <c r="Y16" s="12">
        <f>'[4]Dia 24 (a)'!$P22</f>
        <v>26.8</v>
      </c>
      <c r="Z16" s="12">
        <f>'[4]Dia 25 (a)'!$P22</f>
        <v>27.6</v>
      </c>
      <c r="AA16" s="12">
        <f>'[4]Dia 26 (a)'!$P22</f>
        <v>28</v>
      </c>
      <c r="AB16" s="12">
        <f>'[4]Dia 27 (a)'!$P22</f>
        <v>30.5</v>
      </c>
      <c r="AC16" s="12">
        <f>'[4]Dia 28 (a)'!$P22</f>
        <v>29.3</v>
      </c>
      <c r="AD16" s="12">
        <f>'[4]Dia 29 (a)'!$P22</f>
        <v>22.8</v>
      </c>
      <c r="AE16" s="12">
        <f>'[4]Dia 30 (a)'!$P22</f>
        <v>21.7</v>
      </c>
      <c r="AF16" s="13"/>
      <c r="AG16" s="14"/>
    </row>
    <row r="17" spans="1:33" ht="20.100000000000001" customHeight="1">
      <c r="A17" s="11">
        <v>20</v>
      </c>
      <c r="B17" s="12">
        <f>'[4]Dia 1 (a)'!$P23</f>
        <v>20.399999999999999</v>
      </c>
      <c r="C17" s="12">
        <f>'[4]Dia 2 (a)'!$P23</f>
        <v>20.8</v>
      </c>
      <c r="D17" s="12">
        <f>'[4]Dia 3 (a)'!$P23</f>
        <v>23.8</v>
      </c>
      <c r="E17" s="12">
        <f>'[4]Dia 4 (a)'!$P23</f>
        <v>27.5</v>
      </c>
      <c r="F17" s="12">
        <f>'[4]Dia 5 (a)'!$P23</f>
        <v>22.9</v>
      </c>
      <c r="G17" s="12">
        <f>'[4]Dia 6 (a)'!$P23</f>
        <v>24.6</v>
      </c>
      <c r="H17" s="12">
        <f>'[4]Dia 7 (a)'!$P23</f>
        <v>24.2</v>
      </c>
      <c r="I17" s="12">
        <f>'[4]Dia 8 (a)'!$P23</f>
        <v>26.8</v>
      </c>
      <c r="J17" s="12">
        <f>'[4]Dia 9 (a)'!$P23</f>
        <v>28.1</v>
      </c>
      <c r="K17" s="12">
        <f>'[4]Dia 10 (a)'!$P23</f>
        <v>26.7</v>
      </c>
      <c r="L17" s="12">
        <f>'[4]Dia 11 (a)'!$P23</f>
        <v>27.3</v>
      </c>
      <c r="M17" s="12">
        <f>'[4]Dia 12 (a)'!$P23</f>
        <v>25.2</v>
      </c>
      <c r="N17" s="12">
        <f>'[4]Dia 13 (a)'!$P23</f>
        <v>24.2</v>
      </c>
      <c r="O17" s="12">
        <f>'[4]Dia 14 (a)'!$P23</f>
        <v>22.9</v>
      </c>
      <c r="P17" s="12">
        <f>'[4]Dia 15 (a)'!$P23</f>
        <v>22.2</v>
      </c>
      <c r="Q17" s="12">
        <f>'[4]Dia 16 (a)'!$P23</f>
        <v>22.4</v>
      </c>
      <c r="R17" s="12">
        <f>'[4]Dia 17 (a)'!$P23</f>
        <v>20.8</v>
      </c>
      <c r="S17" s="12">
        <f>'[4]Dia 18 (a)'!$P23</f>
        <v>22</v>
      </c>
      <c r="T17" s="12">
        <f>'[4]Dia 19 (a)'!$P23</f>
        <v>24.4</v>
      </c>
      <c r="U17" s="12">
        <f>'[4]Dia 20 (a)'!$P23</f>
        <v>24.1</v>
      </c>
      <c r="V17" s="12">
        <f>'[4]Dia 21 (a)'!$P23</f>
        <v>24.8</v>
      </c>
      <c r="W17" s="12">
        <f>'[4]Dia 22 (a)'!$P23</f>
        <v>24.8</v>
      </c>
      <c r="X17" s="12">
        <f>'[4]Dia 23 (a)'!$P23</f>
        <v>25</v>
      </c>
      <c r="Y17" s="12">
        <f>'[4]Dia 24 (a)'!$P23</f>
        <v>26</v>
      </c>
      <c r="Z17" s="12">
        <f>'[4]Dia 25 (a)'!$P23</f>
        <v>27</v>
      </c>
      <c r="AA17" s="12">
        <f>'[4]Dia 26 (a)'!$P23</f>
        <v>27</v>
      </c>
      <c r="AB17" s="12">
        <f>'[4]Dia 27 (a)'!$P23</f>
        <v>28.1</v>
      </c>
      <c r="AC17" s="12">
        <f>'[4]Dia 28 (a)'!$P23</f>
        <v>27.9</v>
      </c>
      <c r="AD17" s="12">
        <f>'[4]Dia 29 (a)'!$P23</f>
        <v>22.4</v>
      </c>
      <c r="AE17" s="12">
        <f>'[4]Dia 30 (a)'!$P23</f>
        <v>21.4</v>
      </c>
      <c r="AF17" s="13"/>
      <c r="AG17" s="14"/>
    </row>
    <row r="18" spans="1:33" ht="20.100000000000001" customHeight="1">
      <c r="A18" s="11">
        <v>21</v>
      </c>
      <c r="B18" s="12">
        <f>'[4]Dia 1 (a)'!$P24</f>
        <v>20.2</v>
      </c>
      <c r="C18" s="12">
        <f>'[4]Dia 2 (a)'!$P24</f>
        <v>20.6</v>
      </c>
      <c r="D18" s="12">
        <f>'[4]Dia 3 (a)'!$P24</f>
        <v>23.4</v>
      </c>
      <c r="E18" s="12">
        <f>'[4]Dia 4 (a)'!$P24</f>
        <v>26.7</v>
      </c>
      <c r="F18" s="12">
        <f>'[4]Dia 5 (a)'!$P24</f>
        <v>22.6</v>
      </c>
      <c r="G18" s="12">
        <f>'[4]Dia 6 (a)'!$P24</f>
        <v>23.8</v>
      </c>
      <c r="H18" s="12">
        <f>'[4]Dia 7 (a)'!$P24</f>
        <v>24.4</v>
      </c>
      <c r="I18" s="12">
        <f>'[4]Dia 8 (a)'!$P24</f>
        <v>26.3</v>
      </c>
      <c r="J18" s="12">
        <f>'[4]Dia 9 (a)'!$P24</f>
        <v>27.4</v>
      </c>
      <c r="K18" s="12">
        <f>'[4]Dia 10 (a)'!$P24</f>
        <v>26.2</v>
      </c>
      <c r="L18" s="12">
        <f>'[4]Dia 11 (a)'!$P24</f>
        <v>26.7</v>
      </c>
      <c r="M18" s="12">
        <f>'[4]Dia 12 (a)'!$P24</f>
        <v>24.7</v>
      </c>
      <c r="N18" s="12">
        <f>'[4]Dia 13 (a)'!$P24</f>
        <v>23.8</v>
      </c>
      <c r="O18" s="12">
        <f>'[4]Dia 14 (a)'!$P24</f>
        <v>22.4</v>
      </c>
      <c r="P18" s="12">
        <f>'[4]Dia 15 (a)'!$P24</f>
        <v>21.2</v>
      </c>
      <c r="Q18" s="12">
        <f>'[4]Dia 16 (a)'!$P24</f>
        <v>21.8</v>
      </c>
      <c r="R18" s="12">
        <f>'[4]Dia 17 (a)'!$P24</f>
        <v>19.2</v>
      </c>
      <c r="S18" s="12">
        <f>'[4]Dia 18 (a)'!$P24</f>
        <v>21.5</v>
      </c>
      <c r="T18" s="12">
        <f>'[4]Dia 19 (a)'!$P24</f>
        <v>23.6</v>
      </c>
      <c r="U18" s="12">
        <f>'[4]Dia 20 (a)'!$P24</f>
        <v>23.4</v>
      </c>
      <c r="V18" s="12">
        <f>'[4]Dia 21 (a)'!$P24</f>
        <v>23.8</v>
      </c>
      <c r="W18" s="12">
        <f>'[4]Dia 22 (a)'!$P24</f>
        <v>24</v>
      </c>
      <c r="X18" s="12">
        <f>'[4]Dia 23 (a)'!$P24</f>
        <v>24</v>
      </c>
      <c r="Y18" s="12">
        <f>'[4]Dia 24 (a)'!$P24</f>
        <v>25.4</v>
      </c>
      <c r="Z18" s="12">
        <f>'[4]Dia 25 (a)'!$P24</f>
        <v>26.4</v>
      </c>
      <c r="AA18" s="12">
        <f>'[4]Dia 26 (a)'!$P24</f>
        <v>26</v>
      </c>
      <c r="AB18" s="12">
        <f>'[4]Dia 27 (a)'!$P24</f>
        <v>27.2</v>
      </c>
      <c r="AC18" s="12">
        <f>'[4]Dia 28 (a)'!$P24</f>
        <v>27</v>
      </c>
      <c r="AD18" s="12">
        <f>'[4]Dia 29 (a)'!$P24</f>
        <v>22.4</v>
      </c>
      <c r="AE18" s="12">
        <f>'[4]Dia 30 (a)'!$P24</f>
        <v>21.2</v>
      </c>
      <c r="AF18" s="13"/>
      <c r="AG18" s="14"/>
    </row>
    <row r="19" spans="1:33" ht="20.100000000000001" customHeight="1">
      <c r="A19" s="11">
        <v>22</v>
      </c>
      <c r="B19" s="12">
        <f>'[4]Dia 1 (a)'!$P25</f>
        <v>20.100000000000001</v>
      </c>
      <c r="C19" s="12">
        <f>'[4]Dia 2 (a)'!$P25</f>
        <v>20.3</v>
      </c>
      <c r="D19" s="12">
        <f>'[4]Dia 3 (a)'!$P25</f>
        <v>23.1</v>
      </c>
      <c r="E19" s="12">
        <f>'[4]Dia 4 (a)'!$P25</f>
        <v>26.1</v>
      </c>
      <c r="F19" s="12">
        <f>'[4]Dia 5 (a)'!$P25</f>
        <v>22.3</v>
      </c>
      <c r="G19" s="12">
        <f>'[4]Dia 6 (a)'!$P25</f>
        <v>23.4</v>
      </c>
      <c r="H19" s="12">
        <f>'[4]Dia 7 (a)'!$P25</f>
        <v>23.9</v>
      </c>
      <c r="I19" s="12">
        <f>'[4]Dia 8 (a)'!$P25</f>
        <v>25.8</v>
      </c>
      <c r="J19" s="12">
        <f>'[4]Dia 9 (a)'!$P25</f>
        <v>26.7</v>
      </c>
      <c r="K19" s="12">
        <f>'[4]Dia 10 (a)'!$P25</f>
        <v>25.7</v>
      </c>
      <c r="L19" s="12">
        <f>'[4]Dia 11 (a)'!$P25</f>
        <v>25.9</v>
      </c>
      <c r="M19" s="12">
        <f>'[4]Dia 12 (a)'!$P25</f>
        <v>24.4</v>
      </c>
      <c r="N19" s="12">
        <f>'[4]Dia 13 (a)'!$P25</f>
        <v>23.5</v>
      </c>
      <c r="O19" s="12">
        <f>'[4]Dia 14 (a)'!$P25</f>
        <v>21.8</v>
      </c>
      <c r="P19" s="12">
        <f>'[4]Dia 15 (a)'!$P25</f>
        <v>20.5</v>
      </c>
      <c r="Q19" s="12">
        <f>'[4]Dia 16 (a)'!$P25</f>
        <v>21.2</v>
      </c>
      <c r="R19" s="12">
        <f>'[4]Dia 17 (a)'!$P25</f>
        <v>19.2</v>
      </c>
      <c r="S19" s="12">
        <f>'[4]Dia 18 (a)'!$P25</f>
        <v>20.9</v>
      </c>
      <c r="T19" s="12">
        <f>'[4]Dia 19 (a)'!$P25</f>
        <v>23.2</v>
      </c>
      <c r="U19" s="12">
        <f>'[4]Dia 20 (a)'!$P25</f>
        <v>23</v>
      </c>
      <c r="V19" s="12">
        <f>'[4]Dia 21 (a)'!$P25</f>
        <v>23.1</v>
      </c>
      <c r="W19" s="12">
        <f>'[4]Dia 22 (a)'!$P25</f>
        <v>23.4</v>
      </c>
      <c r="X19" s="12">
        <f>'[4]Dia 23 (a)'!$P25</f>
        <v>23.6</v>
      </c>
      <c r="Y19" s="12">
        <f>'[4]Dia 24 (a)'!$P25</f>
        <v>24.7</v>
      </c>
      <c r="Z19" s="12">
        <f>'[4]Dia 25 (a)'!$P25</f>
        <v>25.7</v>
      </c>
      <c r="AA19" s="12">
        <f>'[4]Dia 26 (a)'!$P25</f>
        <v>25.2</v>
      </c>
      <c r="AB19" s="12">
        <f>'[4]Dia 27 (a)'!$P25</f>
        <v>26.4</v>
      </c>
      <c r="AC19" s="12">
        <f>'[4]Dia 28 (a)'!$P25</f>
        <v>26.2</v>
      </c>
      <c r="AD19" s="12">
        <f>'[4]Dia 29 (a)'!$P25</f>
        <v>22</v>
      </c>
      <c r="AE19" s="12">
        <f>'[4]Dia 30 (a)'!$P25</f>
        <v>21</v>
      </c>
      <c r="AF19" s="13"/>
      <c r="AG19" s="14"/>
    </row>
    <row r="20" spans="1:33" ht="20.100000000000001" customHeight="1">
      <c r="A20" s="11">
        <v>23</v>
      </c>
      <c r="B20" s="12">
        <f>'[4]Dia 1 (a)'!$P26</f>
        <v>20</v>
      </c>
      <c r="C20" s="12">
        <f>'[4]Dia 2 (a)'!$P26</f>
        <v>20.2</v>
      </c>
      <c r="D20" s="12">
        <f>'[4]Dia 3 (a)'!$P26</f>
        <v>22.9</v>
      </c>
      <c r="E20" s="12">
        <f>'[4]Dia 4 (a)'!$P26</f>
        <v>25.3</v>
      </c>
      <c r="F20" s="12">
        <f>'[4]Dia 5 (a)'!$P26</f>
        <v>22.1</v>
      </c>
      <c r="G20" s="12">
        <f>'[4]Dia 6 (a)'!$P26</f>
        <v>23</v>
      </c>
      <c r="H20" s="12">
        <f>'[4]Dia 7 (a)'!$P26</f>
        <v>23.5</v>
      </c>
      <c r="I20" s="12">
        <f>'[4]Dia 8 (a)'!$P26</f>
        <v>25.3</v>
      </c>
      <c r="J20" s="12">
        <f>'[4]Dia 9 (a)'!$P26</f>
        <v>26.2</v>
      </c>
      <c r="K20" s="12">
        <f>'[4]Dia 10 (a)'!$P26</f>
        <v>25.2</v>
      </c>
      <c r="L20" s="12">
        <f>'[4]Dia 11 (a)'!$P26</f>
        <v>25.4</v>
      </c>
      <c r="M20" s="12">
        <f>'[4]Dia 12 (a)'!$P26</f>
        <v>24.1</v>
      </c>
      <c r="N20" s="12">
        <f>'[4]Dia 13 (a)'!$P26</f>
        <v>23.2</v>
      </c>
      <c r="O20" s="12">
        <f>'[4]Dia 14 (a)'!$P26</f>
        <v>21.4</v>
      </c>
      <c r="P20" s="12">
        <f>'[4]Dia 15 (a)'!$P26</f>
        <v>19.899999999999999</v>
      </c>
      <c r="Q20" s="12">
        <f>'[4]Dia 16 (a)'!$P26</f>
        <v>20.6</v>
      </c>
      <c r="R20" s="12">
        <f>'[4]Dia 17 (a)'!$P26</f>
        <v>18.600000000000001</v>
      </c>
      <c r="S20" s="12">
        <f>'[4]Dia 18 (a)'!$P26</f>
        <v>20.100000000000001</v>
      </c>
      <c r="T20" s="12">
        <f>'[4]Dia 19 (a)'!$P26</f>
        <v>22.6</v>
      </c>
      <c r="U20" s="12">
        <f>'[4]Dia 20 (a)'!$P26</f>
        <v>22.7</v>
      </c>
      <c r="V20" s="12">
        <f>'[4]Dia 21 (a)'!$P26</f>
        <v>22.4</v>
      </c>
      <c r="W20" s="12">
        <f>'[4]Dia 22 (a)'!$P26</f>
        <v>22.8</v>
      </c>
      <c r="X20" s="12">
        <f>'[4]Dia 23 (a)'!$P26</f>
        <v>23</v>
      </c>
      <c r="Y20" s="12">
        <f>'[4]Dia 24 (a)'!$P26</f>
        <v>24.5</v>
      </c>
      <c r="Z20" s="12">
        <f>'[4]Dia 25 (a)'!$P26</f>
        <v>24.9</v>
      </c>
      <c r="AA20" s="12">
        <f>'[4]Dia 26 (a)'!$P26</f>
        <v>24.6</v>
      </c>
      <c r="AB20" s="12">
        <f>'[4]Dia 27 (a)'!$P26</f>
        <v>25.8</v>
      </c>
      <c r="AC20" s="12">
        <f>'[4]Dia 28 (a)'!$P26</f>
        <v>25.4</v>
      </c>
      <c r="AD20" s="12">
        <f>'[4]Dia 29 (a)'!$P26</f>
        <v>21.9</v>
      </c>
      <c r="AE20" s="12">
        <f>'[4]Dia 30 (a)'!$P26</f>
        <v>20.8</v>
      </c>
      <c r="AF20" s="13"/>
      <c r="AG20" s="14"/>
    </row>
    <row r="21" spans="1:33" ht="20.100000000000001" customHeight="1" thickBot="1">
      <c r="A21" s="16">
        <v>24</v>
      </c>
      <c r="B21" s="17">
        <f>'[4]Dia 1 (a)'!$P27</f>
        <v>19.899999999999999</v>
      </c>
      <c r="C21" s="17">
        <f>'[4]Dia 2 (a)'!$P27</f>
        <v>20.100000000000001</v>
      </c>
      <c r="D21" s="17">
        <f>'[4]Dia 3 (a)'!$P27</f>
        <v>22.6</v>
      </c>
      <c r="E21" s="17">
        <f>'[4]Dia 4 (a)'!$P27</f>
        <v>24.6</v>
      </c>
      <c r="F21" s="17">
        <f>'[4]Dia 5 (a)'!$P27</f>
        <v>21.9</v>
      </c>
      <c r="G21" s="17">
        <f>'[4]Dia 6 (a)'!$P27</f>
        <v>22.6</v>
      </c>
      <c r="H21" s="17">
        <f>'[4]Dia 7 (a)'!$P27</f>
        <v>23.2</v>
      </c>
      <c r="I21" s="17">
        <f>'[4]Dia 8 (a)'!$P27</f>
        <v>24.7</v>
      </c>
      <c r="J21" s="17">
        <f>'[4]Dia 9 (a)'!$P27</f>
        <v>25.8</v>
      </c>
      <c r="K21" s="17">
        <f>'[4]Dia 10 (a)'!$P27</f>
        <v>24.7</v>
      </c>
      <c r="L21" s="17">
        <f>'[4]Dia 11 (a)'!$P27</f>
        <v>24.9</v>
      </c>
      <c r="M21" s="17">
        <f>'[4]Dia 12 (a)'!$P27</f>
        <v>23.8</v>
      </c>
      <c r="N21" s="17">
        <f>'[4]Dia 13 (a)'!$P27</f>
        <v>22.9</v>
      </c>
      <c r="O21" s="17">
        <f>'[4]Dia 14 (a)'!$P27</f>
        <v>21</v>
      </c>
      <c r="P21" s="17">
        <f>'[4]Dia 15 (a)'!$P27</f>
        <v>19.7</v>
      </c>
      <c r="Q21" s="17">
        <f>'[4]Dia 16 (a)'!$P27</f>
        <v>20.2</v>
      </c>
      <c r="R21" s="17">
        <f>'[4]Dia 17 (a)'!$P27</f>
        <v>18.3</v>
      </c>
      <c r="S21" s="17">
        <f>'[4]Dia 18 (a)'!$P27</f>
        <v>19.7</v>
      </c>
      <c r="T21" s="17">
        <f>'[4]Dia 19 (a)'!$P27</f>
        <v>21.8</v>
      </c>
      <c r="U21" s="17">
        <f>'[4]Dia 20 (a)'!$P27</f>
        <v>21.9</v>
      </c>
      <c r="V21" s="17">
        <f>'[4]Dia 21 (a)'!$P27</f>
        <v>21.7</v>
      </c>
      <c r="W21" s="17">
        <f>'[4]Dia 22 (a)'!$P27</f>
        <v>22.2</v>
      </c>
      <c r="X21" s="17">
        <f>'[4]Dia 23 (a)'!$P27</f>
        <v>22.6</v>
      </c>
      <c r="Y21" s="17">
        <f>'[4]Dia 24 (a)'!$P27</f>
        <v>24</v>
      </c>
      <c r="Z21" s="17">
        <f>'[4]Dia 25 (a)'!$P27</f>
        <v>24.3</v>
      </c>
      <c r="AA21" s="17">
        <f>'[4]Dia 26 (a)'!$P27</f>
        <v>24</v>
      </c>
      <c r="AB21" s="17">
        <f>'[4]Dia 27 (a)'!$P27</f>
        <v>25.1</v>
      </c>
      <c r="AC21" s="17">
        <f>'[4]Dia 28 (a)'!$P27</f>
        <v>24.9</v>
      </c>
      <c r="AD21" s="17">
        <f>'[4]Dia 29 (a)'!$P27</f>
        <v>21.7</v>
      </c>
      <c r="AE21" s="17">
        <f>'[4]Dia 30 (a)'!$P27</f>
        <v>20.6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45" t="s">
        <v>13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20.861111111111111</v>
      </c>
      <c r="C25" s="26">
        <f t="shared" ref="C25:AE25" si="0">AVERAGE(C4:C21)</f>
        <v>21.216666666666669</v>
      </c>
      <c r="D25" s="26">
        <f t="shared" si="0"/>
        <v>24.194444444444443</v>
      </c>
      <c r="E25" s="26">
        <f t="shared" si="0"/>
        <v>27.87777777777778</v>
      </c>
      <c r="F25" s="26">
        <f t="shared" si="0"/>
        <v>23.205555555555556</v>
      </c>
      <c r="G25" s="26">
        <f t="shared" si="0"/>
        <v>24.866666666666667</v>
      </c>
      <c r="H25" s="26">
        <f t="shared" si="0"/>
        <v>25.411111111111111</v>
      </c>
      <c r="I25" s="26">
        <f t="shared" si="0"/>
        <v>27.788888888888891</v>
      </c>
      <c r="J25" s="26">
        <f t="shared" si="0"/>
        <v>28.166666666666668</v>
      </c>
      <c r="K25" s="26">
        <f t="shared" si="0"/>
        <v>28</v>
      </c>
      <c r="L25" s="26">
        <f t="shared" si="0"/>
        <v>27.405555555555551</v>
      </c>
      <c r="M25" s="26">
        <f t="shared" si="0"/>
        <v>25.572222222222219</v>
      </c>
      <c r="N25" s="26">
        <f>AVERAGE(N4:N6,N13:N21)</f>
        <v>24.133333333333329</v>
      </c>
      <c r="O25" s="26">
        <f>AVERAGE(O4:O5,O13:O21)</f>
        <v>23.063636363636366</v>
      </c>
      <c r="P25" s="26">
        <f t="shared" si="0"/>
        <v>23.366666666666664</v>
      </c>
      <c r="Q25" s="26">
        <f t="shared" si="0"/>
        <v>22.861111111111111</v>
      </c>
      <c r="R25" s="26">
        <f t="shared" si="0"/>
        <v>21.533333333333335</v>
      </c>
      <c r="S25" s="26">
        <f>AVERAGE(S13:S21)</f>
        <v>22.511111111111109</v>
      </c>
      <c r="T25" s="26">
        <f>AVERAGE(T13:T21)</f>
        <v>24.9</v>
      </c>
      <c r="U25" s="26">
        <f>AVERAGE(U13:U21)</f>
        <v>24.677777777777777</v>
      </c>
      <c r="V25" s="26">
        <f t="shared" si="0"/>
        <v>25.488888888888894</v>
      </c>
      <c r="W25" s="26">
        <f t="shared" si="0"/>
        <v>25.066666666666666</v>
      </c>
      <c r="X25" s="26">
        <f t="shared" si="0"/>
        <v>25.472222222222221</v>
      </c>
      <c r="Y25" s="26">
        <f>AVERAGE(Y4:Y21)</f>
        <v>26.527777777777775</v>
      </c>
      <c r="Z25" s="26">
        <f>AVERAGE(Z10:Z21)</f>
        <v>28.866666666666664</v>
      </c>
      <c r="AA25" s="26">
        <f t="shared" si="0"/>
        <v>27.988888888888894</v>
      </c>
      <c r="AB25" s="26">
        <f t="shared" si="0"/>
        <v>28.533333333333335</v>
      </c>
      <c r="AC25" s="26">
        <f t="shared" si="0"/>
        <v>28.538888888888884</v>
      </c>
      <c r="AD25" s="26">
        <f t="shared" si="0"/>
        <v>22.938888888888883</v>
      </c>
      <c r="AE25" s="26">
        <f t="shared" si="0"/>
        <v>21.688888888888883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22</v>
      </c>
      <c r="C29" s="26">
        <f t="shared" ref="C29:AE29" si="1">MAX(C4:C21)</f>
        <v>22.8</v>
      </c>
      <c r="D29" s="26">
        <f t="shared" si="1"/>
        <v>28.5</v>
      </c>
      <c r="E29" s="26">
        <f t="shared" si="1"/>
        <v>33</v>
      </c>
      <c r="F29" s="26">
        <f t="shared" si="1"/>
        <v>25</v>
      </c>
      <c r="G29" s="26">
        <f t="shared" si="1"/>
        <v>29.6</v>
      </c>
      <c r="H29" s="26">
        <f t="shared" si="1"/>
        <v>30.8</v>
      </c>
      <c r="I29" s="26">
        <f t="shared" si="1"/>
        <v>33.799999999999997</v>
      </c>
      <c r="J29" s="26">
        <f t="shared" si="1"/>
        <v>34</v>
      </c>
      <c r="K29" s="26">
        <f t="shared" si="1"/>
        <v>33.700000000000003</v>
      </c>
      <c r="L29" s="26">
        <f t="shared" si="1"/>
        <v>32.6</v>
      </c>
      <c r="M29" s="26">
        <f t="shared" si="1"/>
        <v>28</v>
      </c>
      <c r="N29" s="26">
        <f t="shared" si="1"/>
        <v>26.8</v>
      </c>
      <c r="O29" s="26">
        <f t="shared" si="1"/>
        <v>26.8</v>
      </c>
      <c r="P29" s="26">
        <f t="shared" si="1"/>
        <v>29.1</v>
      </c>
      <c r="Q29" s="26">
        <f t="shared" si="1"/>
        <v>27.4</v>
      </c>
      <c r="R29" s="26">
        <f t="shared" si="1"/>
        <v>24.9</v>
      </c>
      <c r="S29" s="26">
        <f t="shared" si="1"/>
        <v>26.7</v>
      </c>
      <c r="T29" s="26">
        <f t="shared" si="1"/>
        <v>29.7</v>
      </c>
      <c r="U29" s="26">
        <f t="shared" si="1"/>
        <v>28.8</v>
      </c>
      <c r="V29" s="26">
        <f t="shared" si="1"/>
        <v>31.4</v>
      </c>
      <c r="W29" s="26">
        <f t="shared" si="1"/>
        <v>30.6</v>
      </c>
      <c r="X29" s="26">
        <f t="shared" si="1"/>
        <v>31</v>
      </c>
      <c r="Y29" s="26">
        <f>MAX(Y4:Y21)</f>
        <v>32.200000000000003</v>
      </c>
      <c r="Z29" s="26">
        <f t="shared" si="1"/>
        <v>33.200000000000003</v>
      </c>
      <c r="AA29" s="26">
        <f t="shared" si="1"/>
        <v>33.799999999999997</v>
      </c>
      <c r="AB29" s="26">
        <f t="shared" si="1"/>
        <v>34.9</v>
      </c>
      <c r="AC29" s="26">
        <f t="shared" si="1"/>
        <v>34.799999999999997</v>
      </c>
      <c r="AD29" s="26">
        <f t="shared" si="1"/>
        <v>24</v>
      </c>
      <c r="AE29" s="26">
        <f t="shared" si="1"/>
        <v>23.2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19.899999999999999</v>
      </c>
      <c r="C33" s="26">
        <f t="shared" ref="C33:AE33" si="2">MIN(C4:C21)</f>
        <v>19.399999999999999</v>
      </c>
      <c r="D33" s="26">
        <f t="shared" si="2"/>
        <v>19.899999999999999</v>
      </c>
      <c r="E33" s="26">
        <f t="shared" si="2"/>
        <v>21</v>
      </c>
      <c r="F33" s="26">
        <f t="shared" si="2"/>
        <v>21.9</v>
      </c>
      <c r="G33" s="26">
        <f t="shared" si="2"/>
        <v>19.600000000000001</v>
      </c>
      <c r="H33" s="26">
        <f t="shared" si="2"/>
        <v>20</v>
      </c>
      <c r="I33" s="26">
        <f t="shared" si="2"/>
        <v>21.6</v>
      </c>
      <c r="J33" s="26">
        <f t="shared" si="2"/>
        <v>22.5</v>
      </c>
      <c r="K33" s="26">
        <f t="shared" si="2"/>
        <v>22.4</v>
      </c>
      <c r="L33" s="26">
        <f t="shared" si="2"/>
        <v>21.4</v>
      </c>
      <c r="M33" s="26">
        <f t="shared" si="2"/>
        <v>22.3</v>
      </c>
      <c r="N33" s="26">
        <f>MIN(N4:N6,N13:N21)</f>
        <v>22.8</v>
      </c>
      <c r="O33" s="26">
        <f>MIN(O4:O5,O13:O21)</f>
        <v>21</v>
      </c>
      <c r="P33" s="26">
        <f t="shared" si="2"/>
        <v>18.5</v>
      </c>
      <c r="Q33" s="26">
        <f t="shared" si="2"/>
        <v>18.399999999999999</v>
      </c>
      <c r="R33" s="26">
        <f t="shared" si="2"/>
        <v>18.3</v>
      </c>
      <c r="S33" s="26">
        <f>MIN(S13:S21)</f>
        <v>19.7</v>
      </c>
      <c r="T33" s="26">
        <f>MIN(T13:T21)</f>
        <v>21.8</v>
      </c>
      <c r="U33" s="26">
        <f>MIN(U13:U21)</f>
        <v>21.9</v>
      </c>
      <c r="V33" s="26">
        <f t="shared" si="2"/>
        <v>18.3</v>
      </c>
      <c r="W33" s="26">
        <f t="shared" si="2"/>
        <v>18.5</v>
      </c>
      <c r="X33" s="26">
        <f t="shared" si="2"/>
        <v>20.3</v>
      </c>
      <c r="Y33" s="26">
        <f>MIN(Y4:Y21)</f>
        <v>19.5</v>
      </c>
      <c r="Z33" s="26">
        <f>MIN(Z10:Z21)</f>
        <v>24.3</v>
      </c>
      <c r="AA33" s="26">
        <f t="shared" si="2"/>
        <v>22.4</v>
      </c>
      <c r="AB33" s="26">
        <f t="shared" si="2"/>
        <v>21.4</v>
      </c>
      <c r="AC33" s="26">
        <f t="shared" si="2"/>
        <v>22</v>
      </c>
      <c r="AD33" s="26">
        <f t="shared" si="2"/>
        <v>21.7</v>
      </c>
      <c r="AE33" s="26">
        <f t="shared" si="2"/>
        <v>20.6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2.1000000000000014</v>
      </c>
      <c r="C37" s="26">
        <f t="shared" si="3"/>
        <v>3.4000000000000021</v>
      </c>
      <c r="D37" s="26">
        <f t="shared" si="3"/>
        <v>8.6000000000000014</v>
      </c>
      <c r="E37" s="26">
        <f t="shared" si="3"/>
        <v>12</v>
      </c>
      <c r="F37" s="26">
        <f t="shared" si="3"/>
        <v>3.1000000000000014</v>
      </c>
      <c r="G37" s="26">
        <f t="shared" si="3"/>
        <v>10</v>
      </c>
      <c r="H37" s="26">
        <f t="shared" si="3"/>
        <v>10.8</v>
      </c>
      <c r="I37" s="26">
        <f t="shared" si="3"/>
        <v>12.199999999999996</v>
      </c>
      <c r="J37" s="26">
        <f t="shared" si="3"/>
        <v>11.5</v>
      </c>
      <c r="K37" s="26">
        <f t="shared" si="3"/>
        <v>11.300000000000004</v>
      </c>
      <c r="L37" s="26">
        <f t="shared" si="3"/>
        <v>11.200000000000003</v>
      </c>
      <c r="M37" s="26">
        <f t="shared" si="3"/>
        <v>5.6999999999999993</v>
      </c>
      <c r="N37" s="26">
        <f t="shared" si="3"/>
        <v>4</v>
      </c>
      <c r="O37" s="26">
        <f t="shared" si="3"/>
        <v>5.8000000000000007</v>
      </c>
      <c r="P37" s="26">
        <f t="shared" si="3"/>
        <v>10.600000000000001</v>
      </c>
      <c r="Q37" s="26">
        <f t="shared" si="3"/>
        <v>9</v>
      </c>
      <c r="R37" s="26">
        <f t="shared" si="3"/>
        <v>6.5999999999999979</v>
      </c>
      <c r="S37" s="26">
        <f t="shared" si="3"/>
        <v>7</v>
      </c>
      <c r="T37" s="26">
        <f t="shared" si="3"/>
        <v>7.8999999999999986</v>
      </c>
      <c r="U37" s="26">
        <f t="shared" si="3"/>
        <v>6.9000000000000021</v>
      </c>
      <c r="V37" s="26">
        <f t="shared" si="3"/>
        <v>13.099999999999998</v>
      </c>
      <c r="W37" s="26">
        <f t="shared" si="3"/>
        <v>12.100000000000001</v>
      </c>
      <c r="X37" s="26">
        <f t="shared" si="3"/>
        <v>10.7</v>
      </c>
      <c r="Y37" s="26">
        <f t="shared" si="3"/>
        <v>12.700000000000003</v>
      </c>
      <c r="Z37" s="26">
        <f t="shared" si="3"/>
        <v>8.9000000000000021</v>
      </c>
      <c r="AA37" s="26">
        <f t="shared" si="3"/>
        <v>11.399999999999999</v>
      </c>
      <c r="AB37" s="26">
        <f t="shared" si="3"/>
        <v>13.5</v>
      </c>
      <c r="AC37" s="26">
        <f t="shared" si="3"/>
        <v>12.799999999999997</v>
      </c>
      <c r="AD37" s="26">
        <f t="shared" si="3"/>
        <v>2.3000000000000007</v>
      </c>
      <c r="AE37" s="26">
        <f t="shared" si="3"/>
        <v>2.5999999999999979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25.090824915824914</v>
      </c>
      <c r="I43" s="39"/>
      <c r="J43" s="41"/>
      <c r="K43" s="40">
        <f>MAX(B29:AF29)</f>
        <v>34.9</v>
      </c>
      <c r="L43" s="41"/>
      <c r="M43" s="41"/>
      <c r="N43" s="40">
        <f>MIN(B33:AF33)</f>
        <v>18.3</v>
      </c>
      <c r="O43" s="41"/>
      <c r="P43" s="41"/>
      <c r="Q43" s="40">
        <f>K43-N43</f>
        <v>16.599999999999998</v>
      </c>
      <c r="R43" s="39"/>
      <c r="S43" s="40"/>
      <c r="T43" s="40">
        <f>AVERAGE(B29:AF29)</f>
        <v>29.436666666666667</v>
      </c>
      <c r="U43" s="40"/>
      <c r="V43" s="40">
        <f>AVERAGE(B33:AF33)</f>
        <v>20.776666666666664</v>
      </c>
      <c r="W43" s="40"/>
      <c r="X43" s="40">
        <f>T43-V43</f>
        <v>8.6600000000000037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(a)'!$P10</f>
        <v>19.5</v>
      </c>
      <c r="C4" s="12">
        <f>'[5]Dia 2 (a)'!$P10</f>
        <v>19.600000000000001</v>
      </c>
      <c r="D4" s="12">
        <f>'[5]Dia 3 (a)'!$P10</f>
        <v>20.8</v>
      </c>
      <c r="E4" s="12">
        <f>'[5]Dia 4 (a)'!$P10</f>
        <v>21.9</v>
      </c>
      <c r="F4" s="12">
        <f>'[5]Dia 5 (a)'!$P10</f>
        <v>15</v>
      </c>
      <c r="G4" s="12">
        <f>'[5]Dia 6 (a)'!$P10</f>
        <v>17.100000000000001</v>
      </c>
      <c r="H4" s="12">
        <f>'[5]Dia 7 (a)'!$P10</f>
        <v>16.8</v>
      </c>
      <c r="I4" s="12">
        <f>'[5]Dia 8 (a)'!$P10</f>
        <v>16.3</v>
      </c>
      <c r="J4" s="12">
        <f>'[5]Dia 9 (a)'!$P10</f>
        <v>16.8</v>
      </c>
      <c r="K4" s="12">
        <f>'[5]Dia 10 (a)'!$P10</f>
        <v>17.2</v>
      </c>
      <c r="L4" s="12">
        <f>'[5]Dia 11 (a)'!$P10</f>
        <v>18</v>
      </c>
      <c r="M4" s="12">
        <f>'[5]Dia 12 (a)'!$P10</f>
        <v>18.5</v>
      </c>
      <c r="N4" s="12">
        <f>'[5]Dia 13 (a)'!$P10</f>
        <v>18.399999999999999</v>
      </c>
      <c r="O4" s="12">
        <f>'[5]Dia 14 (a)'!$P10</f>
        <v>18.8</v>
      </c>
      <c r="P4" s="12">
        <f>'[5]Dia 15 (a)'!$P10</f>
        <v>19.5</v>
      </c>
      <c r="Q4" s="12">
        <f>'[5]Dia 16 (a)'!$P10</f>
        <v>17.399999999999999</v>
      </c>
      <c r="R4" s="12">
        <f>'[5]Dia 17 (a)'!$P10</f>
        <v>16.2</v>
      </c>
      <c r="S4" s="12">
        <f>'[5]Dia 18 (a)'!$P10</f>
        <v>12.2</v>
      </c>
      <c r="T4" s="12">
        <f>'[5]Dia 19 (a)'!$P10</f>
        <v>12.5</v>
      </c>
      <c r="U4" s="12">
        <f>'[5]Dia 20 (a)'!$P10</f>
        <v>10.199999999999999</v>
      </c>
      <c r="V4" s="12">
        <f>'[5]Dia 21 (a)'!$P10</f>
        <v>13.8</v>
      </c>
      <c r="W4" s="12">
        <f>'[5]Dia 22 (a)'!$P10</f>
        <v>14</v>
      </c>
      <c r="X4" s="12">
        <f>'[5]Dia 23 (a)'!$P10</f>
        <v>13.6</v>
      </c>
      <c r="Y4" s="12">
        <f>'[5]Dia 24 (a)'!$P10</f>
        <v>15.1</v>
      </c>
      <c r="Z4" s="12">
        <f>'[5]Dia 25 (a)'!$P10</f>
        <v>15.4</v>
      </c>
      <c r="AA4" s="12">
        <f>'[5]Dia 26 (a)'!$P10</f>
        <v>15.5</v>
      </c>
      <c r="AB4" s="12">
        <f>'[5]Dia 27 (a)'!$P10</f>
        <v>16</v>
      </c>
      <c r="AC4" s="12">
        <f>'[5]Dia 28 (a)'!$P10</f>
        <v>16</v>
      </c>
      <c r="AD4" s="12">
        <f>'[5]Dia 29 (a)'!$P10</f>
        <v>15.8</v>
      </c>
      <c r="AE4" s="12">
        <f>'[5]Dia 30 (a)'!$P10</f>
        <v>19.3</v>
      </c>
      <c r="AF4" s="13">
        <f>'[5]Dia 31 (a)'!$P10</f>
        <v>18</v>
      </c>
      <c r="AG4" s="14"/>
    </row>
    <row r="5" spans="1:33" ht="20.100000000000001" customHeight="1">
      <c r="A5" s="11">
        <v>8</v>
      </c>
      <c r="B5" s="12">
        <f>'[5]Dia 1 (a)'!$P11</f>
        <v>19.7</v>
      </c>
      <c r="C5" s="12">
        <f>'[5]Dia 2 (a)'!$P11</f>
        <v>20</v>
      </c>
      <c r="D5" s="12">
        <f>'[5]Dia 3 (a)'!$P11</f>
        <v>21</v>
      </c>
      <c r="E5" s="12">
        <f>'[5]Dia 4 (a)'!$P11</f>
        <v>22</v>
      </c>
      <c r="F5" s="12">
        <f>'[5]Dia 5 (a)'!$P11</f>
        <v>15.5</v>
      </c>
      <c r="G5" s="12">
        <f>'[5]Dia 6 (a)'!$P11</f>
        <v>17.2</v>
      </c>
      <c r="H5" s="12">
        <f>'[5]Dia 7 (a)'!$P11</f>
        <v>16.899999999999999</v>
      </c>
      <c r="I5" s="12">
        <f>'[5]Dia 8 (a)'!$P11</f>
        <v>16.5</v>
      </c>
      <c r="J5" s="12">
        <f>'[5]Dia 9 (a)'!$P11</f>
        <v>17</v>
      </c>
      <c r="K5" s="12">
        <f>'[5]Dia 10 (a)'!$P11</f>
        <v>17.3</v>
      </c>
      <c r="L5" s="12">
        <f>'[5]Dia 11 (a)'!$P11</f>
        <v>18.2</v>
      </c>
      <c r="M5" s="12">
        <f>'[5]Dia 12 (a)'!$P11</f>
        <v>18.399999999999999</v>
      </c>
      <c r="N5" s="12">
        <f>'[5]Dia 13 (a)'!$P11</f>
        <v>18.399999999999999</v>
      </c>
      <c r="O5" s="12">
        <f>'[5]Dia 14 (a)'!$P11</f>
        <v>19</v>
      </c>
      <c r="P5" s="12">
        <f>'[5]Dia 15 (a)'!$P11</f>
        <v>19.5</v>
      </c>
      <c r="Q5" s="12">
        <f>'[5]Dia 16 (a)'!$P11</f>
        <v>17.7</v>
      </c>
      <c r="R5" s="12">
        <f>'[5]Dia 17 (a)'!$P11</f>
        <v>16.399999999999999</v>
      </c>
      <c r="S5" s="12">
        <f>'[5]Dia 18 (a)'!$P11</f>
        <v>12.2</v>
      </c>
      <c r="T5" s="12">
        <f>'[5]Dia 19 (a)'!$P11</f>
        <v>12.6</v>
      </c>
      <c r="U5" s="12">
        <f>'[5]Dia 20 (a)'!$P11</f>
        <v>11</v>
      </c>
      <c r="V5" s="12">
        <f>'[5]Dia 21 (a)'!$P11</f>
        <v>14</v>
      </c>
      <c r="W5" s="12">
        <f>'[5]Dia 22 (a)'!$P11</f>
        <v>14.4</v>
      </c>
      <c r="X5" s="12">
        <f>'[5]Dia 23 (a)'!$P11</f>
        <v>14</v>
      </c>
      <c r="Y5" s="43">
        <f>'[5]Dia 24 (a)'!$P11</f>
        <v>15.4</v>
      </c>
      <c r="Z5" s="12">
        <f>'[5]Dia 25 (a)'!$P11</f>
        <v>16.2</v>
      </c>
      <c r="AA5" s="12">
        <f>'[5]Dia 26 (a)'!$P11</f>
        <v>15.7</v>
      </c>
      <c r="AB5" s="12">
        <f>'[5]Dia 27 (a)'!$P11</f>
        <v>16.399999999999999</v>
      </c>
      <c r="AC5" s="12">
        <f>'[5]Dia 28 (a)'!$P11</f>
        <v>16.2</v>
      </c>
      <c r="AD5" s="12">
        <f>'[5]Dia 29 (a)'!$P11</f>
        <v>16.2</v>
      </c>
      <c r="AE5" s="12">
        <f>'[5]Dia 30 (a)'!$P11</f>
        <v>19.2</v>
      </c>
      <c r="AF5" s="13">
        <f>'[5]Dia 31 (a)'!$P11</f>
        <v>18</v>
      </c>
      <c r="AG5" s="14"/>
    </row>
    <row r="6" spans="1:33" ht="20.100000000000001" customHeight="1">
      <c r="A6" s="11">
        <v>9</v>
      </c>
      <c r="B6" s="12">
        <f>'[5]Dia 1 (a)'!$P12</f>
        <v>21.6</v>
      </c>
      <c r="C6" s="12">
        <f>'[5]Dia 2 (a)'!$P12</f>
        <v>21.4</v>
      </c>
      <c r="D6" s="12">
        <f>'[5]Dia 3 (a)'!$P12</f>
        <v>22.6</v>
      </c>
      <c r="E6" s="12">
        <f>'[5]Dia 4 (a)'!$P12</f>
        <v>21.8</v>
      </c>
      <c r="F6" s="12">
        <f>'[5]Dia 5 (a)'!$P12</f>
        <v>16.399999999999999</v>
      </c>
      <c r="G6" s="12">
        <f>'[5]Dia 6 (a)'!$P12</f>
        <v>18</v>
      </c>
      <c r="H6" s="12">
        <f>'[5]Dia 7 (a)'!$P12</f>
        <v>17.399999999999999</v>
      </c>
      <c r="I6" s="12">
        <f>'[5]Dia 8 (a)'!$P12</f>
        <v>17</v>
      </c>
      <c r="J6" s="12">
        <f>'[5]Dia 9 (a)'!$P12</f>
        <v>19.899999999999999</v>
      </c>
      <c r="K6" s="12">
        <f>'[5]Dia 10 (a)'!$P12</f>
        <v>17.7</v>
      </c>
      <c r="L6" s="12">
        <f>'[5]Dia 11 (a)'!$P12</f>
        <v>18.899999999999999</v>
      </c>
      <c r="M6" s="12">
        <f>'[5]Dia 12 (a)'!$P12</f>
        <v>19.100000000000001</v>
      </c>
      <c r="N6" s="12">
        <f>'[5]Dia 13 (a)'!$P12</f>
        <v>18.8</v>
      </c>
      <c r="O6" s="12">
        <f>'[5]Dia 14 (a)'!$P12</f>
        <v>19.5</v>
      </c>
      <c r="P6" s="12">
        <f>'[5]Dia 15 (a)'!$P12</f>
        <v>20</v>
      </c>
      <c r="Q6" s="12">
        <f>'[5]Dia 16 (a)'!$P12</f>
        <v>18.5</v>
      </c>
      <c r="R6" s="12">
        <f>'[5]Dia 17 (a)'!$P12</f>
        <v>17</v>
      </c>
      <c r="S6" s="12">
        <f>'[5]Dia 18 (a)'!$P12</f>
        <v>13</v>
      </c>
      <c r="T6" s="12">
        <f>'[5]Dia 19 (a)'!$P12</f>
        <v>13.2</v>
      </c>
      <c r="U6" s="12">
        <f>'[5]Dia 20 (a)'!$P12</f>
        <v>12</v>
      </c>
      <c r="V6" s="12">
        <f>'[5]Dia 21 (a)'!$P12</f>
        <v>14.4</v>
      </c>
      <c r="W6" s="12">
        <f>'[5]Dia 22 (a)'!$P12</f>
        <v>15.2</v>
      </c>
      <c r="X6" s="12">
        <f>'[5]Dia 23 (a)'!$P12</f>
        <v>15</v>
      </c>
      <c r="Y6" s="12">
        <f>'[5]Dia 24 (a)'!$P12</f>
        <v>16.399999999999999</v>
      </c>
      <c r="Z6" s="12">
        <f>'[5]Dia 25 (a)'!$P12</f>
        <v>16.399999999999999</v>
      </c>
      <c r="AA6" s="12">
        <f>'[5]Dia 26 (a)'!$P12</f>
        <v>16.8</v>
      </c>
      <c r="AB6" s="12">
        <f>'[5]Dia 27 (a)'!$P12</f>
        <v>17.600000000000001</v>
      </c>
      <c r="AC6" s="12">
        <f>'[5]Dia 28 (a)'!$P12</f>
        <v>17.2</v>
      </c>
      <c r="AD6" s="12">
        <f>'[5]Dia 29 (a)'!$P12</f>
        <v>17.600000000000001</v>
      </c>
      <c r="AE6" s="12">
        <f>'[5]Dia 30 (a)'!$P12</f>
        <v>19.7</v>
      </c>
      <c r="AF6" s="13">
        <f>'[5]Dia 31 (a)'!$P12</f>
        <v>18.100000000000001</v>
      </c>
      <c r="AG6" s="14"/>
    </row>
    <row r="7" spans="1:33" ht="20.100000000000001" customHeight="1">
      <c r="A7" s="11">
        <v>10</v>
      </c>
      <c r="B7" s="12">
        <f>'[5]Dia 1 (a)'!$P13</f>
        <v>23.8</v>
      </c>
      <c r="C7" s="12">
        <f>'[5]Dia 2 (a)'!$P13</f>
        <v>24</v>
      </c>
      <c r="D7" s="12">
        <f>'[5]Dia 3 (a)'!$P13</f>
        <v>24.5</v>
      </c>
      <c r="E7" s="12">
        <f>'[5]Dia 4 (a)'!$P13</f>
        <v>21.8</v>
      </c>
      <c r="F7" s="12">
        <f>'[5]Dia 5 (a)'!$P13</f>
        <v>17</v>
      </c>
      <c r="G7" s="12">
        <f>'[5]Dia 6 (a)'!$P13</f>
        <v>20.100000000000001</v>
      </c>
      <c r="H7" s="12">
        <f>'[5]Dia 7 (a)'!$P13</f>
        <v>18</v>
      </c>
      <c r="I7" s="12">
        <f>'[5]Dia 8 (a)'!$P13</f>
        <v>17.899999999999999</v>
      </c>
      <c r="J7" s="12">
        <f>'[5]Dia 9 (a)'!$P13</f>
        <v>21.8</v>
      </c>
      <c r="K7" s="12">
        <f>'[5]Dia 10 (a)'!$P13</f>
        <v>18.399999999999999</v>
      </c>
      <c r="L7" s="12">
        <f>'[5]Dia 11 (a)'!$P13</f>
        <v>20.7</v>
      </c>
      <c r="M7" s="12">
        <f>'[5]Dia 12 (a)'!$P13</f>
        <v>19.899999999999999</v>
      </c>
      <c r="N7" s="12">
        <f>'[5]Dia 13 (a)'!$P13</f>
        <v>20.2</v>
      </c>
      <c r="O7" s="12">
        <f>'[5]Dia 14 (a)'!$P13</f>
        <v>21.2</v>
      </c>
      <c r="P7" s="12">
        <f>'[5]Dia 15 (a)'!$P13</f>
        <v>20.6</v>
      </c>
      <c r="Q7" s="12">
        <f>'[5]Dia 16 (a)'!$P13</f>
        <v>19.7</v>
      </c>
      <c r="R7" s="12">
        <f>'[5]Dia 17 (a)'!$P13</f>
        <v>18.2</v>
      </c>
      <c r="S7" s="12">
        <f>'[5]Dia 18 (a)'!$P13</f>
        <v>14.9</v>
      </c>
      <c r="T7" s="12">
        <f>'[5]Dia 19 (a)'!$P13</f>
        <v>14.2</v>
      </c>
      <c r="U7" s="12">
        <f>'[5]Dia 20 (a)'!$P13</f>
        <v>14.8</v>
      </c>
      <c r="V7" s="12">
        <f>'[5]Dia 21 (a)'!$P13</f>
        <v>16.2</v>
      </c>
      <c r="W7" s="12">
        <f>'[5]Dia 22 (a)'!$P13</f>
        <v>17</v>
      </c>
      <c r="X7" s="12">
        <f>'[5]Dia 23 (a)'!$P13</f>
        <v>17</v>
      </c>
      <c r="Y7" s="12">
        <f>'[5]Dia 24 (a)'!$P13</f>
        <v>18.600000000000001</v>
      </c>
      <c r="Z7" s="12">
        <f>'[5]Dia 25 (a)'!$P13</f>
        <v>18</v>
      </c>
      <c r="AA7" s="12">
        <f>'[5]Dia 26 (a)'!$P13</f>
        <v>19.399999999999999</v>
      </c>
      <c r="AB7" s="12">
        <f>'[5]Dia 27 (a)'!$P13</f>
        <v>19.8</v>
      </c>
      <c r="AC7" s="12">
        <f>'[5]Dia 28 (a)'!$P13</f>
        <v>18.8</v>
      </c>
      <c r="AD7" s="12">
        <f>'[5]Dia 29 (a)'!$P13</f>
        <v>19.8</v>
      </c>
      <c r="AE7" s="12">
        <f>'[5]Dia 30 (a)'!$P13</f>
        <v>19.899999999999999</v>
      </c>
      <c r="AF7" s="13">
        <f>'[5]Dia 31 (a)'!$P13</f>
        <v>18.5</v>
      </c>
      <c r="AG7" s="14"/>
    </row>
    <row r="8" spans="1:33" ht="20.100000000000001" customHeight="1">
      <c r="A8" s="11">
        <v>11</v>
      </c>
      <c r="B8" s="12">
        <f>'[5]Dia 1 (a)'!$P14</f>
        <v>25.6</v>
      </c>
      <c r="C8" s="12">
        <f>'[5]Dia 2 (a)'!$P14</f>
        <v>26.6</v>
      </c>
      <c r="D8" s="12">
        <f>'[5]Dia 3 (a)'!$P14</f>
        <v>27</v>
      </c>
      <c r="E8" s="12">
        <f>'[5]Dia 4 (a)'!$P14</f>
        <v>21.5</v>
      </c>
      <c r="F8" s="12">
        <f>'[5]Dia 5 (a)'!$P14</f>
        <v>17.7</v>
      </c>
      <c r="G8" s="12">
        <f>'[5]Dia 6 (a)'!$P14</f>
        <v>21.2</v>
      </c>
      <c r="H8" s="12">
        <f>'[5]Dia 7 (a)'!$P14</f>
        <v>19</v>
      </c>
      <c r="I8" s="12">
        <f>'[5]Dia 8 (a)'!$P14</f>
        <v>19</v>
      </c>
      <c r="J8" s="12">
        <f>'[5]Dia 9 (a)'!$P14</f>
        <v>22.1</v>
      </c>
      <c r="K8" s="12">
        <f>'[5]Dia 10 (a)'!$P14</f>
        <v>20.2</v>
      </c>
      <c r="L8" s="12">
        <f>'[5]Dia 11 (a)'!$P14</f>
        <v>23</v>
      </c>
      <c r="M8" s="12">
        <f>'[5]Dia 12 (a)'!$P14</f>
        <v>21.4</v>
      </c>
      <c r="N8" s="12">
        <f>'[5]Dia 13 (a)'!$P14</f>
        <v>22.5</v>
      </c>
      <c r="O8" s="12">
        <f>'[5]Dia 14 (a)'!$P14</f>
        <v>24</v>
      </c>
      <c r="P8" s="12">
        <f>'[5]Dia 15 (a)'!$P14</f>
        <v>21.4</v>
      </c>
      <c r="Q8" s="12">
        <f>'[5]Dia 16 (a)'!$P14</f>
        <v>20.8</v>
      </c>
      <c r="R8" s="12">
        <f>'[5]Dia 17 (a)'!$P14</f>
        <v>20.2</v>
      </c>
      <c r="S8" s="12">
        <f>'[5]Dia 18 (a)'!$P14</f>
        <v>17.2</v>
      </c>
      <c r="T8" s="12">
        <f>'[5]Dia 19 (a)'!$P14</f>
        <v>16</v>
      </c>
      <c r="U8" s="12">
        <f>'[5]Dia 20 (a)'!$P14</f>
        <v>16</v>
      </c>
      <c r="V8" s="12">
        <f>'[5]Dia 21 (a)'!$P14</f>
        <v>18.8</v>
      </c>
      <c r="W8" s="12">
        <f>'[5]Dia 22 (a)'!$P14</f>
        <v>19.399999999999999</v>
      </c>
      <c r="X8" s="12">
        <f>'[5]Dia 23 (a)'!$P14</f>
        <v>19.8</v>
      </c>
      <c r="Y8" s="12">
        <f>'[5]Dia 24 (a)'!$P14</f>
        <v>21.3</v>
      </c>
      <c r="Z8" s="12">
        <f>'[5]Dia 25 (a)'!$P14</f>
        <v>20.2</v>
      </c>
      <c r="AA8" s="12">
        <f>'[5]Dia 26 (a)'!$P14</f>
        <v>21.9</v>
      </c>
      <c r="AB8" s="12">
        <f>'[5]Dia 27 (a)'!$P14</f>
        <v>22.2</v>
      </c>
      <c r="AC8" s="12">
        <f>'[5]Dia 28 (a)'!$P14</f>
        <v>21.4</v>
      </c>
      <c r="AD8" s="12">
        <f>'[5]Dia 29 (a)'!$P14</f>
        <v>22.4</v>
      </c>
      <c r="AE8" s="12">
        <f>'[5]Dia 30 (a)'!$P14</f>
        <v>20.5</v>
      </c>
      <c r="AF8" s="13">
        <f>'[5]Dia 31 (a)'!$P14</f>
        <v>18.7</v>
      </c>
      <c r="AG8" s="14"/>
    </row>
    <row r="9" spans="1:33" ht="20.100000000000001" customHeight="1">
      <c r="A9" s="11">
        <v>12</v>
      </c>
      <c r="B9" s="12">
        <f>'[5]Dia 1 (a)'!$P15</f>
        <v>27.5</v>
      </c>
      <c r="C9" s="12">
        <f>'[5]Dia 2 (a)'!$P15</f>
        <v>28.8</v>
      </c>
      <c r="D9" s="12">
        <f>'[5]Dia 3 (a)'!$P15</f>
        <v>29.6</v>
      </c>
      <c r="E9" s="12">
        <f>'[5]Dia 4 (a)'!$P15</f>
        <v>21.4</v>
      </c>
      <c r="F9" s="12">
        <f>'[5]Dia 5 (a)'!$P15</f>
        <v>18.399999999999999</v>
      </c>
      <c r="G9" s="12">
        <f>'[5]Dia 6 (a)'!$P15</f>
        <v>21.2</v>
      </c>
      <c r="H9" s="12">
        <f>'[5]Dia 7 (a)'!$P15</f>
        <v>19.8</v>
      </c>
      <c r="I9" s="12">
        <f>'[5]Dia 8 (a)'!$P15</f>
        <v>20.6</v>
      </c>
      <c r="J9" s="12">
        <f>'[5]Dia 9 (a)'!$P15</f>
        <v>23.5</v>
      </c>
      <c r="K9" s="12">
        <f>'[5]Dia 10 (a)'!$P15</f>
        <v>23</v>
      </c>
      <c r="L9" s="12">
        <f>'[5]Dia 11 (a)'!$P15</f>
        <v>24.8</v>
      </c>
      <c r="M9" s="12">
        <f>'[5]Dia 12 (a)'!$P15</f>
        <v>22.8</v>
      </c>
      <c r="N9" s="12">
        <f>'[5]Dia 13 (a)'!$P15</f>
        <v>23.9</v>
      </c>
      <c r="O9" s="12">
        <f>'[5]Dia 14 (a)'!$P15</f>
        <v>26.3</v>
      </c>
      <c r="P9" s="12">
        <f>'[5]Dia 15 (a)'!$P15</f>
        <v>22.4</v>
      </c>
      <c r="Q9" s="12">
        <f>'[5]Dia 16 (a)'!$P15</f>
        <v>21.1</v>
      </c>
      <c r="R9" s="12">
        <f>'[5]Dia 17 (a)'!$P15</f>
        <v>22</v>
      </c>
      <c r="S9" s="12">
        <f>'[5]Dia 18 (a)'!$P15</f>
        <v>18.399999999999999</v>
      </c>
      <c r="T9" s="12">
        <f>'[5]Dia 19 (a)'!$P15</f>
        <v>18</v>
      </c>
      <c r="U9" s="12">
        <f>'[5]Dia 20 (a)'!$P15</f>
        <v>17.399999999999999</v>
      </c>
      <c r="V9" s="12">
        <f>'[5]Dia 21 (a)'!$P15</f>
        <v>22.1</v>
      </c>
      <c r="W9" s="12">
        <f>'[5]Dia 22 (a)'!$P15</f>
        <v>22.6</v>
      </c>
      <c r="X9" s="12">
        <f>'[5]Dia 23 (a)'!$P15</f>
        <v>22.2</v>
      </c>
      <c r="Y9" s="12">
        <f>'[5]Dia 24 (a)'!$P15</f>
        <v>24.1</v>
      </c>
      <c r="Z9" s="12">
        <f>'[5]Dia 25 (a)'!$P15</f>
        <v>22</v>
      </c>
      <c r="AA9" s="12">
        <f>'[5]Dia 26 (a)'!$P15</f>
        <v>24.4</v>
      </c>
      <c r="AB9" s="12">
        <f>'[5]Dia 27 (a)'!$P15</f>
        <v>24.6</v>
      </c>
      <c r="AC9" s="12">
        <f>'[5]Dia 28 (a)'!$P15</f>
        <v>23.8</v>
      </c>
      <c r="AD9" s="12">
        <f>'[5]Dia 29 (a)'!$P15</f>
        <v>24.8</v>
      </c>
      <c r="AE9" s="12">
        <f>'[5]Dia 30 (a)'!$P15</f>
        <v>21.2</v>
      </c>
      <c r="AF9" s="13">
        <f>'[5]Dia 31 (a)'!$P15</f>
        <v>18.7</v>
      </c>
      <c r="AG9" s="14"/>
    </row>
    <row r="10" spans="1:33" ht="20.100000000000001" customHeight="1">
      <c r="A10" s="11">
        <v>13</v>
      </c>
      <c r="B10" s="12">
        <f>'[5]Dia 1 (a)'!$P16</f>
        <v>29.5</v>
      </c>
      <c r="C10" s="12">
        <f>'[5]Dia 2 (a)'!$P16</f>
        <v>30.2</v>
      </c>
      <c r="D10" s="12">
        <f>'[5]Dia 3 (a)'!$P16</f>
        <v>31.4</v>
      </c>
      <c r="E10" s="12">
        <f>'[5]Dia 4 (a)'!$P16</f>
        <v>22.6</v>
      </c>
      <c r="F10" s="12">
        <f>'[5]Dia 5 (a)'!$P16</f>
        <v>19.399999999999999</v>
      </c>
      <c r="G10" s="12">
        <f>'[5]Dia 6 (a)'!$P16</f>
        <v>21.2</v>
      </c>
      <c r="H10" s="12">
        <f>'[5]Dia 7 (a)'!$P16</f>
        <v>19.7</v>
      </c>
      <c r="I10" s="12">
        <f>'[5]Dia 8 (a)'!$P16</f>
        <v>22.3</v>
      </c>
      <c r="J10" s="12">
        <f>'[5]Dia 9 (a)'!$P16</f>
        <v>25.2</v>
      </c>
      <c r="K10" s="12">
        <f>'[5]Dia 10 (a)'!$P16</f>
        <v>25.6</v>
      </c>
      <c r="L10" s="12">
        <f>'[5]Dia 11 (a)'!$P16</f>
        <v>26.3</v>
      </c>
      <c r="M10" s="12">
        <f>'[5]Dia 12 (a)'!$P16</f>
        <v>24.3</v>
      </c>
      <c r="N10" s="12">
        <f>'[5]Dia 13 (a)'!$P16</f>
        <v>25.6</v>
      </c>
      <c r="O10" s="12">
        <f>'[5]Dia 14 (a)'!$P16</f>
        <v>28.7</v>
      </c>
      <c r="P10" s="12">
        <f>'[5]Dia 15 (a)'!$P16</f>
        <v>23.4</v>
      </c>
      <c r="Q10" s="12">
        <f>'[5]Dia 16 (a)'!$P16</f>
        <v>22.4</v>
      </c>
      <c r="R10" s="12">
        <f>'[5]Dia 17 (a)'!$P16</f>
        <v>24</v>
      </c>
      <c r="S10" s="12">
        <f>'[5]Dia 18 (a)'!$P16</f>
        <v>20.2</v>
      </c>
      <c r="T10" s="12">
        <f>'[5]Dia 19 (a)'!$P16</f>
        <v>18.2</v>
      </c>
      <c r="U10" s="12">
        <f>'[5]Dia 20 (a)'!$P16</f>
        <v>19</v>
      </c>
      <c r="V10" s="12">
        <f>'[5]Dia 21 (a)'!$P16</f>
        <v>24</v>
      </c>
      <c r="W10" s="12">
        <f>'[5]Dia 22 (a)'!$P16</f>
        <v>24.8</v>
      </c>
      <c r="X10" s="12">
        <f>'[5]Dia 23 (a)'!$P16</f>
        <v>24.4</v>
      </c>
      <c r="Y10" s="12">
        <f>'[5]Dia 24 (a)'!$P16</f>
        <v>26.6</v>
      </c>
      <c r="Z10" s="12">
        <f>'[5]Dia 25 (a)'!$P16</f>
        <v>24.6</v>
      </c>
      <c r="AA10" s="12">
        <f>'[5]Dia 26 (a)'!$P16</f>
        <v>25.4</v>
      </c>
      <c r="AB10" s="12">
        <f>'[5]Dia 27 (a)'!$P16</f>
        <v>26.2</v>
      </c>
      <c r="AC10" s="12">
        <f>'[5]Dia 28 (a)'!$P16</f>
        <v>26.4</v>
      </c>
      <c r="AD10" s="12">
        <f>'[5]Dia 29 (a)'!$P16</f>
        <v>26.8</v>
      </c>
      <c r="AE10" s="12">
        <f>'[5]Dia 30 (a)'!$P16</f>
        <v>21.4</v>
      </c>
      <c r="AF10" s="13">
        <f>'[5]Dia 31 (a)'!$P16</f>
        <v>18.8</v>
      </c>
      <c r="AG10" s="14"/>
    </row>
    <row r="11" spans="1:33" ht="20.100000000000001" customHeight="1">
      <c r="A11" s="11">
        <v>14</v>
      </c>
      <c r="B11" s="12">
        <f>'[5]Dia 1 (a)'!$P17</f>
        <v>30.1</v>
      </c>
      <c r="C11" s="12">
        <f>'[5]Dia 2 (a)'!$P17</f>
        <v>29.4</v>
      </c>
      <c r="D11" s="12">
        <f>'[5]Dia 3 (a)'!$P17</f>
        <v>31.8</v>
      </c>
      <c r="E11" s="12">
        <f>'[5]Dia 4 (a)'!$P17</f>
        <v>23.4</v>
      </c>
      <c r="F11" s="12">
        <f>'[5]Dia 5 (a)'!$P17</f>
        <v>20</v>
      </c>
      <c r="G11" s="12">
        <f>'[5]Dia 6 (a)'!$P17</f>
        <v>21.9</v>
      </c>
      <c r="H11" s="12">
        <f>'[5]Dia 7 (a)'!$P17</f>
        <v>19.5</v>
      </c>
      <c r="I11" s="12">
        <f>'[5]Dia 8 (a)'!$P17</f>
        <v>22</v>
      </c>
      <c r="J11" s="12">
        <f>'[5]Dia 9 (a)'!$P17</f>
        <v>25</v>
      </c>
      <c r="K11" s="12">
        <f>'[5]Dia 10 (a)'!$P17</f>
        <v>27.7</v>
      </c>
      <c r="L11" s="12">
        <f>'[5]Dia 11 (a)'!$P17</f>
        <v>27</v>
      </c>
      <c r="M11" s="12">
        <f>'[5]Dia 12 (a)'!$P17</f>
        <v>25.7</v>
      </c>
      <c r="N11" s="12">
        <f>'[5]Dia 13 (a)'!$P17</f>
        <v>26.6</v>
      </c>
      <c r="O11" s="12">
        <f>'[5]Dia 14 (a)'!$P17</f>
        <v>29.4</v>
      </c>
      <c r="P11" s="12">
        <f>'[5]Dia 15 (a)'!$P17</f>
        <v>22.8</v>
      </c>
      <c r="Q11" s="12">
        <f>'[5]Dia 16 (a)'!$P17</f>
        <v>23.5</v>
      </c>
      <c r="R11" s="12">
        <f>'[5]Dia 17 (a)'!$P17</f>
        <v>25.3</v>
      </c>
      <c r="S11" s="12">
        <f>'[5]Dia 18 (a)'!$P17</f>
        <v>21</v>
      </c>
      <c r="T11" s="12">
        <f>'[5]Dia 19 (a)'!$P17</f>
        <v>18.399999999999999</v>
      </c>
      <c r="U11" s="12">
        <f>'[5]Dia 20 (a)'!$P17</f>
        <v>20.8</v>
      </c>
      <c r="V11" s="12">
        <f>'[5]Dia 21 (a)'!$P17</f>
        <v>25.3</v>
      </c>
      <c r="W11" s="12">
        <f>'[5]Dia 22 (a)'!$P17</f>
        <v>26.4</v>
      </c>
      <c r="X11" s="12">
        <f>'[5]Dia 23 (a)'!$P17</f>
        <v>26</v>
      </c>
      <c r="Y11" s="12">
        <f>'[5]Dia 24 (a)'!$P17</f>
        <v>27.8</v>
      </c>
      <c r="Z11" s="12">
        <f>'[5]Dia 25 (a)'!$P17</f>
        <v>26.8</v>
      </c>
      <c r="AA11" s="12">
        <f>'[5]Dia 26 (a)'!$P17</f>
        <v>26.9</v>
      </c>
      <c r="AB11" s="12">
        <f>'[5]Dia 27 (a)'!$P17</f>
        <v>27.8</v>
      </c>
      <c r="AC11" s="12">
        <f>'[5]Dia 28 (a)'!$P17</f>
        <v>27.8</v>
      </c>
      <c r="AD11" s="12">
        <f>'[5]Dia 29 (a)'!$P17</f>
        <v>28</v>
      </c>
      <c r="AE11" s="12">
        <f>'[5]Dia 30 (a)'!$P17</f>
        <v>21.8</v>
      </c>
      <c r="AF11" s="13">
        <f>'[5]Dia 31 (a)'!$P17</f>
        <v>18.899999999999999</v>
      </c>
      <c r="AG11" s="14"/>
    </row>
    <row r="12" spans="1:33" ht="20.100000000000001" customHeight="1">
      <c r="A12" s="11">
        <v>15</v>
      </c>
      <c r="B12" s="12">
        <f>'[5]Dia 1 (a)'!$P18</f>
        <v>30.1</v>
      </c>
      <c r="C12" s="12">
        <f>'[5]Dia 2 (a)'!$P18</f>
        <v>28.6</v>
      </c>
      <c r="D12" s="12">
        <f>'[5]Dia 3 (a)'!$P18</f>
        <v>31.7</v>
      </c>
      <c r="E12" s="12">
        <f>'[5]Dia 4 (a)'!$P18</f>
        <v>23.1</v>
      </c>
      <c r="F12" s="12">
        <f>'[5]Dia 5 (a)'!$P18</f>
        <v>20.100000000000001</v>
      </c>
      <c r="G12" s="12">
        <f>'[5]Dia 6 (a)'!$P18</f>
        <v>23</v>
      </c>
      <c r="H12" s="12">
        <f>'[5]Dia 7 (a)'!$P18</f>
        <v>19.399999999999999</v>
      </c>
      <c r="I12" s="12">
        <f>'[5]Dia 8 (a)'!$P18</f>
        <v>21.6</v>
      </c>
      <c r="J12" s="12">
        <f>'[5]Dia 9 (a)'!$P18</f>
        <v>25.4</v>
      </c>
      <c r="K12" s="12">
        <f>'[5]Dia 10 (a)'!$P18</f>
        <v>28.1</v>
      </c>
      <c r="L12" s="12">
        <f>'[5]Dia 11 (a)'!$P18</f>
        <v>26</v>
      </c>
      <c r="M12" s="12">
        <f>'[5]Dia 12 (a)'!$P18</f>
        <v>24.9</v>
      </c>
      <c r="N12" s="12">
        <f>'[5]Dia 13 (a)'!$P18</f>
        <v>27.2</v>
      </c>
      <c r="O12" s="12">
        <f>'[5]Dia 14 (a)'!$P18</f>
        <v>29.8</v>
      </c>
      <c r="P12" s="12">
        <f>'[5]Dia 15 (a)'!$P18</f>
        <v>22.8</v>
      </c>
      <c r="Q12" s="12">
        <f>'[5]Dia 16 (a)'!$P18</f>
        <v>24.4</v>
      </c>
      <c r="R12" s="12">
        <f>'[5]Dia 17 (a)'!$P18</f>
        <v>25.6</v>
      </c>
      <c r="S12" s="12">
        <f>'[5]Dia 18 (a)'!$P18</f>
        <v>21</v>
      </c>
      <c r="T12" s="12">
        <f>'[5]Dia 19 (a)'!$P18</f>
        <v>18</v>
      </c>
      <c r="U12" s="12">
        <f>'[5]Dia 20 (a)'!$P18</f>
        <v>21.4</v>
      </c>
      <c r="V12" s="12">
        <f>'[5]Dia 21 (a)'!$P18</f>
        <v>25.1</v>
      </c>
      <c r="W12" s="12">
        <f>'[5]Dia 22 (a)'!$P18</f>
        <v>26.4</v>
      </c>
      <c r="X12" s="12">
        <f>'[5]Dia 23 (a)'!$P18</f>
        <v>26</v>
      </c>
      <c r="Y12" s="12">
        <f>'[5]Dia 24 (a)'!$P18</f>
        <v>27.9</v>
      </c>
      <c r="Z12" s="12">
        <f>'[5]Dia 25 (a)'!$P18</f>
        <v>27</v>
      </c>
      <c r="AA12" s="12">
        <f>'[5]Dia 26 (a)'!$P18</f>
        <v>27.4</v>
      </c>
      <c r="AB12" s="12">
        <f>'[5]Dia 27 (a)'!$P18</f>
        <v>27.9</v>
      </c>
      <c r="AC12" s="12">
        <f>'[5]Dia 28 (a)'!$P18</f>
        <v>28</v>
      </c>
      <c r="AD12" s="12">
        <f>'[5]Dia 29 (a)'!$P18</f>
        <v>28</v>
      </c>
      <c r="AE12" s="12">
        <f>'[5]Dia 30 (a)'!$P18</f>
        <v>21.9</v>
      </c>
      <c r="AF12" s="13">
        <f>'[5]Dia 31 (a)'!$P18</f>
        <v>18.8</v>
      </c>
      <c r="AG12" s="14"/>
    </row>
    <row r="13" spans="1:33" ht="20.100000000000001" customHeight="1">
      <c r="A13" s="11">
        <v>16</v>
      </c>
      <c r="B13" s="12">
        <f>'[5]Dia 1 (a)'!$P19</f>
        <v>29.2</v>
      </c>
      <c r="C13" s="12">
        <f>'[5]Dia 2 (a)'!$P19</f>
        <v>28</v>
      </c>
      <c r="D13" s="12">
        <f>'[5]Dia 3 (a)'!$P19</f>
        <v>30.8</v>
      </c>
      <c r="E13" s="12">
        <f>'[5]Dia 4 (a)'!$P19</f>
        <v>22.2</v>
      </c>
      <c r="F13" s="12">
        <f>'[5]Dia 5 (a)'!$P19</f>
        <v>20</v>
      </c>
      <c r="G13" s="12">
        <f>'[5]Dia 6 (a)'!$P19</f>
        <v>22.6</v>
      </c>
      <c r="H13" s="12">
        <f>'[5]Dia 7 (a)'!$P19</f>
        <v>19.3</v>
      </c>
      <c r="I13" s="12">
        <f>'[5]Dia 8 (a)'!$P19</f>
        <v>21.2</v>
      </c>
      <c r="J13" s="12">
        <f>'[5]Dia 9 (a)'!$P19</f>
        <v>25.4</v>
      </c>
      <c r="K13" s="12">
        <f>'[5]Dia 10 (a)'!$P19</f>
        <v>27.6</v>
      </c>
      <c r="L13" s="12">
        <f>'[5]Dia 11 (a)'!$P19</f>
        <v>25.4</v>
      </c>
      <c r="M13" s="12">
        <f>'[5]Dia 12 (a)'!$P19</f>
        <v>24.2</v>
      </c>
      <c r="N13" s="12">
        <f>'[5]Dia 13 (a)'!$P19</f>
        <v>26.5</v>
      </c>
      <c r="O13" s="12">
        <f>'[5]Dia 14 (a)'!$P19</f>
        <v>28.4</v>
      </c>
      <c r="P13" s="12">
        <f>'[5]Dia 15 (a)'!$P19</f>
        <v>22.8</v>
      </c>
      <c r="Q13" s="12">
        <f>'[5]Dia 16 (a)'!$P19</f>
        <v>24.4</v>
      </c>
      <c r="R13" s="12">
        <f>'[5]Dia 17 (a)'!$P19</f>
        <v>24.5</v>
      </c>
      <c r="S13" s="12">
        <f>'[5]Dia 18 (a)'!$P19</f>
        <v>20.3</v>
      </c>
      <c r="T13" s="12">
        <f>'[5]Dia 19 (a)'!$P19</f>
        <v>17.8</v>
      </c>
      <c r="U13" s="12">
        <f>'[5]Dia 20 (a)'!$P19</f>
        <v>20.9</v>
      </c>
      <c r="V13" s="12">
        <f>'[5]Dia 21 (a)'!$P19</f>
        <v>26.1</v>
      </c>
      <c r="W13" s="12">
        <f>'[5]Dia 22 (a)'!$P19</f>
        <v>25.8</v>
      </c>
      <c r="X13" s="12">
        <f>'[5]Dia 23 (a)'!$P19</f>
        <v>25.6</v>
      </c>
      <c r="Y13" s="12">
        <f>'[5]Dia 24 (a)'!$P19</f>
        <v>27.1</v>
      </c>
      <c r="Z13" s="12">
        <f>'[5]Dia 25 (a)'!$P19</f>
        <v>26.4</v>
      </c>
      <c r="AA13" s="12">
        <f>'[5]Dia 26 (a)'!$P19</f>
        <v>26.8</v>
      </c>
      <c r="AB13" s="12">
        <f>'[5]Dia 27 (a)'!$P19</f>
        <v>27.1</v>
      </c>
      <c r="AC13" s="12">
        <f>'[5]Dia 28 (a)'!$P19</f>
        <v>27</v>
      </c>
      <c r="AD13" s="12">
        <f>'[5]Dia 29 (a)'!$P19</f>
        <v>27.2</v>
      </c>
      <c r="AE13" s="12">
        <f>'[5]Dia 30 (a)'!$P19</f>
        <v>21.8</v>
      </c>
      <c r="AF13" s="13">
        <f>'[5]Dia 31 (a)'!$P19</f>
        <v>18.7</v>
      </c>
      <c r="AG13" s="14"/>
    </row>
    <row r="14" spans="1:33" ht="20.100000000000001" customHeight="1">
      <c r="A14" s="11">
        <v>17</v>
      </c>
      <c r="B14" s="12">
        <f>'[5]Dia 1 (a)'!$P20</f>
        <v>28.2</v>
      </c>
      <c r="C14" s="12">
        <f>'[5]Dia 2 (a)'!$P20</f>
        <v>26.6</v>
      </c>
      <c r="D14" s="12">
        <f>'[5]Dia 3 (a)'!$P20</f>
        <v>29</v>
      </c>
      <c r="E14" s="12">
        <f>'[5]Dia 4 (a)'!$P20</f>
        <v>21</v>
      </c>
      <c r="F14" s="12">
        <f>'[5]Dia 5 (a)'!$P20</f>
        <v>19.8</v>
      </c>
      <c r="G14" s="12">
        <f>'[5]Dia 6 (a)'!$P20</f>
        <v>21.7</v>
      </c>
      <c r="H14" s="12">
        <f>'[5]Dia 7 (a)'!$P20</f>
        <v>19</v>
      </c>
      <c r="I14" s="12">
        <f>'[5]Dia 8 (a)'!$P20</f>
        <v>20.6</v>
      </c>
      <c r="J14" s="12">
        <f>'[5]Dia 9 (a)'!$P20</f>
        <v>23.9</v>
      </c>
      <c r="K14" s="12">
        <f>'[5]Dia 10 (a)'!$P20</f>
        <v>26</v>
      </c>
      <c r="L14" s="12">
        <f>'[5]Dia 11 (a)'!$P20</f>
        <v>24.4</v>
      </c>
      <c r="M14" s="12">
        <f>'[5]Dia 12 (a)'!$P20</f>
        <v>22.9</v>
      </c>
      <c r="N14" s="12">
        <f>'[5]Dia 13 (a)'!$P20</f>
        <v>25</v>
      </c>
      <c r="O14" s="12">
        <f>'[5]Dia 14 (a)'!$P20</f>
        <v>26.6</v>
      </c>
      <c r="P14" s="12">
        <f>'[5]Dia 15 (a)'!$P20</f>
        <v>22.2</v>
      </c>
      <c r="Q14" s="12">
        <f>'[5]Dia 16 (a)'!$P20</f>
        <v>23.2</v>
      </c>
      <c r="R14" s="12">
        <f>'[5]Dia 17 (a)'!$P20</f>
        <v>22.4</v>
      </c>
      <c r="S14" s="12">
        <f>'[5]Dia 18 (a)'!$P20</f>
        <v>19</v>
      </c>
      <c r="T14" s="12">
        <f>'[5]Dia 19 (a)'!$P20</f>
        <v>17.2</v>
      </c>
      <c r="U14" s="12">
        <f>'[5]Dia 20 (a)'!$P20</f>
        <v>19.7</v>
      </c>
      <c r="V14" s="12">
        <f>'[5]Dia 21 (a)'!$P20</f>
        <v>22.5</v>
      </c>
      <c r="W14" s="12">
        <f>'[5]Dia 22 (a)'!$P20</f>
        <v>24.2</v>
      </c>
      <c r="X14" s="12">
        <f>'[5]Dia 23 (a)'!$P20</f>
        <v>24.5</v>
      </c>
      <c r="Y14" s="12">
        <f>'[5]Dia 24 (a)'!$P20</f>
        <v>25.4</v>
      </c>
      <c r="Z14" s="12">
        <f>'[5]Dia 25 (a)'!$P20</f>
        <v>25.1</v>
      </c>
      <c r="AA14" s="12">
        <f>'[5]Dia 26 (a)'!$P20</f>
        <v>25.2</v>
      </c>
      <c r="AB14" s="12">
        <f>'[5]Dia 27 (a)'!$P20</f>
        <v>25.6</v>
      </c>
      <c r="AC14" s="12">
        <f>'[5]Dia 28 (a)'!$P20</f>
        <v>25.8</v>
      </c>
      <c r="AD14" s="12">
        <f>'[5]Dia 29 (a)'!$P20</f>
        <v>26</v>
      </c>
      <c r="AE14" s="12">
        <f>'[5]Dia 30 (a)'!$P20</f>
        <v>21.4</v>
      </c>
      <c r="AF14" s="13">
        <f>'[5]Dia 31 (a)'!$P20</f>
        <v>18.399999999999999</v>
      </c>
      <c r="AG14" s="14"/>
    </row>
    <row r="15" spans="1:33" ht="20.100000000000001" customHeight="1">
      <c r="A15" s="11">
        <v>18</v>
      </c>
      <c r="B15" s="12">
        <f>'[5]Dia 1 (a)'!$P21</f>
        <v>26</v>
      </c>
      <c r="C15" s="12">
        <f>'[5]Dia 2 (a)'!$P21</f>
        <v>25.8</v>
      </c>
      <c r="D15" s="12">
        <f>'[5]Dia 3 (a)'!$P21</f>
        <v>28</v>
      </c>
      <c r="E15" s="12">
        <f>'[5]Dia 4 (a)'!$P21</f>
        <v>20.6</v>
      </c>
      <c r="F15" s="12">
        <f>'[5]Dia 5 (a)'!$P21</f>
        <v>19.3</v>
      </c>
      <c r="G15" s="12">
        <f>'[5]Dia 6 (a)'!$P21</f>
        <v>20.6</v>
      </c>
      <c r="H15" s="12">
        <f>'[5]Dia 7 (a)'!$P21</f>
        <v>18.5</v>
      </c>
      <c r="I15" s="12">
        <f>'[5]Dia 8 (a)'!$P21</f>
        <v>20</v>
      </c>
      <c r="J15" s="12">
        <f>'[5]Dia 9 (a)'!$P21</f>
        <v>22.6</v>
      </c>
      <c r="K15" s="12">
        <f>'[5]Dia 10 (a)'!$P21</f>
        <v>24</v>
      </c>
      <c r="L15" s="12">
        <f>'[5]Dia 11 (a)'!$P21</f>
        <v>23.6</v>
      </c>
      <c r="M15" s="12">
        <f>'[5]Dia 12 (a)'!$P21</f>
        <v>21.9</v>
      </c>
      <c r="N15" s="12">
        <f>'[5]Dia 13 (a)'!$P21</f>
        <v>23.7</v>
      </c>
      <c r="O15" s="12">
        <f>'[5]Dia 14 (a)'!$P21</f>
        <v>25.2</v>
      </c>
      <c r="P15" s="12">
        <f>'[5]Dia 15 (a)'!$P21</f>
        <v>21</v>
      </c>
      <c r="Q15" s="12">
        <f>'[5]Dia 16 (a)'!$P21</f>
        <v>21.8</v>
      </c>
      <c r="R15" s="12">
        <f>'[5]Dia 17 (a)'!$P21</f>
        <v>21</v>
      </c>
      <c r="S15" s="12">
        <f>'[5]Dia 18 (a)'!$P21</f>
        <v>17.600000000000001</v>
      </c>
      <c r="T15" s="12">
        <f>'[5]Dia 19 (a)'!$P21</f>
        <v>16.600000000000001</v>
      </c>
      <c r="U15" s="12">
        <f>'[5]Dia 20 (a)'!$P21</f>
        <v>18.5</v>
      </c>
      <c r="V15" s="12">
        <f>'[5]Dia 21 (a)'!$P21</f>
        <v>21.1</v>
      </c>
      <c r="W15" s="12">
        <f>'[5]Dia 22 (a)'!$P21</f>
        <v>22.4</v>
      </c>
      <c r="X15" s="12">
        <f>'[5]Dia 23 (a)'!$P21</f>
        <v>23</v>
      </c>
      <c r="Y15" s="12">
        <f>'[5]Dia 24 (a)'!$P21</f>
        <v>23.8</v>
      </c>
      <c r="Z15" s="12">
        <f>'[5]Dia 25 (a)'!$P21</f>
        <v>23.4</v>
      </c>
      <c r="AA15" s="12">
        <f>'[5]Dia 26 (a)'!$P21</f>
        <v>24</v>
      </c>
      <c r="AB15" s="12">
        <f>'[5]Dia 27 (a)'!$P21</f>
        <v>24.2</v>
      </c>
      <c r="AC15" s="12">
        <f>'[5]Dia 28 (a)'!$P21</f>
        <v>24.2</v>
      </c>
      <c r="AD15" s="12">
        <f>'[5]Dia 29 (a)'!$P21</f>
        <v>24.4</v>
      </c>
      <c r="AE15" s="12">
        <f>'[5]Dia 30 (a)'!$P21</f>
        <v>20.9</v>
      </c>
      <c r="AF15" s="13">
        <f>'[5]Dia 31 (a)'!$P21</f>
        <v>18.100000000000001</v>
      </c>
      <c r="AG15" s="14"/>
    </row>
    <row r="16" spans="1:33" ht="20.100000000000001" customHeight="1">
      <c r="A16" s="11">
        <v>19</v>
      </c>
      <c r="B16" s="12">
        <f>'[5]Dia 1 (a)'!$P22</f>
        <v>25</v>
      </c>
      <c r="C16" s="12">
        <f>'[5]Dia 2 (a)'!$P22</f>
        <v>24.8</v>
      </c>
      <c r="D16" s="12">
        <f>'[5]Dia 3 (a)'!$P22</f>
        <v>27</v>
      </c>
      <c r="E16" s="12">
        <f>'[5]Dia 4 (a)'!$P22</f>
        <v>19.600000000000001</v>
      </c>
      <c r="F16" s="12">
        <f>'[5]Dia 5 (a)'!$P22</f>
        <v>18.7</v>
      </c>
      <c r="G16" s="12">
        <f>'[5]Dia 6 (a)'!$P22</f>
        <v>19.3</v>
      </c>
      <c r="H16" s="12">
        <f>'[5]Dia 7 (a)'!$P22</f>
        <v>18.2</v>
      </c>
      <c r="I16" s="12">
        <f>'[5]Dia 8 (a)'!$P22</f>
        <v>19.600000000000001</v>
      </c>
      <c r="J16" s="12">
        <f>'[5]Dia 9 (a)'!$P22</f>
        <v>21.7</v>
      </c>
      <c r="K16" s="12">
        <f>'[5]Dia 10 (a)'!$P22</f>
        <v>22.8</v>
      </c>
      <c r="L16" s="12">
        <f>'[5]Dia 11 (a)'!$P22</f>
        <v>22.8</v>
      </c>
      <c r="M16" s="12">
        <f>'[5]Dia 12 (a)'!$P22</f>
        <v>21.2</v>
      </c>
      <c r="N16" s="12">
        <f>'[5]Dia 13 (a)'!$P22</f>
        <v>23</v>
      </c>
      <c r="O16" s="12">
        <f>'[5]Dia 14 (a)'!$P22</f>
        <v>24</v>
      </c>
      <c r="P16" s="12">
        <f>'[5]Dia 15 (a)'!$P22</f>
        <v>20.6</v>
      </c>
      <c r="Q16" s="12">
        <f>'[5]Dia 16 (a)'!$P22</f>
        <v>21</v>
      </c>
      <c r="R16" s="12">
        <f>'[5]Dia 17 (a)'!$P22</f>
        <v>19.399999999999999</v>
      </c>
      <c r="S16" s="12">
        <f>'[5]Dia 18 (a)'!$P22</f>
        <v>16.600000000000001</v>
      </c>
      <c r="T16" s="12">
        <f>'[5]Dia 19 (a)'!$P22</f>
        <v>15.8</v>
      </c>
      <c r="U16" s="12">
        <f>'[5]Dia 20 (a)'!$P22</f>
        <v>17.399999999999999</v>
      </c>
      <c r="V16" s="12">
        <f>'[5]Dia 21 (a)'!$P22</f>
        <v>20</v>
      </c>
      <c r="W16" s="12">
        <f>'[5]Dia 22 (a)'!$P22</f>
        <v>21</v>
      </c>
      <c r="X16" s="12">
        <f>'[5]Dia 23 (a)'!$P22</f>
        <v>21.9</v>
      </c>
      <c r="Y16" s="12">
        <f>'[5]Dia 24 (a)'!$P22</f>
        <v>22.5</v>
      </c>
      <c r="Z16" s="12">
        <f>'[5]Dia 25 (a)'!$P22</f>
        <v>21.8</v>
      </c>
      <c r="AA16" s="12">
        <f>'[5]Dia 26 (a)'!$P22</f>
        <v>23</v>
      </c>
      <c r="AB16" s="12">
        <f>'[5]Dia 27 (a)'!$P22</f>
        <v>22.9</v>
      </c>
      <c r="AC16" s="12">
        <f>'[5]Dia 28 (a)'!$P22</f>
        <v>22.6</v>
      </c>
      <c r="AD16" s="12">
        <f>'[5]Dia 29 (a)'!$P22</f>
        <v>23.2</v>
      </c>
      <c r="AE16" s="12">
        <f>'[5]Dia 30 (a)'!$P22</f>
        <v>21.2</v>
      </c>
      <c r="AF16" s="13">
        <f>'[5]Dia 31 (a)'!$P22</f>
        <v>17.8</v>
      </c>
      <c r="AG16" s="14"/>
    </row>
    <row r="17" spans="1:33" ht="20.100000000000001" customHeight="1">
      <c r="A17" s="11">
        <v>20</v>
      </c>
      <c r="B17" s="12">
        <f>'[5]Dia 1 (a)'!$P23</f>
        <v>24</v>
      </c>
      <c r="C17" s="12">
        <f>'[5]Dia 2 (a)'!$P23</f>
        <v>24.4</v>
      </c>
      <c r="D17" s="12">
        <f>'[5]Dia 3 (a)'!$P23</f>
        <v>25.8</v>
      </c>
      <c r="E17" s="12">
        <f>'[5]Dia 4 (a)'!$P23</f>
        <v>18.8</v>
      </c>
      <c r="F17" s="12">
        <f>'[5]Dia 5 (a)'!$P23</f>
        <v>18.600000000000001</v>
      </c>
      <c r="G17" s="12">
        <f>'[5]Dia 6 (a)'!$P23</f>
        <v>18.7</v>
      </c>
      <c r="H17" s="12">
        <f>'[5]Dia 7 (a)'!$P23</f>
        <v>17.8</v>
      </c>
      <c r="I17" s="12">
        <f>'[5]Dia 8 (a)'!$P23</f>
        <v>19</v>
      </c>
      <c r="J17" s="12">
        <f>'[5]Dia 9 (a)'!$P23</f>
        <v>20.9</v>
      </c>
      <c r="K17" s="12">
        <f>'[5]Dia 10 (a)'!$P23</f>
        <v>22</v>
      </c>
      <c r="L17" s="12">
        <f>'[5]Dia 11 (a)'!$P23</f>
        <v>22.1</v>
      </c>
      <c r="M17" s="12">
        <f>'[5]Dia 12 (a)'!$P23</f>
        <v>20.6</v>
      </c>
      <c r="N17" s="12">
        <f>'[5]Dia 13 (a)'!$P23</f>
        <v>22.2</v>
      </c>
      <c r="O17" s="12">
        <f>'[5]Dia 14 (a)'!$P23</f>
        <v>23.6</v>
      </c>
      <c r="P17" s="12">
        <f>'[5]Dia 15 (a)'!$P23</f>
        <v>20.100000000000001</v>
      </c>
      <c r="Q17" s="12">
        <f>'[5]Dia 16 (a)'!$P23</f>
        <v>20.399999999999999</v>
      </c>
      <c r="R17" s="12">
        <f>'[5]Dia 17 (a)'!$P23</f>
        <v>18.399999999999999</v>
      </c>
      <c r="S17" s="12">
        <f>'[5]Dia 18 (a)'!$P23</f>
        <v>15.9</v>
      </c>
      <c r="T17" s="12">
        <f>'[5]Dia 19 (a)'!$P23</f>
        <v>15</v>
      </c>
      <c r="U17" s="12">
        <f>'[5]Dia 20 (a)'!$P23</f>
        <v>16.600000000000001</v>
      </c>
      <c r="V17" s="12">
        <f>'[5]Dia 21 (a)'!$P23</f>
        <v>18.600000000000001</v>
      </c>
      <c r="W17" s="12">
        <f>'[5]Dia 22 (a)'!$P23</f>
        <v>19.899999999999999</v>
      </c>
      <c r="X17" s="12">
        <f>'[5]Dia 23 (a)'!$P23</f>
        <v>20.6</v>
      </c>
      <c r="Y17" s="12">
        <f>'[5]Dia 24 (a)'!$P23</f>
        <v>21.4</v>
      </c>
      <c r="Z17" s="12">
        <f>'[5]Dia 25 (a)'!$P23</f>
        <v>21</v>
      </c>
      <c r="AA17" s="12">
        <f>'[5]Dia 26 (a)'!$P23</f>
        <v>22</v>
      </c>
      <c r="AB17" s="12">
        <f>'[5]Dia 27 (a)'!$P23</f>
        <v>22</v>
      </c>
      <c r="AC17" s="12">
        <f>'[5]Dia 28 (a)'!$P23</f>
        <v>21.6</v>
      </c>
      <c r="AD17" s="12">
        <f>'[5]Dia 29 (a)'!$P23</f>
        <v>22.2</v>
      </c>
      <c r="AE17" s="12">
        <f>'[5]Dia 30 (a)'!$P23</f>
        <v>19.5</v>
      </c>
      <c r="AF17" s="13">
        <f>'[5]Dia 31 (a)'!$P23</f>
        <v>17.7</v>
      </c>
      <c r="AG17" s="14"/>
    </row>
    <row r="18" spans="1:33" ht="20.100000000000001" customHeight="1">
      <c r="A18" s="11">
        <v>21</v>
      </c>
      <c r="B18" s="12">
        <f>'[5]Dia 1 (a)'!$P24</f>
        <v>23.6</v>
      </c>
      <c r="C18" s="12">
        <f>'[5]Dia 2 (a)'!$P24</f>
        <v>24</v>
      </c>
      <c r="D18" s="12">
        <f>'[5]Dia 3 (a)'!$P24</f>
        <v>25</v>
      </c>
      <c r="E18" s="12">
        <f>'[5]Dia 4 (a)'!$P24</f>
        <v>18.2</v>
      </c>
      <c r="F18" s="12">
        <f>'[5]Dia 5 (a)'!$P24</f>
        <v>18.2</v>
      </c>
      <c r="G18" s="12">
        <f>'[5]Dia 6 (a)'!$P24</f>
        <v>18.3</v>
      </c>
      <c r="H18" s="12">
        <f>'[5]Dia 7 (a)'!$P24</f>
        <v>17.899999999999999</v>
      </c>
      <c r="I18" s="12">
        <f>'[5]Dia 8 (a)'!$P24</f>
        <v>18.8</v>
      </c>
      <c r="J18" s="12">
        <f>'[5]Dia 9 (a)'!$P24</f>
        <v>20.399999999999999</v>
      </c>
      <c r="K18" s="12">
        <f>'[5]Dia 10 (a)'!$P24</f>
        <v>20.8</v>
      </c>
      <c r="L18" s="12">
        <f>'[5]Dia 11 (a)'!$P24</f>
        <v>21.4</v>
      </c>
      <c r="M18" s="12">
        <f>'[5]Dia 12 (a)'!$P24</f>
        <v>20.2</v>
      </c>
      <c r="N18" s="12">
        <f>'[5]Dia 13 (a)'!$P24</f>
        <v>21.6</v>
      </c>
      <c r="O18" s="12">
        <f>'[5]Dia 14 (a)'!$P24</f>
        <v>22.6</v>
      </c>
      <c r="P18" s="12">
        <f>'[5]Dia 15 (a)'!$P24</f>
        <v>19.8</v>
      </c>
      <c r="Q18" s="12">
        <f>'[5]Dia 16 (a)'!$P24</f>
        <v>20</v>
      </c>
      <c r="R18" s="12">
        <f>'[5]Dia 17 (a)'!$P24</f>
        <v>17.5</v>
      </c>
      <c r="S18" s="12">
        <f>'[5]Dia 18 (a)'!$P24</f>
        <v>15.4</v>
      </c>
      <c r="T18" s="12">
        <f>'[5]Dia 19 (a)'!$P24</f>
        <v>14.3</v>
      </c>
      <c r="U18" s="12">
        <f>'[5]Dia 20 (a)'!$P24</f>
        <v>15.8</v>
      </c>
      <c r="V18" s="12">
        <f>'[5]Dia 21 (a)'!$P24</f>
        <v>17.7</v>
      </c>
      <c r="W18" s="12">
        <f>'[5]Dia 22 (a)'!$P24</f>
        <v>18.899999999999999</v>
      </c>
      <c r="X18" s="12">
        <f>'[5]Dia 23 (a)'!$P24</f>
        <v>19.899999999999999</v>
      </c>
      <c r="Y18" s="12">
        <f>'[5]Dia 24 (a)'!$P24</f>
        <v>20.399999999999999</v>
      </c>
      <c r="Z18" s="12">
        <f>'[5]Dia 25 (a)'!$P24</f>
        <v>20.2</v>
      </c>
      <c r="AA18" s="12">
        <f>'[5]Dia 26 (a)'!$P24</f>
        <v>20.8</v>
      </c>
      <c r="AB18" s="12">
        <f>'[5]Dia 27 (a)'!$P24</f>
        <v>20.8</v>
      </c>
      <c r="AC18" s="12">
        <f>'[5]Dia 28 (a)'!$P24</f>
        <v>20.6</v>
      </c>
      <c r="AD18" s="12">
        <f>'[5]Dia 29 (a)'!$P24</f>
        <v>21.8</v>
      </c>
      <c r="AE18" s="12">
        <f>'[5]Dia 30 (a)'!$P24</f>
        <v>19</v>
      </c>
      <c r="AF18" s="13">
        <f>'[5]Dia 31 (a)'!$P24</f>
        <v>17.600000000000001</v>
      </c>
      <c r="AG18" s="14"/>
    </row>
    <row r="19" spans="1:33" ht="20.100000000000001" customHeight="1">
      <c r="A19" s="11">
        <v>22</v>
      </c>
      <c r="B19" s="12">
        <f>'[5]Dia 1 (a)'!$P25</f>
        <v>22.8</v>
      </c>
      <c r="C19" s="12">
        <f>'[5]Dia 2 (a)'!$P25</f>
        <v>23.8</v>
      </c>
      <c r="D19" s="12">
        <f>'[5]Dia 3 (a)'!$P25</f>
        <v>24</v>
      </c>
      <c r="E19" s="12">
        <f>'[5]Dia 4 (a)'!$P25</f>
        <v>17.8</v>
      </c>
      <c r="F19" s="12">
        <f>'[5]Dia 5 (a)'!$P25</f>
        <v>18.2</v>
      </c>
      <c r="G19" s="12">
        <f>'[5]Dia 6 (a)'!$P25</f>
        <v>18.100000000000001</v>
      </c>
      <c r="H19" s="12">
        <f>'[5]Dia 7 (a)'!$P25</f>
        <v>17.7</v>
      </c>
      <c r="I19" s="12">
        <f>'[5]Dia 8 (a)'!$P25</f>
        <v>18.600000000000001</v>
      </c>
      <c r="J19" s="12">
        <f>'[5]Dia 9 (a)'!$P25</f>
        <v>19.899999999999999</v>
      </c>
      <c r="K19" s="12">
        <f>'[5]Dia 10 (a)'!$P25</f>
        <v>20.399999999999999</v>
      </c>
      <c r="L19" s="12">
        <f>'[5]Dia 11 (a)'!$P25</f>
        <v>20.8</v>
      </c>
      <c r="M19" s="12">
        <f>'[5]Dia 12 (a)'!$P25</f>
        <v>19.8</v>
      </c>
      <c r="N19" s="12">
        <f>'[5]Dia 13 (a)'!$P25</f>
        <v>21.3</v>
      </c>
      <c r="O19" s="12">
        <f>'[5]Dia 14 (a)'!$P25</f>
        <v>22.2</v>
      </c>
      <c r="P19" s="12">
        <f>'[5]Dia 15 (a)'!$P25</f>
        <v>19.600000000000001</v>
      </c>
      <c r="Q19" s="12">
        <f>'[5]Dia 16 (a)'!$P25</f>
        <v>19.5</v>
      </c>
      <c r="R19" s="12">
        <f>'[5]Dia 17 (a)'!$P25</f>
        <v>16.8</v>
      </c>
      <c r="S19" s="12">
        <f>'[5]Dia 18 (a)'!$P25</f>
        <v>14.9</v>
      </c>
      <c r="T19" s="12">
        <f>'[5]Dia 19 (a)'!$P25</f>
        <v>13.7</v>
      </c>
      <c r="U19" s="12">
        <f>'[5]Dia 20 (a)'!$P25</f>
        <v>15.1</v>
      </c>
      <c r="V19" s="12">
        <f>'[5]Dia 21 (a)'!$P25</f>
        <v>17</v>
      </c>
      <c r="W19" s="12">
        <f>'[5]Dia 22 (a)'!$P25</f>
        <v>18.100000000000001</v>
      </c>
      <c r="X19" s="12">
        <f>'[5]Dia 23 (a)'!$P25</f>
        <v>18.899999999999999</v>
      </c>
      <c r="Y19" s="12">
        <f>'[5]Dia 24 (a)'!$P25</f>
        <v>19.600000000000001</v>
      </c>
      <c r="Z19" s="12">
        <f>'[5]Dia 25 (a)'!$P25</f>
        <v>19.5</v>
      </c>
      <c r="AA19" s="12">
        <f>'[5]Dia 26 (a)'!$P25</f>
        <v>20.2</v>
      </c>
      <c r="AB19" s="12">
        <f>'[5]Dia 27 (a)'!$P25</f>
        <v>19.899999999999999</v>
      </c>
      <c r="AC19" s="12">
        <f>'[5]Dia 28 (a)'!$P25</f>
        <v>20</v>
      </c>
      <c r="AD19" s="12">
        <f>'[5]Dia 29 (a)'!$P25</f>
        <v>21</v>
      </c>
      <c r="AE19" s="12">
        <f>'[5]Dia 30 (a)'!$P25</f>
        <v>18.8</v>
      </c>
      <c r="AF19" s="13">
        <f>'[5]Dia 31 (a)'!$P25</f>
        <v>17.399999999999999</v>
      </c>
      <c r="AG19" s="14"/>
    </row>
    <row r="20" spans="1:33" ht="20.100000000000001" customHeight="1">
      <c r="A20" s="11">
        <v>23</v>
      </c>
      <c r="B20" s="12">
        <f>'[5]Dia 1 (a)'!$P26</f>
        <v>22.2</v>
      </c>
      <c r="C20" s="12">
        <f>'[5]Dia 2 (a)'!$P26</f>
        <v>23.2</v>
      </c>
      <c r="D20" s="12">
        <f>'[5]Dia 3 (a)'!$P26</f>
        <v>23.8</v>
      </c>
      <c r="E20" s="12">
        <f>'[5]Dia 4 (a)'!$P26</f>
        <v>17.2</v>
      </c>
      <c r="F20" s="12">
        <f>'[5]Dia 5 (a)'!$P26</f>
        <v>18</v>
      </c>
      <c r="G20" s="12">
        <f>'[5]Dia 6 (a)'!$P26</f>
        <v>17.7</v>
      </c>
      <c r="H20" s="12">
        <f>'[5]Dia 7 (a)'!$P26</f>
        <v>17.600000000000001</v>
      </c>
      <c r="I20" s="12">
        <f>'[5]Dia 8 (a)'!$P26</f>
        <v>18.2</v>
      </c>
      <c r="J20" s="12">
        <f>'[5]Dia 9 (a)'!$P26</f>
        <v>19.399999999999999</v>
      </c>
      <c r="K20" s="12">
        <f>'[5]Dia 10 (a)'!$P26</f>
        <v>19.600000000000001</v>
      </c>
      <c r="L20" s="12">
        <f>'[5]Dia 11 (a)'!$P26</f>
        <v>20.3</v>
      </c>
      <c r="M20" s="12">
        <f>'[5]Dia 12 (a)'!$P26</f>
        <v>19.5</v>
      </c>
      <c r="N20" s="12">
        <f>'[5]Dia 13 (a)'!$P26</f>
        <v>20.9</v>
      </c>
      <c r="O20" s="12">
        <f>'[5]Dia 14 (a)'!$P26</f>
        <v>22</v>
      </c>
      <c r="P20" s="12">
        <f>'[5]Dia 15 (a)'!$P26</f>
        <v>19.2</v>
      </c>
      <c r="Q20" s="12">
        <f>'[5]Dia 16 (a)'!$P26</f>
        <v>19</v>
      </c>
      <c r="R20" s="12">
        <f>'[5]Dia 17 (a)'!$P26</f>
        <v>16</v>
      </c>
      <c r="S20" s="12">
        <f>'[5]Dia 18 (a)'!$P26</f>
        <v>14.5</v>
      </c>
      <c r="T20" s="12">
        <f>'[5]Dia 19 (a)'!$P26</f>
        <v>13.3</v>
      </c>
      <c r="U20" s="12">
        <f>'[5]Dia 20 (a)'!$P26</f>
        <v>14.6</v>
      </c>
      <c r="V20" s="12">
        <f>'[5]Dia 21 (a)'!$P26</f>
        <v>16.3</v>
      </c>
      <c r="W20" s="12">
        <f>'[5]Dia 22 (a)'!$P26</f>
        <v>17.399999999999999</v>
      </c>
      <c r="X20" s="12">
        <f>'[5]Dia 23 (a)'!$P26</f>
        <v>18.3</v>
      </c>
      <c r="Y20" s="12">
        <f>'[5]Dia 24 (a)'!$P26</f>
        <v>18.8</v>
      </c>
      <c r="Z20" s="12">
        <f>'[5]Dia 25 (a)'!$P26</f>
        <v>18.8</v>
      </c>
      <c r="AA20" s="12">
        <f>'[5]Dia 26 (a)'!$P26</f>
        <v>20</v>
      </c>
      <c r="AB20" s="12">
        <f>'[5]Dia 27 (a)'!$P26</f>
        <v>19.600000000000001</v>
      </c>
      <c r="AC20" s="12">
        <f>'[5]Dia 28 (a)'!$P26</f>
        <v>19</v>
      </c>
      <c r="AD20" s="12">
        <f>'[5]Dia 29 (a)'!$P26</f>
        <v>20.8</v>
      </c>
      <c r="AE20" s="12">
        <f>'[5]Dia 30 (a)'!$P26</f>
        <v>18.8</v>
      </c>
      <c r="AF20" s="13">
        <f>'[5]Dia 31 (a)'!$P26</f>
        <v>17.3</v>
      </c>
      <c r="AG20" s="14"/>
    </row>
    <row r="21" spans="1:33" ht="20.100000000000001" customHeight="1" thickBot="1">
      <c r="A21" s="16">
        <v>24</v>
      </c>
      <c r="B21" s="17">
        <f>'[5]Dia 1 (a)'!$P27</f>
        <v>21.8</v>
      </c>
      <c r="C21" s="17">
        <f>'[5]Dia 2 (a)'!$P27</f>
        <v>22.8</v>
      </c>
      <c r="D21" s="17">
        <f>'[5]Dia 3 (a)'!$P27</f>
        <v>23.6</v>
      </c>
      <c r="E21" s="17">
        <f>'[5]Dia 4 (a)'!$P27</f>
        <v>16.600000000000001</v>
      </c>
      <c r="F21" s="17">
        <f>'[5]Dia 5 (a)'!$P27</f>
        <v>17.8</v>
      </c>
      <c r="G21" s="17">
        <f>'[5]Dia 6 (a)'!$P27</f>
        <v>17.600000000000001</v>
      </c>
      <c r="H21" s="17">
        <f>'[5]Dia 7 (a)'!$P27</f>
        <v>17.5</v>
      </c>
      <c r="I21" s="17">
        <f>'[5]Dia 8 (a)'!$P27</f>
        <v>17.600000000000001</v>
      </c>
      <c r="J21" s="17">
        <f>'[5]Dia 9 (a)'!$P27</f>
        <v>19</v>
      </c>
      <c r="K21" s="17">
        <f>'[5]Dia 10 (a)'!$P27</f>
        <v>19</v>
      </c>
      <c r="L21" s="17">
        <f>'[5]Dia 11 (a)'!$P27</f>
        <v>20</v>
      </c>
      <c r="M21" s="17">
        <f>'[5]Dia 12 (a)'!$P27</f>
        <v>19.399999999999999</v>
      </c>
      <c r="N21" s="17">
        <f>'[5]Dia 13 (a)'!$P27</f>
        <v>20.7</v>
      </c>
      <c r="O21" s="17">
        <f>'[5]Dia 14 (a)'!$P27</f>
        <v>21.6</v>
      </c>
      <c r="P21" s="17">
        <f>'[5]Dia 15 (a)'!$P27</f>
        <v>19</v>
      </c>
      <c r="Q21" s="17">
        <f>'[5]Dia 16 (a)'!$P27</f>
        <v>18.399999999999999</v>
      </c>
      <c r="R21" s="17">
        <f>'[5]Dia 17 (a)'!$P27</f>
        <v>15.6</v>
      </c>
      <c r="S21" s="17">
        <f>'[5]Dia 18 (a)'!$P27</f>
        <v>14.2</v>
      </c>
      <c r="T21" s="17">
        <f>'[5]Dia 19 (a)'!$P27</f>
        <v>12.8</v>
      </c>
      <c r="U21" s="17">
        <f>'[5]Dia 20 (a)'!$P27</f>
        <v>14.1</v>
      </c>
      <c r="V21" s="17">
        <f>'[5]Dia 21 (a)'!$P27</f>
        <v>15.8</v>
      </c>
      <c r="W21" s="17">
        <f>'[5]Dia 22 (a)'!$P27</f>
        <v>16.7</v>
      </c>
      <c r="X21" s="17">
        <f>'[5]Dia 23 (a)'!$P27</f>
        <v>17.600000000000001</v>
      </c>
      <c r="Y21" s="17">
        <f>'[5]Dia 24 (a)'!$P27</f>
        <v>18.2</v>
      </c>
      <c r="Z21" s="17">
        <f>'[5]Dia 25 (a)'!$P27</f>
        <v>18.3</v>
      </c>
      <c r="AA21" s="17">
        <f>'[5]Dia 26 (a)'!$P27</f>
        <v>19</v>
      </c>
      <c r="AB21" s="17">
        <f>'[5]Dia 27 (a)'!$P27</f>
        <v>19</v>
      </c>
      <c r="AC21" s="17">
        <f>'[5]Dia 28 (a)'!$P27</f>
        <v>18.600000000000001</v>
      </c>
      <c r="AD21" s="17">
        <f>'[5]Dia 29 (a)'!$P27</f>
        <v>20.399999999999999</v>
      </c>
      <c r="AE21" s="17">
        <f>'[5]Dia 30 (a)'!$P27</f>
        <v>18.7</v>
      </c>
      <c r="AF21" s="18">
        <f>'[5]Dia 31 (a)'!$P27</f>
        <v>17.3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25.011111111111113</v>
      </c>
      <c r="C25" s="26">
        <f t="shared" ref="C25:AF25" si="0">AVERAGE(C4:C21)</f>
        <v>25.111111111111114</v>
      </c>
      <c r="D25" s="26">
        <f t="shared" si="0"/>
        <v>26.522222222222226</v>
      </c>
      <c r="E25" s="26">
        <f t="shared" si="0"/>
        <v>20.638888888888893</v>
      </c>
      <c r="F25" s="26">
        <f t="shared" si="0"/>
        <v>18.227777777777778</v>
      </c>
      <c r="G25" s="26">
        <f t="shared" si="0"/>
        <v>19.75</v>
      </c>
      <c r="H25" s="26">
        <f t="shared" si="0"/>
        <v>18.333333333333332</v>
      </c>
      <c r="I25" s="26">
        <f t="shared" si="0"/>
        <v>19.266666666666666</v>
      </c>
      <c r="J25" s="26">
        <f t="shared" si="0"/>
        <v>21.661111111111108</v>
      </c>
      <c r="K25" s="26">
        <f t="shared" si="0"/>
        <v>22.077777777777776</v>
      </c>
      <c r="L25" s="26">
        <f t="shared" si="0"/>
        <v>22.427777777777781</v>
      </c>
      <c r="M25" s="26">
        <f t="shared" si="0"/>
        <v>21.37222222222222</v>
      </c>
      <c r="N25" s="26">
        <f t="shared" si="0"/>
        <v>22.583333333333329</v>
      </c>
      <c r="O25" s="26">
        <f t="shared" si="0"/>
        <v>24.050000000000004</v>
      </c>
      <c r="P25" s="26">
        <f t="shared" si="0"/>
        <v>20.927777777777784</v>
      </c>
      <c r="Q25" s="26">
        <f t="shared" si="0"/>
        <v>20.733333333333331</v>
      </c>
      <c r="R25" s="26">
        <f t="shared" si="0"/>
        <v>19.805555555555557</v>
      </c>
      <c r="S25" s="26">
        <f t="shared" si="0"/>
        <v>16.583333333333332</v>
      </c>
      <c r="T25" s="26">
        <f t="shared" si="0"/>
        <v>15.422222222222224</v>
      </c>
      <c r="U25" s="26">
        <f t="shared" si="0"/>
        <v>16.405555555555559</v>
      </c>
      <c r="V25" s="26">
        <f t="shared" si="0"/>
        <v>19.37777777777778</v>
      </c>
      <c r="W25" s="26">
        <f t="shared" si="0"/>
        <v>20.255555555555553</v>
      </c>
      <c r="X25" s="26">
        <f t="shared" si="0"/>
        <v>20.461111111111112</v>
      </c>
      <c r="Y25" s="26">
        <f>AVERAGE(Y4:Y21)</f>
        <v>21.688888888888886</v>
      </c>
      <c r="Z25" s="26">
        <f t="shared" si="0"/>
        <v>21.172222222222224</v>
      </c>
      <c r="AA25" s="26">
        <f t="shared" si="0"/>
        <v>21.911111111111111</v>
      </c>
      <c r="AB25" s="26">
        <f t="shared" si="0"/>
        <v>22.2</v>
      </c>
      <c r="AC25" s="26">
        <f t="shared" si="0"/>
        <v>21.94444444444445</v>
      </c>
      <c r="AD25" s="26">
        <f t="shared" si="0"/>
        <v>22.577777777777776</v>
      </c>
      <c r="AE25" s="26">
        <f t="shared" si="0"/>
        <v>20.277777777777782</v>
      </c>
      <c r="AF25" s="27">
        <f t="shared" si="0"/>
        <v>18.155555555555559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30.1</v>
      </c>
      <c r="C29" s="26">
        <f t="shared" ref="C29:AF29" si="1">MAX(C4:C21)</f>
        <v>30.2</v>
      </c>
      <c r="D29" s="26">
        <f t="shared" si="1"/>
        <v>31.8</v>
      </c>
      <c r="E29" s="26">
        <f t="shared" si="1"/>
        <v>23.4</v>
      </c>
      <c r="F29" s="26">
        <f t="shared" si="1"/>
        <v>20.100000000000001</v>
      </c>
      <c r="G29" s="26">
        <f t="shared" si="1"/>
        <v>23</v>
      </c>
      <c r="H29" s="26">
        <f t="shared" si="1"/>
        <v>19.8</v>
      </c>
      <c r="I29" s="26">
        <f t="shared" si="1"/>
        <v>22.3</v>
      </c>
      <c r="J29" s="26">
        <f t="shared" si="1"/>
        <v>25.4</v>
      </c>
      <c r="K29" s="26">
        <f t="shared" si="1"/>
        <v>28.1</v>
      </c>
      <c r="L29" s="26">
        <f t="shared" si="1"/>
        <v>27</v>
      </c>
      <c r="M29" s="26">
        <f t="shared" si="1"/>
        <v>25.7</v>
      </c>
      <c r="N29" s="26">
        <f t="shared" si="1"/>
        <v>27.2</v>
      </c>
      <c r="O29" s="26">
        <f t="shared" si="1"/>
        <v>29.8</v>
      </c>
      <c r="P29" s="26">
        <f t="shared" si="1"/>
        <v>23.4</v>
      </c>
      <c r="Q29" s="26">
        <f t="shared" si="1"/>
        <v>24.4</v>
      </c>
      <c r="R29" s="26">
        <f t="shared" si="1"/>
        <v>25.6</v>
      </c>
      <c r="S29" s="26">
        <f t="shared" si="1"/>
        <v>21</v>
      </c>
      <c r="T29" s="26">
        <f t="shared" si="1"/>
        <v>18.399999999999999</v>
      </c>
      <c r="U29" s="26">
        <f t="shared" si="1"/>
        <v>21.4</v>
      </c>
      <c r="V29" s="26">
        <f t="shared" si="1"/>
        <v>26.1</v>
      </c>
      <c r="W29" s="26">
        <f t="shared" si="1"/>
        <v>26.4</v>
      </c>
      <c r="X29" s="26">
        <f t="shared" si="1"/>
        <v>26</v>
      </c>
      <c r="Y29" s="26">
        <f>MAX(Y4:Y21)</f>
        <v>27.9</v>
      </c>
      <c r="Z29" s="26">
        <f t="shared" si="1"/>
        <v>27</v>
      </c>
      <c r="AA29" s="26">
        <f t="shared" si="1"/>
        <v>27.4</v>
      </c>
      <c r="AB29" s="26">
        <f t="shared" si="1"/>
        <v>27.9</v>
      </c>
      <c r="AC29" s="26">
        <f t="shared" si="1"/>
        <v>28</v>
      </c>
      <c r="AD29" s="26">
        <f t="shared" si="1"/>
        <v>28</v>
      </c>
      <c r="AE29" s="26">
        <f t="shared" si="1"/>
        <v>21.9</v>
      </c>
      <c r="AF29" s="27">
        <f t="shared" si="1"/>
        <v>18.899999999999999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19.5</v>
      </c>
      <c r="C33" s="26">
        <f t="shared" ref="C33:AF33" si="2">MIN(C4:C21)</f>
        <v>19.600000000000001</v>
      </c>
      <c r="D33" s="26">
        <f t="shared" si="2"/>
        <v>20.8</v>
      </c>
      <c r="E33" s="26">
        <f t="shared" si="2"/>
        <v>16.600000000000001</v>
      </c>
      <c r="F33" s="26">
        <f t="shared" si="2"/>
        <v>15</v>
      </c>
      <c r="G33" s="26">
        <f t="shared" si="2"/>
        <v>17.100000000000001</v>
      </c>
      <c r="H33" s="26">
        <f t="shared" si="2"/>
        <v>16.8</v>
      </c>
      <c r="I33" s="26">
        <f t="shared" si="2"/>
        <v>16.3</v>
      </c>
      <c r="J33" s="26">
        <f t="shared" si="2"/>
        <v>16.8</v>
      </c>
      <c r="K33" s="26">
        <f t="shared" si="2"/>
        <v>17.2</v>
      </c>
      <c r="L33" s="26">
        <f t="shared" si="2"/>
        <v>18</v>
      </c>
      <c r="M33" s="26">
        <f t="shared" si="2"/>
        <v>18.399999999999999</v>
      </c>
      <c r="N33" s="26">
        <f t="shared" si="2"/>
        <v>18.399999999999999</v>
      </c>
      <c r="O33" s="26">
        <f t="shared" si="2"/>
        <v>18.8</v>
      </c>
      <c r="P33" s="26">
        <f t="shared" si="2"/>
        <v>19</v>
      </c>
      <c r="Q33" s="26">
        <f t="shared" si="2"/>
        <v>17.399999999999999</v>
      </c>
      <c r="R33" s="26">
        <f t="shared" si="2"/>
        <v>15.6</v>
      </c>
      <c r="S33" s="26">
        <f t="shared" si="2"/>
        <v>12.2</v>
      </c>
      <c r="T33" s="26">
        <f t="shared" si="2"/>
        <v>12.5</v>
      </c>
      <c r="U33" s="26">
        <f t="shared" si="2"/>
        <v>10.199999999999999</v>
      </c>
      <c r="V33" s="26">
        <f t="shared" si="2"/>
        <v>13.8</v>
      </c>
      <c r="W33" s="26">
        <f t="shared" si="2"/>
        <v>14</v>
      </c>
      <c r="X33" s="26">
        <f t="shared" si="2"/>
        <v>13.6</v>
      </c>
      <c r="Y33" s="26">
        <f>MIN(Y4:Y21)</f>
        <v>15.1</v>
      </c>
      <c r="Z33" s="26">
        <f t="shared" si="2"/>
        <v>15.4</v>
      </c>
      <c r="AA33" s="26">
        <f t="shared" si="2"/>
        <v>15.5</v>
      </c>
      <c r="AB33" s="26">
        <f t="shared" si="2"/>
        <v>16</v>
      </c>
      <c r="AC33" s="26">
        <f t="shared" si="2"/>
        <v>16</v>
      </c>
      <c r="AD33" s="26">
        <f t="shared" si="2"/>
        <v>15.8</v>
      </c>
      <c r="AE33" s="26">
        <f t="shared" si="2"/>
        <v>18.7</v>
      </c>
      <c r="AF33" s="27">
        <f t="shared" si="2"/>
        <v>17.3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10.600000000000001</v>
      </c>
      <c r="C37" s="26">
        <f t="shared" si="3"/>
        <v>10.599999999999998</v>
      </c>
      <c r="D37" s="26">
        <f t="shared" si="3"/>
        <v>11</v>
      </c>
      <c r="E37" s="26">
        <f t="shared" si="3"/>
        <v>6.7999999999999972</v>
      </c>
      <c r="F37" s="26">
        <f t="shared" si="3"/>
        <v>5.1000000000000014</v>
      </c>
      <c r="G37" s="26">
        <f t="shared" si="3"/>
        <v>5.8999999999999986</v>
      </c>
      <c r="H37" s="26">
        <f t="shared" si="3"/>
        <v>3</v>
      </c>
      <c r="I37" s="26">
        <f t="shared" si="3"/>
        <v>6</v>
      </c>
      <c r="J37" s="26">
        <f t="shared" si="3"/>
        <v>8.5999999999999979</v>
      </c>
      <c r="K37" s="26">
        <f t="shared" si="3"/>
        <v>10.900000000000002</v>
      </c>
      <c r="L37" s="26">
        <f t="shared" si="3"/>
        <v>9</v>
      </c>
      <c r="M37" s="26">
        <f t="shared" si="3"/>
        <v>7.3000000000000007</v>
      </c>
      <c r="N37" s="26">
        <f t="shared" si="3"/>
        <v>8.8000000000000007</v>
      </c>
      <c r="O37" s="26">
        <f t="shared" si="3"/>
        <v>11</v>
      </c>
      <c r="P37" s="26">
        <f t="shared" si="3"/>
        <v>4.3999999999999986</v>
      </c>
      <c r="Q37" s="26">
        <f t="shared" si="3"/>
        <v>7</v>
      </c>
      <c r="R37" s="26">
        <f t="shared" si="3"/>
        <v>10.000000000000002</v>
      </c>
      <c r="S37" s="26">
        <f t="shared" si="3"/>
        <v>8.8000000000000007</v>
      </c>
      <c r="T37" s="26">
        <f t="shared" si="3"/>
        <v>5.8999999999999986</v>
      </c>
      <c r="U37" s="26">
        <f t="shared" si="3"/>
        <v>11.2</v>
      </c>
      <c r="V37" s="26">
        <f t="shared" si="3"/>
        <v>12.3</v>
      </c>
      <c r="W37" s="26">
        <f t="shared" si="3"/>
        <v>12.399999999999999</v>
      </c>
      <c r="X37" s="26">
        <f t="shared" si="3"/>
        <v>12.4</v>
      </c>
      <c r="Y37" s="26">
        <f t="shared" si="3"/>
        <v>12.799999999999999</v>
      </c>
      <c r="Z37" s="26">
        <f t="shared" si="3"/>
        <v>11.6</v>
      </c>
      <c r="AA37" s="26">
        <f t="shared" si="3"/>
        <v>11.899999999999999</v>
      </c>
      <c r="AB37" s="26">
        <f t="shared" si="3"/>
        <v>11.899999999999999</v>
      </c>
      <c r="AC37" s="26">
        <f t="shared" si="3"/>
        <v>12</v>
      </c>
      <c r="AD37" s="26">
        <f t="shared" si="3"/>
        <v>12.2</v>
      </c>
      <c r="AE37" s="26">
        <f t="shared" si="3"/>
        <v>3.1999999999999993</v>
      </c>
      <c r="AF37" s="27">
        <f t="shared" si="3"/>
        <v>1.5999999999999979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20.868817204301081</v>
      </c>
      <c r="I43" s="39"/>
      <c r="J43" s="41"/>
      <c r="K43" s="40">
        <f>MAX(B29:AF29)</f>
        <v>31.8</v>
      </c>
      <c r="L43" s="41"/>
      <c r="M43" s="41"/>
      <c r="N43" s="40">
        <f>MIN(B33:AF33)</f>
        <v>10.199999999999999</v>
      </c>
      <c r="O43" s="41"/>
      <c r="P43" s="41"/>
      <c r="Q43" s="40">
        <f>K43-N43</f>
        <v>21.6</v>
      </c>
      <c r="R43" s="39"/>
      <c r="S43" s="40"/>
      <c r="T43" s="40">
        <f>AVERAGE(B29:AF29)</f>
        <v>25.277419354838703</v>
      </c>
      <c r="U43" s="40"/>
      <c r="V43" s="40">
        <f>AVERAGE(B33:AF33)</f>
        <v>16.36774193548387</v>
      </c>
      <c r="W43" s="40"/>
      <c r="X43" s="40">
        <f>T43-V43</f>
        <v>8.909677419354832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(a)'!$P10</f>
        <v>17</v>
      </c>
      <c r="C4" s="12">
        <f>'[6]Dia 2 (a)'!$P10</f>
        <v>17.8</v>
      </c>
      <c r="D4" s="12">
        <f>'[6]Dia 3 (a)'!$P10</f>
        <v>16.8</v>
      </c>
      <c r="E4" s="12">
        <f>'[6]Dia 4 (a)'!$P10</f>
        <v>16.2</v>
      </c>
      <c r="F4" s="12">
        <f>'[6]Dia 5 (a)'!$P10</f>
        <v>15.6</v>
      </c>
      <c r="G4" s="12">
        <f>'[6]Dia 6 (a)'!$P10</f>
        <v>15.3</v>
      </c>
      <c r="H4" s="12">
        <f>'[6]Dia 7 (a)'!$P10</f>
        <v>15.8</v>
      </c>
      <c r="I4" s="12">
        <f>'[6]Dia 8 (a)'!$P10</f>
        <v>17.8</v>
      </c>
      <c r="J4" s="12">
        <f>'[6]Dia 9 (a)'!$P10</f>
        <v>16.7</v>
      </c>
      <c r="K4" s="12">
        <f>'[6]Dia 10 (a)'!$P10</f>
        <v>17.7</v>
      </c>
      <c r="L4" s="12">
        <f>'[6]Dia 11 (a)'!$P10</f>
        <v>16.600000000000001</v>
      </c>
      <c r="M4" s="12">
        <f>'[6]Dia 12 (a)'!$P10</f>
        <v>13.2</v>
      </c>
      <c r="N4" s="12">
        <f>'[6]Dia 13 (a)'!$P10</f>
        <v>10.4</v>
      </c>
      <c r="O4" s="12">
        <f>'[6]Dia 14 (a)'!$P10</f>
        <v>13.4</v>
      </c>
      <c r="P4" s="12">
        <f>'[6]Dia 15 (a)'!$P10</f>
        <v>13.7</v>
      </c>
      <c r="Q4" s="12">
        <f>'[6]Dia 16 (a)'!$P10</f>
        <v>12</v>
      </c>
      <c r="R4" s="12">
        <f>'[6]Dia 17 (a)'!$P10</f>
        <v>13.2</v>
      </c>
      <c r="S4" s="12">
        <f>'[6]Dia 18 (a)'!$P10</f>
        <v>17.2</v>
      </c>
      <c r="T4" s="12">
        <f>'[6]Dia 19 (a)'!$P10</f>
        <v>15.2</v>
      </c>
      <c r="U4" s="12">
        <f>'[6]Dia 20 (a)'!$P10</f>
        <v>15</v>
      </c>
      <c r="V4" s="12">
        <f>'[6]Dia 21 (a)'!$P10</f>
        <v>15.2</v>
      </c>
      <c r="W4" s="12">
        <f>'[6]Dia 22 (a)'!$P10</f>
        <v>15.2</v>
      </c>
      <c r="X4" s="12">
        <f>'[6]Dia 23 (a)'!$P10</f>
        <v>15.4</v>
      </c>
      <c r="Y4" s="12">
        <f>'[6]Dia 24 (a)'!$P10</f>
        <v>15.2</v>
      </c>
      <c r="Z4" s="12">
        <f>'[6]Dia 25 (a)'!$P10</f>
        <v>15.2</v>
      </c>
      <c r="AA4" s="12">
        <f>'[6]Dia 26 (a)'!$P10</f>
        <v>16.7</v>
      </c>
      <c r="AB4" s="12">
        <f>'[6]Dia 27 (a)'!$P10</f>
        <v>15.7</v>
      </c>
      <c r="AC4" s="12">
        <f>'[6]Dia 28 (a)'!$P10</f>
        <v>13.8</v>
      </c>
      <c r="AD4" s="12">
        <f>'[6]Dia 29 (a)'!$P10</f>
        <v>14.6</v>
      </c>
      <c r="AE4" s="12">
        <f>'[6]Dia 30 (a)'!$P10</f>
        <v>15.6</v>
      </c>
      <c r="AF4" s="13"/>
      <c r="AG4" s="14"/>
    </row>
    <row r="5" spans="1:33" ht="20.100000000000001" customHeight="1">
      <c r="A5" s="11">
        <v>8</v>
      </c>
      <c r="B5" s="12">
        <f>'[6]Dia 1 (a)'!$P11</f>
        <v>17</v>
      </c>
      <c r="C5" s="12">
        <f>'[6]Dia 2 (a)'!$P11</f>
        <v>18</v>
      </c>
      <c r="D5" s="12">
        <f>'[6]Dia 3 (a)'!$P11</f>
        <v>16.8</v>
      </c>
      <c r="E5" s="12">
        <f>'[6]Dia 4 (a)'!$P11</f>
        <v>16.2</v>
      </c>
      <c r="F5" s="12">
        <f>'[6]Dia 5 (a)'!$P11</f>
        <v>15.6</v>
      </c>
      <c r="G5" s="12">
        <f>'[6]Dia 6 (a)'!$P11</f>
        <v>15.6</v>
      </c>
      <c r="H5" s="12">
        <f>'[6]Dia 7 (a)'!$P11</f>
        <v>16.2</v>
      </c>
      <c r="I5" s="12">
        <f>'[6]Dia 8 (a)'!$P11</f>
        <v>17.8</v>
      </c>
      <c r="J5" s="12">
        <f>'[6]Dia 9 (a)'!$P11</f>
        <v>16.7</v>
      </c>
      <c r="K5" s="12">
        <f>'[6]Dia 10 (a)'!$P11</f>
        <v>17.7</v>
      </c>
      <c r="L5" s="12">
        <f>'[6]Dia 11 (a)'!$P11</f>
        <v>16.600000000000001</v>
      </c>
      <c r="M5" s="12">
        <f>'[6]Dia 12 (a)'!$P11</f>
        <v>13</v>
      </c>
      <c r="N5" s="12">
        <f>'[6]Dia 13 (a)'!$P11</f>
        <v>10.3</v>
      </c>
      <c r="O5" s="12">
        <f>'[6]Dia 14 (a)'!$P11</f>
        <v>13.5</v>
      </c>
      <c r="P5" s="12">
        <f>'[6]Dia 15 (a)'!$P11</f>
        <v>13.8</v>
      </c>
      <c r="Q5" s="12">
        <f>'[6]Dia 16 (a)'!$P11</f>
        <v>12.4</v>
      </c>
      <c r="R5" s="12">
        <f>'[6]Dia 17 (a)'!$P11</f>
        <v>13.4</v>
      </c>
      <c r="S5" s="12">
        <f>'[6]Dia 18 (a)'!$P11</f>
        <v>17.2</v>
      </c>
      <c r="T5" s="12">
        <f>'[6]Dia 19 (a)'!$P11</f>
        <v>15.1</v>
      </c>
      <c r="U5" s="12">
        <f>'[6]Dia 20 (a)'!$P11</f>
        <v>15.2</v>
      </c>
      <c r="V5" s="12">
        <f>'[6]Dia 21 (a)'!$P11</f>
        <v>15.4</v>
      </c>
      <c r="W5" s="12">
        <f>'[6]Dia 22 (a)'!$P11</f>
        <v>15.4</v>
      </c>
      <c r="X5" s="12">
        <f>'[6]Dia 23 (a)'!$P11</f>
        <v>15.7</v>
      </c>
      <c r="Y5" s="43">
        <f>'[6]Dia 24 (a)'!$P11</f>
        <v>15.2</v>
      </c>
      <c r="Z5" s="12">
        <f>'[6]Dia 25 (a)'!$P11</f>
        <v>15.5</v>
      </c>
      <c r="AA5" s="12">
        <f>'[6]Dia 26 (a)'!$P11</f>
        <v>16.7</v>
      </c>
      <c r="AB5" s="12">
        <f>'[6]Dia 27 (a)'!$P11</f>
        <v>15.7</v>
      </c>
      <c r="AC5" s="12">
        <f>'[6]Dia 28 (a)'!$P11</f>
        <v>14</v>
      </c>
      <c r="AD5" s="12">
        <f>'[6]Dia 29 (a)'!$P11</f>
        <v>14.6</v>
      </c>
      <c r="AE5" s="12">
        <f>'[6]Dia 30 (a)'!$P11</f>
        <v>15.2</v>
      </c>
      <c r="AF5" s="13"/>
      <c r="AG5" s="14"/>
    </row>
    <row r="6" spans="1:33" ht="20.100000000000001" customHeight="1">
      <c r="A6" s="11">
        <v>9</v>
      </c>
      <c r="B6" s="12">
        <f>'[6]Dia 1 (a)'!$P12</f>
        <v>17.2</v>
      </c>
      <c r="C6" s="12">
        <f>'[6]Dia 2 (a)'!$P12</f>
        <v>18.8</v>
      </c>
      <c r="D6" s="12">
        <f>'[6]Dia 3 (a)'!$P12</f>
        <v>16.899999999999999</v>
      </c>
      <c r="E6" s="12">
        <f>'[6]Dia 4 (a)'!$P12</f>
        <v>16.8</v>
      </c>
      <c r="F6" s="12">
        <f>'[6]Dia 5 (a)'!$P12</f>
        <v>15.8</v>
      </c>
      <c r="G6" s="12">
        <f>'[6]Dia 6 (a)'!$P12</f>
        <v>16.399999999999999</v>
      </c>
      <c r="H6" s="12">
        <f>'[6]Dia 7 (a)'!$P12</f>
        <v>17.100000000000001</v>
      </c>
      <c r="I6" s="12">
        <f>'[6]Dia 8 (a)'!$P12</f>
        <v>17.899999999999999</v>
      </c>
      <c r="J6" s="12">
        <f>'[6]Dia 9 (a)'!$P12</f>
        <v>17.2</v>
      </c>
      <c r="K6" s="12">
        <f>'[6]Dia 10 (a)'!$P12</f>
        <v>18.100000000000001</v>
      </c>
      <c r="L6" s="12">
        <f>'[6]Dia 11 (a)'!$P12</f>
        <v>16.7</v>
      </c>
      <c r="M6" s="12">
        <f>'[6]Dia 12 (a)'!$P12</f>
        <v>13.6</v>
      </c>
      <c r="N6" s="12">
        <f>'[6]Dia 13 (a)'!$P12</f>
        <v>11.3</v>
      </c>
      <c r="O6" s="12">
        <f>'[6]Dia 14 (a)'!$P12</f>
        <v>13.9</v>
      </c>
      <c r="P6" s="12">
        <f>'[6]Dia 15 (a)'!$P12</f>
        <v>14</v>
      </c>
      <c r="Q6" s="12">
        <f>'[6]Dia 16 (a)'!$P12</f>
        <v>13.2</v>
      </c>
      <c r="R6" s="12">
        <f>'[6]Dia 17 (a)'!$P12</f>
        <v>14.5</v>
      </c>
      <c r="S6" s="12">
        <f>'[6]Dia 18 (a)'!$P12</f>
        <v>17.600000000000001</v>
      </c>
      <c r="T6" s="12">
        <f>'[6]Dia 19 (a)'!$P12</f>
        <v>14</v>
      </c>
      <c r="U6" s="12">
        <f>'[6]Dia 20 (a)'!$P12</f>
        <v>15.6</v>
      </c>
      <c r="V6" s="12">
        <f>'[6]Dia 21 (a)'!$P12</f>
        <v>16.2</v>
      </c>
      <c r="W6" s="12">
        <f>'[6]Dia 22 (a)'!$P12</f>
        <v>16</v>
      </c>
      <c r="X6" s="12">
        <f>'[6]Dia 23 (a)'!$P12</f>
        <v>16.5</v>
      </c>
      <c r="Y6" s="12">
        <f>'[6]Dia 24 (a)'!$P12</f>
        <v>16.100000000000001</v>
      </c>
      <c r="Z6" s="12">
        <f>'[6]Dia 25 (a)'!$P12</f>
        <v>16.2</v>
      </c>
      <c r="AA6" s="12">
        <f>'[6]Dia 26 (a)'!$P12</f>
        <v>17.100000000000001</v>
      </c>
      <c r="AB6" s="12">
        <f>'[6]Dia 27 (a)'!$P12</f>
        <v>15.9</v>
      </c>
      <c r="AC6" s="12">
        <f>'[6]Dia 28 (a)'!$P12</f>
        <v>14.8</v>
      </c>
      <c r="AD6" s="12">
        <f>'[6]Dia 29 (a)'!$P12</f>
        <v>15.4</v>
      </c>
      <c r="AE6" s="12">
        <f>'[6]Dia 30 (a)'!$P12</f>
        <v>16</v>
      </c>
      <c r="AF6" s="13"/>
      <c r="AG6" s="14"/>
    </row>
    <row r="7" spans="1:33" ht="20.100000000000001" customHeight="1">
      <c r="A7" s="11">
        <v>10</v>
      </c>
      <c r="B7" s="12">
        <f>'[6]Dia 1 (a)'!$P13</f>
        <v>17.600000000000001</v>
      </c>
      <c r="C7" s="12">
        <f>'[6]Dia 2 (a)'!$P13</f>
        <v>19.8</v>
      </c>
      <c r="D7" s="12">
        <f>'[6]Dia 3 (a)'!$P13</f>
        <v>17.399999999999999</v>
      </c>
      <c r="E7" s="12">
        <f>'[6]Dia 4 (a)'!$P13</f>
        <v>17</v>
      </c>
      <c r="F7" s="12">
        <f>'[6]Dia 5 (a)'!$P13</f>
        <v>16.8</v>
      </c>
      <c r="G7" s="12">
        <f>'[6]Dia 6 (a)'!$P13</f>
        <v>17.600000000000001</v>
      </c>
      <c r="H7" s="12">
        <f>'[6]Dia 7 (a)'!$P13</f>
        <v>18.5</v>
      </c>
      <c r="I7" s="12">
        <f>'[6]Dia 8 (a)'!$P13</f>
        <v>18.2</v>
      </c>
      <c r="J7" s="12">
        <f>'[6]Dia 9 (a)'!$P13</f>
        <v>17.899999999999999</v>
      </c>
      <c r="K7" s="12">
        <f>'[6]Dia 10 (a)'!$P13</f>
        <v>19.2</v>
      </c>
      <c r="L7" s="12">
        <f>'[6]Dia 11 (a)'!$P13</f>
        <v>16.899999999999999</v>
      </c>
      <c r="M7" s="12">
        <f>'[6]Dia 12 (a)'!$P13</f>
        <v>15.2</v>
      </c>
      <c r="N7" s="12">
        <f>'[6]Dia 13 (a)'!$P13</f>
        <v>12.2</v>
      </c>
      <c r="O7" s="12">
        <f>'[6]Dia 14 (a)'!$P13</f>
        <v>14.6</v>
      </c>
      <c r="P7" s="12">
        <f>'[6]Dia 15 (a)'!$P13</f>
        <v>14.4</v>
      </c>
      <c r="Q7" s="12">
        <f>'[6]Dia 16 (a)'!$P13</f>
        <v>14.8</v>
      </c>
      <c r="R7" s="12">
        <f>'[6]Dia 17 (a)'!$P13</f>
        <v>15.4</v>
      </c>
      <c r="S7" s="12">
        <f>'[6]Dia 18 (a)'!$P13</f>
        <v>17.7</v>
      </c>
      <c r="T7" s="12">
        <f>'[6]Dia 19 (a)'!$P13</f>
        <v>15.8</v>
      </c>
      <c r="U7" s="12">
        <f>'[6]Dia 20 (a)'!$P13</f>
        <v>16</v>
      </c>
      <c r="V7" s="12">
        <f>'[6]Dia 21 (a)'!$P13</f>
        <v>17</v>
      </c>
      <c r="W7" s="12">
        <f>'[6]Dia 22 (a)'!$P13</f>
        <v>17.600000000000001</v>
      </c>
      <c r="X7" s="12">
        <f>'[6]Dia 23 (a)'!$P13</f>
        <v>17.5</v>
      </c>
      <c r="Y7" s="12">
        <f>'[6]Dia 24 (a)'!$P13</f>
        <v>17.3</v>
      </c>
      <c r="Z7" s="12">
        <f>'[6]Dia 25 (a)'!$P13</f>
        <v>17.899999999999999</v>
      </c>
      <c r="AA7" s="12">
        <f>'[6]Dia 26 (a)'!$P13</f>
        <v>17.8</v>
      </c>
      <c r="AB7" s="12">
        <f>'[6]Dia 27 (a)'!$P13</f>
        <v>16.100000000000001</v>
      </c>
      <c r="AC7" s="12">
        <f>'[6]Dia 28 (a)'!$P13</f>
        <v>15.6</v>
      </c>
      <c r="AD7" s="12">
        <f>'[6]Dia 29 (a)'!$P13</f>
        <v>16.7</v>
      </c>
      <c r="AE7" s="12">
        <f>'[6]Dia 30 (a)'!$P13</f>
        <v>17</v>
      </c>
      <c r="AF7" s="13"/>
      <c r="AG7" s="14"/>
    </row>
    <row r="8" spans="1:33" ht="20.100000000000001" customHeight="1">
      <c r="A8" s="11">
        <v>11</v>
      </c>
      <c r="B8" s="12">
        <f>'[6]Dia 1 (a)'!$P14</f>
        <v>18.2</v>
      </c>
      <c r="C8" s="12">
        <f>'[6]Dia 2 (a)'!$P14</f>
        <v>20</v>
      </c>
      <c r="D8" s="12">
        <f>'[6]Dia 3 (a)'!$P14</f>
        <v>18.399999999999999</v>
      </c>
      <c r="E8" s="12">
        <f>'[6]Dia 4 (a)'!$P14</f>
        <v>17.899999999999999</v>
      </c>
      <c r="F8" s="12">
        <f>'[6]Dia 5 (a)'!$P14</f>
        <v>19.600000000000001</v>
      </c>
      <c r="G8" s="12">
        <f>'[6]Dia 6 (a)'!$P14</f>
        <v>19.600000000000001</v>
      </c>
      <c r="H8" s="12">
        <f>'[6]Dia 7 (a)'!$P14</f>
        <v>19.899999999999999</v>
      </c>
      <c r="I8" s="12">
        <f>'[6]Dia 8 (a)'!$P14</f>
        <v>18.399999999999999</v>
      </c>
      <c r="J8" s="12">
        <f>'[6]Dia 9 (a)'!$P14</f>
        <v>18.5</v>
      </c>
      <c r="K8" s="12">
        <f>'[6]Dia 10 (a)'!$P14</f>
        <v>20.399999999999999</v>
      </c>
      <c r="L8" s="12">
        <f>'[6]Dia 11 (a)'!$P14</f>
        <v>17.3</v>
      </c>
      <c r="M8" s="12">
        <f>'[6]Dia 12 (a)'!$P14</f>
        <v>16.8</v>
      </c>
      <c r="N8" s="12">
        <f>'[6]Dia 13 (a)'!$P14</f>
        <v>14.5</v>
      </c>
      <c r="O8" s="12">
        <f>'[6]Dia 14 (a)'!$P14</f>
        <v>16.8</v>
      </c>
      <c r="P8" s="12">
        <f>'[6]Dia 15 (a)'!$P14</f>
        <v>15.6</v>
      </c>
      <c r="Q8" s="12">
        <f>'[6]Dia 16 (a)'!$P14</f>
        <v>16.600000000000001</v>
      </c>
      <c r="R8" s="12">
        <f>'[6]Dia 17 (a)'!$P14</f>
        <v>17.899999999999999</v>
      </c>
      <c r="S8" s="12">
        <f>'[6]Dia 18 (a)'!$P14</f>
        <v>17.600000000000001</v>
      </c>
      <c r="T8" s="12">
        <f>'[6]Dia 19 (a)'!$P14</f>
        <v>16.8</v>
      </c>
      <c r="U8" s="12">
        <f>'[6]Dia 20 (a)'!$P14</f>
        <v>17</v>
      </c>
      <c r="V8" s="12">
        <f>'[6]Dia 21 (a)'!$P14</f>
        <v>19.100000000000001</v>
      </c>
      <c r="W8" s="12">
        <f>'[6]Dia 22 (a)'!$P14</f>
        <v>18</v>
      </c>
      <c r="X8" s="12">
        <f>'[6]Dia 23 (a)'!$P14</f>
        <v>20.399999999999999</v>
      </c>
      <c r="Y8" s="12">
        <f>'[6]Dia 24 (a)'!$P14</f>
        <v>19.8</v>
      </c>
      <c r="Z8" s="12">
        <f>'[6]Dia 25 (a)'!$P14</f>
        <v>19.8</v>
      </c>
      <c r="AA8" s="12">
        <f>'[6]Dia 26 (a)'!$P14</f>
        <v>18.399999999999999</v>
      </c>
      <c r="AB8" s="12">
        <f>'[6]Dia 27 (a)'!$P14</f>
        <v>16.399999999999999</v>
      </c>
      <c r="AC8" s="12">
        <f>'[6]Dia 28 (a)'!$P14</f>
        <v>17.8</v>
      </c>
      <c r="AD8" s="12">
        <f>'[6]Dia 29 (a)'!$P14</f>
        <v>19</v>
      </c>
      <c r="AE8" s="12">
        <f>'[6]Dia 30 (a)'!$P14</f>
        <v>19</v>
      </c>
      <c r="AF8" s="13"/>
      <c r="AG8" s="14"/>
    </row>
    <row r="9" spans="1:33" ht="20.100000000000001" customHeight="1">
      <c r="A9" s="11">
        <v>12</v>
      </c>
      <c r="B9" s="12">
        <f>'[6]Dia 1 (a)'!$P15</f>
        <v>19.2</v>
      </c>
      <c r="C9" s="12">
        <f>'[6]Dia 2 (a)'!$P15</f>
        <v>19.600000000000001</v>
      </c>
      <c r="D9" s="12">
        <f>'[6]Dia 3 (a)'!$P15</f>
        <v>19.399999999999999</v>
      </c>
      <c r="E9" s="12">
        <f>'[6]Dia 4 (a)'!$P15</f>
        <v>18.399999999999999</v>
      </c>
      <c r="F9" s="12">
        <f>'[6]Dia 5 (a)'!$P15</f>
        <v>21</v>
      </c>
      <c r="G9" s="12">
        <f>'[6]Dia 6 (a)'!$P15</f>
        <v>21.2</v>
      </c>
      <c r="H9" s="12">
        <f>'[6]Dia 7 (a)'!$P15</f>
        <v>21.1</v>
      </c>
      <c r="I9" s="12">
        <f>'[6]Dia 8 (a)'!$P15</f>
        <v>18.5</v>
      </c>
      <c r="J9" s="12">
        <f>'[6]Dia 9 (a)'!$P15</f>
        <v>19.2</v>
      </c>
      <c r="K9" s="12">
        <f>'[6]Dia 10 (a)'!$P15</f>
        <v>21.2</v>
      </c>
      <c r="L9" s="12">
        <f>'[6]Dia 11 (a)'!$P15</f>
        <v>17.600000000000001</v>
      </c>
      <c r="M9" s="12">
        <f>'[6]Dia 12 (a)'!$P15</f>
        <v>18.399999999999999</v>
      </c>
      <c r="N9" s="12">
        <f>'[6]Dia 13 (a)'!$P15</f>
        <v>17.3</v>
      </c>
      <c r="O9" s="12">
        <f>'[6]Dia 14 (a)'!$P15</f>
        <v>17</v>
      </c>
      <c r="P9" s="12">
        <f>'[6]Dia 15 (a)'!$P15</f>
        <v>16.899999999999999</v>
      </c>
      <c r="Q9" s="12">
        <f>'[6]Dia 16 (a)'!$P15</f>
        <v>20</v>
      </c>
      <c r="R9" s="12">
        <f>'[6]Dia 17 (a)'!$P15</f>
        <v>21</v>
      </c>
      <c r="S9" s="12">
        <f>'[6]Dia 18 (a)'!$P15</f>
        <v>17.3</v>
      </c>
      <c r="T9" s="12">
        <f>'[6]Dia 19 (a)'!$P15</f>
        <v>17</v>
      </c>
      <c r="U9" s="12">
        <f>'[6]Dia 20 (a)'!$P15</f>
        <v>18.2</v>
      </c>
      <c r="V9" s="12">
        <f>'[6]Dia 21 (a)'!$P15</f>
        <v>21.4</v>
      </c>
      <c r="W9" s="12">
        <f>'[6]Dia 22 (a)'!$P15</f>
        <v>22.2</v>
      </c>
      <c r="X9" s="12">
        <f>'[6]Dia 23 (a)'!$P15</f>
        <v>23.4</v>
      </c>
      <c r="Y9" s="12">
        <f>'[6]Dia 24 (a)'!$P15</f>
        <v>22.8</v>
      </c>
      <c r="Z9" s="12">
        <f>'[6]Dia 25 (a)'!$P15</f>
        <v>22.3</v>
      </c>
      <c r="AA9" s="12">
        <f>'[6]Dia 26 (a)'!$P15</f>
        <v>19.2</v>
      </c>
      <c r="AB9" s="12">
        <f>'[6]Dia 27 (a)'!$P15</f>
        <v>17.2</v>
      </c>
      <c r="AC9" s="12">
        <f>'[6]Dia 28 (a)'!$P15</f>
        <v>20.7</v>
      </c>
      <c r="AD9" s="12">
        <f>'[6]Dia 29 (a)'!$P15</f>
        <v>21.7</v>
      </c>
      <c r="AE9" s="12">
        <f>'[6]Dia 30 (a)'!$P15</f>
        <v>22</v>
      </c>
      <c r="AF9" s="13"/>
      <c r="AG9" s="14"/>
    </row>
    <row r="10" spans="1:33" ht="20.100000000000001" customHeight="1">
      <c r="A10" s="11">
        <v>13</v>
      </c>
      <c r="B10" s="12">
        <f>'[6]Dia 1 (a)'!$P16</f>
        <v>21</v>
      </c>
      <c r="C10" s="12">
        <f>'[6]Dia 2 (a)'!$P16</f>
        <v>20</v>
      </c>
      <c r="D10" s="12">
        <f>'[6]Dia 3 (a)'!$P16</f>
        <v>20.7</v>
      </c>
      <c r="E10" s="12">
        <f>'[6]Dia 4 (a)'!$P16</f>
        <v>19.5</v>
      </c>
      <c r="F10" s="12">
        <f>'[6]Dia 5 (a)'!$P16</f>
        <v>23</v>
      </c>
      <c r="G10" s="12">
        <f>'[6]Dia 6 (a)'!$P16</f>
        <v>22.8</v>
      </c>
      <c r="H10" s="12">
        <f>'[6]Dia 7 (a)'!$P16</f>
        <v>22.2</v>
      </c>
      <c r="I10" s="12">
        <f>'[6]Dia 8 (a)'!$P16</f>
        <v>18.600000000000001</v>
      </c>
      <c r="J10" s="12">
        <f>'[6]Dia 9 (a)'!$P16</f>
        <v>19.7</v>
      </c>
      <c r="K10" s="12">
        <f>'[6]Dia 10 (a)'!$P16</f>
        <v>21.3</v>
      </c>
      <c r="L10" s="12">
        <f>'[6]Dia 11 (a)'!$P16</f>
        <v>16.7</v>
      </c>
      <c r="M10" s="12">
        <f>'[6]Dia 12 (a)'!$P16</f>
        <v>19.7</v>
      </c>
      <c r="N10" s="12">
        <f>'[6]Dia 13 (a)'!$P16</f>
        <v>19.8</v>
      </c>
      <c r="O10" s="12">
        <f>'[6]Dia 14 (a)'!$P16</f>
        <v>17.600000000000001</v>
      </c>
      <c r="P10" s="12">
        <f>'[6]Dia 15 (a)'!$P16</f>
        <v>18.600000000000001</v>
      </c>
      <c r="Q10" s="12">
        <f>'[6]Dia 16 (a)'!$P16</f>
        <v>22</v>
      </c>
      <c r="R10" s="12">
        <f>'[6]Dia 17 (a)'!$P16</f>
        <v>23.3</v>
      </c>
      <c r="S10" s="12">
        <f>'[6]Dia 18 (a)'!$P16</f>
        <v>17.399999999999999</v>
      </c>
      <c r="T10" s="12">
        <f>'[6]Dia 19 (a)'!$P16</f>
        <v>17.2</v>
      </c>
      <c r="U10" s="12">
        <f>'[6]Dia 20 (a)'!$P16</f>
        <v>19</v>
      </c>
      <c r="V10" s="12">
        <f>'[6]Dia 21 (a)'!$P16</f>
        <v>24.2</v>
      </c>
      <c r="W10" s="12">
        <f>'[6]Dia 22 (a)'!$P16</f>
        <v>22.6</v>
      </c>
      <c r="X10" s="12">
        <f>'[6]Dia 23 (a)'!$P16</f>
        <v>25.8</v>
      </c>
      <c r="Y10" s="12">
        <f>'[6]Dia 24 (a)'!$P16</f>
        <v>25.3</v>
      </c>
      <c r="Z10" s="12">
        <f>'[6]Dia 25 (a)'!$P16</f>
        <v>23.5</v>
      </c>
      <c r="AA10" s="12">
        <f>'[6]Dia 26 (a)'!$P16</f>
        <v>20.2</v>
      </c>
      <c r="AB10" s="12">
        <f>'[6]Dia 27 (a)'!$P16</f>
        <v>18.2</v>
      </c>
      <c r="AC10" s="12">
        <f>'[6]Dia 28 (a)'!$P16</f>
        <v>23.2</v>
      </c>
      <c r="AD10" s="12">
        <f>'[6]Dia 29 (a)'!$P16</f>
        <v>23</v>
      </c>
      <c r="AE10" s="12">
        <f>'[6]Dia 30 (a)'!$P16</f>
        <v>24.6</v>
      </c>
      <c r="AF10" s="13"/>
      <c r="AG10" s="14"/>
    </row>
    <row r="11" spans="1:33" ht="20.100000000000001" customHeight="1">
      <c r="A11" s="11">
        <v>14</v>
      </c>
      <c r="B11" s="12">
        <f>'[6]Dia 1 (a)'!$P17</f>
        <v>21.8</v>
      </c>
      <c r="C11" s="12">
        <f>'[6]Dia 2 (a)'!$P17</f>
        <v>20</v>
      </c>
      <c r="D11" s="12">
        <f>'[6]Dia 3 (a)'!$P17</f>
        <v>20.5</v>
      </c>
      <c r="E11" s="12">
        <f>'[6]Dia 4 (a)'!$P17</f>
        <v>20.3</v>
      </c>
      <c r="F11" s="12">
        <f>'[6]Dia 5 (a)'!$P17</f>
        <v>24</v>
      </c>
      <c r="G11" s="12">
        <f>'[6]Dia 6 (a)'!$P17</f>
        <v>23.8</v>
      </c>
      <c r="H11" s="12">
        <f>'[6]Dia 7 (a)'!$P17</f>
        <v>22.2</v>
      </c>
      <c r="I11" s="12">
        <f>'[6]Dia 8 (a)'!$P17</f>
        <v>18.7</v>
      </c>
      <c r="J11" s="12">
        <f>'[6]Dia 9 (a)'!$P17</f>
        <v>20.2</v>
      </c>
      <c r="K11" s="12">
        <f>'[6]Dia 10 (a)'!$P17</f>
        <v>22.2</v>
      </c>
      <c r="L11" s="12">
        <f>'[6]Dia 11 (a)'!$P17</f>
        <v>18</v>
      </c>
      <c r="M11" s="12">
        <f>'[6]Dia 12 (a)'!$P17</f>
        <v>20.6</v>
      </c>
      <c r="N11" s="12">
        <f>'[6]Dia 13 (a)'!$P17</f>
        <v>21.4</v>
      </c>
      <c r="O11" s="12">
        <f>'[6]Dia 14 (a)'!$P17</f>
        <v>18.2</v>
      </c>
      <c r="P11" s="12">
        <f>'[6]Dia 15 (a)'!$P17</f>
        <v>19.5</v>
      </c>
      <c r="Q11" s="12">
        <f>'[6]Dia 16 (a)'!$P17</f>
        <v>24.6</v>
      </c>
      <c r="R11" s="12">
        <f>'[6]Dia 17 (a)'!$P17</f>
        <v>24.7</v>
      </c>
      <c r="S11" s="12">
        <f>'[6]Dia 18 (a)'!$P17</f>
        <v>17.5</v>
      </c>
      <c r="T11" s="12">
        <f>'[6]Dia 19 (a)'!$P17</f>
        <v>17.8</v>
      </c>
      <c r="U11" s="12">
        <f>'[6]Dia 20 (a)'!$P17</f>
        <v>19.399999999999999</v>
      </c>
      <c r="V11" s="12">
        <f>'[6]Dia 21 (a)'!$P17</f>
        <v>25.4</v>
      </c>
      <c r="W11" s="12">
        <f>'[6]Dia 22 (a)'!$P17</f>
        <v>26</v>
      </c>
      <c r="X11" s="12">
        <f>'[6]Dia 23 (a)'!$P17</f>
        <v>27.2</v>
      </c>
      <c r="Y11" s="12">
        <f>'[6]Dia 24 (a)'!$P17</f>
        <v>26.4</v>
      </c>
      <c r="Z11" s="12">
        <f>'[6]Dia 25 (a)'!$P17</f>
        <v>23.8</v>
      </c>
      <c r="AA11" s="12">
        <f>'[6]Dia 26 (a)'!$P17</f>
        <v>20.7</v>
      </c>
      <c r="AB11" s="12">
        <f>'[6]Dia 27 (a)'!$P17</f>
        <v>18.600000000000001</v>
      </c>
      <c r="AC11" s="12">
        <f>'[6]Dia 28 (a)'!$P17</f>
        <v>24.6</v>
      </c>
      <c r="AD11" s="12">
        <f>'[6]Dia 29 (a)'!$P17</f>
        <v>23.3</v>
      </c>
      <c r="AE11" s="12">
        <f>'[6]Dia 30 (a)'!$P17</f>
        <v>26</v>
      </c>
      <c r="AF11" s="13"/>
      <c r="AG11" s="14"/>
    </row>
    <row r="12" spans="1:33" ht="20.100000000000001" customHeight="1">
      <c r="A12" s="11">
        <v>15</v>
      </c>
      <c r="B12" s="12">
        <f>'[6]Dia 1 (a)'!$P18</f>
        <v>22</v>
      </c>
      <c r="C12" s="12">
        <f>'[6]Dia 2 (a)'!$P18</f>
        <v>20</v>
      </c>
      <c r="D12" s="12">
        <f>'[6]Dia 3 (a)'!$P18</f>
        <v>20.399999999999999</v>
      </c>
      <c r="E12" s="12">
        <f>'[6]Dia 4 (a)'!$P18</f>
        <v>20.6</v>
      </c>
      <c r="F12" s="12">
        <f>'[6]Dia 5 (a)'!$P18</f>
        <v>24.4</v>
      </c>
      <c r="G12" s="12">
        <f>'[6]Dia 6 (a)'!$P18</f>
        <v>23.9</v>
      </c>
      <c r="H12" s="12">
        <f>'[6]Dia 7 (a)'!$P18</f>
        <v>21.8</v>
      </c>
      <c r="I12" s="12">
        <f>'[6]Dia 8 (a)'!$P18</f>
        <v>18.8</v>
      </c>
      <c r="J12" s="12">
        <f>'[6]Dia 9 (a)'!$P18</f>
        <v>20.6</v>
      </c>
      <c r="K12" s="12">
        <f>'[6]Dia 10 (a)'!$P18</f>
        <v>22.5</v>
      </c>
      <c r="L12" s="12">
        <f>'[6]Dia 11 (a)'!$P18</f>
        <v>18.5</v>
      </c>
      <c r="M12" s="12">
        <f>'[6]Dia 12 (a)'!$P18</f>
        <v>20.399999999999999</v>
      </c>
      <c r="N12" s="12">
        <f>'[6]Dia 13 (a)'!$P18</f>
        <v>21.5</v>
      </c>
      <c r="O12" s="12">
        <f>'[6]Dia 14 (a)'!$P18</f>
        <v>18.399999999999999</v>
      </c>
      <c r="P12" s="12">
        <f>'[6]Dia 15 (a)'!$P18</f>
        <v>20.399999999999999</v>
      </c>
      <c r="Q12" s="12">
        <f>'[6]Dia 16 (a)'!$P18</f>
        <v>24.6</v>
      </c>
      <c r="R12" s="12">
        <f>'[6]Dia 17 (a)'!$P18</f>
        <v>25</v>
      </c>
      <c r="S12" s="12">
        <f>'[6]Dia 18 (a)'!$P18</f>
        <v>17.3</v>
      </c>
      <c r="T12" s="12">
        <f>'[6]Dia 19 (a)'!$P18</f>
        <v>18.399999999999999</v>
      </c>
      <c r="U12" s="12">
        <f>'[6]Dia 20 (a)'!$P18</f>
        <v>20</v>
      </c>
      <c r="V12" s="12">
        <f>'[6]Dia 21 (a)'!$P18</f>
        <v>25.2</v>
      </c>
      <c r="W12" s="12">
        <f>'[6]Dia 22 (a)'!$P18</f>
        <v>26.4</v>
      </c>
      <c r="X12" s="12">
        <f>'[6]Dia 23 (a)'!$P18</f>
        <v>27.2</v>
      </c>
      <c r="Y12" s="12">
        <f>'[6]Dia 24 (a)'!$P18</f>
        <v>26.4</v>
      </c>
      <c r="Z12" s="12">
        <f>'[6]Dia 25 (a)'!$P18</f>
        <v>23.2</v>
      </c>
      <c r="AA12" s="12">
        <f>'[6]Dia 26 (a)'!$P18</f>
        <v>20.6</v>
      </c>
      <c r="AB12" s="12">
        <f>'[6]Dia 27 (a)'!$P18</f>
        <v>19.5</v>
      </c>
      <c r="AC12" s="12">
        <f>'[6]Dia 28 (a)'!$P18</f>
        <v>24.8</v>
      </c>
      <c r="AD12" s="12">
        <f>'[6]Dia 29 (a)'!$P18</f>
        <v>23.1</v>
      </c>
      <c r="AE12" s="12">
        <f>'[6]Dia 30 (a)'!$P18</f>
        <v>26.6</v>
      </c>
      <c r="AF12" s="13"/>
      <c r="AG12" s="14"/>
    </row>
    <row r="13" spans="1:33" ht="20.100000000000001" customHeight="1">
      <c r="A13" s="11">
        <v>16</v>
      </c>
      <c r="B13" s="12">
        <f>'[6]Dia 1 (a)'!$P19</f>
        <v>22.2</v>
      </c>
      <c r="C13" s="12">
        <f>'[6]Dia 2 (a)'!$P19</f>
        <v>20.100000000000001</v>
      </c>
      <c r="D13" s="12">
        <f>'[6]Dia 3 (a)'!$P19</f>
        <v>20</v>
      </c>
      <c r="E13" s="12">
        <f>'[6]Dia 4 (a)'!$P19</f>
        <v>20</v>
      </c>
      <c r="F13" s="12">
        <f>'[6]Dia 5 (a)'!$P19</f>
        <v>23.9</v>
      </c>
      <c r="G13" s="12">
        <f>'[6]Dia 6 (a)'!$P19</f>
        <v>23.4</v>
      </c>
      <c r="H13" s="12">
        <f>'[6]Dia 7 (a)'!$P19</f>
        <v>21.1</v>
      </c>
      <c r="I13" s="12">
        <f>'[6]Dia 8 (a)'!$P19</f>
        <v>18.7</v>
      </c>
      <c r="J13" s="12">
        <f>'[6]Dia 9 (a)'!$P19</f>
        <v>20.399999999999999</v>
      </c>
      <c r="K13" s="12">
        <f>'[6]Dia 10 (a)'!$P19</f>
        <v>21.2</v>
      </c>
      <c r="L13" s="12">
        <f>'[6]Dia 11 (a)'!$P19</f>
        <v>18.899999999999999</v>
      </c>
      <c r="M13" s="12">
        <f>'[6]Dia 12 (a)'!$P19</f>
        <v>19.8</v>
      </c>
      <c r="N13" s="12">
        <f>'[6]Dia 13 (a)'!$P19</f>
        <v>20.399999999999999</v>
      </c>
      <c r="O13" s="12">
        <f>'[6]Dia 14 (a)'!$P19</f>
        <v>18.2</v>
      </c>
      <c r="P13" s="12">
        <f>'[6]Dia 15 (a)'!$P19</f>
        <v>19.8</v>
      </c>
      <c r="Q13" s="12">
        <f>'[6]Dia 16 (a)'!$P19</f>
        <v>23.9</v>
      </c>
      <c r="R13" s="12">
        <f>'[6]Dia 17 (a)'!$P19</f>
        <v>23.8</v>
      </c>
      <c r="S13" s="12">
        <f>'[6]Dia 18 (a)'!$P19</f>
        <v>17.100000000000001</v>
      </c>
      <c r="T13" s="12">
        <f>'[6]Dia 19 (a)'!$P19</f>
        <v>18.2</v>
      </c>
      <c r="U13" s="12">
        <f>'[6]Dia 20 (a)'!$P19</f>
        <v>20.100000000000001</v>
      </c>
      <c r="V13" s="12">
        <f>'[6]Dia 21 (a)'!$P19</f>
        <v>24.8</v>
      </c>
      <c r="W13" s="12">
        <f>'[6]Dia 22 (a)'!$P19</f>
        <v>25.8</v>
      </c>
      <c r="X13" s="12">
        <f>'[6]Dia 23 (a)'!$P19</f>
        <v>26.5</v>
      </c>
      <c r="Y13" s="12">
        <f>'[6]Dia 24 (a)'!$P19</f>
        <v>25.6</v>
      </c>
      <c r="Z13" s="12">
        <f>'[6]Dia 25 (a)'!$P19</f>
        <v>22</v>
      </c>
      <c r="AA13" s="12">
        <f>'[6]Dia 26 (a)'!$P19</f>
        <v>19.899999999999999</v>
      </c>
      <c r="AB13" s="12">
        <f>'[6]Dia 27 (a)'!$P19</f>
        <v>19.600000000000001</v>
      </c>
      <c r="AC13" s="12">
        <f>'[6]Dia 28 (a)'!$P19</f>
        <v>24</v>
      </c>
      <c r="AD13" s="12">
        <f>'[6]Dia 29 (a)'!$P19</f>
        <v>23</v>
      </c>
      <c r="AE13" s="12">
        <f>'[6]Dia 30 (a)'!$P19</f>
        <v>25.4</v>
      </c>
      <c r="AF13" s="13"/>
      <c r="AG13" s="14"/>
    </row>
    <row r="14" spans="1:33" ht="20.100000000000001" customHeight="1">
      <c r="A14" s="11">
        <v>17</v>
      </c>
      <c r="B14" s="12">
        <f>'[6]Dia 1 (a)'!$P20</f>
        <v>21.6</v>
      </c>
      <c r="C14" s="12">
        <f>'[6]Dia 2 (a)'!$P20</f>
        <v>19.399999999999999</v>
      </c>
      <c r="D14" s="12">
        <f>'[6]Dia 3 (a)'!$P20</f>
        <v>20</v>
      </c>
      <c r="E14" s="12">
        <f>'[6]Dia 4 (a)'!$P20</f>
        <v>19.5</v>
      </c>
      <c r="F14" s="12">
        <f>'[6]Dia 5 (a)'!$P20</f>
        <v>22.9</v>
      </c>
      <c r="G14" s="12">
        <f>'[6]Dia 6 (a)'!$P20</f>
        <v>22.4</v>
      </c>
      <c r="H14" s="12">
        <f>'[6]Dia 7 (a)'!$P20</f>
        <v>20.7</v>
      </c>
      <c r="I14" s="12">
        <f>'[6]Dia 8 (a)'!$P20</f>
        <v>18.5</v>
      </c>
      <c r="J14" s="12">
        <f>'[6]Dia 9 (a)'!$P20</f>
        <v>20</v>
      </c>
      <c r="K14" s="12">
        <f>'[6]Dia 10 (a)'!$P20</f>
        <v>20.6</v>
      </c>
      <c r="L14" s="12">
        <f>'[6]Dia 11 (a)'!$P20</f>
        <v>18.3</v>
      </c>
      <c r="M14" s="12">
        <f>'[6]Dia 12 (a)'!$P20</f>
        <v>18.600000000000001</v>
      </c>
      <c r="N14" s="12">
        <f>'[6]Dia 13 (a)'!$P20</f>
        <v>19.600000000000001</v>
      </c>
      <c r="O14" s="12">
        <f>'[6]Dia 14 (a)'!$P20</f>
        <v>17.8</v>
      </c>
      <c r="P14" s="12">
        <f>'[6]Dia 15 (a)'!$P20</f>
        <v>18.8</v>
      </c>
      <c r="Q14" s="12">
        <f>'[6]Dia 16 (a)'!$P20</f>
        <v>22.6</v>
      </c>
      <c r="R14" s="12">
        <f>'[6]Dia 17 (a)'!$P20</f>
        <v>22.7</v>
      </c>
      <c r="S14" s="12">
        <f>'[6]Dia 18 (a)'!$P20</f>
        <v>16.8</v>
      </c>
      <c r="T14" s="12">
        <f>'[6]Dia 19 (a)'!$P20</f>
        <v>17.600000000000001</v>
      </c>
      <c r="U14" s="12">
        <f>'[6]Dia 20 (a)'!$P20</f>
        <v>19.600000000000001</v>
      </c>
      <c r="V14" s="12">
        <f>'[6]Dia 21 (a)'!$P20</f>
        <v>23.5</v>
      </c>
      <c r="W14" s="12">
        <f>'[6]Dia 22 (a)'!$P20</f>
        <v>24.6</v>
      </c>
      <c r="X14" s="12">
        <f>'[6]Dia 23 (a)'!$P20</f>
        <v>24.9</v>
      </c>
      <c r="Y14" s="12">
        <f>'[6]Dia 24 (a)'!$P20</f>
        <v>24.6</v>
      </c>
      <c r="Z14" s="12">
        <f>'[6]Dia 25 (a)'!$P20</f>
        <v>21.2</v>
      </c>
      <c r="AA14" s="12">
        <f>'[6]Dia 26 (a)'!$P20</f>
        <v>19</v>
      </c>
      <c r="AB14" s="12">
        <f>'[6]Dia 27 (a)'!$P20</f>
        <v>19</v>
      </c>
      <c r="AC14" s="12">
        <f>'[6]Dia 28 (a)'!$P20</f>
        <v>23.2</v>
      </c>
      <c r="AD14" s="12">
        <f>'[6]Dia 29 (a)'!$P20</f>
        <v>22.2</v>
      </c>
      <c r="AE14" s="12">
        <f>'[6]Dia 30 (a)'!$P20</f>
        <v>24.2</v>
      </c>
      <c r="AF14" s="13"/>
      <c r="AG14" s="14"/>
    </row>
    <row r="15" spans="1:33" ht="20.100000000000001" customHeight="1">
      <c r="A15" s="11">
        <v>18</v>
      </c>
      <c r="B15" s="12">
        <f>'[6]Dia 1 (a)'!$P21</f>
        <v>20.8</v>
      </c>
      <c r="C15" s="12">
        <f>'[6]Dia 2 (a)'!$P21</f>
        <v>18.899999999999999</v>
      </c>
      <c r="D15" s="12">
        <f>'[6]Dia 3 (a)'!$P21</f>
        <v>19</v>
      </c>
      <c r="E15" s="12">
        <f>'[6]Dia 4 (a)'!$P21</f>
        <v>18.600000000000001</v>
      </c>
      <c r="F15" s="12">
        <f>'[6]Dia 5 (a)'!$P21</f>
        <v>21.4</v>
      </c>
      <c r="G15" s="12">
        <f>'[6]Dia 6 (a)'!$P21</f>
        <v>21.3</v>
      </c>
      <c r="H15" s="12">
        <f>'[6]Dia 7 (a)'!$P21</f>
        <v>20</v>
      </c>
      <c r="I15" s="12">
        <f>'[6]Dia 8 (a)'!$P21</f>
        <v>18.2</v>
      </c>
      <c r="J15" s="12">
        <f>'[6]Dia 9 (a)'!$P21</f>
        <v>19.600000000000001</v>
      </c>
      <c r="K15" s="12">
        <f>'[6]Dia 10 (a)'!$P21</f>
        <v>19.8</v>
      </c>
      <c r="L15" s="12">
        <f>'[6]Dia 11 (a)'!$P21</f>
        <v>17.600000000000001</v>
      </c>
      <c r="M15" s="12">
        <f>'[6]Dia 12 (a)'!$P21</f>
        <v>17.600000000000001</v>
      </c>
      <c r="N15" s="12">
        <f>'[6]Dia 13 (a)'!$P21</f>
        <v>17.600000000000001</v>
      </c>
      <c r="O15" s="12">
        <f>'[6]Dia 14 (a)'!$P21</f>
        <v>16.600000000000001</v>
      </c>
      <c r="P15" s="12">
        <f>'[6]Dia 15 (a)'!$P21</f>
        <v>17.8</v>
      </c>
      <c r="Q15" s="12">
        <f>'[6]Dia 16 (a)'!$P21</f>
        <v>21.1</v>
      </c>
      <c r="R15" s="12">
        <f>'[6]Dia 17 (a)'!$P21</f>
        <v>21</v>
      </c>
      <c r="S15" s="12">
        <f>'[6]Dia 18 (a)'!$P21</f>
        <v>16.600000000000001</v>
      </c>
      <c r="T15" s="12">
        <f>'[6]Dia 19 (a)'!$P21</f>
        <v>17</v>
      </c>
      <c r="U15" s="12">
        <f>'[6]Dia 20 (a)'!$P21</f>
        <v>18.7</v>
      </c>
      <c r="V15" s="12">
        <f>'[6]Dia 21 (a)'!$P21</f>
        <v>22.4</v>
      </c>
      <c r="W15" s="12">
        <f>'[6]Dia 22 (a)'!$P21</f>
        <v>23.3</v>
      </c>
      <c r="X15" s="12">
        <f>'[6]Dia 23 (a)'!$P21</f>
        <v>23.5</v>
      </c>
      <c r="Y15" s="12">
        <f>'[6]Dia 24 (a)'!$P21</f>
        <v>23</v>
      </c>
      <c r="Z15" s="12">
        <f>'[6]Dia 25 (a)'!$P21</f>
        <v>20.5</v>
      </c>
      <c r="AA15" s="12">
        <f>'[6]Dia 26 (a)'!$P21</f>
        <v>18.399999999999999</v>
      </c>
      <c r="AB15" s="12">
        <f>'[6]Dia 27 (a)'!$P21</f>
        <v>18</v>
      </c>
      <c r="AC15" s="12">
        <f>'[6]Dia 28 (a)'!$P21</f>
        <v>21.8</v>
      </c>
      <c r="AD15" s="12">
        <f>'[6]Dia 29 (a)'!$P21</f>
        <v>21.1</v>
      </c>
      <c r="AE15" s="12">
        <f>'[6]Dia 30 (a)'!$P21</f>
        <v>22.4</v>
      </c>
      <c r="AF15" s="13"/>
      <c r="AG15" s="14"/>
    </row>
    <row r="16" spans="1:33" ht="20.100000000000001" customHeight="1">
      <c r="A16" s="11">
        <v>19</v>
      </c>
      <c r="B16" s="12">
        <f>'[6]Dia 1 (a)'!$P22</f>
        <v>20.3</v>
      </c>
      <c r="C16" s="12">
        <f>'[6]Dia 2 (a)'!$P22</f>
        <v>18.5</v>
      </c>
      <c r="D16" s="12">
        <f>'[6]Dia 3 (a)'!$P22</f>
        <v>18</v>
      </c>
      <c r="E16" s="12">
        <f>'[6]Dia 4 (a)'!$P22</f>
        <v>18</v>
      </c>
      <c r="F16" s="12">
        <f>'[6]Dia 5 (a)'!$P22</f>
        <v>20</v>
      </c>
      <c r="G16" s="12">
        <f>'[6]Dia 6 (a)'!$P22</f>
        <v>20.399999999999999</v>
      </c>
      <c r="H16" s="12">
        <f>'[6]Dia 7 (a)'!$P22</f>
        <v>19.5</v>
      </c>
      <c r="I16" s="12">
        <f>'[6]Dia 8 (a)'!$P22</f>
        <v>18</v>
      </c>
      <c r="J16" s="12">
        <f>'[6]Dia 9 (a)'!$P22</f>
        <v>19</v>
      </c>
      <c r="K16" s="12">
        <f>'[6]Dia 10 (a)'!$P22</f>
        <v>19.399999999999999</v>
      </c>
      <c r="L16" s="12">
        <f>'[6]Dia 11 (a)'!$P22</f>
        <v>17</v>
      </c>
      <c r="M16" s="12">
        <f>'[6]Dia 12 (a)'!$P22</f>
        <v>16.2</v>
      </c>
      <c r="N16" s="12">
        <f>'[6]Dia 13 (a)'!$P22</f>
        <v>16.399999999999999</v>
      </c>
      <c r="O16" s="12">
        <f>'[6]Dia 14 (a)'!$P22</f>
        <v>16</v>
      </c>
      <c r="P16" s="12">
        <f>'[6]Dia 15 (a)'!$P22</f>
        <v>17.2</v>
      </c>
      <c r="Q16" s="12">
        <f>'[6]Dia 16 (a)'!$P22</f>
        <v>19.8</v>
      </c>
      <c r="R16" s="12">
        <f>'[6]Dia 17 (a)'!$P22</f>
        <v>20.2</v>
      </c>
      <c r="S16" s="12">
        <f>'[6]Dia 18 (a)'!$P22</f>
        <v>16.399999999999999</v>
      </c>
      <c r="T16" s="12">
        <f>'[6]Dia 19 (a)'!$P22</f>
        <v>16.600000000000001</v>
      </c>
      <c r="U16" s="12">
        <f>'[6]Dia 20 (a)'!$P22</f>
        <v>17.8</v>
      </c>
      <c r="V16" s="12">
        <f>'[6]Dia 21 (a)'!$P22</f>
        <v>21.2</v>
      </c>
      <c r="W16" s="12">
        <f>'[6]Dia 22 (a)'!$P22</f>
        <v>21.9</v>
      </c>
      <c r="X16" s="12">
        <f>'[6]Dia 23 (a)'!$P22</f>
        <v>22.2</v>
      </c>
      <c r="Y16" s="12">
        <f>'[6]Dia 24 (a)'!$P22</f>
        <v>21.9</v>
      </c>
      <c r="Z16" s="12">
        <f>'[6]Dia 25 (a)'!$P22</f>
        <v>19.899999999999999</v>
      </c>
      <c r="AA16" s="12">
        <f>'[6]Dia 26 (a)'!$P22</f>
        <v>17.8</v>
      </c>
      <c r="AB16" s="12">
        <f>'[6]Dia 27 (a)'!$P22</f>
        <v>17</v>
      </c>
      <c r="AC16" s="12">
        <f>'[6]Dia 28 (a)'!$P22</f>
        <v>20.399999999999999</v>
      </c>
      <c r="AD16" s="12">
        <f>'[6]Dia 29 (a)'!$P22</f>
        <v>20.399999999999999</v>
      </c>
      <c r="AE16" s="12">
        <f>'[6]Dia 30 (a)'!$P22</f>
        <v>21.1</v>
      </c>
      <c r="AF16" s="13"/>
      <c r="AG16" s="14"/>
    </row>
    <row r="17" spans="1:33" ht="20.100000000000001" customHeight="1">
      <c r="A17" s="11">
        <v>20</v>
      </c>
      <c r="B17" s="12">
        <f>'[6]Dia 1 (a)'!$P23</f>
        <v>20</v>
      </c>
      <c r="C17" s="12">
        <f>'[6]Dia 2 (a)'!$P23</f>
        <v>18.2</v>
      </c>
      <c r="D17" s="12">
        <f>'[6]Dia 3 (a)'!$P23</f>
        <v>17</v>
      </c>
      <c r="E17" s="12">
        <f>'[6]Dia 4 (a)'!$P23</f>
        <v>17.7</v>
      </c>
      <c r="F17" s="12">
        <f>'[6]Dia 5 (a)'!$P23</f>
        <v>19.5</v>
      </c>
      <c r="G17" s="12">
        <f>'[6]Dia 6 (a)'!$P23</f>
        <v>19.7</v>
      </c>
      <c r="H17" s="12">
        <f>'[6]Dia 7 (a)'!$P23</f>
        <v>19.100000000000001</v>
      </c>
      <c r="I17" s="12">
        <f>'[6]Dia 8 (a)'!$P23</f>
        <v>17.8</v>
      </c>
      <c r="J17" s="12">
        <f>'[6]Dia 9 (a)'!$P23</f>
        <v>18.600000000000001</v>
      </c>
      <c r="K17" s="12">
        <f>'[6]Dia 10 (a)'!$P23</f>
        <v>19</v>
      </c>
      <c r="L17" s="12">
        <f>'[6]Dia 11 (a)'!$P23</f>
        <v>16.7</v>
      </c>
      <c r="M17" s="12">
        <f>'[6]Dia 12 (a)'!$P23</f>
        <v>15.6</v>
      </c>
      <c r="N17" s="12">
        <f>'[6]Dia 13 (a)'!$P23</f>
        <v>16</v>
      </c>
      <c r="O17" s="12">
        <f>'[6]Dia 14 (a)'!$P23</f>
        <v>15</v>
      </c>
      <c r="P17" s="12">
        <f>'[6]Dia 15 (a)'!$P23</f>
        <v>16.399999999999999</v>
      </c>
      <c r="Q17" s="12">
        <f>'[6]Dia 16 (a)'!$P23</f>
        <v>18.7</v>
      </c>
      <c r="R17" s="12">
        <f>'[6]Dia 17 (a)'!$P23</f>
        <v>19.600000000000001</v>
      </c>
      <c r="S17" s="12">
        <f>'[6]Dia 18 (a)'!$P23</f>
        <v>16.2</v>
      </c>
      <c r="T17" s="12">
        <f>'[6]Dia 19 (a)'!$P23</f>
        <v>16.399999999999999</v>
      </c>
      <c r="U17" s="12">
        <f>'[6]Dia 20 (a)'!$P23</f>
        <v>17.3</v>
      </c>
      <c r="V17" s="12">
        <f>'[6]Dia 21 (a)'!$P23</f>
        <v>20.2</v>
      </c>
      <c r="W17" s="12">
        <f>'[6]Dia 22 (a)'!$P23</f>
        <v>20.6</v>
      </c>
      <c r="X17" s="12">
        <f>'[6]Dia 23 (a)'!$P23</f>
        <v>21</v>
      </c>
      <c r="Y17" s="12">
        <f>'[6]Dia 24 (a)'!$P23</f>
        <v>20.9</v>
      </c>
      <c r="Z17" s="12">
        <f>'[6]Dia 25 (a)'!$P23</f>
        <v>19.399999999999999</v>
      </c>
      <c r="AA17" s="12">
        <f>'[6]Dia 26 (a)'!$P23</f>
        <v>17.600000000000001</v>
      </c>
      <c r="AB17" s="12">
        <f>'[6]Dia 27 (a)'!$P23</f>
        <v>16.399999999999999</v>
      </c>
      <c r="AC17" s="12">
        <f>'[6]Dia 28 (a)'!$P23</f>
        <v>19.399999999999999</v>
      </c>
      <c r="AD17" s="12">
        <f>'[6]Dia 29 (a)'!$P23</f>
        <v>19.600000000000001</v>
      </c>
      <c r="AE17" s="12">
        <f>'[6]Dia 30 (a)'!$P23</f>
        <v>19.8</v>
      </c>
      <c r="AF17" s="13"/>
      <c r="AG17" s="14"/>
    </row>
    <row r="18" spans="1:33" ht="20.100000000000001" customHeight="1">
      <c r="A18" s="11">
        <v>21</v>
      </c>
      <c r="B18" s="12">
        <f>'[6]Dia 1 (a)'!$P24</f>
        <v>19.600000000000001</v>
      </c>
      <c r="C18" s="12">
        <f>'[6]Dia 2 (a)'!$P24</f>
        <v>17.7</v>
      </c>
      <c r="D18" s="12">
        <f>'[6]Dia 3 (a)'!$P24</f>
        <v>17.100000000000001</v>
      </c>
      <c r="E18" s="12">
        <f>'[6]Dia 4 (a)'!$P24</f>
        <v>17.399999999999999</v>
      </c>
      <c r="F18" s="12">
        <f>'[6]Dia 5 (a)'!$P24</f>
        <v>19.100000000000001</v>
      </c>
      <c r="G18" s="12">
        <f>'[6]Dia 6 (a)'!$P24</f>
        <v>19</v>
      </c>
      <c r="H18" s="12">
        <f>'[6]Dia 7 (a)'!$P24</f>
        <v>18.8</v>
      </c>
      <c r="I18" s="12">
        <f>'[6]Dia 8 (a)'!$P24</f>
        <v>17.600000000000001</v>
      </c>
      <c r="J18" s="12">
        <f>'[6]Dia 9 (a)'!$P24</f>
        <v>18.2</v>
      </c>
      <c r="K18" s="12">
        <f>'[6]Dia 10 (a)'!$P24</f>
        <v>18.600000000000001</v>
      </c>
      <c r="L18" s="12">
        <f>'[6]Dia 11 (a)'!$P24</f>
        <v>16.600000000000001</v>
      </c>
      <c r="M18" s="12">
        <f>'[6]Dia 12 (a)'!$P24</f>
        <v>14</v>
      </c>
      <c r="N18" s="12">
        <f>'[6]Dia 13 (a)'!$P24</f>
        <v>15.6</v>
      </c>
      <c r="O18" s="12">
        <f>'[6]Dia 14 (a)'!$P24</f>
        <v>14.4</v>
      </c>
      <c r="P18" s="12">
        <f>'[6]Dia 15 (a)'!$P24</f>
        <v>15.8</v>
      </c>
      <c r="Q18" s="12">
        <f>'[6]Dia 16 (a)'!$P24</f>
        <v>17.7</v>
      </c>
      <c r="R18" s="12">
        <f>'[6]Dia 17 (a)'!$P24</f>
        <v>19.2</v>
      </c>
      <c r="S18" s="12">
        <f>'[6]Dia 18 (a)'!$P24</f>
        <v>16</v>
      </c>
      <c r="T18" s="12">
        <f>'[6]Dia 19 (a)'!$P24</f>
        <v>16.2</v>
      </c>
      <c r="U18" s="12">
        <f>'[6]Dia 20 (a)'!$P24</f>
        <v>16.600000000000001</v>
      </c>
      <c r="V18" s="12">
        <f>'[6]Dia 21 (a)'!$P24</f>
        <v>19.5</v>
      </c>
      <c r="W18" s="12">
        <f>'[6]Dia 22 (a)'!$P24</f>
        <v>20</v>
      </c>
      <c r="X18" s="12">
        <f>'[6]Dia 23 (a)'!$P24</f>
        <v>20.2</v>
      </c>
      <c r="Y18" s="12">
        <f>'[6]Dia 24 (a)'!$P24</f>
        <v>20</v>
      </c>
      <c r="Z18" s="12">
        <f>'[6]Dia 25 (a)'!$P24</f>
        <v>19</v>
      </c>
      <c r="AA18" s="12">
        <f>'[6]Dia 26 (a)'!$P24</f>
        <v>17.2</v>
      </c>
      <c r="AB18" s="12">
        <f>'[6]Dia 27 (a)'!$P24</f>
        <v>16.2</v>
      </c>
      <c r="AC18" s="12">
        <f>'[6]Dia 28 (a)'!$P24</f>
        <v>18.399999999999999</v>
      </c>
      <c r="AD18" s="12">
        <f>'[6]Dia 29 (a)'!$P24</f>
        <v>19</v>
      </c>
      <c r="AE18" s="12">
        <f>'[6]Dia 30 (a)'!$P24</f>
        <v>18.8</v>
      </c>
      <c r="AF18" s="13"/>
      <c r="AG18" s="14"/>
    </row>
    <row r="19" spans="1:33" ht="20.100000000000001" customHeight="1">
      <c r="A19" s="11">
        <v>22</v>
      </c>
      <c r="B19" s="12">
        <f>'[6]Dia 1 (a)'!$P25</f>
        <v>19.399999999999999</v>
      </c>
      <c r="C19" s="12">
        <f>'[6]Dia 2 (a)'!$P25</f>
        <v>17.600000000000001</v>
      </c>
      <c r="D19" s="12">
        <f>'[6]Dia 3 (a)'!$P25</f>
        <v>17.2</v>
      </c>
      <c r="E19" s="12">
        <f>'[6]Dia 4 (a)'!$P25</f>
        <v>17.2</v>
      </c>
      <c r="F19" s="12">
        <f>'[6]Dia 5 (a)'!$P25</f>
        <v>18.600000000000001</v>
      </c>
      <c r="G19" s="12">
        <f>'[6]Dia 6 (a)'!$P25</f>
        <v>18.8</v>
      </c>
      <c r="H19" s="12">
        <f>'[6]Dia 7 (a)'!$P25</f>
        <v>18.5</v>
      </c>
      <c r="I19" s="12">
        <f>'[6]Dia 8 (a)'!$P25</f>
        <v>17.5</v>
      </c>
      <c r="J19" s="12">
        <f>'[6]Dia 9 (a)'!$P25</f>
        <v>18</v>
      </c>
      <c r="K19" s="12">
        <f>'[6]Dia 10 (a)'!$P25</f>
        <v>18.3</v>
      </c>
      <c r="L19" s="12">
        <f>'[6]Dia 11 (a)'!$P25</f>
        <v>16.399999999999999</v>
      </c>
      <c r="M19" s="12">
        <f>'[6]Dia 12 (a)'!$P25</f>
        <v>14</v>
      </c>
      <c r="N19" s="12">
        <f>'[6]Dia 13 (a)'!$P25</f>
        <v>15.2</v>
      </c>
      <c r="O19" s="12">
        <f>'[6]Dia 14 (a)'!$P25</f>
        <v>14</v>
      </c>
      <c r="P19" s="12">
        <f>'[6]Dia 15 (a)'!$P25</f>
        <v>15.3</v>
      </c>
      <c r="Q19" s="12">
        <f>'[6]Dia 16 (a)'!$P25</f>
        <v>17.100000000000001</v>
      </c>
      <c r="R19" s="12">
        <f>'[6]Dia 17 (a)'!$P25</f>
        <v>18.7</v>
      </c>
      <c r="S19" s="12">
        <f>'[6]Dia 18 (a)'!$P25</f>
        <v>15.8</v>
      </c>
      <c r="T19" s="12">
        <f>'[6]Dia 19 (a)'!$P25</f>
        <v>16</v>
      </c>
      <c r="U19" s="12">
        <f>'[6]Dia 20 (a)'!$P25</f>
        <v>16.3</v>
      </c>
      <c r="V19" s="12">
        <f>'[6]Dia 21 (a)'!$P25</f>
        <v>18.8</v>
      </c>
      <c r="W19" s="12">
        <f>'[6]Dia 22 (a)'!$P25</f>
        <v>19.3</v>
      </c>
      <c r="X19" s="12">
        <f>'[6]Dia 23 (a)'!$P25</f>
        <v>19.399999999999999</v>
      </c>
      <c r="Y19" s="12">
        <f>'[6]Dia 24 (a)'!$P25</f>
        <v>19.399999999999999</v>
      </c>
      <c r="Z19" s="12">
        <f>'[6]Dia 25 (a)'!$P25</f>
        <v>18.600000000000001</v>
      </c>
      <c r="AA19" s="12">
        <f>'[6]Dia 26 (a)'!$P25</f>
        <v>16.8</v>
      </c>
      <c r="AB19" s="12">
        <f>'[6]Dia 27 (a)'!$P25</f>
        <v>15.8</v>
      </c>
      <c r="AC19" s="12">
        <f>'[6]Dia 28 (a)'!$P25</f>
        <v>17.8</v>
      </c>
      <c r="AD19" s="12">
        <f>'[6]Dia 29 (a)'!$P25</f>
        <v>18.399999999999999</v>
      </c>
      <c r="AE19" s="12">
        <f>'[6]Dia 30 (a)'!$P25</f>
        <v>18.100000000000001</v>
      </c>
      <c r="AF19" s="13"/>
      <c r="AG19" s="14"/>
    </row>
    <row r="20" spans="1:33" ht="20.100000000000001" customHeight="1">
      <c r="A20" s="11">
        <v>23</v>
      </c>
      <c r="B20" s="12">
        <f>'[6]Dia 1 (a)'!$P26</f>
        <v>19</v>
      </c>
      <c r="C20" s="12">
        <f>'[6]Dia 2 (a)'!$P26</f>
        <v>17.5</v>
      </c>
      <c r="D20" s="12">
        <f>'[6]Dia 3 (a)'!$P26</f>
        <v>17</v>
      </c>
      <c r="E20" s="12">
        <f>'[6]Dia 4 (a)'!$P26</f>
        <v>17</v>
      </c>
      <c r="F20" s="12">
        <f>'[6]Dia 5 (a)'!$P26</f>
        <v>18.3</v>
      </c>
      <c r="G20" s="12">
        <f>'[6]Dia 6 (a)'!$P26</f>
        <v>18.600000000000001</v>
      </c>
      <c r="H20" s="12">
        <f>'[6]Dia 7 (a)'!$P26</f>
        <v>18.399999999999999</v>
      </c>
      <c r="I20" s="12">
        <f>'[6]Dia 8 (a)'!$P26</f>
        <v>17.5</v>
      </c>
      <c r="J20" s="12">
        <f>'[6]Dia 9 (a)'!$P26</f>
        <v>18</v>
      </c>
      <c r="K20" s="12">
        <f>'[6]Dia 10 (a)'!$P26</f>
        <v>18</v>
      </c>
      <c r="L20" s="12">
        <f>'[6]Dia 11 (a)'!$P26</f>
        <v>16.399999999999999</v>
      </c>
      <c r="M20" s="12">
        <f>'[6]Dia 12 (a)'!$P26</f>
        <v>13.6</v>
      </c>
      <c r="N20" s="12">
        <f>'[6]Dia 13 (a)'!$P26</f>
        <v>15</v>
      </c>
      <c r="O20" s="12">
        <f>'[6]Dia 14 (a)'!$P26</f>
        <v>13.6</v>
      </c>
      <c r="P20" s="12">
        <f>'[6]Dia 15 (a)'!$P26</f>
        <v>15.1</v>
      </c>
      <c r="Q20" s="12">
        <f>'[6]Dia 16 (a)'!$P26</f>
        <v>16.399999999999999</v>
      </c>
      <c r="R20" s="12">
        <f>'[6]Dia 17 (a)'!$P26</f>
        <v>18.2</v>
      </c>
      <c r="S20" s="12">
        <f>'[6]Dia 18 (a)'!$P26</f>
        <v>15.6</v>
      </c>
      <c r="T20" s="12">
        <f>'[6]Dia 19 (a)'!$P26</f>
        <v>16</v>
      </c>
      <c r="U20" s="12">
        <f>'[6]Dia 20 (a)'!$P26</f>
        <v>15.8</v>
      </c>
      <c r="V20" s="12">
        <f>'[6]Dia 21 (a)'!$P26</f>
        <v>18.3</v>
      </c>
      <c r="W20" s="12">
        <f>'[6]Dia 22 (a)'!$P26</f>
        <v>18.600000000000001</v>
      </c>
      <c r="X20" s="12">
        <f>'[6]Dia 23 (a)'!$P26</f>
        <v>18.7</v>
      </c>
      <c r="Y20" s="12">
        <f>'[6]Dia 24 (a)'!$P26</f>
        <v>18.7</v>
      </c>
      <c r="Z20" s="12">
        <f>'[6]Dia 25 (a)'!$P26</f>
        <v>18.399999999999999</v>
      </c>
      <c r="AA20" s="12">
        <f>'[6]Dia 26 (a)'!$P26</f>
        <v>16.7</v>
      </c>
      <c r="AB20" s="12">
        <f>'[6]Dia 27 (a)'!$P26</f>
        <v>15.4</v>
      </c>
      <c r="AC20" s="12">
        <f>'[6]Dia 28 (a)'!$P26</f>
        <v>17.399999999999999</v>
      </c>
      <c r="AD20" s="12">
        <f>'[6]Dia 29 (a)'!$P26</f>
        <v>17.899999999999999</v>
      </c>
      <c r="AE20" s="12">
        <f>'[6]Dia 30 (a)'!$P26</f>
        <v>17.399999999999999</v>
      </c>
      <c r="AF20" s="13"/>
      <c r="AG20" s="14"/>
    </row>
    <row r="21" spans="1:33" ht="20.100000000000001" customHeight="1" thickBot="1">
      <c r="A21" s="16">
        <v>24</v>
      </c>
      <c r="B21" s="17">
        <f>'[6]Dia 1 (a)'!$P27</f>
        <v>18.600000000000001</v>
      </c>
      <c r="C21" s="17">
        <f>'[6]Dia 2 (a)'!$P27</f>
        <v>17.3</v>
      </c>
      <c r="D21" s="17">
        <f>'[6]Dia 3 (a)'!$P27</f>
        <v>16.8</v>
      </c>
      <c r="E21" s="17">
        <f>'[6]Dia 4 (a)'!$P27</f>
        <v>16.899999999999999</v>
      </c>
      <c r="F21" s="17">
        <f>'[6]Dia 5 (a)'!$P27</f>
        <v>17.5</v>
      </c>
      <c r="G21" s="17">
        <f>'[6]Dia 6 (a)'!$P27</f>
        <v>18.3</v>
      </c>
      <c r="H21" s="17">
        <f>'[6]Dia 7 (a)'!$P27</f>
        <v>18.2</v>
      </c>
      <c r="I21" s="17">
        <f>'[6]Dia 8 (a)'!$P27</f>
        <v>17.399999999999999</v>
      </c>
      <c r="J21" s="17">
        <f>'[6]Dia 9 (a)'!$P27</f>
        <v>18.2</v>
      </c>
      <c r="K21" s="17">
        <f>'[6]Dia 10 (a)'!$P27</f>
        <v>17.7</v>
      </c>
      <c r="L21" s="17">
        <f>'[6]Dia 11 (a)'!$P27</f>
        <v>16.100000000000001</v>
      </c>
      <c r="M21" s="17">
        <f>'[6]Dia 12 (a)'!$P27</f>
        <v>13</v>
      </c>
      <c r="N21" s="17">
        <f>'[6]Dia 13 (a)'!$P27</f>
        <v>14</v>
      </c>
      <c r="O21" s="17">
        <f>'[6]Dia 14 (a)'!$P27</f>
        <v>13.4</v>
      </c>
      <c r="P21" s="17">
        <f>'[6]Dia 15 (a)'!$P27</f>
        <v>14.8</v>
      </c>
      <c r="Q21" s="17">
        <f>'[6]Dia 16 (a)'!$P27</f>
        <v>15.7</v>
      </c>
      <c r="R21" s="17">
        <f>'[6]Dia 17 (a)'!$P27</f>
        <v>18.100000000000001</v>
      </c>
      <c r="S21" s="17">
        <f>'[6]Dia 18 (a)'!$P27</f>
        <v>15.6</v>
      </c>
      <c r="T21" s="17">
        <f>'[6]Dia 19 (a)'!$P27</f>
        <v>15.8</v>
      </c>
      <c r="U21" s="17">
        <f>'[6]Dia 20 (a)'!$P27</f>
        <v>15.7</v>
      </c>
      <c r="V21" s="17">
        <f>'[6]Dia 21 (a)'!$P27</f>
        <v>17.8</v>
      </c>
      <c r="W21" s="17">
        <f>'[6]Dia 22 (a)'!$P27</f>
        <v>18.2</v>
      </c>
      <c r="X21" s="17">
        <f>'[6]Dia 23 (a)'!$P27</f>
        <v>18</v>
      </c>
      <c r="Y21" s="17">
        <f>'[6]Dia 24 (a)'!$P27</f>
        <v>18.2</v>
      </c>
      <c r="Z21" s="17">
        <f>'[6]Dia 25 (a)'!$P27</f>
        <v>18.3</v>
      </c>
      <c r="AA21" s="17">
        <f>'[6]Dia 26 (a)'!$P27</f>
        <v>16.5</v>
      </c>
      <c r="AB21" s="17">
        <f>'[6]Dia 27 (a)'!$P27</f>
        <v>15</v>
      </c>
      <c r="AC21" s="17">
        <f>'[6]Dia 28 (a)'!$P27</f>
        <v>17</v>
      </c>
      <c r="AD21" s="17">
        <f>'[6]Dia 29 (a)'!$P27</f>
        <v>17.8</v>
      </c>
      <c r="AE21" s="17">
        <f>'[6]Dia 30 (a)'!$P27</f>
        <v>16.7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19.583333333333336</v>
      </c>
      <c r="C25" s="26">
        <f t="shared" ref="C25:AE25" si="0">AVERAGE(C4:C21)</f>
        <v>18.844444444444449</v>
      </c>
      <c r="D25" s="26">
        <f t="shared" si="0"/>
        <v>18.300000000000004</v>
      </c>
      <c r="E25" s="26">
        <f t="shared" si="0"/>
        <v>18.066666666666663</v>
      </c>
      <c r="F25" s="26">
        <f t="shared" si="0"/>
        <v>19.833333333333336</v>
      </c>
      <c r="G25" s="26">
        <f t="shared" si="0"/>
        <v>19.894444444444449</v>
      </c>
      <c r="H25" s="26">
        <f t="shared" si="0"/>
        <v>19.394444444444442</v>
      </c>
      <c r="I25" s="26">
        <f t="shared" si="0"/>
        <v>18.105555555555554</v>
      </c>
      <c r="J25" s="26">
        <f t="shared" si="0"/>
        <v>18.705555555555556</v>
      </c>
      <c r="K25" s="26">
        <f t="shared" si="0"/>
        <v>19.605555555555554</v>
      </c>
      <c r="L25" s="26">
        <f t="shared" si="0"/>
        <v>17.161111111111111</v>
      </c>
      <c r="M25" s="26">
        <f t="shared" si="0"/>
        <v>16.294444444444444</v>
      </c>
      <c r="N25" s="26">
        <f t="shared" si="0"/>
        <v>16.027777777777779</v>
      </c>
      <c r="O25" s="26">
        <f t="shared" si="0"/>
        <v>15.688888888888888</v>
      </c>
      <c r="P25" s="26">
        <f t="shared" si="0"/>
        <v>16.550000000000004</v>
      </c>
      <c r="Q25" s="26">
        <f t="shared" si="0"/>
        <v>18.511111111111109</v>
      </c>
      <c r="R25" s="26">
        <f t="shared" si="0"/>
        <v>19.43888888888889</v>
      </c>
      <c r="S25" s="26">
        <f t="shared" si="0"/>
        <v>16.827777777777779</v>
      </c>
      <c r="T25" s="26">
        <f t="shared" si="0"/>
        <v>16.505555555555553</v>
      </c>
      <c r="U25" s="26">
        <f t="shared" si="0"/>
        <v>17.405555555555555</v>
      </c>
      <c r="V25" s="26">
        <f t="shared" si="0"/>
        <v>20.311111111111114</v>
      </c>
      <c r="W25" s="26">
        <f t="shared" si="0"/>
        <v>20.650000000000002</v>
      </c>
      <c r="X25" s="26">
        <f t="shared" si="0"/>
        <v>21.305555555555554</v>
      </c>
      <c r="Y25" s="26">
        <f>AVERAGE(Y4:Y21)</f>
        <v>20.933333333333326</v>
      </c>
      <c r="Z25" s="26">
        <f t="shared" si="0"/>
        <v>19.705555555555552</v>
      </c>
      <c r="AA25" s="26">
        <f t="shared" si="0"/>
        <v>18.183333333333334</v>
      </c>
      <c r="AB25" s="26">
        <f t="shared" si="0"/>
        <v>16.983333333333334</v>
      </c>
      <c r="AC25" s="26">
        <f t="shared" si="0"/>
        <v>19.37222222222222</v>
      </c>
      <c r="AD25" s="26">
        <f t="shared" si="0"/>
        <v>19.488888888888887</v>
      </c>
      <c r="AE25" s="26">
        <f t="shared" si="0"/>
        <v>20.327777777777779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22.2</v>
      </c>
      <c r="C29" s="26">
        <f t="shared" ref="C29:AE29" si="1">MAX(C4:C21)</f>
        <v>20.100000000000001</v>
      </c>
      <c r="D29" s="26">
        <f t="shared" si="1"/>
        <v>20.7</v>
      </c>
      <c r="E29" s="26">
        <f t="shared" si="1"/>
        <v>20.6</v>
      </c>
      <c r="F29" s="26">
        <f t="shared" si="1"/>
        <v>24.4</v>
      </c>
      <c r="G29" s="26">
        <f t="shared" si="1"/>
        <v>23.9</v>
      </c>
      <c r="H29" s="26">
        <f t="shared" si="1"/>
        <v>22.2</v>
      </c>
      <c r="I29" s="26">
        <f t="shared" si="1"/>
        <v>18.8</v>
      </c>
      <c r="J29" s="26">
        <f t="shared" si="1"/>
        <v>20.6</v>
      </c>
      <c r="K29" s="26">
        <f t="shared" si="1"/>
        <v>22.5</v>
      </c>
      <c r="L29" s="26">
        <f t="shared" si="1"/>
        <v>18.899999999999999</v>
      </c>
      <c r="M29" s="26">
        <f t="shared" si="1"/>
        <v>20.6</v>
      </c>
      <c r="N29" s="26">
        <f t="shared" si="1"/>
        <v>21.5</v>
      </c>
      <c r="O29" s="26">
        <f t="shared" si="1"/>
        <v>18.399999999999999</v>
      </c>
      <c r="P29" s="26">
        <f t="shared" si="1"/>
        <v>20.399999999999999</v>
      </c>
      <c r="Q29" s="26">
        <f t="shared" si="1"/>
        <v>24.6</v>
      </c>
      <c r="R29" s="26">
        <f t="shared" si="1"/>
        <v>25</v>
      </c>
      <c r="S29" s="26">
        <f t="shared" si="1"/>
        <v>17.7</v>
      </c>
      <c r="T29" s="26">
        <f t="shared" si="1"/>
        <v>18.399999999999999</v>
      </c>
      <c r="U29" s="26">
        <f t="shared" si="1"/>
        <v>20.100000000000001</v>
      </c>
      <c r="V29" s="26">
        <f t="shared" si="1"/>
        <v>25.4</v>
      </c>
      <c r="W29" s="26">
        <f t="shared" si="1"/>
        <v>26.4</v>
      </c>
      <c r="X29" s="26">
        <f t="shared" si="1"/>
        <v>27.2</v>
      </c>
      <c r="Y29" s="26">
        <f>MAX(Y4:Y21)</f>
        <v>26.4</v>
      </c>
      <c r="Z29" s="26">
        <f t="shared" si="1"/>
        <v>23.8</v>
      </c>
      <c r="AA29" s="26">
        <f t="shared" si="1"/>
        <v>20.7</v>
      </c>
      <c r="AB29" s="26">
        <f t="shared" si="1"/>
        <v>19.600000000000001</v>
      </c>
      <c r="AC29" s="26">
        <f t="shared" si="1"/>
        <v>24.8</v>
      </c>
      <c r="AD29" s="26">
        <f t="shared" si="1"/>
        <v>23.3</v>
      </c>
      <c r="AE29" s="26">
        <f t="shared" si="1"/>
        <v>26.6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17</v>
      </c>
      <c r="C33" s="26">
        <f t="shared" ref="C33:AE33" si="2">MIN(C4:C21)</f>
        <v>17.3</v>
      </c>
      <c r="D33" s="26">
        <f t="shared" si="2"/>
        <v>16.8</v>
      </c>
      <c r="E33" s="26">
        <f t="shared" si="2"/>
        <v>16.2</v>
      </c>
      <c r="F33" s="26">
        <f t="shared" si="2"/>
        <v>15.6</v>
      </c>
      <c r="G33" s="26">
        <f t="shared" si="2"/>
        <v>15.3</v>
      </c>
      <c r="H33" s="26">
        <f t="shared" si="2"/>
        <v>15.8</v>
      </c>
      <c r="I33" s="26">
        <f t="shared" si="2"/>
        <v>17.399999999999999</v>
      </c>
      <c r="J33" s="26">
        <f t="shared" si="2"/>
        <v>16.7</v>
      </c>
      <c r="K33" s="26">
        <f t="shared" si="2"/>
        <v>17.7</v>
      </c>
      <c r="L33" s="26">
        <f t="shared" si="2"/>
        <v>16.100000000000001</v>
      </c>
      <c r="M33" s="26">
        <f t="shared" si="2"/>
        <v>13</v>
      </c>
      <c r="N33" s="26">
        <f t="shared" si="2"/>
        <v>10.3</v>
      </c>
      <c r="O33" s="26">
        <f t="shared" si="2"/>
        <v>13.4</v>
      </c>
      <c r="P33" s="26">
        <f t="shared" si="2"/>
        <v>13.7</v>
      </c>
      <c r="Q33" s="26">
        <f t="shared" si="2"/>
        <v>12</v>
      </c>
      <c r="R33" s="26">
        <f t="shared" si="2"/>
        <v>13.2</v>
      </c>
      <c r="S33" s="26">
        <f t="shared" si="2"/>
        <v>15.6</v>
      </c>
      <c r="T33" s="26">
        <f t="shared" si="2"/>
        <v>14</v>
      </c>
      <c r="U33" s="26">
        <f t="shared" si="2"/>
        <v>15</v>
      </c>
      <c r="V33" s="26">
        <f t="shared" si="2"/>
        <v>15.2</v>
      </c>
      <c r="W33" s="26">
        <f t="shared" si="2"/>
        <v>15.2</v>
      </c>
      <c r="X33" s="26">
        <f t="shared" si="2"/>
        <v>15.4</v>
      </c>
      <c r="Y33" s="26">
        <f>MIN(Y4:Y21)</f>
        <v>15.2</v>
      </c>
      <c r="Z33" s="26">
        <f t="shared" si="2"/>
        <v>15.2</v>
      </c>
      <c r="AA33" s="26">
        <f t="shared" si="2"/>
        <v>16.5</v>
      </c>
      <c r="AB33" s="26">
        <f t="shared" si="2"/>
        <v>15</v>
      </c>
      <c r="AC33" s="26">
        <f t="shared" si="2"/>
        <v>13.8</v>
      </c>
      <c r="AD33" s="26">
        <f t="shared" si="2"/>
        <v>14.6</v>
      </c>
      <c r="AE33" s="26">
        <f t="shared" si="2"/>
        <v>15.2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5.1999999999999993</v>
      </c>
      <c r="C37" s="26">
        <f t="shared" si="3"/>
        <v>2.8000000000000007</v>
      </c>
      <c r="D37" s="26">
        <f t="shared" si="3"/>
        <v>3.8999999999999986</v>
      </c>
      <c r="E37" s="26">
        <f t="shared" si="3"/>
        <v>4.4000000000000021</v>
      </c>
      <c r="F37" s="26">
        <f t="shared" si="3"/>
        <v>8.7999999999999989</v>
      </c>
      <c r="G37" s="26">
        <f t="shared" si="3"/>
        <v>8.5999999999999979</v>
      </c>
      <c r="H37" s="26">
        <f t="shared" si="3"/>
        <v>6.3999999999999986</v>
      </c>
      <c r="I37" s="26">
        <f t="shared" si="3"/>
        <v>1.4000000000000021</v>
      </c>
      <c r="J37" s="26">
        <f t="shared" si="3"/>
        <v>3.9000000000000021</v>
      </c>
      <c r="K37" s="26">
        <f t="shared" si="3"/>
        <v>4.8000000000000007</v>
      </c>
      <c r="L37" s="26">
        <f t="shared" si="3"/>
        <v>2.7999999999999972</v>
      </c>
      <c r="M37" s="26">
        <f t="shared" si="3"/>
        <v>7.6000000000000014</v>
      </c>
      <c r="N37" s="26">
        <f t="shared" si="3"/>
        <v>11.2</v>
      </c>
      <c r="O37" s="26">
        <f t="shared" si="3"/>
        <v>4.9999999999999982</v>
      </c>
      <c r="P37" s="26">
        <f t="shared" si="3"/>
        <v>6.6999999999999993</v>
      </c>
      <c r="Q37" s="26">
        <f t="shared" si="3"/>
        <v>12.600000000000001</v>
      </c>
      <c r="R37" s="26">
        <f t="shared" si="3"/>
        <v>11.8</v>
      </c>
      <c r="S37" s="26">
        <f t="shared" si="3"/>
        <v>2.0999999999999996</v>
      </c>
      <c r="T37" s="26">
        <f t="shared" si="3"/>
        <v>4.3999999999999986</v>
      </c>
      <c r="U37" s="26">
        <f t="shared" si="3"/>
        <v>5.1000000000000014</v>
      </c>
      <c r="V37" s="26">
        <f t="shared" si="3"/>
        <v>10.199999999999999</v>
      </c>
      <c r="W37" s="26">
        <f t="shared" si="3"/>
        <v>11.2</v>
      </c>
      <c r="X37" s="26">
        <f t="shared" si="3"/>
        <v>11.799999999999999</v>
      </c>
      <c r="Y37" s="26">
        <f t="shared" si="3"/>
        <v>11.2</v>
      </c>
      <c r="Z37" s="26">
        <f t="shared" si="3"/>
        <v>8.6000000000000014</v>
      </c>
      <c r="AA37" s="26">
        <f t="shared" si="3"/>
        <v>4.1999999999999993</v>
      </c>
      <c r="AB37" s="26">
        <f t="shared" si="3"/>
        <v>4.6000000000000014</v>
      </c>
      <c r="AC37" s="26">
        <f t="shared" si="3"/>
        <v>11</v>
      </c>
      <c r="AD37" s="26">
        <f t="shared" si="3"/>
        <v>8.7000000000000011</v>
      </c>
      <c r="AE37" s="26">
        <f t="shared" si="3"/>
        <v>11.400000000000002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18.60018518518519</v>
      </c>
      <c r="I43" s="39"/>
      <c r="J43" s="41"/>
      <c r="K43" s="40">
        <f>MAX(B29:AF29)</f>
        <v>27.2</v>
      </c>
      <c r="L43" s="41"/>
      <c r="M43" s="41"/>
      <c r="N43" s="40">
        <f>MIN(B33:AF33)</f>
        <v>10.3</v>
      </c>
      <c r="O43" s="41"/>
      <c r="P43" s="41"/>
      <c r="Q43" s="40">
        <f>K43-N43</f>
        <v>16.899999999999999</v>
      </c>
      <c r="R43" s="39"/>
      <c r="S43" s="40"/>
      <c r="T43" s="40">
        <f>AVERAGE(B29:AF29)</f>
        <v>22.193333333333328</v>
      </c>
      <c r="U43" s="40"/>
      <c r="V43" s="40">
        <f>AVERAGE(B33:AF33)</f>
        <v>15.113333333333332</v>
      </c>
      <c r="W43" s="40"/>
      <c r="X43" s="40">
        <f>T43-V43</f>
        <v>7.0799999999999965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(a)'!$P10</f>
        <v>14.3</v>
      </c>
      <c r="C4" s="12">
        <f>'[7]Dia 2 (a)'!$P10</f>
        <v>15.4</v>
      </c>
      <c r="D4" s="12">
        <f>'[7]Dia 3 (a)'!$P10</f>
        <v>16.5</v>
      </c>
      <c r="E4" s="12">
        <f>'[7]Dia 4 (a)'!$P10</f>
        <v>15.6</v>
      </c>
      <c r="F4" s="12">
        <f>'[7]Dia 5 (a)'!$P10</f>
        <v>15</v>
      </c>
      <c r="G4" s="12">
        <f>'[7]Dia 6 (a)'!$P10</f>
        <v>14.9</v>
      </c>
      <c r="H4" s="12">
        <f>'[7]Dia 7 (a)'!$P10</f>
        <v>15.2</v>
      </c>
      <c r="I4" s="12">
        <f>'[7]Dia 8 (a)'!$P10</f>
        <v>15.7</v>
      </c>
      <c r="J4" s="12">
        <f>'[7]Dia 9 (a)'!$P10</f>
        <v>15.7</v>
      </c>
      <c r="K4" s="12">
        <f>'[7]Dia 10 (a)'!$P10</f>
        <v>16</v>
      </c>
      <c r="L4" s="12">
        <f>'[7]Dia 11 (a)'!$P10</f>
        <v>15.6</v>
      </c>
      <c r="M4" s="12">
        <f>'[7]Dia 12 (a)'!$P10</f>
        <v>17.600000000000001</v>
      </c>
      <c r="N4" s="12">
        <f>'[7]Dia 13 (a)'!$P10</f>
        <v>18.2</v>
      </c>
      <c r="O4" s="12">
        <f>'[7]Dia 14 (a)'!$P10</f>
        <v>17</v>
      </c>
      <c r="P4" s="12">
        <f>'[7]Dia 15 (a)'!$P10</f>
        <v>16.399999999999999</v>
      </c>
      <c r="Q4" s="12">
        <f>'[7]Dia 16 (a)'!$P10</f>
        <v>16.899999999999999</v>
      </c>
      <c r="R4" s="12">
        <f>'[7]Dia 17 (a)'!$P10</f>
        <v>19</v>
      </c>
      <c r="S4" s="12">
        <f>'[7]Dia 18 (a)'!$P10</f>
        <v>19.100000000000001</v>
      </c>
      <c r="T4" s="12">
        <f>'[7]Dia 19 (a)'!$P10</f>
        <v>17.8</v>
      </c>
      <c r="U4" s="12">
        <f>'[7]Dia 20 (a)'!$P10</f>
        <v>19.399999999999999</v>
      </c>
      <c r="V4" s="12">
        <f>'[7]Dia 21 (a)'!$P10</f>
        <v>18.2</v>
      </c>
      <c r="W4" s="12">
        <f>'[7]Dia 22 (a)'!$P10</f>
        <v>16.600000000000001</v>
      </c>
      <c r="X4" s="12">
        <f>'[7]Dia 23 (a)'!$P10</f>
        <v>16</v>
      </c>
      <c r="Y4" s="12">
        <f>'[7]Dia 24 (a)'!$P10</f>
        <v>16</v>
      </c>
      <c r="Z4" s="12">
        <f>'[7]Dia 25 (a)'!$P10</f>
        <v>16.3</v>
      </c>
      <c r="AA4" s="12">
        <f>'[7]Dia 26 (a)'!$P10</f>
        <v>16.399999999999999</v>
      </c>
      <c r="AB4" s="12">
        <f>'[7]Dia 27 (a)'!$P10</f>
        <v>18.3</v>
      </c>
      <c r="AC4" s="12">
        <f>'[7]Dia 28 (a)'!$P10</f>
        <v>17.2</v>
      </c>
      <c r="AD4" s="12">
        <f>'[7]Dia 29 (a)'!$P10</f>
        <v>18.399999999999999</v>
      </c>
      <c r="AE4" s="12">
        <f>'[7]Dia 30 (a)'!$P10</f>
        <v>13</v>
      </c>
      <c r="AF4" s="13">
        <f>'[7]Dia 31 (a)'!$P10</f>
        <v>14.2</v>
      </c>
      <c r="AG4" s="14"/>
    </row>
    <row r="5" spans="1:33" ht="20.100000000000001" customHeight="1">
      <c r="A5" s="11">
        <v>8</v>
      </c>
      <c r="B5" s="12">
        <f>'[7]Dia 1 (a)'!$P11</f>
        <v>14.8</v>
      </c>
      <c r="C5" s="12">
        <f>'[7]Dia 2 (a)'!$P11</f>
        <v>15.3</v>
      </c>
      <c r="D5" s="12">
        <f>'[7]Dia 3 (a)'!$P11</f>
        <v>16.5</v>
      </c>
      <c r="E5" s="12">
        <f>'[7]Dia 4 (a)'!$P11</f>
        <v>16</v>
      </c>
      <c r="F5" s="12">
        <f>'[7]Dia 5 (a)'!$P11</f>
        <v>15.3</v>
      </c>
      <c r="G5" s="12">
        <f>'[7]Dia 6 (a)'!$P11</f>
        <v>14.9</v>
      </c>
      <c r="H5" s="12">
        <f>'[7]Dia 7 (a)'!$P11</f>
        <v>15.4</v>
      </c>
      <c r="I5" s="12">
        <f>'[7]Dia 8 (a)'!$P11</f>
        <v>15.8</v>
      </c>
      <c r="J5" s="12">
        <f>'[7]Dia 9 (a)'!$P11</f>
        <v>15.7</v>
      </c>
      <c r="K5" s="12">
        <f>'[7]Dia 10 (a)'!$P11</f>
        <v>16</v>
      </c>
      <c r="L5" s="12">
        <f>'[7]Dia 11 (a)'!$P11</f>
        <v>15.6</v>
      </c>
      <c r="M5" s="12">
        <f>'[7]Dia 12 (a)'!$P11</f>
        <v>17.8</v>
      </c>
      <c r="N5" s="12">
        <f>'[7]Dia 13 (a)'!$P11</f>
        <v>18</v>
      </c>
      <c r="O5" s="12">
        <f>'[7]Dia 14 (a)'!$P11</f>
        <v>16.8</v>
      </c>
      <c r="P5" s="12">
        <f>'[7]Dia 15 (a)'!$P11</f>
        <v>16.5</v>
      </c>
      <c r="Q5" s="12">
        <f>'[7]Dia 16 (a)'!$P11</f>
        <v>17.100000000000001</v>
      </c>
      <c r="R5" s="12">
        <f>'[7]Dia 17 (a)'!$P11</f>
        <v>19.2</v>
      </c>
      <c r="S5" s="12">
        <f>'[7]Dia 18 (a)'!$P11</f>
        <v>19</v>
      </c>
      <c r="T5" s="12">
        <f>'[7]Dia 19 (a)'!$P11</f>
        <v>18</v>
      </c>
      <c r="U5" s="12">
        <f>'[7]Dia 20 (a)'!$P11</f>
        <v>19.399999999999999</v>
      </c>
      <c r="V5" s="12">
        <f>'[7]Dia 21 (a)'!$P11</f>
        <v>17.899999999999999</v>
      </c>
      <c r="W5" s="12">
        <f>'[7]Dia 22 (a)'!$P11</f>
        <v>16.600000000000001</v>
      </c>
      <c r="X5" s="12">
        <f>'[7]Dia 23 (a)'!$P11</f>
        <v>16.3</v>
      </c>
      <c r="Y5" s="43">
        <f>'[7]Dia 24 (a)'!$P11</f>
        <v>16.2</v>
      </c>
      <c r="Z5" s="12">
        <f>'[7]Dia 25 (a)'!$P11</f>
        <v>16.399999999999999</v>
      </c>
      <c r="AA5" s="12">
        <f>'[7]Dia 26 (a)'!$P11</f>
        <v>16.7</v>
      </c>
      <c r="AB5" s="12">
        <f>'[7]Dia 27 (a)'!$P11</f>
        <v>18.5</v>
      </c>
      <c r="AC5" s="12">
        <f>'[7]Dia 28 (a)'!$P11</f>
        <v>17.2</v>
      </c>
      <c r="AD5" s="12">
        <f>'[7]Dia 29 (a)'!$P11</f>
        <v>18.399999999999999</v>
      </c>
      <c r="AE5" s="12">
        <f>'[7]Dia 30 (a)'!$P11</f>
        <v>13</v>
      </c>
      <c r="AF5" s="13">
        <f>'[7]Dia 31 (a)'!$P11</f>
        <v>14.1</v>
      </c>
      <c r="AG5" s="14"/>
    </row>
    <row r="6" spans="1:33" ht="20.100000000000001" customHeight="1">
      <c r="A6" s="11">
        <v>9</v>
      </c>
      <c r="B6" s="12">
        <f>'[7]Dia 1 (a)'!$P12</f>
        <v>15.3</v>
      </c>
      <c r="C6" s="12">
        <f>'[7]Dia 2 (a)'!$P12</f>
        <v>16</v>
      </c>
      <c r="D6" s="12">
        <f>'[7]Dia 3 (a)'!$P12</f>
        <v>17</v>
      </c>
      <c r="E6" s="12">
        <f>'[7]Dia 4 (a)'!$P12</f>
        <v>16.7</v>
      </c>
      <c r="F6" s="12">
        <f>'[7]Dia 5 (a)'!$P12</f>
        <v>16</v>
      </c>
      <c r="G6" s="12">
        <f>'[7]Dia 6 (a)'!$P12</f>
        <v>15.6</v>
      </c>
      <c r="H6" s="12">
        <f>'[7]Dia 7 (a)'!$P12</f>
        <v>16.2</v>
      </c>
      <c r="I6" s="12">
        <f>'[7]Dia 8 (a)'!$P12</f>
        <v>16.5</v>
      </c>
      <c r="J6" s="12">
        <f>'[7]Dia 9 (a)'!$P12</f>
        <v>16.399999999999999</v>
      </c>
      <c r="K6" s="12">
        <f>'[7]Dia 10 (a)'!$P12</f>
        <v>16.399999999999999</v>
      </c>
      <c r="L6" s="12">
        <f>'[7]Dia 11 (a)'!$P12</f>
        <v>16.2</v>
      </c>
      <c r="M6" s="12">
        <f>'[7]Dia 12 (a)'!$P12</f>
        <v>18.399999999999999</v>
      </c>
      <c r="N6" s="12">
        <f>'[7]Dia 13 (a)'!$P12</f>
        <v>18</v>
      </c>
      <c r="O6" s="12">
        <f>'[7]Dia 14 (a)'!$P12</f>
        <v>17.2</v>
      </c>
      <c r="P6" s="12">
        <f>'[7]Dia 15 (a)'!$P12</f>
        <v>17.2</v>
      </c>
      <c r="Q6" s="12">
        <f>'[7]Dia 16 (a)'!$P12</f>
        <v>17.7</v>
      </c>
      <c r="R6" s="12">
        <f>'[7]Dia 17 (a)'!$P12</f>
        <v>20</v>
      </c>
      <c r="S6" s="12">
        <f>'[7]Dia 18 (a)'!$P12</f>
        <v>19.2</v>
      </c>
      <c r="T6" s="12">
        <f>'[7]Dia 19 (a)'!$P12</f>
        <v>18.399999999999999</v>
      </c>
      <c r="U6" s="12">
        <f>'[7]Dia 20 (a)'!$P12</f>
        <v>19.600000000000001</v>
      </c>
      <c r="V6" s="12">
        <f>'[7]Dia 21 (a)'!$P12</f>
        <v>18.600000000000001</v>
      </c>
      <c r="W6" s="12">
        <f>'[7]Dia 22 (a)'!$P12</f>
        <v>17.600000000000001</v>
      </c>
      <c r="X6" s="12">
        <f>'[7]Dia 23 (a)'!$P12</f>
        <v>17.2</v>
      </c>
      <c r="Y6" s="12">
        <f>'[7]Dia 24 (a)'!$P12</f>
        <v>17.3</v>
      </c>
      <c r="Z6" s="12">
        <f>'[7]Dia 25 (a)'!$P12</f>
        <v>17.600000000000001</v>
      </c>
      <c r="AA6" s="12">
        <f>'[7]Dia 26 (a)'!$P12</f>
        <v>17.7</v>
      </c>
      <c r="AB6" s="12">
        <f>'[7]Dia 27 (a)'!$P12</f>
        <v>19</v>
      </c>
      <c r="AC6" s="12">
        <f>'[7]Dia 28 (a)'!$P12</f>
        <v>18.2</v>
      </c>
      <c r="AD6" s="12">
        <f>'[7]Dia 29 (a)'!$P12</f>
        <v>19.3</v>
      </c>
      <c r="AE6" s="12">
        <f>'[7]Dia 30 (a)'!$P12</f>
        <v>13.9</v>
      </c>
      <c r="AF6" s="13">
        <f>'[7]Dia 31 (a)'!$P12</f>
        <v>14.8</v>
      </c>
      <c r="AG6" s="14"/>
    </row>
    <row r="7" spans="1:33" ht="20.100000000000001" customHeight="1">
      <c r="A7" s="11">
        <v>10</v>
      </c>
      <c r="B7" s="12">
        <f>'[7]Dia 1 (a)'!$P13</f>
        <v>16.3</v>
      </c>
      <c r="C7" s="12">
        <f>'[7]Dia 2 (a)'!$P13</f>
        <v>17.100000000000001</v>
      </c>
      <c r="D7" s="12">
        <f>'[7]Dia 3 (a)'!$P13</f>
        <v>18.7</v>
      </c>
      <c r="E7" s="12">
        <f>'[7]Dia 4 (a)'!$P13</f>
        <v>17.8</v>
      </c>
      <c r="F7" s="12">
        <f>'[7]Dia 5 (a)'!$P13</f>
        <v>17.5</v>
      </c>
      <c r="G7" s="12">
        <f>'[7]Dia 6 (a)'!$P13</f>
        <v>17</v>
      </c>
      <c r="H7" s="12">
        <f>'[7]Dia 7 (a)'!$P13</f>
        <v>16.8</v>
      </c>
      <c r="I7" s="12">
        <f>'[7]Dia 8 (a)'!$P13</f>
        <v>17.899999999999999</v>
      </c>
      <c r="J7" s="12">
        <f>'[7]Dia 9 (a)'!$P13</f>
        <v>17.5</v>
      </c>
      <c r="K7" s="12">
        <f>'[7]Dia 10 (a)'!$P13</f>
        <v>17.2</v>
      </c>
      <c r="L7" s="12">
        <f>'[7]Dia 11 (a)'!$P13</f>
        <v>17.899999999999999</v>
      </c>
      <c r="M7" s="12">
        <f>'[7]Dia 12 (a)'!$P13</f>
        <v>19.399999999999999</v>
      </c>
      <c r="N7" s="12">
        <f>'[7]Dia 13 (a)'!$P13</f>
        <v>18.3</v>
      </c>
      <c r="O7" s="12">
        <f>'[7]Dia 14 (a)'!$P13</f>
        <v>18.600000000000001</v>
      </c>
      <c r="P7" s="12">
        <f>'[7]Dia 15 (a)'!$P13</f>
        <v>18.600000000000001</v>
      </c>
      <c r="Q7" s="12">
        <f>'[7]Dia 16 (a)'!$P13</f>
        <v>20.399999999999999</v>
      </c>
      <c r="R7" s="12">
        <f>'[7]Dia 17 (a)'!$P13</f>
        <v>21</v>
      </c>
      <c r="S7" s="12">
        <f>'[7]Dia 18 (a)'!$P13</f>
        <v>19.600000000000001</v>
      </c>
      <c r="T7" s="12">
        <f>'[7]Dia 19 (a)'!$P13</f>
        <v>19.8</v>
      </c>
      <c r="U7" s="12">
        <f>'[7]Dia 20 (a)'!$P13</f>
        <v>20.8</v>
      </c>
      <c r="V7" s="12">
        <f>'[7]Dia 21 (a)'!$P13</f>
        <v>21.2</v>
      </c>
      <c r="W7" s="12">
        <f>'[7]Dia 22 (a)'!$P13</f>
        <v>20</v>
      </c>
      <c r="X7" s="12">
        <f>'[7]Dia 23 (a)'!$P13</f>
        <v>19.399999999999999</v>
      </c>
      <c r="Y7" s="12">
        <f>'[7]Dia 24 (a)'!$P13</f>
        <v>19.5</v>
      </c>
      <c r="Z7" s="12">
        <f>'[7]Dia 25 (a)'!$P13</f>
        <v>19.8</v>
      </c>
      <c r="AA7" s="12">
        <f>'[7]Dia 26 (a)'!$P13</f>
        <v>19.8</v>
      </c>
      <c r="AB7" s="12">
        <f>'[7]Dia 27 (a)'!$P13</f>
        <v>20.7</v>
      </c>
      <c r="AC7" s="12">
        <f>'[7]Dia 28 (a)'!$P13</f>
        <v>21.2</v>
      </c>
      <c r="AD7" s="12">
        <f>'[7]Dia 29 (a)'!$P13</f>
        <v>20.2</v>
      </c>
      <c r="AE7" s="12">
        <f>'[7]Dia 30 (a)'!$P13</f>
        <v>16</v>
      </c>
      <c r="AF7" s="13">
        <f>'[7]Dia 31 (a)'!$P13</f>
        <v>16.600000000000001</v>
      </c>
      <c r="AG7" s="14"/>
    </row>
    <row r="8" spans="1:33" ht="20.100000000000001" customHeight="1">
      <c r="A8" s="11">
        <v>11</v>
      </c>
      <c r="B8" s="12">
        <f>'[7]Dia 1 (a)'!$P14</f>
        <v>18.600000000000001</v>
      </c>
      <c r="C8" s="12">
        <f>'[7]Dia 2 (a)'!$P14</f>
        <v>19.8</v>
      </c>
      <c r="D8" s="12">
        <f>'[7]Dia 3 (a)'!$P14</f>
        <v>21</v>
      </c>
      <c r="E8" s="12">
        <f>'[7]Dia 4 (a)'!$P14</f>
        <v>20.6</v>
      </c>
      <c r="F8" s="12">
        <f>'[7]Dia 5 (a)'!$P14</f>
        <v>20.2</v>
      </c>
      <c r="G8" s="12">
        <f>'[7]Dia 6 (a)'!$P14</f>
        <v>19.899999999999999</v>
      </c>
      <c r="H8" s="12">
        <f>'[7]Dia 7 (a)'!$P14</f>
        <v>19</v>
      </c>
      <c r="I8" s="12">
        <f>'[7]Dia 8 (a)'!$P14</f>
        <v>20.8</v>
      </c>
      <c r="J8" s="12">
        <f>'[7]Dia 9 (a)'!$P14</f>
        <v>19.899999999999999</v>
      </c>
      <c r="K8" s="12">
        <f>'[7]Dia 10 (a)'!$P14</f>
        <v>20</v>
      </c>
      <c r="L8" s="12">
        <f>'[7]Dia 11 (a)'!$P14</f>
        <v>20.7</v>
      </c>
      <c r="M8" s="12">
        <f>'[7]Dia 12 (a)'!$P14</f>
        <v>21</v>
      </c>
      <c r="N8" s="12">
        <f>'[7]Dia 13 (a)'!$P14</f>
        <v>18.8</v>
      </c>
      <c r="O8" s="12">
        <f>'[7]Dia 14 (a)'!$P14</f>
        <v>20.6</v>
      </c>
      <c r="P8" s="12">
        <f>'[7]Dia 15 (a)'!$P14</f>
        <v>20.7</v>
      </c>
      <c r="Q8" s="12">
        <f>'[7]Dia 16 (a)'!$P14</f>
        <v>21.5</v>
      </c>
      <c r="R8" s="12">
        <f>'[7]Dia 17 (a)'!$P14</f>
        <v>23</v>
      </c>
      <c r="S8" s="12">
        <f>'[7]Dia 18 (a)'!$P14</f>
        <v>20.2</v>
      </c>
      <c r="T8" s="12">
        <f>'[7]Dia 19 (a)'!$P14</f>
        <v>22</v>
      </c>
      <c r="U8" s="12">
        <f>'[7]Dia 20 (a)'!$P14</f>
        <v>22.8</v>
      </c>
      <c r="V8" s="12">
        <f>'[7]Dia 21 (a)'!$P14</f>
        <v>22.3</v>
      </c>
      <c r="W8" s="12">
        <f>'[7]Dia 22 (a)'!$P14</f>
        <v>22.8</v>
      </c>
      <c r="X8" s="12">
        <f>'[7]Dia 23 (a)'!$P14</f>
        <v>22.7</v>
      </c>
      <c r="Y8" s="12">
        <f>'[7]Dia 24 (a)'!$P14</f>
        <v>22.2</v>
      </c>
      <c r="Z8" s="12">
        <f>'[7]Dia 25 (a)'!$P14</f>
        <v>22.6</v>
      </c>
      <c r="AA8" s="12">
        <f>'[7]Dia 26 (a)'!$P14</f>
        <v>22.4</v>
      </c>
      <c r="AB8" s="12">
        <f>'[7]Dia 27 (a)'!$P14</f>
        <v>23.1</v>
      </c>
      <c r="AC8" s="12">
        <f>'[7]Dia 28 (a)'!$P14</f>
        <v>22.8</v>
      </c>
      <c r="AD8" s="12">
        <f>'[7]Dia 29 (a)'!$P14</f>
        <v>20.399999999999999</v>
      </c>
      <c r="AE8" s="12">
        <f>'[7]Dia 30 (a)'!$P14</f>
        <v>18.2</v>
      </c>
      <c r="AF8" s="13">
        <f>'[7]Dia 31 (a)'!$P14</f>
        <v>19.5</v>
      </c>
      <c r="AG8" s="14"/>
    </row>
    <row r="9" spans="1:33" ht="20.100000000000001" customHeight="1">
      <c r="A9" s="11">
        <v>12</v>
      </c>
      <c r="B9" s="12">
        <f>'[7]Dia 1 (a)'!$P15</f>
        <v>21.5</v>
      </c>
      <c r="C9" s="12">
        <f>'[7]Dia 2 (a)'!$P15</f>
        <v>22.6</v>
      </c>
      <c r="D9" s="12">
        <f>'[7]Dia 3 (a)'!$P15</f>
        <v>24.8</v>
      </c>
      <c r="E9" s="12">
        <f>'[7]Dia 4 (a)'!$P15</f>
        <v>23.6</v>
      </c>
      <c r="F9" s="12">
        <f>'[7]Dia 5 (a)'!$P15</f>
        <v>23.1</v>
      </c>
      <c r="G9" s="12">
        <f>'[7]Dia 6 (a)'!$P15</f>
        <v>22.5</v>
      </c>
      <c r="H9" s="12">
        <f>'[7]Dia 7 (a)'!$P15</f>
        <v>22</v>
      </c>
      <c r="I9" s="12">
        <f>'[7]Dia 8 (a)'!$P15</f>
        <v>23.1</v>
      </c>
      <c r="J9" s="12">
        <f>'[7]Dia 9 (a)'!$P15</f>
        <v>23</v>
      </c>
      <c r="K9" s="12">
        <f>'[7]Dia 10 (a)'!$P15</f>
        <v>22.6</v>
      </c>
      <c r="L9" s="12">
        <f>'[7]Dia 11 (a)'!$P15</f>
        <v>23.5</v>
      </c>
      <c r="M9" s="12">
        <f>'[7]Dia 12 (a)'!$P15</f>
        <v>22</v>
      </c>
      <c r="N9" s="12">
        <f>'[7]Dia 13 (a)'!$P15</f>
        <v>19</v>
      </c>
      <c r="O9" s="12">
        <f>'[7]Dia 14 (a)'!$P15</f>
        <v>23</v>
      </c>
      <c r="P9" s="12">
        <f>'[7]Dia 15 (a)'!$P15</f>
        <v>23.7</v>
      </c>
      <c r="Q9" s="12">
        <f>'[7]Dia 16 (a)'!$P15</f>
        <v>24.6</v>
      </c>
      <c r="R9" s="12">
        <f>'[7]Dia 17 (a)'!$P15</f>
        <v>25</v>
      </c>
      <c r="S9" s="12">
        <f>'[7]Dia 18 (a)'!$P15</f>
        <v>20.8</v>
      </c>
      <c r="T9" s="12">
        <f>'[7]Dia 19 (a)'!$P15</f>
        <v>23</v>
      </c>
      <c r="U9" s="12">
        <f>'[7]Dia 20 (a)'!$P15</f>
        <v>23.1</v>
      </c>
      <c r="V9" s="12">
        <f>'[7]Dia 21 (a)'!$P15</f>
        <v>25.4</v>
      </c>
      <c r="W9" s="12">
        <f>'[7]Dia 22 (a)'!$P15</f>
        <v>25.4</v>
      </c>
      <c r="X9" s="12">
        <f>'[7]Dia 23 (a)'!$P15</f>
        <v>25.5</v>
      </c>
      <c r="Y9" s="12">
        <f>'[7]Dia 24 (a)'!$P15</f>
        <v>25.3</v>
      </c>
      <c r="Z9" s="12">
        <f>'[7]Dia 25 (a)'!$P15</f>
        <v>25.4</v>
      </c>
      <c r="AA9" s="12">
        <f>'[7]Dia 26 (a)'!$P15</f>
        <v>25</v>
      </c>
      <c r="AB9" s="12">
        <f>'[7]Dia 27 (a)'!$P15</f>
        <v>25.4</v>
      </c>
      <c r="AC9" s="12">
        <f>'[7]Dia 28 (a)'!$P15</f>
        <v>25.5</v>
      </c>
      <c r="AD9" s="12">
        <f>'[7]Dia 29 (a)'!$P15</f>
        <v>20.100000000000001</v>
      </c>
      <c r="AE9" s="12">
        <f>'[7]Dia 30 (a)'!$P15</f>
        <v>19.399999999999999</v>
      </c>
      <c r="AF9" s="13">
        <f>'[7]Dia 31 (a)'!$P15</f>
        <v>22.2</v>
      </c>
      <c r="AG9" s="14"/>
    </row>
    <row r="10" spans="1:33" ht="20.100000000000001" customHeight="1">
      <c r="A10" s="11">
        <v>13</v>
      </c>
      <c r="B10" s="12">
        <f>'[7]Dia 1 (a)'!$P16</f>
        <v>24</v>
      </c>
      <c r="C10" s="12">
        <f>'[7]Dia 2 (a)'!$P16</f>
        <v>25.4</v>
      </c>
      <c r="D10" s="12">
        <f>'[7]Dia 3 (a)'!$P16</f>
        <v>26.6</v>
      </c>
      <c r="E10" s="12">
        <f>'[7]Dia 4 (a)'!$P16</f>
        <v>26.2</v>
      </c>
      <c r="F10" s="12">
        <f>'[7]Dia 5 (a)'!$P16</f>
        <v>25.3</v>
      </c>
      <c r="G10" s="12">
        <f>'[7]Dia 6 (a)'!$P16</f>
        <v>24</v>
      </c>
      <c r="H10" s="12">
        <f>'[7]Dia 7 (a)'!$P16</f>
        <v>24.4</v>
      </c>
      <c r="I10" s="12">
        <f>'[7]Dia 8 (a)'!$P16</f>
        <v>23.5</v>
      </c>
      <c r="J10" s="12">
        <f>'[7]Dia 9 (a)'!$P16</f>
        <v>25.2</v>
      </c>
      <c r="K10" s="12">
        <f>'[7]Dia 10 (a)'!$P16</f>
        <v>25.4</v>
      </c>
      <c r="L10" s="12">
        <f>'[7]Dia 11 (a)'!$P16</f>
        <v>25.6</v>
      </c>
      <c r="M10" s="12">
        <f>'[7]Dia 12 (a)'!$P16</f>
        <v>24</v>
      </c>
      <c r="N10" s="12">
        <f>'[7]Dia 13 (a)'!$P16</f>
        <v>19.399999999999999</v>
      </c>
      <c r="O10" s="12">
        <f>'[7]Dia 14 (a)'!$P16</f>
        <v>25.6</v>
      </c>
      <c r="P10" s="12">
        <f>'[7]Dia 15 (a)'!$P16</f>
        <v>25.7</v>
      </c>
      <c r="Q10" s="12">
        <f>'[7]Dia 16 (a)'!$P16</f>
        <v>26.5</v>
      </c>
      <c r="R10" s="12">
        <f>'[7]Dia 17 (a)'!$P16</f>
        <v>26</v>
      </c>
      <c r="S10" s="12">
        <f>'[7]Dia 18 (a)'!$P16</f>
        <v>22</v>
      </c>
      <c r="T10" s="12">
        <f>'[7]Dia 19 (a)'!$P16</f>
        <v>28</v>
      </c>
      <c r="U10" s="12">
        <f>'[7]Dia 20 (a)'!$P16</f>
        <v>25.2</v>
      </c>
      <c r="V10" s="12">
        <f>'[7]Dia 21 (a)'!$P16</f>
        <v>27.8</v>
      </c>
      <c r="W10" s="12">
        <f>'[7]Dia 22 (a)'!$P16</f>
        <v>27.8</v>
      </c>
      <c r="X10" s="12">
        <f>'[7]Dia 23 (a)'!$P16</f>
        <v>27.4</v>
      </c>
      <c r="Y10" s="12">
        <f>'[7]Dia 24 (a)'!$P16</f>
        <v>27.8</v>
      </c>
      <c r="Z10" s="12">
        <f>'[7]Dia 25 (a)'!$P16</f>
        <v>27.8</v>
      </c>
      <c r="AA10" s="12">
        <f>'[7]Dia 26 (a)'!$P16</f>
        <v>27.1</v>
      </c>
      <c r="AB10" s="12">
        <f>'[7]Dia 27 (a)'!$P16</f>
        <v>27.8</v>
      </c>
      <c r="AC10" s="12">
        <f>'[7]Dia 28 (a)'!$P16</f>
        <v>27.5</v>
      </c>
      <c r="AD10" s="12">
        <f>'[7]Dia 29 (a)'!$P16</f>
        <v>19.3</v>
      </c>
      <c r="AE10" s="12">
        <f>'[7]Dia 30 (a)'!$P16</f>
        <v>21</v>
      </c>
      <c r="AF10" s="13">
        <f>'[7]Dia 31 (a)'!$P16</f>
        <v>24.8</v>
      </c>
      <c r="AG10" s="14"/>
    </row>
    <row r="11" spans="1:33" ht="20.100000000000001" customHeight="1">
      <c r="A11" s="11">
        <v>14</v>
      </c>
      <c r="B11" s="12">
        <f>'[7]Dia 1 (a)'!$P17</f>
        <v>25.3</v>
      </c>
      <c r="C11" s="12">
        <f>'[7]Dia 2 (a)'!$P17</f>
        <v>26.8</v>
      </c>
      <c r="D11" s="12">
        <f>'[7]Dia 3 (a)'!$P17</f>
        <v>28.2</v>
      </c>
      <c r="E11" s="12">
        <f>'[7]Dia 4 (a)'!$P17</f>
        <v>27.7</v>
      </c>
      <c r="F11" s="12">
        <f>'[7]Dia 5 (a)'!$P17</f>
        <v>26.8</v>
      </c>
      <c r="G11" s="12">
        <f>'[7]Dia 6 (a)'!$P17</f>
        <v>24.3</v>
      </c>
      <c r="H11" s="12">
        <f>'[7]Dia 7 (a)'!$P17</f>
        <v>26</v>
      </c>
      <c r="I11" s="12">
        <f>'[7]Dia 8 (a)'!$P17</f>
        <v>23.7</v>
      </c>
      <c r="J11" s="12">
        <f>'[7]Dia 9 (a)'!$P17</f>
        <v>26.7</v>
      </c>
      <c r="K11" s="12">
        <f>'[7]Dia 10 (a)'!$P17</f>
        <v>27</v>
      </c>
      <c r="L11" s="12">
        <f>'[7]Dia 11 (a)'!$P17</f>
        <v>27</v>
      </c>
      <c r="M11" s="12">
        <f>'[7]Dia 12 (a)'!$P17</f>
        <v>25.8</v>
      </c>
      <c r="N11" s="12">
        <f>'[7]Dia 13 (a)'!$P17</f>
        <v>19.8</v>
      </c>
      <c r="O11" s="12">
        <f>'[7]Dia 14 (a)'!$P17</f>
        <v>27</v>
      </c>
      <c r="P11" s="12">
        <f>'[7]Dia 15 (a)'!$P17</f>
        <v>27.4</v>
      </c>
      <c r="Q11" s="12">
        <f>'[7]Dia 16 (a)'!$P17</f>
        <v>27.7</v>
      </c>
      <c r="R11" s="12">
        <f>'[7]Dia 17 (a)'!$P17</f>
        <v>27</v>
      </c>
      <c r="S11" s="12">
        <f>'[7]Dia 18 (a)'!$P17</f>
        <v>23.7</v>
      </c>
      <c r="T11" s="12">
        <f>'[7]Dia 19 (a)'!$P17</f>
        <v>29</v>
      </c>
      <c r="U11" s="12">
        <f>'[7]Dia 20 (a)'!$P17</f>
        <v>26</v>
      </c>
      <c r="V11" s="12">
        <f>'[7]Dia 21 (a)'!$P17</f>
        <v>29.2</v>
      </c>
      <c r="W11" s="12">
        <f>'[7]Dia 22 (a)'!$P17</f>
        <v>29</v>
      </c>
      <c r="X11" s="12">
        <f>'[7]Dia 23 (a)'!$P17</f>
        <v>29.8</v>
      </c>
      <c r="Y11" s="12">
        <f>'[7]Dia 24 (a)'!$P17</f>
        <v>28.8</v>
      </c>
      <c r="Z11" s="12">
        <f>'[7]Dia 25 (a)'!$P17</f>
        <v>29</v>
      </c>
      <c r="AA11" s="12">
        <f>'[7]Dia 26 (a)'!$P17</f>
        <v>28.5</v>
      </c>
      <c r="AB11" s="12">
        <f>'[7]Dia 27 (a)'!$P17</f>
        <v>28.9</v>
      </c>
      <c r="AC11" s="12">
        <f>'[7]Dia 28 (a)'!$P17</f>
        <v>28.8</v>
      </c>
      <c r="AD11" s="12">
        <f>'[7]Dia 29 (a)'!$P17</f>
        <v>18.600000000000001</v>
      </c>
      <c r="AE11" s="12">
        <f>'[7]Dia 30 (a)'!$P17</f>
        <v>22.5</v>
      </c>
      <c r="AF11" s="13">
        <f>'[7]Dia 31 (a)'!$P17</f>
        <v>26.6</v>
      </c>
      <c r="AG11" s="14"/>
    </row>
    <row r="12" spans="1:33" ht="20.100000000000001" customHeight="1">
      <c r="A12" s="11">
        <v>15</v>
      </c>
      <c r="B12" s="12">
        <f>'[7]Dia 1 (a)'!$P18</f>
        <v>25.4</v>
      </c>
      <c r="C12" s="12">
        <f>'[7]Dia 2 (a)'!$P18</f>
        <v>27.2</v>
      </c>
      <c r="D12" s="12">
        <f>'[7]Dia 3 (a)'!$P18</f>
        <v>28.4</v>
      </c>
      <c r="E12" s="15">
        <f>'[7]Dia 4 (a)'!$P18</f>
        <v>-99</v>
      </c>
      <c r="F12" s="12">
        <f>'[7]Dia 5 (a)'!$P18</f>
        <v>27.3</v>
      </c>
      <c r="G12" s="12">
        <f>'[7]Dia 6 (a)'!$P18</f>
        <v>24.5</v>
      </c>
      <c r="H12" s="12">
        <f>'[7]Dia 7 (a)'!$P18</f>
        <v>27</v>
      </c>
      <c r="I12" s="12">
        <f>'[7]Dia 8 (a)'!$P18</f>
        <v>24.1</v>
      </c>
      <c r="J12" s="12">
        <f>'[7]Dia 9 (a)'!$P18</f>
        <v>27.1</v>
      </c>
      <c r="K12" s="12">
        <f>'[7]Dia 10 (a)'!$P18</f>
        <v>27</v>
      </c>
      <c r="L12" s="12">
        <f>'[7]Dia 11 (a)'!$P18</f>
        <v>27.5</v>
      </c>
      <c r="M12" s="12">
        <f>'[7]Dia 12 (a)'!$P18</f>
        <v>26</v>
      </c>
      <c r="N12" s="12">
        <f>'[7]Dia 13 (a)'!$P18</f>
        <v>20.2</v>
      </c>
      <c r="O12" s="12">
        <f>'[7]Dia 14 (a)'!$P18</f>
        <v>28</v>
      </c>
      <c r="P12" s="12">
        <f>'[7]Dia 15 (a)'!$P18</f>
        <v>27.8</v>
      </c>
      <c r="Q12" s="12">
        <f>'[7]Dia 16 (a)'!$P18</f>
        <v>27.9</v>
      </c>
      <c r="R12" s="12">
        <f>'[7]Dia 17 (a)'!$P18</f>
        <v>28</v>
      </c>
      <c r="S12" s="12">
        <f>'[7]Dia 18 (a)'!$P18</f>
        <v>24.6</v>
      </c>
      <c r="T12" s="12">
        <f>'[7]Dia 19 (a)'!$P18</f>
        <v>29.8</v>
      </c>
      <c r="U12" s="12">
        <f>'[7]Dia 20 (a)'!$P18</f>
        <v>26.8</v>
      </c>
      <c r="V12" s="12">
        <f>'[7]Dia 21 (a)'!$P18</f>
        <v>29.7</v>
      </c>
      <c r="W12" s="12">
        <f>'[7]Dia 22 (a)'!$P18</f>
        <v>30</v>
      </c>
      <c r="X12" s="12">
        <f>'[7]Dia 23 (a)'!$P18</f>
        <v>29.3</v>
      </c>
      <c r="Y12" s="12">
        <f>'[7]Dia 24 (a)'!$P18</f>
        <v>28.7</v>
      </c>
      <c r="Z12" s="12">
        <f>'[7]Dia 25 (a)'!$P18</f>
        <v>29.4</v>
      </c>
      <c r="AA12" s="12">
        <f>'[7]Dia 26 (a)'!$P18</f>
        <v>28.6</v>
      </c>
      <c r="AB12" s="12">
        <f>'[7]Dia 27 (a)'!$P18</f>
        <v>28.9</v>
      </c>
      <c r="AC12" s="12">
        <f>'[7]Dia 28 (a)'!$P18</f>
        <v>29.3</v>
      </c>
      <c r="AD12" s="12">
        <f>'[7]Dia 29 (a)'!$P18</f>
        <v>18.600000000000001</v>
      </c>
      <c r="AE12" s="12">
        <f>'[7]Dia 30 (a)'!$P18</f>
        <v>23</v>
      </c>
      <c r="AF12" s="13">
        <f>'[7]Dia 31 (a)'!$P18</f>
        <v>27.3</v>
      </c>
      <c r="AG12" s="14"/>
    </row>
    <row r="13" spans="1:33" ht="20.100000000000001" customHeight="1">
      <c r="A13" s="11">
        <v>16</v>
      </c>
      <c r="B13" s="12">
        <f>'[7]Dia 1 (a)'!$P19</f>
        <v>24.4</v>
      </c>
      <c r="C13" s="12">
        <f>'[7]Dia 2 (a)'!$P19</f>
        <v>26.2</v>
      </c>
      <c r="D13" s="12">
        <f>'[7]Dia 3 (a)'!$P19</f>
        <v>28.2</v>
      </c>
      <c r="E13" s="12">
        <f>'[7]Dia 4 (a)'!$P19</f>
        <v>27</v>
      </c>
      <c r="F13" s="12">
        <f>'[7]Dia 5 (a)'!$P19</f>
        <v>26.3</v>
      </c>
      <c r="G13" s="12">
        <f>'[7]Dia 6 (a)'!$P19</f>
        <v>24.5</v>
      </c>
      <c r="H13" s="12">
        <f>'[7]Dia 7 (a)'!$P19</f>
        <v>26</v>
      </c>
      <c r="I13" s="12">
        <f>'[7]Dia 8 (a)'!$P19</f>
        <v>23.8</v>
      </c>
      <c r="J13" s="12">
        <f>'[7]Dia 9 (a)'!$P19</f>
        <v>26.4</v>
      </c>
      <c r="K13" s="12">
        <f>'[7]Dia 10 (a)'!$P19</f>
        <v>26.3</v>
      </c>
      <c r="L13" s="12">
        <f>'[7]Dia 11 (a)'!$P19</f>
        <v>26.4</v>
      </c>
      <c r="M13" s="12">
        <f>'[7]Dia 12 (a)'!$P19</f>
        <v>25.4</v>
      </c>
      <c r="N13" s="12">
        <f>'[7]Dia 13 (a)'!$P19</f>
        <v>20</v>
      </c>
      <c r="O13" s="12">
        <f>'[7]Dia 14 (a)'!$P19</f>
        <v>27.2</v>
      </c>
      <c r="P13" s="12">
        <f>'[7]Dia 15 (a)'!$P19</f>
        <v>27</v>
      </c>
      <c r="Q13" s="12">
        <f>'[7]Dia 16 (a)'!$P19</f>
        <v>27.1</v>
      </c>
      <c r="R13" s="12">
        <f>'[7]Dia 17 (a)'!$P19</f>
        <v>26.6</v>
      </c>
      <c r="S13" s="12">
        <f>'[7]Dia 18 (a)'!$P19</f>
        <v>24.2</v>
      </c>
      <c r="T13" s="12">
        <f>'[7]Dia 19 (a)'!$P19</f>
        <v>29.1</v>
      </c>
      <c r="U13" s="12">
        <f>'[7]Dia 20 (a)'!$P19</f>
        <v>26.8</v>
      </c>
      <c r="V13" s="12">
        <f>'[7]Dia 21 (a)'!$P19</f>
        <v>29</v>
      </c>
      <c r="W13" s="12">
        <f>'[7]Dia 22 (a)'!$P19</f>
        <v>29.2</v>
      </c>
      <c r="X13" s="12">
        <f>'[7]Dia 23 (a)'!$P19</f>
        <v>29.1</v>
      </c>
      <c r="Y13" s="12">
        <f>'[7]Dia 24 (a)'!$P19</f>
        <v>28.5</v>
      </c>
      <c r="Z13" s="12">
        <f>'[7]Dia 25 (a)'!$P19</f>
        <v>28.8</v>
      </c>
      <c r="AA13" s="12">
        <f>'[7]Dia 26 (a)'!$P19</f>
        <v>27.4</v>
      </c>
      <c r="AB13" s="12">
        <f>'[7]Dia 27 (a)'!$P19</f>
        <v>28.2</v>
      </c>
      <c r="AC13" s="12">
        <f>'[7]Dia 28 (a)'!$P19</f>
        <v>28.6</v>
      </c>
      <c r="AD13" s="12">
        <f>'[7]Dia 29 (a)'!$P19</f>
        <v>18.8</v>
      </c>
      <c r="AE13" s="12">
        <f>'[7]Dia 30 (a)'!$P19</f>
        <v>22</v>
      </c>
      <c r="AF13" s="13">
        <f>'[7]Dia 31 (a)'!$P19</f>
        <v>26.5</v>
      </c>
      <c r="AG13" s="14"/>
    </row>
    <row r="14" spans="1:33" ht="20.100000000000001" customHeight="1">
      <c r="A14" s="11">
        <v>17</v>
      </c>
      <c r="B14" s="12">
        <f>'[7]Dia 1 (a)'!$P20</f>
        <v>23.2</v>
      </c>
      <c r="C14" s="12">
        <f>'[7]Dia 2 (a)'!$P20</f>
        <v>25</v>
      </c>
      <c r="D14" s="12">
        <f>'[7]Dia 3 (a)'!$P20</f>
        <v>26.6</v>
      </c>
      <c r="E14" s="12">
        <f>'[7]Dia 4 (a)'!$P20</f>
        <v>25.8</v>
      </c>
      <c r="F14" s="12">
        <f>'[7]Dia 5 (a)'!$P20</f>
        <v>25</v>
      </c>
      <c r="G14" s="12">
        <f>'[7]Dia 6 (a)'!$P20</f>
        <v>23.5</v>
      </c>
      <c r="H14" s="12">
        <f>'[7]Dia 7 (a)'!$P20</f>
        <v>24.9</v>
      </c>
      <c r="I14" s="12">
        <f>'[7]Dia 8 (a)'!$P20</f>
        <v>23</v>
      </c>
      <c r="J14" s="12">
        <f>'[7]Dia 9 (a)'!$P20</f>
        <v>24.8</v>
      </c>
      <c r="K14" s="12">
        <f>'[7]Dia 10 (a)'!$P20</f>
        <v>25.2</v>
      </c>
      <c r="L14" s="12">
        <f>'[7]Dia 11 (a)'!$P20</f>
        <v>25.2</v>
      </c>
      <c r="M14" s="12">
        <f>'[7]Dia 12 (a)'!$P20</f>
        <v>24.6</v>
      </c>
      <c r="N14" s="12">
        <f>'[7]Dia 13 (a)'!$P20</f>
        <v>19.7</v>
      </c>
      <c r="O14" s="12">
        <f>'[7]Dia 14 (a)'!$P20</f>
        <v>25.8</v>
      </c>
      <c r="P14" s="12">
        <f>'[7]Dia 15 (a)'!$P20</f>
        <v>25</v>
      </c>
      <c r="Q14" s="12">
        <f>'[7]Dia 16 (a)'!$P20</f>
        <v>26.2</v>
      </c>
      <c r="R14" s="12">
        <f>'[7]Dia 17 (a)'!$P20</f>
        <v>25.4</v>
      </c>
      <c r="S14" s="12">
        <f>'[7]Dia 18 (a)'!$P20</f>
        <v>23.4</v>
      </c>
      <c r="T14" s="12">
        <f>'[7]Dia 19 (a)'!$P20</f>
        <v>26.9</v>
      </c>
      <c r="U14" s="12">
        <f>'[7]Dia 20 (a)'!$P20</f>
        <v>25.6</v>
      </c>
      <c r="V14" s="12">
        <f>'[7]Dia 21 (a)'!$P20</f>
        <v>27.5</v>
      </c>
      <c r="W14" s="12">
        <f>'[7]Dia 22 (a)'!$P20</f>
        <v>27.6</v>
      </c>
      <c r="X14" s="12">
        <f>'[7]Dia 23 (a)'!$P20</f>
        <v>27.4</v>
      </c>
      <c r="Y14" s="12">
        <f>'[7]Dia 24 (a)'!$P20</f>
        <v>27</v>
      </c>
      <c r="Z14" s="12">
        <f>'[7]Dia 25 (a)'!$P20</f>
        <v>27.2</v>
      </c>
      <c r="AA14" s="12">
        <f>'[7]Dia 26 (a)'!$P20</f>
        <v>26.2</v>
      </c>
      <c r="AB14" s="12">
        <f>'[7]Dia 27 (a)'!$P20</f>
        <v>26.8</v>
      </c>
      <c r="AC14" s="12">
        <f>'[7]Dia 28 (a)'!$P20</f>
        <v>27.1</v>
      </c>
      <c r="AD14" s="12">
        <f>'[7]Dia 29 (a)'!$P20</f>
        <v>18.399999999999999</v>
      </c>
      <c r="AE14" s="12">
        <f>'[7]Dia 30 (a)'!$P20</f>
        <v>21</v>
      </c>
      <c r="AF14" s="13">
        <f>'[7]Dia 31 (a)'!$P20</f>
        <v>25</v>
      </c>
      <c r="AG14" s="14"/>
    </row>
    <row r="15" spans="1:33" ht="20.100000000000001" customHeight="1">
      <c r="A15" s="11">
        <v>18</v>
      </c>
      <c r="B15" s="12">
        <f>'[7]Dia 1 (a)'!$P21</f>
        <v>21.8</v>
      </c>
      <c r="C15" s="12">
        <f>'[7]Dia 2 (a)'!$P21</f>
        <v>23.4</v>
      </c>
      <c r="D15" s="12">
        <f>'[7]Dia 3 (a)'!$P21</f>
        <v>24.2</v>
      </c>
      <c r="E15" s="12">
        <f>'[7]Dia 4 (a)'!$P21</f>
        <v>24</v>
      </c>
      <c r="F15" s="12">
        <f>'[7]Dia 5 (a)'!$P21</f>
        <v>23.4</v>
      </c>
      <c r="G15" s="12">
        <f>'[7]Dia 6 (a)'!$P21</f>
        <v>22.4</v>
      </c>
      <c r="H15" s="12">
        <f>'[7]Dia 7 (a)'!$P21</f>
        <v>23.4</v>
      </c>
      <c r="I15" s="12">
        <f>'[7]Dia 8 (a)'!$P21</f>
        <v>22</v>
      </c>
      <c r="J15" s="12">
        <f>'[7]Dia 9 (a)'!$P21</f>
        <v>23</v>
      </c>
      <c r="K15" s="12">
        <f>'[7]Dia 10 (a)'!$P21</f>
        <v>23.5</v>
      </c>
      <c r="L15" s="12">
        <f>'[7]Dia 11 (a)'!$P21</f>
        <v>23.8</v>
      </c>
      <c r="M15" s="12">
        <f>'[7]Dia 12 (a)'!$P21</f>
        <v>23.7</v>
      </c>
      <c r="N15" s="12">
        <f>'[7]Dia 13 (a)'!$P21</f>
        <v>19.2</v>
      </c>
      <c r="O15" s="12">
        <f>'[7]Dia 14 (a)'!$P21</f>
        <v>24.4</v>
      </c>
      <c r="P15" s="12">
        <f>'[7]Dia 15 (a)'!$P21</f>
        <v>24.6</v>
      </c>
      <c r="Q15" s="12">
        <f>'[7]Dia 16 (a)'!$P21</f>
        <v>24.8</v>
      </c>
      <c r="R15" s="12">
        <f>'[7]Dia 17 (a)'!$P21</f>
        <v>23.8</v>
      </c>
      <c r="S15" s="12">
        <f>'[7]Dia 18 (a)'!$P21</f>
        <v>22.4</v>
      </c>
      <c r="T15" s="12">
        <f>'[7]Dia 19 (a)'!$P21</f>
        <v>25.5</v>
      </c>
      <c r="U15" s="12">
        <f>'[7]Dia 20 (a)'!$P21</f>
        <v>24.3</v>
      </c>
      <c r="V15" s="12">
        <f>'[7]Dia 21 (a)'!$P21</f>
        <v>25.7</v>
      </c>
      <c r="W15" s="12">
        <f>'[7]Dia 22 (a)'!$P21</f>
        <v>25.8</v>
      </c>
      <c r="X15" s="12">
        <f>'[7]Dia 23 (a)'!$P21</f>
        <v>25.5</v>
      </c>
      <c r="Y15" s="12">
        <f>'[7]Dia 24 (a)'!$P21</f>
        <v>25.4</v>
      </c>
      <c r="Z15" s="12">
        <f>'[7]Dia 25 (a)'!$P21</f>
        <v>25.3</v>
      </c>
      <c r="AA15" s="12">
        <f>'[7]Dia 26 (a)'!$P21</f>
        <v>24.2</v>
      </c>
      <c r="AB15" s="12">
        <f>'[7]Dia 27 (a)'!$P21</f>
        <v>25.4</v>
      </c>
      <c r="AC15" s="12">
        <f>'[7]Dia 28 (a)'!$P21</f>
        <v>25.7</v>
      </c>
      <c r="AD15" s="12">
        <f>'[7]Dia 29 (a)'!$P21</f>
        <v>18</v>
      </c>
      <c r="AE15" s="12">
        <f>'[7]Dia 30 (a)'!$P21</f>
        <v>19</v>
      </c>
      <c r="AF15" s="13">
        <f>'[7]Dia 31 (a)'!$P21</f>
        <v>22.6</v>
      </c>
      <c r="AG15" s="14"/>
    </row>
    <row r="16" spans="1:33" ht="20.100000000000001" customHeight="1">
      <c r="A16" s="11">
        <v>19</v>
      </c>
      <c r="B16" s="12">
        <f>'[7]Dia 1 (a)'!$P22</f>
        <v>20.6</v>
      </c>
      <c r="C16" s="12">
        <f>'[7]Dia 2 (a)'!$P22</f>
        <v>22</v>
      </c>
      <c r="D16" s="12">
        <f>'[7]Dia 3 (a)'!$P22</f>
        <v>23</v>
      </c>
      <c r="E16" s="12">
        <f>'[7]Dia 4 (a)'!$P22</f>
        <v>23</v>
      </c>
      <c r="F16" s="12">
        <f>'[7]Dia 5 (a)'!$P22</f>
        <v>21.9</v>
      </c>
      <c r="G16" s="12">
        <f>'[7]Dia 6 (a)'!$P22</f>
        <v>21</v>
      </c>
      <c r="H16" s="12">
        <f>'[7]Dia 7 (a)'!$P22</f>
        <v>22.2</v>
      </c>
      <c r="I16" s="12">
        <f>'[7]Dia 8 (a)'!$P22</f>
        <v>21</v>
      </c>
      <c r="J16" s="12">
        <f>'[7]Dia 9 (a)'!$P22</f>
        <v>21.8</v>
      </c>
      <c r="K16" s="12">
        <f>'[7]Dia 10 (a)'!$P22</f>
        <v>22.2</v>
      </c>
      <c r="L16" s="12">
        <f>'[7]Dia 11 (a)'!$P22</f>
        <v>22.6</v>
      </c>
      <c r="M16" s="12">
        <f>'[7]Dia 12 (a)'!$P22</f>
        <v>23</v>
      </c>
      <c r="N16" s="12">
        <f>'[7]Dia 13 (a)'!$P22</f>
        <v>18.8</v>
      </c>
      <c r="O16" s="12">
        <f>'[7]Dia 14 (a)'!$P22</f>
        <v>23.2</v>
      </c>
      <c r="P16" s="12">
        <f>'[7]Dia 15 (a)'!$P22</f>
        <v>23</v>
      </c>
      <c r="Q16" s="12">
        <f>'[7]Dia 16 (a)'!$P22</f>
        <v>23.6</v>
      </c>
      <c r="R16" s="12">
        <f>'[7]Dia 17 (a)'!$P22</f>
        <v>23</v>
      </c>
      <c r="S16" s="12">
        <f>'[7]Dia 18 (a)'!$P22</f>
        <v>21.8</v>
      </c>
      <c r="T16" s="12">
        <f>'[7]Dia 19 (a)'!$P22</f>
        <v>24.4</v>
      </c>
      <c r="U16" s="12">
        <f>'[7]Dia 20 (a)'!$P22</f>
        <v>23.1</v>
      </c>
      <c r="V16" s="12">
        <f>'[7]Dia 21 (a)'!$P22</f>
        <v>24.3</v>
      </c>
      <c r="W16" s="12">
        <f>'[7]Dia 22 (a)'!$P22</f>
        <v>24.4</v>
      </c>
      <c r="X16" s="12">
        <f>'[7]Dia 23 (a)'!$P22</f>
        <v>23.8</v>
      </c>
      <c r="Y16" s="12">
        <f>'[7]Dia 24 (a)'!$P22</f>
        <v>23.9</v>
      </c>
      <c r="Z16" s="12">
        <f>'[7]Dia 25 (a)'!$P22</f>
        <v>24</v>
      </c>
      <c r="AA16" s="12">
        <f>'[7]Dia 26 (a)'!$P22</f>
        <v>23</v>
      </c>
      <c r="AB16" s="12">
        <f>'[7]Dia 27 (a)'!$P22</f>
        <v>23.9</v>
      </c>
      <c r="AC16" s="12">
        <f>'[7]Dia 28 (a)'!$P22</f>
        <v>24.4</v>
      </c>
      <c r="AD16" s="12">
        <f>'[7]Dia 29 (a)'!$P22</f>
        <v>17</v>
      </c>
      <c r="AE16" s="12">
        <f>'[7]Dia 30 (a)'!$P22</f>
        <v>17.399999999999999</v>
      </c>
      <c r="AF16" s="13">
        <f>'[7]Dia 31 (a)'!$P22</f>
        <v>20</v>
      </c>
      <c r="AG16" s="14"/>
    </row>
    <row r="17" spans="1:33" ht="20.100000000000001" customHeight="1">
      <c r="A17" s="11">
        <v>20</v>
      </c>
      <c r="B17" s="12">
        <f>'[7]Dia 1 (a)'!$P23</f>
        <v>19.5</v>
      </c>
      <c r="C17" s="12">
        <f>'[7]Dia 2 (a)'!$P23</f>
        <v>21</v>
      </c>
      <c r="D17" s="12">
        <f>'[7]Dia 3 (a)'!$P23</f>
        <v>22</v>
      </c>
      <c r="E17" s="12">
        <f>'[7]Dia 4 (a)'!$P23</f>
        <v>21.6</v>
      </c>
      <c r="F17" s="12">
        <f>'[7]Dia 5 (a)'!$P23</f>
        <v>20.8</v>
      </c>
      <c r="G17" s="12">
        <f>'[7]Dia 6 (a)'!$P23</f>
        <v>20.100000000000001</v>
      </c>
      <c r="H17" s="12">
        <f>'[7]Dia 7 (a)'!$P23</f>
        <v>21</v>
      </c>
      <c r="I17" s="12">
        <f>'[7]Dia 8 (a)'!$P23</f>
        <v>20</v>
      </c>
      <c r="J17" s="12">
        <f>'[7]Dia 9 (a)'!$P23</f>
        <v>21.7</v>
      </c>
      <c r="K17" s="12">
        <f>'[7]Dia 10 (a)'!$P23</f>
        <v>21.2</v>
      </c>
      <c r="L17" s="12">
        <f>'[7]Dia 11 (a)'!$P23</f>
        <v>21.8</v>
      </c>
      <c r="M17" s="12">
        <f>'[7]Dia 12 (a)'!$P23</f>
        <v>22.4</v>
      </c>
      <c r="N17" s="12">
        <f>'[7]Dia 13 (a)'!$P23</f>
        <v>18.600000000000001</v>
      </c>
      <c r="O17" s="12">
        <f>'[7]Dia 14 (a)'!$P23</f>
        <v>22.2</v>
      </c>
      <c r="P17" s="12">
        <f>'[7]Dia 15 (a)'!$P23</f>
        <v>22</v>
      </c>
      <c r="Q17" s="12">
        <f>'[7]Dia 16 (a)'!$P23</f>
        <v>22.8</v>
      </c>
      <c r="R17" s="12">
        <f>'[7]Dia 17 (a)'!$P23</f>
        <v>22.1</v>
      </c>
      <c r="S17" s="12">
        <f>'[7]Dia 18 (a)'!$P23</f>
        <v>21.3</v>
      </c>
      <c r="T17" s="12">
        <f>'[7]Dia 19 (a)'!$P23</f>
        <v>23.6</v>
      </c>
      <c r="U17" s="12">
        <f>'[7]Dia 20 (a)'!$P23</f>
        <v>22.5</v>
      </c>
      <c r="V17" s="12">
        <f>'[7]Dia 21 (a)'!$P23</f>
        <v>23.1</v>
      </c>
      <c r="W17" s="12">
        <f>'[7]Dia 22 (a)'!$P23</f>
        <v>23.1</v>
      </c>
      <c r="X17" s="12">
        <f>'[7]Dia 23 (a)'!$P23</f>
        <v>22.8</v>
      </c>
      <c r="Y17" s="12">
        <f>'[7]Dia 24 (a)'!$P23</f>
        <v>22.8</v>
      </c>
      <c r="Z17" s="12">
        <f>'[7]Dia 25 (a)'!$P23</f>
        <v>23.2</v>
      </c>
      <c r="AA17" s="12">
        <f>'[7]Dia 26 (a)'!$P23</f>
        <v>22.6</v>
      </c>
      <c r="AB17" s="12">
        <f>'[7]Dia 27 (a)'!$P23</f>
        <v>23</v>
      </c>
      <c r="AC17" s="12">
        <f>'[7]Dia 28 (a)'!$P23</f>
        <v>23.4</v>
      </c>
      <c r="AD17" s="12">
        <f>'[7]Dia 29 (a)'!$P23</f>
        <v>16.399999999999999</v>
      </c>
      <c r="AE17" s="12">
        <f>'[7]Dia 30 (a)'!$P23</f>
        <v>16.600000000000001</v>
      </c>
      <c r="AF17" s="13">
        <f>'[7]Dia 31 (a)'!$P23</f>
        <v>19.399999999999999</v>
      </c>
      <c r="AG17" s="14"/>
    </row>
    <row r="18" spans="1:33" ht="20.100000000000001" customHeight="1">
      <c r="A18" s="11">
        <v>21</v>
      </c>
      <c r="B18" s="12">
        <f>'[7]Dia 1 (a)'!$P24</f>
        <v>18.7</v>
      </c>
      <c r="C18" s="12">
        <f>'[7]Dia 2 (a)'!$P24</f>
        <v>20.399999999999999</v>
      </c>
      <c r="D18" s="12">
        <f>'[7]Dia 3 (a)'!$P24</f>
        <v>20.8</v>
      </c>
      <c r="E18" s="12">
        <f>'[7]Dia 4 (a)'!$P24</f>
        <v>20.399999999999999</v>
      </c>
      <c r="F18" s="12">
        <f>'[7]Dia 5 (a)'!$P24</f>
        <v>19.899999999999999</v>
      </c>
      <c r="G18" s="12">
        <f>'[7]Dia 6 (a)'!$P24</f>
        <v>19.399999999999999</v>
      </c>
      <c r="H18" s="12">
        <f>'[7]Dia 7 (a)'!$P24</f>
        <v>20.100000000000001</v>
      </c>
      <c r="I18" s="12">
        <f>'[7]Dia 8 (a)'!$P24</f>
        <v>19.399999999999999</v>
      </c>
      <c r="J18" s="12">
        <f>'[7]Dia 9 (a)'!$P24</f>
        <v>21.4</v>
      </c>
      <c r="K18" s="12">
        <f>'[7]Dia 10 (a)'!$P24</f>
        <v>20.399999999999999</v>
      </c>
      <c r="L18" s="12">
        <f>'[7]Dia 11 (a)'!$P24</f>
        <v>20.8</v>
      </c>
      <c r="M18" s="12">
        <f>'[7]Dia 12 (a)'!$P24</f>
        <v>21.8</v>
      </c>
      <c r="N18" s="12">
        <f>'[7]Dia 13 (a)'!$P24</f>
        <v>18.3</v>
      </c>
      <c r="O18" s="12">
        <f>'[7]Dia 14 (a)'!$P24</f>
        <v>21.2</v>
      </c>
      <c r="P18" s="12">
        <f>'[7]Dia 15 (a)'!$P24</f>
        <v>21</v>
      </c>
      <c r="Q18" s="12">
        <f>'[7]Dia 16 (a)'!$P24</f>
        <v>22</v>
      </c>
      <c r="R18" s="12">
        <f>'[7]Dia 17 (a)'!$P24</f>
        <v>21.8</v>
      </c>
      <c r="S18" s="12">
        <f>'[7]Dia 18 (a)'!$P24</f>
        <v>20.9</v>
      </c>
      <c r="T18" s="12">
        <f>'[7]Dia 19 (a)'!$P24</f>
        <v>22.8</v>
      </c>
      <c r="U18" s="12">
        <f>'[7]Dia 20 (a)'!$P24</f>
        <v>21.9</v>
      </c>
      <c r="V18" s="12">
        <f>'[7]Dia 21 (a)'!$P24</f>
        <v>22.2</v>
      </c>
      <c r="W18" s="12">
        <f>'[7]Dia 22 (a)'!$P24</f>
        <v>22</v>
      </c>
      <c r="X18" s="12">
        <f>'[7]Dia 23 (a)'!$P24</f>
        <v>21.6</v>
      </c>
      <c r="Y18" s="12">
        <f>'[7]Dia 24 (a)'!$P24</f>
        <v>21.5</v>
      </c>
      <c r="Z18" s="12">
        <f>'[7]Dia 25 (a)'!$P24</f>
        <v>22</v>
      </c>
      <c r="AA18" s="12">
        <f>'[7]Dia 26 (a)'!$P24</f>
        <v>22</v>
      </c>
      <c r="AB18" s="12">
        <f>'[7]Dia 27 (a)'!$P24</f>
        <v>22</v>
      </c>
      <c r="AC18" s="12">
        <f>'[7]Dia 28 (a)'!$P24</f>
        <v>22.6</v>
      </c>
      <c r="AD18" s="12">
        <f>'[7]Dia 29 (a)'!$P24</f>
        <v>15.6</v>
      </c>
      <c r="AE18" s="12">
        <f>'[7]Dia 30 (a)'!$P24</f>
        <v>15.8</v>
      </c>
      <c r="AF18" s="13">
        <f>'[7]Dia 31 (a)'!$P24</f>
        <v>18.2</v>
      </c>
      <c r="AG18" s="14"/>
    </row>
    <row r="19" spans="1:33" ht="20.100000000000001" customHeight="1">
      <c r="A19" s="11">
        <v>22</v>
      </c>
      <c r="B19" s="12">
        <f>'[7]Dia 1 (a)'!$P25</f>
        <v>18</v>
      </c>
      <c r="C19" s="12">
        <f>'[7]Dia 2 (a)'!$P25</f>
        <v>20.2</v>
      </c>
      <c r="D19" s="12">
        <f>'[7]Dia 3 (a)'!$P25</f>
        <v>20.399999999999999</v>
      </c>
      <c r="E19" s="12">
        <f>'[7]Dia 4 (a)'!$P25</f>
        <v>19.8</v>
      </c>
      <c r="F19" s="12">
        <f>'[7]Dia 5 (a)'!$P25</f>
        <v>19.2</v>
      </c>
      <c r="G19" s="12">
        <f>'[7]Dia 6 (a)'!$P25</f>
        <v>18.8</v>
      </c>
      <c r="H19" s="12">
        <f>'[7]Dia 7 (a)'!$P25</f>
        <v>19.3</v>
      </c>
      <c r="I19" s="12">
        <f>'[7]Dia 8 (a)'!$P25</f>
        <v>18.8</v>
      </c>
      <c r="J19" s="12">
        <f>'[7]Dia 9 (a)'!$P25</f>
        <v>20.100000000000001</v>
      </c>
      <c r="K19" s="12">
        <f>'[7]Dia 10 (a)'!$P25</f>
        <v>19.7</v>
      </c>
      <c r="L19" s="12">
        <f>'[7]Dia 11 (a)'!$P25</f>
        <v>20.399999999999999</v>
      </c>
      <c r="M19" s="12">
        <f>'[7]Dia 12 (a)'!$P25</f>
        <v>21.2</v>
      </c>
      <c r="N19" s="12">
        <f>'[7]Dia 13 (a)'!$P25</f>
        <v>18.2</v>
      </c>
      <c r="O19" s="12">
        <f>'[7]Dia 14 (a)'!$P25</f>
        <v>20.6</v>
      </c>
      <c r="P19" s="12">
        <f>'[7]Dia 15 (a)'!$P25</f>
        <v>20</v>
      </c>
      <c r="Q19" s="12">
        <f>'[7]Dia 16 (a)'!$P25</f>
        <v>21.4</v>
      </c>
      <c r="R19" s="12">
        <f>'[7]Dia 17 (a)'!$P25</f>
        <v>21.1</v>
      </c>
      <c r="S19" s="12">
        <f>'[7]Dia 18 (a)'!$P25</f>
        <v>20.5</v>
      </c>
      <c r="T19" s="12">
        <f>'[7]Dia 19 (a)'!$P25</f>
        <v>22.2</v>
      </c>
      <c r="U19" s="12">
        <f>'[7]Dia 20 (a)'!$P25</f>
        <v>21.5</v>
      </c>
      <c r="V19" s="12">
        <f>'[7]Dia 21 (a)'!$P25</f>
        <v>21.2</v>
      </c>
      <c r="W19" s="12">
        <f>'[7]Dia 22 (a)'!$P25</f>
        <v>21</v>
      </c>
      <c r="X19" s="12">
        <f>'[7]Dia 23 (a)'!$P25</f>
        <v>20.8</v>
      </c>
      <c r="Y19" s="12">
        <f>'[7]Dia 24 (a)'!$P25</f>
        <v>20.8</v>
      </c>
      <c r="Z19" s="12">
        <f>'[7]Dia 25 (a)'!$P25</f>
        <v>20.6</v>
      </c>
      <c r="AA19" s="12">
        <f>'[7]Dia 26 (a)'!$P25</f>
        <v>21.4</v>
      </c>
      <c r="AB19" s="12">
        <f>'[7]Dia 27 (a)'!$P25</f>
        <v>21.2</v>
      </c>
      <c r="AC19" s="12">
        <f>'[7]Dia 28 (a)'!$P25</f>
        <v>21.8</v>
      </c>
      <c r="AD19" s="12">
        <f>'[7]Dia 29 (a)'!$P25</f>
        <v>15</v>
      </c>
      <c r="AE19" s="12">
        <f>'[7]Dia 30 (a)'!$P25</f>
        <v>15.2</v>
      </c>
      <c r="AF19" s="13">
        <f>'[7]Dia 31 (a)'!$P25</f>
        <v>17</v>
      </c>
      <c r="AG19" s="14"/>
    </row>
    <row r="20" spans="1:33" ht="20.100000000000001" customHeight="1">
      <c r="A20" s="11">
        <v>23</v>
      </c>
      <c r="B20" s="12">
        <f>'[7]Dia 1 (a)'!$P26</f>
        <v>17.600000000000001</v>
      </c>
      <c r="C20" s="12">
        <f>'[7]Dia 2 (a)'!$P26</f>
        <v>19.2</v>
      </c>
      <c r="D20" s="12">
        <f>'[7]Dia 3 (a)'!$P26</f>
        <v>19.600000000000001</v>
      </c>
      <c r="E20" s="12">
        <f>'[7]Dia 4 (a)'!$P26</f>
        <v>19</v>
      </c>
      <c r="F20" s="12">
        <f>'[7]Dia 5 (a)'!$P26</f>
        <v>18.399999999999999</v>
      </c>
      <c r="G20" s="12">
        <f>'[7]Dia 6 (a)'!$P26</f>
        <v>18</v>
      </c>
      <c r="H20" s="12">
        <f>'[7]Dia 7 (a)'!$P26</f>
        <v>18.600000000000001</v>
      </c>
      <c r="I20" s="12">
        <f>'[7]Dia 8 (a)'!$P26</f>
        <v>18</v>
      </c>
      <c r="J20" s="12">
        <f>'[7]Dia 9 (a)'!$P26</f>
        <v>19.600000000000001</v>
      </c>
      <c r="K20" s="12">
        <f>'[7]Dia 10 (a)'!$P26</f>
        <v>19.3</v>
      </c>
      <c r="L20" s="12">
        <f>'[7]Dia 11 (a)'!$P26</f>
        <v>19.8</v>
      </c>
      <c r="M20" s="12">
        <f>'[7]Dia 12 (a)'!$P26</f>
        <v>20.7</v>
      </c>
      <c r="N20" s="12">
        <f>'[7]Dia 13 (a)'!$P26</f>
        <v>17.8</v>
      </c>
      <c r="O20" s="12">
        <f>'[7]Dia 14 (a)'!$P26</f>
        <v>19.8</v>
      </c>
      <c r="P20" s="12">
        <f>'[7]Dia 15 (a)'!$P26</f>
        <v>20</v>
      </c>
      <c r="Q20" s="12">
        <f>'[7]Dia 16 (a)'!$P26</f>
        <v>21</v>
      </c>
      <c r="R20" s="12">
        <f>'[7]Dia 17 (a)'!$P26</f>
        <v>20.7</v>
      </c>
      <c r="S20" s="12">
        <f>'[7]Dia 18 (a)'!$P26</f>
        <v>20.100000000000001</v>
      </c>
      <c r="T20" s="12">
        <f>'[7]Dia 19 (a)'!$P26</f>
        <v>21.8</v>
      </c>
      <c r="U20" s="12">
        <f>'[7]Dia 20 (a)'!$P26</f>
        <v>21.1</v>
      </c>
      <c r="V20" s="12">
        <f>'[7]Dia 21 (a)'!$P26</f>
        <v>20.399999999999999</v>
      </c>
      <c r="W20" s="12">
        <f>'[7]Dia 22 (a)'!$P26</f>
        <v>20.2</v>
      </c>
      <c r="X20" s="12">
        <f>'[7]Dia 23 (a)'!$P26</f>
        <v>20</v>
      </c>
      <c r="Y20" s="12">
        <f>'[7]Dia 24 (a)'!$P26</f>
        <v>20.100000000000001</v>
      </c>
      <c r="Z20" s="12">
        <f>'[7]Dia 25 (a)'!$P26</f>
        <v>20</v>
      </c>
      <c r="AA20" s="12">
        <f>'[7]Dia 26 (a)'!$P26</f>
        <v>21.2</v>
      </c>
      <c r="AB20" s="12">
        <f>'[7]Dia 27 (a)'!$P26</f>
        <v>20.6</v>
      </c>
      <c r="AC20" s="12">
        <f>'[7]Dia 28 (a)'!$P26</f>
        <v>21.1</v>
      </c>
      <c r="AD20" s="12">
        <f>'[7]Dia 29 (a)'!$P26</f>
        <v>14.4</v>
      </c>
      <c r="AE20" s="12">
        <f>'[7]Dia 30 (a)'!$P26</f>
        <v>15</v>
      </c>
      <c r="AF20" s="13">
        <f>'[7]Dia 31 (a)'!$P26</f>
        <v>16.600000000000001</v>
      </c>
      <c r="AG20" s="14"/>
    </row>
    <row r="21" spans="1:33" ht="20.100000000000001" customHeight="1" thickBot="1">
      <c r="A21" s="16">
        <v>24</v>
      </c>
      <c r="B21" s="17">
        <f>'[7]Dia 1 (a)'!$P27</f>
        <v>17.3</v>
      </c>
      <c r="C21" s="17">
        <f>'[7]Dia 2 (a)'!$P27</f>
        <v>19</v>
      </c>
      <c r="D21" s="17">
        <f>'[7]Dia 3 (a)'!$P27</f>
        <v>18.8</v>
      </c>
      <c r="E21" s="17">
        <f>'[7]Dia 4 (a)'!$P27</f>
        <v>18.399999999999999</v>
      </c>
      <c r="F21" s="17">
        <f>'[7]Dia 5 (a)'!$P27</f>
        <v>17.8</v>
      </c>
      <c r="G21" s="17">
        <f>'[7]Dia 6 (a)'!$P27</f>
        <v>17.8</v>
      </c>
      <c r="H21" s="17">
        <f>'[7]Dia 7 (a)'!$P27</f>
        <v>18.3</v>
      </c>
      <c r="I21" s="17">
        <f>'[7]Dia 8 (a)'!$P27</f>
        <v>17.8</v>
      </c>
      <c r="J21" s="17">
        <f>'[7]Dia 9 (a)'!$P27</f>
        <v>19.2</v>
      </c>
      <c r="K21" s="17">
        <f>'[7]Dia 10 (a)'!$P27</f>
        <v>18.5</v>
      </c>
      <c r="L21" s="17">
        <f>'[7]Dia 11 (a)'!$P27</f>
        <v>19.5</v>
      </c>
      <c r="M21" s="17">
        <f>'[7]Dia 12 (a)'!$P27</f>
        <v>20.399999999999999</v>
      </c>
      <c r="N21" s="17">
        <f>'[7]Dia 13 (a)'!$P27</f>
        <v>17.7</v>
      </c>
      <c r="O21" s="17">
        <f>'[7]Dia 14 (a)'!$P27</f>
        <v>19.3</v>
      </c>
      <c r="P21" s="17">
        <f>'[7]Dia 15 (a)'!$P27</f>
        <v>19.600000000000001</v>
      </c>
      <c r="Q21" s="17">
        <f>'[7]Dia 16 (a)'!$P27</f>
        <v>20.6</v>
      </c>
      <c r="R21" s="17">
        <f>'[7]Dia 17 (a)'!$P27</f>
        <v>20.399999999999999</v>
      </c>
      <c r="S21" s="17">
        <f>'[7]Dia 18 (a)'!$P27</f>
        <v>19.8</v>
      </c>
      <c r="T21" s="17">
        <f>'[7]Dia 19 (a)'!$P27</f>
        <v>21.3</v>
      </c>
      <c r="U21" s="17">
        <f>'[7]Dia 20 (a)'!$P27</f>
        <v>20.8</v>
      </c>
      <c r="V21" s="17">
        <f>'[7]Dia 21 (a)'!$P27</f>
        <v>19.899999999999999</v>
      </c>
      <c r="W21" s="17">
        <f>'[7]Dia 22 (a)'!$P27</f>
        <v>19.600000000000001</v>
      </c>
      <c r="X21" s="17">
        <f>'[7]Dia 23 (a)'!$P27</f>
        <v>19.3</v>
      </c>
      <c r="Y21" s="17">
        <f>'[7]Dia 24 (a)'!$P27</f>
        <v>19.5</v>
      </c>
      <c r="Z21" s="17">
        <f>'[7]Dia 25 (a)'!$P27</f>
        <v>19.8</v>
      </c>
      <c r="AA21" s="17">
        <f>'[7]Dia 26 (a)'!$P27</f>
        <v>21</v>
      </c>
      <c r="AB21" s="17">
        <f>'[7]Dia 27 (a)'!$P27</f>
        <v>20</v>
      </c>
      <c r="AC21" s="17">
        <f>'[7]Dia 28 (a)'!$P27</f>
        <v>20.6</v>
      </c>
      <c r="AD21" s="17">
        <f>'[7]Dia 29 (a)'!$P27</f>
        <v>14</v>
      </c>
      <c r="AE21" s="17">
        <f>'[7]Dia 30 (a)'!$P27</f>
        <v>15</v>
      </c>
      <c r="AF21" s="18">
        <f>'[7]Dia 31 (a)'!$P27</f>
        <v>16</v>
      </c>
      <c r="AG21" s="14"/>
    </row>
    <row r="22" spans="1:33" ht="15.75" thickTop="1">
      <c r="A22" s="19"/>
      <c r="B22" s="20"/>
      <c r="C22" s="20"/>
      <c r="D22" s="20"/>
      <c r="E22" s="21" t="s">
        <v>14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19.811111111111117</v>
      </c>
      <c r="C25" s="26">
        <f t="shared" ref="C25:AF25" si="0">AVERAGE(C4:C21)</f>
        <v>21.222222222222218</v>
      </c>
      <c r="D25" s="26">
        <f t="shared" si="0"/>
        <v>22.294444444444444</v>
      </c>
      <c r="E25" s="26">
        <f>AVERAGE(E4:E11,E13:E21)</f>
        <v>21.36470588235294</v>
      </c>
      <c r="F25" s="26">
        <f t="shared" si="0"/>
        <v>21.066666666666666</v>
      </c>
      <c r="G25" s="26">
        <f t="shared" si="0"/>
        <v>20.172222222222224</v>
      </c>
      <c r="H25" s="26">
        <f t="shared" si="0"/>
        <v>20.87777777777778</v>
      </c>
      <c r="I25" s="26">
        <f t="shared" si="0"/>
        <v>20.272222222222222</v>
      </c>
      <c r="J25" s="26">
        <f t="shared" si="0"/>
        <v>21.4</v>
      </c>
      <c r="K25" s="26">
        <f t="shared" si="0"/>
        <v>21.327777777777776</v>
      </c>
      <c r="L25" s="26">
        <f t="shared" si="0"/>
        <v>21.661111111111111</v>
      </c>
      <c r="M25" s="26">
        <f t="shared" si="0"/>
        <v>21.955555555555552</v>
      </c>
      <c r="N25" s="26">
        <f t="shared" si="0"/>
        <v>18.777777777777779</v>
      </c>
      <c r="O25" s="26">
        <f t="shared" si="0"/>
        <v>22.083333333333332</v>
      </c>
      <c r="P25" s="26">
        <f t="shared" si="0"/>
        <v>22.011111111111113</v>
      </c>
      <c r="Q25" s="26">
        <f t="shared" si="0"/>
        <v>22.766666666666666</v>
      </c>
      <c r="R25" s="26">
        <f t="shared" si="0"/>
        <v>22.950000000000003</v>
      </c>
      <c r="S25" s="26">
        <f t="shared" si="0"/>
        <v>21.255555555555556</v>
      </c>
      <c r="T25" s="26">
        <f t="shared" si="0"/>
        <v>23.522222222222226</v>
      </c>
      <c r="U25" s="26">
        <f t="shared" si="0"/>
        <v>22.81666666666667</v>
      </c>
      <c r="V25" s="26">
        <f t="shared" si="0"/>
        <v>23.533333333333328</v>
      </c>
      <c r="W25" s="26">
        <f t="shared" si="0"/>
        <v>23.261111111111113</v>
      </c>
      <c r="X25" s="26">
        <f t="shared" si="0"/>
        <v>22.994444444444451</v>
      </c>
      <c r="Y25" s="26">
        <f>AVERAGE(Y4:Y21)</f>
        <v>22.85</v>
      </c>
      <c r="Z25" s="26">
        <f t="shared" si="0"/>
        <v>23.066666666666674</v>
      </c>
      <c r="AA25" s="26">
        <f t="shared" si="0"/>
        <v>22.844444444444445</v>
      </c>
      <c r="AB25" s="26">
        <f t="shared" si="0"/>
        <v>23.427777777777777</v>
      </c>
      <c r="AC25" s="26">
        <f t="shared" si="0"/>
        <v>23.500000000000004</v>
      </c>
      <c r="AD25" s="26">
        <f t="shared" si="0"/>
        <v>17.827777777777776</v>
      </c>
      <c r="AE25" s="26">
        <f t="shared" si="0"/>
        <v>17.611111111111111</v>
      </c>
      <c r="AF25" s="27">
        <f t="shared" si="0"/>
        <v>20.077777777777776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25.4</v>
      </c>
      <c r="C29" s="26">
        <f t="shared" ref="C29:AF29" si="1">MAX(C4:C21)</f>
        <v>27.2</v>
      </c>
      <c r="D29" s="26">
        <f t="shared" si="1"/>
        <v>28.4</v>
      </c>
      <c r="E29" s="26">
        <f>MAX(E4:E11,E13:E21)</f>
        <v>27.7</v>
      </c>
      <c r="F29" s="26">
        <f t="shared" si="1"/>
        <v>27.3</v>
      </c>
      <c r="G29" s="26">
        <f t="shared" si="1"/>
        <v>24.5</v>
      </c>
      <c r="H29" s="26">
        <f t="shared" si="1"/>
        <v>27</v>
      </c>
      <c r="I29" s="26">
        <f t="shared" si="1"/>
        <v>24.1</v>
      </c>
      <c r="J29" s="26">
        <f t="shared" si="1"/>
        <v>27.1</v>
      </c>
      <c r="K29" s="26">
        <f t="shared" si="1"/>
        <v>27</v>
      </c>
      <c r="L29" s="26">
        <f t="shared" si="1"/>
        <v>27.5</v>
      </c>
      <c r="M29" s="26">
        <f t="shared" si="1"/>
        <v>26</v>
      </c>
      <c r="N29" s="26">
        <f t="shared" si="1"/>
        <v>20.2</v>
      </c>
      <c r="O29" s="26">
        <f t="shared" si="1"/>
        <v>28</v>
      </c>
      <c r="P29" s="26">
        <f t="shared" si="1"/>
        <v>27.8</v>
      </c>
      <c r="Q29" s="26">
        <f t="shared" si="1"/>
        <v>27.9</v>
      </c>
      <c r="R29" s="26">
        <f t="shared" si="1"/>
        <v>28</v>
      </c>
      <c r="S29" s="26">
        <f t="shared" si="1"/>
        <v>24.6</v>
      </c>
      <c r="T29" s="26">
        <f t="shared" si="1"/>
        <v>29.8</v>
      </c>
      <c r="U29" s="26">
        <f t="shared" si="1"/>
        <v>26.8</v>
      </c>
      <c r="V29" s="26">
        <f t="shared" si="1"/>
        <v>29.7</v>
      </c>
      <c r="W29" s="26">
        <f t="shared" si="1"/>
        <v>30</v>
      </c>
      <c r="X29" s="26">
        <f t="shared" si="1"/>
        <v>29.8</v>
      </c>
      <c r="Y29" s="26">
        <f>MAX(Y4:Y21)</f>
        <v>28.8</v>
      </c>
      <c r="Z29" s="26">
        <f t="shared" si="1"/>
        <v>29.4</v>
      </c>
      <c r="AA29" s="26">
        <f t="shared" si="1"/>
        <v>28.6</v>
      </c>
      <c r="AB29" s="26">
        <f t="shared" si="1"/>
        <v>28.9</v>
      </c>
      <c r="AC29" s="26">
        <f t="shared" si="1"/>
        <v>29.3</v>
      </c>
      <c r="AD29" s="26">
        <f t="shared" si="1"/>
        <v>20.399999999999999</v>
      </c>
      <c r="AE29" s="26">
        <f t="shared" si="1"/>
        <v>23</v>
      </c>
      <c r="AF29" s="27">
        <f t="shared" si="1"/>
        <v>27.3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14.3</v>
      </c>
      <c r="C33" s="26">
        <f t="shared" ref="C33:AF33" si="2">MIN(C4:C21)</f>
        <v>15.3</v>
      </c>
      <c r="D33" s="26">
        <f t="shared" si="2"/>
        <v>16.5</v>
      </c>
      <c r="E33" s="26">
        <f>MIN(E13:E21,E4:E11)</f>
        <v>15.6</v>
      </c>
      <c r="F33" s="26">
        <f t="shared" si="2"/>
        <v>15</v>
      </c>
      <c r="G33" s="26">
        <f t="shared" si="2"/>
        <v>14.9</v>
      </c>
      <c r="H33" s="26">
        <f t="shared" si="2"/>
        <v>15.2</v>
      </c>
      <c r="I33" s="26">
        <f t="shared" si="2"/>
        <v>15.7</v>
      </c>
      <c r="J33" s="26">
        <f t="shared" si="2"/>
        <v>15.7</v>
      </c>
      <c r="K33" s="26">
        <f t="shared" si="2"/>
        <v>16</v>
      </c>
      <c r="L33" s="26">
        <f t="shared" si="2"/>
        <v>15.6</v>
      </c>
      <c r="M33" s="26">
        <f t="shared" si="2"/>
        <v>17.600000000000001</v>
      </c>
      <c r="N33" s="26">
        <f t="shared" si="2"/>
        <v>17.7</v>
      </c>
      <c r="O33" s="26">
        <f t="shared" si="2"/>
        <v>16.8</v>
      </c>
      <c r="P33" s="26">
        <f t="shared" si="2"/>
        <v>16.399999999999999</v>
      </c>
      <c r="Q33" s="26">
        <f t="shared" si="2"/>
        <v>16.899999999999999</v>
      </c>
      <c r="R33" s="26">
        <f t="shared" si="2"/>
        <v>19</v>
      </c>
      <c r="S33" s="26">
        <f t="shared" si="2"/>
        <v>19</v>
      </c>
      <c r="T33" s="26">
        <f t="shared" si="2"/>
        <v>17.8</v>
      </c>
      <c r="U33" s="26">
        <f t="shared" si="2"/>
        <v>19.399999999999999</v>
      </c>
      <c r="V33" s="26">
        <f t="shared" si="2"/>
        <v>17.899999999999999</v>
      </c>
      <c r="W33" s="26">
        <f t="shared" si="2"/>
        <v>16.600000000000001</v>
      </c>
      <c r="X33" s="26">
        <f t="shared" si="2"/>
        <v>16</v>
      </c>
      <c r="Y33" s="26">
        <f>MIN(Y4:Y21)</f>
        <v>16</v>
      </c>
      <c r="Z33" s="26">
        <f t="shared" si="2"/>
        <v>16.3</v>
      </c>
      <c r="AA33" s="26">
        <f t="shared" si="2"/>
        <v>16.399999999999999</v>
      </c>
      <c r="AB33" s="26">
        <f t="shared" si="2"/>
        <v>18.3</v>
      </c>
      <c r="AC33" s="26">
        <f t="shared" si="2"/>
        <v>17.2</v>
      </c>
      <c r="AD33" s="26">
        <f t="shared" si="2"/>
        <v>14</v>
      </c>
      <c r="AE33" s="26">
        <f t="shared" si="2"/>
        <v>13</v>
      </c>
      <c r="AF33" s="27">
        <f t="shared" si="2"/>
        <v>14.1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11.099999999999998</v>
      </c>
      <c r="C37" s="26">
        <f t="shared" si="3"/>
        <v>11.899999999999999</v>
      </c>
      <c r="D37" s="26">
        <f t="shared" si="3"/>
        <v>11.899999999999999</v>
      </c>
      <c r="E37" s="26">
        <f t="shared" si="3"/>
        <v>12.1</v>
      </c>
      <c r="F37" s="26">
        <f t="shared" si="3"/>
        <v>12.3</v>
      </c>
      <c r="G37" s="26">
        <f t="shared" si="3"/>
        <v>9.6</v>
      </c>
      <c r="H37" s="26">
        <f t="shared" si="3"/>
        <v>11.8</v>
      </c>
      <c r="I37" s="26">
        <f t="shared" si="3"/>
        <v>8.4000000000000021</v>
      </c>
      <c r="J37" s="26">
        <f t="shared" si="3"/>
        <v>11.400000000000002</v>
      </c>
      <c r="K37" s="26">
        <f t="shared" si="3"/>
        <v>11</v>
      </c>
      <c r="L37" s="26">
        <f t="shared" si="3"/>
        <v>11.9</v>
      </c>
      <c r="M37" s="26">
        <f t="shared" si="3"/>
        <v>8.3999999999999986</v>
      </c>
      <c r="N37" s="26">
        <f t="shared" si="3"/>
        <v>2.5</v>
      </c>
      <c r="O37" s="26">
        <f t="shared" si="3"/>
        <v>11.2</v>
      </c>
      <c r="P37" s="26">
        <f t="shared" si="3"/>
        <v>11.400000000000002</v>
      </c>
      <c r="Q37" s="26">
        <f t="shared" si="3"/>
        <v>11</v>
      </c>
      <c r="R37" s="26">
        <f t="shared" si="3"/>
        <v>9</v>
      </c>
      <c r="S37" s="26">
        <f t="shared" si="3"/>
        <v>5.6000000000000014</v>
      </c>
      <c r="T37" s="26">
        <f t="shared" si="3"/>
        <v>12</v>
      </c>
      <c r="U37" s="26">
        <f t="shared" si="3"/>
        <v>7.4000000000000021</v>
      </c>
      <c r="V37" s="26">
        <f t="shared" si="3"/>
        <v>11.8</v>
      </c>
      <c r="W37" s="26">
        <f t="shared" si="3"/>
        <v>13.399999999999999</v>
      </c>
      <c r="X37" s="26">
        <f t="shared" si="3"/>
        <v>13.8</v>
      </c>
      <c r="Y37" s="26">
        <f t="shared" si="3"/>
        <v>12.8</v>
      </c>
      <c r="Z37" s="26">
        <f t="shared" si="3"/>
        <v>13.099999999999998</v>
      </c>
      <c r="AA37" s="26">
        <f t="shared" si="3"/>
        <v>12.200000000000003</v>
      </c>
      <c r="AB37" s="26">
        <f t="shared" si="3"/>
        <v>10.599999999999998</v>
      </c>
      <c r="AC37" s="26">
        <f t="shared" si="3"/>
        <v>12.100000000000001</v>
      </c>
      <c r="AD37" s="26">
        <f t="shared" si="3"/>
        <v>6.3999999999999986</v>
      </c>
      <c r="AE37" s="26">
        <f t="shared" si="3"/>
        <v>10</v>
      </c>
      <c r="AF37" s="27">
        <f t="shared" si="3"/>
        <v>13.200000000000001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21.632374024878771</v>
      </c>
      <c r="I43" s="39"/>
      <c r="J43" s="41"/>
      <c r="K43" s="40">
        <f>MAX(B29:AF29)</f>
        <v>30</v>
      </c>
      <c r="L43" s="41"/>
      <c r="M43" s="41"/>
      <c r="N43" s="40">
        <f>MIN(B33:AF33)</f>
        <v>13</v>
      </c>
      <c r="O43" s="41"/>
      <c r="P43" s="41"/>
      <c r="Q43" s="40">
        <f>K43-N43</f>
        <v>17</v>
      </c>
      <c r="R43" s="39"/>
      <c r="S43" s="40"/>
      <c r="T43" s="40">
        <f>AVERAGE(B29:AF29)</f>
        <v>27.016129032258057</v>
      </c>
      <c r="U43" s="40"/>
      <c r="V43" s="40">
        <f>AVERAGE(B33:AF33)</f>
        <v>16.329032258064519</v>
      </c>
      <c r="W43" s="40"/>
      <c r="X43" s="40">
        <f>T43-V43</f>
        <v>10.687096774193538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(a)'!$P10</f>
        <v>15</v>
      </c>
      <c r="C4" s="12">
        <f>'[8]Dia 2 (a)'!$P10</f>
        <v>15.2</v>
      </c>
      <c r="D4" s="12">
        <f>'[8]Dia 3 (a)'!$P10</f>
        <v>15</v>
      </c>
      <c r="E4" s="12">
        <f>'[8]Dia 4 (a)'!$P10</f>
        <v>17</v>
      </c>
      <c r="F4" s="12">
        <f>'[8]Dia 5 (a)'!$P10</f>
        <v>17.600000000000001</v>
      </c>
      <c r="G4" s="12">
        <f>'[8]Dia 6 (a)'!$P10</f>
        <v>16.100000000000001</v>
      </c>
      <c r="H4" s="12">
        <f>'[8]Dia 7 (a)'!$P10</f>
        <v>16.7</v>
      </c>
      <c r="I4" s="12">
        <f>'[8]Dia 8 (a)'!$P10</f>
        <v>16.399999999999999</v>
      </c>
      <c r="J4" s="12">
        <f>'[8]Dia 9 (a)'!$P10</f>
        <v>16.7</v>
      </c>
      <c r="K4" s="12">
        <f>'[8]Dia 10 (a)'!$P10</f>
        <v>17.100000000000001</v>
      </c>
      <c r="L4" s="12">
        <f>'[8]Dia 11 (a)'!$P10</f>
        <v>13.7</v>
      </c>
      <c r="M4" s="12">
        <f>'[8]Dia 12 (a)'!$P10</f>
        <v>13.8</v>
      </c>
      <c r="N4" s="12">
        <f>'[8]Dia 13 (a)'!$P10</f>
        <v>14</v>
      </c>
      <c r="O4" s="12">
        <f>'[8]Dia 14 (a)'!$P10</f>
        <v>14</v>
      </c>
      <c r="P4" s="12">
        <f>'[8]Dia 15 (a)'!$P10</f>
        <v>15.7</v>
      </c>
      <c r="Q4" s="12">
        <f>'[8]Dia 16 (a)'!$P10</f>
        <v>16.600000000000001</v>
      </c>
      <c r="R4" s="12">
        <f>'[8]Dia 17 (a)'!$P10</f>
        <v>16.8</v>
      </c>
      <c r="S4" s="12">
        <f>'[8]Dia 18 (a)'!$P10</f>
        <v>17.2</v>
      </c>
      <c r="T4" s="12">
        <f>'[8]Dia 19 (a)'!$P10</f>
        <v>15.4</v>
      </c>
      <c r="U4" s="12">
        <f>'[8]Dia 20 (a)'!$P10</f>
        <v>12.3</v>
      </c>
      <c r="V4" s="12">
        <f>'[8]Dia 21 (a)'!$P10</f>
        <v>13</v>
      </c>
      <c r="W4" s="12">
        <f>'[8]Dia 22 (a)'!$P10</f>
        <v>14.8</v>
      </c>
      <c r="X4" s="12">
        <f>'[8]Dia 23 (a)'!$P10</f>
        <v>15.6</v>
      </c>
      <c r="Y4" s="12">
        <f>'[8]Dia 24 (a)'!$P10</f>
        <v>17.600000000000001</v>
      </c>
      <c r="Z4" s="12">
        <f>'[8]Dia 25 (a)'!$P10</f>
        <v>18.8</v>
      </c>
      <c r="AA4" s="12">
        <f>'[8]Dia 26 (a)'!$P10</f>
        <v>18.2</v>
      </c>
      <c r="AB4" s="12">
        <f>'[8]Dia 27 (a)'!$P10</f>
        <v>17</v>
      </c>
      <c r="AC4" s="12">
        <f>'[8]Dia 28 (a)'!$P10</f>
        <v>17.600000000000001</v>
      </c>
      <c r="AD4" s="12">
        <f>'[8]Dia 29 (a)'!$P10</f>
        <v>17</v>
      </c>
      <c r="AE4" s="12">
        <f>'[8]Dia 30 (a)'!$P10</f>
        <v>13.6</v>
      </c>
      <c r="AF4" s="13">
        <f>'[8]Dia 31 (a)'!$P10</f>
        <v>12.6</v>
      </c>
      <c r="AG4" s="14"/>
    </row>
    <row r="5" spans="1:33" ht="20.100000000000001" customHeight="1">
      <c r="A5" s="11">
        <v>8</v>
      </c>
      <c r="B5" s="12">
        <f>'[8]Dia 1 (a)'!$P11</f>
        <v>15.2</v>
      </c>
      <c r="C5" s="12">
        <f>'[8]Dia 2 (a)'!$P11</f>
        <v>15.2</v>
      </c>
      <c r="D5" s="12">
        <f>'[8]Dia 3 (a)'!$P11</f>
        <v>15.2</v>
      </c>
      <c r="E5" s="12">
        <f>'[8]Dia 4 (a)'!$P11</f>
        <v>17.3</v>
      </c>
      <c r="F5" s="12">
        <f>'[8]Dia 5 (a)'!$P11</f>
        <v>17.899999999999999</v>
      </c>
      <c r="G5" s="12">
        <f>'[8]Dia 6 (a)'!$P11</f>
        <v>16.100000000000001</v>
      </c>
      <c r="H5" s="12">
        <f>'[8]Dia 7 (a)'!$P11</f>
        <v>16.8</v>
      </c>
      <c r="I5" s="12">
        <f>'[8]Dia 8 (a)'!$P11</f>
        <v>16.5</v>
      </c>
      <c r="J5" s="12">
        <f>'[8]Dia 9 (a)'!$P11</f>
        <v>16.7</v>
      </c>
      <c r="K5" s="12">
        <f>'[8]Dia 10 (a)'!$P11</f>
        <v>16.899999999999999</v>
      </c>
      <c r="L5" s="12">
        <f>'[8]Dia 11 (a)'!$P11</f>
        <v>13.6</v>
      </c>
      <c r="M5" s="12">
        <f>'[8]Dia 12 (a)'!$P11</f>
        <v>13.9</v>
      </c>
      <c r="N5" s="12">
        <f>'[8]Dia 13 (a)'!$P11</f>
        <v>13.8</v>
      </c>
      <c r="O5" s="12">
        <f>'[8]Dia 14 (a)'!$P11</f>
        <v>14.4</v>
      </c>
      <c r="P5" s="12">
        <f>'[8]Dia 15 (a)'!$P11</f>
        <v>16</v>
      </c>
      <c r="Q5" s="12">
        <f>'[8]Dia 16 (a)'!$P11</f>
        <v>17.2</v>
      </c>
      <c r="R5" s="12">
        <f>'[8]Dia 17 (a)'!$P11</f>
        <v>17</v>
      </c>
      <c r="S5" s="12">
        <f>'[8]Dia 18 (a)'!$P11</f>
        <v>17.3</v>
      </c>
      <c r="T5" s="12">
        <f>'[8]Dia 19 (a)'!$P11</f>
        <v>15.3</v>
      </c>
      <c r="U5" s="12">
        <f>'[8]Dia 20 (a)'!$P11</f>
        <v>12.5</v>
      </c>
      <c r="V5" s="12">
        <f>'[8]Dia 21 (a)'!$P11</f>
        <v>13.4</v>
      </c>
      <c r="W5" s="12">
        <f>'[8]Dia 22 (a)'!$P11</f>
        <v>14.8</v>
      </c>
      <c r="X5" s="12">
        <f>'[8]Dia 23 (a)'!$P11</f>
        <v>15.7</v>
      </c>
      <c r="Y5" s="43">
        <f>'[8]Dia 24 (a)'!$P11</f>
        <v>17.5</v>
      </c>
      <c r="Z5" s="12">
        <f>'[8]Dia 25 (a)'!$P11</f>
        <v>18.8</v>
      </c>
      <c r="AA5" s="12">
        <f>'[8]Dia 26 (a)'!$P11</f>
        <v>18.600000000000001</v>
      </c>
      <c r="AB5" s="12">
        <f>'[8]Dia 27 (a)'!$P11</f>
        <v>17.600000000000001</v>
      </c>
      <c r="AC5" s="12">
        <f>'[8]Dia 28 (a)'!$P11</f>
        <v>18.2</v>
      </c>
      <c r="AD5" s="12">
        <f>'[8]Dia 29 (a)'!$P11</f>
        <v>16.899999999999999</v>
      </c>
      <c r="AE5" s="12">
        <f>'[8]Dia 30 (a)'!$P11</f>
        <v>14</v>
      </c>
      <c r="AF5" s="13">
        <f>'[8]Dia 31 (a)'!$P11</f>
        <v>13.2</v>
      </c>
      <c r="AG5" s="14"/>
    </row>
    <row r="6" spans="1:33" ht="20.100000000000001" customHeight="1">
      <c r="A6" s="11">
        <v>9</v>
      </c>
      <c r="B6" s="12">
        <f>'[8]Dia 1 (a)'!$P12</f>
        <v>15.8</v>
      </c>
      <c r="C6" s="12">
        <f>'[8]Dia 2 (a)'!$P12</f>
        <v>16.399999999999999</v>
      </c>
      <c r="D6" s="12">
        <f>'[8]Dia 3 (a)'!$P12</f>
        <v>16</v>
      </c>
      <c r="E6" s="12">
        <f>'[8]Dia 4 (a)'!$P12</f>
        <v>18.2</v>
      </c>
      <c r="F6" s="12">
        <f>'[8]Dia 5 (a)'!$P12</f>
        <v>19</v>
      </c>
      <c r="G6" s="12">
        <f>'[8]Dia 6 (a)'!$P12</f>
        <v>16.5</v>
      </c>
      <c r="H6" s="12">
        <f>'[8]Dia 7 (a)'!$P12</f>
        <v>16.899999999999999</v>
      </c>
      <c r="I6" s="12">
        <f>'[8]Dia 8 (a)'!$P12</f>
        <v>16.8</v>
      </c>
      <c r="J6" s="12">
        <f>'[8]Dia 9 (a)'!$P12</f>
        <v>17</v>
      </c>
      <c r="K6" s="12">
        <f>'[8]Dia 10 (a)'!$P12</f>
        <v>16.600000000000001</v>
      </c>
      <c r="L6" s="12">
        <f>'[8]Dia 11 (a)'!$P12</f>
        <v>14.3</v>
      </c>
      <c r="M6" s="12">
        <f>'[8]Dia 12 (a)'!$P12</f>
        <v>15.4</v>
      </c>
      <c r="N6" s="12">
        <f>'[8]Dia 13 (a)'!$P12</f>
        <v>15</v>
      </c>
      <c r="O6" s="12">
        <f>'[8]Dia 14 (a)'!$P12</f>
        <v>16</v>
      </c>
      <c r="P6" s="12">
        <f>'[8]Dia 15 (a)'!$P12</f>
        <v>17.5</v>
      </c>
      <c r="Q6" s="12">
        <f>'[8]Dia 16 (a)'!$P12</f>
        <v>18.2</v>
      </c>
      <c r="R6" s="12">
        <f>'[8]Dia 17 (a)'!$P12</f>
        <v>17.399999999999999</v>
      </c>
      <c r="S6" s="12">
        <f>'[8]Dia 18 (a)'!$P12</f>
        <v>18.2</v>
      </c>
      <c r="T6" s="12">
        <f>'[8]Dia 19 (a)'!$P12</f>
        <v>15</v>
      </c>
      <c r="U6" s="12">
        <f>'[8]Dia 20 (a)'!$P12</f>
        <v>13</v>
      </c>
      <c r="V6" s="12">
        <f>'[8]Dia 21 (a)'!$P12</f>
        <v>15</v>
      </c>
      <c r="W6" s="12">
        <f>'[8]Dia 22 (a)'!$P12</f>
        <v>15.2</v>
      </c>
      <c r="X6" s="12">
        <f>'[8]Dia 23 (a)'!$P12</f>
        <v>16.8</v>
      </c>
      <c r="Y6" s="12">
        <f>'[8]Dia 24 (a)'!$P12</f>
        <v>17.8</v>
      </c>
      <c r="Z6" s="12">
        <f>'[8]Dia 25 (a)'!$P12</f>
        <v>19.399999999999999</v>
      </c>
      <c r="AA6" s="12">
        <f>'[8]Dia 26 (a)'!$P12</f>
        <v>19.2</v>
      </c>
      <c r="AB6" s="12">
        <f>'[8]Dia 27 (a)'!$P12</f>
        <v>19.399999999999999</v>
      </c>
      <c r="AC6" s="12">
        <f>'[8]Dia 28 (a)'!$P12</f>
        <v>20.6</v>
      </c>
      <c r="AD6" s="12">
        <f>'[8]Dia 29 (a)'!$P12</f>
        <v>17.3</v>
      </c>
      <c r="AE6" s="12">
        <f>'[8]Dia 30 (a)'!$P12</f>
        <v>14.8</v>
      </c>
      <c r="AF6" s="13">
        <f>'[8]Dia 31 (a)'!$P12</f>
        <v>15</v>
      </c>
      <c r="AG6" s="14"/>
    </row>
    <row r="7" spans="1:33" ht="20.100000000000001" customHeight="1">
      <c r="A7" s="11">
        <v>10</v>
      </c>
      <c r="B7" s="12">
        <f>'[8]Dia 1 (a)'!$P13</f>
        <v>17.600000000000001</v>
      </c>
      <c r="C7" s="12">
        <f>'[8]Dia 2 (a)'!$P13</f>
        <v>18.899999999999999</v>
      </c>
      <c r="D7" s="12">
        <f>'[8]Dia 3 (a)'!$P13</f>
        <v>18.600000000000001</v>
      </c>
      <c r="E7" s="12">
        <f>'[8]Dia 4 (a)'!$P13</f>
        <v>19.8</v>
      </c>
      <c r="F7" s="12">
        <f>'[8]Dia 5 (a)'!$P13</f>
        <v>21.4</v>
      </c>
      <c r="G7" s="12">
        <f>'[8]Dia 6 (a)'!$P13</f>
        <v>17.100000000000001</v>
      </c>
      <c r="H7" s="12">
        <f>'[8]Dia 7 (a)'!$P13</f>
        <v>17.399999999999999</v>
      </c>
      <c r="I7" s="12">
        <f>'[8]Dia 8 (a)'!$P13</f>
        <v>17.2</v>
      </c>
      <c r="J7" s="12">
        <f>'[8]Dia 9 (a)'!$P13</f>
        <v>17.399999999999999</v>
      </c>
      <c r="K7" s="12">
        <f>'[8]Dia 10 (a)'!$P13</f>
        <v>17</v>
      </c>
      <c r="L7" s="12">
        <f>'[8]Dia 11 (a)'!$P13</f>
        <v>14.9</v>
      </c>
      <c r="M7" s="12">
        <f>'[8]Dia 12 (a)'!$P13</f>
        <v>16.7</v>
      </c>
      <c r="N7" s="12">
        <f>'[8]Dia 13 (a)'!$P13</f>
        <v>16.2</v>
      </c>
      <c r="O7" s="12">
        <f>'[8]Dia 14 (a)'!$P13</f>
        <v>18</v>
      </c>
      <c r="P7" s="12">
        <f>'[8]Dia 15 (a)'!$P13</f>
        <v>19.899999999999999</v>
      </c>
      <c r="Q7" s="12">
        <f>'[8]Dia 16 (a)'!$P13</f>
        <v>19.8</v>
      </c>
      <c r="R7" s="12">
        <f>'[8]Dia 17 (a)'!$P13</f>
        <v>18</v>
      </c>
      <c r="S7" s="12">
        <f>'[8]Dia 18 (a)'!$P13</f>
        <v>19.600000000000001</v>
      </c>
      <c r="T7" s="12">
        <f>'[8]Dia 19 (a)'!$P13</f>
        <v>14.6</v>
      </c>
      <c r="U7" s="12">
        <f>'[8]Dia 20 (a)'!$P13</f>
        <v>14.3</v>
      </c>
      <c r="V7" s="12">
        <f>'[8]Dia 21 (a)'!$P13</f>
        <v>16</v>
      </c>
      <c r="W7" s="12">
        <f>'[8]Dia 22 (a)'!$P13</f>
        <v>16</v>
      </c>
      <c r="X7" s="12">
        <f>'[8]Dia 23 (a)'!$P13</f>
        <v>18.8</v>
      </c>
      <c r="Y7" s="12">
        <f>'[8]Dia 24 (a)'!$P13</f>
        <v>18.2</v>
      </c>
      <c r="Z7" s="12">
        <f>'[8]Dia 25 (a)'!$P13</f>
        <v>20.6</v>
      </c>
      <c r="AA7" s="12">
        <f>'[8]Dia 26 (a)'!$P13</f>
        <v>20</v>
      </c>
      <c r="AB7" s="12">
        <f>'[8]Dia 27 (a)'!$P13</f>
        <v>22.2</v>
      </c>
      <c r="AC7" s="12">
        <f>'[8]Dia 28 (a)'!$P13</f>
        <v>23.6</v>
      </c>
      <c r="AD7" s="12">
        <f>'[8]Dia 29 (a)'!$P13</f>
        <v>17.899999999999999</v>
      </c>
      <c r="AE7" s="12">
        <f>'[8]Dia 30 (a)'!$P13</f>
        <v>16</v>
      </c>
      <c r="AF7" s="13">
        <f>'[8]Dia 31 (a)'!$P13</f>
        <v>17.600000000000001</v>
      </c>
      <c r="AG7" s="14"/>
    </row>
    <row r="8" spans="1:33" ht="20.100000000000001" customHeight="1">
      <c r="A8" s="11">
        <v>11</v>
      </c>
      <c r="B8" s="12">
        <f>'[8]Dia 1 (a)'!$P14</f>
        <v>20.8</v>
      </c>
      <c r="C8" s="12">
        <f>'[8]Dia 2 (a)'!$P14</f>
        <v>22</v>
      </c>
      <c r="D8" s="12">
        <f>'[8]Dia 3 (a)'!$P14</f>
        <v>22.6</v>
      </c>
      <c r="E8" s="12">
        <f>'[8]Dia 4 (a)'!$P14</f>
        <v>22.4</v>
      </c>
      <c r="F8" s="12">
        <f>'[8]Dia 5 (a)'!$P14</f>
        <v>23</v>
      </c>
      <c r="G8" s="12">
        <f>'[8]Dia 6 (a)'!$P14</f>
        <v>17.5</v>
      </c>
      <c r="H8" s="12">
        <f>'[8]Dia 7 (a)'!$P14</f>
        <v>17.399999999999999</v>
      </c>
      <c r="I8" s="12">
        <f>'[8]Dia 8 (a)'!$P14</f>
        <v>17.5</v>
      </c>
      <c r="J8" s="12">
        <f>'[8]Dia 9 (a)'!$P14</f>
        <v>17.600000000000001</v>
      </c>
      <c r="K8" s="12">
        <f>'[8]Dia 10 (a)'!$P14</f>
        <v>16.8</v>
      </c>
      <c r="L8" s="12">
        <f>'[8]Dia 11 (a)'!$P14</f>
        <v>16.5</v>
      </c>
      <c r="M8" s="12">
        <f>'[8]Dia 12 (a)'!$P14</f>
        <v>18.399999999999999</v>
      </c>
      <c r="N8" s="12">
        <f>'[8]Dia 13 (a)'!$P14</f>
        <v>19</v>
      </c>
      <c r="O8" s="12">
        <f>'[8]Dia 14 (a)'!$P14</f>
        <v>20</v>
      </c>
      <c r="P8" s="12">
        <f>'[8]Dia 15 (a)'!$P14</f>
        <v>22.8</v>
      </c>
      <c r="Q8" s="12">
        <f>'[8]Dia 16 (a)'!$P14</f>
        <v>21.6</v>
      </c>
      <c r="R8" s="12">
        <f>'[8]Dia 17 (a)'!$P14</f>
        <v>20.2</v>
      </c>
      <c r="S8" s="12">
        <f>'[8]Dia 18 (a)'!$P14</f>
        <v>19.8</v>
      </c>
      <c r="T8" s="12">
        <f>'[8]Dia 19 (a)'!$P14</f>
        <v>14.6</v>
      </c>
      <c r="U8" s="12">
        <f>'[8]Dia 20 (a)'!$P14</f>
        <v>14.6</v>
      </c>
      <c r="V8" s="12">
        <f>'[8]Dia 21 (a)'!$P14</f>
        <v>16.399999999999999</v>
      </c>
      <c r="W8" s="12">
        <f>'[8]Dia 22 (a)'!$P14</f>
        <v>17.399999999999999</v>
      </c>
      <c r="X8" s="12">
        <f>'[8]Dia 23 (a)'!$P14</f>
        <v>21.2</v>
      </c>
      <c r="Y8" s="12">
        <f>'[8]Dia 24 (a)'!$P14</f>
        <v>21.4</v>
      </c>
      <c r="Z8" s="12">
        <f>'[8]Dia 25 (a)'!$P14</f>
        <v>22</v>
      </c>
      <c r="AA8" s="12">
        <f>'[8]Dia 26 (a)'!$P14</f>
        <v>21.6</v>
      </c>
      <c r="AB8" s="12">
        <f>'[8]Dia 27 (a)'!$P14</f>
        <v>25.5</v>
      </c>
      <c r="AC8" s="12">
        <f>'[8]Dia 28 (a)'!$P14</f>
        <v>26</v>
      </c>
      <c r="AD8" s="12">
        <f>'[8]Dia 29 (a)'!$P14</f>
        <v>18.399999999999999</v>
      </c>
      <c r="AE8" s="12">
        <f>'[8]Dia 30 (a)'!$P14</f>
        <v>17.399999999999999</v>
      </c>
      <c r="AF8" s="13">
        <f>'[8]Dia 31 (a)'!$P14</f>
        <v>20.8</v>
      </c>
      <c r="AG8" s="14"/>
    </row>
    <row r="9" spans="1:33" ht="20.100000000000001" customHeight="1">
      <c r="A9" s="11">
        <v>12</v>
      </c>
      <c r="B9" s="12">
        <f>'[8]Dia 1 (a)'!$P15</f>
        <v>23.4</v>
      </c>
      <c r="C9" s="12">
        <f>'[8]Dia 2 (a)'!$P15</f>
        <v>24.8</v>
      </c>
      <c r="D9" s="12">
        <f>'[8]Dia 3 (a)'!$P15</f>
        <v>25</v>
      </c>
      <c r="E9" s="12">
        <f>'[8]Dia 4 (a)'!$P15</f>
        <v>24.6</v>
      </c>
      <c r="F9" s="12">
        <f>'[8]Dia 5 (a)'!$P15</f>
        <v>23.8</v>
      </c>
      <c r="G9" s="12">
        <f>'[8]Dia 6 (a)'!$P15</f>
        <v>19</v>
      </c>
      <c r="H9" s="12">
        <f>'[8]Dia 7 (a)'!$P15</f>
        <v>17.5</v>
      </c>
      <c r="I9" s="12">
        <f>'[8]Dia 8 (a)'!$P15</f>
        <v>19.5</v>
      </c>
      <c r="J9" s="12">
        <f>'[8]Dia 9 (a)'!$P15</f>
        <v>17.899999999999999</v>
      </c>
      <c r="K9" s="12">
        <f>'[8]Dia 10 (a)'!$P15</f>
        <v>17.7</v>
      </c>
      <c r="L9" s="12">
        <f>'[8]Dia 11 (a)'!$P15</f>
        <v>18.600000000000001</v>
      </c>
      <c r="M9" s="12">
        <f>'[8]Dia 12 (a)'!$P15</f>
        <v>20.6</v>
      </c>
      <c r="N9" s="12">
        <f>'[8]Dia 13 (a)'!$P15</f>
        <v>21</v>
      </c>
      <c r="O9" s="12">
        <f>'[8]Dia 14 (a)'!$P15</f>
        <v>22.4</v>
      </c>
      <c r="P9" s="12">
        <f>'[8]Dia 15 (a)'!$P15</f>
        <v>25.1</v>
      </c>
      <c r="Q9" s="12">
        <f>'[8]Dia 16 (a)'!$P15</f>
        <v>23.6</v>
      </c>
      <c r="R9" s="12">
        <f>'[8]Dia 17 (a)'!$P15</f>
        <v>21</v>
      </c>
      <c r="S9" s="12">
        <f>'[8]Dia 18 (a)'!$P15</f>
        <v>21.2</v>
      </c>
      <c r="T9" s="12">
        <f>'[8]Dia 19 (a)'!$P15</f>
        <v>14.4</v>
      </c>
      <c r="U9" s="12">
        <f>'[8]Dia 20 (a)'!$P15</f>
        <v>15.2</v>
      </c>
      <c r="V9" s="12">
        <f>'[8]Dia 21 (a)'!$P15</f>
        <v>18.100000000000001</v>
      </c>
      <c r="W9" s="12">
        <f>'[8]Dia 22 (a)'!$P15</f>
        <v>20.399999999999999</v>
      </c>
      <c r="X9" s="12">
        <f>'[8]Dia 23 (a)'!$P15</f>
        <v>24.3</v>
      </c>
      <c r="Y9" s="12">
        <f>'[8]Dia 24 (a)'!$P15</f>
        <v>24.5</v>
      </c>
      <c r="Z9" s="12">
        <f>'[8]Dia 25 (a)'!$P15</f>
        <v>24.6</v>
      </c>
      <c r="AA9" s="12">
        <f>'[8]Dia 26 (a)'!$P15</f>
        <v>22.8</v>
      </c>
      <c r="AB9" s="12">
        <f>'[8]Dia 27 (a)'!$P15</f>
        <v>28.2</v>
      </c>
      <c r="AC9" s="12">
        <f>'[8]Dia 28 (a)'!$P15</f>
        <v>29.1</v>
      </c>
      <c r="AD9" s="12">
        <f>'[8]Dia 29 (a)'!$P15</f>
        <v>19.100000000000001</v>
      </c>
      <c r="AE9" s="12">
        <f>'[8]Dia 30 (a)'!$P15</f>
        <v>17.8</v>
      </c>
      <c r="AF9" s="13">
        <f>'[8]Dia 31 (a)'!$P15</f>
        <v>23.8</v>
      </c>
      <c r="AG9" s="14"/>
    </row>
    <row r="10" spans="1:33" ht="20.100000000000001" customHeight="1">
      <c r="A10" s="11">
        <v>13</v>
      </c>
      <c r="B10" s="12">
        <f>'[8]Dia 1 (a)'!$P16</f>
        <v>25.9</v>
      </c>
      <c r="C10" s="12">
        <f>'[8]Dia 2 (a)'!$P16</f>
        <v>27.2</v>
      </c>
      <c r="D10" s="12">
        <f>'[8]Dia 3 (a)'!$P16</f>
        <v>27</v>
      </c>
      <c r="E10" s="12">
        <f>'[8]Dia 4 (a)'!$P16</f>
        <v>26.6</v>
      </c>
      <c r="F10" s="12">
        <f>'[8]Dia 5 (a)'!$P16</f>
        <v>24.6</v>
      </c>
      <c r="G10" s="12">
        <f>'[8]Dia 6 (a)'!$P16</f>
        <v>18.399999999999999</v>
      </c>
      <c r="H10" s="12">
        <f>'[8]Dia 7 (a)'!$P16</f>
        <v>17.7</v>
      </c>
      <c r="I10" s="12">
        <f>'[8]Dia 8 (a)'!$P16</f>
        <v>20.100000000000001</v>
      </c>
      <c r="J10" s="12">
        <f>'[8]Dia 9 (a)'!$P16</f>
        <v>18</v>
      </c>
      <c r="K10" s="12">
        <f>'[8]Dia 10 (a)'!$P16</f>
        <v>19.5</v>
      </c>
      <c r="L10" s="12">
        <f>'[8]Dia 11 (a)'!$P16</f>
        <v>18.8</v>
      </c>
      <c r="M10" s="12">
        <f>'[8]Dia 12 (a)'!$P16</f>
        <v>20.8</v>
      </c>
      <c r="N10" s="12">
        <f>'[8]Dia 13 (a)'!$P16</f>
        <v>24.6</v>
      </c>
      <c r="O10" s="12">
        <f>'[8]Dia 14 (a)'!$P16</f>
        <v>26.6</v>
      </c>
      <c r="P10" s="12">
        <f>'[8]Dia 15 (a)'!$P16</f>
        <v>27.5</v>
      </c>
      <c r="Q10" s="12">
        <f>'[8]Dia 16 (a)'!$P16</f>
        <v>24.9</v>
      </c>
      <c r="R10" s="12">
        <f>'[8]Dia 17 (a)'!$P16</f>
        <v>22</v>
      </c>
      <c r="S10" s="12">
        <f>'[8]Dia 18 (a)'!$P16</f>
        <v>22.1</v>
      </c>
      <c r="T10" s="12">
        <f>'[8]Dia 19 (a)'!$P16</f>
        <v>14.6</v>
      </c>
      <c r="U10" s="12">
        <f>'[8]Dia 20 (a)'!$P16</f>
        <v>15.6</v>
      </c>
      <c r="V10" s="12">
        <f>'[8]Dia 21 (a)'!$P16</f>
        <v>19.399999999999999</v>
      </c>
      <c r="W10" s="12">
        <f>'[8]Dia 22 (a)'!$P16</f>
        <v>24</v>
      </c>
      <c r="X10" s="12">
        <f>'[8]Dia 23 (a)'!$P16</f>
        <v>26.6</v>
      </c>
      <c r="Y10" s="12">
        <f>'[8]Dia 24 (a)'!$P16</f>
        <v>27.1</v>
      </c>
      <c r="Z10" s="12">
        <f>'[8]Dia 25 (a)'!$P16</f>
        <v>27.1</v>
      </c>
      <c r="AA10" s="12">
        <f>'[8]Dia 26 (a)'!$P16</f>
        <v>26.6</v>
      </c>
      <c r="AB10" s="12">
        <f>'[8]Dia 27 (a)'!$P16</f>
        <v>30.2</v>
      </c>
      <c r="AC10" s="12">
        <f>'[8]Dia 28 (a)'!$P16</f>
        <v>29.6</v>
      </c>
      <c r="AD10" s="12">
        <f>'[8]Dia 29 (a)'!$P16</f>
        <v>19.600000000000001</v>
      </c>
      <c r="AE10" s="12">
        <f>'[8]Dia 30 (a)'!$P16</f>
        <v>17.600000000000001</v>
      </c>
      <c r="AF10" s="13">
        <f>'[8]Dia 31 (a)'!$P16</f>
        <v>26.5</v>
      </c>
      <c r="AG10" s="14"/>
    </row>
    <row r="11" spans="1:33" ht="20.100000000000001" customHeight="1">
      <c r="A11" s="11">
        <v>14</v>
      </c>
      <c r="B11" s="12">
        <f>'[8]Dia 1 (a)'!$P17</f>
        <v>27.7</v>
      </c>
      <c r="C11" s="12">
        <f>'[8]Dia 2 (a)'!$P17</f>
        <v>28.9</v>
      </c>
      <c r="D11" s="12">
        <f>'[8]Dia 3 (a)'!$P17</f>
        <v>28.8</v>
      </c>
      <c r="E11" s="12">
        <f>'[8]Dia 4 (a)'!$P17</f>
        <v>28.2</v>
      </c>
      <c r="F11" s="12">
        <f>'[8]Dia 5 (a)'!$P17</f>
        <v>24.5</v>
      </c>
      <c r="G11" s="12">
        <f>'[8]Dia 6 (a)'!$P17</f>
        <v>18.7</v>
      </c>
      <c r="H11" s="12">
        <f>'[8]Dia 7 (a)'!$P17</f>
        <v>18.100000000000001</v>
      </c>
      <c r="I11" s="12">
        <f>'[8]Dia 8 (a)'!$P17</f>
        <v>20.3</v>
      </c>
      <c r="J11" s="12">
        <f>'[8]Dia 9 (a)'!$P17</f>
        <v>18.399999999999999</v>
      </c>
      <c r="K11" s="12">
        <f>'[8]Dia 10 (a)'!$P17</f>
        <v>20.100000000000001</v>
      </c>
      <c r="L11" s="12">
        <f>'[8]Dia 11 (a)'!$P17</f>
        <v>19.600000000000001</v>
      </c>
      <c r="M11" s="12">
        <f>'[8]Dia 12 (a)'!$P17</f>
        <v>22.6</v>
      </c>
      <c r="N11" s="12">
        <f>'[8]Dia 13 (a)'!$P17</f>
        <v>26.8</v>
      </c>
      <c r="O11" s="12">
        <f>'[8]Dia 14 (a)'!$P17</f>
        <v>27.4</v>
      </c>
      <c r="P11" s="12">
        <f>'[8]Dia 15 (a)'!$P17</f>
        <v>29.2</v>
      </c>
      <c r="Q11" s="12">
        <f>'[8]Dia 16 (a)'!$P17</f>
        <v>25.9</v>
      </c>
      <c r="R11" s="12">
        <f>'[8]Dia 17 (a)'!$P17</f>
        <v>21.8</v>
      </c>
      <c r="S11" s="12">
        <f>'[8]Dia 18 (a)'!$P17</f>
        <v>22.1</v>
      </c>
      <c r="T11" s="12">
        <f>'[8]Dia 19 (a)'!$P17</f>
        <v>14.6</v>
      </c>
      <c r="U11" s="12">
        <f>'[8]Dia 20 (a)'!$P17</f>
        <v>16</v>
      </c>
      <c r="V11" s="12">
        <f>'[8]Dia 21 (a)'!$P17</f>
        <v>20.3</v>
      </c>
      <c r="W11" s="12">
        <f>'[8]Dia 22 (a)'!$P17</f>
        <v>25.4</v>
      </c>
      <c r="X11" s="12">
        <f>'[8]Dia 23 (a)'!$P17</f>
        <v>27.8</v>
      </c>
      <c r="Y11" s="12">
        <f>'[8]Dia 24 (a)'!$P17</f>
        <v>28.5</v>
      </c>
      <c r="Z11" s="12">
        <f>'[8]Dia 25 (a)'!$P17</f>
        <v>29.1</v>
      </c>
      <c r="AA11" s="12">
        <f>'[8]Dia 26 (a)'!$P17</f>
        <v>26.6</v>
      </c>
      <c r="AB11" s="12">
        <f>'[8]Dia 27 (a)'!$P17</f>
        <v>31.6</v>
      </c>
      <c r="AC11" s="12">
        <f>'[8]Dia 28 (a)'!$P17</f>
        <v>28.3</v>
      </c>
      <c r="AD11" s="12">
        <f>'[8]Dia 29 (a)'!$P17</f>
        <v>19.5</v>
      </c>
      <c r="AE11" s="12">
        <f>'[8]Dia 30 (a)'!$P17</f>
        <v>17.7</v>
      </c>
      <c r="AF11" s="13">
        <f>'[8]Dia 31 (a)'!$P17</f>
        <v>28</v>
      </c>
      <c r="AG11" s="14"/>
    </row>
    <row r="12" spans="1:33" ht="20.100000000000001" customHeight="1">
      <c r="A12" s="11">
        <v>15</v>
      </c>
      <c r="B12" s="12">
        <f>'[8]Dia 1 (a)'!$P18</f>
        <v>27.7</v>
      </c>
      <c r="C12" s="12">
        <f>'[8]Dia 2 (a)'!$P18</f>
        <v>29.7</v>
      </c>
      <c r="D12" s="12">
        <f>'[8]Dia 3 (a)'!$P18</f>
        <v>29.2</v>
      </c>
      <c r="E12" s="12">
        <f>'[8]Dia 4 (a)'!$P18</f>
        <v>29</v>
      </c>
      <c r="F12" s="12">
        <f>'[8]Dia 5 (a)'!$P18</f>
        <v>24</v>
      </c>
      <c r="G12" s="12">
        <f>'[8]Dia 6 (a)'!$P18</f>
        <v>18.600000000000001</v>
      </c>
      <c r="H12" s="12">
        <f>'[8]Dia 7 (a)'!$P18</f>
        <v>18.600000000000001</v>
      </c>
      <c r="I12" s="12">
        <f>'[8]Dia 8 (a)'!$P18</f>
        <v>20.2</v>
      </c>
      <c r="J12" s="12">
        <f>'[8]Dia 9 (a)'!$P18</f>
        <v>19</v>
      </c>
      <c r="K12" s="12">
        <f>'[8]Dia 10 (a)'!$P18</f>
        <v>19.600000000000001</v>
      </c>
      <c r="L12" s="12">
        <f>'[8]Dia 11 (a)'!$P18</f>
        <v>20</v>
      </c>
      <c r="M12" s="12">
        <f>'[8]Dia 12 (a)'!$P18</f>
        <v>22.9</v>
      </c>
      <c r="N12" s="12">
        <f>'[8]Dia 13 (a)'!$P18</f>
        <v>27</v>
      </c>
      <c r="O12" s="12">
        <f>'[8]Dia 14 (a)'!$P18</f>
        <v>28.8</v>
      </c>
      <c r="P12" s="12">
        <f>'[8]Dia 15 (a)'!$P18</f>
        <v>29.9</v>
      </c>
      <c r="Q12" s="12">
        <f>'[8]Dia 16 (a)'!$P18</f>
        <v>26.4</v>
      </c>
      <c r="R12" s="12">
        <f>'[8]Dia 17 (a)'!$P18</f>
        <v>21.6</v>
      </c>
      <c r="S12" s="12">
        <f>'[8]Dia 18 (a)'!$P18</f>
        <v>22.5</v>
      </c>
      <c r="T12" s="12">
        <f>'[8]Dia 19 (a)'!$P18</f>
        <v>14.4</v>
      </c>
      <c r="U12" s="12">
        <f>'[8]Dia 20 (a)'!$P18</f>
        <v>15.9</v>
      </c>
      <c r="V12" s="12">
        <f>'[8]Dia 21 (a)'!$P18</f>
        <v>20.8</v>
      </c>
      <c r="W12" s="12">
        <f>'[8]Dia 22 (a)'!$P18</f>
        <v>26</v>
      </c>
      <c r="X12" s="12">
        <f>'[8]Dia 23 (a)'!$P18</f>
        <v>27.6</v>
      </c>
      <c r="Y12" s="12">
        <f>'[8]Dia 24 (a)'!$P18</f>
        <v>27.9</v>
      </c>
      <c r="Z12" s="12">
        <f>'[8]Dia 25 (a)'!$P18</f>
        <v>29.6</v>
      </c>
      <c r="AA12" s="12">
        <f>'[8]Dia 26 (a)'!$P18</f>
        <v>26.4</v>
      </c>
      <c r="AB12" s="12">
        <f>'[8]Dia 27 (a)'!$P18</f>
        <v>31.8</v>
      </c>
      <c r="AC12" s="12">
        <f>'[8]Dia 28 (a)'!$P18</f>
        <v>26.8</v>
      </c>
      <c r="AD12" s="12">
        <f>'[8]Dia 29 (a)'!$P18</f>
        <v>19.399999999999999</v>
      </c>
      <c r="AE12" s="12">
        <f>'[8]Dia 30 (a)'!$P18</f>
        <v>18.399999999999999</v>
      </c>
      <c r="AF12" s="13">
        <f>'[8]Dia 31 (a)'!$P18</f>
        <v>28.4</v>
      </c>
      <c r="AG12" s="14"/>
    </row>
    <row r="13" spans="1:33" ht="20.100000000000001" customHeight="1">
      <c r="A13" s="11">
        <v>16</v>
      </c>
      <c r="B13" s="12">
        <f>'[8]Dia 1 (a)'!$P19</f>
        <v>26.5</v>
      </c>
      <c r="C13" s="12">
        <f>'[8]Dia 2 (a)'!$P19</f>
        <v>28.9</v>
      </c>
      <c r="D13" s="12">
        <f>'[8]Dia 3 (a)'!$P19</f>
        <v>28.9</v>
      </c>
      <c r="E13" s="12">
        <f>'[8]Dia 4 (a)'!$P19</f>
        <v>29</v>
      </c>
      <c r="F13" s="12">
        <f>'[8]Dia 5 (a)'!$P19</f>
        <v>23</v>
      </c>
      <c r="G13" s="12">
        <f>'[8]Dia 6 (a)'!$P19</f>
        <v>18.2</v>
      </c>
      <c r="H13" s="12">
        <f>'[8]Dia 7 (a)'!$P19</f>
        <v>18.899999999999999</v>
      </c>
      <c r="I13" s="12">
        <f>'[8]Dia 8 (a)'!$P19</f>
        <v>19.899999999999999</v>
      </c>
      <c r="J13" s="12">
        <f>'[8]Dia 9 (a)'!$P19</f>
        <v>18.8</v>
      </c>
      <c r="K13" s="12">
        <f>'[8]Dia 10 (a)'!$P19</f>
        <v>18.8</v>
      </c>
      <c r="L13" s="12">
        <f>'[8]Dia 11 (a)'!$P19</f>
        <v>19.399999999999999</v>
      </c>
      <c r="M13" s="12">
        <f>'[8]Dia 12 (a)'!$P19</f>
        <v>22.8</v>
      </c>
      <c r="N13" s="12">
        <f>'[8]Dia 13 (a)'!$P19</f>
        <v>26.9</v>
      </c>
      <c r="O13" s="12">
        <f>'[8]Dia 14 (a)'!$P19</f>
        <v>28.4</v>
      </c>
      <c r="P13" s="12">
        <f>'[8]Dia 15 (a)'!$P19</f>
        <v>29.4</v>
      </c>
      <c r="Q13" s="12">
        <f>'[8]Dia 16 (a)'!$P19</f>
        <v>26.6</v>
      </c>
      <c r="R13" s="12">
        <f>'[8]Dia 17 (a)'!$P19</f>
        <v>21.4</v>
      </c>
      <c r="S13" s="12">
        <f>'[8]Dia 18 (a)'!$P19</f>
        <v>22.9</v>
      </c>
      <c r="T13" s="12">
        <f>'[8]Dia 19 (a)'!$P19</f>
        <v>14.3</v>
      </c>
      <c r="U13" s="12">
        <f>'[8]Dia 20 (a)'!$P19</f>
        <v>15.7</v>
      </c>
      <c r="V13" s="12">
        <f>'[8]Dia 21 (a)'!$P19</f>
        <v>21</v>
      </c>
      <c r="W13" s="12">
        <f>'[8]Dia 22 (a)'!$P19</f>
        <v>25.8</v>
      </c>
      <c r="X13" s="12">
        <f>'[8]Dia 23 (a)'!$P19</f>
        <v>27</v>
      </c>
      <c r="Y13" s="12">
        <f>'[8]Dia 24 (a)'!$P19</f>
        <v>27.6</v>
      </c>
      <c r="Z13" s="12">
        <f>'[8]Dia 25 (a)'!$P19</f>
        <v>27.8</v>
      </c>
      <c r="AA13" s="12">
        <f>'[8]Dia 26 (a)'!$P19</f>
        <v>26.7</v>
      </c>
      <c r="AB13" s="12">
        <f>'[8]Dia 27 (a)'!$P19</f>
        <v>30.6</v>
      </c>
      <c r="AC13" s="12">
        <f>'[8]Dia 28 (a)'!$P19</f>
        <v>25.2</v>
      </c>
      <c r="AD13" s="12">
        <f>'[8]Dia 29 (a)'!$P19</f>
        <v>19</v>
      </c>
      <c r="AE13" s="12">
        <f>'[8]Dia 30 (a)'!$P19</f>
        <v>19.7</v>
      </c>
      <c r="AF13" s="13">
        <f>'[8]Dia 31 (a)'!$P19</f>
        <v>27.6</v>
      </c>
      <c r="AG13" s="14"/>
    </row>
    <row r="14" spans="1:33" ht="20.100000000000001" customHeight="1">
      <c r="A14" s="11">
        <v>17</v>
      </c>
      <c r="B14" s="12">
        <f>'[8]Dia 1 (a)'!$P20</f>
        <v>25.2</v>
      </c>
      <c r="C14" s="12">
        <f>'[8]Dia 2 (a)'!$P20</f>
        <v>27.1</v>
      </c>
      <c r="D14" s="12">
        <f>'[8]Dia 3 (a)'!$P20</f>
        <v>26.5</v>
      </c>
      <c r="E14" s="12">
        <f>'[8]Dia 4 (a)'!$P20</f>
        <v>27.3</v>
      </c>
      <c r="F14" s="12">
        <f>'[8]Dia 5 (a)'!$P20</f>
        <v>21.8</v>
      </c>
      <c r="G14" s="12">
        <f>'[8]Dia 6 (a)'!$P20</f>
        <v>17.7</v>
      </c>
      <c r="H14" s="12">
        <f>'[8]Dia 7 (a)'!$P20</f>
        <v>18.7</v>
      </c>
      <c r="I14" s="12">
        <f>'[8]Dia 8 (a)'!$P20</f>
        <v>19.600000000000001</v>
      </c>
      <c r="J14" s="12">
        <f>'[8]Dia 9 (a)'!$P20</f>
        <v>18.8</v>
      </c>
      <c r="K14" s="12">
        <f>'[8]Dia 10 (a)'!$P20</f>
        <v>17.399999999999999</v>
      </c>
      <c r="L14" s="12">
        <f>'[8]Dia 11 (a)'!$P20</f>
        <v>18.399999999999999</v>
      </c>
      <c r="M14" s="12">
        <f>'[8]Dia 12 (a)'!$P20</f>
        <v>20.8</v>
      </c>
      <c r="N14" s="12">
        <f>'[8]Dia 13 (a)'!$P20</f>
        <v>25</v>
      </c>
      <c r="O14" s="12">
        <f>'[8]Dia 14 (a)'!$P20</f>
        <v>26.6</v>
      </c>
      <c r="P14" s="12">
        <f>'[8]Dia 15 (a)'!$P20</f>
        <v>26.4</v>
      </c>
      <c r="Q14" s="12">
        <f>'[8]Dia 16 (a)'!$P20</f>
        <v>25.4</v>
      </c>
      <c r="R14" s="12">
        <f>'[8]Dia 17 (a)'!$P20</f>
        <v>20.8</v>
      </c>
      <c r="S14" s="12">
        <f>'[8]Dia 18 (a)'!$P20</f>
        <v>22.4</v>
      </c>
      <c r="T14" s="12">
        <f>'[8]Dia 19 (a)'!$P20</f>
        <v>13.9</v>
      </c>
      <c r="U14" s="12">
        <f>'[8]Dia 20 (a)'!$P20</f>
        <v>15.6</v>
      </c>
      <c r="V14" s="12">
        <f>'[8]Dia 21 (a)'!$P20</f>
        <v>20.100000000000001</v>
      </c>
      <c r="W14" s="12">
        <f>'[8]Dia 22 (a)'!$P20</f>
        <v>23.6</v>
      </c>
      <c r="X14" s="12">
        <f>'[8]Dia 23 (a)'!$P20</f>
        <v>25.2</v>
      </c>
      <c r="Y14" s="12">
        <f>'[8]Dia 24 (a)'!$P20</f>
        <v>27.4</v>
      </c>
      <c r="Z14" s="12">
        <f>'[8]Dia 25 (a)'!$P20</f>
        <v>26.3</v>
      </c>
      <c r="AA14" s="12">
        <f>'[8]Dia 26 (a)'!$P20</f>
        <v>25.6</v>
      </c>
      <c r="AB14" s="12">
        <f>'[8]Dia 27 (a)'!$P20</f>
        <v>28.6</v>
      </c>
      <c r="AC14" s="12">
        <f>'[8]Dia 28 (a)'!$P20</f>
        <v>24</v>
      </c>
      <c r="AD14" s="12">
        <f>'[8]Dia 29 (a)'!$P20</f>
        <v>18.3</v>
      </c>
      <c r="AE14" s="12">
        <f>'[8]Dia 30 (a)'!$P20</f>
        <v>18.8</v>
      </c>
      <c r="AF14" s="13">
        <f>'[8]Dia 31 (a)'!$P20</f>
        <v>25.2</v>
      </c>
      <c r="AG14" s="14"/>
    </row>
    <row r="15" spans="1:33" ht="20.100000000000001" customHeight="1">
      <c r="A15" s="11">
        <v>18</v>
      </c>
      <c r="B15" s="12">
        <f>'[8]Dia 1 (a)'!$P21</f>
        <v>23.8</v>
      </c>
      <c r="C15" s="12">
        <f>'[8]Dia 2 (a)'!$P21</f>
        <v>25.3</v>
      </c>
      <c r="D15" s="12">
        <f>'[8]Dia 3 (a)'!$P21</f>
        <v>25</v>
      </c>
      <c r="E15" s="12">
        <f>'[8]Dia 4 (a)'!$P21</f>
        <v>25.6</v>
      </c>
      <c r="F15" s="12">
        <f>'[8]Dia 5 (a)'!$P21</f>
        <v>21</v>
      </c>
      <c r="G15" s="12">
        <f>'[8]Dia 6 (a)'!$P21</f>
        <v>17.600000000000001</v>
      </c>
      <c r="H15" s="12">
        <f>'[8]Dia 7 (a)'!$P21</f>
        <v>18.399999999999999</v>
      </c>
      <c r="I15" s="12">
        <f>'[8]Dia 8 (a)'!$P21</f>
        <v>19.2</v>
      </c>
      <c r="J15" s="12">
        <f>'[8]Dia 9 (a)'!$P21</f>
        <v>18.600000000000001</v>
      </c>
      <c r="K15" s="12">
        <f>'[8]Dia 10 (a)'!$P21</f>
        <v>16</v>
      </c>
      <c r="L15" s="12">
        <f>'[8]Dia 11 (a)'!$P21</f>
        <v>17.5</v>
      </c>
      <c r="M15" s="12">
        <f>'[8]Dia 12 (a)'!$P21</f>
        <v>19.5</v>
      </c>
      <c r="N15" s="12">
        <f>'[8]Dia 13 (a)'!$P21</f>
        <v>22.9</v>
      </c>
      <c r="O15" s="12">
        <f>'[8]Dia 14 (a)'!$P21</f>
        <v>24.7</v>
      </c>
      <c r="P15" s="12">
        <f>'[8]Dia 15 (a)'!$P21</f>
        <v>25.6</v>
      </c>
      <c r="Q15" s="12">
        <f>'[8]Dia 16 (a)'!$P21</f>
        <v>24</v>
      </c>
      <c r="R15" s="12">
        <f>'[8]Dia 17 (a)'!$P21</f>
        <v>20.100000000000001</v>
      </c>
      <c r="S15" s="12">
        <f>'[8]Dia 18 (a)'!$P21</f>
        <v>21.5</v>
      </c>
      <c r="T15" s="12">
        <f>'[8]Dia 19 (a)'!$P21</f>
        <v>13.6</v>
      </c>
      <c r="U15" s="12">
        <f>'[8]Dia 20 (a)'!$P21</f>
        <v>15.1</v>
      </c>
      <c r="V15" s="12">
        <f>'[8]Dia 21 (a)'!$P21</f>
        <v>18.600000000000001</v>
      </c>
      <c r="W15" s="12">
        <f>'[8]Dia 22 (a)'!$P21</f>
        <v>21.8</v>
      </c>
      <c r="X15" s="12">
        <f>'[8]Dia 23 (a)'!$P21</f>
        <v>23.6</v>
      </c>
      <c r="Y15" s="12">
        <f>'[8]Dia 24 (a)'!$P21</f>
        <v>24.6</v>
      </c>
      <c r="Z15" s="12">
        <f>'[8]Dia 25 (a)'!$P21</f>
        <v>25</v>
      </c>
      <c r="AA15" s="12">
        <f>'[8]Dia 26 (a)'!$P21</f>
        <v>24.4</v>
      </c>
      <c r="AB15" s="12">
        <f>'[8]Dia 27 (a)'!$P21</f>
        <v>26.6</v>
      </c>
      <c r="AC15" s="12">
        <f>'[8]Dia 28 (a)'!$P21</f>
        <v>23.6</v>
      </c>
      <c r="AD15" s="12">
        <f>'[8]Dia 29 (a)'!$P21</f>
        <v>17.3</v>
      </c>
      <c r="AE15" s="12">
        <f>'[8]Dia 30 (a)'!$P21</f>
        <v>17.7</v>
      </c>
      <c r="AF15" s="13">
        <f>'[8]Dia 31 (a)'!$P21</f>
        <v>23</v>
      </c>
      <c r="AG15" s="14"/>
    </row>
    <row r="16" spans="1:33" ht="20.100000000000001" customHeight="1">
      <c r="A16" s="11">
        <v>19</v>
      </c>
      <c r="B16" s="12">
        <f>'[8]Dia 1 (a)'!$P22</f>
        <v>22.6</v>
      </c>
      <c r="C16" s="12">
        <f>'[8]Dia 2 (a)'!$P22</f>
        <v>23.6</v>
      </c>
      <c r="D16" s="12">
        <f>'[8]Dia 3 (a)'!$P22</f>
        <v>23.5</v>
      </c>
      <c r="E16" s="12">
        <f>'[8]Dia 4 (a)'!$P22</f>
        <v>24.5</v>
      </c>
      <c r="F16" s="12">
        <f>'[8]Dia 5 (a)'!$P22</f>
        <v>19.8</v>
      </c>
      <c r="G16" s="12">
        <f>'[8]Dia 6 (a)'!$P22</f>
        <v>17.3</v>
      </c>
      <c r="H16" s="12">
        <f>'[8]Dia 7 (a)'!$P22</f>
        <v>18</v>
      </c>
      <c r="I16" s="12">
        <f>'[8]Dia 8 (a)'!$P22</f>
        <v>18.8</v>
      </c>
      <c r="J16" s="12">
        <f>'[8]Dia 9 (a)'!$P22</f>
        <v>18</v>
      </c>
      <c r="K16" s="12">
        <f>'[8]Dia 10 (a)'!$P22</f>
        <v>15.6</v>
      </c>
      <c r="L16" s="12">
        <f>'[8]Dia 11 (a)'!$P22</f>
        <v>16.600000000000001</v>
      </c>
      <c r="M16" s="12">
        <f>'[8]Dia 12 (a)'!$P22</f>
        <v>18.5</v>
      </c>
      <c r="N16" s="12">
        <f>'[8]Dia 13 (a)'!$P22</f>
        <v>21.4</v>
      </c>
      <c r="O16" s="12">
        <f>'[8]Dia 14 (a)'!$P22</f>
        <v>23.2</v>
      </c>
      <c r="P16" s="12">
        <f>'[8]Dia 15 (a)'!$P22</f>
        <v>24.1</v>
      </c>
      <c r="Q16" s="12">
        <f>'[8]Dia 16 (a)'!$P22</f>
        <v>22.8</v>
      </c>
      <c r="R16" s="12">
        <f>'[8]Dia 17 (a)'!$P22</f>
        <v>19.600000000000001</v>
      </c>
      <c r="S16" s="12">
        <f>'[8]Dia 18 (a)'!$P22</f>
        <v>21</v>
      </c>
      <c r="T16" s="12">
        <f>'[8]Dia 19 (a)'!$P22</f>
        <v>13.2</v>
      </c>
      <c r="U16" s="12">
        <f>'[8]Dia 20 (a)'!$P22</f>
        <v>14.7</v>
      </c>
      <c r="V16" s="12">
        <f>'[8]Dia 21 (a)'!$P22</f>
        <v>17.5</v>
      </c>
      <c r="W16" s="12">
        <f>'[8]Dia 22 (a)'!$P22</f>
        <v>20.399999999999999</v>
      </c>
      <c r="X16" s="12">
        <f>'[8]Dia 23 (a)'!$P22</f>
        <v>22.4</v>
      </c>
      <c r="Y16" s="12">
        <f>'[8]Dia 24 (a)'!$P22</f>
        <v>22.6</v>
      </c>
      <c r="Z16" s="12">
        <f>'[8]Dia 25 (a)'!$P22</f>
        <v>23.8</v>
      </c>
      <c r="AA16" s="12">
        <f>'[8]Dia 26 (a)'!$P22</f>
        <v>23.6</v>
      </c>
      <c r="AB16" s="12">
        <f>'[8]Dia 27 (a)'!$P22</f>
        <v>25.8</v>
      </c>
      <c r="AC16" s="12">
        <f>'[8]Dia 28 (a)'!$P22</f>
        <v>23.6</v>
      </c>
      <c r="AD16" s="12">
        <f>'[8]Dia 29 (a)'!$P22</f>
        <v>16.600000000000001</v>
      </c>
      <c r="AE16" s="12">
        <f>'[8]Dia 30 (a)'!$P22</f>
        <v>16.899999999999999</v>
      </c>
      <c r="AF16" s="13">
        <f>'[8]Dia 31 (a)'!$P22</f>
        <v>21</v>
      </c>
      <c r="AG16" s="14"/>
    </row>
    <row r="17" spans="1:33" ht="20.100000000000001" customHeight="1">
      <c r="A17" s="11">
        <v>20</v>
      </c>
      <c r="B17" s="12">
        <f>'[8]Dia 1 (a)'!$P23</f>
        <v>21.4</v>
      </c>
      <c r="C17" s="12">
        <f>'[8]Dia 2 (a)'!$P23</f>
        <v>22.4</v>
      </c>
      <c r="D17" s="12">
        <f>'[8]Dia 3 (a)'!$P23</f>
        <v>22.3</v>
      </c>
      <c r="E17" s="12">
        <f>'[8]Dia 4 (a)'!$P23</f>
        <v>23.4</v>
      </c>
      <c r="F17" s="12">
        <f>'[8]Dia 5 (a)'!$P23</f>
        <v>19</v>
      </c>
      <c r="G17" s="12">
        <f>'[8]Dia 6 (a)'!$P23</f>
        <v>17</v>
      </c>
      <c r="H17" s="12">
        <f>'[8]Dia 7 (a)'!$P23</f>
        <v>17.7</v>
      </c>
      <c r="I17" s="12">
        <f>'[8]Dia 8 (a)'!$P23</f>
        <v>18.399999999999999</v>
      </c>
      <c r="J17" s="12">
        <f>'[8]Dia 9 (a)'!$P23</f>
        <v>17.8</v>
      </c>
      <c r="K17" s="12">
        <f>'[8]Dia 10 (a)'!$P23</f>
        <v>15.2</v>
      </c>
      <c r="L17" s="12">
        <f>'[8]Dia 11 (a)'!$P23</f>
        <v>16.2</v>
      </c>
      <c r="M17" s="12">
        <f>'[8]Dia 12 (a)'!$P23</f>
        <v>17.8</v>
      </c>
      <c r="N17" s="12">
        <f>'[8]Dia 13 (a)'!$P23</f>
        <v>20.2</v>
      </c>
      <c r="O17" s="12">
        <f>'[8]Dia 14 (a)'!$P23</f>
        <v>22</v>
      </c>
      <c r="P17" s="12">
        <f>'[8]Dia 15 (a)'!$P23</f>
        <v>22.8</v>
      </c>
      <c r="Q17" s="12">
        <f>'[8]Dia 16 (a)'!$P23</f>
        <v>22</v>
      </c>
      <c r="R17" s="12">
        <f>'[8]Dia 17 (a)'!$P23</f>
        <v>19.2</v>
      </c>
      <c r="S17" s="12">
        <f>'[8]Dia 18 (a)'!$P23</f>
        <v>20.6</v>
      </c>
      <c r="T17" s="12">
        <f>'[8]Dia 19 (a)'!$P23</f>
        <v>13</v>
      </c>
      <c r="U17" s="12">
        <f>'[8]Dia 20 (a)'!$P23</f>
        <v>14.5</v>
      </c>
      <c r="V17" s="12">
        <f>'[8]Dia 21 (a)'!$P23</f>
        <v>17.399999999999999</v>
      </c>
      <c r="W17" s="12">
        <f>'[8]Dia 22 (a)'!$P23</f>
        <v>19.399999999999999</v>
      </c>
      <c r="X17" s="12">
        <f>'[8]Dia 23 (a)'!$P23</f>
        <v>21.6</v>
      </c>
      <c r="Y17" s="12">
        <f>'[8]Dia 24 (a)'!$P23</f>
        <v>21.2</v>
      </c>
      <c r="Z17" s="12">
        <f>'[8]Dia 25 (a)'!$P23</f>
        <v>23.1</v>
      </c>
      <c r="AA17" s="12">
        <f>'[8]Dia 26 (a)'!$P23</f>
        <v>22.8</v>
      </c>
      <c r="AB17" s="12">
        <f>'[8]Dia 27 (a)'!$P23</f>
        <v>24.2</v>
      </c>
      <c r="AC17" s="12">
        <f>'[8]Dia 28 (a)'!$P23</f>
        <v>22</v>
      </c>
      <c r="AD17" s="12">
        <f>'[8]Dia 29 (a)'!$P23</f>
        <v>16.3</v>
      </c>
      <c r="AE17" s="12">
        <f>'[8]Dia 30 (a)'!$P23</f>
        <v>16.5</v>
      </c>
      <c r="AF17" s="13">
        <f>'[8]Dia 31 (a)'!$P23</f>
        <v>20</v>
      </c>
      <c r="AG17" s="14"/>
    </row>
    <row r="18" spans="1:33" ht="20.100000000000001" customHeight="1">
      <c r="A18" s="11">
        <v>21</v>
      </c>
      <c r="B18" s="12">
        <f>'[8]Dia 1 (a)'!$P24</f>
        <v>20.399999999999999</v>
      </c>
      <c r="C18" s="12">
        <f>'[8]Dia 2 (a)'!$P24</f>
        <v>21.4</v>
      </c>
      <c r="D18" s="12">
        <f>'[8]Dia 3 (a)'!$P24</f>
        <v>21.2</v>
      </c>
      <c r="E18" s="12">
        <f>'[8]Dia 4 (a)'!$P24</f>
        <v>22.5</v>
      </c>
      <c r="F18" s="12">
        <f>'[8]Dia 5 (a)'!$P24</f>
        <v>18.2</v>
      </c>
      <c r="G18" s="12">
        <f>'[8]Dia 6 (a)'!$P24</f>
        <v>16.8</v>
      </c>
      <c r="H18" s="12">
        <f>'[8]Dia 7 (a)'!$P24</f>
        <v>17.5</v>
      </c>
      <c r="I18" s="12">
        <f>'[8]Dia 8 (a)'!$P24</f>
        <v>18.2</v>
      </c>
      <c r="J18" s="12">
        <f>'[8]Dia 9 (a)'!$P24</f>
        <v>17.600000000000001</v>
      </c>
      <c r="K18" s="12">
        <f>'[8]Dia 10 (a)'!$P24</f>
        <v>15</v>
      </c>
      <c r="L18" s="12">
        <f>'[8]Dia 11 (a)'!$P24</f>
        <v>15.8</v>
      </c>
      <c r="M18" s="12">
        <f>'[8]Dia 12 (a)'!$P24</f>
        <v>17.399999999999999</v>
      </c>
      <c r="N18" s="12">
        <f>'[8]Dia 13 (a)'!$P24</f>
        <v>19.2</v>
      </c>
      <c r="O18" s="12">
        <f>'[8]Dia 14 (a)'!$P24</f>
        <v>20.8</v>
      </c>
      <c r="P18" s="12">
        <f>'[8]Dia 15 (a)'!$P24</f>
        <v>21.8</v>
      </c>
      <c r="Q18" s="12">
        <f>'[8]Dia 16 (a)'!$P24</f>
        <v>21.4</v>
      </c>
      <c r="R18" s="12">
        <f>'[8]Dia 17 (a)'!$P24</f>
        <v>18.899999999999999</v>
      </c>
      <c r="S18" s="12">
        <f>'[8]Dia 18 (a)'!$P24</f>
        <v>20.2</v>
      </c>
      <c r="T18" s="12">
        <f>'[8]Dia 19 (a)'!$P24</f>
        <v>12.8</v>
      </c>
      <c r="U18" s="12">
        <f>'[8]Dia 20 (a)'!$P24</f>
        <v>14.2</v>
      </c>
      <c r="V18" s="12">
        <f>'[8]Dia 21 (a)'!$P24</f>
        <v>16.899999999999999</v>
      </c>
      <c r="W18" s="12">
        <f>'[8]Dia 22 (a)'!$P24</f>
        <v>18.8</v>
      </c>
      <c r="X18" s="12">
        <f>'[8]Dia 23 (a)'!$P24</f>
        <v>20.9</v>
      </c>
      <c r="Y18" s="12">
        <f>'[8]Dia 24 (a)'!$P24</f>
        <v>20.399999999999999</v>
      </c>
      <c r="Z18" s="12">
        <f>'[8]Dia 25 (a)'!$P24</f>
        <v>22.4</v>
      </c>
      <c r="AA18" s="12">
        <f>'[8]Dia 26 (a)'!$P24</f>
        <v>21.8</v>
      </c>
      <c r="AB18" s="12">
        <f>'[8]Dia 27 (a)'!$P24</f>
        <v>23</v>
      </c>
      <c r="AC18" s="12">
        <f>'[8]Dia 28 (a)'!$P24</f>
        <v>21</v>
      </c>
      <c r="AD18" s="12">
        <f>'[8]Dia 29 (a)'!$P24</f>
        <v>15.9</v>
      </c>
      <c r="AE18" s="12">
        <f>'[8]Dia 30 (a)'!$P24</f>
        <v>16.100000000000001</v>
      </c>
      <c r="AF18" s="13">
        <f>'[8]Dia 31 (a)'!$P24</f>
        <v>19</v>
      </c>
      <c r="AG18" s="14"/>
    </row>
    <row r="19" spans="1:33" ht="20.100000000000001" customHeight="1">
      <c r="A19" s="11">
        <v>22</v>
      </c>
      <c r="B19" s="12">
        <f>'[8]Dia 1 (a)'!$P25</f>
        <v>19.600000000000001</v>
      </c>
      <c r="C19" s="12">
        <f>'[8]Dia 2 (a)'!$P25</f>
        <v>20.399999999999999</v>
      </c>
      <c r="D19" s="12">
        <f>'[8]Dia 3 (a)'!$P25</f>
        <v>20.3</v>
      </c>
      <c r="E19" s="12">
        <f>'[8]Dia 4 (a)'!$P25</f>
        <v>21.5</v>
      </c>
      <c r="F19" s="12">
        <f>'[8]Dia 5 (a)'!$P25</f>
        <v>18</v>
      </c>
      <c r="G19" s="12">
        <f>'[8]Dia 6 (a)'!$P25</f>
        <v>16.899999999999999</v>
      </c>
      <c r="H19" s="12">
        <f>'[8]Dia 7 (a)'!$P25</f>
        <v>17.3</v>
      </c>
      <c r="I19" s="12">
        <f>'[8]Dia 8 (a)'!$P25</f>
        <v>18</v>
      </c>
      <c r="J19" s="12">
        <f>'[8]Dia 9 (a)'!$P25</f>
        <v>17.399999999999999</v>
      </c>
      <c r="K19" s="12">
        <f>'[8]Dia 10 (a)'!$P25</f>
        <v>14</v>
      </c>
      <c r="L19" s="12">
        <f>'[8]Dia 11 (a)'!$P25</f>
        <v>14.9</v>
      </c>
      <c r="M19" s="12">
        <f>'[8]Dia 12 (a)'!$P25</f>
        <v>17.2</v>
      </c>
      <c r="N19" s="12">
        <f>'[8]Dia 13 (a)'!$P25</f>
        <v>18.399999999999999</v>
      </c>
      <c r="O19" s="12">
        <f>'[8]Dia 14 (a)'!$P25</f>
        <v>20</v>
      </c>
      <c r="P19" s="12">
        <f>'[8]Dia 15 (a)'!$P25</f>
        <v>20.8</v>
      </c>
      <c r="Q19" s="12">
        <f>'[8]Dia 16 (a)'!$P25</f>
        <v>20.6</v>
      </c>
      <c r="R19" s="12">
        <f>'[8]Dia 17 (a)'!$P25</f>
        <v>18.8</v>
      </c>
      <c r="S19" s="12">
        <f>'[8]Dia 18 (a)'!$P25</f>
        <v>19.899999999999999</v>
      </c>
      <c r="T19" s="12">
        <f>'[8]Dia 19 (a)'!$P25</f>
        <v>12.6</v>
      </c>
      <c r="U19" s="12">
        <f>'[8]Dia 20 (a)'!$P25</f>
        <v>14.1</v>
      </c>
      <c r="V19" s="12">
        <f>'[8]Dia 21 (a)'!$P25</f>
        <v>16.399999999999999</v>
      </c>
      <c r="W19" s="12">
        <f>'[8]Dia 22 (a)'!$P25</f>
        <v>18</v>
      </c>
      <c r="X19" s="12">
        <f>'[8]Dia 23 (a)'!$P25</f>
        <v>20.399999999999999</v>
      </c>
      <c r="Y19" s="12">
        <f>'[8]Dia 24 (a)'!$P25</f>
        <v>20.8</v>
      </c>
      <c r="Z19" s="12">
        <f>'[8]Dia 25 (a)'!$P25</f>
        <v>21.8</v>
      </c>
      <c r="AA19" s="12">
        <f>'[8]Dia 26 (a)'!$P25</f>
        <v>21.2</v>
      </c>
      <c r="AB19" s="12">
        <f>'[8]Dia 27 (a)'!$P25</f>
        <v>22.2</v>
      </c>
      <c r="AC19" s="12">
        <f>'[8]Dia 28 (a)'!$P25</f>
        <v>21</v>
      </c>
      <c r="AD19" s="12">
        <f>'[8]Dia 29 (a)'!$P25</f>
        <v>15.6</v>
      </c>
      <c r="AE19" s="12">
        <f>'[8]Dia 30 (a)'!$P25</f>
        <v>15.7</v>
      </c>
      <c r="AF19" s="13">
        <f>'[8]Dia 31 (a)'!$P25</f>
        <v>18</v>
      </c>
      <c r="AG19" s="14"/>
    </row>
    <row r="20" spans="1:33" ht="20.100000000000001" customHeight="1">
      <c r="A20" s="11">
        <v>23</v>
      </c>
      <c r="B20" s="12">
        <f>'[8]Dia 1 (a)'!$P26</f>
        <v>18.8</v>
      </c>
      <c r="C20" s="12">
        <f>'[8]Dia 2 (a)'!$P26</f>
        <v>19.399999999999999</v>
      </c>
      <c r="D20" s="12">
        <f>'[8]Dia 3 (a)'!$P26</f>
        <v>19.7</v>
      </c>
      <c r="E20" s="12">
        <f>'[8]Dia 4 (a)'!$P26</f>
        <v>21</v>
      </c>
      <c r="F20" s="12">
        <f>'[8]Dia 5 (a)'!$P26</f>
        <v>17.600000000000001</v>
      </c>
      <c r="G20" s="12">
        <f>'[8]Dia 6 (a)'!$P26</f>
        <v>16.8</v>
      </c>
      <c r="H20" s="12">
        <f>'[8]Dia 7 (a)'!$P26</f>
        <v>17.2</v>
      </c>
      <c r="I20" s="12">
        <f>'[8]Dia 8 (a)'!$P26</f>
        <v>17.7</v>
      </c>
      <c r="J20" s="12">
        <f>'[8]Dia 9 (a)'!$P26</f>
        <v>17.8</v>
      </c>
      <c r="K20" s="12">
        <f>'[8]Dia 10 (a)'!$P26</f>
        <v>13</v>
      </c>
      <c r="L20" s="12">
        <f>'[8]Dia 11 (a)'!$P26</f>
        <v>14.5</v>
      </c>
      <c r="M20" s="12">
        <f>'[8]Dia 12 (a)'!$P26</f>
        <v>16.600000000000001</v>
      </c>
      <c r="N20" s="12">
        <f>'[8]Dia 13 (a)'!$P26</f>
        <v>17.600000000000001</v>
      </c>
      <c r="O20" s="12">
        <f>'[8]Dia 14 (a)'!$P26</f>
        <v>19.399999999999999</v>
      </c>
      <c r="P20" s="12">
        <f>'[8]Dia 15 (a)'!$P26</f>
        <v>20.100000000000001</v>
      </c>
      <c r="Q20" s="12">
        <f>'[8]Dia 16 (a)'!$P26</f>
        <v>20</v>
      </c>
      <c r="R20" s="12">
        <f>'[8]Dia 17 (a)'!$P26</f>
        <v>18.600000000000001</v>
      </c>
      <c r="S20" s="12">
        <f>'[8]Dia 18 (a)'!$P26</f>
        <v>19.5</v>
      </c>
      <c r="T20" s="12">
        <f>'[8]Dia 19 (a)'!$P26</f>
        <v>12.6</v>
      </c>
      <c r="U20" s="12">
        <f>'[8]Dia 20 (a)'!$P26</f>
        <v>13.9</v>
      </c>
      <c r="V20" s="12">
        <f>'[8]Dia 21 (a)'!$P26</f>
        <v>16.2</v>
      </c>
      <c r="W20" s="12">
        <f>'[8]Dia 22 (a)'!$P26</f>
        <v>17.600000000000001</v>
      </c>
      <c r="X20" s="12">
        <f>'[8]Dia 23 (a)'!$P26</f>
        <v>19.8</v>
      </c>
      <c r="Y20" s="12">
        <f>'[8]Dia 24 (a)'!$P26</f>
        <v>20.6</v>
      </c>
      <c r="Z20" s="12">
        <f>'[8]Dia 25 (a)'!$P26</f>
        <v>21.4</v>
      </c>
      <c r="AA20" s="12">
        <f>'[8]Dia 26 (a)'!$P26</f>
        <v>21.4</v>
      </c>
      <c r="AB20" s="12">
        <f>'[8]Dia 27 (a)'!$P26</f>
        <v>21.8</v>
      </c>
      <c r="AC20" s="12">
        <f>'[8]Dia 28 (a)'!$P26</f>
        <v>20</v>
      </c>
      <c r="AD20" s="12">
        <f>'[8]Dia 29 (a)'!$P26</f>
        <v>15.4</v>
      </c>
      <c r="AE20" s="12">
        <f>'[8]Dia 30 (a)'!$P26</f>
        <v>15.5</v>
      </c>
      <c r="AF20" s="13">
        <f>'[8]Dia 31 (a)'!$P26</f>
        <v>17</v>
      </c>
      <c r="AG20" s="14"/>
    </row>
    <row r="21" spans="1:33" ht="20.100000000000001" customHeight="1" thickBot="1">
      <c r="A21" s="16">
        <v>24</v>
      </c>
      <c r="B21" s="17">
        <f>'[8]Dia 1 (a)'!$P27</f>
        <v>18.399999999999999</v>
      </c>
      <c r="C21" s="17">
        <f>'[8]Dia 2 (a)'!$P27</f>
        <v>18.899999999999999</v>
      </c>
      <c r="D21" s="17">
        <f>'[8]Dia 3 (a)'!$P27</f>
        <v>18.899999999999999</v>
      </c>
      <c r="E21" s="17">
        <f>'[8]Dia 4 (a)'!$P27</f>
        <v>20.399999999999999</v>
      </c>
      <c r="F21" s="17">
        <f>'[8]Dia 5 (a)'!$P27</f>
        <v>16.8</v>
      </c>
      <c r="G21" s="17">
        <f>'[8]Dia 6 (a)'!$P27</f>
        <v>16.7</v>
      </c>
      <c r="H21" s="17">
        <f>'[8]Dia 7 (a)'!$P27</f>
        <v>17.100000000000001</v>
      </c>
      <c r="I21" s="17">
        <f>'[8]Dia 8 (a)'!$P27</f>
        <v>17.600000000000001</v>
      </c>
      <c r="J21" s="17">
        <f>'[8]Dia 9 (a)'!$P27</f>
        <v>18</v>
      </c>
      <c r="K21" s="17">
        <f>'[8]Dia 10 (a)'!$P27</f>
        <v>12</v>
      </c>
      <c r="L21" s="17">
        <f>'[8]Dia 11 (a)'!$P27</f>
        <v>14.4</v>
      </c>
      <c r="M21" s="17">
        <f>'[8]Dia 12 (a)'!$P27</f>
        <v>16</v>
      </c>
      <c r="N21" s="17">
        <f>'[8]Dia 13 (a)'!$P27</f>
        <v>17</v>
      </c>
      <c r="O21" s="17">
        <f>'[8]Dia 14 (a)'!$P27</f>
        <v>18.8</v>
      </c>
      <c r="P21" s="17">
        <f>'[8]Dia 15 (a)'!$P27</f>
        <v>19.5</v>
      </c>
      <c r="Q21" s="17">
        <f>'[8]Dia 16 (a)'!$P27</f>
        <v>19.5</v>
      </c>
      <c r="R21" s="17">
        <f>'[8]Dia 17 (a)'!$P27</f>
        <v>18.399999999999999</v>
      </c>
      <c r="S21" s="17">
        <f>'[8]Dia 18 (a)'!$P27</f>
        <v>19.2</v>
      </c>
      <c r="T21" s="17">
        <f>'[8]Dia 19 (a)'!$P27</f>
        <v>12.5</v>
      </c>
      <c r="U21" s="17">
        <f>'[8]Dia 20 (a)'!$P27</f>
        <v>13.7</v>
      </c>
      <c r="V21" s="17">
        <f>'[8]Dia 21 (a)'!$P27</f>
        <v>16</v>
      </c>
      <c r="W21" s="17">
        <f>'[8]Dia 22 (a)'!$P27</f>
        <v>17</v>
      </c>
      <c r="X21" s="17">
        <f>'[8]Dia 23 (a)'!$P27</f>
        <v>19.399999999999999</v>
      </c>
      <c r="Y21" s="17">
        <f>'[8]Dia 24 (a)'!$P27</f>
        <v>20.2</v>
      </c>
      <c r="Z21" s="17">
        <f>'[8]Dia 25 (a)'!$P27</f>
        <v>20.8</v>
      </c>
      <c r="AA21" s="17">
        <f>'[8]Dia 26 (a)'!$P27</f>
        <v>20.9</v>
      </c>
      <c r="AB21" s="17">
        <f>'[8]Dia 27 (a)'!$P27</f>
        <v>20.8</v>
      </c>
      <c r="AC21" s="17">
        <f>'[8]Dia 28 (a)'!$P27</f>
        <v>19.8</v>
      </c>
      <c r="AD21" s="17">
        <f>'[8]Dia 29 (a)'!$P27</f>
        <v>15.1</v>
      </c>
      <c r="AE21" s="17">
        <f>'[8]Dia 30 (a)'!$P27</f>
        <v>15.2</v>
      </c>
      <c r="AF21" s="18">
        <f>'[8]Dia 31 (a)'!$P27</f>
        <v>16.399999999999999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21.43333333333333</v>
      </c>
      <c r="C25" s="26">
        <f t="shared" ref="C25:AF25" si="0">AVERAGE(C4:C21)</f>
        <v>22.538888888888881</v>
      </c>
      <c r="D25" s="26">
        <f t="shared" si="0"/>
        <v>22.427777777777777</v>
      </c>
      <c r="E25" s="26">
        <f t="shared" si="0"/>
        <v>23.238888888888887</v>
      </c>
      <c r="F25" s="26">
        <f t="shared" si="0"/>
        <v>20.611111111111114</v>
      </c>
      <c r="G25" s="26">
        <f t="shared" si="0"/>
        <v>17.388888888888886</v>
      </c>
      <c r="H25" s="26">
        <f t="shared" si="0"/>
        <v>17.661111111111111</v>
      </c>
      <c r="I25" s="26">
        <f t="shared" si="0"/>
        <v>18.438888888888886</v>
      </c>
      <c r="J25" s="26">
        <f t="shared" si="0"/>
        <v>17.861111111111114</v>
      </c>
      <c r="K25" s="26">
        <f t="shared" si="0"/>
        <v>16.572222222222219</v>
      </c>
      <c r="L25" s="26">
        <f t="shared" si="0"/>
        <v>16.538888888888888</v>
      </c>
      <c r="M25" s="26">
        <f t="shared" si="0"/>
        <v>18.427777777777777</v>
      </c>
      <c r="N25" s="26">
        <f t="shared" si="0"/>
        <v>20.333333333333332</v>
      </c>
      <c r="O25" s="26">
        <f t="shared" si="0"/>
        <v>21.75</v>
      </c>
      <c r="P25" s="26">
        <f t="shared" si="0"/>
        <v>23.00555555555556</v>
      </c>
      <c r="Q25" s="26">
        <f t="shared" si="0"/>
        <v>22.027777777777782</v>
      </c>
      <c r="R25" s="26">
        <f t="shared" si="0"/>
        <v>19.533333333333331</v>
      </c>
      <c r="S25" s="26">
        <f t="shared" si="0"/>
        <v>20.399999999999999</v>
      </c>
      <c r="T25" s="26">
        <f t="shared" si="0"/>
        <v>13.966666666666667</v>
      </c>
      <c r="U25" s="26">
        <f t="shared" si="0"/>
        <v>14.49444444444444</v>
      </c>
      <c r="V25" s="26">
        <f t="shared" si="0"/>
        <v>17.361111111111111</v>
      </c>
      <c r="W25" s="26">
        <f t="shared" si="0"/>
        <v>19.8</v>
      </c>
      <c r="X25" s="26">
        <f t="shared" si="0"/>
        <v>21.927777777777774</v>
      </c>
      <c r="Y25" s="26">
        <f>AVERAGE(Y4:Y21)</f>
        <v>22.55</v>
      </c>
      <c r="Z25" s="26">
        <f t="shared" si="0"/>
        <v>23.466666666666665</v>
      </c>
      <c r="AA25" s="26">
        <f t="shared" si="0"/>
        <v>22.688888888888886</v>
      </c>
      <c r="AB25" s="26">
        <f t="shared" si="0"/>
        <v>24.838888888888889</v>
      </c>
      <c r="AC25" s="26">
        <f t="shared" si="0"/>
        <v>23.333333333333336</v>
      </c>
      <c r="AD25" s="26">
        <f t="shared" si="0"/>
        <v>17.477777777777778</v>
      </c>
      <c r="AE25" s="26">
        <f t="shared" si="0"/>
        <v>16.633333333333333</v>
      </c>
      <c r="AF25" s="27">
        <f t="shared" si="0"/>
        <v>20.727777777777774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27.7</v>
      </c>
      <c r="C29" s="26">
        <f t="shared" ref="C29:AF29" si="1">MAX(C4:C21)</f>
        <v>29.7</v>
      </c>
      <c r="D29" s="26">
        <f t="shared" si="1"/>
        <v>29.2</v>
      </c>
      <c r="E29" s="26">
        <f t="shared" si="1"/>
        <v>29</v>
      </c>
      <c r="F29" s="26">
        <f t="shared" si="1"/>
        <v>24.6</v>
      </c>
      <c r="G29" s="26">
        <f t="shared" si="1"/>
        <v>19</v>
      </c>
      <c r="H29" s="26">
        <f t="shared" si="1"/>
        <v>18.899999999999999</v>
      </c>
      <c r="I29" s="26">
        <f t="shared" si="1"/>
        <v>20.3</v>
      </c>
      <c r="J29" s="26">
        <f t="shared" si="1"/>
        <v>19</v>
      </c>
      <c r="K29" s="26">
        <f t="shared" si="1"/>
        <v>20.100000000000001</v>
      </c>
      <c r="L29" s="26">
        <f t="shared" si="1"/>
        <v>20</v>
      </c>
      <c r="M29" s="26">
        <f t="shared" si="1"/>
        <v>22.9</v>
      </c>
      <c r="N29" s="26">
        <f t="shared" si="1"/>
        <v>27</v>
      </c>
      <c r="O29" s="26">
        <f t="shared" si="1"/>
        <v>28.8</v>
      </c>
      <c r="P29" s="26">
        <f t="shared" si="1"/>
        <v>29.9</v>
      </c>
      <c r="Q29" s="26">
        <f t="shared" si="1"/>
        <v>26.6</v>
      </c>
      <c r="R29" s="26">
        <f t="shared" si="1"/>
        <v>22</v>
      </c>
      <c r="S29" s="26">
        <f t="shared" si="1"/>
        <v>22.9</v>
      </c>
      <c r="T29" s="26">
        <f t="shared" si="1"/>
        <v>15.4</v>
      </c>
      <c r="U29" s="26">
        <f t="shared" si="1"/>
        <v>16</v>
      </c>
      <c r="V29" s="26">
        <f t="shared" si="1"/>
        <v>21</v>
      </c>
      <c r="W29" s="26">
        <f t="shared" si="1"/>
        <v>26</v>
      </c>
      <c r="X29" s="26">
        <f t="shared" si="1"/>
        <v>27.8</v>
      </c>
      <c r="Y29" s="26">
        <f>MAX(Y4:Y21)</f>
        <v>28.5</v>
      </c>
      <c r="Z29" s="26">
        <f t="shared" si="1"/>
        <v>29.6</v>
      </c>
      <c r="AA29" s="26">
        <f t="shared" si="1"/>
        <v>26.7</v>
      </c>
      <c r="AB29" s="26">
        <f t="shared" si="1"/>
        <v>31.8</v>
      </c>
      <c r="AC29" s="26">
        <f t="shared" si="1"/>
        <v>29.6</v>
      </c>
      <c r="AD29" s="26">
        <f t="shared" si="1"/>
        <v>19.600000000000001</v>
      </c>
      <c r="AE29" s="26">
        <f t="shared" si="1"/>
        <v>19.7</v>
      </c>
      <c r="AF29" s="27">
        <f t="shared" si="1"/>
        <v>28.4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15</v>
      </c>
      <c r="C33" s="26">
        <f t="shared" ref="C33:AF33" si="2">MIN(C4:C21)</f>
        <v>15.2</v>
      </c>
      <c r="D33" s="26">
        <f t="shared" si="2"/>
        <v>15</v>
      </c>
      <c r="E33" s="26">
        <f t="shared" si="2"/>
        <v>17</v>
      </c>
      <c r="F33" s="26">
        <f t="shared" si="2"/>
        <v>16.8</v>
      </c>
      <c r="G33" s="26">
        <f t="shared" si="2"/>
        <v>16.100000000000001</v>
      </c>
      <c r="H33" s="26">
        <f t="shared" si="2"/>
        <v>16.7</v>
      </c>
      <c r="I33" s="26">
        <f t="shared" si="2"/>
        <v>16.399999999999999</v>
      </c>
      <c r="J33" s="26">
        <f t="shared" si="2"/>
        <v>16.7</v>
      </c>
      <c r="K33" s="26">
        <f t="shared" si="2"/>
        <v>12</v>
      </c>
      <c r="L33" s="26">
        <f t="shared" si="2"/>
        <v>13.6</v>
      </c>
      <c r="M33" s="26">
        <f t="shared" si="2"/>
        <v>13.8</v>
      </c>
      <c r="N33" s="26">
        <f t="shared" si="2"/>
        <v>13.8</v>
      </c>
      <c r="O33" s="26">
        <f t="shared" si="2"/>
        <v>14</v>
      </c>
      <c r="P33" s="26">
        <f t="shared" si="2"/>
        <v>15.7</v>
      </c>
      <c r="Q33" s="26">
        <f t="shared" si="2"/>
        <v>16.600000000000001</v>
      </c>
      <c r="R33" s="26">
        <f t="shared" si="2"/>
        <v>16.8</v>
      </c>
      <c r="S33" s="26">
        <f t="shared" si="2"/>
        <v>17.2</v>
      </c>
      <c r="T33" s="26">
        <f t="shared" si="2"/>
        <v>12.5</v>
      </c>
      <c r="U33" s="26">
        <f t="shared" si="2"/>
        <v>12.3</v>
      </c>
      <c r="V33" s="26">
        <f t="shared" si="2"/>
        <v>13</v>
      </c>
      <c r="W33" s="26">
        <f t="shared" si="2"/>
        <v>14.8</v>
      </c>
      <c r="X33" s="26">
        <f t="shared" si="2"/>
        <v>15.6</v>
      </c>
      <c r="Y33" s="26">
        <f>MIN(Y4:Y21)</f>
        <v>17.5</v>
      </c>
      <c r="Z33" s="26">
        <f t="shared" si="2"/>
        <v>18.8</v>
      </c>
      <c r="AA33" s="26">
        <f t="shared" si="2"/>
        <v>18.2</v>
      </c>
      <c r="AB33" s="26">
        <f t="shared" si="2"/>
        <v>17</v>
      </c>
      <c r="AC33" s="26">
        <f t="shared" si="2"/>
        <v>17.600000000000001</v>
      </c>
      <c r="AD33" s="26">
        <f t="shared" si="2"/>
        <v>15.1</v>
      </c>
      <c r="AE33" s="26">
        <f t="shared" si="2"/>
        <v>13.6</v>
      </c>
      <c r="AF33" s="27">
        <f t="shared" si="2"/>
        <v>12.6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12.7</v>
      </c>
      <c r="C37" s="26">
        <f t="shared" si="3"/>
        <v>14.5</v>
      </c>
      <c r="D37" s="26">
        <f t="shared" si="3"/>
        <v>14.2</v>
      </c>
      <c r="E37" s="26">
        <f t="shared" si="3"/>
        <v>12</v>
      </c>
      <c r="F37" s="26">
        <f t="shared" si="3"/>
        <v>7.8000000000000007</v>
      </c>
      <c r="G37" s="26">
        <f t="shared" si="3"/>
        <v>2.8999999999999986</v>
      </c>
      <c r="H37" s="26">
        <f t="shared" si="3"/>
        <v>2.1999999999999993</v>
      </c>
      <c r="I37" s="26">
        <f t="shared" si="3"/>
        <v>3.9000000000000021</v>
      </c>
      <c r="J37" s="26">
        <f t="shared" si="3"/>
        <v>2.3000000000000007</v>
      </c>
      <c r="K37" s="26">
        <f t="shared" si="3"/>
        <v>8.1000000000000014</v>
      </c>
      <c r="L37" s="26">
        <f t="shared" si="3"/>
        <v>6.4</v>
      </c>
      <c r="M37" s="26">
        <f t="shared" si="3"/>
        <v>9.0999999999999979</v>
      </c>
      <c r="N37" s="26">
        <f t="shared" si="3"/>
        <v>13.2</v>
      </c>
      <c r="O37" s="26">
        <f t="shared" si="3"/>
        <v>14.8</v>
      </c>
      <c r="P37" s="26">
        <f t="shared" si="3"/>
        <v>14.2</v>
      </c>
      <c r="Q37" s="26">
        <f t="shared" si="3"/>
        <v>10</v>
      </c>
      <c r="R37" s="26">
        <f t="shared" si="3"/>
        <v>5.1999999999999993</v>
      </c>
      <c r="S37" s="26">
        <f t="shared" si="3"/>
        <v>5.6999999999999993</v>
      </c>
      <c r="T37" s="26">
        <f t="shared" si="3"/>
        <v>2.9000000000000004</v>
      </c>
      <c r="U37" s="26">
        <f t="shared" si="3"/>
        <v>3.6999999999999993</v>
      </c>
      <c r="V37" s="26">
        <f t="shared" si="3"/>
        <v>8</v>
      </c>
      <c r="W37" s="26">
        <f t="shared" si="3"/>
        <v>11.2</v>
      </c>
      <c r="X37" s="26">
        <f t="shared" si="3"/>
        <v>12.200000000000001</v>
      </c>
      <c r="Y37" s="26">
        <f t="shared" si="3"/>
        <v>11</v>
      </c>
      <c r="Z37" s="26">
        <f t="shared" si="3"/>
        <v>10.8</v>
      </c>
      <c r="AA37" s="26">
        <f t="shared" si="3"/>
        <v>8.5</v>
      </c>
      <c r="AB37" s="26">
        <f t="shared" si="3"/>
        <v>14.8</v>
      </c>
      <c r="AC37" s="26">
        <f t="shared" si="3"/>
        <v>12</v>
      </c>
      <c r="AD37" s="26">
        <f t="shared" si="3"/>
        <v>4.5000000000000018</v>
      </c>
      <c r="AE37" s="26">
        <f t="shared" si="3"/>
        <v>6.1</v>
      </c>
      <c r="AF37" s="27">
        <f t="shared" si="3"/>
        <v>15.799999999999999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19.982437275985664</v>
      </c>
      <c r="I43" s="39"/>
      <c r="J43" s="41"/>
      <c r="K43" s="40">
        <f>MAX(B29:AF29)</f>
        <v>31.8</v>
      </c>
      <c r="L43" s="41"/>
      <c r="M43" s="41"/>
      <c r="N43" s="40">
        <f>MIN(B33:AF33)</f>
        <v>12</v>
      </c>
      <c r="O43" s="41"/>
      <c r="P43" s="41"/>
      <c r="Q43" s="40">
        <f>K43-N43</f>
        <v>19.8</v>
      </c>
      <c r="R43" s="39"/>
      <c r="S43" s="40"/>
      <c r="T43" s="40">
        <f>AVERAGE(B29:AF29)</f>
        <v>24.441935483870971</v>
      </c>
      <c r="U43" s="40"/>
      <c r="V43" s="40">
        <f>AVERAGE(B33:AF33)</f>
        <v>15.387096774193552</v>
      </c>
      <c r="W43" s="40"/>
      <c r="X43" s="40">
        <f>T43-V43</f>
        <v>9.0548387096774192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(a)'!$P10</f>
        <v>13.8</v>
      </c>
      <c r="C4" s="12">
        <f>'[9]Dia 2 (a)'!$P10</f>
        <v>15.2</v>
      </c>
      <c r="D4" s="12">
        <f>'[9]Dia 3 (a)'!$P10</f>
        <v>17.899999999999999</v>
      </c>
      <c r="E4" s="12">
        <f>'[9]Dia 4 (a)'!$P10</f>
        <v>15.1</v>
      </c>
      <c r="F4" s="12">
        <f>'[9]Dia 5 (a)'!$P10</f>
        <v>14</v>
      </c>
      <c r="G4" s="12">
        <f>'[9]Dia 6 (a)'!$P10</f>
        <v>15</v>
      </c>
      <c r="H4" s="12">
        <f>'[9]Dia 7 (a)'!$P10</f>
        <v>15.7</v>
      </c>
      <c r="I4" s="12">
        <f>'[9]Dia 8 (a)'!$P10</f>
        <v>14.2</v>
      </c>
      <c r="J4" s="12">
        <f>'[9]Dia 9 (a)'!$P10</f>
        <v>17.100000000000001</v>
      </c>
      <c r="K4" s="12">
        <f>'[9]Dia 10 (a)'!$P10</f>
        <v>17.8</v>
      </c>
      <c r="L4" s="12">
        <f>'[9]Dia 11 (a)'!$P10</f>
        <v>16.399999999999999</v>
      </c>
      <c r="M4" s="12">
        <f>'[9]Dia 12 (a)'!$P10</f>
        <v>15.4</v>
      </c>
      <c r="N4" s="12">
        <f>'[9]Dia 13 (a)'!$P10</f>
        <v>16.2</v>
      </c>
      <c r="O4" s="12">
        <f>'[9]Dia 14 (a)'!$P10</f>
        <v>17.7</v>
      </c>
      <c r="P4" s="12">
        <f>'[9]Dia 15 (a)'!$P10</f>
        <v>16</v>
      </c>
      <c r="Q4" s="12">
        <f>'[9]Dia 16 (a)'!$P10</f>
        <v>15.2</v>
      </c>
      <c r="R4" s="12">
        <f>'[9]Dia 17 (a)'!$P10</f>
        <v>13.6</v>
      </c>
      <c r="S4" s="12">
        <f>'[9]Dia 18 (a)'!$P10</f>
        <v>12</v>
      </c>
      <c r="T4" s="12">
        <f>'[9]Dia 19 (a)'!$P10</f>
        <v>15.4</v>
      </c>
      <c r="U4" s="12">
        <f>'[9]Dia 20 (a)'!$P10</f>
        <v>17</v>
      </c>
      <c r="V4" s="12">
        <f>'[9]Dia 21 (a)'!$P10</f>
        <v>17.8</v>
      </c>
      <c r="W4" s="12">
        <f>'[9]Dia 22 (a)'!$P10</f>
        <v>17.2</v>
      </c>
      <c r="X4" s="12">
        <f>'[9]Dia 23 (a)'!$P10</f>
        <v>16.600000000000001</v>
      </c>
      <c r="Y4" s="12">
        <f>'[9]Dia 24 (a)'!$P10</f>
        <v>13.4</v>
      </c>
      <c r="Z4" s="12">
        <f>'[9]Dia 25 (a)'!$P10</f>
        <v>16.600000000000001</v>
      </c>
      <c r="AA4" s="12">
        <f>'[9]Dia 26 (a)'!$P10</f>
        <v>17.600000000000001</v>
      </c>
      <c r="AB4" s="12">
        <f>'[9]Dia 27 (a)'!$P10</f>
        <v>16</v>
      </c>
      <c r="AC4" s="12">
        <f>'[9]Dia 28 (a)'!$P10</f>
        <v>17.2</v>
      </c>
      <c r="AD4" s="12">
        <f>'[9]Dia 29 (a)'!$P10</f>
        <v>14.8</v>
      </c>
      <c r="AE4" s="12">
        <f>'[9]Dia 30 (a)'!$P10</f>
        <v>14.9</v>
      </c>
      <c r="AF4" s="13"/>
      <c r="AG4" s="14"/>
    </row>
    <row r="5" spans="1:33" ht="20.100000000000001" customHeight="1">
      <c r="A5" s="11">
        <v>8</v>
      </c>
      <c r="B5" s="12">
        <f>'[9]Dia 1 (a)'!$P11</f>
        <v>14.3</v>
      </c>
      <c r="C5" s="12">
        <f>'[9]Dia 2 (a)'!$P11</f>
        <v>15.9</v>
      </c>
      <c r="D5" s="12">
        <f>'[9]Dia 3 (a)'!$P11</f>
        <v>18.2</v>
      </c>
      <c r="E5" s="12">
        <f>'[9]Dia 4 (a)'!$P11</f>
        <v>15</v>
      </c>
      <c r="F5" s="12">
        <f>'[9]Dia 5 (a)'!$P11</f>
        <v>14.2</v>
      </c>
      <c r="G5" s="12">
        <f>'[9]Dia 6 (a)'!$P11</f>
        <v>15.2</v>
      </c>
      <c r="H5" s="12">
        <f>'[9]Dia 7 (a)'!$P11</f>
        <v>15.9</v>
      </c>
      <c r="I5" s="12">
        <f>'[9]Dia 8 (a)'!$P11</f>
        <v>15.1</v>
      </c>
      <c r="J5" s="12">
        <f>'[9]Dia 9 (a)'!$P11</f>
        <v>17.600000000000001</v>
      </c>
      <c r="K5" s="12">
        <f>'[9]Dia 10 (a)'!$P11</f>
        <v>19.2</v>
      </c>
      <c r="L5" s="12">
        <f>'[9]Dia 11 (a)'!$P11</f>
        <v>16.399999999999999</v>
      </c>
      <c r="M5" s="12">
        <f>'[9]Dia 12 (a)'!$P11</f>
        <v>15.5</v>
      </c>
      <c r="N5" s="12">
        <f>'[9]Dia 13 (a)'!$P11</f>
        <v>16.399999999999999</v>
      </c>
      <c r="O5" s="12">
        <f>'[9]Dia 14 (a)'!$P11</f>
        <v>17.8</v>
      </c>
      <c r="P5" s="12">
        <f>'[9]Dia 15 (a)'!$P11</f>
        <v>16</v>
      </c>
      <c r="Q5" s="12">
        <f>'[9]Dia 16 (a)'!$P11</f>
        <v>15.2</v>
      </c>
      <c r="R5" s="12">
        <f>'[9]Dia 17 (a)'!$P11</f>
        <v>14</v>
      </c>
      <c r="S5" s="12">
        <f>'[9]Dia 18 (a)'!$P11</f>
        <v>13.4</v>
      </c>
      <c r="T5" s="12">
        <f>'[9]Dia 19 (a)'!$P11</f>
        <v>15.8</v>
      </c>
      <c r="U5" s="12">
        <f>'[9]Dia 20 (a)'!$P11</f>
        <v>17.8</v>
      </c>
      <c r="V5" s="12">
        <f>'[9]Dia 21 (a)'!$P11</f>
        <v>17.8</v>
      </c>
      <c r="W5" s="12">
        <f>'[9]Dia 22 (a)'!$P11</f>
        <v>18</v>
      </c>
      <c r="X5" s="12">
        <f>'[9]Dia 23 (a)'!$P11</f>
        <v>17.600000000000001</v>
      </c>
      <c r="Y5" s="43">
        <f>'[9]Dia 24 (a)'!$P11</f>
        <v>14.8</v>
      </c>
      <c r="Z5" s="12">
        <f>'[9]Dia 25 (a)'!$P11</f>
        <v>16.600000000000001</v>
      </c>
      <c r="AA5" s="12">
        <f>'[9]Dia 26 (a)'!$P11</f>
        <v>17.600000000000001</v>
      </c>
      <c r="AB5" s="12">
        <f>'[9]Dia 27 (a)'!$P11</f>
        <v>16.8</v>
      </c>
      <c r="AC5" s="12">
        <f>'[9]Dia 28 (a)'!$P11</f>
        <v>17.3</v>
      </c>
      <c r="AD5" s="12">
        <f>'[9]Dia 29 (a)'!$P11</f>
        <v>15.1</v>
      </c>
      <c r="AE5" s="12">
        <f>'[9]Dia 30 (a)'!$P11</f>
        <v>15.2</v>
      </c>
      <c r="AF5" s="13"/>
      <c r="AG5" s="14"/>
    </row>
    <row r="6" spans="1:33" ht="20.100000000000001" customHeight="1">
      <c r="A6" s="11">
        <v>9</v>
      </c>
      <c r="B6" s="12">
        <f>'[9]Dia 1 (a)'!$P12</f>
        <v>16.2</v>
      </c>
      <c r="C6" s="12">
        <f>'[9]Dia 2 (a)'!$P12</f>
        <v>18.100000000000001</v>
      </c>
      <c r="D6" s="12">
        <f>'[9]Dia 3 (a)'!$P12</f>
        <v>18.399999999999999</v>
      </c>
      <c r="E6" s="12">
        <f>'[9]Dia 4 (a)'!$P12</f>
        <v>15.1</v>
      </c>
      <c r="F6" s="12">
        <f>'[9]Dia 5 (a)'!$P12</f>
        <v>14.8</v>
      </c>
      <c r="G6" s="12">
        <f>'[9]Dia 6 (a)'!$P12</f>
        <v>15.6</v>
      </c>
      <c r="H6" s="12">
        <f>'[9]Dia 7 (a)'!$P12</f>
        <v>15.7</v>
      </c>
      <c r="I6" s="12">
        <f>'[9]Dia 8 (a)'!$P12</f>
        <v>15.8</v>
      </c>
      <c r="J6" s="12">
        <f>'[9]Dia 9 (a)'!$P12</f>
        <v>19.5</v>
      </c>
      <c r="K6" s="12">
        <f>'[9]Dia 10 (a)'!$P12</f>
        <v>20.2</v>
      </c>
      <c r="L6" s="12">
        <f>'[9]Dia 11 (a)'!$P12</f>
        <v>16.600000000000001</v>
      </c>
      <c r="M6" s="12">
        <f>'[9]Dia 12 (a)'!$P12</f>
        <v>15.8</v>
      </c>
      <c r="N6" s="12">
        <f>'[9]Dia 13 (a)'!$P12</f>
        <v>17.399999999999999</v>
      </c>
      <c r="O6" s="12">
        <f>'[9]Dia 14 (a)'!$P12</f>
        <v>17.8</v>
      </c>
      <c r="P6" s="12">
        <f>'[9]Dia 15 (a)'!$P12</f>
        <v>15.8</v>
      </c>
      <c r="Q6" s="12">
        <f>'[9]Dia 16 (a)'!$P12</f>
        <v>15.4</v>
      </c>
      <c r="R6" s="12">
        <f>'[9]Dia 17 (a)'!$P12</f>
        <v>14.8</v>
      </c>
      <c r="S6" s="12">
        <f>'[9]Dia 18 (a)'!$P12</f>
        <v>15.5</v>
      </c>
      <c r="T6" s="12">
        <f>'[9]Dia 19 (a)'!$P12</f>
        <v>17.399999999999999</v>
      </c>
      <c r="U6" s="12">
        <f>'[9]Dia 20 (a)'!$P12</f>
        <v>20</v>
      </c>
      <c r="V6" s="12">
        <f>'[9]Dia 21 (a)'!$P12</f>
        <v>18.8</v>
      </c>
      <c r="W6" s="12">
        <f>'[9]Dia 22 (a)'!$P12</f>
        <v>19.8</v>
      </c>
      <c r="X6" s="12">
        <f>'[9]Dia 23 (a)'!$P12</f>
        <v>19</v>
      </c>
      <c r="Y6" s="12">
        <f>'[9]Dia 24 (a)'!$P12</f>
        <v>16.600000000000001</v>
      </c>
      <c r="Z6" s="12">
        <f>'[9]Dia 25 (a)'!$P12</f>
        <v>17.2</v>
      </c>
      <c r="AA6" s="12">
        <f>'[9]Dia 26 (a)'!$P12</f>
        <v>17.600000000000001</v>
      </c>
      <c r="AB6" s="12">
        <f>'[9]Dia 27 (a)'!$P12</f>
        <v>17.600000000000001</v>
      </c>
      <c r="AC6" s="12">
        <f>'[9]Dia 28 (a)'!$P12</f>
        <v>17.399999999999999</v>
      </c>
      <c r="AD6" s="12">
        <f>'[9]Dia 29 (a)'!$P12</f>
        <v>15.4</v>
      </c>
      <c r="AE6" s="12">
        <f>'[9]Dia 30 (a)'!$P12</f>
        <v>15.8</v>
      </c>
      <c r="AF6" s="13"/>
      <c r="AG6" s="14"/>
    </row>
    <row r="7" spans="1:33" ht="20.100000000000001" customHeight="1">
      <c r="A7" s="11">
        <v>10</v>
      </c>
      <c r="B7" s="12">
        <f>'[9]Dia 1 (a)'!$P13</f>
        <v>19.5</v>
      </c>
      <c r="C7" s="12">
        <f>'[9]Dia 2 (a)'!$P13</f>
        <v>21.1</v>
      </c>
      <c r="D7" s="12">
        <f>'[9]Dia 3 (a)'!$P13</f>
        <v>20.100000000000001</v>
      </c>
      <c r="E7" s="12">
        <f>'[9]Dia 4 (a)'!$P13</f>
        <v>15.4</v>
      </c>
      <c r="F7" s="12">
        <f>'[9]Dia 5 (a)'!$P13</f>
        <v>16</v>
      </c>
      <c r="G7" s="12">
        <f>'[9]Dia 6 (a)'!$P13</f>
        <v>15.8</v>
      </c>
      <c r="H7" s="12">
        <f>'[9]Dia 7 (a)'!$P13</f>
        <v>15.7</v>
      </c>
      <c r="I7" s="12">
        <f>'[9]Dia 8 (a)'!$P13</f>
        <v>17.7</v>
      </c>
      <c r="J7" s="12">
        <f>'[9]Dia 9 (a)'!$P13</f>
        <v>21.8</v>
      </c>
      <c r="K7" s="12">
        <f>'[9]Dia 10 (a)'!$P13</f>
        <v>22.6</v>
      </c>
      <c r="L7" s="12">
        <f>'[9]Dia 11 (a)'!$P13</f>
        <v>16.600000000000001</v>
      </c>
      <c r="M7" s="12">
        <f>'[9]Dia 12 (a)'!$P13</f>
        <v>16.3</v>
      </c>
      <c r="N7" s="12">
        <f>'[9]Dia 13 (a)'!$P13</f>
        <v>18.100000000000001</v>
      </c>
      <c r="O7" s="12">
        <f>'[9]Dia 14 (a)'!$P13</f>
        <v>17.8</v>
      </c>
      <c r="P7" s="12">
        <f>'[9]Dia 15 (a)'!$P13</f>
        <v>16</v>
      </c>
      <c r="Q7" s="12">
        <f>'[9]Dia 16 (a)'!$P13</f>
        <v>16</v>
      </c>
      <c r="R7" s="12">
        <f>'[9]Dia 17 (a)'!$P13</f>
        <v>15.6</v>
      </c>
      <c r="S7" s="12">
        <f>'[9]Dia 18 (a)'!$P13</f>
        <v>18.2</v>
      </c>
      <c r="T7" s="12">
        <f>'[9]Dia 19 (a)'!$P13</f>
        <v>20</v>
      </c>
      <c r="U7" s="12">
        <f>'[9]Dia 20 (a)'!$P13</f>
        <v>22.4</v>
      </c>
      <c r="V7" s="12">
        <f>'[9]Dia 21 (a)'!$P13</f>
        <v>19.399999999999999</v>
      </c>
      <c r="W7" s="12">
        <f>'[9]Dia 22 (a)'!$P13</f>
        <v>21.2</v>
      </c>
      <c r="X7" s="12">
        <f>'[9]Dia 23 (a)'!$P13</f>
        <v>20.7</v>
      </c>
      <c r="Y7" s="12">
        <f>'[9]Dia 24 (a)'!$P13</f>
        <v>18</v>
      </c>
      <c r="Z7" s="12">
        <f>'[9]Dia 25 (a)'!$P13</f>
        <v>18</v>
      </c>
      <c r="AA7" s="12">
        <f>'[9]Dia 26 (a)'!$P13</f>
        <v>17.7</v>
      </c>
      <c r="AB7" s="12">
        <f>'[9]Dia 27 (a)'!$P13</f>
        <v>18.399999999999999</v>
      </c>
      <c r="AC7" s="12">
        <f>'[9]Dia 28 (a)'!$P13</f>
        <v>17.8</v>
      </c>
      <c r="AD7" s="12">
        <f>'[9]Dia 29 (a)'!$P13</f>
        <v>16.399999999999999</v>
      </c>
      <c r="AE7" s="12">
        <f>'[9]Dia 30 (a)'!$P13</f>
        <v>17.2</v>
      </c>
      <c r="AF7" s="13"/>
      <c r="AG7" s="14"/>
    </row>
    <row r="8" spans="1:33" ht="20.100000000000001" customHeight="1">
      <c r="A8" s="11">
        <v>11</v>
      </c>
      <c r="B8" s="12">
        <f>'[9]Dia 1 (a)'!$P14</f>
        <v>22.4</v>
      </c>
      <c r="C8" s="12">
        <f>'[9]Dia 2 (a)'!$P14</f>
        <v>24.2</v>
      </c>
      <c r="D8" s="12">
        <f>'[9]Dia 3 (a)'!$P14</f>
        <v>21.9</v>
      </c>
      <c r="E8" s="12">
        <f>'[9]Dia 4 (a)'!$P14</f>
        <v>15.8</v>
      </c>
      <c r="F8" s="12">
        <f>'[9]Dia 5 (a)'!$P14</f>
        <v>16.600000000000001</v>
      </c>
      <c r="G8" s="12">
        <f>'[9]Dia 6 (a)'!$P14</f>
        <v>18</v>
      </c>
      <c r="H8" s="12">
        <f>'[9]Dia 7 (a)'!$P14</f>
        <v>16</v>
      </c>
      <c r="I8" s="12">
        <f>'[9]Dia 8 (a)'!$P14</f>
        <v>20</v>
      </c>
      <c r="J8" s="12">
        <f>'[9]Dia 9 (a)'!$P14</f>
        <v>24.6</v>
      </c>
      <c r="K8" s="12">
        <f>'[9]Dia 10 (a)'!$P14</f>
        <v>27.2</v>
      </c>
      <c r="L8" s="12">
        <f>'[9]Dia 11 (a)'!$P14</f>
        <v>17.600000000000001</v>
      </c>
      <c r="M8" s="12">
        <f>'[9]Dia 12 (a)'!$P14</f>
        <v>17.2</v>
      </c>
      <c r="N8" s="12">
        <f>'[9]Dia 13 (a)'!$P14</f>
        <v>18.8</v>
      </c>
      <c r="O8" s="12">
        <f>'[9]Dia 14 (a)'!$P14</f>
        <v>17.8</v>
      </c>
      <c r="P8" s="12">
        <f>'[9]Dia 15 (a)'!$P14</f>
        <v>16.399999999999999</v>
      </c>
      <c r="Q8" s="12">
        <f>'[9]Dia 16 (a)'!$P14</f>
        <v>16.2</v>
      </c>
      <c r="R8" s="12">
        <f>'[9]Dia 17 (a)'!$P14</f>
        <v>17</v>
      </c>
      <c r="S8" s="12">
        <f>'[9]Dia 18 (a)'!$P14</f>
        <v>21.8</v>
      </c>
      <c r="T8" s="12">
        <f>'[9]Dia 19 (a)'!$P14</f>
        <v>22.6</v>
      </c>
      <c r="U8" s="12">
        <f>'[9]Dia 20 (a)'!$P14</f>
        <v>24.7</v>
      </c>
      <c r="V8" s="12">
        <f>'[9]Dia 21 (a)'!$P14</f>
        <v>20.5</v>
      </c>
      <c r="W8" s="12">
        <f>'[9]Dia 22 (a)'!$P14</f>
        <v>22.6</v>
      </c>
      <c r="X8" s="12">
        <f>'[9]Dia 23 (a)'!$P14</f>
        <v>23.1</v>
      </c>
      <c r="Y8" s="12">
        <f>'[9]Dia 24 (a)'!$P14</f>
        <v>20.2</v>
      </c>
      <c r="Z8" s="12">
        <f>'[9]Dia 25 (a)'!$P14</f>
        <v>19.2</v>
      </c>
      <c r="AA8" s="12">
        <f>'[9]Dia 26 (a)'!$P14</f>
        <v>18.2</v>
      </c>
      <c r="AB8" s="12">
        <f>'[9]Dia 27 (a)'!$P14</f>
        <v>21</v>
      </c>
      <c r="AC8" s="12">
        <f>'[9]Dia 28 (a)'!$P14</f>
        <v>18.2</v>
      </c>
      <c r="AD8" s="12">
        <f>'[9]Dia 29 (a)'!$P14</f>
        <v>17</v>
      </c>
      <c r="AE8" s="12">
        <f>'[9]Dia 30 (a)'!$P14</f>
        <v>17.8</v>
      </c>
      <c r="AF8" s="13"/>
      <c r="AG8" s="14"/>
    </row>
    <row r="9" spans="1:33" ht="20.100000000000001" customHeight="1">
      <c r="A9" s="11">
        <v>12</v>
      </c>
      <c r="B9" s="12">
        <f>'[9]Dia 1 (a)'!$P15</f>
        <v>25.8</v>
      </c>
      <c r="C9" s="12">
        <f>'[9]Dia 2 (a)'!$P15</f>
        <v>27.2</v>
      </c>
      <c r="D9" s="12">
        <f>'[9]Dia 3 (a)'!$P15</f>
        <v>24.2</v>
      </c>
      <c r="E9" s="12">
        <f>'[9]Dia 4 (a)'!$P15</f>
        <v>16.2</v>
      </c>
      <c r="F9" s="12">
        <f>'[9]Dia 5 (a)'!$P15</f>
        <v>17</v>
      </c>
      <c r="G9" s="12">
        <f>'[9]Dia 6 (a)'!$P15</f>
        <v>20.6</v>
      </c>
      <c r="H9" s="12">
        <f>'[9]Dia 7 (a)'!$P15</f>
        <v>16.100000000000001</v>
      </c>
      <c r="I9" s="12">
        <f>'[9]Dia 8 (a)'!$P15</f>
        <v>21.7</v>
      </c>
      <c r="J9" s="12">
        <f>'[9]Dia 9 (a)'!$P15</f>
        <v>27.8</v>
      </c>
      <c r="K9" s="12">
        <f>'[9]Dia 10 (a)'!$P15</f>
        <v>29</v>
      </c>
      <c r="L9" s="12">
        <f>'[9]Dia 11 (a)'!$P15</f>
        <v>17.600000000000001</v>
      </c>
      <c r="M9" s="12">
        <f>'[9]Dia 12 (a)'!$P15</f>
        <v>17.600000000000001</v>
      </c>
      <c r="N9" s="12">
        <f>'[9]Dia 13 (a)'!$P15</f>
        <v>21.1</v>
      </c>
      <c r="O9" s="12">
        <f>'[9]Dia 14 (a)'!$P15</f>
        <v>18</v>
      </c>
      <c r="P9" s="12">
        <f>'[9]Dia 15 (a)'!$P15</f>
        <v>16.600000000000001</v>
      </c>
      <c r="Q9" s="12">
        <f>'[9]Dia 16 (a)'!$P15</f>
        <v>16.8</v>
      </c>
      <c r="R9" s="12">
        <f>'[9]Dia 17 (a)'!$P15</f>
        <v>18.8</v>
      </c>
      <c r="S9" s="12">
        <f>'[9]Dia 18 (a)'!$P15</f>
        <v>24.6</v>
      </c>
      <c r="T9" s="12">
        <f>'[9]Dia 19 (a)'!$P15</f>
        <v>25.8</v>
      </c>
      <c r="U9" s="12">
        <f>'[9]Dia 20 (a)'!$P15</f>
        <v>26</v>
      </c>
      <c r="V9" s="12">
        <f>'[9]Dia 21 (a)'!$P15</f>
        <v>21.3</v>
      </c>
      <c r="W9" s="12">
        <f>'[9]Dia 22 (a)'!$P15</f>
        <v>22.8</v>
      </c>
      <c r="X9" s="12">
        <f>'[9]Dia 23 (a)'!$P15</f>
        <v>25.6</v>
      </c>
      <c r="Y9" s="12">
        <f>'[9]Dia 24 (a)'!$P15</f>
        <v>26.6</v>
      </c>
      <c r="Z9" s="12">
        <f>'[9]Dia 25 (a)'!$P15</f>
        <v>20.399999999999999</v>
      </c>
      <c r="AA9" s="12">
        <f>'[9]Dia 26 (a)'!$P15</f>
        <v>17.899999999999999</v>
      </c>
      <c r="AB9" s="12">
        <f>'[9]Dia 27 (a)'!$P15</f>
        <v>24</v>
      </c>
      <c r="AC9" s="12">
        <f>'[9]Dia 28 (a)'!$P15</f>
        <v>18.399999999999999</v>
      </c>
      <c r="AD9" s="12">
        <f>'[9]Dia 29 (a)'!$P15</f>
        <v>17.3</v>
      </c>
      <c r="AE9" s="12">
        <f>'[9]Dia 30 (a)'!$P15</f>
        <v>17.8</v>
      </c>
      <c r="AF9" s="13"/>
      <c r="AG9" s="14"/>
    </row>
    <row r="10" spans="1:33" ht="20.100000000000001" customHeight="1">
      <c r="A10" s="11">
        <v>13</v>
      </c>
      <c r="B10" s="12">
        <f>'[9]Dia 1 (a)'!$P16</f>
        <v>28</v>
      </c>
      <c r="C10" s="12">
        <f>'[9]Dia 2 (a)'!$P16</f>
        <v>29.3</v>
      </c>
      <c r="D10" s="12">
        <f>'[9]Dia 3 (a)'!$P16</f>
        <v>25.2</v>
      </c>
      <c r="E10" s="12">
        <f>'[9]Dia 4 (a)'!$P16</f>
        <v>17.5</v>
      </c>
      <c r="F10" s="12">
        <f>'[9]Dia 5 (a)'!$P16</f>
        <v>18</v>
      </c>
      <c r="G10" s="12">
        <f>'[9]Dia 6 (a)'!$P16</f>
        <v>22</v>
      </c>
      <c r="H10" s="12">
        <f>'[9]Dia 7 (a)'!$P16</f>
        <v>16.600000000000001</v>
      </c>
      <c r="I10" s="12">
        <f>'[9]Dia 8 (a)'!$P16</f>
        <v>22.4</v>
      </c>
      <c r="J10" s="12">
        <f>'[9]Dia 9 (a)'!$P16</f>
        <v>30.1</v>
      </c>
      <c r="K10" s="12">
        <f>'[9]Dia 10 (a)'!$P16</f>
        <v>30.6</v>
      </c>
      <c r="L10" s="12">
        <f>'[9]Dia 11 (a)'!$P16</f>
        <v>17.600000000000001</v>
      </c>
      <c r="M10" s="12">
        <f>'[9]Dia 12 (a)'!$P16</f>
        <v>17.7</v>
      </c>
      <c r="N10" s="12">
        <f>'[9]Dia 13 (a)'!$P16</f>
        <v>21.9</v>
      </c>
      <c r="O10" s="12">
        <f>'[9]Dia 14 (a)'!$P16</f>
        <v>18.399999999999999</v>
      </c>
      <c r="P10" s="12">
        <f>'[9]Dia 15 (a)'!$P16</f>
        <v>17.399999999999999</v>
      </c>
      <c r="Q10" s="12">
        <f>'[9]Dia 16 (a)'!$P16</f>
        <v>17.2</v>
      </c>
      <c r="R10" s="12">
        <f>'[9]Dia 17 (a)'!$P16</f>
        <v>20.399999999999999</v>
      </c>
      <c r="S10" s="12">
        <f>'[9]Dia 18 (a)'!$P16</f>
        <v>26.4</v>
      </c>
      <c r="T10" s="12">
        <f>'[9]Dia 19 (a)'!$P16</f>
        <v>28.2</v>
      </c>
      <c r="U10" s="12">
        <f>'[9]Dia 20 (a)'!$P16</f>
        <v>26.8</v>
      </c>
      <c r="V10" s="12">
        <f>'[9]Dia 21 (a)'!$P16</f>
        <v>24.4</v>
      </c>
      <c r="W10" s="12">
        <f>'[9]Dia 22 (a)'!$P16</f>
        <v>22.4</v>
      </c>
      <c r="X10" s="12">
        <f>'[9]Dia 23 (a)'!$P16</f>
        <v>28.2</v>
      </c>
      <c r="Y10" s="12">
        <f>'[9]Dia 24 (a)'!$P16</f>
        <v>26.4</v>
      </c>
      <c r="Z10" s="12">
        <f>'[9]Dia 25 (a)'!$P16</f>
        <v>24.6</v>
      </c>
      <c r="AA10" s="12">
        <f>'[9]Dia 26 (a)'!$P16</f>
        <v>18.2</v>
      </c>
      <c r="AB10" s="12">
        <f>'[9]Dia 27 (a)'!$P16</f>
        <v>24</v>
      </c>
      <c r="AC10" s="12">
        <f>'[9]Dia 28 (a)'!$P16</f>
        <v>18.399999999999999</v>
      </c>
      <c r="AD10" s="12">
        <f>'[9]Dia 29 (a)'!$P16</f>
        <v>17.8</v>
      </c>
      <c r="AE10" s="12">
        <f>'[9]Dia 30 (a)'!$P16</f>
        <v>17.899999999999999</v>
      </c>
      <c r="AF10" s="13"/>
      <c r="AG10" s="14"/>
    </row>
    <row r="11" spans="1:33" ht="20.100000000000001" customHeight="1">
      <c r="A11" s="11">
        <v>14</v>
      </c>
      <c r="B11" s="12">
        <f>'[9]Dia 1 (a)'!$P17</f>
        <v>29.6</v>
      </c>
      <c r="C11" s="12">
        <f>'[9]Dia 2 (a)'!$P17</f>
        <v>31</v>
      </c>
      <c r="D11" s="12">
        <f>'[9]Dia 3 (a)'!$P17</f>
        <v>25.9</v>
      </c>
      <c r="E11" s="12">
        <f>'[9]Dia 4 (a)'!$P17</f>
        <v>17.8</v>
      </c>
      <c r="F11" s="12">
        <f>'[9]Dia 5 (a)'!$P17</f>
        <v>18</v>
      </c>
      <c r="G11" s="12">
        <f>'[9]Dia 6 (a)'!$P17</f>
        <v>21.6</v>
      </c>
      <c r="H11" s="12">
        <f>'[9]Dia 7 (a)'!$P17</f>
        <v>17.5</v>
      </c>
      <c r="I11" s="12">
        <f>'[9]Dia 8 (a)'!$P17</f>
        <v>23.8</v>
      </c>
      <c r="J11" s="12">
        <f>'[9]Dia 9 (a)'!$P17</f>
        <v>31.4</v>
      </c>
      <c r="K11" s="12">
        <f>'[9]Dia 10 (a)'!$P17</f>
        <v>31.2</v>
      </c>
      <c r="L11" s="12">
        <f>'[9]Dia 11 (a)'!$P17</f>
        <v>17.8</v>
      </c>
      <c r="M11" s="12">
        <f>'[9]Dia 12 (a)'!$P17</f>
        <v>17.7</v>
      </c>
      <c r="N11" s="12">
        <f>'[9]Dia 13 (a)'!$P17</f>
        <v>22.8</v>
      </c>
      <c r="O11" s="12">
        <f>'[9]Dia 14 (a)'!$P17</f>
        <v>18.8</v>
      </c>
      <c r="P11" s="12">
        <f>'[9]Dia 15 (a)'!$P17</f>
        <v>17.2</v>
      </c>
      <c r="Q11" s="12">
        <f>'[9]Dia 16 (a)'!$P17</f>
        <v>17.600000000000001</v>
      </c>
      <c r="R11" s="12">
        <f>'[9]Dia 17 (a)'!$P17</f>
        <v>21.4</v>
      </c>
      <c r="S11" s="12">
        <f>'[9]Dia 18 (a)'!$P17</f>
        <v>27.9</v>
      </c>
      <c r="T11" s="12">
        <f>'[9]Dia 19 (a)'!$P17</f>
        <v>29.6</v>
      </c>
      <c r="U11" s="12">
        <f>'[9]Dia 20 (a)'!$P17</f>
        <v>27</v>
      </c>
      <c r="V11" s="12">
        <f>'[9]Dia 21 (a)'!$P17</f>
        <v>24.4</v>
      </c>
      <c r="W11" s="12">
        <f>'[9]Dia 22 (a)'!$P17</f>
        <v>22.4</v>
      </c>
      <c r="X11" s="12">
        <f>'[9]Dia 23 (a)'!$P17</f>
        <v>29.6</v>
      </c>
      <c r="Y11" s="12">
        <f>'[9]Dia 24 (a)'!$P17</f>
        <v>28</v>
      </c>
      <c r="Z11" s="12">
        <f>'[9]Dia 25 (a)'!$P17</f>
        <v>26</v>
      </c>
      <c r="AA11" s="12">
        <f>'[9]Dia 26 (a)'!$P17</f>
        <v>18.399999999999999</v>
      </c>
      <c r="AB11" s="12">
        <f>'[9]Dia 27 (a)'!$P17</f>
        <v>23.6</v>
      </c>
      <c r="AC11" s="12">
        <f>'[9]Dia 28 (a)'!$P17</f>
        <v>18.3</v>
      </c>
      <c r="AD11" s="12">
        <f>'[9]Dia 29 (a)'!$P17</f>
        <v>17.600000000000001</v>
      </c>
      <c r="AE11" s="12">
        <f>'[9]Dia 30 (a)'!$P17</f>
        <v>17.8</v>
      </c>
      <c r="AF11" s="13"/>
      <c r="AG11" s="14"/>
    </row>
    <row r="12" spans="1:33" ht="20.100000000000001" customHeight="1">
      <c r="A12" s="11">
        <v>15</v>
      </c>
      <c r="B12" s="12">
        <f>'[9]Dia 1 (a)'!$P18</f>
        <v>30.2</v>
      </c>
      <c r="C12" s="12">
        <f>'[9]Dia 2 (a)'!$P18</f>
        <v>31.6</v>
      </c>
      <c r="D12" s="12">
        <f>'[9]Dia 3 (a)'!$P18</f>
        <v>25.1</v>
      </c>
      <c r="E12" s="12">
        <f>'[9]Dia 4 (a)'!$P18</f>
        <v>17.399999999999999</v>
      </c>
      <c r="F12" s="12">
        <f>'[9]Dia 5 (a)'!$P18</f>
        <v>18</v>
      </c>
      <c r="G12" s="12">
        <f>'[9]Dia 6 (a)'!$P18</f>
        <v>21.2</v>
      </c>
      <c r="H12" s="12">
        <f>'[9]Dia 7 (a)'!$P18</f>
        <v>18.2</v>
      </c>
      <c r="I12" s="12">
        <f>'[9]Dia 8 (a)'!$P18</f>
        <v>24.2</v>
      </c>
      <c r="J12" s="12">
        <f>'[9]Dia 9 (a)'!$P18</f>
        <v>32</v>
      </c>
      <c r="K12" s="12">
        <f>'[9]Dia 10 (a)'!$P18</f>
        <v>30</v>
      </c>
      <c r="L12" s="12">
        <f>'[9]Dia 11 (a)'!$P18</f>
        <v>17.8</v>
      </c>
      <c r="M12" s="12">
        <f>'[9]Dia 12 (a)'!$P18</f>
        <v>17.8</v>
      </c>
      <c r="N12" s="12">
        <f>'[9]Dia 13 (a)'!$P18</f>
        <v>23.1</v>
      </c>
      <c r="O12" s="12">
        <f>'[9]Dia 14 (a)'!$P18</f>
        <v>19</v>
      </c>
      <c r="P12" s="12">
        <f>'[9]Dia 15 (a)'!$P18</f>
        <v>17.2</v>
      </c>
      <c r="Q12" s="12">
        <f>'[9]Dia 16 (a)'!$P18</f>
        <v>17.399999999999999</v>
      </c>
      <c r="R12" s="12">
        <f>'[9]Dia 17 (a)'!$P18</f>
        <v>22.2</v>
      </c>
      <c r="S12" s="12">
        <f>'[9]Dia 18 (a)'!$P18</f>
        <v>28.1</v>
      </c>
      <c r="T12" s="12">
        <f>'[9]Dia 19 (a)'!$P18</f>
        <v>29.9</v>
      </c>
      <c r="U12" s="12">
        <f>'[9]Dia 20 (a)'!$P18</f>
        <v>26.4</v>
      </c>
      <c r="V12" s="12">
        <f>'[9]Dia 21 (a)'!$P18</f>
        <v>23.4</v>
      </c>
      <c r="W12" s="12">
        <f>'[9]Dia 22 (a)'!$P18</f>
        <v>22.2</v>
      </c>
      <c r="X12" s="12">
        <f>'[9]Dia 23 (a)'!$P18</f>
        <v>30</v>
      </c>
      <c r="Y12" s="12">
        <f>'[9]Dia 24 (a)'!$P18</f>
        <v>28.8</v>
      </c>
      <c r="Z12" s="12">
        <f>'[9]Dia 25 (a)'!$P18</f>
        <v>25</v>
      </c>
      <c r="AA12" s="12">
        <f>'[9]Dia 26 (a)'!$P18</f>
        <v>18.899999999999999</v>
      </c>
      <c r="AB12" s="12">
        <f>'[9]Dia 27 (a)'!$P18</f>
        <v>22.6</v>
      </c>
      <c r="AC12" s="12">
        <f>'[9]Dia 28 (a)'!$P18</f>
        <v>18.2</v>
      </c>
      <c r="AD12" s="12">
        <f>'[9]Dia 29 (a)'!$P18</f>
        <v>17.5</v>
      </c>
      <c r="AE12" s="12">
        <f>'[9]Dia 30 (a)'!$P18</f>
        <v>17.399999999999999</v>
      </c>
      <c r="AF12" s="13"/>
      <c r="AG12" s="14"/>
    </row>
    <row r="13" spans="1:33" ht="20.100000000000001" customHeight="1">
      <c r="A13" s="11">
        <v>16</v>
      </c>
      <c r="B13" s="12">
        <f>'[9]Dia 1 (a)'!$P19</f>
        <v>29.6</v>
      </c>
      <c r="C13" s="12">
        <f>'[9]Dia 2 (a)'!$P19</f>
        <v>31.1</v>
      </c>
      <c r="D13" s="12">
        <f>'[9]Dia 3 (a)'!$P19</f>
        <v>23.8</v>
      </c>
      <c r="E13" s="12">
        <f>'[9]Dia 4 (a)'!$P19</f>
        <v>17</v>
      </c>
      <c r="F13" s="12">
        <f>'[9]Dia 5 (a)'!$P19</f>
        <v>17.5</v>
      </c>
      <c r="G13" s="12">
        <f>'[9]Dia 6 (a)'!$P19</f>
        <v>20.2</v>
      </c>
      <c r="H13" s="12">
        <f>'[9]Dia 7 (a)'!$P19</f>
        <v>18.2</v>
      </c>
      <c r="I13" s="12">
        <f>'[9]Dia 8 (a)'!$P19</f>
        <v>24.8</v>
      </c>
      <c r="J13" s="12">
        <f>'[9]Dia 9 (a)'!$P19</f>
        <v>31.5</v>
      </c>
      <c r="K13" s="12">
        <f>'[9]Dia 10 (a)'!$P19</f>
        <v>27.8</v>
      </c>
      <c r="L13" s="12">
        <f>'[9]Dia 11 (a)'!$P19</f>
        <v>17.7</v>
      </c>
      <c r="M13" s="12">
        <f>'[9]Dia 12 (a)'!$P19</f>
        <v>17.600000000000001</v>
      </c>
      <c r="N13" s="12">
        <f>'[9]Dia 13 (a)'!$P19</f>
        <v>22.6</v>
      </c>
      <c r="O13" s="12">
        <f>'[9]Dia 14 (a)'!$P19</f>
        <v>18.8</v>
      </c>
      <c r="P13" s="12">
        <f>'[9]Dia 15 (a)'!$P19</f>
        <v>17.2</v>
      </c>
      <c r="Q13" s="12">
        <f>'[9]Dia 16 (a)'!$P19</f>
        <v>17.3</v>
      </c>
      <c r="R13" s="12">
        <f>'[9]Dia 17 (a)'!$P19</f>
        <v>21.9</v>
      </c>
      <c r="S13" s="12">
        <f>'[9]Dia 18 (a)'!$P19</f>
        <v>27.5</v>
      </c>
      <c r="T13" s="12">
        <f>'[9]Dia 19 (a)'!$P19</f>
        <v>24.3</v>
      </c>
      <c r="U13" s="12">
        <f>'[9]Dia 20 (a)'!$P19</f>
        <v>26.6</v>
      </c>
      <c r="V13" s="12">
        <f>'[9]Dia 21 (a)'!$P19</f>
        <v>22.2</v>
      </c>
      <c r="W13" s="12">
        <f>'[9]Dia 22 (a)'!$P19</f>
        <v>22.2</v>
      </c>
      <c r="X13" s="12">
        <f>'[9]Dia 23 (a)'!$P19</f>
        <v>29.2</v>
      </c>
      <c r="Y13" s="12">
        <f>'[9]Dia 24 (a)'!$P19</f>
        <v>28.2</v>
      </c>
      <c r="Z13" s="12">
        <f>'[9]Dia 25 (a)'!$P19</f>
        <v>24</v>
      </c>
      <c r="AA13" s="12">
        <f>'[9]Dia 26 (a)'!$P19</f>
        <v>18.5</v>
      </c>
      <c r="AB13" s="12">
        <f>'[9]Dia 27 (a)'!$P19</f>
        <v>21.4</v>
      </c>
      <c r="AC13" s="12">
        <f>'[9]Dia 28 (a)'!$P19</f>
        <v>17.8</v>
      </c>
      <c r="AD13" s="12">
        <f>'[9]Dia 29 (a)'!$P19</f>
        <v>16</v>
      </c>
      <c r="AE13" s="12">
        <f>'[9]Dia 30 (a)'!$P19</f>
        <v>17.2</v>
      </c>
      <c r="AF13" s="13"/>
      <c r="AG13" s="14"/>
    </row>
    <row r="14" spans="1:33" ht="20.100000000000001" customHeight="1">
      <c r="A14" s="11">
        <v>17</v>
      </c>
      <c r="B14" s="12">
        <f>'[9]Dia 1 (a)'!$P20</f>
        <v>27</v>
      </c>
      <c r="C14" s="12">
        <f>'[9]Dia 2 (a)'!$P20</f>
        <v>28.5</v>
      </c>
      <c r="D14" s="12">
        <f>'[9]Dia 3 (a)'!$P20</f>
        <v>22.4</v>
      </c>
      <c r="E14" s="12">
        <f>'[9]Dia 4 (a)'!$P20</f>
        <v>16.600000000000001</v>
      </c>
      <c r="F14" s="12">
        <f>'[9]Dia 5 (a)'!$P20</f>
        <v>17.100000000000001</v>
      </c>
      <c r="G14" s="12">
        <f>'[9]Dia 6 (a)'!$P20</f>
        <v>19.399999999999999</v>
      </c>
      <c r="H14" s="12">
        <f>'[9]Dia 7 (a)'!$P20</f>
        <v>18.100000000000001</v>
      </c>
      <c r="I14" s="12">
        <f>'[9]Dia 8 (a)'!$P20</f>
        <v>23.9</v>
      </c>
      <c r="J14" s="12">
        <f>'[9]Dia 9 (a)'!$P20</f>
        <v>29.7</v>
      </c>
      <c r="K14" s="12">
        <f>'[9]Dia 10 (a)'!$P20</f>
        <v>26.2</v>
      </c>
      <c r="L14" s="12">
        <f>'[9]Dia 11 (a)'!$P20</f>
        <v>17.3</v>
      </c>
      <c r="M14" s="12">
        <f>'[9]Dia 12 (a)'!$P20</f>
        <v>17.2</v>
      </c>
      <c r="N14" s="12">
        <f>'[9]Dia 13 (a)'!$P20</f>
        <v>22</v>
      </c>
      <c r="O14" s="12">
        <f>'[9]Dia 14 (a)'!$P20</f>
        <v>18.2</v>
      </c>
      <c r="P14" s="12">
        <f>'[9]Dia 15 (a)'!$P20</f>
        <v>17</v>
      </c>
      <c r="Q14" s="12">
        <f>'[9]Dia 16 (a)'!$P20</f>
        <v>16.8</v>
      </c>
      <c r="R14" s="12">
        <f>'[9]Dia 17 (a)'!$P20</f>
        <v>20.399999999999999</v>
      </c>
      <c r="S14" s="12">
        <f>'[9]Dia 18 (a)'!$P20</f>
        <v>24.7</v>
      </c>
      <c r="T14" s="12">
        <f>'[9]Dia 19 (a)'!$P20</f>
        <v>27.2</v>
      </c>
      <c r="U14" s="12">
        <f>'[9]Dia 20 (a)'!$P20</f>
        <v>25.4</v>
      </c>
      <c r="V14" s="12">
        <f>'[9]Dia 21 (a)'!$P20</f>
        <v>21.4</v>
      </c>
      <c r="W14" s="12">
        <f>'[9]Dia 22 (a)'!$P20</f>
        <v>21.8</v>
      </c>
      <c r="X14" s="12">
        <f>'[9]Dia 23 (a)'!$P20</f>
        <v>26.8</v>
      </c>
      <c r="Y14" s="12">
        <f>'[9]Dia 24 (a)'!$P20</f>
        <v>26</v>
      </c>
      <c r="Z14" s="12">
        <f>'[9]Dia 25 (a)'!$P20</f>
        <v>22.6</v>
      </c>
      <c r="AA14" s="12">
        <f>'[9]Dia 26 (a)'!$P20</f>
        <v>18.3</v>
      </c>
      <c r="AB14" s="12">
        <f>'[9]Dia 27 (a)'!$P20</f>
        <v>20.6</v>
      </c>
      <c r="AC14" s="12">
        <f>'[9]Dia 28 (a)'!$P20</f>
        <v>17.3</v>
      </c>
      <c r="AD14" s="12">
        <f>'[9]Dia 29 (a)'!$P20</f>
        <v>16</v>
      </c>
      <c r="AE14" s="12">
        <f>'[9]Dia 30 (a)'!$P20</f>
        <v>17</v>
      </c>
      <c r="AF14" s="13"/>
      <c r="AG14" s="14"/>
    </row>
    <row r="15" spans="1:33" ht="20.100000000000001" customHeight="1">
      <c r="A15" s="11">
        <v>18</v>
      </c>
      <c r="B15" s="12">
        <f>'[9]Dia 1 (a)'!$P21</f>
        <v>25.6</v>
      </c>
      <c r="C15" s="12">
        <f>'[9]Dia 2 (a)'!$P21</f>
        <v>26.8</v>
      </c>
      <c r="D15" s="12">
        <f>'[9]Dia 3 (a)'!$P21</f>
        <v>21.4</v>
      </c>
      <c r="E15" s="12">
        <f>'[9]Dia 4 (a)'!$P21</f>
        <v>16.2</v>
      </c>
      <c r="F15" s="12">
        <f>'[9]Dia 5 (a)'!$P21</f>
        <v>16.600000000000001</v>
      </c>
      <c r="G15" s="12">
        <f>'[9]Dia 6 (a)'!$P21</f>
        <v>18.8</v>
      </c>
      <c r="H15" s="12">
        <f>'[9]Dia 7 (a)'!$P21</f>
        <v>17.7</v>
      </c>
      <c r="I15" s="12">
        <f>'[9]Dia 8 (a)'!$P21</f>
        <v>22.5</v>
      </c>
      <c r="J15" s="12">
        <f>'[9]Dia 9 (a)'!$P21</f>
        <v>27.6</v>
      </c>
      <c r="K15" s="12">
        <f>'[9]Dia 10 (a)'!$P21</f>
        <v>24.8</v>
      </c>
      <c r="L15" s="12">
        <f>'[9]Dia 11 (a)'!$P21</f>
        <v>16.899999999999999</v>
      </c>
      <c r="M15" s="12">
        <f>'[9]Dia 12 (a)'!$P21</f>
        <v>17</v>
      </c>
      <c r="N15" s="12">
        <f>'[9]Dia 13 (a)'!$P21</f>
        <v>21.4</v>
      </c>
      <c r="O15" s="12">
        <f>'[9]Dia 14 (a)'!$P21</f>
        <v>17.7</v>
      </c>
      <c r="P15" s="12">
        <f>'[9]Dia 15 (a)'!$P21</f>
        <v>16.8</v>
      </c>
      <c r="Q15" s="12">
        <f>'[9]Dia 16 (a)'!$P21</f>
        <v>16.399999999999999</v>
      </c>
      <c r="R15" s="12">
        <f>'[9]Dia 17 (a)'!$P21</f>
        <v>18.3</v>
      </c>
      <c r="S15" s="12">
        <f>'[9]Dia 18 (a)'!$P21</f>
        <v>22.9</v>
      </c>
      <c r="T15" s="12">
        <f>'[9]Dia 19 (a)'!$P21</f>
        <v>23.2</v>
      </c>
      <c r="U15" s="12">
        <f>'[9]Dia 20 (a)'!$P21</f>
        <v>24</v>
      </c>
      <c r="V15" s="12">
        <f>'[9]Dia 21 (a)'!$P21</f>
        <v>20.5</v>
      </c>
      <c r="W15" s="12">
        <f>'[9]Dia 22 (a)'!$P21</f>
        <v>21.4</v>
      </c>
      <c r="X15" s="12">
        <f>'[9]Dia 23 (a)'!$P21</f>
        <v>24.2</v>
      </c>
      <c r="Y15" s="12">
        <f>'[9]Dia 24 (a)'!$P21</f>
        <v>24</v>
      </c>
      <c r="Z15" s="12">
        <f>'[9]Dia 25 (a)'!$P21</f>
        <v>21.6</v>
      </c>
      <c r="AA15" s="12">
        <f>'[9]Dia 26 (a)'!$P21</f>
        <v>18.100000000000001</v>
      </c>
      <c r="AB15" s="12">
        <f>'[9]Dia 27 (a)'!$P21</f>
        <v>19.8</v>
      </c>
      <c r="AC15" s="12">
        <f>'[9]Dia 28 (a)'!$P21</f>
        <v>16.8</v>
      </c>
      <c r="AD15" s="12">
        <f>'[9]Dia 29 (a)'!$P21</f>
        <v>16.2</v>
      </c>
      <c r="AE15" s="12">
        <f>'[9]Dia 30 (a)'!$P21</f>
        <v>16.8</v>
      </c>
      <c r="AF15" s="13"/>
      <c r="AG15" s="14"/>
    </row>
    <row r="16" spans="1:33" ht="20.100000000000001" customHeight="1">
      <c r="A16" s="11">
        <v>19</v>
      </c>
      <c r="B16" s="12">
        <f>'[9]Dia 1 (a)'!$P22</f>
        <v>23.4</v>
      </c>
      <c r="C16" s="12">
        <f>'[9]Dia 2 (a)'!$P22</f>
        <v>25</v>
      </c>
      <c r="D16" s="12">
        <f>'[9]Dia 3 (a)'!$P22</f>
        <v>20.7</v>
      </c>
      <c r="E16" s="12">
        <f>'[9]Dia 4 (a)'!$P22</f>
        <v>15.8</v>
      </c>
      <c r="F16" s="12">
        <f>'[9]Dia 5 (a)'!$P22</f>
        <v>16.2</v>
      </c>
      <c r="G16" s="12">
        <f>'[9]Dia 6 (a)'!$P22</f>
        <v>18.2</v>
      </c>
      <c r="H16" s="12">
        <f>'[9]Dia 7 (a)'!$P22</f>
        <v>17.399999999999999</v>
      </c>
      <c r="I16" s="12">
        <f>'[9]Dia 8 (a)'!$P22</f>
        <v>21.1</v>
      </c>
      <c r="J16" s="12">
        <f>'[9]Dia 9 (a)'!$P22</f>
        <v>26.1</v>
      </c>
      <c r="K16" s="12">
        <f>'[9]Dia 10 (a)'!$P22</f>
        <v>23.7</v>
      </c>
      <c r="L16" s="12">
        <f>'[9]Dia 11 (a)'!$P22</f>
        <v>16.600000000000001</v>
      </c>
      <c r="M16" s="12">
        <f>'[9]Dia 12 (a)'!$P22</f>
        <v>16.8</v>
      </c>
      <c r="N16" s="12">
        <f>'[9]Dia 13 (a)'!$P22</f>
        <v>20.6</v>
      </c>
      <c r="O16" s="12">
        <f>'[9]Dia 14 (a)'!$P22</f>
        <v>17.600000000000001</v>
      </c>
      <c r="P16" s="12">
        <f>'[9]Dia 15 (a)'!$P22</f>
        <v>16.5</v>
      </c>
      <c r="Q16" s="12">
        <f>'[9]Dia 16 (a)'!$P22</f>
        <v>15.9</v>
      </c>
      <c r="R16" s="12">
        <f>'[9]Dia 17 (a)'!$P22</f>
        <v>17.3</v>
      </c>
      <c r="S16" s="12">
        <f>'[9]Dia 18 (a)'!$P22</f>
        <v>21.5</v>
      </c>
      <c r="T16" s="12">
        <f>'[9]Dia 19 (a)'!$P22</f>
        <v>23.5</v>
      </c>
      <c r="U16" s="12">
        <f>'[9]Dia 20 (a)'!$P22</f>
        <v>23</v>
      </c>
      <c r="V16" s="12">
        <f>'[9]Dia 21 (a)'!$P22</f>
        <v>19.8</v>
      </c>
      <c r="W16" s="12">
        <f>'[9]Dia 22 (a)'!$P22</f>
        <v>20.7</v>
      </c>
      <c r="X16" s="12">
        <f>'[9]Dia 23 (a)'!$P22</f>
        <v>22.4</v>
      </c>
      <c r="Y16" s="12">
        <f>'[9]Dia 24 (a)'!$P22</f>
        <v>22.6</v>
      </c>
      <c r="Z16" s="12">
        <f>'[9]Dia 25 (a)'!$P22</f>
        <v>20.8</v>
      </c>
      <c r="AA16" s="12">
        <f>'[9]Dia 26 (a)'!$P22</f>
        <v>17.8</v>
      </c>
      <c r="AB16" s="12">
        <f>'[9]Dia 27 (a)'!$P22</f>
        <v>19.3</v>
      </c>
      <c r="AC16" s="12">
        <f>'[9]Dia 28 (a)'!$P22</f>
        <v>16.5</v>
      </c>
      <c r="AD16" s="12">
        <f>'[9]Dia 29 (a)'!$P22</f>
        <v>16</v>
      </c>
      <c r="AE16" s="12">
        <f>'[9]Dia 30 (a)'!$P22</f>
        <v>16.600000000000001</v>
      </c>
      <c r="AF16" s="13"/>
      <c r="AG16" s="14"/>
    </row>
    <row r="17" spans="1:33" ht="20.100000000000001" customHeight="1">
      <c r="A17" s="11">
        <v>20</v>
      </c>
      <c r="B17" s="12">
        <f>'[9]Dia 1 (a)'!$P23</f>
        <v>22.2</v>
      </c>
      <c r="C17" s="12">
        <f>'[9]Dia 2 (a)'!$P23</f>
        <v>23.6</v>
      </c>
      <c r="D17" s="12">
        <f>'[9]Dia 3 (a)'!$P23</f>
        <v>19.7</v>
      </c>
      <c r="E17" s="12">
        <f>'[9]Dia 4 (a)'!$P23</f>
        <v>15.5</v>
      </c>
      <c r="F17" s="12">
        <f>'[9]Dia 5 (a)'!$P23</f>
        <v>16</v>
      </c>
      <c r="G17" s="12">
        <f>'[9]Dia 6 (a)'!$P23</f>
        <v>17.7</v>
      </c>
      <c r="H17" s="12">
        <f>'[9]Dia 7 (a)'!$P23</f>
        <v>17</v>
      </c>
      <c r="I17" s="12">
        <f>'[9]Dia 8 (a)'!$P23</f>
        <v>20.5</v>
      </c>
      <c r="J17" s="12">
        <f>'[9]Dia 9 (a)'!$P23</f>
        <v>24.8</v>
      </c>
      <c r="K17" s="12">
        <f>'[9]Dia 10 (a)'!$P23</f>
        <v>22.7</v>
      </c>
      <c r="L17" s="12">
        <f>'[9]Dia 11 (a)'!$P23</f>
        <v>16.3</v>
      </c>
      <c r="M17" s="12">
        <f>'[9]Dia 12 (a)'!$P23</f>
        <v>16.600000000000001</v>
      </c>
      <c r="N17" s="12">
        <f>'[9]Dia 13 (a)'!$P23</f>
        <v>20.2</v>
      </c>
      <c r="O17" s="12">
        <f>'[9]Dia 14 (a)'!$P23</f>
        <v>17.3</v>
      </c>
      <c r="P17" s="12">
        <f>'[9]Dia 15 (a)'!$P23</f>
        <v>16.600000000000001</v>
      </c>
      <c r="Q17" s="12">
        <f>'[9]Dia 16 (a)'!$P23</f>
        <v>15.6</v>
      </c>
      <c r="R17" s="12">
        <f>'[9]Dia 17 (a)'!$P23</f>
        <v>16.399999999999999</v>
      </c>
      <c r="S17" s="12">
        <f>'[9]Dia 18 (a)'!$P23</f>
        <v>20.6</v>
      </c>
      <c r="T17" s="12">
        <f>'[9]Dia 19 (a)'!$P23</f>
        <v>22.8</v>
      </c>
      <c r="U17" s="12">
        <f>'[9]Dia 20 (a)'!$P23</f>
        <v>22</v>
      </c>
      <c r="V17" s="12">
        <f>'[9]Dia 21 (a)'!$P23</f>
        <v>19.399999999999999</v>
      </c>
      <c r="W17" s="12">
        <f>'[9]Dia 22 (a)'!$P23</f>
        <v>20.2</v>
      </c>
      <c r="X17" s="12">
        <f>'[9]Dia 23 (a)'!$P23</f>
        <v>20.7</v>
      </c>
      <c r="Y17" s="12">
        <f>'[9]Dia 24 (a)'!$P23</f>
        <v>21.4</v>
      </c>
      <c r="Z17" s="12">
        <f>'[9]Dia 25 (a)'!$P23</f>
        <v>20.2</v>
      </c>
      <c r="AA17" s="12">
        <f>'[9]Dia 26 (a)'!$P23</f>
        <v>17.7</v>
      </c>
      <c r="AB17" s="12">
        <f>'[9]Dia 27 (a)'!$P23</f>
        <v>18.8</v>
      </c>
      <c r="AC17" s="12">
        <f>'[9]Dia 28 (a)'!$P23</f>
        <v>16.2</v>
      </c>
      <c r="AD17" s="12">
        <f>'[9]Dia 29 (a)'!$P23</f>
        <v>15.6</v>
      </c>
      <c r="AE17" s="12">
        <f>'[9]Dia 30 (a)'!$P23</f>
        <v>16.399999999999999</v>
      </c>
      <c r="AF17" s="13"/>
      <c r="AG17" s="14"/>
    </row>
    <row r="18" spans="1:33" ht="20.100000000000001" customHeight="1">
      <c r="A18" s="11">
        <v>21</v>
      </c>
      <c r="B18" s="12">
        <f>'[9]Dia 1 (a)'!$P24</f>
        <v>21</v>
      </c>
      <c r="C18" s="12">
        <f>'[9]Dia 2 (a)'!$P24</f>
        <v>22.8</v>
      </c>
      <c r="D18" s="12">
        <f>'[9]Dia 3 (a)'!$P24</f>
        <v>19.100000000000001</v>
      </c>
      <c r="E18" s="12">
        <f>'[9]Dia 4 (a)'!$P24</f>
        <v>15.3</v>
      </c>
      <c r="F18" s="12">
        <f>'[9]Dia 5 (a)'!$P24</f>
        <v>15.8</v>
      </c>
      <c r="G18" s="12">
        <f>'[9]Dia 6 (a)'!$P24</f>
        <v>17.399999999999999</v>
      </c>
      <c r="H18" s="12">
        <f>'[9]Dia 7 (a)'!$P24</f>
        <v>16.399999999999999</v>
      </c>
      <c r="I18" s="12">
        <f>'[9]Dia 8 (a)'!$P24</f>
        <v>19.600000000000001</v>
      </c>
      <c r="J18" s="12">
        <f>'[9]Dia 9 (a)'!$P24</f>
        <v>23.6</v>
      </c>
      <c r="K18" s="12">
        <f>'[9]Dia 10 (a)'!$P24</f>
        <v>21.8</v>
      </c>
      <c r="L18" s="12">
        <f>'[9]Dia 11 (a)'!$P24</f>
        <v>16</v>
      </c>
      <c r="M18" s="12">
        <f>'[9]Dia 12 (a)'!$P24</f>
        <v>16.399999999999999</v>
      </c>
      <c r="N18" s="12">
        <f>'[9]Dia 13 (a)'!$P24</f>
        <v>19.8</v>
      </c>
      <c r="O18" s="12">
        <f>'[9]Dia 14 (a)'!$P24</f>
        <v>17.100000000000001</v>
      </c>
      <c r="P18" s="12">
        <f>'[9]Dia 15 (a)'!$P24</f>
        <v>16.2</v>
      </c>
      <c r="Q18" s="12">
        <f>'[9]Dia 16 (a)'!$P24</f>
        <v>15.4</v>
      </c>
      <c r="R18" s="12">
        <f>'[9]Dia 17 (a)'!$P24</f>
        <v>15.7</v>
      </c>
      <c r="S18" s="12">
        <f>'[9]Dia 18 (a)'!$P24</f>
        <v>19.7</v>
      </c>
      <c r="T18" s="12">
        <f>'[9]Dia 19 (a)'!$P24</f>
        <v>21.6</v>
      </c>
      <c r="U18" s="12">
        <f>'[9]Dia 20 (a)'!$P24</f>
        <v>21.2</v>
      </c>
      <c r="V18" s="12">
        <f>'[9]Dia 21 (a)'!$P24</f>
        <v>19</v>
      </c>
      <c r="W18" s="12">
        <f>'[9]Dia 22 (a)'!$P24</f>
        <v>19.5</v>
      </c>
      <c r="X18" s="12">
        <f>'[9]Dia 23 (a)'!$P24</f>
        <v>19.399999999999999</v>
      </c>
      <c r="Y18" s="12">
        <f>'[9]Dia 24 (a)'!$P24</f>
        <v>20</v>
      </c>
      <c r="Z18" s="12">
        <f>'[9]Dia 25 (a)'!$P24</f>
        <v>19.8</v>
      </c>
      <c r="AA18" s="12">
        <f>'[9]Dia 26 (a)'!$P24</f>
        <v>17.600000000000001</v>
      </c>
      <c r="AB18" s="12">
        <f>'[9]Dia 27 (a)'!$P24</f>
        <v>18.600000000000001</v>
      </c>
      <c r="AC18" s="12">
        <f>'[9]Dia 28 (a)'!$P24</f>
        <v>16.100000000000001</v>
      </c>
      <c r="AD18" s="12">
        <f>'[9]Dia 29 (a)'!$P24</f>
        <v>15.6</v>
      </c>
      <c r="AE18" s="12">
        <f>'[9]Dia 30 (a)'!$P24</f>
        <v>16.399999999999999</v>
      </c>
      <c r="AF18" s="13"/>
      <c r="AG18" s="14"/>
    </row>
    <row r="19" spans="1:33" ht="20.100000000000001" customHeight="1">
      <c r="A19" s="11">
        <v>22</v>
      </c>
      <c r="B19" s="12">
        <f>'[9]Dia 1 (a)'!$P25</f>
        <v>20</v>
      </c>
      <c r="C19" s="12">
        <f>'[9]Dia 2 (a)'!$P25</f>
        <v>21.8</v>
      </c>
      <c r="D19" s="12">
        <f>'[9]Dia 3 (a)'!$P25</f>
        <v>18.399999999999999</v>
      </c>
      <c r="E19" s="12">
        <f>'[9]Dia 4 (a)'!$P25</f>
        <v>15.2</v>
      </c>
      <c r="F19" s="12">
        <f>'[9]Dia 5 (a)'!$P25</f>
        <v>15.6</v>
      </c>
      <c r="G19" s="12">
        <f>'[9]Dia 6 (a)'!$P25</f>
        <v>17.100000000000001</v>
      </c>
      <c r="H19" s="12">
        <f>'[9]Dia 7 (a)'!$P25</f>
        <v>16.2</v>
      </c>
      <c r="I19" s="12">
        <f>'[9]Dia 8 (a)'!$P25</f>
        <v>19</v>
      </c>
      <c r="J19" s="12">
        <f>'[9]Dia 9 (a)'!$P25</f>
        <v>22.8</v>
      </c>
      <c r="K19" s="12">
        <f>'[9]Dia 10 (a)'!$P25</f>
        <v>21</v>
      </c>
      <c r="L19" s="12">
        <f>'[9]Dia 11 (a)'!$P25</f>
        <v>15.9</v>
      </c>
      <c r="M19" s="12">
        <f>'[9]Dia 12 (a)'!$P25</f>
        <v>16.2</v>
      </c>
      <c r="N19" s="12">
        <f>'[9]Dia 13 (a)'!$P25</f>
        <v>19.399999999999999</v>
      </c>
      <c r="O19" s="12">
        <f>'[9]Dia 14 (a)'!$P25</f>
        <v>16.8</v>
      </c>
      <c r="P19" s="12">
        <f>'[9]Dia 15 (a)'!$P25</f>
        <v>16.100000000000001</v>
      </c>
      <c r="Q19" s="12">
        <f>'[9]Dia 16 (a)'!$P25</f>
        <v>15.2</v>
      </c>
      <c r="R19" s="12">
        <f>'[9]Dia 17 (a)'!$P25</f>
        <v>15.1</v>
      </c>
      <c r="S19" s="12">
        <f>'[9]Dia 18 (a)'!$P25</f>
        <v>19.100000000000001</v>
      </c>
      <c r="T19" s="12">
        <f>'[9]Dia 19 (a)'!$P25</f>
        <v>21.1</v>
      </c>
      <c r="U19" s="12">
        <f>'[9]Dia 20 (a)'!$P25</f>
        <v>20.6</v>
      </c>
      <c r="V19" s="12">
        <f>'[9]Dia 21 (a)'!$P25</f>
        <v>18.7</v>
      </c>
      <c r="W19" s="12">
        <f>'[9]Dia 22 (a)'!$P25</f>
        <v>19.100000000000001</v>
      </c>
      <c r="X19" s="12">
        <f>'[9]Dia 23 (a)'!$P25</f>
        <v>18.5</v>
      </c>
      <c r="Y19" s="12">
        <f>'[9]Dia 24 (a)'!$P25</f>
        <v>20</v>
      </c>
      <c r="Z19" s="12">
        <f>'[9]Dia 25 (a)'!$P25</f>
        <v>19.399999999999999</v>
      </c>
      <c r="AA19" s="12">
        <f>'[9]Dia 26 (a)'!$P25</f>
        <v>17.399999999999999</v>
      </c>
      <c r="AB19" s="12">
        <f>'[9]Dia 27 (a)'!$P25</f>
        <v>18.3</v>
      </c>
      <c r="AC19" s="12">
        <f>'[9]Dia 28 (a)'!$P25</f>
        <v>15.9</v>
      </c>
      <c r="AD19" s="12">
        <f>'[9]Dia 29 (a)'!$P25</f>
        <v>15.4</v>
      </c>
      <c r="AE19" s="12">
        <f>'[9]Dia 30 (a)'!$P25</f>
        <v>16.399999999999999</v>
      </c>
      <c r="AF19" s="13"/>
      <c r="AG19" s="14"/>
    </row>
    <row r="20" spans="1:33" ht="20.100000000000001" customHeight="1">
      <c r="A20" s="11">
        <v>23</v>
      </c>
      <c r="B20" s="12">
        <f>'[9]Dia 1 (a)'!$P26</f>
        <v>19</v>
      </c>
      <c r="C20" s="12">
        <f>'[9]Dia 2 (a)'!$P26</f>
        <v>21.1</v>
      </c>
      <c r="D20" s="12">
        <f>'[9]Dia 3 (a)'!$P26</f>
        <v>17.8</v>
      </c>
      <c r="E20" s="12">
        <f>'[9]Dia 4 (a)'!$P26</f>
        <v>14.9</v>
      </c>
      <c r="F20" s="12">
        <f>'[9]Dia 5 (a)'!$P26</f>
        <v>15.4</v>
      </c>
      <c r="G20" s="12">
        <f>'[9]Dia 6 (a)'!$P26</f>
        <v>16.8</v>
      </c>
      <c r="H20" s="12">
        <f>'[9]Dia 7 (a)'!$P26</f>
        <v>15.8</v>
      </c>
      <c r="I20" s="12">
        <f>'[9]Dia 8 (a)'!$P26</f>
        <v>18.600000000000001</v>
      </c>
      <c r="J20" s="12">
        <f>'[9]Dia 9 (a)'!$P26</f>
        <v>21.9</v>
      </c>
      <c r="K20" s="12">
        <f>'[9]Dia 10 (a)'!$P26</f>
        <v>20.399999999999999</v>
      </c>
      <c r="L20" s="12">
        <f>'[9]Dia 11 (a)'!$P26</f>
        <v>15.8</v>
      </c>
      <c r="M20" s="12">
        <f>'[9]Dia 12 (a)'!$P26</f>
        <v>16</v>
      </c>
      <c r="N20" s="12">
        <f>'[9]Dia 13 (a)'!$P26</f>
        <v>19</v>
      </c>
      <c r="O20" s="12">
        <f>'[9]Dia 14 (a)'!$P26</f>
        <v>16.8</v>
      </c>
      <c r="P20" s="12">
        <f>'[9]Dia 15 (a)'!$P26</f>
        <v>15.8</v>
      </c>
      <c r="Q20" s="12">
        <f>'[9]Dia 16 (a)'!$P26</f>
        <v>14.9</v>
      </c>
      <c r="R20" s="12">
        <f>'[9]Dia 17 (a)'!$P26</f>
        <v>14.5</v>
      </c>
      <c r="S20" s="12">
        <f>'[9]Dia 18 (a)'!$P26</f>
        <v>18.3</v>
      </c>
      <c r="T20" s="12">
        <f>'[9]Dia 19 (a)'!$P26</f>
        <v>20</v>
      </c>
      <c r="U20" s="12">
        <f>'[9]Dia 20 (a)'!$P26</f>
        <v>20</v>
      </c>
      <c r="V20" s="12">
        <f>'[9]Dia 21 (a)'!$P26</f>
        <v>18.3</v>
      </c>
      <c r="W20" s="12">
        <f>'[9]Dia 22 (a)'!$P26</f>
        <v>18.600000000000001</v>
      </c>
      <c r="X20" s="12">
        <f>'[9]Dia 23 (a)'!$P26</f>
        <v>17.8</v>
      </c>
      <c r="Y20" s="12">
        <f>'[9]Dia 24 (a)'!$P26</f>
        <v>19.399999999999999</v>
      </c>
      <c r="Z20" s="12">
        <f>'[9]Dia 25 (a)'!$P26</f>
        <v>19</v>
      </c>
      <c r="AA20" s="12">
        <f>'[9]Dia 26 (a)'!$P26</f>
        <v>17.2</v>
      </c>
      <c r="AB20" s="12">
        <f>'[9]Dia 27 (a)'!$P26</f>
        <v>18.100000000000001</v>
      </c>
      <c r="AC20" s="12">
        <f>'[9]Dia 28 (a)'!$P26</f>
        <v>15.8</v>
      </c>
      <c r="AD20" s="12">
        <f>'[9]Dia 29 (a)'!$P26</f>
        <v>15.4</v>
      </c>
      <c r="AE20" s="12">
        <f>'[9]Dia 30 (a)'!$P26</f>
        <v>16.399999999999999</v>
      </c>
      <c r="AF20" s="13"/>
      <c r="AG20" s="14"/>
    </row>
    <row r="21" spans="1:33" ht="20.100000000000001" customHeight="1" thickBot="1">
      <c r="A21" s="16">
        <v>24</v>
      </c>
      <c r="B21" s="17">
        <f>'[9]Dia 1 (a)'!$P27</f>
        <v>18.600000000000001</v>
      </c>
      <c r="C21" s="17">
        <f>'[9]Dia 2 (a)'!$P27</f>
        <v>21.5</v>
      </c>
      <c r="D21" s="17">
        <f>'[9]Dia 3 (a)'!$P27</f>
        <v>16.899999999999999</v>
      </c>
      <c r="E21" s="17">
        <f>'[9]Dia 4 (a)'!$P27</f>
        <v>14.6</v>
      </c>
      <c r="F21" s="17">
        <f>'[9]Dia 5 (a)'!$P27</f>
        <v>15.4</v>
      </c>
      <c r="G21" s="17">
        <f>'[9]Dia 6 (a)'!$P27</f>
        <v>16.600000000000001</v>
      </c>
      <c r="H21" s="17">
        <f>'[9]Dia 7 (a)'!$P27</f>
        <v>15.7</v>
      </c>
      <c r="I21" s="17">
        <f>'[9]Dia 8 (a)'!$P27</f>
        <v>18</v>
      </c>
      <c r="J21" s="17">
        <f>'[9]Dia 9 (a)'!$P27</f>
        <v>21.2</v>
      </c>
      <c r="K21" s="17">
        <f>'[9]Dia 10 (a)'!$P27</f>
        <v>19.7</v>
      </c>
      <c r="L21" s="17">
        <f>'[9]Dia 11 (a)'!$P27</f>
        <v>15.6</v>
      </c>
      <c r="M21" s="17">
        <f>'[9]Dia 12 (a)'!$P27</f>
        <v>16</v>
      </c>
      <c r="N21" s="17">
        <f>'[9]Dia 13 (a)'!$P27</f>
        <v>19</v>
      </c>
      <c r="O21" s="17">
        <f>'[9]Dia 14 (a)'!$P27</f>
        <v>16.7</v>
      </c>
      <c r="P21" s="17">
        <f>'[9]Dia 15 (a)'!$P27</f>
        <v>15.8</v>
      </c>
      <c r="Q21" s="17">
        <f>'[9]Dia 16 (a)'!$P27</f>
        <v>14.7</v>
      </c>
      <c r="R21" s="17">
        <f>'[9]Dia 17 (a)'!$P27</f>
        <v>14.2</v>
      </c>
      <c r="S21" s="17">
        <f>'[9]Dia 18 (a)'!$P27</f>
        <v>17.399999999999999</v>
      </c>
      <c r="T21" s="17">
        <f>'[9]Dia 19 (a)'!$P27</f>
        <v>19.7</v>
      </c>
      <c r="U21" s="17">
        <f>'[9]Dia 20 (a)'!$P27</f>
        <v>19.600000000000001</v>
      </c>
      <c r="V21" s="17">
        <f>'[9]Dia 21 (a)'!$P27</f>
        <v>18</v>
      </c>
      <c r="W21" s="17">
        <f>'[9]Dia 22 (a)'!$P27</f>
        <v>18.3</v>
      </c>
      <c r="X21" s="17">
        <f>'[9]Dia 23 (a)'!$P27</f>
        <v>17</v>
      </c>
      <c r="Y21" s="17">
        <f>'[9]Dia 24 (a)'!$P27</f>
        <v>19</v>
      </c>
      <c r="Z21" s="17">
        <f>'[9]Dia 25 (a)'!$P27</f>
        <v>18.8</v>
      </c>
      <c r="AA21" s="17">
        <f>'[9]Dia 26 (a)'!$P27</f>
        <v>17.100000000000001</v>
      </c>
      <c r="AB21" s="17">
        <f>'[9]Dia 27 (a)'!$P27</f>
        <v>17.899999999999999</v>
      </c>
      <c r="AC21" s="17">
        <f>'[9]Dia 28 (a)'!$P27</f>
        <v>15.7</v>
      </c>
      <c r="AD21" s="17">
        <f>'[9]Dia 29 (a)'!$P27</f>
        <v>15.2</v>
      </c>
      <c r="AE21" s="17">
        <f>'[9]Dia 30 (a)'!$P27</f>
        <v>16.399999999999999</v>
      </c>
      <c r="AF21" s="18"/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22.566666666666666</v>
      </c>
      <c r="C25" s="26">
        <f t="shared" ref="C25:AE25" si="0">AVERAGE(C4:C21)</f>
        <v>24.211111111111119</v>
      </c>
      <c r="D25" s="26">
        <f t="shared" si="0"/>
        <v>20.95</v>
      </c>
      <c r="E25" s="26">
        <f t="shared" si="0"/>
        <v>15.911111111111113</v>
      </c>
      <c r="F25" s="26">
        <f t="shared" si="0"/>
        <v>16.233333333333331</v>
      </c>
      <c r="G25" s="26">
        <f t="shared" si="0"/>
        <v>18.177777777777777</v>
      </c>
      <c r="H25" s="26">
        <f t="shared" si="0"/>
        <v>16.661111111111111</v>
      </c>
      <c r="I25" s="26">
        <f t="shared" si="0"/>
        <v>20.161111111111115</v>
      </c>
      <c r="J25" s="26">
        <f t="shared" si="0"/>
        <v>25.061111111111117</v>
      </c>
      <c r="K25" s="26">
        <f t="shared" si="0"/>
        <v>24.216666666666665</v>
      </c>
      <c r="L25" s="26">
        <f t="shared" si="0"/>
        <v>16.805555555555557</v>
      </c>
      <c r="M25" s="26">
        <f t="shared" si="0"/>
        <v>16.711111111111112</v>
      </c>
      <c r="N25" s="26">
        <f t="shared" si="0"/>
        <v>19.988888888888891</v>
      </c>
      <c r="O25" s="26">
        <f t="shared" si="0"/>
        <v>17.783333333333335</v>
      </c>
      <c r="P25" s="26">
        <f t="shared" si="0"/>
        <v>16.477777777777774</v>
      </c>
      <c r="Q25" s="26">
        <f t="shared" si="0"/>
        <v>16.066666666666666</v>
      </c>
      <c r="R25" s="26">
        <f t="shared" si="0"/>
        <v>17.311111111111114</v>
      </c>
      <c r="S25" s="26">
        <f t="shared" si="0"/>
        <v>21.088888888888889</v>
      </c>
      <c r="T25" s="26">
        <f t="shared" si="0"/>
        <v>22.672222222222224</v>
      </c>
      <c r="U25" s="26">
        <f t="shared" si="0"/>
        <v>22.805555555555557</v>
      </c>
      <c r="V25" s="26">
        <f t="shared" si="0"/>
        <v>20.283333333333331</v>
      </c>
      <c r="W25" s="26">
        <f t="shared" si="0"/>
        <v>20.577777777777779</v>
      </c>
      <c r="X25" s="26">
        <f t="shared" si="0"/>
        <v>22.577777777777772</v>
      </c>
      <c r="Y25" s="26">
        <f>AVERAGE(Y4:Y21)</f>
        <v>21.855555555555554</v>
      </c>
      <c r="Z25" s="26">
        <f t="shared" si="0"/>
        <v>20.544444444444441</v>
      </c>
      <c r="AA25" s="26">
        <f t="shared" si="0"/>
        <v>17.87777777777778</v>
      </c>
      <c r="AB25" s="26">
        <f t="shared" si="0"/>
        <v>19.822222222222226</v>
      </c>
      <c r="AC25" s="26">
        <f t="shared" si="0"/>
        <v>17.183333333333334</v>
      </c>
      <c r="AD25" s="26">
        <f t="shared" si="0"/>
        <v>16.127777777777773</v>
      </c>
      <c r="AE25" s="26">
        <f t="shared" si="0"/>
        <v>16.744444444444444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30.2</v>
      </c>
      <c r="C29" s="26">
        <f t="shared" ref="C29:AE29" si="1">MAX(C4:C21)</f>
        <v>31.6</v>
      </c>
      <c r="D29" s="26">
        <f t="shared" si="1"/>
        <v>25.9</v>
      </c>
      <c r="E29" s="26">
        <f t="shared" si="1"/>
        <v>17.8</v>
      </c>
      <c r="F29" s="26">
        <f t="shared" si="1"/>
        <v>18</v>
      </c>
      <c r="G29" s="26">
        <f t="shared" si="1"/>
        <v>22</v>
      </c>
      <c r="H29" s="26">
        <f t="shared" si="1"/>
        <v>18.2</v>
      </c>
      <c r="I29" s="26">
        <f t="shared" si="1"/>
        <v>24.8</v>
      </c>
      <c r="J29" s="26">
        <f t="shared" si="1"/>
        <v>32</v>
      </c>
      <c r="K29" s="26">
        <f t="shared" si="1"/>
        <v>31.2</v>
      </c>
      <c r="L29" s="26">
        <f t="shared" si="1"/>
        <v>17.8</v>
      </c>
      <c r="M29" s="26">
        <f t="shared" si="1"/>
        <v>17.8</v>
      </c>
      <c r="N29" s="26">
        <f t="shared" si="1"/>
        <v>23.1</v>
      </c>
      <c r="O29" s="26">
        <f t="shared" si="1"/>
        <v>19</v>
      </c>
      <c r="P29" s="26">
        <f t="shared" si="1"/>
        <v>17.399999999999999</v>
      </c>
      <c r="Q29" s="26">
        <f t="shared" si="1"/>
        <v>17.600000000000001</v>
      </c>
      <c r="R29" s="26">
        <f t="shared" si="1"/>
        <v>22.2</v>
      </c>
      <c r="S29" s="26">
        <f t="shared" si="1"/>
        <v>28.1</v>
      </c>
      <c r="T29" s="26">
        <f t="shared" si="1"/>
        <v>29.9</v>
      </c>
      <c r="U29" s="26">
        <f t="shared" si="1"/>
        <v>27</v>
      </c>
      <c r="V29" s="26">
        <f t="shared" si="1"/>
        <v>24.4</v>
      </c>
      <c r="W29" s="26">
        <f t="shared" si="1"/>
        <v>22.8</v>
      </c>
      <c r="X29" s="26">
        <f t="shared" si="1"/>
        <v>30</v>
      </c>
      <c r="Y29" s="26">
        <f>MAX(Y4:Y21)</f>
        <v>28.8</v>
      </c>
      <c r="Z29" s="26">
        <f t="shared" si="1"/>
        <v>26</v>
      </c>
      <c r="AA29" s="26">
        <f t="shared" si="1"/>
        <v>18.899999999999999</v>
      </c>
      <c r="AB29" s="26">
        <f t="shared" si="1"/>
        <v>24</v>
      </c>
      <c r="AC29" s="26">
        <f t="shared" si="1"/>
        <v>18.399999999999999</v>
      </c>
      <c r="AD29" s="26">
        <f t="shared" si="1"/>
        <v>17.8</v>
      </c>
      <c r="AE29" s="26">
        <f t="shared" si="1"/>
        <v>17.899999999999999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13.8</v>
      </c>
      <c r="C33" s="26">
        <f t="shared" ref="C33:AE33" si="2">MIN(C4:C21)</f>
        <v>15.2</v>
      </c>
      <c r="D33" s="26">
        <f t="shared" si="2"/>
        <v>16.899999999999999</v>
      </c>
      <c r="E33" s="26">
        <f t="shared" si="2"/>
        <v>14.6</v>
      </c>
      <c r="F33" s="26">
        <f t="shared" si="2"/>
        <v>14</v>
      </c>
      <c r="G33" s="26">
        <f t="shared" si="2"/>
        <v>15</v>
      </c>
      <c r="H33" s="26">
        <f t="shared" si="2"/>
        <v>15.7</v>
      </c>
      <c r="I33" s="26">
        <f t="shared" si="2"/>
        <v>14.2</v>
      </c>
      <c r="J33" s="26">
        <f t="shared" si="2"/>
        <v>17.100000000000001</v>
      </c>
      <c r="K33" s="26">
        <f t="shared" si="2"/>
        <v>17.8</v>
      </c>
      <c r="L33" s="26">
        <f t="shared" si="2"/>
        <v>15.6</v>
      </c>
      <c r="M33" s="26">
        <f t="shared" si="2"/>
        <v>15.4</v>
      </c>
      <c r="N33" s="26">
        <f t="shared" si="2"/>
        <v>16.2</v>
      </c>
      <c r="O33" s="26">
        <f t="shared" si="2"/>
        <v>16.7</v>
      </c>
      <c r="P33" s="26">
        <f t="shared" si="2"/>
        <v>15.8</v>
      </c>
      <c r="Q33" s="26">
        <f t="shared" si="2"/>
        <v>14.7</v>
      </c>
      <c r="R33" s="26">
        <f t="shared" si="2"/>
        <v>13.6</v>
      </c>
      <c r="S33" s="26">
        <f t="shared" si="2"/>
        <v>12</v>
      </c>
      <c r="T33" s="26">
        <f t="shared" si="2"/>
        <v>15.4</v>
      </c>
      <c r="U33" s="26">
        <f t="shared" si="2"/>
        <v>17</v>
      </c>
      <c r="V33" s="26">
        <f t="shared" si="2"/>
        <v>17.8</v>
      </c>
      <c r="W33" s="26">
        <f t="shared" si="2"/>
        <v>17.2</v>
      </c>
      <c r="X33" s="26">
        <f t="shared" si="2"/>
        <v>16.600000000000001</v>
      </c>
      <c r="Y33" s="26">
        <f>MIN(Y4:Y21)</f>
        <v>13.4</v>
      </c>
      <c r="Z33" s="26">
        <f t="shared" si="2"/>
        <v>16.600000000000001</v>
      </c>
      <c r="AA33" s="26">
        <f t="shared" si="2"/>
        <v>17.100000000000001</v>
      </c>
      <c r="AB33" s="26">
        <f t="shared" si="2"/>
        <v>16</v>
      </c>
      <c r="AC33" s="26">
        <f t="shared" si="2"/>
        <v>15.7</v>
      </c>
      <c r="AD33" s="26">
        <f t="shared" si="2"/>
        <v>14.8</v>
      </c>
      <c r="AE33" s="26">
        <f t="shared" si="2"/>
        <v>14.9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16.399999999999999</v>
      </c>
      <c r="C37" s="26">
        <f t="shared" si="3"/>
        <v>16.400000000000002</v>
      </c>
      <c r="D37" s="26">
        <f t="shared" si="3"/>
        <v>9</v>
      </c>
      <c r="E37" s="26">
        <f t="shared" si="3"/>
        <v>3.2000000000000011</v>
      </c>
      <c r="F37" s="26">
        <f t="shared" si="3"/>
        <v>4</v>
      </c>
      <c r="G37" s="26">
        <f t="shared" si="3"/>
        <v>7</v>
      </c>
      <c r="H37" s="26">
        <f t="shared" si="3"/>
        <v>2.5</v>
      </c>
      <c r="I37" s="26">
        <f t="shared" si="3"/>
        <v>10.600000000000001</v>
      </c>
      <c r="J37" s="26">
        <f t="shared" si="3"/>
        <v>14.899999999999999</v>
      </c>
      <c r="K37" s="26">
        <f t="shared" si="3"/>
        <v>13.399999999999999</v>
      </c>
      <c r="L37" s="26">
        <f t="shared" si="3"/>
        <v>2.2000000000000011</v>
      </c>
      <c r="M37" s="26">
        <f t="shared" si="3"/>
        <v>2.4000000000000004</v>
      </c>
      <c r="N37" s="26">
        <f t="shared" si="3"/>
        <v>6.9000000000000021</v>
      </c>
      <c r="O37" s="26">
        <f t="shared" si="3"/>
        <v>2.3000000000000007</v>
      </c>
      <c r="P37" s="26">
        <f t="shared" si="3"/>
        <v>1.5999999999999979</v>
      </c>
      <c r="Q37" s="26">
        <f t="shared" si="3"/>
        <v>2.9000000000000021</v>
      </c>
      <c r="R37" s="26">
        <f t="shared" si="3"/>
        <v>8.6</v>
      </c>
      <c r="S37" s="26">
        <f t="shared" si="3"/>
        <v>16.100000000000001</v>
      </c>
      <c r="T37" s="26">
        <f t="shared" si="3"/>
        <v>14.499999999999998</v>
      </c>
      <c r="U37" s="26">
        <f t="shared" si="3"/>
        <v>10</v>
      </c>
      <c r="V37" s="26">
        <f t="shared" si="3"/>
        <v>6.5999999999999979</v>
      </c>
      <c r="W37" s="26">
        <f t="shared" si="3"/>
        <v>5.6000000000000014</v>
      </c>
      <c r="X37" s="26">
        <f t="shared" si="3"/>
        <v>13.399999999999999</v>
      </c>
      <c r="Y37" s="26">
        <f t="shared" si="3"/>
        <v>15.4</v>
      </c>
      <c r="Z37" s="26">
        <f t="shared" si="3"/>
        <v>9.3999999999999986</v>
      </c>
      <c r="AA37" s="26">
        <f t="shared" si="3"/>
        <v>1.7999999999999972</v>
      </c>
      <c r="AB37" s="26">
        <f t="shared" si="3"/>
        <v>8</v>
      </c>
      <c r="AC37" s="26">
        <f t="shared" si="3"/>
        <v>2.6999999999999993</v>
      </c>
      <c r="AD37" s="26">
        <f t="shared" si="3"/>
        <v>3</v>
      </c>
      <c r="AE37" s="26">
        <f t="shared" si="3"/>
        <v>2.9999999999999982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19.515185185185182</v>
      </c>
      <c r="I43" s="39"/>
      <c r="J43" s="41"/>
      <c r="K43" s="40">
        <f>MAX(B29:AF29)</f>
        <v>32</v>
      </c>
      <c r="L43" s="41"/>
      <c r="M43" s="41"/>
      <c r="N43" s="40">
        <f>MIN(B33:AF33)</f>
        <v>12</v>
      </c>
      <c r="O43" s="41"/>
      <c r="P43" s="41"/>
      <c r="Q43" s="40">
        <f>K43-N43</f>
        <v>20</v>
      </c>
      <c r="R43" s="39"/>
      <c r="S43" s="40"/>
      <c r="T43" s="40">
        <f>AVERAGE(B29:AF29)</f>
        <v>23.353333333333328</v>
      </c>
      <c r="U43" s="40"/>
      <c r="V43" s="40">
        <f>AVERAGE(B33:AF33)</f>
        <v>15.56</v>
      </c>
      <c r="W43" s="40"/>
      <c r="X43" s="40">
        <f>T43-V43</f>
        <v>7.7933333333333277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(a)'!$P10</f>
        <v>16.399999999999999</v>
      </c>
      <c r="C4" s="12">
        <f>'[10]Dia 2 (a)'!$P10</f>
        <v>16.8</v>
      </c>
      <c r="D4" s="12">
        <f>'[10]Dia 3 (a)'!$P10</f>
        <v>17.3</v>
      </c>
      <c r="E4" s="12">
        <f>'[10]Dia 4 (a)'!$P10</f>
        <v>17.5</v>
      </c>
      <c r="F4" s="12">
        <f>'[10]Dia 5 (a)'!$P10</f>
        <v>17</v>
      </c>
      <c r="G4" s="12">
        <f>'[10]Dia 6 (a)'!$P10</f>
        <v>19.100000000000001</v>
      </c>
      <c r="H4" s="12">
        <f>'[10]Dia 7 (a)'!$P10</f>
        <v>20.2</v>
      </c>
      <c r="I4" s="12">
        <f>'[10]Dia 8 (a)'!$P10</f>
        <v>18.2</v>
      </c>
      <c r="J4" s="12">
        <f>'[10]Dia 9 (a)'!$P10</f>
        <v>18.399999999999999</v>
      </c>
      <c r="K4" s="12">
        <f>'[10]Dia 10 (a)'!$P10</f>
        <v>19.100000000000001</v>
      </c>
      <c r="L4" s="12">
        <f>'[10]Dia 11 (a)'!$P10</f>
        <v>18.600000000000001</v>
      </c>
      <c r="M4" s="12">
        <f>'[10]Dia 12 (a)'!$P10</f>
        <v>19</v>
      </c>
      <c r="N4" s="12">
        <f>'[10]Dia 13 (a)'!$P10</f>
        <v>19.5</v>
      </c>
      <c r="O4" s="12">
        <f>'[10]Dia 14 (a)'!$P10</f>
        <v>19.399999999999999</v>
      </c>
      <c r="P4" s="12">
        <f>'[10]Dia 15 (a)'!$P10</f>
        <v>19.399999999999999</v>
      </c>
      <c r="Q4" s="12">
        <f>'[10]Dia 16 (a)'!$P10</f>
        <v>18.3</v>
      </c>
      <c r="R4" s="12">
        <f>'[10]Dia 17 (a)'!$P10</f>
        <v>18.2</v>
      </c>
      <c r="S4" s="12">
        <f>'[10]Dia 18 (a)'!$P10</f>
        <v>20.2</v>
      </c>
      <c r="T4" s="12">
        <f>'[10]Dia 19 (a)'!$P10</f>
        <v>18.7</v>
      </c>
      <c r="U4" s="12">
        <f>'[10]Dia 20 (a)'!$P10</f>
        <v>18.399999999999999</v>
      </c>
      <c r="V4" s="12">
        <f>'[10]Dia 21 (a)'!$P10</f>
        <v>20</v>
      </c>
      <c r="W4" s="12">
        <f>'[10]Dia 22 (a)'!$P10</f>
        <v>20</v>
      </c>
      <c r="X4" s="12">
        <f>'[10]Dia 23 (a)'!$P10</f>
        <v>19</v>
      </c>
      <c r="Y4" s="12">
        <f>'[10]Dia 24 (a)'!$P10</f>
        <v>19.399999999999999</v>
      </c>
      <c r="Z4" s="12">
        <f>'[10]Dia 25 (a)'!$P10</f>
        <v>20</v>
      </c>
      <c r="AA4" s="12">
        <f>'[10]Dia 26 (a)'!$P10</f>
        <v>19.7</v>
      </c>
      <c r="AB4" s="12">
        <f>'[10]Dia 27 (a)'!$P10</f>
        <v>22</v>
      </c>
      <c r="AC4" s="12">
        <f>'[10]Dia 28 (a)'!$P10</f>
        <v>23.8</v>
      </c>
      <c r="AD4" s="12">
        <f>'[10]Dia 29 (a)'!$P10</f>
        <v>23.3</v>
      </c>
      <c r="AE4" s="12">
        <f>'[10]Dia 30 (a)'!$P10</f>
        <v>21.9</v>
      </c>
      <c r="AF4" s="13">
        <f>'[10]Dia 31 (a)'!$P10</f>
        <v>22</v>
      </c>
      <c r="AG4" s="14"/>
    </row>
    <row r="5" spans="1:33" ht="20.100000000000001" customHeight="1">
      <c r="A5" s="11">
        <v>8</v>
      </c>
      <c r="B5" s="12">
        <f>'[10]Dia 1 (a)'!$P11</f>
        <v>16.899999999999999</v>
      </c>
      <c r="C5" s="12">
        <f>'[10]Dia 2 (a)'!$P11</f>
        <v>17.3</v>
      </c>
      <c r="D5" s="12">
        <f>'[10]Dia 3 (a)'!$P11</f>
        <v>17.7</v>
      </c>
      <c r="E5" s="12">
        <f>'[10]Dia 4 (a)'!$P11</f>
        <v>17.7</v>
      </c>
      <c r="F5" s="12">
        <f>'[10]Dia 5 (a)'!$P11</f>
        <v>17.3</v>
      </c>
      <c r="G5" s="12">
        <f>'[10]Dia 6 (a)'!$P11</f>
        <v>19.5</v>
      </c>
      <c r="H5" s="12">
        <f>'[10]Dia 7 (a)'!$P11</f>
        <v>20.3</v>
      </c>
      <c r="I5" s="12">
        <f>'[10]Dia 8 (a)'!$P11</f>
        <v>18.7</v>
      </c>
      <c r="J5" s="12">
        <f>'[10]Dia 9 (a)'!$P11</f>
        <v>20</v>
      </c>
      <c r="K5" s="12">
        <f>'[10]Dia 10 (a)'!$P11</f>
        <v>19.2</v>
      </c>
      <c r="L5" s="12">
        <f>'[10]Dia 11 (a)'!$P11</f>
        <v>19</v>
      </c>
      <c r="M5" s="12">
        <f>'[10]Dia 12 (a)'!$P11</f>
        <v>19.600000000000001</v>
      </c>
      <c r="N5" s="12">
        <f>'[10]Dia 13 (a)'!$P11</f>
        <v>20</v>
      </c>
      <c r="O5" s="12">
        <f>'[10]Dia 14 (a)'!$P11</f>
        <v>20.6</v>
      </c>
      <c r="P5" s="12">
        <f>'[10]Dia 15 (a)'!$P11</f>
        <v>19.7</v>
      </c>
      <c r="Q5" s="12">
        <f>'[10]Dia 16 (a)'!$P11</f>
        <v>19.3</v>
      </c>
      <c r="R5" s="12">
        <f>'[10]Dia 17 (a)'!$P11</f>
        <v>19.2</v>
      </c>
      <c r="S5" s="12">
        <f>'[10]Dia 18 (a)'!$P11</f>
        <v>20</v>
      </c>
      <c r="T5" s="12">
        <f>'[10]Dia 19 (a)'!$P11</f>
        <v>18.899999999999999</v>
      </c>
      <c r="U5" s="12">
        <f>'[10]Dia 20 (a)'!$P11</f>
        <v>19.8</v>
      </c>
      <c r="V5" s="12">
        <f>'[10]Dia 21 (a)'!$P11</f>
        <v>20.2</v>
      </c>
      <c r="W5" s="12">
        <f>'[10]Dia 22 (a)'!$P11</f>
        <v>21</v>
      </c>
      <c r="X5" s="12">
        <f>'[10]Dia 23 (a)'!$P11</f>
        <v>20.2</v>
      </c>
      <c r="Y5" s="43">
        <f>'[10]Dia 24 (a)'!$P11</f>
        <v>20.100000000000001</v>
      </c>
      <c r="Z5" s="12">
        <f>'[10]Dia 25 (a)'!$P11</f>
        <v>21.3</v>
      </c>
      <c r="AA5" s="12">
        <f>'[10]Dia 26 (a)'!$P11</f>
        <v>21.1</v>
      </c>
      <c r="AB5" s="12">
        <f>'[10]Dia 27 (a)'!$P11</f>
        <v>23.4</v>
      </c>
      <c r="AC5" s="12">
        <f>'[10]Dia 28 (a)'!$P11</f>
        <v>24.4</v>
      </c>
      <c r="AD5" s="12">
        <f>'[10]Dia 29 (a)'!$P11</f>
        <v>24.9</v>
      </c>
      <c r="AE5" s="12">
        <f>'[10]Dia 30 (a)'!$P11</f>
        <v>23.3</v>
      </c>
      <c r="AF5" s="13">
        <f>'[10]Dia 31 (a)'!$P11</f>
        <v>22</v>
      </c>
      <c r="AG5" s="14"/>
    </row>
    <row r="6" spans="1:33" ht="20.100000000000001" customHeight="1">
      <c r="A6" s="11">
        <v>9</v>
      </c>
      <c r="B6" s="12">
        <f>'[10]Dia 1 (a)'!$P12</f>
        <v>17.8</v>
      </c>
      <c r="C6" s="12">
        <f>'[10]Dia 2 (a)'!$P12</f>
        <v>18.100000000000001</v>
      </c>
      <c r="D6" s="12">
        <f>'[10]Dia 3 (a)'!$P12</f>
        <v>19.100000000000001</v>
      </c>
      <c r="E6" s="12">
        <f>'[10]Dia 4 (a)'!$P12</f>
        <v>18.399999999999999</v>
      </c>
      <c r="F6" s="12">
        <f>'[10]Dia 5 (a)'!$P12</f>
        <v>17.8</v>
      </c>
      <c r="G6" s="12">
        <f>'[10]Dia 6 (a)'!$P12</f>
        <v>21</v>
      </c>
      <c r="H6" s="12">
        <f>'[10]Dia 7 (a)'!$P12</f>
        <v>21.2</v>
      </c>
      <c r="I6" s="12">
        <f>'[10]Dia 8 (a)'!$P12</f>
        <v>19.8</v>
      </c>
      <c r="J6" s="12">
        <f>'[10]Dia 9 (a)'!$P12</f>
        <v>22.4</v>
      </c>
      <c r="K6" s="12">
        <f>'[10]Dia 10 (a)'!$P12</f>
        <v>19.2</v>
      </c>
      <c r="L6" s="12">
        <f>'[10]Dia 11 (a)'!$P12</f>
        <v>20.2</v>
      </c>
      <c r="M6" s="12">
        <f>'[10]Dia 12 (a)'!$P12</f>
        <v>21</v>
      </c>
      <c r="N6" s="12">
        <f>'[10]Dia 13 (a)'!$P12</f>
        <v>21.2</v>
      </c>
      <c r="O6" s="12">
        <f>'[10]Dia 14 (a)'!$P12</f>
        <v>22.6</v>
      </c>
      <c r="P6" s="12">
        <f>'[10]Dia 15 (a)'!$P12</f>
        <v>20.2</v>
      </c>
      <c r="Q6" s="12">
        <f>'[10]Dia 16 (a)'!$P12</f>
        <v>21.5</v>
      </c>
      <c r="R6" s="12">
        <f>'[10]Dia 17 (a)'!$P12</f>
        <v>21</v>
      </c>
      <c r="S6" s="12">
        <f>'[10]Dia 18 (a)'!$P12</f>
        <v>20.399999999999999</v>
      </c>
      <c r="T6" s="12">
        <f>'[10]Dia 19 (a)'!$P12</f>
        <v>19.3</v>
      </c>
      <c r="U6" s="12">
        <f>'[10]Dia 20 (a)'!$P12</f>
        <v>22.2</v>
      </c>
      <c r="V6" s="12">
        <f>'[10]Dia 21 (a)'!$P12</f>
        <v>20.8</v>
      </c>
      <c r="W6" s="12">
        <f>'[10]Dia 22 (a)'!$P12</f>
        <v>22.4</v>
      </c>
      <c r="X6" s="12">
        <f>'[10]Dia 23 (a)'!$P12</f>
        <v>23</v>
      </c>
      <c r="Y6" s="12">
        <f>'[10]Dia 24 (a)'!$P12</f>
        <v>20.8</v>
      </c>
      <c r="Z6" s="12">
        <f>'[10]Dia 25 (a)'!$P12</f>
        <v>22.8</v>
      </c>
      <c r="AA6" s="12">
        <f>'[10]Dia 26 (a)'!$P12</f>
        <v>23.5</v>
      </c>
      <c r="AB6" s="12">
        <f>'[10]Dia 27 (a)'!$P12</f>
        <v>25.7</v>
      </c>
      <c r="AC6" s="12">
        <f>'[10]Dia 28 (a)'!$P12</f>
        <v>25</v>
      </c>
      <c r="AD6" s="12">
        <f>'[10]Dia 29 (a)'!$P12</f>
        <v>27.4</v>
      </c>
      <c r="AE6" s="12">
        <f>'[10]Dia 30 (a)'!$P12</f>
        <v>25.4</v>
      </c>
      <c r="AF6" s="13">
        <f>'[10]Dia 31 (a)'!$P12</f>
        <v>22.6</v>
      </c>
      <c r="AG6" s="14"/>
    </row>
    <row r="7" spans="1:33" ht="20.100000000000001" customHeight="1">
      <c r="A7" s="11">
        <v>10</v>
      </c>
      <c r="B7" s="12">
        <f>'[10]Dia 1 (a)'!$P13</f>
        <v>19</v>
      </c>
      <c r="C7" s="12">
        <f>'[10]Dia 2 (a)'!$P13</f>
        <v>18.8</v>
      </c>
      <c r="D7" s="12">
        <f>'[10]Dia 3 (a)'!$P13</f>
        <v>20.6</v>
      </c>
      <c r="E7" s="12">
        <f>'[10]Dia 4 (a)'!$P13</f>
        <v>19</v>
      </c>
      <c r="F7" s="12">
        <f>'[10]Dia 5 (a)'!$P13</f>
        <v>18.8</v>
      </c>
      <c r="G7" s="12">
        <f>'[10]Dia 6 (a)'!$P13</f>
        <v>23.4</v>
      </c>
      <c r="H7" s="12">
        <f>'[10]Dia 7 (a)'!$P13</f>
        <v>21.2</v>
      </c>
      <c r="I7" s="12">
        <f>'[10]Dia 8 (a)'!$P13</f>
        <v>22</v>
      </c>
      <c r="J7" s="12">
        <f>'[10]Dia 9 (a)'!$P13</f>
        <v>24.3</v>
      </c>
      <c r="K7" s="12">
        <f>'[10]Dia 10 (a)'!$P13</f>
        <v>19.3</v>
      </c>
      <c r="L7" s="12">
        <f>'[10]Dia 11 (a)'!$P13</f>
        <v>21.6</v>
      </c>
      <c r="M7" s="12">
        <f>'[10]Dia 12 (a)'!$P13</f>
        <v>21.8</v>
      </c>
      <c r="N7" s="12">
        <f>'[10]Dia 13 (a)'!$P13</f>
        <v>22.7</v>
      </c>
      <c r="O7" s="12">
        <f>'[10]Dia 14 (a)'!$P13</f>
        <v>25.2</v>
      </c>
      <c r="P7" s="12">
        <f>'[10]Dia 15 (a)'!$P13</f>
        <v>22</v>
      </c>
      <c r="Q7" s="12">
        <f>'[10]Dia 16 (a)'!$P13</f>
        <v>23</v>
      </c>
      <c r="R7" s="12">
        <f>'[10]Dia 17 (a)'!$P13</f>
        <v>23.2</v>
      </c>
      <c r="S7" s="12">
        <f>'[10]Dia 18 (a)'!$P13</f>
        <v>20.7</v>
      </c>
      <c r="T7" s="12">
        <f>'[10]Dia 19 (a)'!$P13</f>
        <v>19.899999999999999</v>
      </c>
      <c r="U7" s="12">
        <f>'[10]Dia 20 (a)'!$P13</f>
        <v>23.7</v>
      </c>
      <c r="V7" s="12">
        <f>'[10]Dia 21 (a)'!$P13</f>
        <v>20.8</v>
      </c>
      <c r="W7" s="12">
        <f>'[10]Dia 22 (a)'!$P13</f>
        <v>24.2</v>
      </c>
      <c r="X7" s="12">
        <f>'[10]Dia 23 (a)'!$P13</f>
        <v>25</v>
      </c>
      <c r="Y7" s="12">
        <f>'[10]Dia 24 (a)'!$P13</f>
        <v>21.8</v>
      </c>
      <c r="Z7" s="12">
        <f>'[10]Dia 25 (a)'!$P13</f>
        <v>26</v>
      </c>
      <c r="AA7" s="12">
        <f>'[10]Dia 26 (a)'!$P13</f>
        <v>26.8</v>
      </c>
      <c r="AB7" s="12">
        <f>'[10]Dia 27 (a)'!$P13</f>
        <v>29.2</v>
      </c>
      <c r="AC7" s="12">
        <f>'[10]Dia 28 (a)'!$P13</f>
        <v>27</v>
      </c>
      <c r="AD7" s="12">
        <f>'[10]Dia 29 (a)'!$P13</f>
        <v>30.7</v>
      </c>
      <c r="AE7" s="12">
        <f>'[10]Dia 30 (a)'!$P13</f>
        <v>27.8</v>
      </c>
      <c r="AF7" s="13">
        <f>'[10]Dia 31 (a)'!$P13</f>
        <v>23</v>
      </c>
      <c r="AG7" s="14"/>
    </row>
    <row r="8" spans="1:33" ht="20.100000000000001" customHeight="1">
      <c r="A8" s="11">
        <v>11</v>
      </c>
      <c r="B8" s="12">
        <f>'[10]Dia 1 (a)'!$P14</f>
        <v>19.5</v>
      </c>
      <c r="C8" s="12">
        <f>'[10]Dia 2 (a)'!$P14</f>
        <v>20.399999999999999</v>
      </c>
      <c r="D8" s="12">
        <f>'[10]Dia 3 (a)'!$P14</f>
        <v>23.3</v>
      </c>
      <c r="E8" s="12">
        <f>'[10]Dia 4 (a)'!$P14</f>
        <v>19.3</v>
      </c>
      <c r="F8" s="12">
        <f>'[10]Dia 5 (a)'!$P14</f>
        <v>22</v>
      </c>
      <c r="G8" s="12">
        <f>'[10]Dia 6 (a)'!$P14</f>
        <v>26.5</v>
      </c>
      <c r="H8" s="12">
        <f>'[10]Dia 7 (a)'!$P14</f>
        <v>21.8</v>
      </c>
      <c r="I8" s="12">
        <f>'[10]Dia 8 (a)'!$P14</f>
        <v>24.2</v>
      </c>
      <c r="J8" s="12">
        <f>'[10]Dia 9 (a)'!$P14</f>
        <v>26.3</v>
      </c>
      <c r="K8" s="12">
        <f>'[10]Dia 10 (a)'!$P14</f>
        <v>19.399999999999999</v>
      </c>
      <c r="L8" s="12">
        <f>'[10]Dia 11 (a)'!$P14</f>
        <v>22.4</v>
      </c>
      <c r="M8" s="12">
        <f>'[10]Dia 12 (a)'!$P14</f>
        <v>24.4</v>
      </c>
      <c r="N8" s="12">
        <f>'[10]Dia 13 (a)'!$P14</f>
        <v>23.8</v>
      </c>
      <c r="O8" s="12">
        <f>'[10]Dia 14 (a)'!$P14</f>
        <v>27</v>
      </c>
      <c r="P8" s="12">
        <f>'[10]Dia 15 (a)'!$P14</f>
        <v>22.8</v>
      </c>
      <c r="Q8" s="12">
        <f>'[10]Dia 16 (a)'!$P14</f>
        <v>25.7</v>
      </c>
      <c r="R8" s="12">
        <f>'[10]Dia 17 (a)'!$P14</f>
        <v>25</v>
      </c>
      <c r="S8" s="12">
        <f>'[10]Dia 18 (a)'!$P14</f>
        <v>20.6</v>
      </c>
      <c r="T8" s="12">
        <f>'[10]Dia 19 (a)'!$P14</f>
        <v>20.2</v>
      </c>
      <c r="U8" s="12">
        <f>'[10]Dia 20 (a)'!$P14</f>
        <v>25.4</v>
      </c>
      <c r="V8" s="12">
        <f>'[10]Dia 21 (a)'!$P14</f>
        <v>20.8</v>
      </c>
      <c r="W8" s="12">
        <f>'[10]Dia 22 (a)'!$P14</f>
        <v>26</v>
      </c>
      <c r="X8" s="12">
        <f>'[10]Dia 23 (a)'!$P14</f>
        <v>29</v>
      </c>
      <c r="Y8" s="12">
        <f>'[10]Dia 24 (a)'!$P14</f>
        <v>23.5</v>
      </c>
      <c r="Z8" s="12">
        <f>'[10]Dia 25 (a)'!$P14</f>
        <v>29</v>
      </c>
      <c r="AA8" s="12">
        <f>'[10]Dia 26 (a)'!$P14</f>
        <v>30.4</v>
      </c>
      <c r="AB8" s="12">
        <f>'[10]Dia 27 (a)'!$P14</f>
        <v>31.8</v>
      </c>
      <c r="AC8" s="12">
        <f>'[10]Dia 28 (a)'!$P14</f>
        <v>28</v>
      </c>
      <c r="AD8" s="12">
        <f>'[10]Dia 29 (a)'!$P14</f>
        <v>33.700000000000003</v>
      </c>
      <c r="AE8" s="12">
        <f>'[10]Dia 30 (a)'!$P14</f>
        <v>29.3</v>
      </c>
      <c r="AF8" s="13">
        <f>'[10]Dia 31 (a)'!$P14</f>
        <v>23.2</v>
      </c>
      <c r="AG8" s="14"/>
    </row>
    <row r="9" spans="1:33" ht="20.100000000000001" customHeight="1">
      <c r="A9" s="11">
        <v>12</v>
      </c>
      <c r="B9" s="12">
        <f>'[10]Dia 1 (a)'!$P15</f>
        <v>20.2</v>
      </c>
      <c r="C9" s="12">
        <f>'[10]Dia 2 (a)'!$P15</f>
        <v>21.4</v>
      </c>
      <c r="D9" s="12">
        <f>'[10]Dia 3 (a)'!$P15</f>
        <v>24.9</v>
      </c>
      <c r="E9" s="12">
        <f>'[10]Dia 4 (a)'!$P15</f>
        <v>19.600000000000001</v>
      </c>
      <c r="F9" s="12">
        <f>'[10]Dia 5 (a)'!$P15</f>
        <v>25.3</v>
      </c>
      <c r="G9" s="12">
        <f>'[10]Dia 6 (a)'!$P15</f>
        <v>28.8</v>
      </c>
      <c r="H9" s="12">
        <f>'[10]Dia 7 (a)'!$P15</f>
        <v>22.8</v>
      </c>
      <c r="I9" s="12">
        <f>'[10]Dia 8 (a)'!$P15</f>
        <v>26.2</v>
      </c>
      <c r="J9" s="12">
        <f>'[10]Dia 9 (a)'!$P15</f>
        <v>26.8</v>
      </c>
      <c r="K9" s="12">
        <f>'[10]Dia 10 (a)'!$P15</f>
        <v>19.600000000000001</v>
      </c>
      <c r="L9" s="12">
        <f>'[10]Dia 11 (a)'!$P15</f>
        <v>23.4</v>
      </c>
      <c r="M9" s="12">
        <f>'[10]Dia 12 (a)'!$P15</f>
        <v>26.6</v>
      </c>
      <c r="N9" s="12">
        <f>'[10]Dia 13 (a)'!$P15</f>
        <v>25.6</v>
      </c>
      <c r="O9" s="12">
        <f>'[10]Dia 14 (a)'!$P15</f>
        <v>26.2</v>
      </c>
      <c r="P9" s="12">
        <f>'[10]Dia 15 (a)'!$P15</f>
        <v>23.1</v>
      </c>
      <c r="Q9" s="12">
        <f>'[10]Dia 16 (a)'!$P15</f>
        <v>28</v>
      </c>
      <c r="R9" s="12">
        <f>'[10]Dia 17 (a)'!$P15</f>
        <v>28</v>
      </c>
      <c r="S9" s="12">
        <f>'[10]Dia 18 (a)'!$P15</f>
        <v>20.2</v>
      </c>
      <c r="T9" s="12">
        <f>'[10]Dia 19 (a)'!$P15</f>
        <v>20.3</v>
      </c>
      <c r="U9" s="12">
        <f>'[10]Dia 20 (a)'!$P15</f>
        <v>28</v>
      </c>
      <c r="V9" s="12">
        <f>'[10]Dia 21 (a)'!$P15</f>
        <v>23.2</v>
      </c>
      <c r="W9" s="12">
        <f>'[10]Dia 22 (a)'!$P15</f>
        <v>28</v>
      </c>
      <c r="X9" s="12">
        <f>'[10]Dia 23 (a)'!$P15</f>
        <v>31.6</v>
      </c>
      <c r="Y9" s="12">
        <f>'[10]Dia 24 (a)'!$P15</f>
        <v>27.1</v>
      </c>
      <c r="Z9" s="12">
        <f>'[10]Dia 25 (a)'!$P15</f>
        <v>31.4</v>
      </c>
      <c r="AA9" s="12">
        <f>'[10]Dia 26 (a)'!$P15</f>
        <v>33.200000000000003</v>
      </c>
      <c r="AB9" s="12">
        <f>'[10]Dia 27 (a)'!$P15</f>
        <v>34.4</v>
      </c>
      <c r="AC9" s="12">
        <f>'[10]Dia 28 (a)'!$P15</f>
        <v>29.8</v>
      </c>
      <c r="AD9" s="12">
        <f>'[10]Dia 29 (a)'!$P15</f>
        <v>35.700000000000003</v>
      </c>
      <c r="AE9" s="12">
        <f>'[10]Dia 30 (a)'!$P15</f>
        <v>31.7</v>
      </c>
      <c r="AF9" s="13">
        <f>'[10]Dia 31 (a)'!$P15</f>
        <v>24</v>
      </c>
      <c r="AG9" s="14"/>
    </row>
    <row r="10" spans="1:33" ht="20.100000000000001" customHeight="1">
      <c r="A10" s="11">
        <v>13</v>
      </c>
      <c r="B10" s="12">
        <f>'[10]Dia 1 (a)'!$P16</f>
        <v>20.5</v>
      </c>
      <c r="C10" s="12">
        <f>'[10]Dia 2 (a)'!$P16</f>
        <v>23.5</v>
      </c>
      <c r="D10" s="12">
        <f>'[10]Dia 3 (a)'!$P16</f>
        <v>25.6</v>
      </c>
      <c r="E10" s="12">
        <f>'[10]Dia 4 (a)'!$P16</f>
        <v>19.899999999999999</v>
      </c>
      <c r="F10" s="12">
        <f>'[10]Dia 5 (a)'!$P16</f>
        <v>28.6</v>
      </c>
      <c r="G10" s="12">
        <f>'[10]Dia 6 (a)'!$P16</f>
        <v>30.6</v>
      </c>
      <c r="H10" s="12">
        <f>'[10]Dia 7 (a)'!$P16</f>
        <v>23.5</v>
      </c>
      <c r="I10" s="12">
        <f>'[10]Dia 8 (a)'!$P16</f>
        <v>27.5</v>
      </c>
      <c r="J10" s="12">
        <f>'[10]Dia 9 (a)'!$P16</f>
        <v>27.8</v>
      </c>
      <c r="K10" s="12">
        <f>'[10]Dia 10 (a)'!$P16</f>
        <v>19.8</v>
      </c>
      <c r="L10" s="12">
        <f>'[10]Dia 11 (a)'!$P16</f>
        <v>24.6</v>
      </c>
      <c r="M10" s="12">
        <f>'[10]Dia 12 (a)'!$P16</f>
        <v>27.4</v>
      </c>
      <c r="N10" s="12">
        <f>'[10]Dia 13 (a)'!$P16</f>
        <v>27.2</v>
      </c>
      <c r="O10" s="12">
        <f>'[10]Dia 14 (a)'!$P16</f>
        <v>25.4</v>
      </c>
      <c r="P10" s="12">
        <f>'[10]Dia 15 (a)'!$P16</f>
        <v>22.5</v>
      </c>
      <c r="Q10" s="12">
        <f>'[10]Dia 16 (a)'!$P16</f>
        <v>30.2</v>
      </c>
      <c r="R10" s="12">
        <f>'[10]Dia 17 (a)'!$P16</f>
        <v>30</v>
      </c>
      <c r="S10" s="12">
        <f>'[10]Dia 18 (a)'!$P16</f>
        <v>20.399999999999999</v>
      </c>
      <c r="T10" s="12">
        <f>'[10]Dia 19 (a)'!$P16</f>
        <v>20.2</v>
      </c>
      <c r="U10" s="12">
        <f>'[10]Dia 20 (a)'!$P16</f>
        <v>30</v>
      </c>
      <c r="V10" s="12">
        <f>'[10]Dia 21 (a)'!$P16</f>
        <v>24.1</v>
      </c>
      <c r="W10" s="12">
        <f>'[10]Dia 22 (a)'!$P16</f>
        <v>29.2</v>
      </c>
      <c r="X10" s="12">
        <f>'[10]Dia 23 (a)'!$P16</f>
        <v>33.200000000000003</v>
      </c>
      <c r="Y10" s="12">
        <f>'[10]Dia 24 (a)'!$P16</f>
        <v>29.8</v>
      </c>
      <c r="Z10" s="12">
        <f>'[10]Dia 25 (a)'!$P16</f>
        <v>33.299999999999997</v>
      </c>
      <c r="AA10" s="12">
        <f>'[10]Dia 26 (a)'!$P16</f>
        <v>35.5</v>
      </c>
      <c r="AB10" s="12">
        <f>'[10]Dia 27 (a)'!$P16</f>
        <v>36.299999999999997</v>
      </c>
      <c r="AC10" s="12">
        <f>'[10]Dia 28 (a)'!$P16</f>
        <v>32</v>
      </c>
      <c r="AD10" s="12">
        <f>'[10]Dia 29 (a)'!$P16</f>
        <v>36.4</v>
      </c>
      <c r="AE10" s="12">
        <f>'[10]Dia 30 (a)'!$P16</f>
        <v>33.4</v>
      </c>
      <c r="AF10" s="13">
        <f>'[10]Dia 31 (a)'!$P16</f>
        <v>24.6</v>
      </c>
      <c r="AG10" s="14"/>
    </row>
    <row r="11" spans="1:33" ht="20.100000000000001" customHeight="1">
      <c r="A11" s="11">
        <v>14</v>
      </c>
      <c r="B11" s="12">
        <f>'[10]Dia 1 (a)'!$P17</f>
        <v>21.8</v>
      </c>
      <c r="C11" s="12">
        <f>'[10]Dia 2 (a)'!$P17</f>
        <v>25</v>
      </c>
      <c r="D11" s="12">
        <f>'[10]Dia 3 (a)'!$P17</f>
        <v>23.8</v>
      </c>
      <c r="E11" s="12">
        <f>'[10]Dia 4 (a)'!$P17</f>
        <v>20.399999999999999</v>
      </c>
      <c r="F11" s="12">
        <f>'[10]Dia 5 (a)'!$P17</f>
        <v>29.9</v>
      </c>
      <c r="G11" s="12">
        <f>'[10]Dia 6 (a)'!$P17</f>
        <v>31.7</v>
      </c>
      <c r="H11" s="12">
        <f>'[10]Dia 7 (a)'!$P17</f>
        <v>25.1</v>
      </c>
      <c r="I11" s="12">
        <f>'[10]Dia 8 (a)'!$P17</f>
        <v>29.3</v>
      </c>
      <c r="J11" s="12">
        <f>'[10]Dia 9 (a)'!$P17</f>
        <v>27.4</v>
      </c>
      <c r="K11" s="12">
        <f>'[10]Dia 10 (a)'!$P17</f>
        <v>20.100000000000001</v>
      </c>
      <c r="L11" s="12">
        <f>'[10]Dia 11 (a)'!$P17</f>
        <v>25</v>
      </c>
      <c r="M11" s="12">
        <f>'[10]Dia 12 (a)'!$P17</f>
        <v>29.8</v>
      </c>
      <c r="N11" s="12">
        <f>'[10]Dia 13 (a)'!$P17</f>
        <v>29.6</v>
      </c>
      <c r="O11" s="12">
        <f>'[10]Dia 14 (a)'!$P17</f>
        <v>25.1</v>
      </c>
      <c r="P11" s="12">
        <f>'[10]Dia 15 (a)'!$P17</f>
        <v>22.1</v>
      </c>
      <c r="Q11" s="12">
        <f>'[10]Dia 16 (a)'!$P17</f>
        <v>28.7</v>
      </c>
      <c r="R11" s="12">
        <f>'[10]Dia 17 (a)'!$P17</f>
        <v>31.8</v>
      </c>
      <c r="S11" s="12">
        <f>'[10]Dia 18 (a)'!$P17</f>
        <v>20.8</v>
      </c>
      <c r="T11" s="12">
        <f>'[10]Dia 19 (a)'!$P17</f>
        <v>21.2</v>
      </c>
      <c r="U11" s="12">
        <f>'[10]Dia 20 (a)'!$P17</f>
        <v>30.2</v>
      </c>
      <c r="V11" s="12">
        <f>'[10]Dia 21 (a)'!$P17</f>
        <v>23.7</v>
      </c>
      <c r="W11" s="12">
        <f>'[10]Dia 22 (a)'!$P17</f>
        <v>29</v>
      </c>
      <c r="X11" s="12">
        <f>'[10]Dia 23 (a)'!$P17</f>
        <v>34.6</v>
      </c>
      <c r="Y11" s="12">
        <f>'[10]Dia 24 (a)'!$P17</f>
        <v>30.8</v>
      </c>
      <c r="Z11" s="12">
        <f>'[10]Dia 25 (a)'!$P17</f>
        <v>34.200000000000003</v>
      </c>
      <c r="AA11" s="12">
        <f>'[10]Dia 26 (a)'!$P17</f>
        <v>36.4</v>
      </c>
      <c r="AB11" s="12">
        <f>'[10]Dia 27 (a)'!$P17</f>
        <v>36.9</v>
      </c>
      <c r="AC11" s="12">
        <f>'[10]Dia 28 (a)'!$P17</f>
        <v>34</v>
      </c>
      <c r="AD11" s="12">
        <f>'[10]Dia 29 (a)'!$P17</f>
        <v>36.4</v>
      </c>
      <c r="AE11" s="12">
        <f>'[10]Dia 30 (a)'!$P17</f>
        <v>34</v>
      </c>
      <c r="AF11" s="13">
        <f>'[10]Dia 31 (a)'!$P17</f>
        <v>25</v>
      </c>
      <c r="AG11" s="14"/>
    </row>
    <row r="12" spans="1:33" ht="20.100000000000001" customHeight="1">
      <c r="A12" s="11">
        <v>15</v>
      </c>
      <c r="B12" s="12">
        <f>'[10]Dia 1 (a)'!$P18</f>
        <v>22.1</v>
      </c>
      <c r="C12" s="12">
        <f>'[10]Dia 2 (a)'!$P18</f>
        <v>25.6</v>
      </c>
      <c r="D12" s="12">
        <f>'[10]Dia 3 (a)'!$P18</f>
        <v>22.9</v>
      </c>
      <c r="E12" s="12">
        <f>'[10]Dia 4 (a)'!$P18</f>
        <v>21</v>
      </c>
      <c r="F12" s="12">
        <f>'[10]Dia 5 (a)'!$P18</f>
        <v>30.4</v>
      </c>
      <c r="G12" s="12">
        <f>'[10]Dia 6 (a)'!$P18</f>
        <v>31.6</v>
      </c>
      <c r="H12" s="12">
        <f>'[10]Dia 7 (a)'!$P18</f>
        <v>25.6</v>
      </c>
      <c r="I12" s="12">
        <f>'[10]Dia 8 (a)'!$P18</f>
        <v>30</v>
      </c>
      <c r="J12" s="12">
        <f>'[10]Dia 9 (a)'!$P18</f>
        <v>25.4</v>
      </c>
      <c r="K12" s="12">
        <f>'[10]Dia 10 (a)'!$P18</f>
        <v>20.100000000000001</v>
      </c>
      <c r="L12" s="12">
        <f>'[10]Dia 11 (a)'!$P18</f>
        <v>24.6</v>
      </c>
      <c r="M12" s="12">
        <f>'[10]Dia 12 (a)'!$P18</f>
        <v>27.6</v>
      </c>
      <c r="N12" s="12">
        <f>'[10]Dia 13 (a)'!$P18</f>
        <v>30</v>
      </c>
      <c r="O12" s="12">
        <f>'[10]Dia 14 (a)'!$P18</f>
        <v>24.6</v>
      </c>
      <c r="P12" s="12">
        <f>'[10]Dia 15 (a)'!$P18</f>
        <v>21.8</v>
      </c>
      <c r="Q12" s="12">
        <f>'[10]Dia 16 (a)'!$P18</f>
        <v>28</v>
      </c>
      <c r="R12" s="12">
        <f>'[10]Dia 17 (a)'!$P18</f>
        <v>32</v>
      </c>
      <c r="S12" s="12">
        <f>'[10]Dia 18 (a)'!$P18</f>
        <v>20.6</v>
      </c>
      <c r="T12" s="12">
        <f>'[10]Dia 19 (a)'!$P18</f>
        <v>23.3</v>
      </c>
      <c r="U12" s="12">
        <f>'[10]Dia 20 (a)'!$P18</f>
        <v>29.4</v>
      </c>
      <c r="V12" s="12">
        <f>'[10]Dia 21 (a)'!$P18</f>
        <v>23</v>
      </c>
      <c r="W12" s="12">
        <f>'[10]Dia 22 (a)'!$P18</f>
        <v>28</v>
      </c>
      <c r="X12" s="12">
        <f>'[10]Dia 23 (a)'!$P18</f>
        <v>34.4</v>
      </c>
      <c r="Y12" s="12">
        <f>'[10]Dia 24 (a)'!$P18</f>
        <v>29.8</v>
      </c>
      <c r="Z12" s="12">
        <f>'[10]Dia 25 (a)'!$P18</f>
        <v>34.299999999999997</v>
      </c>
      <c r="AA12" s="12">
        <f>'[10]Dia 26 (a)'!$P18</f>
        <v>36.200000000000003</v>
      </c>
      <c r="AB12" s="12">
        <f>'[10]Dia 27 (a)'!$P18</f>
        <v>36.799999999999997</v>
      </c>
      <c r="AC12" s="12">
        <f>'[10]Dia 28 (a)'!$P18</f>
        <v>34</v>
      </c>
      <c r="AD12" s="12">
        <f>'[10]Dia 29 (a)'!$P18</f>
        <v>36.6</v>
      </c>
      <c r="AE12" s="12">
        <f>'[10]Dia 30 (a)'!$P18</f>
        <v>33</v>
      </c>
      <c r="AF12" s="13">
        <f>'[10]Dia 31 (a)'!$P18</f>
        <v>25</v>
      </c>
      <c r="AG12" s="14"/>
    </row>
    <row r="13" spans="1:33" ht="20.100000000000001" customHeight="1">
      <c r="A13" s="11">
        <v>16</v>
      </c>
      <c r="B13" s="12">
        <f>'[10]Dia 1 (a)'!$P19</f>
        <v>22.4</v>
      </c>
      <c r="C13" s="12">
        <f>'[10]Dia 2 (a)'!$P19</f>
        <v>25.2</v>
      </c>
      <c r="D13" s="12">
        <f>'[10]Dia 3 (a)'!$P19</f>
        <v>22</v>
      </c>
      <c r="E13" s="12">
        <f>'[10]Dia 4 (a)'!$P19</f>
        <v>20.8</v>
      </c>
      <c r="F13" s="12">
        <f>'[10]Dia 5 (a)'!$P19</f>
        <v>29.4</v>
      </c>
      <c r="G13" s="12">
        <f>'[10]Dia 6 (a)'!$P19</f>
        <v>30.7</v>
      </c>
      <c r="H13" s="12">
        <f>'[10]Dia 7 (a)'!$P19</f>
        <v>25.2</v>
      </c>
      <c r="I13" s="12">
        <f>'[10]Dia 8 (a)'!$P19</f>
        <v>29</v>
      </c>
      <c r="J13" s="12">
        <f>'[10]Dia 9 (a)'!$P19</f>
        <v>25</v>
      </c>
      <c r="K13" s="12">
        <f>'[10]Dia 10 (a)'!$P19</f>
        <v>20.5</v>
      </c>
      <c r="L13" s="12">
        <f>'[10]Dia 11 (a)'!$P19</f>
        <v>24.6</v>
      </c>
      <c r="M13" s="12">
        <f>'[10]Dia 12 (a)'!$P19</f>
        <v>26.6</v>
      </c>
      <c r="N13" s="12">
        <f>'[10]Dia 13 (a)'!$P19</f>
        <v>28.6</v>
      </c>
      <c r="O13" s="12">
        <f>'[10]Dia 14 (a)'!$P19</f>
        <v>24</v>
      </c>
      <c r="P13" s="12">
        <f>'[10]Dia 15 (a)'!$P19</f>
        <v>21.5</v>
      </c>
      <c r="Q13" s="12">
        <f>'[10]Dia 16 (a)'!$P19</f>
        <v>26.4</v>
      </c>
      <c r="R13" s="12">
        <f>'[10]Dia 17 (a)'!$P19</f>
        <v>30.6</v>
      </c>
      <c r="S13" s="12">
        <f>'[10]Dia 18 (a)'!$P19</f>
        <v>20.6</v>
      </c>
      <c r="T13" s="12">
        <f>'[10]Dia 19 (a)'!$P19</f>
        <v>22.7</v>
      </c>
      <c r="U13" s="12">
        <f>'[10]Dia 20 (a)'!$P19</f>
        <v>38.799999999999997</v>
      </c>
      <c r="V13" s="12">
        <f>'[10]Dia 21 (a)'!$P19</f>
        <v>23.3</v>
      </c>
      <c r="W13" s="12">
        <f>'[10]Dia 22 (a)'!$P19</f>
        <v>26.1</v>
      </c>
      <c r="X13" s="12">
        <f>'[10]Dia 23 (a)'!$P19</f>
        <v>32.6</v>
      </c>
      <c r="Y13" s="12">
        <f>'[10]Dia 24 (a)'!$P19</f>
        <v>27.8</v>
      </c>
      <c r="Z13" s="12">
        <f>'[10]Dia 25 (a)'!$P19</f>
        <v>33</v>
      </c>
      <c r="AA13" s="12">
        <f>'[10]Dia 26 (a)'!$P19</f>
        <v>34.6</v>
      </c>
      <c r="AB13" s="12">
        <f>'[10]Dia 27 (a)'!$P19</f>
        <v>35.9</v>
      </c>
      <c r="AC13" s="12">
        <f>'[10]Dia 28 (a)'!$P19</f>
        <v>33.200000000000003</v>
      </c>
      <c r="AD13" s="12">
        <f>'[10]Dia 29 (a)'!$P19</f>
        <v>35.200000000000003</v>
      </c>
      <c r="AE13" s="12">
        <f>'[10]Dia 30 (a)'!$P19</f>
        <v>31.7</v>
      </c>
      <c r="AF13" s="13">
        <f>'[10]Dia 31 (a)'!$P19</f>
        <v>24.6</v>
      </c>
      <c r="AG13" s="14"/>
    </row>
    <row r="14" spans="1:33" ht="20.100000000000001" customHeight="1">
      <c r="A14" s="11">
        <v>17</v>
      </c>
      <c r="B14" s="12">
        <f>'[10]Dia 1 (a)'!$P20</f>
        <v>21.7</v>
      </c>
      <c r="C14" s="12">
        <f>'[10]Dia 2 (a)'!$P20</f>
        <v>23.8</v>
      </c>
      <c r="D14" s="12">
        <f>'[10]Dia 3 (a)'!$P20</f>
        <v>21.2</v>
      </c>
      <c r="E14" s="12">
        <f>'[10]Dia 4 (a)'!$P20</f>
        <v>20</v>
      </c>
      <c r="F14" s="12">
        <f>'[10]Dia 5 (a)'!$P20</f>
        <v>27.5</v>
      </c>
      <c r="G14" s="12">
        <f>'[10]Dia 6 (a)'!$P20</f>
        <v>29.2</v>
      </c>
      <c r="H14" s="12">
        <f>'[10]Dia 7 (a)'!$P20</f>
        <v>24.1</v>
      </c>
      <c r="I14" s="12">
        <f>'[10]Dia 8 (a)'!$P20</f>
        <v>27</v>
      </c>
      <c r="J14" s="12">
        <f>'[10]Dia 9 (a)'!$P20</f>
        <v>24</v>
      </c>
      <c r="K14" s="12">
        <f>'[10]Dia 10 (a)'!$P20</f>
        <v>20.8</v>
      </c>
      <c r="L14" s="12">
        <f>'[10]Dia 11 (a)'!$P20</f>
        <v>24.1</v>
      </c>
      <c r="M14" s="12">
        <f>'[10]Dia 12 (a)'!$P20</f>
        <v>25.3</v>
      </c>
      <c r="N14" s="12">
        <f>'[10]Dia 13 (a)'!$P20</f>
        <v>27.4</v>
      </c>
      <c r="O14" s="12">
        <f>'[10]Dia 14 (a)'!$P20</f>
        <v>23</v>
      </c>
      <c r="P14" s="12">
        <f>'[10]Dia 15 (a)'!$P20</f>
        <v>21.1</v>
      </c>
      <c r="Q14" s="12">
        <f>'[10]Dia 16 (a)'!$P20</f>
        <v>25.4</v>
      </c>
      <c r="R14" s="12">
        <f>'[10]Dia 17 (a)'!$P20</f>
        <v>28.7</v>
      </c>
      <c r="S14" s="12">
        <f>'[10]Dia 18 (a)'!$P20</f>
        <v>20.5</v>
      </c>
      <c r="T14" s="12">
        <f>'[10]Dia 19 (a)'!$P20</f>
        <v>22.6</v>
      </c>
      <c r="U14" s="12">
        <f>'[10]Dia 20 (a)'!$P20</f>
        <v>27.6</v>
      </c>
      <c r="V14" s="12">
        <f>'[10]Dia 21 (a)'!$P20</f>
        <v>23.1</v>
      </c>
      <c r="W14" s="12">
        <f>'[10]Dia 22 (a)'!$P20</f>
        <v>24.8</v>
      </c>
      <c r="X14" s="12">
        <f>'[10]Dia 23 (a)'!$P20</f>
        <v>30</v>
      </c>
      <c r="Y14" s="12">
        <f>'[10]Dia 24 (a)'!$P20</f>
        <v>26.2</v>
      </c>
      <c r="Z14" s="12">
        <f>'[10]Dia 25 (a)'!$P20</f>
        <v>21.6</v>
      </c>
      <c r="AA14" s="12">
        <f>'[10]Dia 26 (a)'!$P20</f>
        <v>33</v>
      </c>
      <c r="AB14" s="12">
        <f>'[10]Dia 27 (a)'!$P20</f>
        <v>34.200000000000003</v>
      </c>
      <c r="AC14" s="12">
        <f>'[10]Dia 28 (a)'!$P20</f>
        <v>32.6</v>
      </c>
      <c r="AD14" s="12">
        <f>'[10]Dia 29 (a)'!$P20</f>
        <v>32.4</v>
      </c>
      <c r="AE14" s="12">
        <f>'[10]Dia 30 (a)'!$P20</f>
        <v>30.6</v>
      </c>
      <c r="AF14" s="13">
        <f>'[10]Dia 31 (a)'!$P20</f>
        <v>24.8</v>
      </c>
      <c r="AG14" s="14"/>
    </row>
    <row r="15" spans="1:33" ht="20.100000000000001" customHeight="1">
      <c r="A15" s="11">
        <v>18</v>
      </c>
      <c r="B15" s="12">
        <f>'[10]Dia 1 (a)'!$P21</f>
        <v>20.7</v>
      </c>
      <c r="C15" s="12">
        <f>'[10]Dia 2 (a)'!$P21</f>
        <v>22.4</v>
      </c>
      <c r="D15" s="12">
        <f>'[10]Dia 3 (a)'!$P21</f>
        <v>20.399999999999999</v>
      </c>
      <c r="E15" s="12">
        <f>'[10]Dia 4 (a)'!$P21</f>
        <v>20</v>
      </c>
      <c r="F15" s="12">
        <f>'[10]Dia 5 (a)'!$P21</f>
        <v>25.9</v>
      </c>
      <c r="G15" s="12">
        <f>'[10]Dia 6 (a)'!$P21</f>
        <v>27.8</v>
      </c>
      <c r="H15" s="12">
        <f>'[10]Dia 7 (a)'!$P21</f>
        <v>23</v>
      </c>
      <c r="I15" s="12">
        <f>'[10]Dia 8 (a)'!$P21</f>
        <v>26</v>
      </c>
      <c r="J15" s="12">
        <f>'[10]Dia 9 (a)'!$P21</f>
        <v>23</v>
      </c>
      <c r="K15" s="12">
        <f>'[10]Dia 10 (a)'!$P21</f>
        <v>20.7</v>
      </c>
      <c r="L15" s="12">
        <f>'[10]Dia 11 (a)'!$P21</f>
        <v>23.5</v>
      </c>
      <c r="M15" s="12">
        <f>'[10]Dia 12 (a)'!$P21</f>
        <v>24</v>
      </c>
      <c r="N15" s="12">
        <f>'[10]Dia 13 (a)'!$P21</f>
        <v>25.4</v>
      </c>
      <c r="O15" s="12">
        <f>'[10]Dia 14 (a)'!$P21</f>
        <v>22.4</v>
      </c>
      <c r="P15" s="12">
        <f>'[10]Dia 15 (a)'!$P21</f>
        <v>20.399999999999999</v>
      </c>
      <c r="Q15" s="12">
        <f>'[10]Dia 16 (a)'!$P21</f>
        <v>24.6</v>
      </c>
      <c r="R15" s="12">
        <f>'[10]Dia 17 (a)'!$P21</f>
        <v>27.1</v>
      </c>
      <c r="S15" s="12">
        <f>'[10]Dia 18 (a)'!$P21</f>
        <v>20.2</v>
      </c>
      <c r="T15" s="12">
        <f>'[10]Dia 19 (a)'!$P21</f>
        <v>22</v>
      </c>
      <c r="U15" s="12">
        <f>'[10]Dia 20 (a)'!$P21</f>
        <v>26.3</v>
      </c>
      <c r="V15" s="12">
        <f>'[10]Dia 21 (a)'!$P21</f>
        <v>22.5</v>
      </c>
      <c r="W15" s="12">
        <f>'[10]Dia 22 (a)'!$P21</f>
        <v>23.9</v>
      </c>
      <c r="X15" s="12">
        <f>'[10]Dia 23 (a)'!$P21</f>
        <v>28.2</v>
      </c>
      <c r="Y15" s="12">
        <f>'[10]Dia 24 (a)'!$P21</f>
        <v>25.2</v>
      </c>
      <c r="Z15" s="12">
        <f>'[10]Dia 25 (a)'!$P21</f>
        <v>29.6</v>
      </c>
      <c r="AA15" s="12">
        <f>'[10]Dia 26 (a)'!$P21</f>
        <v>30.8</v>
      </c>
      <c r="AB15" s="12">
        <f>'[10]Dia 27 (a)'!$P21</f>
        <v>32.6</v>
      </c>
      <c r="AC15" s="12">
        <f>'[10]Dia 28 (a)'!$P21</f>
        <v>31</v>
      </c>
      <c r="AD15" s="12">
        <f>'[10]Dia 29 (a)'!$P21</f>
        <v>32</v>
      </c>
      <c r="AE15" s="12">
        <f>'[10]Dia 30 (a)'!$P21</f>
        <v>29.2</v>
      </c>
      <c r="AF15" s="13">
        <f>'[10]Dia 31 (a)'!$P21</f>
        <v>24.3</v>
      </c>
      <c r="AG15" s="14"/>
    </row>
    <row r="16" spans="1:33" ht="20.100000000000001" customHeight="1">
      <c r="A16" s="11">
        <v>19</v>
      </c>
      <c r="B16" s="12">
        <f>'[10]Dia 1 (a)'!$P22</f>
        <v>20</v>
      </c>
      <c r="C16" s="12">
        <f>'[10]Dia 2 (a)'!$P22</f>
        <v>21.3</v>
      </c>
      <c r="D16" s="12">
        <f>'[10]Dia 3 (a)'!$P22</f>
        <v>20</v>
      </c>
      <c r="E16" s="12">
        <f>'[10]Dia 4 (a)'!$P22</f>
        <v>19</v>
      </c>
      <c r="F16" s="12">
        <f>'[10]Dia 5 (a)'!$P22</f>
        <v>24.2</v>
      </c>
      <c r="G16" s="12">
        <f>'[10]Dia 6 (a)'!$P22</f>
        <v>26.5</v>
      </c>
      <c r="H16" s="12">
        <f>'[10]Dia 7 (a)'!$P22</f>
        <v>21.8</v>
      </c>
      <c r="I16" s="12">
        <f>'[10]Dia 8 (a)'!$P22</f>
        <v>25</v>
      </c>
      <c r="J16" s="12">
        <f>'[10]Dia 9 (a)'!$P22</f>
        <v>22</v>
      </c>
      <c r="K16" s="12">
        <f>'[10]Dia 10 (a)'!$P22</f>
        <v>20.3</v>
      </c>
      <c r="L16" s="12">
        <f>'[10]Dia 11 (a)'!$P22</f>
        <v>22.9</v>
      </c>
      <c r="M16" s="12">
        <f>'[10]Dia 12 (a)'!$P22</f>
        <v>23.2</v>
      </c>
      <c r="N16" s="12">
        <f>'[10]Dia 13 (a)'!$P22</f>
        <v>24.6</v>
      </c>
      <c r="O16" s="12">
        <f>'[10]Dia 14 (a)'!$P22</f>
        <v>21.6</v>
      </c>
      <c r="P16" s="12">
        <f>'[10]Dia 15 (a)'!$P22</f>
        <v>20.399999999999999</v>
      </c>
      <c r="Q16" s="12">
        <f>'[10]Dia 16 (a)'!$P22</f>
        <v>23.6</v>
      </c>
      <c r="R16" s="12">
        <f>'[10]Dia 17 (a)'!$P22</f>
        <v>25.4</v>
      </c>
      <c r="S16" s="12">
        <f>'[10]Dia 18 (a)'!$P22</f>
        <v>19.8</v>
      </c>
      <c r="T16" s="12">
        <f>'[10]Dia 19 (a)'!$P22</f>
        <v>21.2</v>
      </c>
      <c r="U16" s="12">
        <f>'[10]Dia 20 (a)'!$P22</f>
        <v>25</v>
      </c>
      <c r="V16" s="12">
        <f>'[10]Dia 21 (a)'!$P22</f>
        <v>22</v>
      </c>
      <c r="W16" s="12">
        <f>'[10]Dia 22 (a)'!$P22</f>
        <v>23</v>
      </c>
      <c r="X16" s="12">
        <f>'[10]Dia 23 (a)'!$P22</f>
        <v>26.8</v>
      </c>
      <c r="Y16" s="12">
        <f>'[10]Dia 24 (a)'!$P22</f>
        <v>24.3</v>
      </c>
      <c r="Z16" s="12">
        <f>'[10]Dia 25 (a)'!$P22</f>
        <v>27.6</v>
      </c>
      <c r="AA16" s="12">
        <f>'[10]Dia 26 (a)'!$P22</f>
        <v>29</v>
      </c>
      <c r="AB16" s="12">
        <f>'[10]Dia 27 (a)'!$P22</f>
        <v>31.2</v>
      </c>
      <c r="AC16" s="12">
        <f>'[10]Dia 28 (a)'!$P22</f>
        <v>29.2</v>
      </c>
      <c r="AD16" s="12">
        <f>'[10]Dia 29 (a)'!$P22</f>
        <v>30.4</v>
      </c>
      <c r="AE16" s="12">
        <f>'[10]Dia 30 (a)'!$P22</f>
        <v>28.3</v>
      </c>
      <c r="AF16" s="13">
        <f>'[10]Dia 31 (a)'!$P22</f>
        <v>23.6</v>
      </c>
      <c r="AG16" s="14"/>
    </row>
    <row r="17" spans="1:33" ht="20.100000000000001" customHeight="1">
      <c r="A17" s="11">
        <v>20</v>
      </c>
      <c r="B17" s="12">
        <f>'[10]Dia 1 (a)'!$P23</f>
        <v>19.5</v>
      </c>
      <c r="C17" s="12">
        <f>'[10]Dia 2 (a)'!$P23</f>
        <v>20.5</v>
      </c>
      <c r="D17" s="12">
        <f>'[10]Dia 3 (a)'!$P23</f>
        <v>19.2</v>
      </c>
      <c r="E17" s="12">
        <f>'[10]Dia 4 (a)'!$P23</f>
        <v>18.600000000000001</v>
      </c>
      <c r="F17" s="12">
        <f>'[10]Dia 5 (a)'!$P23</f>
        <v>23.1</v>
      </c>
      <c r="G17" s="12">
        <f>'[10]Dia 6 (a)'!$P23</f>
        <v>26</v>
      </c>
      <c r="H17" s="12">
        <f>'[10]Dia 7 (a)'!$P23</f>
        <v>20.9</v>
      </c>
      <c r="I17" s="12">
        <f>'[10]Dia 8 (a)'!$P23</f>
        <v>23.6</v>
      </c>
      <c r="J17" s="12">
        <f>'[10]Dia 9 (a)'!$P23</f>
        <v>21.6</v>
      </c>
      <c r="K17" s="12">
        <f>'[10]Dia 10 (a)'!$P23</f>
        <v>20</v>
      </c>
      <c r="L17" s="12">
        <f>'[10]Dia 11 (a)'!$P23</f>
        <v>22.2</v>
      </c>
      <c r="M17" s="12">
        <f>'[10]Dia 12 (a)'!$P23</f>
        <v>22.4</v>
      </c>
      <c r="N17" s="12">
        <f>'[10]Dia 13 (a)'!$P23</f>
        <v>23.6</v>
      </c>
      <c r="O17" s="12">
        <f>'[10]Dia 14 (a)'!$P23</f>
        <v>21</v>
      </c>
      <c r="P17" s="12">
        <f>'[10]Dia 15 (a)'!$P23</f>
        <v>20</v>
      </c>
      <c r="Q17" s="12">
        <f>'[10]Dia 16 (a)'!$P23</f>
        <v>22.9</v>
      </c>
      <c r="R17" s="12">
        <f>'[10]Dia 17 (a)'!$P23</f>
        <v>24.4</v>
      </c>
      <c r="S17" s="12">
        <f>'[10]Dia 18 (a)'!$P23</f>
        <v>19.600000000000001</v>
      </c>
      <c r="T17" s="12">
        <f>'[10]Dia 19 (a)'!$P23</f>
        <v>20.399999999999999</v>
      </c>
      <c r="U17" s="12">
        <f>'[10]Dia 20 (a)'!$P23</f>
        <v>24.2</v>
      </c>
      <c r="V17" s="12">
        <f>'[10]Dia 21 (a)'!$P23</f>
        <v>21.5</v>
      </c>
      <c r="W17" s="12">
        <f>'[10]Dia 22 (a)'!$P23</f>
        <v>22.2</v>
      </c>
      <c r="X17" s="12">
        <f>'[10]Dia 23 (a)'!$P23</f>
        <v>25.7</v>
      </c>
      <c r="Y17" s="12">
        <f>'[10]Dia 24 (a)'!$P23</f>
        <v>23.4</v>
      </c>
      <c r="Z17" s="12">
        <f>'[10]Dia 25 (a)'!$P23</f>
        <v>26</v>
      </c>
      <c r="AA17" s="12">
        <f>'[10]Dia 26 (a)'!$P23</f>
        <v>27.6</v>
      </c>
      <c r="AB17" s="12">
        <f>'[10]Dia 27 (a)'!$P23</f>
        <v>30.1</v>
      </c>
      <c r="AC17" s="12">
        <f>'[10]Dia 28 (a)'!$P23</f>
        <v>28.4</v>
      </c>
      <c r="AD17" s="12">
        <f>'[10]Dia 29 (a)'!$P23</f>
        <v>27.8</v>
      </c>
      <c r="AE17" s="12">
        <f>'[10]Dia 30 (a)'!$P23</f>
        <v>27.1</v>
      </c>
      <c r="AF17" s="13">
        <f>'[10]Dia 31 (a)'!$P23</f>
        <v>23</v>
      </c>
      <c r="AG17" s="14"/>
    </row>
    <row r="18" spans="1:33" ht="20.100000000000001" customHeight="1">
      <c r="A18" s="11">
        <v>21</v>
      </c>
      <c r="B18" s="12">
        <f>'[10]Dia 1 (a)'!$P24</f>
        <v>19.3</v>
      </c>
      <c r="C18" s="12">
        <f>'[10]Dia 2 (a)'!$P24</f>
        <v>19.899999999999999</v>
      </c>
      <c r="D18" s="12">
        <f>'[10]Dia 3 (a)'!$P24</f>
        <v>18.8</v>
      </c>
      <c r="E18" s="12">
        <f>'[10]Dia 4 (a)'!$P24</f>
        <v>18</v>
      </c>
      <c r="F18" s="12">
        <f>'[10]Dia 5 (a)'!$P24</f>
        <v>22.4</v>
      </c>
      <c r="G18" s="12">
        <f>'[10]Dia 6 (a)'!$P24</f>
        <v>24.6</v>
      </c>
      <c r="H18" s="12">
        <f>'[10]Dia 7 (a)'!$P24</f>
        <v>20.399999999999999</v>
      </c>
      <c r="I18" s="12">
        <f>'[10]Dia 8 (a)'!$P24</f>
        <v>22</v>
      </c>
      <c r="J18" s="12">
        <f>'[10]Dia 9 (a)'!$P24</f>
        <v>20.399999999999999</v>
      </c>
      <c r="K18" s="12">
        <f>'[10]Dia 10 (a)'!$P24</f>
        <v>19.7</v>
      </c>
      <c r="L18" s="12">
        <f>'[10]Dia 11 (a)'!$P24</f>
        <v>21.8</v>
      </c>
      <c r="M18" s="12">
        <f>'[10]Dia 12 (a)'!$P24</f>
        <v>21.8</v>
      </c>
      <c r="N18" s="12">
        <f>'[10]Dia 13 (a)'!$P24</f>
        <v>22.6</v>
      </c>
      <c r="O18" s="12">
        <f>'[10]Dia 14 (a)'!$P24</f>
        <v>20.8</v>
      </c>
      <c r="P18" s="12">
        <f>'[10]Dia 15 (a)'!$P24</f>
        <v>19.7</v>
      </c>
      <c r="Q18" s="12">
        <f>'[10]Dia 16 (a)'!$P24</f>
        <v>22.2</v>
      </c>
      <c r="R18" s="12">
        <f>'[10]Dia 17 (a)'!$P24</f>
        <v>23.6</v>
      </c>
      <c r="S18" s="12">
        <f>'[10]Dia 18 (a)'!$P24</f>
        <v>19.399999999999999</v>
      </c>
      <c r="T18" s="12">
        <f>'[10]Dia 19 (a)'!$P24</f>
        <v>19.899999999999999</v>
      </c>
      <c r="U18" s="12">
        <f>'[10]Dia 20 (a)'!$P24</f>
        <v>23.6</v>
      </c>
      <c r="V18" s="12">
        <f>'[10]Dia 21 (a)'!$P24</f>
        <v>21.3</v>
      </c>
      <c r="W18" s="12">
        <f>'[10]Dia 22 (a)'!$P24</f>
        <v>21.6</v>
      </c>
      <c r="X18" s="12">
        <f>'[10]Dia 23 (a)'!$P24</f>
        <v>24.7</v>
      </c>
      <c r="Y18" s="12">
        <f>'[10]Dia 24 (a)'!$P24</f>
        <v>22.6</v>
      </c>
      <c r="Z18" s="12">
        <f>'[10]Dia 25 (a)'!$P24</f>
        <v>24.6</v>
      </c>
      <c r="AA18" s="12">
        <f>'[10]Dia 26 (a)'!$P24</f>
        <v>26.6</v>
      </c>
      <c r="AB18" s="12">
        <f>'[10]Dia 27 (a)'!$P24</f>
        <v>29</v>
      </c>
      <c r="AC18" s="12">
        <f>'[10]Dia 28 (a)'!$P24</f>
        <v>27.6</v>
      </c>
      <c r="AD18" s="12">
        <f>'[10]Dia 29 (a)'!$P24</f>
        <v>26.3</v>
      </c>
      <c r="AE18" s="12">
        <f>'[10]Dia 30 (a)'!$P24</f>
        <v>26.3</v>
      </c>
      <c r="AF18" s="13">
        <f>'[10]Dia 31 (a)'!$P24</f>
        <v>22.5</v>
      </c>
      <c r="AG18" s="14"/>
    </row>
    <row r="19" spans="1:33" ht="20.100000000000001" customHeight="1">
      <c r="A19" s="11">
        <v>22</v>
      </c>
      <c r="B19" s="12">
        <f>'[10]Dia 1 (a)'!$P25</f>
        <v>18.899999999999999</v>
      </c>
      <c r="C19" s="12">
        <f>'[10]Dia 2 (a)'!$P25</f>
        <v>19.399999999999999</v>
      </c>
      <c r="D19" s="12">
        <f>'[10]Dia 3 (a)'!$P25</f>
        <v>18.600000000000001</v>
      </c>
      <c r="E19" s="12">
        <f>'[10]Dia 4 (a)'!$P25</f>
        <v>17.8</v>
      </c>
      <c r="F19" s="12">
        <f>'[10]Dia 5 (a)'!$P25</f>
        <v>21.7</v>
      </c>
      <c r="G19" s="12">
        <f>'[10]Dia 6 (a)'!$P25</f>
        <v>24.1</v>
      </c>
      <c r="H19" s="12">
        <f>'[10]Dia 7 (a)'!$P25</f>
        <v>20</v>
      </c>
      <c r="I19" s="12">
        <f>'[10]Dia 8 (a)'!$P25</f>
        <v>21.8</v>
      </c>
      <c r="J19" s="12">
        <f>'[10]Dia 9 (a)'!$P25</f>
        <v>20</v>
      </c>
      <c r="K19" s="12">
        <f>'[10]Dia 10 (a)'!$P25</f>
        <v>19.399999999999999</v>
      </c>
      <c r="L19" s="12">
        <f>'[10]Dia 11 (a)'!$P25</f>
        <v>21.2</v>
      </c>
      <c r="M19" s="12">
        <f>'[10]Dia 12 (a)'!$P25</f>
        <v>21.3</v>
      </c>
      <c r="N19" s="12">
        <f>'[10]Dia 13 (a)'!$P25</f>
        <v>22.2</v>
      </c>
      <c r="O19" s="12">
        <f>'[10]Dia 14 (a)'!$P25</f>
        <v>20.6</v>
      </c>
      <c r="P19" s="12">
        <f>'[10]Dia 15 (a)'!$P25</f>
        <v>19.5</v>
      </c>
      <c r="Q19" s="12">
        <f>'[10]Dia 16 (a)'!$P25</f>
        <v>21.5</v>
      </c>
      <c r="R19" s="12">
        <f>'[10]Dia 17 (a)'!$P25</f>
        <v>22.8</v>
      </c>
      <c r="S19" s="12">
        <f>'[10]Dia 18 (a)'!$P25</f>
        <v>19.3</v>
      </c>
      <c r="T19" s="12">
        <f>'[10]Dia 19 (a)'!$P25</f>
        <v>19.5</v>
      </c>
      <c r="U19" s="12">
        <f>'[10]Dia 20 (a)'!$P25</f>
        <v>23.1</v>
      </c>
      <c r="V19" s="12">
        <f>'[10]Dia 21 (a)'!$P25</f>
        <v>21</v>
      </c>
      <c r="W19" s="12">
        <f>'[10]Dia 22 (a)'!$P25</f>
        <v>21.2</v>
      </c>
      <c r="X19" s="12">
        <f>'[10]Dia 23 (a)'!$P25</f>
        <v>23.8</v>
      </c>
      <c r="Y19" s="12">
        <f>'[10]Dia 24 (a)'!$P25</f>
        <v>22</v>
      </c>
      <c r="Z19" s="12">
        <f>'[10]Dia 25 (a)'!$P25</f>
        <v>24</v>
      </c>
      <c r="AA19" s="12">
        <f>'[10]Dia 26 (a)'!$P25</f>
        <v>25.2</v>
      </c>
      <c r="AB19" s="12">
        <f>'[10]Dia 27 (a)'!$P25</f>
        <v>28.4</v>
      </c>
      <c r="AC19" s="12">
        <f>'[10]Dia 28 (a)'!$P25</f>
        <v>26.9</v>
      </c>
      <c r="AD19" s="12">
        <f>'[10]Dia 29 (a)'!$P25</f>
        <v>25.4</v>
      </c>
      <c r="AE19" s="12">
        <f>'[10]Dia 30 (a)'!$P25</f>
        <v>25.6</v>
      </c>
      <c r="AF19" s="13">
        <f>'[10]Dia 31 (a)'!$P25</f>
        <v>22.2</v>
      </c>
      <c r="AG19" s="14"/>
    </row>
    <row r="20" spans="1:33" ht="20.100000000000001" customHeight="1">
      <c r="A20" s="11">
        <v>23</v>
      </c>
      <c r="B20" s="12">
        <f>'[10]Dia 1 (a)'!$P26</f>
        <v>18.600000000000001</v>
      </c>
      <c r="C20" s="12">
        <f>'[10]Dia 2 (a)'!$P26</f>
        <v>19</v>
      </c>
      <c r="D20" s="12">
        <f>'[10]Dia 3 (a)'!$P26</f>
        <v>18.2</v>
      </c>
      <c r="E20" s="12">
        <f>'[10]Dia 4 (a)'!$P26</f>
        <v>17.600000000000001</v>
      </c>
      <c r="F20" s="12">
        <f>'[10]Dia 5 (a)'!$P26</f>
        <v>21.2</v>
      </c>
      <c r="G20" s="12">
        <f>'[10]Dia 6 (a)'!$P26</f>
        <v>22.8</v>
      </c>
      <c r="H20" s="12">
        <f>'[10]Dia 7 (a)'!$P26</f>
        <v>19.600000000000001</v>
      </c>
      <c r="I20" s="12">
        <f>'[10]Dia 8 (a)'!$P26</f>
        <v>20.8</v>
      </c>
      <c r="J20" s="12">
        <f>'[10]Dia 9 (a)'!$P26</f>
        <v>19.8</v>
      </c>
      <c r="K20" s="12">
        <f>'[10]Dia 10 (a)'!$P26</f>
        <v>19.2</v>
      </c>
      <c r="L20" s="12">
        <f>'[10]Dia 11 (a)'!$P26</f>
        <v>20.7</v>
      </c>
      <c r="M20" s="12">
        <f>'[10]Dia 12 (a)'!$P26</f>
        <v>21</v>
      </c>
      <c r="N20" s="12">
        <f>'[10]Dia 13 (a)'!$P26</f>
        <v>21.8</v>
      </c>
      <c r="O20" s="12">
        <f>'[10]Dia 14 (a)'!$P26</f>
        <v>20.399999999999999</v>
      </c>
      <c r="P20" s="12">
        <f>'[10]Dia 15 (a)'!$P26</f>
        <v>19.3</v>
      </c>
      <c r="Q20" s="12">
        <f>'[10]Dia 16 (a)'!$P26</f>
        <v>21.3</v>
      </c>
      <c r="R20" s="12">
        <f>'[10]Dia 17 (a)'!$P26</f>
        <v>22.6</v>
      </c>
      <c r="S20" s="12">
        <f>'[10]Dia 18 (a)'!$P26</f>
        <v>19</v>
      </c>
      <c r="T20" s="12">
        <f>'[10]Dia 19 (a)'!$P26</f>
        <v>19.2</v>
      </c>
      <c r="U20" s="12">
        <f>'[10]Dia 20 (a)'!$P26</f>
        <v>22.7</v>
      </c>
      <c r="V20" s="12">
        <f>'[10]Dia 21 (a)'!$P26</f>
        <v>20.7</v>
      </c>
      <c r="W20" s="12">
        <f>'[10]Dia 22 (a)'!$P26</f>
        <v>20.7</v>
      </c>
      <c r="X20" s="12">
        <f>'[10]Dia 23 (a)'!$P26</f>
        <v>23</v>
      </c>
      <c r="Y20" s="12">
        <f>'[10]Dia 24 (a)'!$P26</f>
        <v>21.4</v>
      </c>
      <c r="Z20" s="12">
        <f>'[10]Dia 25 (a)'!$P26</f>
        <v>23.4</v>
      </c>
      <c r="AA20" s="12">
        <f>'[10]Dia 26 (a)'!$P26</f>
        <v>24.8</v>
      </c>
      <c r="AB20" s="12">
        <f>'[10]Dia 27 (a)'!$P26</f>
        <v>27.7</v>
      </c>
      <c r="AC20" s="12">
        <f>'[10]Dia 28 (a)'!$P26</f>
        <v>26.4</v>
      </c>
      <c r="AD20" s="12">
        <f>'[10]Dia 29 (a)'!$P26</f>
        <v>24.6</v>
      </c>
      <c r="AE20" s="12">
        <f>'[10]Dia 30 (a)'!$P26</f>
        <v>25.1</v>
      </c>
      <c r="AF20" s="13">
        <f>'[10]Dia 31 (a)'!$P26</f>
        <v>21.8</v>
      </c>
      <c r="AG20" s="14"/>
    </row>
    <row r="21" spans="1:33" ht="20.100000000000001" customHeight="1" thickBot="1">
      <c r="A21" s="16">
        <v>24</v>
      </c>
      <c r="B21" s="17">
        <f>'[10]Dia 1 (a)'!$P27</f>
        <v>18.2</v>
      </c>
      <c r="C21" s="17">
        <f>'[10]Dia 2 (a)'!$P27</f>
        <v>18.600000000000001</v>
      </c>
      <c r="D21" s="17">
        <f>'[10]Dia 3 (a)'!$P27</f>
        <v>18</v>
      </c>
      <c r="E21" s="17">
        <f>'[10]Dia 4 (a)'!$P27</f>
        <v>17.399999999999999</v>
      </c>
      <c r="F21" s="17">
        <f>'[10]Dia 5 (a)'!$P27</f>
        <v>20.2</v>
      </c>
      <c r="G21" s="17">
        <f>'[10]Dia 6 (a)'!$P27</f>
        <v>22.5</v>
      </c>
      <c r="H21" s="17">
        <f>'[10]Dia 7 (a)'!$P27</f>
        <v>19.2</v>
      </c>
      <c r="I21" s="17">
        <f>'[10]Dia 8 (a)'!$P27</f>
        <v>20.6</v>
      </c>
      <c r="J21" s="17">
        <f>'[10]Dia 9 (a)'!$P27</f>
        <v>19.8</v>
      </c>
      <c r="K21" s="17">
        <f>'[10]Dia 10 (a)'!$P27</f>
        <v>19.100000000000001</v>
      </c>
      <c r="L21" s="17">
        <f>'[10]Dia 11 (a)'!$P27</f>
        <v>20.5</v>
      </c>
      <c r="M21" s="17">
        <f>'[10]Dia 12 (a)'!$P27</f>
        <v>20.6</v>
      </c>
      <c r="N21" s="17">
        <f>'[10]Dia 13 (a)'!$P27</f>
        <v>21</v>
      </c>
      <c r="O21" s="17">
        <f>'[10]Dia 14 (a)'!$P27</f>
        <v>20</v>
      </c>
      <c r="P21" s="17">
        <f>'[10]Dia 15 (a)'!$P27</f>
        <v>19.2</v>
      </c>
      <c r="Q21" s="17">
        <f>'[10]Dia 16 (a)'!$P27</f>
        <v>20.8</v>
      </c>
      <c r="R21" s="17">
        <f>'[10]Dia 17 (a)'!$P27</f>
        <v>22.2</v>
      </c>
      <c r="S21" s="17">
        <f>'[10]Dia 18 (a)'!$P27</f>
        <v>18.899999999999999</v>
      </c>
      <c r="T21" s="17">
        <f>'[10]Dia 19 (a)'!$P27</f>
        <v>19</v>
      </c>
      <c r="U21" s="17">
        <f>'[10]Dia 20 (a)'!$P27</f>
        <v>22</v>
      </c>
      <c r="V21" s="17">
        <f>'[10]Dia 21 (a)'!$P27</f>
        <v>20.5</v>
      </c>
      <c r="W21" s="17">
        <f>'[10]Dia 22 (a)'!$P27</f>
        <v>20.2</v>
      </c>
      <c r="X21" s="17">
        <f>'[10]Dia 23 (a)'!$P27</f>
        <v>22.6</v>
      </c>
      <c r="Y21" s="17">
        <f>'[10]Dia 24 (a)'!$P27</f>
        <v>21.2</v>
      </c>
      <c r="Z21" s="17">
        <f>'[10]Dia 25 (a)'!$P27</f>
        <v>22.8</v>
      </c>
      <c r="AA21" s="17">
        <f>'[10]Dia 26 (a)'!$P27</f>
        <v>24</v>
      </c>
      <c r="AB21" s="17">
        <f>'[10]Dia 27 (a)'!$P27</f>
        <v>26.9</v>
      </c>
      <c r="AC21" s="17">
        <f>'[10]Dia 28 (a)'!$P27</f>
        <v>25.8</v>
      </c>
      <c r="AD21" s="17">
        <f>'[10]Dia 29 (a)'!$P27</f>
        <v>24.2</v>
      </c>
      <c r="AE21" s="17">
        <f>'[10]Dia 30 (a)'!$P27</f>
        <v>24.8</v>
      </c>
      <c r="AF21" s="18">
        <f>'[10]Dia 31 (a)'!$P27</f>
        <v>21.4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19.638888888888889</v>
      </c>
      <c r="C25" s="26">
        <f t="shared" ref="C25:AF25" si="0">AVERAGE(C4:C21)</f>
        <v>20.944444444444443</v>
      </c>
      <c r="D25" s="26">
        <f t="shared" si="0"/>
        <v>20.644444444444446</v>
      </c>
      <c r="E25" s="26">
        <f t="shared" si="0"/>
        <v>19.000000000000004</v>
      </c>
      <c r="F25" s="26">
        <f t="shared" si="0"/>
        <v>23.483333333333331</v>
      </c>
      <c r="G25" s="26">
        <f t="shared" si="0"/>
        <v>25.911111111111111</v>
      </c>
      <c r="H25" s="26">
        <f t="shared" si="0"/>
        <v>21.994444444444444</v>
      </c>
      <c r="I25" s="26">
        <f t="shared" si="0"/>
        <v>23.983333333333334</v>
      </c>
      <c r="J25" s="26">
        <f t="shared" si="0"/>
        <v>23.022222222222226</v>
      </c>
      <c r="K25" s="26">
        <f t="shared" si="0"/>
        <v>19.749999999999996</v>
      </c>
      <c r="L25" s="26">
        <f t="shared" si="0"/>
        <v>22.272222222222222</v>
      </c>
      <c r="M25" s="26">
        <f t="shared" si="0"/>
        <v>23.522222222222226</v>
      </c>
      <c r="N25" s="26">
        <f t="shared" si="0"/>
        <v>24.266666666666666</v>
      </c>
      <c r="O25" s="26">
        <f t="shared" si="0"/>
        <v>22.772222222222226</v>
      </c>
      <c r="P25" s="26">
        <f t="shared" si="0"/>
        <v>20.816666666666663</v>
      </c>
      <c r="Q25" s="26">
        <f t="shared" si="0"/>
        <v>23.966666666666669</v>
      </c>
      <c r="R25" s="26">
        <f t="shared" si="0"/>
        <v>25.322222222222223</v>
      </c>
      <c r="S25" s="26">
        <f t="shared" si="0"/>
        <v>20.066666666666666</v>
      </c>
      <c r="T25" s="26">
        <f t="shared" si="0"/>
        <v>20.472222222222214</v>
      </c>
      <c r="U25" s="26">
        <f t="shared" si="0"/>
        <v>25.577777777777779</v>
      </c>
      <c r="V25" s="26">
        <f t="shared" si="0"/>
        <v>21.805555555555557</v>
      </c>
      <c r="W25" s="26">
        <f t="shared" si="0"/>
        <v>23.972222222222218</v>
      </c>
      <c r="X25" s="26">
        <f t="shared" si="0"/>
        <v>27.077777777777779</v>
      </c>
      <c r="Y25" s="26">
        <f>AVERAGE(Y4:Y21)</f>
        <v>24.288888888888888</v>
      </c>
      <c r="Z25" s="26">
        <f t="shared" si="0"/>
        <v>26.938888888888894</v>
      </c>
      <c r="AA25" s="26">
        <f t="shared" si="0"/>
        <v>28.800000000000004</v>
      </c>
      <c r="AB25" s="26">
        <f t="shared" si="0"/>
        <v>30.694444444444443</v>
      </c>
      <c r="AC25" s="26">
        <f t="shared" si="0"/>
        <v>28.838888888888885</v>
      </c>
      <c r="AD25" s="26">
        <f t="shared" si="0"/>
        <v>30.188888888888886</v>
      </c>
      <c r="AE25" s="26">
        <f t="shared" si="0"/>
        <v>28.250000000000004</v>
      </c>
      <c r="AF25" s="27">
        <f t="shared" si="0"/>
        <v>23.311111111111114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22.4</v>
      </c>
      <c r="C29" s="26">
        <f t="shared" ref="C29:AF29" si="1">MAX(C4:C21)</f>
        <v>25.6</v>
      </c>
      <c r="D29" s="26">
        <f t="shared" si="1"/>
        <v>25.6</v>
      </c>
      <c r="E29" s="26">
        <f t="shared" si="1"/>
        <v>21</v>
      </c>
      <c r="F29" s="26">
        <f t="shared" si="1"/>
        <v>30.4</v>
      </c>
      <c r="G29" s="26">
        <f t="shared" si="1"/>
        <v>31.7</v>
      </c>
      <c r="H29" s="26">
        <f t="shared" si="1"/>
        <v>25.6</v>
      </c>
      <c r="I29" s="26">
        <f t="shared" si="1"/>
        <v>30</v>
      </c>
      <c r="J29" s="26">
        <f t="shared" si="1"/>
        <v>27.8</v>
      </c>
      <c r="K29" s="26">
        <f t="shared" si="1"/>
        <v>20.8</v>
      </c>
      <c r="L29" s="26">
        <f t="shared" si="1"/>
        <v>25</v>
      </c>
      <c r="M29" s="26">
        <f t="shared" si="1"/>
        <v>29.8</v>
      </c>
      <c r="N29" s="26">
        <f t="shared" si="1"/>
        <v>30</v>
      </c>
      <c r="O29" s="26">
        <f t="shared" si="1"/>
        <v>27</v>
      </c>
      <c r="P29" s="26">
        <f t="shared" si="1"/>
        <v>23.1</v>
      </c>
      <c r="Q29" s="26">
        <f t="shared" si="1"/>
        <v>30.2</v>
      </c>
      <c r="R29" s="26">
        <f t="shared" si="1"/>
        <v>32</v>
      </c>
      <c r="S29" s="26">
        <f t="shared" si="1"/>
        <v>20.8</v>
      </c>
      <c r="T29" s="26">
        <f t="shared" si="1"/>
        <v>23.3</v>
      </c>
      <c r="U29" s="26">
        <f t="shared" si="1"/>
        <v>38.799999999999997</v>
      </c>
      <c r="V29" s="26">
        <f t="shared" si="1"/>
        <v>24.1</v>
      </c>
      <c r="W29" s="26">
        <f t="shared" si="1"/>
        <v>29.2</v>
      </c>
      <c r="X29" s="26">
        <f t="shared" si="1"/>
        <v>34.6</v>
      </c>
      <c r="Y29" s="26">
        <f>MAX(Y4:Y21)</f>
        <v>30.8</v>
      </c>
      <c r="Z29" s="26">
        <f t="shared" si="1"/>
        <v>34.299999999999997</v>
      </c>
      <c r="AA29" s="26">
        <f t="shared" si="1"/>
        <v>36.4</v>
      </c>
      <c r="AB29" s="26">
        <f t="shared" si="1"/>
        <v>36.9</v>
      </c>
      <c r="AC29" s="26">
        <f t="shared" si="1"/>
        <v>34</v>
      </c>
      <c r="AD29" s="26">
        <f t="shared" si="1"/>
        <v>36.6</v>
      </c>
      <c r="AE29" s="26">
        <f t="shared" si="1"/>
        <v>34</v>
      </c>
      <c r="AF29" s="27">
        <f t="shared" si="1"/>
        <v>25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16.399999999999999</v>
      </c>
      <c r="C33" s="26">
        <f t="shared" ref="C33:AF33" si="2">MIN(C4:C21)</f>
        <v>16.8</v>
      </c>
      <c r="D33" s="26">
        <f t="shared" si="2"/>
        <v>17.3</v>
      </c>
      <c r="E33" s="26">
        <f t="shared" si="2"/>
        <v>17.399999999999999</v>
      </c>
      <c r="F33" s="26">
        <f t="shared" si="2"/>
        <v>17</v>
      </c>
      <c r="G33" s="26">
        <f t="shared" si="2"/>
        <v>19.100000000000001</v>
      </c>
      <c r="H33" s="26">
        <f t="shared" si="2"/>
        <v>19.2</v>
      </c>
      <c r="I33" s="26">
        <f t="shared" si="2"/>
        <v>18.2</v>
      </c>
      <c r="J33" s="26">
        <f t="shared" si="2"/>
        <v>18.399999999999999</v>
      </c>
      <c r="K33" s="26">
        <f t="shared" si="2"/>
        <v>19.100000000000001</v>
      </c>
      <c r="L33" s="26">
        <f t="shared" si="2"/>
        <v>18.600000000000001</v>
      </c>
      <c r="M33" s="26">
        <f t="shared" si="2"/>
        <v>19</v>
      </c>
      <c r="N33" s="26">
        <f t="shared" si="2"/>
        <v>19.5</v>
      </c>
      <c r="O33" s="26">
        <f t="shared" si="2"/>
        <v>19.399999999999999</v>
      </c>
      <c r="P33" s="26">
        <f t="shared" si="2"/>
        <v>19.2</v>
      </c>
      <c r="Q33" s="26">
        <f t="shared" si="2"/>
        <v>18.3</v>
      </c>
      <c r="R33" s="26">
        <f t="shared" si="2"/>
        <v>18.2</v>
      </c>
      <c r="S33" s="26">
        <f t="shared" si="2"/>
        <v>18.899999999999999</v>
      </c>
      <c r="T33" s="26">
        <f t="shared" si="2"/>
        <v>18.7</v>
      </c>
      <c r="U33" s="26">
        <f t="shared" si="2"/>
        <v>18.399999999999999</v>
      </c>
      <c r="V33" s="26">
        <f t="shared" si="2"/>
        <v>20</v>
      </c>
      <c r="W33" s="26">
        <f t="shared" si="2"/>
        <v>20</v>
      </c>
      <c r="X33" s="26">
        <f t="shared" si="2"/>
        <v>19</v>
      </c>
      <c r="Y33" s="26">
        <f>MIN(Y4:Y21)</f>
        <v>19.399999999999999</v>
      </c>
      <c r="Z33" s="26">
        <f t="shared" si="2"/>
        <v>20</v>
      </c>
      <c r="AA33" s="26">
        <f t="shared" si="2"/>
        <v>19.7</v>
      </c>
      <c r="AB33" s="26">
        <f t="shared" si="2"/>
        <v>22</v>
      </c>
      <c r="AC33" s="26">
        <f t="shared" si="2"/>
        <v>23.8</v>
      </c>
      <c r="AD33" s="26">
        <f t="shared" si="2"/>
        <v>23.3</v>
      </c>
      <c r="AE33" s="26">
        <f t="shared" si="2"/>
        <v>21.9</v>
      </c>
      <c r="AF33" s="27">
        <f t="shared" si="2"/>
        <v>21.4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6</v>
      </c>
      <c r="C37" s="26">
        <f t="shared" si="3"/>
        <v>8.8000000000000007</v>
      </c>
      <c r="D37" s="26">
        <f t="shared" si="3"/>
        <v>8.3000000000000007</v>
      </c>
      <c r="E37" s="26">
        <f t="shared" si="3"/>
        <v>3.6000000000000014</v>
      </c>
      <c r="F37" s="26">
        <f t="shared" si="3"/>
        <v>13.399999999999999</v>
      </c>
      <c r="G37" s="26">
        <f t="shared" si="3"/>
        <v>12.599999999999998</v>
      </c>
      <c r="H37" s="26">
        <f t="shared" si="3"/>
        <v>6.4000000000000021</v>
      </c>
      <c r="I37" s="26">
        <f t="shared" si="3"/>
        <v>11.8</v>
      </c>
      <c r="J37" s="26">
        <f t="shared" si="3"/>
        <v>9.4000000000000021</v>
      </c>
      <c r="K37" s="26">
        <f t="shared" si="3"/>
        <v>1.6999999999999993</v>
      </c>
      <c r="L37" s="26">
        <f t="shared" si="3"/>
        <v>6.3999999999999986</v>
      </c>
      <c r="M37" s="26">
        <f t="shared" si="3"/>
        <v>10.8</v>
      </c>
      <c r="N37" s="26">
        <f t="shared" si="3"/>
        <v>10.5</v>
      </c>
      <c r="O37" s="26">
        <f t="shared" si="3"/>
        <v>7.6000000000000014</v>
      </c>
      <c r="P37" s="26">
        <f t="shared" si="3"/>
        <v>3.9000000000000021</v>
      </c>
      <c r="Q37" s="26">
        <f t="shared" si="3"/>
        <v>11.899999999999999</v>
      </c>
      <c r="R37" s="26">
        <f t="shared" si="3"/>
        <v>13.8</v>
      </c>
      <c r="S37" s="26">
        <f t="shared" si="3"/>
        <v>1.9000000000000021</v>
      </c>
      <c r="T37" s="26">
        <f t="shared" si="3"/>
        <v>4.6000000000000014</v>
      </c>
      <c r="U37" s="26">
        <f t="shared" si="3"/>
        <v>20.399999999999999</v>
      </c>
      <c r="V37" s="26">
        <f t="shared" si="3"/>
        <v>4.1000000000000014</v>
      </c>
      <c r="W37" s="26">
        <f t="shared" si="3"/>
        <v>9.1999999999999993</v>
      </c>
      <c r="X37" s="26">
        <f t="shared" si="3"/>
        <v>15.600000000000001</v>
      </c>
      <c r="Y37" s="26">
        <f t="shared" si="3"/>
        <v>11.400000000000002</v>
      </c>
      <c r="Z37" s="26">
        <f t="shared" si="3"/>
        <v>14.299999999999997</v>
      </c>
      <c r="AA37" s="26">
        <f t="shared" si="3"/>
        <v>16.7</v>
      </c>
      <c r="AB37" s="26">
        <f t="shared" si="3"/>
        <v>14.899999999999999</v>
      </c>
      <c r="AC37" s="26">
        <f t="shared" si="3"/>
        <v>10.199999999999999</v>
      </c>
      <c r="AD37" s="26">
        <f t="shared" si="3"/>
        <v>13.3</v>
      </c>
      <c r="AE37" s="26">
        <f t="shared" si="3"/>
        <v>12.100000000000001</v>
      </c>
      <c r="AF37" s="27">
        <f t="shared" si="3"/>
        <v>3.6000000000000014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23.92240143369175</v>
      </c>
      <c r="I43" s="39"/>
      <c r="J43" s="41"/>
      <c r="K43" s="40">
        <f>MAX(B29:AF29)</f>
        <v>38.799999999999997</v>
      </c>
      <c r="L43" s="41"/>
      <c r="M43" s="41"/>
      <c r="N43" s="40">
        <f>MIN(B33:AF33)</f>
        <v>16.399999999999999</v>
      </c>
      <c r="O43" s="41"/>
      <c r="P43" s="41"/>
      <c r="Q43" s="40">
        <f>K43-N43</f>
        <v>22.4</v>
      </c>
      <c r="R43" s="39"/>
      <c r="S43" s="40"/>
      <c r="T43" s="40">
        <f>AVERAGE(B29:AF29)</f>
        <v>28.929032258064513</v>
      </c>
      <c r="U43" s="40"/>
      <c r="V43" s="40">
        <f>AVERAGE(B33:AF33)</f>
        <v>19.277419354838703</v>
      </c>
      <c r="W43" s="40"/>
      <c r="X43" s="40">
        <f>T43-V43</f>
        <v>9.6516129032258107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(a)'!$P10</f>
        <v>19.600000000000001</v>
      </c>
      <c r="C4" s="12">
        <f>'[11]Dia 2 (a)'!$P10</f>
        <v>16.7</v>
      </c>
      <c r="D4" s="12">
        <f>'[11]Dia 3 (a)'!$P10</f>
        <v>14.8</v>
      </c>
      <c r="E4" s="12">
        <f>'[11]Dia 4 (a)'!$P10</f>
        <v>13.7</v>
      </c>
      <c r="F4" s="12">
        <f>'[11]Dia 5 (a)'!$P10</f>
        <v>15.6</v>
      </c>
      <c r="G4" s="12">
        <f>'[11]Dia 6 (a)'!$P10</f>
        <v>15.8</v>
      </c>
      <c r="H4" s="12">
        <f>'[11]Dia 7 (a)'!$P10</f>
        <v>16.8</v>
      </c>
      <c r="I4" s="12">
        <f>'[11]Dia 8 (a)'!$P10</f>
        <v>14.9</v>
      </c>
      <c r="J4" s="12">
        <f>'[11]Dia 9 (a)'!$P10</f>
        <v>18</v>
      </c>
      <c r="K4" s="12">
        <f>'[11]Dia 10 (a)'!$P10</f>
        <v>19.399999999999999</v>
      </c>
      <c r="L4" s="12">
        <f>'[11]Dia 11 (a)'!$P10</f>
        <v>20</v>
      </c>
      <c r="M4" s="12">
        <f>'[11]Dia 12 (a)'!$P10</f>
        <v>20.3</v>
      </c>
      <c r="N4" s="12">
        <f>'[11]Dia 13 (a)'!$P10</f>
        <v>20.6</v>
      </c>
      <c r="O4" s="12">
        <f>'[11]Dia 14 (a)'!$P10</f>
        <v>22.4</v>
      </c>
      <c r="P4" s="12">
        <f>'[11]Dia 15 (a)'!$P10</f>
        <v>21.2</v>
      </c>
      <c r="Q4" s="12">
        <f>'[11]Dia 16 (a)'!$P10</f>
        <v>19.8</v>
      </c>
      <c r="R4" s="12">
        <f>'[11]Dia 17 (a)'!$P10</f>
        <v>17.7</v>
      </c>
      <c r="S4" s="12">
        <f>'[11]Dia 18 (a)'!$P10</f>
        <v>19.600000000000001</v>
      </c>
      <c r="T4" s="12">
        <f>'[11]Dia 19 (a)'!$P10</f>
        <v>21.1</v>
      </c>
      <c r="U4" s="12">
        <f>'[11]Dia 20 (a)'!$P10</f>
        <v>22.8</v>
      </c>
      <c r="V4" s="12">
        <f>'[11]Dia 21 (a)'!$P10</f>
        <v>21</v>
      </c>
      <c r="W4" s="12">
        <f>'[11]Dia 22 (a)'!$P10</f>
        <v>22.2</v>
      </c>
      <c r="X4" s="12">
        <f>'[11]Dia 23 (a)'!$P10</f>
        <v>22.1</v>
      </c>
      <c r="Y4" s="12">
        <f>'[11]Dia 24 (a)'!$P10</f>
        <v>19.600000000000001</v>
      </c>
      <c r="Z4" s="12">
        <f>'[11]Dia 25 (a)'!$P10</f>
        <v>18.8</v>
      </c>
      <c r="AA4" s="12">
        <f>'[11]Dia 26 (a)'!$P10</f>
        <v>18.100000000000001</v>
      </c>
      <c r="AB4" s="12">
        <f>'[11]Dia 27 (a)'!$P10</f>
        <v>19</v>
      </c>
      <c r="AC4" s="12">
        <f>'[11]Dia 28 (a)'!$P10</f>
        <v>20.8</v>
      </c>
      <c r="AD4" s="12">
        <f>'[11]Dia 29 (a)'!$P10</f>
        <v>20.2</v>
      </c>
      <c r="AE4" s="12">
        <f>'[11]Dia 30 (a)'!$P10</f>
        <v>19.7</v>
      </c>
      <c r="AF4" s="13"/>
      <c r="AG4" s="14"/>
    </row>
    <row r="5" spans="1:33" ht="20.100000000000001" customHeight="1">
      <c r="A5" s="11">
        <v>8</v>
      </c>
      <c r="B5" s="12">
        <f>'[11]Dia 1 (a)'!$P11</f>
        <v>19.8</v>
      </c>
      <c r="C5" s="12">
        <f>'[11]Dia 2 (a)'!$P11</f>
        <v>16.8</v>
      </c>
      <c r="D5" s="12">
        <f>'[11]Dia 3 (a)'!$P11</f>
        <v>15.3</v>
      </c>
      <c r="E5" s="12">
        <f>'[11]Dia 4 (a)'!$P11</f>
        <v>15.7</v>
      </c>
      <c r="F5" s="12">
        <f>'[11]Dia 5 (a)'!$P11</f>
        <v>17</v>
      </c>
      <c r="G5" s="12">
        <f>'[11]Dia 6 (a)'!$P11</f>
        <v>16.8</v>
      </c>
      <c r="H5" s="12">
        <f>'[11]Dia 7 (a)'!$P11</f>
        <v>17.2</v>
      </c>
      <c r="I5" s="12">
        <f>'[11]Dia 8 (a)'!$P11</f>
        <v>16.600000000000001</v>
      </c>
      <c r="J5" s="12">
        <f>'[11]Dia 9 (a)'!$P11</f>
        <v>18.8</v>
      </c>
      <c r="K5" s="12">
        <f>'[11]Dia 10 (a)'!$P11</f>
        <v>19.7</v>
      </c>
      <c r="L5" s="12">
        <f>'[11]Dia 11 (a)'!$P11</f>
        <v>21.8</v>
      </c>
      <c r="M5" s="12">
        <f>'[11]Dia 12 (a)'!$P11</f>
        <v>20.9</v>
      </c>
      <c r="N5" s="12">
        <f>'[11]Dia 13 (a)'!$P11</f>
        <v>21.8</v>
      </c>
      <c r="O5" s="12">
        <f>'[11]Dia 14 (a)'!$P11</f>
        <v>23</v>
      </c>
      <c r="P5" s="12">
        <f>'[11]Dia 15 (a)'!$P11</f>
        <v>23</v>
      </c>
      <c r="Q5" s="12">
        <f>'[11]Dia 16 (a)'!$P11</f>
        <v>20.3</v>
      </c>
      <c r="R5" s="12">
        <f>'[11]Dia 17 (a)'!$P11</f>
        <v>19.5</v>
      </c>
      <c r="S5" s="12">
        <f>'[11]Dia 18 (a)'!$P11</f>
        <v>21.6</v>
      </c>
      <c r="T5" s="12">
        <f>'[11]Dia 19 (a)'!$P11</f>
        <v>22.6</v>
      </c>
      <c r="U5" s="12">
        <f>'[11]Dia 20 (a)'!$P11</f>
        <v>24.3</v>
      </c>
      <c r="V5" s="12">
        <f>'[11]Dia 21 (a)'!$P11</f>
        <v>22.4</v>
      </c>
      <c r="W5" s="12">
        <f>'[11]Dia 22 (a)'!$P11</f>
        <v>23</v>
      </c>
      <c r="X5" s="12">
        <f>'[11]Dia 23 (a)'!$P11</f>
        <v>22.5</v>
      </c>
      <c r="Y5" s="43">
        <f>'[11]Dia 24 (a)'!$P11</f>
        <v>21.7</v>
      </c>
      <c r="Z5" s="12">
        <f>'[11]Dia 25 (a)'!$P11</f>
        <v>19.399999999999999</v>
      </c>
      <c r="AA5" s="12">
        <f>'[11]Dia 26 (a)'!$P11</f>
        <v>19.2</v>
      </c>
      <c r="AB5" s="12">
        <f>'[11]Dia 27 (a)'!$P11</f>
        <v>20.7</v>
      </c>
      <c r="AC5" s="12">
        <f>'[11]Dia 28 (a)'!$P11</f>
        <v>21.6</v>
      </c>
      <c r="AD5" s="12">
        <f>'[11]Dia 29 (a)'!$P11</f>
        <v>21.1</v>
      </c>
      <c r="AE5" s="12">
        <f>'[11]Dia 30 (a)'!$P11</f>
        <v>20.3</v>
      </c>
      <c r="AF5" s="13"/>
      <c r="AG5" s="14"/>
    </row>
    <row r="6" spans="1:33" ht="20.100000000000001" customHeight="1">
      <c r="A6" s="11">
        <v>9</v>
      </c>
      <c r="B6" s="12">
        <f>'[11]Dia 1 (a)'!$P12</f>
        <v>20.8</v>
      </c>
      <c r="C6" s="12">
        <f>'[11]Dia 2 (a)'!$P12</f>
        <v>17</v>
      </c>
      <c r="D6" s="12">
        <f>'[11]Dia 3 (a)'!$P12</f>
        <v>15.8</v>
      </c>
      <c r="E6" s="12">
        <f>'[11]Dia 4 (a)'!$P12</f>
        <v>17.899999999999999</v>
      </c>
      <c r="F6" s="12">
        <f>'[11]Dia 5 (a)'!$P12</f>
        <v>18.7</v>
      </c>
      <c r="G6" s="12">
        <f>'[11]Dia 6 (a)'!$P12</f>
        <v>18.399999999999999</v>
      </c>
      <c r="H6" s="12">
        <f>'[11]Dia 7 (a)'!$P12</f>
        <v>17.7</v>
      </c>
      <c r="I6" s="12">
        <f>'[11]Dia 8 (a)'!$P12</f>
        <v>18.600000000000001</v>
      </c>
      <c r="J6" s="12">
        <f>'[11]Dia 9 (a)'!$P12</f>
        <v>20.399999999999999</v>
      </c>
      <c r="K6" s="12">
        <f>'[11]Dia 10 (a)'!$P12</f>
        <v>20</v>
      </c>
      <c r="L6" s="12">
        <f>'[11]Dia 11 (a)'!$P12</f>
        <v>24</v>
      </c>
      <c r="M6" s="12">
        <f>'[11]Dia 12 (a)'!$P12</f>
        <v>22</v>
      </c>
      <c r="N6" s="12">
        <f>'[11]Dia 13 (a)'!$P12</f>
        <v>24.5</v>
      </c>
      <c r="O6" s="12">
        <f>'[11]Dia 14 (a)'!$P12</f>
        <v>24.1</v>
      </c>
      <c r="P6" s="12">
        <f>'[11]Dia 15 (a)'!$P12</f>
        <v>24.8</v>
      </c>
      <c r="Q6" s="12">
        <f>'[11]Dia 16 (a)'!$P12</f>
        <v>22</v>
      </c>
      <c r="R6" s="12">
        <f>'[11]Dia 17 (a)'!$P12</f>
        <v>23</v>
      </c>
      <c r="S6" s="12">
        <f>'[11]Dia 18 (a)'!$P12</f>
        <v>24</v>
      </c>
      <c r="T6" s="12">
        <f>'[11]Dia 19 (a)'!$P12</f>
        <v>25.2</v>
      </c>
      <c r="U6" s="12">
        <f>'[11]Dia 20 (a)'!$P12</f>
        <v>27</v>
      </c>
      <c r="V6" s="12">
        <f>'[11]Dia 21 (a)'!$P12</f>
        <v>25.1</v>
      </c>
      <c r="W6" s="12">
        <f>'[11]Dia 22 (a)'!$P12</f>
        <v>24.6</v>
      </c>
      <c r="X6" s="12">
        <f>'[11]Dia 23 (a)'!$P12</f>
        <v>23.6</v>
      </c>
      <c r="Y6" s="12">
        <f>'[11]Dia 24 (a)'!$P12</f>
        <v>23.6</v>
      </c>
      <c r="Z6" s="12">
        <f>'[11]Dia 25 (a)'!$P12</f>
        <v>20</v>
      </c>
      <c r="AA6" s="12">
        <f>'[11]Dia 26 (a)'!$P12</f>
        <v>21.4</v>
      </c>
      <c r="AB6" s="12">
        <f>'[11]Dia 27 (a)'!$P12</f>
        <v>23</v>
      </c>
      <c r="AC6" s="12">
        <f>'[11]Dia 28 (a)'!$P12</f>
        <v>22.4</v>
      </c>
      <c r="AD6" s="12">
        <f>'[11]Dia 29 (a)'!$P12</f>
        <v>22.2</v>
      </c>
      <c r="AE6" s="12">
        <f>'[11]Dia 30 (a)'!$P12</f>
        <v>21.6</v>
      </c>
      <c r="AF6" s="13"/>
      <c r="AG6" s="14"/>
    </row>
    <row r="7" spans="1:33" ht="20.100000000000001" customHeight="1">
      <c r="A7" s="11">
        <v>10</v>
      </c>
      <c r="B7" s="12">
        <f>'[11]Dia 1 (a)'!$P13</f>
        <v>21.8</v>
      </c>
      <c r="C7" s="12">
        <f>'[11]Dia 2 (a)'!$P13</f>
        <v>17.399999999999999</v>
      </c>
      <c r="D7" s="12">
        <f>'[11]Dia 3 (a)'!$P13</f>
        <v>16.600000000000001</v>
      </c>
      <c r="E7" s="12">
        <f>'[11]Dia 4 (a)'!$P13</f>
        <v>20.7</v>
      </c>
      <c r="F7" s="12">
        <f>'[11]Dia 5 (a)'!$P13</f>
        <v>21</v>
      </c>
      <c r="G7" s="12">
        <f>'[11]Dia 6 (a)'!$P13</f>
        <v>19.8</v>
      </c>
      <c r="H7" s="12">
        <f>'[11]Dia 7 (a)'!$P13</f>
        <v>18.399999999999999</v>
      </c>
      <c r="I7" s="12">
        <f>'[11]Dia 8 (a)'!$P13</f>
        <v>23</v>
      </c>
      <c r="J7" s="12">
        <f>'[11]Dia 9 (a)'!$P13</f>
        <v>23.6</v>
      </c>
      <c r="K7" s="12">
        <f>'[11]Dia 10 (a)'!$P13</f>
        <v>20.8</v>
      </c>
      <c r="L7" s="12">
        <f>'[11]Dia 11 (a)'!$P13</f>
        <v>26.2</v>
      </c>
      <c r="M7" s="12">
        <f>'[11]Dia 12 (a)'!$P13</f>
        <v>23.8</v>
      </c>
      <c r="N7" s="12">
        <f>'[11]Dia 13 (a)'!$P13</f>
        <v>26.7</v>
      </c>
      <c r="O7" s="12">
        <f>'[11]Dia 14 (a)'!$P13</f>
        <v>24.4</v>
      </c>
      <c r="P7" s="12">
        <f>'[11]Dia 15 (a)'!$P13</f>
        <v>26.7</v>
      </c>
      <c r="Q7" s="12">
        <f>'[11]Dia 16 (a)'!$P13</f>
        <v>25.8</v>
      </c>
      <c r="R7" s="12">
        <f>'[11]Dia 17 (a)'!$P13</f>
        <v>26.3</v>
      </c>
      <c r="S7" s="12">
        <f>'[11]Dia 18 (a)'!$P13</f>
        <v>26.6</v>
      </c>
      <c r="T7" s="12">
        <f>'[11]Dia 19 (a)'!$P13</f>
        <v>28.2</v>
      </c>
      <c r="U7" s="12">
        <f>'[11]Dia 20 (a)'!$P13</f>
        <v>30</v>
      </c>
      <c r="V7" s="12">
        <f>'[11]Dia 21 (a)'!$P13</f>
        <v>28.3</v>
      </c>
      <c r="W7" s="12">
        <f>'[11]Dia 22 (a)'!$P13</f>
        <v>26</v>
      </c>
      <c r="X7" s="12">
        <f>'[11]Dia 23 (a)'!$P13</f>
        <v>25.6</v>
      </c>
      <c r="Y7" s="12">
        <f>'[11]Dia 24 (a)'!$P13</f>
        <v>25.4</v>
      </c>
      <c r="Z7" s="12">
        <f>'[11]Dia 25 (a)'!$P13</f>
        <v>22.8</v>
      </c>
      <c r="AA7" s="12">
        <f>'[11]Dia 26 (a)'!$P13</f>
        <v>22</v>
      </c>
      <c r="AB7" s="12">
        <f>'[11]Dia 27 (a)'!$P13</f>
        <v>25.9</v>
      </c>
      <c r="AC7" s="12">
        <f>'[11]Dia 28 (a)'!$P13</f>
        <v>24</v>
      </c>
      <c r="AD7" s="12">
        <f>'[11]Dia 29 (a)'!$P13</f>
        <v>25.2</v>
      </c>
      <c r="AE7" s="12">
        <f>'[11]Dia 30 (a)'!$P13</f>
        <v>22.6</v>
      </c>
      <c r="AF7" s="13"/>
      <c r="AG7" s="14"/>
    </row>
    <row r="8" spans="1:33" ht="20.100000000000001" customHeight="1">
      <c r="A8" s="11">
        <v>11</v>
      </c>
      <c r="B8" s="12">
        <f>'[11]Dia 1 (a)'!$P14</f>
        <v>22.8</v>
      </c>
      <c r="C8" s="12">
        <f>'[11]Dia 2 (a)'!$P14</f>
        <v>17.600000000000001</v>
      </c>
      <c r="D8" s="12">
        <f>'[11]Dia 3 (a)'!$P14</f>
        <v>17.2</v>
      </c>
      <c r="E8" s="12">
        <f>'[11]Dia 4 (a)'!$P14</f>
        <v>21.1</v>
      </c>
      <c r="F8" s="12">
        <f>'[11]Dia 5 (a)'!$P14</f>
        <v>20.6</v>
      </c>
      <c r="G8" s="12">
        <f>'[11]Dia 6 (a)'!$P14</f>
        <v>22</v>
      </c>
      <c r="H8" s="12">
        <f>'[11]Dia 7 (a)'!$P14</f>
        <v>19.5</v>
      </c>
      <c r="I8" s="12">
        <f>'[11]Dia 8 (a)'!$P14</f>
        <v>26.4</v>
      </c>
      <c r="J8" s="12">
        <f>'[11]Dia 9 (a)'!$P14</f>
        <v>24.8</v>
      </c>
      <c r="K8" s="12">
        <f>'[11]Dia 10 (a)'!$P14</f>
        <v>23.9</v>
      </c>
      <c r="L8" s="12">
        <f>'[11]Dia 11 (a)'!$P14</f>
        <v>28.6</v>
      </c>
      <c r="M8" s="12">
        <f>'[11]Dia 12 (a)'!$P14</f>
        <v>25.3</v>
      </c>
      <c r="N8" s="12">
        <f>'[11]Dia 13 (a)'!$P14</f>
        <v>30.2</v>
      </c>
      <c r="O8" s="12">
        <f>'[11]Dia 14 (a)'!$P14</f>
        <v>23.8</v>
      </c>
      <c r="P8" s="12">
        <f>'[11]Dia 15 (a)'!$P14</f>
        <v>29.2</v>
      </c>
      <c r="Q8" s="12">
        <f>'[11]Dia 16 (a)'!$P14</f>
        <v>29</v>
      </c>
      <c r="R8" s="12">
        <f>'[11]Dia 17 (a)'!$P14</f>
        <v>29.4</v>
      </c>
      <c r="S8" s="12">
        <f>'[11]Dia 18 (a)'!$P14</f>
        <v>30.2</v>
      </c>
      <c r="T8" s="12">
        <f>'[11]Dia 19 (a)'!$P14</f>
        <v>31.5</v>
      </c>
      <c r="U8" s="12">
        <f>'[11]Dia 20 (a)'!$P14</f>
        <v>32.200000000000003</v>
      </c>
      <c r="V8" s="12">
        <f>'[11]Dia 21 (a)'!$P14</f>
        <v>31.2</v>
      </c>
      <c r="W8" s="12">
        <f>'[11]Dia 22 (a)'!$P14</f>
        <v>28</v>
      </c>
      <c r="X8" s="12">
        <f>'[11]Dia 23 (a)'!$P14</f>
        <v>28.1</v>
      </c>
      <c r="Y8" s="12">
        <f>'[11]Dia 24 (a)'!$P14</f>
        <v>26.8</v>
      </c>
      <c r="Z8" s="12">
        <f>'[11]Dia 25 (a)'!$P14</f>
        <v>22.6</v>
      </c>
      <c r="AA8" s="12">
        <f>'[11]Dia 26 (a)'!$P14</f>
        <v>23.6</v>
      </c>
      <c r="AB8" s="12">
        <f>'[11]Dia 27 (a)'!$P14</f>
        <v>29.5</v>
      </c>
      <c r="AC8" s="12">
        <f>'[11]Dia 28 (a)'!$P14</f>
        <v>26.8</v>
      </c>
      <c r="AD8" s="12">
        <f>'[11]Dia 29 (a)'!$P14</f>
        <v>26.4</v>
      </c>
      <c r="AE8" s="12">
        <f>'[11]Dia 30 (a)'!$P14</f>
        <v>23.1</v>
      </c>
      <c r="AF8" s="13"/>
      <c r="AG8" s="14"/>
    </row>
    <row r="9" spans="1:33" ht="20.100000000000001" customHeight="1">
      <c r="A9" s="11">
        <v>12</v>
      </c>
      <c r="B9" s="12">
        <f>'[11]Dia 1 (a)'!$P15</f>
        <v>23.2</v>
      </c>
      <c r="C9" s="12">
        <f>'[11]Dia 2 (a)'!$P15</f>
        <v>17.8</v>
      </c>
      <c r="D9" s="12">
        <f>'[11]Dia 3 (a)'!$P15</f>
        <v>19.2</v>
      </c>
      <c r="E9" s="12">
        <f>'[11]Dia 4 (a)'!$P15</f>
        <v>21.5</v>
      </c>
      <c r="F9" s="12">
        <f>'[11]Dia 5 (a)'!$P15</f>
        <v>21.4</v>
      </c>
      <c r="G9" s="12">
        <f>'[11]Dia 6 (a)'!$P15</f>
        <v>23.8</v>
      </c>
      <c r="H9" s="12">
        <f>'[11]Dia 7 (a)'!$P15</f>
        <v>22.4</v>
      </c>
      <c r="I9" s="12">
        <f>'[11]Dia 8 (a)'!$P15</f>
        <v>29</v>
      </c>
      <c r="J9" s="12">
        <f>'[11]Dia 9 (a)'!$P15</f>
        <v>30</v>
      </c>
      <c r="K9" s="12">
        <f>'[11]Dia 10 (a)'!$P15</f>
        <v>28.3</v>
      </c>
      <c r="L9" s="12">
        <f>'[11]Dia 11 (a)'!$P15</f>
        <v>30.4</v>
      </c>
      <c r="M9" s="12">
        <f>'[11]Dia 12 (a)'!$P15</f>
        <v>25.5</v>
      </c>
      <c r="N9" s="12">
        <f>'[11]Dia 13 (a)'!$P15</f>
        <v>33.4</v>
      </c>
      <c r="O9" s="12">
        <f>'[11]Dia 14 (a)'!$P15</f>
        <v>24.6</v>
      </c>
      <c r="P9" s="12">
        <f>'[11]Dia 15 (a)'!$P15</f>
        <v>31.2</v>
      </c>
      <c r="Q9" s="12">
        <f>'[11]Dia 16 (a)'!$P15</f>
        <v>30.7</v>
      </c>
      <c r="R9" s="12">
        <f>'[11]Dia 17 (a)'!$P15</f>
        <v>32.299999999999997</v>
      </c>
      <c r="S9" s="12">
        <f>'[11]Dia 18 (a)'!$P15</f>
        <v>32.4</v>
      </c>
      <c r="T9" s="12">
        <f>'[11]Dia 19 (a)'!$P15</f>
        <v>34.200000000000003</v>
      </c>
      <c r="U9" s="12">
        <f>'[11]Dia 20 (a)'!$P15</f>
        <v>33.799999999999997</v>
      </c>
      <c r="V9" s="12">
        <f>'[11]Dia 21 (a)'!$P15</f>
        <v>34.1</v>
      </c>
      <c r="W9" s="12">
        <f>'[11]Dia 22 (a)'!$P15</f>
        <v>29.6</v>
      </c>
      <c r="X9" s="12">
        <f>'[11]Dia 23 (a)'!$P15</f>
        <v>29.4</v>
      </c>
      <c r="Y9" s="12">
        <f>'[11]Dia 24 (a)'!$P15</f>
        <v>27.4</v>
      </c>
      <c r="Z9" s="12">
        <f>'[11]Dia 25 (a)'!$P15</f>
        <v>23.8</v>
      </c>
      <c r="AA9" s="12">
        <f>'[11]Dia 26 (a)'!$P15</f>
        <v>25.5</v>
      </c>
      <c r="AB9" s="12">
        <f>'[11]Dia 27 (a)'!$P15</f>
        <v>31.1</v>
      </c>
      <c r="AC9" s="12">
        <f>'[11]Dia 28 (a)'!$P15</f>
        <v>28.6</v>
      </c>
      <c r="AD9" s="12">
        <f>'[11]Dia 29 (a)'!$P15</f>
        <v>26.6</v>
      </c>
      <c r="AE9" s="12">
        <f>'[11]Dia 30 (a)'!$P15</f>
        <v>23.4</v>
      </c>
      <c r="AF9" s="13"/>
      <c r="AG9" s="14"/>
    </row>
    <row r="10" spans="1:33" ht="20.100000000000001" customHeight="1">
      <c r="A10" s="11">
        <v>13</v>
      </c>
      <c r="B10" s="12">
        <f>'[11]Dia 1 (a)'!$P16</f>
        <v>23.1</v>
      </c>
      <c r="C10" s="12">
        <f>'[11]Dia 2 (a)'!$P16</f>
        <v>18.2</v>
      </c>
      <c r="D10" s="12">
        <f>'[11]Dia 3 (a)'!$P16</f>
        <v>20.2</v>
      </c>
      <c r="E10" s="12">
        <f>'[11]Dia 4 (a)'!$P16</f>
        <v>22.5</v>
      </c>
      <c r="F10" s="12">
        <f>'[11]Dia 5 (a)'!$P16</f>
        <v>22.2</v>
      </c>
      <c r="G10" s="12">
        <f>'[11]Dia 6 (a)'!$P16</f>
        <v>24.6</v>
      </c>
      <c r="H10" s="12">
        <f>'[11]Dia 7 (a)'!$P16</f>
        <v>23.1</v>
      </c>
      <c r="I10" s="12">
        <f>'[11]Dia 8 (a)'!$P16</f>
        <v>29.8</v>
      </c>
      <c r="J10" s="12">
        <f>'[11]Dia 9 (a)'!$P16</f>
        <v>30.2</v>
      </c>
      <c r="K10" s="12">
        <f>'[11]Dia 10 (a)'!$P16</f>
        <v>31.4</v>
      </c>
      <c r="L10" s="12">
        <f>'[11]Dia 11 (a)'!$P16</f>
        <v>31</v>
      </c>
      <c r="M10" s="12">
        <f>'[11]Dia 12 (a)'!$P16</f>
        <v>26.4</v>
      </c>
      <c r="N10" s="12">
        <f>'[11]Dia 13 (a)'!$P16</f>
        <v>35</v>
      </c>
      <c r="O10" s="12">
        <f>'[11]Dia 14 (a)'!$P16</f>
        <v>27.8</v>
      </c>
      <c r="P10" s="12">
        <f>'[11]Dia 15 (a)'!$P16</f>
        <v>30.4</v>
      </c>
      <c r="Q10" s="12">
        <f>'[11]Dia 16 (a)'!$P16</f>
        <v>30.8</v>
      </c>
      <c r="R10" s="12">
        <f>'[11]Dia 17 (a)'!$P16</f>
        <v>34.200000000000003</v>
      </c>
      <c r="S10" s="12">
        <f>'[11]Dia 18 (a)'!$P16</f>
        <v>34.6</v>
      </c>
      <c r="T10" s="12">
        <f>'[11]Dia 19 (a)'!$P16</f>
        <v>35.700000000000003</v>
      </c>
      <c r="U10" s="12">
        <f>'[11]Dia 20 (a)'!$P16</f>
        <v>34.5</v>
      </c>
      <c r="V10" s="12">
        <f>'[11]Dia 21 (a)'!$P16</f>
        <v>35.700000000000003</v>
      </c>
      <c r="W10" s="12">
        <f>'[11]Dia 22 (a)'!$P16</f>
        <v>32</v>
      </c>
      <c r="X10" s="12">
        <f>'[11]Dia 23 (a)'!$P16</f>
        <v>31.4</v>
      </c>
      <c r="Y10" s="12">
        <f>'[11]Dia 24 (a)'!$P16</f>
        <v>28.1</v>
      </c>
      <c r="Z10" s="12">
        <f>'[11]Dia 25 (a)'!$P16</f>
        <v>23.8</v>
      </c>
      <c r="AA10" s="12">
        <f>'[11]Dia 26 (a)'!$P16</f>
        <v>27</v>
      </c>
      <c r="AB10" s="12">
        <f>'[11]Dia 27 (a)'!$P16</f>
        <v>29.8</v>
      </c>
      <c r="AC10" s="12">
        <f>'[11]Dia 28 (a)'!$P16</f>
        <v>29.8</v>
      </c>
      <c r="AD10" s="12">
        <f>'[11]Dia 29 (a)'!$P16</f>
        <v>24.9</v>
      </c>
      <c r="AE10" s="12">
        <f>'[11]Dia 30 (a)'!$P16</f>
        <v>25.3</v>
      </c>
      <c r="AF10" s="13"/>
      <c r="AG10" s="14"/>
    </row>
    <row r="11" spans="1:33" ht="20.100000000000001" customHeight="1">
      <c r="A11" s="11">
        <v>14</v>
      </c>
      <c r="B11" s="12">
        <f>'[11]Dia 1 (a)'!$P17</f>
        <v>22.8</v>
      </c>
      <c r="C11" s="12">
        <f>'[11]Dia 2 (a)'!$P17</f>
        <v>17.899999999999999</v>
      </c>
      <c r="D11" s="12">
        <f>'[11]Dia 3 (a)'!$P17</f>
        <v>20.399999999999999</v>
      </c>
      <c r="E11" s="12">
        <f>'[11]Dia 4 (a)'!$P17</f>
        <v>23.2</v>
      </c>
      <c r="F11" s="12">
        <f>'[11]Dia 5 (a)'!$P17</f>
        <v>24.4</v>
      </c>
      <c r="G11" s="12">
        <f>'[11]Dia 6 (a)'!$P17</f>
        <v>24.1</v>
      </c>
      <c r="H11" s="12">
        <f>'[11]Dia 7 (a)'!$P17</f>
        <v>24.8</v>
      </c>
      <c r="I11" s="12">
        <f>'[11]Dia 8 (a)'!$P17</f>
        <v>31.1</v>
      </c>
      <c r="J11" s="12">
        <f>'[11]Dia 9 (a)'!$P17</f>
        <v>30</v>
      </c>
      <c r="K11" s="12">
        <f>'[11]Dia 10 (a)'!$P17</f>
        <v>32.799999999999997</v>
      </c>
      <c r="L11" s="12">
        <f>'[11]Dia 11 (a)'!$P17</f>
        <v>31.8</v>
      </c>
      <c r="M11" s="12">
        <f>'[11]Dia 12 (a)'!$P17</f>
        <v>26.3</v>
      </c>
      <c r="N11" s="12">
        <f>'[11]Dia 13 (a)'!$P17</f>
        <v>36.299999999999997</v>
      </c>
      <c r="O11" s="12">
        <f>'[11]Dia 14 (a)'!$P17</f>
        <v>28.4</v>
      </c>
      <c r="P11" s="12">
        <f>'[11]Dia 15 (a)'!$P17</f>
        <v>33</v>
      </c>
      <c r="Q11" s="12">
        <f>'[11]Dia 16 (a)'!$P17</f>
        <v>30.4</v>
      </c>
      <c r="R11" s="12">
        <f>'[11]Dia 17 (a)'!$P17</f>
        <v>34.799999999999997</v>
      </c>
      <c r="S11" s="12">
        <f>'[11]Dia 18 (a)'!$P17</f>
        <v>35.4</v>
      </c>
      <c r="T11" s="12">
        <f>'[11]Dia 19 (a)'!$P17</f>
        <v>36.4</v>
      </c>
      <c r="U11" s="12">
        <f>'[11]Dia 20 (a)'!$P17</f>
        <v>33.200000000000003</v>
      </c>
      <c r="V11" s="12">
        <f>'[11]Dia 21 (a)'!$P17</f>
        <v>36.1</v>
      </c>
      <c r="W11" s="12">
        <f>'[11]Dia 22 (a)'!$P17</f>
        <v>33.6</v>
      </c>
      <c r="X11" s="12">
        <f>'[11]Dia 23 (a)'!$P17</f>
        <v>31.7</v>
      </c>
      <c r="Y11" s="12">
        <f>'[11]Dia 24 (a)'!$P17</f>
        <v>29.4</v>
      </c>
      <c r="Z11" s="12">
        <f>'[11]Dia 25 (a)'!$P17</f>
        <v>23.4</v>
      </c>
      <c r="AA11" s="12">
        <f>'[11]Dia 26 (a)'!$P17</f>
        <v>28.5</v>
      </c>
      <c r="AB11" s="12">
        <f>'[11]Dia 27 (a)'!$P17</f>
        <v>28.4</v>
      </c>
      <c r="AC11" s="12">
        <f>'[11]Dia 28 (a)'!$P17</f>
        <v>28.1</v>
      </c>
      <c r="AD11" s="12">
        <f>'[11]Dia 29 (a)'!$P17</f>
        <v>24.5</v>
      </c>
      <c r="AE11" s="12">
        <f>'[11]Dia 30 (a)'!$P17</f>
        <v>25.8</v>
      </c>
      <c r="AF11" s="13"/>
      <c r="AG11" s="14"/>
    </row>
    <row r="12" spans="1:33" ht="20.100000000000001" customHeight="1">
      <c r="A12" s="11">
        <v>15</v>
      </c>
      <c r="B12" s="12">
        <f>'[11]Dia 1 (a)'!$P18</f>
        <v>22.8</v>
      </c>
      <c r="C12" s="12">
        <f>'[11]Dia 2 (a)'!$P18</f>
        <v>17.600000000000001</v>
      </c>
      <c r="D12" s="12">
        <f>'[11]Dia 3 (a)'!$P18</f>
        <v>20.3</v>
      </c>
      <c r="E12" s="12">
        <f>'[11]Dia 4 (a)'!$P18</f>
        <v>22.8</v>
      </c>
      <c r="F12" s="12">
        <f>'[11]Dia 5 (a)'!$P18</f>
        <v>25.6</v>
      </c>
      <c r="G12" s="12">
        <f>'[11]Dia 6 (a)'!$P18</f>
        <v>25</v>
      </c>
      <c r="H12" s="12">
        <f>'[11]Dia 7 (a)'!$P18</f>
        <v>24.3</v>
      </c>
      <c r="I12" s="12">
        <f>'[11]Dia 8 (a)'!$P18</f>
        <v>31</v>
      </c>
      <c r="J12" s="12">
        <f>'[11]Dia 9 (a)'!$P18</f>
        <v>29.2</v>
      </c>
      <c r="K12" s="12">
        <f>'[11]Dia 10 (a)'!$P18</f>
        <v>33</v>
      </c>
      <c r="L12" s="12">
        <f>'[11]Dia 11 (a)'!$P18</f>
        <v>29</v>
      </c>
      <c r="M12" s="12">
        <f>'[11]Dia 12 (a)'!$P18</f>
        <v>27.6</v>
      </c>
      <c r="N12" s="12">
        <f>'[11]Dia 13 (a)'!$P18</f>
        <v>36.200000000000003</v>
      </c>
      <c r="O12" s="12">
        <f>'[11]Dia 14 (a)'!$P18</f>
        <v>29</v>
      </c>
      <c r="P12" s="12">
        <f>'[11]Dia 15 (a)'!$P18</f>
        <v>33.4</v>
      </c>
      <c r="Q12" s="12">
        <f>'[11]Dia 16 (a)'!$P18</f>
        <v>30.2</v>
      </c>
      <c r="R12" s="12">
        <f>'[11]Dia 17 (a)'!$P18</f>
        <v>34.299999999999997</v>
      </c>
      <c r="S12" s="12">
        <f>'[11]Dia 18 (a)'!$P18</f>
        <v>35.200000000000003</v>
      </c>
      <c r="T12" s="12">
        <f>'[11]Dia 19 (a)'!$P18</f>
        <v>36.200000000000003</v>
      </c>
      <c r="U12" s="12">
        <f>'[11]Dia 20 (a)'!$P18</f>
        <v>32.799999999999997</v>
      </c>
      <c r="V12" s="12">
        <f>'[11]Dia 21 (a)'!$P18</f>
        <v>34.700000000000003</v>
      </c>
      <c r="W12" s="12">
        <f>'[11]Dia 22 (a)'!$P18</f>
        <v>33</v>
      </c>
      <c r="X12" s="12">
        <f>'[11]Dia 23 (a)'!$P18</f>
        <v>31.8</v>
      </c>
      <c r="Y12" s="12">
        <f>'[11]Dia 24 (a)'!$P18</f>
        <v>29.8</v>
      </c>
      <c r="Z12" s="12">
        <f>'[11]Dia 25 (a)'!$P18</f>
        <v>23.7</v>
      </c>
      <c r="AA12" s="12">
        <f>'[11]Dia 26 (a)'!$P18</f>
        <v>28</v>
      </c>
      <c r="AB12" s="12">
        <f>'[11]Dia 27 (a)'!$P18</f>
        <v>28.4</v>
      </c>
      <c r="AC12" s="12">
        <f>'[11]Dia 28 (a)'!$P18</f>
        <v>24.4</v>
      </c>
      <c r="AD12" s="12">
        <f>'[11]Dia 29 (a)'!$P18</f>
        <v>23.6</v>
      </c>
      <c r="AE12" s="12">
        <f>'[11]Dia 30 (a)'!$P18</f>
        <v>27</v>
      </c>
      <c r="AF12" s="13"/>
      <c r="AG12" s="14"/>
    </row>
    <row r="13" spans="1:33" ht="20.100000000000001" customHeight="1">
      <c r="A13" s="11">
        <v>16</v>
      </c>
      <c r="B13" s="12">
        <f>'[11]Dia 1 (a)'!$P19</f>
        <v>22</v>
      </c>
      <c r="C13" s="12">
        <f>'[11]Dia 2 (a)'!$P19</f>
        <v>17.399999999999999</v>
      </c>
      <c r="D13" s="12">
        <f>'[11]Dia 3 (a)'!$P19</f>
        <v>20.399999999999999</v>
      </c>
      <c r="E13" s="12">
        <f>'[11]Dia 4 (a)'!$P19</f>
        <v>22.6</v>
      </c>
      <c r="F13" s="12">
        <f>'[11]Dia 5 (a)'!$P19</f>
        <v>25.4</v>
      </c>
      <c r="G13" s="12">
        <f>'[11]Dia 6 (a)'!$P19</f>
        <v>24.8</v>
      </c>
      <c r="H13" s="12">
        <f>'[11]Dia 7 (a)'!$P19</f>
        <v>24.2</v>
      </c>
      <c r="I13" s="12">
        <f>'[11]Dia 8 (a)'!$P19</f>
        <v>30</v>
      </c>
      <c r="J13" s="12">
        <f>'[11]Dia 9 (a)'!$P19</f>
        <v>29.6</v>
      </c>
      <c r="K13" s="12">
        <f>'[11]Dia 10 (a)'!$P19</f>
        <v>31.4</v>
      </c>
      <c r="L13" s="12">
        <f>'[11]Dia 11 (a)'!$P19</f>
        <v>27.4</v>
      </c>
      <c r="M13" s="12">
        <f>'[11]Dia 12 (a)'!$P19</f>
        <v>27.1</v>
      </c>
      <c r="N13" s="12">
        <f>'[11]Dia 13 (a)'!$P19</f>
        <v>34.200000000000003</v>
      </c>
      <c r="O13" s="12">
        <f>'[11]Dia 14 (a)'!$P19</f>
        <v>28.9</v>
      </c>
      <c r="P13" s="12">
        <f>'[11]Dia 15 (a)'!$P19</f>
        <v>32.6</v>
      </c>
      <c r="Q13" s="12">
        <f>'[11]Dia 16 (a)'!$P19</f>
        <v>29.7</v>
      </c>
      <c r="R13" s="12">
        <f>'[11]Dia 17 (a)'!$P19</f>
        <v>32.700000000000003</v>
      </c>
      <c r="S13" s="12">
        <f>'[11]Dia 18 (a)'!$P19</f>
        <v>33.9</v>
      </c>
      <c r="T13" s="12">
        <f>'[11]Dia 19 (a)'!$P19</f>
        <v>35.5</v>
      </c>
      <c r="U13" s="12">
        <f>'[11]Dia 20 (a)'!$P19</f>
        <v>32.6</v>
      </c>
      <c r="V13" s="12">
        <f>'[11]Dia 21 (a)'!$P19</f>
        <v>34.4</v>
      </c>
      <c r="W13" s="12">
        <f>'[11]Dia 22 (a)'!$P19</f>
        <v>31.6</v>
      </c>
      <c r="X13" s="12">
        <f>'[11]Dia 23 (a)'!$P19</f>
        <v>30.3</v>
      </c>
      <c r="Y13" s="12">
        <f>'[11]Dia 24 (a)'!$P19</f>
        <v>28.6</v>
      </c>
      <c r="Z13" s="12">
        <f>'[11]Dia 25 (a)'!$P19</f>
        <v>22.9</v>
      </c>
      <c r="AA13" s="12">
        <f>'[11]Dia 26 (a)'!$P19</f>
        <v>27.5</v>
      </c>
      <c r="AB13" s="12">
        <f>'[11]Dia 27 (a)'!$P19</f>
        <v>26.9</v>
      </c>
      <c r="AC13" s="12">
        <f>'[11]Dia 28 (a)'!$P19</f>
        <v>24.4</v>
      </c>
      <c r="AD13" s="12">
        <f>'[11]Dia 29 (a)'!$P19</f>
        <v>23.4</v>
      </c>
      <c r="AE13" s="12">
        <f>'[11]Dia 30 (a)'!$P19</f>
        <v>25</v>
      </c>
      <c r="AF13" s="13"/>
      <c r="AG13" s="14"/>
    </row>
    <row r="14" spans="1:33" ht="20.100000000000001" customHeight="1">
      <c r="A14" s="11">
        <v>17</v>
      </c>
      <c r="B14" s="12">
        <f>'[11]Dia 1 (a)'!$P20</f>
        <v>20.8</v>
      </c>
      <c r="C14" s="12">
        <f>'[11]Dia 2 (a)'!$P20</f>
        <v>17.100000000000001</v>
      </c>
      <c r="D14" s="12">
        <f>'[11]Dia 3 (a)'!$P20</f>
        <v>20</v>
      </c>
      <c r="E14" s="12">
        <f>'[11]Dia 4 (a)'!$P20</f>
        <v>22</v>
      </c>
      <c r="F14" s="12">
        <f>'[11]Dia 5 (a)'!$P20</f>
        <v>23.2</v>
      </c>
      <c r="G14" s="12">
        <f>'[11]Dia 6 (a)'!$P20</f>
        <v>23.8</v>
      </c>
      <c r="H14" s="12">
        <f>'[11]Dia 7 (a)'!$P20</f>
        <v>23.6</v>
      </c>
      <c r="I14" s="12">
        <f>'[11]Dia 8 (a)'!$P20</f>
        <v>28.2</v>
      </c>
      <c r="J14" s="12">
        <f>'[11]Dia 9 (a)'!$P20</f>
        <v>28.3</v>
      </c>
      <c r="K14" s="12">
        <f>'[11]Dia 10 (a)'!$P20</f>
        <v>29.7</v>
      </c>
      <c r="L14" s="12">
        <f>'[11]Dia 11 (a)'!$P20</f>
        <v>26</v>
      </c>
      <c r="M14" s="12">
        <f>'[11]Dia 12 (a)'!$P20</f>
        <v>26</v>
      </c>
      <c r="N14" s="12">
        <f>'[11]Dia 13 (a)'!$P20</f>
        <v>31.8</v>
      </c>
      <c r="O14" s="12">
        <f>'[11]Dia 14 (a)'!$P20</f>
        <v>28.2</v>
      </c>
      <c r="P14" s="12">
        <f>'[11]Dia 15 (a)'!$P20</f>
        <v>30</v>
      </c>
      <c r="Q14" s="12">
        <f>'[11]Dia 16 (a)'!$P20</f>
        <v>28.2</v>
      </c>
      <c r="R14" s="12">
        <f>'[11]Dia 17 (a)'!$P20</f>
        <v>31.1</v>
      </c>
      <c r="S14" s="12">
        <f>'[11]Dia 18 (a)'!$P20</f>
        <v>31.5</v>
      </c>
      <c r="T14" s="12">
        <f>'[11]Dia 19 (a)'!$P20</f>
        <v>31.7</v>
      </c>
      <c r="U14" s="12">
        <f>'[11]Dia 20 (a)'!$P20</f>
        <v>32</v>
      </c>
      <c r="V14" s="12">
        <f>'[11]Dia 21 (a)'!$P20</f>
        <v>32.799999999999997</v>
      </c>
      <c r="W14" s="12">
        <f>'[11]Dia 22 (a)'!$P20</f>
        <v>29.7</v>
      </c>
      <c r="X14" s="12">
        <f>'[11]Dia 23 (a)'!$P20</f>
        <v>28.5</v>
      </c>
      <c r="Y14" s="12">
        <f>'[11]Dia 24 (a)'!$P20</f>
        <v>27.1</v>
      </c>
      <c r="Z14" s="12">
        <f>'[11]Dia 25 (a)'!$P20</f>
        <v>22.2</v>
      </c>
      <c r="AA14" s="12">
        <f>'[11]Dia 26 (a)'!$P20</f>
        <v>26.5</v>
      </c>
      <c r="AB14" s="12">
        <f>'[11]Dia 27 (a)'!$P20</f>
        <v>25.6</v>
      </c>
      <c r="AC14" s="12">
        <f>'[11]Dia 28 (a)'!$P20</f>
        <v>22.6</v>
      </c>
      <c r="AD14" s="12">
        <f>'[11]Dia 29 (a)'!$P20</f>
        <v>22.4</v>
      </c>
      <c r="AE14" s="12">
        <f>'[11]Dia 30 (a)'!$P20</f>
        <v>23.5</v>
      </c>
      <c r="AF14" s="13"/>
      <c r="AG14" s="14"/>
    </row>
    <row r="15" spans="1:33" ht="20.100000000000001" customHeight="1">
      <c r="A15" s="11">
        <v>18</v>
      </c>
      <c r="B15" s="12">
        <f>'[11]Dia 1 (a)'!$P21</f>
        <v>20</v>
      </c>
      <c r="C15" s="12">
        <f>'[11]Dia 2 (a)'!$P21</f>
        <v>16.7</v>
      </c>
      <c r="D15" s="12">
        <f>'[11]Dia 3 (a)'!$P21</f>
        <v>19</v>
      </c>
      <c r="E15" s="12">
        <f>'[11]Dia 4 (a)'!$P21</f>
        <v>20.399999999999999</v>
      </c>
      <c r="F15" s="12">
        <f>'[11]Dia 5 (a)'!$P21</f>
        <v>22</v>
      </c>
      <c r="G15" s="12">
        <f>'[11]Dia 6 (a)'!$P21</f>
        <v>22.6</v>
      </c>
      <c r="H15" s="12">
        <f>'[11]Dia 7 (a)'!$P21</f>
        <v>22</v>
      </c>
      <c r="I15" s="12">
        <f>'[11]Dia 8 (a)'!$P21</f>
        <v>26.2</v>
      </c>
      <c r="J15" s="12">
        <f>'[11]Dia 9 (a)'!$P21</f>
        <v>26.4</v>
      </c>
      <c r="K15" s="12">
        <f>'[11]Dia 10 (a)'!$P21</f>
        <v>27.9</v>
      </c>
      <c r="L15" s="12">
        <f>'[11]Dia 11 (a)'!$P21</f>
        <v>24.3</v>
      </c>
      <c r="M15" s="12">
        <f>'[11]Dia 12 (a)'!$P21</f>
        <v>24.7</v>
      </c>
      <c r="N15" s="12">
        <f>'[11]Dia 13 (a)'!$P21</f>
        <v>30</v>
      </c>
      <c r="O15" s="12">
        <f>'[11]Dia 14 (a)'!$P21</f>
        <v>26.5</v>
      </c>
      <c r="P15" s="12">
        <f>'[11]Dia 15 (a)'!$P21</f>
        <v>28.6</v>
      </c>
      <c r="Q15" s="12">
        <f>'[11]Dia 16 (a)'!$P21</f>
        <v>26.7</v>
      </c>
      <c r="R15" s="12">
        <f>'[11]Dia 17 (a)'!$P21</f>
        <v>29.4</v>
      </c>
      <c r="S15" s="12">
        <f>'[11]Dia 18 (a)'!$P21</f>
        <v>29.7</v>
      </c>
      <c r="T15" s="12">
        <f>'[11]Dia 19 (a)'!$P21</f>
        <v>29.7</v>
      </c>
      <c r="U15" s="12">
        <f>'[11]Dia 20 (a)'!$P21</f>
        <v>30</v>
      </c>
      <c r="V15" s="12">
        <f>'[11]Dia 21 (a)'!$P21</f>
        <v>31.3</v>
      </c>
      <c r="W15" s="12">
        <f>'[11]Dia 22 (a)'!$P21</f>
        <v>28.1</v>
      </c>
      <c r="X15" s="12">
        <f>'[11]Dia 23 (a)'!$P21</f>
        <v>27.5</v>
      </c>
      <c r="Y15" s="12">
        <f>'[11]Dia 24 (a)'!$P21</f>
        <v>25.6</v>
      </c>
      <c r="Z15" s="12">
        <f>'[11]Dia 25 (a)'!$P21</f>
        <v>21.4</v>
      </c>
      <c r="AA15" s="12">
        <f>'[11]Dia 26 (a)'!$P21</f>
        <v>25.2</v>
      </c>
      <c r="AB15" s="12">
        <f>'[11]Dia 27 (a)'!$P21</f>
        <v>24.6</v>
      </c>
      <c r="AC15" s="12">
        <f>'[11]Dia 28 (a)'!$P21</f>
        <v>22</v>
      </c>
      <c r="AD15" s="12">
        <f>'[11]Dia 29 (a)'!$P21</f>
        <v>22.2</v>
      </c>
      <c r="AE15" s="12">
        <f>'[11]Dia 30 (a)'!$P21</f>
        <v>21</v>
      </c>
      <c r="AF15" s="13"/>
      <c r="AG15" s="14"/>
    </row>
    <row r="16" spans="1:33" ht="20.100000000000001" customHeight="1">
      <c r="A16" s="11">
        <v>19</v>
      </c>
      <c r="B16" s="12">
        <f>'[11]Dia 1 (a)'!$P22</f>
        <v>19.600000000000001</v>
      </c>
      <c r="C16" s="12">
        <f>'[11]Dia 2 (a)'!$P22</f>
        <v>16.2</v>
      </c>
      <c r="D16" s="12">
        <f>'[11]Dia 3 (a)'!$P22</f>
        <v>18</v>
      </c>
      <c r="E16" s="12">
        <f>'[11]Dia 4 (a)'!$P22</f>
        <v>19.3</v>
      </c>
      <c r="F16" s="12">
        <f>'[11]Dia 5 (a)'!$P22</f>
        <v>21.2</v>
      </c>
      <c r="G16" s="12">
        <f>'[11]Dia 6 (a)'!$P22</f>
        <v>21</v>
      </c>
      <c r="H16" s="12">
        <f>'[11]Dia 7 (a)'!$P22</f>
        <v>20.8</v>
      </c>
      <c r="I16" s="12">
        <f>'[11]Dia 8 (a)'!$P22</f>
        <v>24.3</v>
      </c>
      <c r="J16" s="12">
        <f>'[11]Dia 9 (a)'!$P22</f>
        <v>25</v>
      </c>
      <c r="K16" s="12">
        <f>'[11]Dia 10 (a)'!$P22</f>
        <v>26.5</v>
      </c>
      <c r="L16" s="12">
        <f>'[11]Dia 11 (a)'!$P22</f>
        <v>23.5</v>
      </c>
      <c r="M16" s="12">
        <f>'[11]Dia 12 (a)'!$P22</f>
        <v>23.7</v>
      </c>
      <c r="N16" s="12">
        <f>'[11]Dia 13 (a)'!$P22</f>
        <v>28.4</v>
      </c>
      <c r="O16" s="12">
        <f>'[11]Dia 14 (a)'!$P22</f>
        <v>25.4</v>
      </c>
      <c r="P16" s="12">
        <f>'[11]Dia 15 (a)'!$P22</f>
        <v>26.6</v>
      </c>
      <c r="Q16" s="12">
        <f>'[11]Dia 16 (a)'!$P22</f>
        <v>25.4</v>
      </c>
      <c r="R16" s="12">
        <f>'[11]Dia 17 (a)'!$P22</f>
        <v>27.7</v>
      </c>
      <c r="S16" s="12">
        <f>'[11]Dia 18 (a)'!$P22</f>
        <v>27.9</v>
      </c>
      <c r="T16" s="12">
        <f>'[11]Dia 19 (a)'!$P22</f>
        <v>29</v>
      </c>
      <c r="U16" s="12">
        <f>'[11]Dia 20 (a)'!$P22</f>
        <v>27</v>
      </c>
      <c r="V16" s="12">
        <f>'[11]Dia 21 (a)'!$P22</f>
        <v>29.6</v>
      </c>
      <c r="W16" s="12">
        <f>'[11]Dia 22 (a)'!$P22</f>
        <v>26.8</v>
      </c>
      <c r="X16" s="12">
        <f>'[11]Dia 23 (a)'!$P22</f>
        <v>25.1</v>
      </c>
      <c r="Y16" s="12">
        <f>'[11]Dia 24 (a)'!$P22</f>
        <v>24.6</v>
      </c>
      <c r="Z16" s="12">
        <f>'[11]Dia 25 (a)'!$P22</f>
        <v>20.7</v>
      </c>
      <c r="AA16" s="12">
        <f>'[11]Dia 26 (a)'!$P22</f>
        <v>23.8</v>
      </c>
      <c r="AB16" s="12">
        <f>'[11]Dia 27 (a)'!$P22</f>
        <v>23.8</v>
      </c>
      <c r="AC16" s="12">
        <f>'[11]Dia 28 (a)'!$P22</f>
        <v>22</v>
      </c>
      <c r="AD16" s="12">
        <f>'[11]Dia 29 (a)'!$P22</f>
        <v>21.6</v>
      </c>
      <c r="AE16" s="12">
        <f>'[11]Dia 30 (a)'!$P22</f>
        <v>22.6</v>
      </c>
      <c r="AF16" s="13"/>
      <c r="AG16" s="14"/>
    </row>
    <row r="17" spans="1:33" ht="20.100000000000001" customHeight="1">
      <c r="A17" s="11">
        <v>20</v>
      </c>
      <c r="B17" s="12">
        <f>'[11]Dia 1 (a)'!$P23</f>
        <v>18.8</v>
      </c>
      <c r="C17" s="12">
        <f>'[11]Dia 2 (a)'!$P23</f>
        <v>15.9</v>
      </c>
      <c r="D17" s="12">
        <f>'[11]Dia 3 (a)'!$P23</f>
        <v>17.399999999999999</v>
      </c>
      <c r="E17" s="12">
        <f>'[11]Dia 4 (a)'!$P23</f>
        <v>18.399999999999999</v>
      </c>
      <c r="F17" s="12">
        <f>'[11]Dia 5 (a)'!$P23</f>
        <v>19.2</v>
      </c>
      <c r="G17" s="12">
        <f>'[11]Dia 6 (a)'!$P23</f>
        <v>20</v>
      </c>
      <c r="H17" s="12">
        <f>'[11]Dia 7 (a)'!$P23</f>
        <v>20</v>
      </c>
      <c r="I17" s="12">
        <f>'[11]Dia 8 (a)'!$P23</f>
        <v>23.2</v>
      </c>
      <c r="J17" s="12">
        <f>'[11]Dia 9 (a)'!$P23</f>
        <v>23.8</v>
      </c>
      <c r="K17" s="12">
        <f>'[11]Dia 10 (a)'!$P23</f>
        <v>25.5</v>
      </c>
      <c r="L17" s="12">
        <f>'[11]Dia 11 (a)'!$P23</f>
        <v>22.8</v>
      </c>
      <c r="M17" s="12">
        <f>'[11]Dia 12 (a)'!$P23</f>
        <v>23</v>
      </c>
      <c r="N17" s="12">
        <f>'[11]Dia 13 (a)'!$P23</f>
        <v>27.4</v>
      </c>
      <c r="O17" s="12">
        <f>'[11]Dia 14 (a)'!$P23</f>
        <v>24.2</v>
      </c>
      <c r="P17" s="12">
        <f>'[11]Dia 15 (a)'!$P23</f>
        <v>25.6</v>
      </c>
      <c r="Q17" s="12">
        <f>'[11]Dia 16 (a)'!$P23</f>
        <v>24.2</v>
      </c>
      <c r="R17" s="12">
        <f>'[11]Dia 17 (a)'!$P23</f>
        <v>26.5</v>
      </c>
      <c r="S17" s="12">
        <f>'[11]Dia 18 (a)'!$P23</f>
        <v>26.3</v>
      </c>
      <c r="T17" s="12">
        <f>'[11]Dia 19 (a)'!$P23</f>
        <v>27.6</v>
      </c>
      <c r="U17" s="12">
        <f>'[11]Dia 20 (a)'!$P23</f>
        <v>25</v>
      </c>
      <c r="V17" s="12">
        <f>'[11]Dia 21 (a)'!$P23</f>
        <v>28.3</v>
      </c>
      <c r="W17" s="12">
        <f>'[11]Dia 22 (a)'!$P23</f>
        <v>25.9</v>
      </c>
      <c r="X17" s="12">
        <f>'[11]Dia 23 (a)'!$P23</f>
        <v>24.2</v>
      </c>
      <c r="Y17" s="12">
        <f>'[11]Dia 24 (a)'!$P23</f>
        <v>23.6</v>
      </c>
      <c r="Z17" s="12">
        <f>'[11]Dia 25 (a)'!$P23</f>
        <v>20.3</v>
      </c>
      <c r="AA17" s="12">
        <f>'[11]Dia 26 (a)'!$P23</f>
        <v>22.7</v>
      </c>
      <c r="AB17" s="12">
        <f>'[11]Dia 27 (a)'!$P23</f>
        <v>23.1</v>
      </c>
      <c r="AC17" s="12">
        <f>'[11]Dia 28 (a)'!$P23</f>
        <v>21.2</v>
      </c>
      <c r="AD17" s="12">
        <f>'[11]Dia 29 (a)'!$P23</f>
        <v>21</v>
      </c>
      <c r="AE17" s="12">
        <f>'[11]Dia 30 (a)'!$P23</f>
        <v>22.2</v>
      </c>
      <c r="AF17" s="13"/>
      <c r="AG17" s="14"/>
    </row>
    <row r="18" spans="1:33" ht="20.100000000000001" customHeight="1">
      <c r="A18" s="11">
        <v>21</v>
      </c>
      <c r="B18" s="12">
        <f>'[11]Dia 1 (a)'!$P24</f>
        <v>18.2</v>
      </c>
      <c r="C18" s="12">
        <f>'[11]Dia 2 (a)'!$P24</f>
        <v>15.7</v>
      </c>
      <c r="D18" s="12">
        <f>'[11]Dia 3 (a)'!$P24</f>
        <v>16.8</v>
      </c>
      <c r="E18" s="12">
        <f>'[11]Dia 4 (a)'!$P24</f>
        <v>17.8</v>
      </c>
      <c r="F18" s="12">
        <f>'[11]Dia 5 (a)'!$P24</f>
        <v>18.399999999999999</v>
      </c>
      <c r="G18" s="12">
        <f>'[11]Dia 6 (a)'!$P24</f>
        <v>19.600000000000001</v>
      </c>
      <c r="H18" s="12">
        <f>'[11]Dia 7 (a)'!$P24</f>
        <v>19.399999999999999</v>
      </c>
      <c r="I18" s="12">
        <f>'[11]Dia 8 (a)'!$P24</f>
        <v>22.2</v>
      </c>
      <c r="J18" s="12">
        <f>'[11]Dia 9 (a)'!$P24</f>
        <v>22.8</v>
      </c>
      <c r="K18" s="12">
        <f>'[11]Dia 10 (a)'!$P24</f>
        <v>24.6</v>
      </c>
      <c r="L18" s="12">
        <f>'[11]Dia 11 (a)'!$P24</f>
        <v>22.4</v>
      </c>
      <c r="M18" s="12">
        <f>'[11]Dia 12 (a)'!$P24</f>
        <v>22.4</v>
      </c>
      <c r="N18" s="12">
        <f>'[11]Dia 13 (a)'!$P24</f>
        <v>26.6</v>
      </c>
      <c r="O18" s="12">
        <f>'[11]Dia 14 (a)'!$P24</f>
        <v>23.7</v>
      </c>
      <c r="P18" s="12">
        <f>'[11]Dia 15 (a)'!$P24</f>
        <v>24.4</v>
      </c>
      <c r="Q18" s="12">
        <f>'[11]Dia 16 (a)'!$P24</f>
        <v>23.2</v>
      </c>
      <c r="R18" s="12">
        <f>'[11]Dia 17 (a)'!$P24</f>
        <v>25.5</v>
      </c>
      <c r="S18" s="12">
        <f>'[11]Dia 18 (a)'!$P24</f>
        <v>25.4</v>
      </c>
      <c r="T18" s="12">
        <f>'[11]Dia 19 (a)'!$P24</f>
        <v>26.8</v>
      </c>
      <c r="U18" s="12">
        <f>'[11]Dia 20 (a)'!$P24</f>
        <v>23.4</v>
      </c>
      <c r="V18" s="12">
        <f>'[11]Dia 21 (a)'!$P24</f>
        <v>27.2</v>
      </c>
      <c r="W18" s="12">
        <f>'[11]Dia 22 (a)'!$P24</f>
        <v>25.1</v>
      </c>
      <c r="X18" s="12">
        <f>'[11]Dia 23 (a)'!$P24</f>
        <v>23.2</v>
      </c>
      <c r="Y18" s="12">
        <f>'[11]Dia 24 (a)'!$P24</f>
        <v>23.2</v>
      </c>
      <c r="Z18" s="12">
        <f>'[11]Dia 25 (a)'!$P24</f>
        <v>19.7</v>
      </c>
      <c r="AA18" s="12">
        <f>'[11]Dia 26 (a)'!$P24</f>
        <v>21.8</v>
      </c>
      <c r="AB18" s="12">
        <f>'[11]Dia 27 (a)'!$P24</f>
        <v>22.6</v>
      </c>
      <c r="AC18" s="12">
        <f>'[11]Dia 28 (a)'!$P24</f>
        <v>20.6</v>
      </c>
      <c r="AD18" s="12">
        <f>'[11]Dia 29 (a)'!$P24</f>
        <v>20.8</v>
      </c>
      <c r="AE18" s="12">
        <f>'[11]Dia 30 (a)'!$P24</f>
        <v>21.5</v>
      </c>
      <c r="AF18" s="13"/>
      <c r="AG18" s="14"/>
    </row>
    <row r="19" spans="1:33" ht="20.100000000000001" customHeight="1">
      <c r="A19" s="11">
        <v>22</v>
      </c>
      <c r="B19" s="12">
        <f>'[11]Dia 1 (a)'!$P25</f>
        <v>18</v>
      </c>
      <c r="C19" s="12">
        <f>'[11]Dia 2 (a)'!$P25</f>
        <v>15.7</v>
      </c>
      <c r="D19" s="12">
        <f>'[11]Dia 3 (a)'!$P25</f>
        <v>16.2</v>
      </c>
      <c r="E19" s="12">
        <f>'[11]Dia 4 (a)'!$P25</f>
        <v>17.5</v>
      </c>
      <c r="F19" s="12">
        <f>'[11]Dia 5 (a)'!$P25</f>
        <v>18</v>
      </c>
      <c r="G19" s="12">
        <f>'[11]Dia 6 (a)'!$P25</f>
        <v>19</v>
      </c>
      <c r="H19" s="12">
        <f>'[11]Dia 7 (a)'!$P25</f>
        <v>18</v>
      </c>
      <c r="I19" s="12">
        <f>'[11]Dia 8 (a)'!$P25</f>
        <v>21.5</v>
      </c>
      <c r="J19" s="12">
        <f>'[11]Dia 9 (a)'!$P25</f>
        <v>21.8</v>
      </c>
      <c r="K19" s="12">
        <f>'[11]Dia 10 (a)'!$P25</f>
        <v>23.8</v>
      </c>
      <c r="L19" s="12">
        <f>'[11]Dia 11 (a)'!$P25</f>
        <v>21.9</v>
      </c>
      <c r="M19" s="12">
        <f>'[11]Dia 12 (a)'!$P25</f>
        <v>21.9</v>
      </c>
      <c r="N19" s="12">
        <f>'[11]Dia 13 (a)'!$P25</f>
        <v>25.8</v>
      </c>
      <c r="O19" s="12">
        <f>'[11]Dia 14 (a)'!$P25</f>
        <v>23.2</v>
      </c>
      <c r="P19" s="12">
        <f>'[11]Dia 15 (a)'!$P25</f>
        <v>23.8</v>
      </c>
      <c r="Q19" s="12">
        <f>'[11]Dia 16 (a)'!$P25</f>
        <v>22.3</v>
      </c>
      <c r="R19" s="12">
        <f>'[11]Dia 17 (a)'!$P25</f>
        <v>24.3</v>
      </c>
      <c r="S19" s="12">
        <f>'[11]Dia 18 (a)'!$P25</f>
        <v>24.5</v>
      </c>
      <c r="T19" s="12">
        <f>'[11]Dia 19 (a)'!$P25</f>
        <v>26.1</v>
      </c>
      <c r="U19" s="12">
        <f>'[11]Dia 20 (a)'!$P25</f>
        <v>24.8</v>
      </c>
      <c r="V19" s="12">
        <f>'[11]Dia 21 (a)'!$P25</f>
        <v>26.3</v>
      </c>
      <c r="W19" s="12">
        <f>'[11]Dia 22 (a)'!$P25</f>
        <v>24.4</v>
      </c>
      <c r="X19" s="12">
        <f>'[11]Dia 23 (a)'!$P25</f>
        <v>22.5</v>
      </c>
      <c r="Y19" s="12">
        <f>'[11]Dia 24 (a)'!$P25</f>
        <v>22.7</v>
      </c>
      <c r="Z19" s="12">
        <f>'[11]Dia 25 (a)'!$P25</f>
        <v>19.2</v>
      </c>
      <c r="AA19" s="12">
        <f>'[11]Dia 26 (a)'!$P25</f>
        <v>21.2</v>
      </c>
      <c r="AB19" s="12">
        <f>'[11]Dia 27 (a)'!$P25</f>
        <v>22.2</v>
      </c>
      <c r="AC19" s="12">
        <f>'[11]Dia 28 (a)'!$P25</f>
        <v>20</v>
      </c>
      <c r="AD19" s="12">
        <f>'[11]Dia 29 (a)'!$P25</f>
        <v>20.6</v>
      </c>
      <c r="AE19" s="12">
        <f>'[11]Dia 30 (a)'!$P25</f>
        <v>21.2</v>
      </c>
      <c r="AF19" s="13"/>
      <c r="AG19" s="14"/>
    </row>
    <row r="20" spans="1:33" ht="20.100000000000001" customHeight="1">
      <c r="A20" s="11">
        <v>23</v>
      </c>
      <c r="B20" s="12">
        <f>'[11]Dia 1 (a)'!$P26</f>
        <v>18</v>
      </c>
      <c r="C20" s="12">
        <f>'[11]Dia 2 (a)'!$P26</f>
        <v>15.5</v>
      </c>
      <c r="D20" s="12">
        <f>'[11]Dia 3 (a)'!$P26</f>
        <v>15.5</v>
      </c>
      <c r="E20" s="12">
        <f>'[11]Dia 4 (a)'!$P26</f>
        <v>17.2</v>
      </c>
      <c r="F20" s="12">
        <f>'[11]Dia 5 (a)'!$P26</f>
        <v>18</v>
      </c>
      <c r="G20" s="12">
        <f>'[11]Dia 6 (a)'!$P26</f>
        <v>18.2</v>
      </c>
      <c r="H20" s="12">
        <f>'[11]Dia 7 (a)'!$P26</f>
        <v>17.8</v>
      </c>
      <c r="I20" s="12">
        <f>'[11]Dia 8 (a)'!$P26</f>
        <v>20.8</v>
      </c>
      <c r="J20" s="12">
        <f>'[11]Dia 9 (a)'!$P26</f>
        <v>21</v>
      </c>
      <c r="K20" s="12">
        <f>'[11]Dia 10 (a)'!$P26</f>
        <v>23</v>
      </c>
      <c r="L20" s="12">
        <f>'[11]Dia 11 (a)'!$P26</f>
        <v>21.7</v>
      </c>
      <c r="M20" s="12">
        <f>'[11]Dia 12 (a)'!$P26</f>
        <v>21.6</v>
      </c>
      <c r="N20" s="12">
        <f>'[11]Dia 13 (a)'!$P26</f>
        <v>25.1</v>
      </c>
      <c r="O20" s="12">
        <f>'[11]Dia 14 (a)'!$P26</f>
        <v>22.5</v>
      </c>
      <c r="P20" s="12">
        <f>'[11]Dia 15 (a)'!$P26</f>
        <v>22.8</v>
      </c>
      <c r="Q20" s="12">
        <f>'[11]Dia 16 (a)'!$P26</f>
        <v>21.6</v>
      </c>
      <c r="R20" s="12">
        <f>'[11]Dia 17 (a)'!$P26</f>
        <v>23.6</v>
      </c>
      <c r="S20" s="12">
        <f>'[11]Dia 18 (a)'!$P26</f>
        <v>23.6</v>
      </c>
      <c r="T20" s="12">
        <f>'[11]Dia 19 (a)'!$P26</f>
        <v>25.4</v>
      </c>
      <c r="U20" s="12">
        <f>'[11]Dia 20 (a)'!$P26</f>
        <v>24.2</v>
      </c>
      <c r="V20" s="12">
        <f>'[11]Dia 21 (a)'!$P26</f>
        <v>25.6</v>
      </c>
      <c r="W20" s="12">
        <f>'[11]Dia 22 (a)'!$P26</f>
        <v>23.9</v>
      </c>
      <c r="X20" s="12">
        <f>'[11]Dia 23 (a)'!$P26</f>
        <v>22.1</v>
      </c>
      <c r="Y20" s="12">
        <f>'[11]Dia 24 (a)'!$P26</f>
        <v>21.9</v>
      </c>
      <c r="Z20" s="12">
        <f>'[11]Dia 25 (a)'!$P26</f>
        <v>18.8</v>
      </c>
      <c r="AA20" s="12">
        <f>'[11]Dia 26 (a)'!$P26</f>
        <v>20.5</v>
      </c>
      <c r="AB20" s="12">
        <f>'[11]Dia 27 (a)'!$P26</f>
        <v>22</v>
      </c>
      <c r="AC20" s="12">
        <f>'[11]Dia 28 (a)'!$P26</f>
        <v>20.2</v>
      </c>
      <c r="AD20" s="12">
        <f>'[11]Dia 29 (a)'!$P26</f>
        <v>20.399999999999999</v>
      </c>
      <c r="AE20" s="12">
        <f>'[11]Dia 30 (a)'!$P26</f>
        <v>20.5</v>
      </c>
      <c r="AF20" s="13"/>
      <c r="AG20" s="14"/>
    </row>
    <row r="21" spans="1:33" ht="20.100000000000001" customHeight="1" thickBot="1">
      <c r="A21" s="16">
        <v>24</v>
      </c>
      <c r="B21" s="17">
        <f>'[11]Dia 1 (a)'!$P27</f>
        <v>17.8</v>
      </c>
      <c r="C21" s="17">
        <f>'[11]Dia 2 (a)'!$P27</f>
        <v>15.3</v>
      </c>
      <c r="D21" s="17">
        <f>'[11]Dia 3 (a)'!$P27</f>
        <v>15.2</v>
      </c>
      <c r="E21" s="17">
        <f>'[11]Dia 4 (a)'!$P27</f>
        <v>16.899999999999999</v>
      </c>
      <c r="F21" s="17">
        <f>'[11]Dia 5 (a)'!$P27</f>
        <v>17</v>
      </c>
      <c r="G21" s="17">
        <f>'[11]Dia 6 (a)'!$P27</f>
        <v>18</v>
      </c>
      <c r="H21" s="17">
        <f>'[11]Dia 7 (a)'!$P27</f>
        <v>17</v>
      </c>
      <c r="I21" s="17">
        <f>'[11]Dia 8 (a)'!$P27</f>
        <v>20</v>
      </c>
      <c r="J21" s="17">
        <f>'[11]Dia 9 (a)'!$P27</f>
        <v>20.6</v>
      </c>
      <c r="K21" s="17">
        <f>'[11]Dia 10 (a)'!$P27</f>
        <v>22.3</v>
      </c>
      <c r="L21" s="17">
        <f>'[11]Dia 11 (a)'!$P27</f>
        <v>21.5</v>
      </c>
      <c r="M21" s="17">
        <f>'[11]Dia 12 (a)'!$P27</f>
        <v>21.4</v>
      </c>
      <c r="N21" s="17">
        <f>'[11]Dia 13 (a)'!$P27</f>
        <v>24.5</v>
      </c>
      <c r="O21" s="17">
        <f>'[11]Dia 14 (a)'!$P27</f>
        <v>22.3</v>
      </c>
      <c r="P21" s="17">
        <f>'[11]Dia 15 (a)'!$P27</f>
        <v>22</v>
      </c>
      <c r="Q21" s="17">
        <f>'[11]Dia 16 (a)'!$P27</f>
        <v>20.8</v>
      </c>
      <c r="R21" s="17">
        <f>'[11]Dia 17 (a)'!$P27</f>
        <v>22.8</v>
      </c>
      <c r="S21" s="17">
        <f>'[11]Dia 18 (a)'!$P27</f>
        <v>23.1</v>
      </c>
      <c r="T21" s="17">
        <f>'[11]Dia 19 (a)'!$P27</f>
        <v>24.8</v>
      </c>
      <c r="U21" s="17">
        <f>'[11]Dia 20 (a)'!$P27</f>
        <v>23.6</v>
      </c>
      <c r="V21" s="17">
        <f>'[11]Dia 21 (a)'!$P27</f>
        <v>24.8</v>
      </c>
      <c r="W21" s="17">
        <f>'[11]Dia 22 (a)'!$P27</f>
        <v>23.6</v>
      </c>
      <c r="X21" s="17">
        <f>'[11]Dia 23 (a)'!$P27</f>
        <v>21.6</v>
      </c>
      <c r="Y21" s="17">
        <f>'[11]Dia 24 (a)'!$P27</f>
        <v>21.2</v>
      </c>
      <c r="Z21" s="17">
        <f>'[11]Dia 25 (a)'!$P27</f>
        <v>18.600000000000001</v>
      </c>
      <c r="AA21" s="17">
        <f>'[11]Dia 26 (a)'!$P27</f>
        <v>20</v>
      </c>
      <c r="AB21" s="17">
        <f>'[11]Dia 27 (a)'!$P27</f>
        <v>21.6</v>
      </c>
      <c r="AC21" s="17">
        <f>'[11]Dia 28 (a)'!$P27</f>
        <v>20</v>
      </c>
      <c r="AD21" s="17">
        <f>'[11]Dia 29 (a)'!$P27</f>
        <v>20</v>
      </c>
      <c r="AE21" s="17">
        <f>'[11]Dia 30 (a)'!$P27</f>
        <v>20.2</v>
      </c>
      <c r="AF21" s="18"/>
      <c r="AG21" s="14"/>
    </row>
    <row r="22" spans="1:33" ht="15.75" thickTop="1">
      <c r="A22" s="19"/>
      <c r="B22" s="20"/>
      <c r="C22" s="20"/>
      <c r="D22" s="20"/>
      <c r="E22" s="21"/>
      <c r="F22" s="2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20.55</v>
      </c>
      <c r="C25" s="26">
        <f t="shared" ref="C25:AE25" si="0">AVERAGE(C4:C21)</f>
        <v>16.805555555555557</v>
      </c>
      <c r="D25" s="26">
        <f t="shared" si="0"/>
        <v>17.683333333333334</v>
      </c>
      <c r="E25" s="26">
        <f>AVERAGE(E4:E21)</f>
        <v>19.511111111111106</v>
      </c>
      <c r="F25" s="26">
        <f t="shared" si="0"/>
        <v>20.494444444444444</v>
      </c>
      <c r="G25" s="26">
        <f t="shared" si="0"/>
        <v>20.961111111111112</v>
      </c>
      <c r="H25" s="26">
        <f t="shared" si="0"/>
        <v>20.388888888888889</v>
      </c>
      <c r="I25" s="26">
        <f t="shared" si="0"/>
        <v>24.266666666666666</v>
      </c>
      <c r="J25" s="26">
        <f t="shared" si="0"/>
        <v>24.683333333333334</v>
      </c>
      <c r="K25" s="26">
        <f t="shared" si="0"/>
        <v>25.777777777777779</v>
      </c>
      <c r="L25" s="26">
        <f t="shared" si="0"/>
        <v>25.238888888888887</v>
      </c>
      <c r="M25" s="26">
        <f t="shared" si="0"/>
        <v>23.883333333333333</v>
      </c>
      <c r="N25" s="26">
        <f t="shared" si="0"/>
        <v>28.805555555555557</v>
      </c>
      <c r="O25" s="26">
        <f t="shared" si="0"/>
        <v>25.133333333333333</v>
      </c>
      <c r="P25" s="26">
        <f t="shared" si="0"/>
        <v>27.183333333333337</v>
      </c>
      <c r="Q25" s="26">
        <f t="shared" si="0"/>
        <v>25.616666666666664</v>
      </c>
      <c r="R25" s="26">
        <f t="shared" si="0"/>
        <v>27.505555555555556</v>
      </c>
      <c r="S25" s="26">
        <f t="shared" si="0"/>
        <v>28.083333333333332</v>
      </c>
      <c r="T25" s="26">
        <f t="shared" si="0"/>
        <v>29.31666666666667</v>
      </c>
      <c r="U25" s="26">
        <f t="shared" si="0"/>
        <v>28.511111111111113</v>
      </c>
      <c r="V25" s="26">
        <f t="shared" si="0"/>
        <v>29.38333333333334</v>
      </c>
      <c r="W25" s="26">
        <f t="shared" si="0"/>
        <v>27.283333333333335</v>
      </c>
      <c r="X25" s="26">
        <f t="shared" si="0"/>
        <v>26.177777777777781</v>
      </c>
      <c r="Y25" s="26">
        <f>AVERAGE(Y4:Y21)</f>
        <v>25.016666666666669</v>
      </c>
      <c r="Z25" s="26">
        <f t="shared" si="0"/>
        <v>21.227777777777774</v>
      </c>
      <c r="AA25" s="26">
        <f t="shared" si="0"/>
        <v>23.472222222222218</v>
      </c>
      <c r="AB25" s="26">
        <f t="shared" si="0"/>
        <v>24.900000000000006</v>
      </c>
      <c r="AC25" s="26">
        <f t="shared" si="0"/>
        <v>23.305555555555557</v>
      </c>
      <c r="AD25" s="26">
        <f t="shared" si="0"/>
        <v>22.616666666666667</v>
      </c>
      <c r="AE25" s="26">
        <f t="shared" si="0"/>
        <v>22.583333333333336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23.2</v>
      </c>
      <c r="C29" s="26">
        <f t="shared" ref="C29:AE29" si="1">MAX(C4:C21)</f>
        <v>18.2</v>
      </c>
      <c r="D29" s="26">
        <f t="shared" si="1"/>
        <v>20.399999999999999</v>
      </c>
      <c r="E29" s="26">
        <f>MAX(E4:E21)</f>
        <v>23.2</v>
      </c>
      <c r="F29" s="26">
        <f t="shared" si="1"/>
        <v>25.6</v>
      </c>
      <c r="G29" s="26">
        <f t="shared" si="1"/>
        <v>25</v>
      </c>
      <c r="H29" s="26">
        <f t="shared" si="1"/>
        <v>24.8</v>
      </c>
      <c r="I29" s="26">
        <f t="shared" si="1"/>
        <v>31.1</v>
      </c>
      <c r="J29" s="26">
        <f t="shared" si="1"/>
        <v>30.2</v>
      </c>
      <c r="K29" s="26">
        <f t="shared" si="1"/>
        <v>33</v>
      </c>
      <c r="L29" s="26">
        <f t="shared" si="1"/>
        <v>31.8</v>
      </c>
      <c r="M29" s="26">
        <f t="shared" si="1"/>
        <v>27.6</v>
      </c>
      <c r="N29" s="26">
        <f t="shared" si="1"/>
        <v>36.299999999999997</v>
      </c>
      <c r="O29" s="26">
        <f t="shared" si="1"/>
        <v>29</v>
      </c>
      <c r="P29" s="26">
        <f t="shared" si="1"/>
        <v>33.4</v>
      </c>
      <c r="Q29" s="26">
        <f t="shared" si="1"/>
        <v>30.8</v>
      </c>
      <c r="R29" s="26">
        <f t="shared" si="1"/>
        <v>34.799999999999997</v>
      </c>
      <c r="S29" s="26">
        <f t="shared" si="1"/>
        <v>35.4</v>
      </c>
      <c r="T29" s="26">
        <f t="shared" si="1"/>
        <v>36.4</v>
      </c>
      <c r="U29" s="26">
        <f t="shared" si="1"/>
        <v>34.5</v>
      </c>
      <c r="V29" s="26">
        <f t="shared" si="1"/>
        <v>36.1</v>
      </c>
      <c r="W29" s="26">
        <f t="shared" si="1"/>
        <v>33.6</v>
      </c>
      <c r="X29" s="26">
        <f t="shared" si="1"/>
        <v>31.8</v>
      </c>
      <c r="Y29" s="26">
        <f>MAX(Y4:Y21)</f>
        <v>29.8</v>
      </c>
      <c r="Z29" s="26">
        <f t="shared" si="1"/>
        <v>23.8</v>
      </c>
      <c r="AA29" s="26">
        <f t="shared" si="1"/>
        <v>28.5</v>
      </c>
      <c r="AB29" s="26">
        <f t="shared" si="1"/>
        <v>31.1</v>
      </c>
      <c r="AC29" s="26">
        <f t="shared" si="1"/>
        <v>29.8</v>
      </c>
      <c r="AD29" s="26">
        <f t="shared" si="1"/>
        <v>26.6</v>
      </c>
      <c r="AE29" s="26">
        <f t="shared" si="1"/>
        <v>27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17.8</v>
      </c>
      <c r="C33" s="26">
        <f t="shared" ref="C33:AE33" si="2">MIN(C4:C21)</f>
        <v>15.3</v>
      </c>
      <c r="D33" s="26">
        <f t="shared" si="2"/>
        <v>14.8</v>
      </c>
      <c r="E33" s="26">
        <f>MIN(E4:E21)</f>
        <v>13.7</v>
      </c>
      <c r="F33" s="26">
        <f t="shared" si="2"/>
        <v>15.6</v>
      </c>
      <c r="G33" s="26">
        <f t="shared" si="2"/>
        <v>15.8</v>
      </c>
      <c r="H33" s="26">
        <f t="shared" si="2"/>
        <v>16.8</v>
      </c>
      <c r="I33" s="26">
        <f t="shared" si="2"/>
        <v>14.9</v>
      </c>
      <c r="J33" s="26">
        <f t="shared" si="2"/>
        <v>18</v>
      </c>
      <c r="K33" s="26">
        <f t="shared" si="2"/>
        <v>19.399999999999999</v>
      </c>
      <c r="L33" s="26">
        <f t="shared" si="2"/>
        <v>20</v>
      </c>
      <c r="M33" s="26">
        <f t="shared" si="2"/>
        <v>20.3</v>
      </c>
      <c r="N33" s="26">
        <f t="shared" si="2"/>
        <v>20.6</v>
      </c>
      <c r="O33" s="26">
        <f t="shared" si="2"/>
        <v>22.3</v>
      </c>
      <c r="P33" s="26">
        <f t="shared" si="2"/>
        <v>21.2</v>
      </c>
      <c r="Q33" s="26">
        <f t="shared" si="2"/>
        <v>19.8</v>
      </c>
      <c r="R33" s="26">
        <f t="shared" si="2"/>
        <v>17.7</v>
      </c>
      <c r="S33" s="26">
        <f t="shared" si="2"/>
        <v>19.600000000000001</v>
      </c>
      <c r="T33" s="26">
        <f t="shared" si="2"/>
        <v>21.1</v>
      </c>
      <c r="U33" s="26">
        <f t="shared" si="2"/>
        <v>22.8</v>
      </c>
      <c r="V33" s="26">
        <f t="shared" si="2"/>
        <v>21</v>
      </c>
      <c r="W33" s="26">
        <f t="shared" si="2"/>
        <v>22.2</v>
      </c>
      <c r="X33" s="26">
        <f t="shared" si="2"/>
        <v>21.6</v>
      </c>
      <c r="Y33" s="26">
        <f>MIN(Y4:Y21)</f>
        <v>19.600000000000001</v>
      </c>
      <c r="Z33" s="26">
        <f t="shared" si="2"/>
        <v>18.600000000000001</v>
      </c>
      <c r="AA33" s="26">
        <f t="shared" si="2"/>
        <v>18.100000000000001</v>
      </c>
      <c r="AB33" s="26">
        <f t="shared" si="2"/>
        <v>19</v>
      </c>
      <c r="AC33" s="26">
        <f t="shared" si="2"/>
        <v>20</v>
      </c>
      <c r="AD33" s="26">
        <f t="shared" si="2"/>
        <v>20</v>
      </c>
      <c r="AE33" s="26">
        <f t="shared" si="2"/>
        <v>19.7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E37" si="3">B29-B33</f>
        <v>5.3999999999999986</v>
      </c>
      <c r="C37" s="26">
        <f t="shared" si="3"/>
        <v>2.8999999999999986</v>
      </c>
      <c r="D37" s="26">
        <f t="shared" si="3"/>
        <v>5.5999999999999979</v>
      </c>
      <c r="E37" s="26">
        <f t="shared" si="3"/>
        <v>9.5</v>
      </c>
      <c r="F37" s="26">
        <f t="shared" si="3"/>
        <v>10.000000000000002</v>
      </c>
      <c r="G37" s="26">
        <f t="shared" si="3"/>
        <v>9.1999999999999993</v>
      </c>
      <c r="H37" s="26">
        <f t="shared" si="3"/>
        <v>8</v>
      </c>
      <c r="I37" s="26">
        <f t="shared" si="3"/>
        <v>16.200000000000003</v>
      </c>
      <c r="J37" s="26">
        <f t="shared" si="3"/>
        <v>12.2</v>
      </c>
      <c r="K37" s="26">
        <f t="shared" si="3"/>
        <v>13.600000000000001</v>
      </c>
      <c r="L37" s="26">
        <f t="shared" si="3"/>
        <v>11.8</v>
      </c>
      <c r="M37" s="26">
        <f t="shared" si="3"/>
        <v>7.3000000000000007</v>
      </c>
      <c r="N37" s="26">
        <f t="shared" si="3"/>
        <v>15.699999999999996</v>
      </c>
      <c r="O37" s="26">
        <f t="shared" si="3"/>
        <v>6.6999999999999993</v>
      </c>
      <c r="P37" s="26">
        <f t="shared" si="3"/>
        <v>12.2</v>
      </c>
      <c r="Q37" s="26">
        <f t="shared" si="3"/>
        <v>11</v>
      </c>
      <c r="R37" s="26">
        <f t="shared" si="3"/>
        <v>17.099999999999998</v>
      </c>
      <c r="S37" s="26">
        <f t="shared" si="3"/>
        <v>15.799999999999997</v>
      </c>
      <c r="T37" s="26">
        <f t="shared" si="3"/>
        <v>15.299999999999997</v>
      </c>
      <c r="U37" s="26">
        <f t="shared" si="3"/>
        <v>11.7</v>
      </c>
      <c r="V37" s="26">
        <f t="shared" si="3"/>
        <v>15.100000000000001</v>
      </c>
      <c r="W37" s="26">
        <f t="shared" si="3"/>
        <v>11.400000000000002</v>
      </c>
      <c r="X37" s="26">
        <f t="shared" si="3"/>
        <v>10.199999999999999</v>
      </c>
      <c r="Y37" s="26">
        <f t="shared" si="3"/>
        <v>10.199999999999999</v>
      </c>
      <c r="Z37" s="26">
        <f t="shared" si="3"/>
        <v>5.1999999999999993</v>
      </c>
      <c r="AA37" s="26">
        <f t="shared" si="3"/>
        <v>10.399999999999999</v>
      </c>
      <c r="AB37" s="26">
        <f t="shared" si="3"/>
        <v>12.100000000000001</v>
      </c>
      <c r="AC37" s="26">
        <f t="shared" si="3"/>
        <v>9.8000000000000007</v>
      </c>
      <c r="AD37" s="26">
        <f t="shared" si="3"/>
        <v>6.6000000000000014</v>
      </c>
      <c r="AE37" s="26">
        <f t="shared" si="3"/>
        <v>7.3000000000000007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24.21222222222222</v>
      </c>
      <c r="I43" s="39"/>
      <c r="J43" s="41"/>
      <c r="K43" s="40">
        <f>MAX(B29:AF29)</f>
        <v>36.4</v>
      </c>
      <c r="L43" s="41"/>
      <c r="M43" s="41"/>
      <c r="N43" s="40">
        <f>MIN(B33:AF33)</f>
        <v>13.7</v>
      </c>
      <c r="O43" s="41"/>
      <c r="P43" s="41"/>
      <c r="Q43" s="40">
        <f>K43-N43</f>
        <v>22.7</v>
      </c>
      <c r="R43" s="39"/>
      <c r="S43" s="40"/>
      <c r="T43" s="40">
        <f>AVERAGE(B29:AF29)</f>
        <v>29.426666666666666</v>
      </c>
      <c r="U43" s="40"/>
      <c r="V43" s="40">
        <f>AVERAGE(B33:AF33)</f>
        <v>18.910000000000007</v>
      </c>
      <c r="W43" s="40"/>
      <c r="X43" s="40">
        <f>T43-V43</f>
        <v>10.516666666666659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(a)'!$P10</f>
        <v>20</v>
      </c>
      <c r="C4" s="12">
        <f>'[12]Dia 2 (a)'!$P10</f>
        <v>20.6</v>
      </c>
      <c r="D4" s="12">
        <f>'[12]Dia 3 (a)'!$P10</f>
        <v>21.8</v>
      </c>
      <c r="E4" s="12">
        <f>'[12]Dia 4 (a)'!$P10</f>
        <v>21.4</v>
      </c>
      <c r="F4" s="12">
        <f>'[12]Dia 5 (a)'!$P10</f>
        <v>21.9</v>
      </c>
      <c r="G4" s="12">
        <f>'[12]Dia 6 (a)'!$P10</f>
        <v>21.1</v>
      </c>
      <c r="H4" s="12">
        <f>'[12]Dia 7 (a)'!$P10</f>
        <v>20.8</v>
      </c>
      <c r="I4" s="12">
        <f>'[12]Dia 8 (a)'!$P10</f>
        <v>19.8</v>
      </c>
      <c r="J4" s="12">
        <f>'[12]Dia 9 (a)'!$P10</f>
        <v>20.6</v>
      </c>
      <c r="K4" s="12">
        <f>'[12]Dia 10 (a)'!$P10</f>
        <v>21.2</v>
      </c>
      <c r="L4" s="12">
        <f>'[12]Dia 11 (a)'!$P10</f>
        <v>23.4</v>
      </c>
      <c r="M4" s="12">
        <f>'[12]Dia 12 (a)'!$P10</f>
        <v>24.8</v>
      </c>
      <c r="N4" s="12">
        <f>'[12]Dia 13 (a)'!$P10</f>
        <v>22.4</v>
      </c>
      <c r="O4" s="12">
        <f>'[12]Dia 14 (a)'!$P10</f>
        <v>18.8</v>
      </c>
      <c r="P4" s="12">
        <f>'[12]Dia 15 (a)'!$P10</f>
        <v>18.399999999999999</v>
      </c>
      <c r="Q4" s="12">
        <f>'[12]Dia 16 (a)'!$P10</f>
        <v>20</v>
      </c>
      <c r="R4" s="12">
        <f>'[12]Dia 17 (a)'!$P10</f>
        <v>18.8</v>
      </c>
      <c r="S4" s="12">
        <f>'[12]Dia 18 (a)'!$P10</f>
        <v>20</v>
      </c>
      <c r="T4" s="12">
        <f>'[12]Dia 19 (a)'!$P10</f>
        <v>20</v>
      </c>
      <c r="U4" s="12">
        <f>'[12]Dia 20 (a)'!$P10</f>
        <v>19.399999999999999</v>
      </c>
      <c r="V4" s="12">
        <f>'[12]Dia 21 (a)'!$P10</f>
        <v>19.100000000000001</v>
      </c>
      <c r="W4" s="12">
        <f>'[12]Dia 22 (a)'!$P10</f>
        <v>16.600000000000001</v>
      </c>
      <c r="X4" s="12">
        <f>'[12]Dia 23 (a)'!$P10</f>
        <v>17.100000000000001</v>
      </c>
      <c r="Y4" s="12">
        <f>'[12]Dia 24 (a)'!$P10</f>
        <v>19.600000000000001</v>
      </c>
      <c r="Z4" s="12">
        <f>'[12]Dia 25 (a)'!$P10</f>
        <v>20.6</v>
      </c>
      <c r="AA4" s="12">
        <f>'[12]Dia 26 (a)'!$P10</f>
        <v>22.4</v>
      </c>
      <c r="AB4" s="12">
        <f>'[12]Dia 27 (a)'!$P10</f>
        <v>22.2</v>
      </c>
      <c r="AC4" s="12">
        <f>'[12]Dia 28 (a)'!$P10</f>
        <v>22</v>
      </c>
      <c r="AD4" s="12">
        <f>'[12]Dia 29 (a)'!$P10</f>
        <v>21.4</v>
      </c>
      <c r="AE4" s="12">
        <f>'[12]Dia 30 (a)'!$P10</f>
        <v>21.3</v>
      </c>
      <c r="AF4" s="13">
        <f>'[12]Dia 31 (a)'!$P10</f>
        <v>21.4</v>
      </c>
      <c r="AG4" s="14"/>
    </row>
    <row r="5" spans="1:33" ht="20.100000000000001" customHeight="1">
      <c r="A5" s="11">
        <v>8</v>
      </c>
      <c r="B5" s="12">
        <f>'[12]Dia 1 (a)'!$P11</f>
        <v>20</v>
      </c>
      <c r="C5" s="12">
        <f>'[12]Dia 2 (a)'!$P11</f>
        <v>21.9</v>
      </c>
      <c r="D5" s="12">
        <f>'[12]Dia 3 (a)'!$P11</f>
        <v>22.4</v>
      </c>
      <c r="E5" s="12">
        <f>'[12]Dia 4 (a)'!$P11</f>
        <v>22.4</v>
      </c>
      <c r="F5" s="12">
        <f>'[12]Dia 5 (a)'!$P11</f>
        <v>22.1</v>
      </c>
      <c r="G5" s="12">
        <f>'[12]Dia 6 (a)'!$P11</f>
        <v>21.3</v>
      </c>
      <c r="H5" s="12">
        <f>'[12]Dia 7 (a)'!$P11</f>
        <v>22</v>
      </c>
      <c r="I5" s="12">
        <f>'[12]Dia 8 (a)'!$P11</f>
        <v>21.4</v>
      </c>
      <c r="J5" s="12">
        <f>'[12]Dia 9 (a)'!$P11</f>
        <v>21.8</v>
      </c>
      <c r="K5" s="12">
        <f>'[12]Dia 10 (a)'!$P11</f>
        <v>22.8</v>
      </c>
      <c r="L5" s="12">
        <f>'[12]Dia 11 (a)'!$P11</f>
        <v>24.8</v>
      </c>
      <c r="M5" s="12">
        <f>'[12]Dia 12 (a)'!$P11</f>
        <v>25.3</v>
      </c>
      <c r="N5" s="12">
        <f>'[12]Dia 13 (a)'!$P11</f>
        <v>21.9</v>
      </c>
      <c r="O5" s="12">
        <f>'[12]Dia 14 (a)'!$P11</f>
        <v>19.600000000000001</v>
      </c>
      <c r="P5" s="12">
        <f>'[12]Dia 15 (a)'!$P11</f>
        <v>19.600000000000001</v>
      </c>
      <c r="Q5" s="12">
        <f>'[12]Dia 16 (a)'!$P11</f>
        <v>21.2</v>
      </c>
      <c r="R5" s="12">
        <f>'[12]Dia 17 (a)'!$P11</f>
        <v>19.8</v>
      </c>
      <c r="S5" s="12">
        <f>'[12]Dia 18 (a)'!$P11</f>
        <v>21.6</v>
      </c>
      <c r="T5" s="12">
        <f>'[12]Dia 19 (a)'!$P11</f>
        <v>20.5</v>
      </c>
      <c r="U5" s="12">
        <f>'[12]Dia 20 (a)'!$P11</f>
        <v>19.8</v>
      </c>
      <c r="V5" s="12">
        <f>'[12]Dia 21 (a)'!$P11</f>
        <v>19.5</v>
      </c>
      <c r="W5" s="12">
        <f>'[12]Dia 22 (a)'!$P11</f>
        <v>16.399999999999999</v>
      </c>
      <c r="X5" s="12">
        <f>'[12]Dia 23 (a)'!$P11</f>
        <v>18.5</v>
      </c>
      <c r="Y5" s="43">
        <f>'[12]Dia 24 (a)'!$P11</f>
        <v>20.2</v>
      </c>
      <c r="Z5" s="12">
        <f>'[12]Dia 25 (a)'!$P11</f>
        <v>21.4</v>
      </c>
      <c r="AA5" s="12">
        <f>'[12]Dia 26 (a)'!$P11</f>
        <v>22.5</v>
      </c>
      <c r="AB5" s="12">
        <f>'[12]Dia 27 (a)'!$P11</f>
        <v>22.8</v>
      </c>
      <c r="AC5" s="12">
        <f>'[12]Dia 28 (a)'!$P11</f>
        <v>22</v>
      </c>
      <c r="AD5" s="12">
        <f>'[12]Dia 29 (a)'!$P11</f>
        <v>21.7</v>
      </c>
      <c r="AE5" s="12">
        <f>'[12]Dia 30 (a)'!$P11</f>
        <v>21.6</v>
      </c>
      <c r="AF5" s="13">
        <f>'[12]Dia 31 (a)'!$P11</f>
        <v>21.4</v>
      </c>
      <c r="AG5" s="14"/>
    </row>
    <row r="6" spans="1:33" ht="20.100000000000001" customHeight="1">
      <c r="A6" s="11">
        <v>9</v>
      </c>
      <c r="B6" s="12">
        <f>'[12]Dia 1 (a)'!$P12</f>
        <v>21</v>
      </c>
      <c r="C6" s="12">
        <f>'[12]Dia 2 (a)'!$P12</f>
        <v>23.4</v>
      </c>
      <c r="D6" s="12">
        <f>'[12]Dia 3 (a)'!$P12</f>
        <v>23.3</v>
      </c>
      <c r="E6" s="12">
        <f>'[12]Dia 4 (a)'!$P12</f>
        <v>23.7</v>
      </c>
      <c r="F6" s="12">
        <f>'[12]Dia 5 (a)'!$P12</f>
        <v>22.5</v>
      </c>
      <c r="G6" s="12">
        <f>'[12]Dia 6 (a)'!$P12</f>
        <v>22.3</v>
      </c>
      <c r="H6" s="12">
        <f>'[12]Dia 7 (a)'!$P12</f>
        <v>23</v>
      </c>
      <c r="I6" s="12">
        <f>'[12]Dia 8 (a)'!$P12</f>
        <v>23.6</v>
      </c>
      <c r="J6" s="12">
        <f>'[12]Dia 9 (a)'!$P12</f>
        <v>25</v>
      </c>
      <c r="K6" s="12">
        <f>'[12]Dia 10 (a)'!$P12</f>
        <v>25.2</v>
      </c>
      <c r="L6" s="12">
        <f>'[12]Dia 11 (a)'!$P12</f>
        <v>27.1</v>
      </c>
      <c r="M6" s="12">
        <f>'[12]Dia 12 (a)'!$P12</f>
        <v>26.4</v>
      </c>
      <c r="N6" s="12">
        <f>'[12]Dia 13 (a)'!$P12</f>
        <v>21.7</v>
      </c>
      <c r="O6" s="12">
        <f>'[12]Dia 14 (a)'!$P12</f>
        <v>21.3</v>
      </c>
      <c r="P6" s="12">
        <f>'[12]Dia 15 (a)'!$P12</f>
        <v>22</v>
      </c>
      <c r="Q6" s="12">
        <f>'[12]Dia 16 (a)'!$P12</f>
        <v>23.6</v>
      </c>
      <c r="R6" s="12">
        <f>'[12]Dia 17 (a)'!$P12</f>
        <v>21.6</v>
      </c>
      <c r="S6" s="12">
        <f>'[12]Dia 18 (a)'!$P12</f>
        <v>22.6</v>
      </c>
      <c r="T6" s="12">
        <f>'[12]Dia 19 (a)'!$P12</f>
        <v>21.7</v>
      </c>
      <c r="U6" s="12">
        <f>'[12]Dia 20 (a)'!$P12</f>
        <v>20.7</v>
      </c>
      <c r="V6" s="12">
        <f>'[12]Dia 21 (a)'!$P12</f>
        <v>20.8</v>
      </c>
      <c r="W6" s="12">
        <f>'[12]Dia 22 (a)'!$P12</f>
        <v>20.2</v>
      </c>
      <c r="X6" s="12">
        <f>'[12]Dia 23 (a)'!$P12</f>
        <v>20.6</v>
      </c>
      <c r="Y6" s="12">
        <f>'[12]Dia 24 (a)'!$P12</f>
        <v>21.8</v>
      </c>
      <c r="Z6" s="12">
        <f>'[12]Dia 25 (a)'!$P12</f>
        <v>23.8</v>
      </c>
      <c r="AA6" s="12">
        <f>'[12]Dia 26 (a)'!$P12</f>
        <v>23</v>
      </c>
      <c r="AB6" s="12">
        <f>'[12]Dia 27 (a)'!$P12</f>
        <v>23.6</v>
      </c>
      <c r="AC6" s="12">
        <f>'[12]Dia 28 (a)'!$P12</f>
        <v>21.8</v>
      </c>
      <c r="AD6" s="12">
        <f>'[12]Dia 29 (a)'!$P12</f>
        <v>22.5</v>
      </c>
      <c r="AE6" s="12">
        <f>'[12]Dia 30 (a)'!$P12</f>
        <v>22.3</v>
      </c>
      <c r="AF6" s="13">
        <f>'[12]Dia 31 (a)'!$P12</f>
        <v>23.4</v>
      </c>
      <c r="AG6" s="14"/>
    </row>
    <row r="7" spans="1:33" ht="20.100000000000001" customHeight="1">
      <c r="A7" s="11">
        <v>10</v>
      </c>
      <c r="B7" s="12">
        <f>'[12]Dia 1 (a)'!$P13</f>
        <v>22</v>
      </c>
      <c r="C7" s="12">
        <f>'[12]Dia 2 (a)'!$P13</f>
        <v>24.8</v>
      </c>
      <c r="D7" s="12">
        <f>'[12]Dia 3 (a)'!$P13</f>
        <v>24.3</v>
      </c>
      <c r="E7" s="12">
        <f>'[12]Dia 4 (a)'!$P13</f>
        <v>25.1</v>
      </c>
      <c r="F7" s="12">
        <f>'[12]Dia 5 (a)'!$P13</f>
        <v>23.3</v>
      </c>
      <c r="G7" s="12">
        <f>'[12]Dia 6 (a)'!$P13</f>
        <v>22.7</v>
      </c>
      <c r="H7" s="12">
        <f>'[12]Dia 7 (a)'!$P13</f>
        <v>24</v>
      </c>
      <c r="I7" s="12">
        <f>'[12]Dia 8 (a)'!$P13</f>
        <v>25.8</v>
      </c>
      <c r="J7" s="12">
        <f>'[12]Dia 9 (a)'!$P13</f>
        <v>27.2</v>
      </c>
      <c r="K7" s="12">
        <f>'[12]Dia 10 (a)'!$P13</f>
        <v>28.5</v>
      </c>
      <c r="L7" s="12">
        <f>'[12]Dia 11 (a)'!$P13</f>
        <v>29.6</v>
      </c>
      <c r="M7" s="12">
        <f>'[12]Dia 12 (a)'!$P13</f>
        <v>27.4</v>
      </c>
      <c r="N7" s="12">
        <f>'[12]Dia 13 (a)'!$P13</f>
        <v>21.9</v>
      </c>
      <c r="O7" s="12">
        <f>'[12]Dia 14 (a)'!$P13</f>
        <v>22.7</v>
      </c>
      <c r="P7" s="12">
        <f>'[12]Dia 15 (a)'!$P13</f>
        <v>24.8</v>
      </c>
      <c r="Q7" s="12">
        <f>'[12]Dia 16 (a)'!$P13</f>
        <v>27</v>
      </c>
      <c r="R7" s="12">
        <f>'[12]Dia 17 (a)'!$P13</f>
        <v>23.6</v>
      </c>
      <c r="S7" s="12">
        <f>'[12]Dia 18 (a)'!$P13</f>
        <v>24</v>
      </c>
      <c r="T7" s="12">
        <f>'[12]Dia 19 (a)'!$P13</f>
        <v>22.4</v>
      </c>
      <c r="U7" s="12">
        <f>'[12]Dia 20 (a)'!$P13</f>
        <v>21.1</v>
      </c>
      <c r="V7" s="12">
        <f>'[12]Dia 21 (a)'!$P13</f>
        <v>21.7</v>
      </c>
      <c r="W7" s="12">
        <f>'[12]Dia 22 (a)'!$P13</f>
        <v>20.8</v>
      </c>
      <c r="X7" s="12">
        <f>'[12]Dia 23 (a)'!$P13</f>
        <v>23.2</v>
      </c>
      <c r="Y7" s="12">
        <f>'[12]Dia 24 (a)'!$P13</f>
        <v>24.8</v>
      </c>
      <c r="Z7" s="12">
        <f>'[12]Dia 25 (a)'!$P13</f>
        <v>26.8</v>
      </c>
      <c r="AA7" s="12">
        <f>'[12]Dia 26 (a)'!$P13</f>
        <v>23.5</v>
      </c>
      <c r="AB7" s="12">
        <f>'[12]Dia 27 (a)'!$P13</f>
        <v>24.8</v>
      </c>
      <c r="AC7" s="12">
        <f>'[12]Dia 28 (a)'!$P13</f>
        <v>22.7</v>
      </c>
      <c r="AD7" s="12">
        <f>'[12]Dia 29 (a)'!$P13</f>
        <v>23.3</v>
      </c>
      <c r="AE7" s="12">
        <f>'[12]Dia 30 (a)'!$P13</f>
        <v>22.9</v>
      </c>
      <c r="AF7" s="13">
        <f>'[12]Dia 31 (a)'!$P13</f>
        <v>25.2</v>
      </c>
      <c r="AG7" s="14"/>
    </row>
    <row r="8" spans="1:33" ht="20.100000000000001" customHeight="1">
      <c r="A8" s="11">
        <v>11</v>
      </c>
      <c r="B8" s="12">
        <f>'[12]Dia 1 (a)'!$P14</f>
        <v>22.4</v>
      </c>
      <c r="C8" s="12">
        <f>'[12]Dia 2 (a)'!$P14</f>
        <v>27.2</v>
      </c>
      <c r="D8" s="12">
        <f>'[12]Dia 3 (a)'!$P14</f>
        <v>26.2</v>
      </c>
      <c r="E8" s="12">
        <f>'[12]Dia 4 (a)'!$P14</f>
        <v>25.4</v>
      </c>
      <c r="F8" s="12">
        <f>'[12]Dia 5 (a)'!$P14</f>
        <v>24.3</v>
      </c>
      <c r="G8" s="12">
        <f>'[12]Dia 6 (a)'!$P14</f>
        <v>23.2</v>
      </c>
      <c r="H8" s="12">
        <f>'[12]Dia 7 (a)'!$P14</f>
        <v>24</v>
      </c>
      <c r="I8" s="12">
        <f>'[12]Dia 8 (a)'!$P14</f>
        <v>28.4</v>
      </c>
      <c r="J8" s="12">
        <f>'[12]Dia 9 (a)'!$P14</f>
        <v>30.4</v>
      </c>
      <c r="K8" s="12">
        <f>'[12]Dia 10 (a)'!$P14</f>
        <v>31.8</v>
      </c>
      <c r="L8" s="12">
        <f>'[12]Dia 11 (a)'!$P14</f>
        <v>32.4</v>
      </c>
      <c r="M8" s="12">
        <f>'[12]Dia 12 (a)'!$P14</f>
        <v>30.1</v>
      </c>
      <c r="N8" s="12">
        <f>'[12]Dia 13 (a)'!$P14</f>
        <v>22.1</v>
      </c>
      <c r="O8" s="12">
        <f>'[12]Dia 14 (a)'!$P14</f>
        <v>24.4</v>
      </c>
      <c r="P8" s="12">
        <f>'[12]Dia 15 (a)'!$P14</f>
        <v>27.5</v>
      </c>
      <c r="Q8" s="12">
        <f>'[12]Dia 16 (a)'!$P14</f>
        <v>28.6</v>
      </c>
      <c r="R8" s="12">
        <f>'[12]Dia 17 (a)'!$P14</f>
        <v>27</v>
      </c>
      <c r="S8" s="12">
        <f>'[12]Dia 18 (a)'!$P14</f>
        <v>25</v>
      </c>
      <c r="T8" s="12">
        <f>'[12]Dia 19 (a)'!$P14</f>
        <v>22.6</v>
      </c>
      <c r="U8" s="12">
        <f>'[12]Dia 20 (a)'!$P14</f>
        <v>22</v>
      </c>
      <c r="V8" s="12">
        <f>'[12]Dia 21 (a)'!$P14</f>
        <v>23.1</v>
      </c>
      <c r="W8" s="12">
        <f>'[12]Dia 22 (a)'!$P14</f>
        <v>22.2</v>
      </c>
      <c r="X8" s="12">
        <f>'[12]Dia 23 (a)'!$P14</f>
        <v>25.7</v>
      </c>
      <c r="Y8" s="12">
        <f>'[12]Dia 24 (a)'!$P14</f>
        <v>28.3</v>
      </c>
      <c r="Z8" s="12">
        <f>'[12]Dia 25 (a)'!$P14</f>
        <v>29.6</v>
      </c>
      <c r="AA8" s="12">
        <f>'[12]Dia 26 (a)'!$P14</f>
        <v>24.3</v>
      </c>
      <c r="AB8" s="12">
        <f>'[12]Dia 27 (a)'!$P14</f>
        <v>27</v>
      </c>
      <c r="AC8" s="12">
        <f>'[12]Dia 28 (a)'!$P14</f>
        <v>25.6</v>
      </c>
      <c r="AD8" s="12">
        <f>'[12]Dia 29 (a)'!$P14</f>
        <v>24.7</v>
      </c>
      <c r="AE8" s="12">
        <f>'[12]Dia 30 (a)'!$P14</f>
        <v>23.7</v>
      </c>
      <c r="AF8" s="13">
        <f>'[12]Dia 31 (a)'!$P14</f>
        <v>26.4</v>
      </c>
      <c r="AG8" s="14"/>
    </row>
    <row r="9" spans="1:33" ht="20.100000000000001" customHeight="1">
      <c r="A9" s="11">
        <v>12</v>
      </c>
      <c r="B9" s="12">
        <f>'[12]Dia 1 (a)'!$P15</f>
        <v>25.2</v>
      </c>
      <c r="C9" s="12">
        <f>'[12]Dia 2 (a)'!$P15</f>
        <v>27.9</v>
      </c>
      <c r="D9" s="12">
        <f>'[12]Dia 3 (a)'!$P15</f>
        <v>27.4</v>
      </c>
      <c r="E9" s="12">
        <f>'[12]Dia 4 (a)'!$P15</f>
        <v>27.4</v>
      </c>
      <c r="F9" s="12">
        <f>'[12]Dia 5 (a)'!$P15</f>
        <v>24.8</v>
      </c>
      <c r="G9" s="12">
        <f>'[12]Dia 6 (a)'!$P15</f>
        <v>23.3</v>
      </c>
      <c r="H9" s="12">
        <f>'[12]Dia 7 (a)'!$P15</f>
        <v>24.6</v>
      </c>
      <c r="I9" s="12">
        <f>'[12]Dia 8 (a)'!$P15</f>
        <v>31</v>
      </c>
      <c r="J9" s="12">
        <f>'[12]Dia 9 (a)'!$P15</f>
        <v>32.799999999999997</v>
      </c>
      <c r="K9" s="12">
        <f>'[12]Dia 10 (a)'!$P15</f>
        <v>34.6</v>
      </c>
      <c r="L9" s="12">
        <f>'[12]Dia 11 (a)'!$P15</f>
        <v>34.799999999999997</v>
      </c>
      <c r="M9" s="12">
        <f>'[12]Dia 12 (a)'!$P15</f>
        <v>32</v>
      </c>
      <c r="N9" s="12">
        <f>'[12]Dia 13 (a)'!$P15</f>
        <v>22.5</v>
      </c>
      <c r="O9" s="12">
        <f>'[12]Dia 14 (a)'!$P15</f>
        <v>26.3</v>
      </c>
      <c r="P9" s="12">
        <f>'[12]Dia 15 (a)'!$P15</f>
        <v>29.8</v>
      </c>
      <c r="Q9" s="12">
        <f>'[12]Dia 16 (a)'!$P15</f>
        <v>30.6</v>
      </c>
      <c r="R9" s="12">
        <f>'[12]Dia 17 (a)'!$P15</f>
        <v>27.4</v>
      </c>
      <c r="S9" s="12">
        <f>'[12]Dia 18 (a)'!$P15</f>
        <v>26</v>
      </c>
      <c r="T9" s="12">
        <f>'[12]Dia 19 (a)'!$P15</f>
        <v>22.5</v>
      </c>
      <c r="U9" s="12">
        <f>'[12]Dia 20 (a)'!$P15</f>
        <v>22.4</v>
      </c>
      <c r="V9" s="12">
        <f>'[12]Dia 21 (a)'!$P15</f>
        <v>24</v>
      </c>
      <c r="W9" s="12">
        <f>'[12]Dia 22 (a)'!$P15</f>
        <v>22.8</v>
      </c>
      <c r="X9" s="12">
        <f>'[12]Dia 23 (a)'!$P15</f>
        <v>27.6</v>
      </c>
      <c r="Y9" s="12">
        <f>'[12]Dia 24 (a)'!$P15</f>
        <v>30.7</v>
      </c>
      <c r="Z9" s="12">
        <f>'[12]Dia 25 (a)'!$P15</f>
        <v>32.200000000000003</v>
      </c>
      <c r="AA9" s="12">
        <f>'[12]Dia 26 (a)'!$P15</f>
        <v>25.5</v>
      </c>
      <c r="AB9" s="12">
        <f>'[12]Dia 27 (a)'!$P15</f>
        <v>29.5</v>
      </c>
      <c r="AC9" s="12">
        <f>'[12]Dia 28 (a)'!$P15</f>
        <v>26.8</v>
      </c>
      <c r="AD9" s="12">
        <f>'[12]Dia 29 (a)'!$P15</f>
        <v>25.6</v>
      </c>
      <c r="AE9" s="12">
        <f>'[12]Dia 30 (a)'!$P15</f>
        <v>25</v>
      </c>
      <c r="AF9" s="13">
        <f>'[12]Dia 31 (a)'!$P15</f>
        <v>28</v>
      </c>
      <c r="AG9" s="14"/>
    </row>
    <row r="10" spans="1:33" ht="20.100000000000001" customHeight="1">
      <c r="A10" s="11">
        <v>13</v>
      </c>
      <c r="B10" s="12">
        <f>'[12]Dia 1 (a)'!$P16</f>
        <v>25.6</v>
      </c>
      <c r="C10" s="12">
        <f>'[12]Dia 2 (a)'!$P16</f>
        <v>29.8</v>
      </c>
      <c r="D10" s="12">
        <f>'[12]Dia 3 (a)'!$P16</f>
        <v>28.9</v>
      </c>
      <c r="E10" s="12">
        <f>'[12]Dia 4 (a)'!$P16</f>
        <v>28.2</v>
      </c>
      <c r="F10" s="12">
        <f>'[12]Dia 5 (a)'!$P16</f>
        <v>25.8</v>
      </c>
      <c r="G10" s="12">
        <f>'[12]Dia 6 (a)'!$P16</f>
        <v>24.2</v>
      </c>
      <c r="H10" s="12">
        <f>'[12]Dia 7 (a)'!$P16</f>
        <v>26.4</v>
      </c>
      <c r="I10" s="12">
        <f>'[12]Dia 8 (a)'!$P16</f>
        <v>33.4</v>
      </c>
      <c r="J10" s="12">
        <f>'[12]Dia 9 (a)'!$P16</f>
        <v>35.200000000000003</v>
      </c>
      <c r="K10" s="12">
        <f>'[12]Dia 10 (a)'!$P16</f>
        <v>36.200000000000003</v>
      </c>
      <c r="L10" s="12">
        <f>'[12]Dia 11 (a)'!$P16</f>
        <v>35.799999999999997</v>
      </c>
      <c r="M10" s="12">
        <f>'[12]Dia 12 (a)'!$P16</f>
        <v>32.4</v>
      </c>
      <c r="N10" s="12">
        <f>'[12]Dia 13 (a)'!$P16</f>
        <v>23.6</v>
      </c>
      <c r="O10" s="12">
        <f>'[12]Dia 14 (a)'!$P16</f>
        <v>27</v>
      </c>
      <c r="P10" s="12">
        <f>'[12]Dia 15 (a)'!$P16</f>
        <v>30.1</v>
      </c>
      <c r="Q10" s="12">
        <f>'[12]Dia 16 (a)'!$P16</f>
        <v>30.4</v>
      </c>
      <c r="R10" s="12">
        <f>'[12]Dia 17 (a)'!$P16</f>
        <v>28</v>
      </c>
      <c r="S10" s="12">
        <f>'[12]Dia 18 (a)'!$P16</f>
        <v>26.8</v>
      </c>
      <c r="T10" s="12">
        <f>'[12]Dia 19 (a)'!$P16</f>
        <v>22.8</v>
      </c>
      <c r="U10" s="12">
        <f>'[12]Dia 20 (a)'!$P16</f>
        <v>22.5</v>
      </c>
      <c r="V10" s="12">
        <f>'[12]Dia 21 (a)'!$P16</f>
        <v>24.4</v>
      </c>
      <c r="W10" s="12">
        <f>'[12]Dia 22 (a)'!$P16</f>
        <v>23.2</v>
      </c>
      <c r="X10" s="12">
        <f>'[12]Dia 23 (a)'!$P16</f>
        <v>29.6</v>
      </c>
      <c r="Y10" s="12">
        <f>'[12]Dia 24 (a)'!$P16</f>
        <v>31.2</v>
      </c>
      <c r="Z10" s="12">
        <f>'[12]Dia 25 (a)'!$P16</f>
        <v>34.200000000000003</v>
      </c>
      <c r="AA10" s="12">
        <f>'[12]Dia 26 (a)'!$P16</f>
        <v>27.4</v>
      </c>
      <c r="AB10" s="12">
        <f>'[12]Dia 27 (a)'!$P16</f>
        <v>31</v>
      </c>
      <c r="AC10" s="12">
        <f>'[12]Dia 28 (a)'!$P16</f>
        <v>26.4</v>
      </c>
      <c r="AD10" s="12">
        <f>'[12]Dia 29 (a)'!$P16</f>
        <v>26.1</v>
      </c>
      <c r="AE10" s="12">
        <f>'[12]Dia 30 (a)'!$P16</f>
        <v>25.9</v>
      </c>
      <c r="AF10" s="13">
        <f>'[12]Dia 31 (a)'!$P16</f>
        <v>30.6</v>
      </c>
      <c r="AG10" s="14"/>
    </row>
    <row r="11" spans="1:33" ht="20.100000000000001" customHeight="1">
      <c r="A11" s="11">
        <v>14</v>
      </c>
      <c r="B11" s="12">
        <f>'[12]Dia 1 (a)'!$P17</f>
        <v>24</v>
      </c>
      <c r="C11" s="12">
        <f>'[12]Dia 2 (a)'!$P17</f>
        <v>27.4</v>
      </c>
      <c r="D11" s="12">
        <f>'[12]Dia 3 (a)'!$P17</f>
        <v>27.1</v>
      </c>
      <c r="E11" s="12">
        <f>'[12]Dia 4 (a)'!$P17</f>
        <v>27.2</v>
      </c>
      <c r="F11" s="12">
        <f>'[12]Dia 5 (a)'!$P17</f>
        <v>24.9</v>
      </c>
      <c r="G11" s="12">
        <f>'[12]Dia 6 (a)'!$P17</f>
        <v>24.4</v>
      </c>
      <c r="H11" s="12">
        <f>'[12]Dia 7 (a)'!$P17</f>
        <v>27.2</v>
      </c>
      <c r="I11" s="12">
        <f>'[12]Dia 8 (a)'!$P17</f>
        <v>33.5</v>
      </c>
      <c r="J11" s="12">
        <f>'[12]Dia 9 (a)'!$P17</f>
        <v>35.6</v>
      </c>
      <c r="K11" s="12">
        <f>'[12]Dia 10 (a)'!$P17</f>
        <v>35.700000000000003</v>
      </c>
      <c r="L11" s="12">
        <f>'[12]Dia 11 (a)'!$P17</f>
        <v>35.799999999999997</v>
      </c>
      <c r="M11" s="12">
        <f>'[12]Dia 12 (a)'!$P17</f>
        <v>30.4</v>
      </c>
      <c r="N11" s="12">
        <f>'[12]Dia 13 (a)'!$P17</f>
        <v>24.9</v>
      </c>
      <c r="O11" s="12">
        <f>'[12]Dia 14 (a)'!$P17</f>
        <v>27.4</v>
      </c>
      <c r="P11" s="12">
        <f>'[12]Dia 15 (a)'!$P17</f>
        <v>29.7</v>
      </c>
      <c r="Q11" s="12">
        <f>'[12]Dia 16 (a)'!$P17</f>
        <v>30</v>
      </c>
      <c r="R11" s="12">
        <f>'[12]Dia 17 (a)'!$P17</f>
        <v>28</v>
      </c>
      <c r="S11" s="12">
        <f>'[12]Dia 18 (a)'!$P17</f>
        <v>27.6</v>
      </c>
      <c r="T11" s="12">
        <f>'[12]Dia 19 (a)'!$P17</f>
        <v>22.5</v>
      </c>
      <c r="U11" s="12">
        <f>'[12]Dia 20 (a)'!$P17</f>
        <v>22.4</v>
      </c>
      <c r="V11" s="12">
        <f>'[12]Dia 21 (a)'!$P17</f>
        <v>24.7</v>
      </c>
      <c r="W11" s="12">
        <f>'[12]Dia 22 (a)'!$P17</f>
        <v>23.4</v>
      </c>
      <c r="X11" s="12">
        <f>'[12]Dia 23 (a)'!$P17</f>
        <v>29.3</v>
      </c>
      <c r="Y11" s="12">
        <f>'[12]Dia 24 (a)'!$P17</f>
        <v>31.8</v>
      </c>
      <c r="Z11" s="12">
        <f>'[12]Dia 25 (a)'!$P17</f>
        <v>34.200000000000003</v>
      </c>
      <c r="AA11" s="12">
        <f>'[12]Dia 26 (a)'!$P17</f>
        <v>29.5</v>
      </c>
      <c r="AB11" s="12">
        <f>'[12]Dia 27 (a)'!$P17</f>
        <v>31.6</v>
      </c>
      <c r="AC11" s="12">
        <f>'[12]Dia 28 (a)'!$P17</f>
        <v>26.6</v>
      </c>
      <c r="AD11" s="12">
        <f>'[12]Dia 29 (a)'!$P17</f>
        <v>27</v>
      </c>
      <c r="AE11" s="12">
        <f>'[12]Dia 30 (a)'!$P17</f>
        <v>27</v>
      </c>
      <c r="AF11" s="13">
        <f>'[12]Dia 31 (a)'!$P17</f>
        <v>31</v>
      </c>
      <c r="AG11" s="14"/>
    </row>
    <row r="12" spans="1:33" ht="20.100000000000001" customHeight="1">
      <c r="A12" s="11">
        <v>15</v>
      </c>
      <c r="B12" s="12">
        <f>'[12]Dia 1 (a)'!$P18</f>
        <v>24</v>
      </c>
      <c r="C12" s="12">
        <f>'[12]Dia 2 (a)'!$P18</f>
        <v>26.6</v>
      </c>
      <c r="D12" s="12">
        <f>'[12]Dia 3 (a)'!$P18</f>
        <v>25.4</v>
      </c>
      <c r="E12" s="12">
        <f>'[12]Dia 4 (a)'!$P18</f>
        <v>25.8</v>
      </c>
      <c r="F12" s="12">
        <f>'[12]Dia 5 (a)'!$P18</f>
        <v>24.7</v>
      </c>
      <c r="G12" s="12">
        <f>'[12]Dia 6 (a)'!$P18</f>
        <v>24.3</v>
      </c>
      <c r="H12" s="12">
        <f>'[12]Dia 7 (a)'!$P18</f>
        <v>27.6</v>
      </c>
      <c r="I12" s="12">
        <f>'[12]Dia 8 (a)'!$P18</f>
        <v>33.4</v>
      </c>
      <c r="J12" s="12">
        <f>'[12]Dia 9 (a)'!$P18</f>
        <v>36</v>
      </c>
      <c r="K12" s="12">
        <f>'[12]Dia 10 (a)'!$P18</f>
        <v>36</v>
      </c>
      <c r="L12" s="12">
        <f>'[12]Dia 11 (a)'!$P18</f>
        <v>35.200000000000003</v>
      </c>
      <c r="M12" s="12">
        <f>'[12]Dia 12 (a)'!$P18</f>
        <v>28.5</v>
      </c>
      <c r="N12" s="12">
        <f>'[12]Dia 13 (a)'!$P18</f>
        <v>24.7</v>
      </c>
      <c r="O12" s="12">
        <f>'[12]Dia 14 (a)'!$P18</f>
        <v>28.2</v>
      </c>
      <c r="P12" s="12">
        <f>'[12]Dia 15 (a)'!$P18</f>
        <v>29.8</v>
      </c>
      <c r="Q12" s="12">
        <f>'[12]Dia 16 (a)'!$P18</f>
        <v>29.8</v>
      </c>
      <c r="R12" s="12">
        <f>'[12]Dia 17 (a)'!$P18</f>
        <v>29</v>
      </c>
      <c r="S12" s="12">
        <f>'[12]Dia 18 (a)'!$P18</f>
        <v>27.2</v>
      </c>
      <c r="T12" s="12">
        <f>'[12]Dia 19 (a)'!$P18</f>
        <v>22.3</v>
      </c>
      <c r="U12" s="12">
        <f>'[12]Dia 20 (a)'!$P18</f>
        <v>22.6</v>
      </c>
      <c r="V12" s="12">
        <f>'[12]Dia 21 (a)'!$P18</f>
        <v>24.4</v>
      </c>
      <c r="W12" s="12">
        <f>'[12]Dia 22 (a)'!$P18</f>
        <v>23.2</v>
      </c>
      <c r="X12" s="12">
        <f>'[12]Dia 23 (a)'!$P18</f>
        <v>27.5</v>
      </c>
      <c r="Y12" s="12">
        <f>'[12]Dia 24 (a)'!$P18</f>
        <v>32.5</v>
      </c>
      <c r="Z12" s="12">
        <f>'[12]Dia 25 (a)'!$P18</f>
        <v>32.799999999999997</v>
      </c>
      <c r="AA12" s="12">
        <f>'[12]Dia 26 (a)'!$P18</f>
        <v>29.6</v>
      </c>
      <c r="AB12" s="12">
        <f>'[12]Dia 27 (a)'!$P18</f>
        <v>30.4</v>
      </c>
      <c r="AC12" s="12">
        <f>'[12]Dia 28 (a)'!$P18</f>
        <v>26.6</v>
      </c>
      <c r="AD12" s="12">
        <f>'[12]Dia 29 (a)'!$P18</f>
        <v>27.2</v>
      </c>
      <c r="AE12" s="12">
        <f>'[12]Dia 30 (a)'!$P18</f>
        <v>27.8</v>
      </c>
      <c r="AF12" s="13">
        <f>'[12]Dia 31 (a)'!$P18</f>
        <v>27.6</v>
      </c>
      <c r="AG12" s="14"/>
    </row>
    <row r="13" spans="1:33" ht="20.100000000000001" customHeight="1">
      <c r="A13" s="11">
        <v>16</v>
      </c>
      <c r="B13" s="12">
        <f>'[12]Dia 1 (a)'!$P19</f>
        <v>25.2</v>
      </c>
      <c r="C13" s="12">
        <f>'[12]Dia 2 (a)'!$P19</f>
        <v>25.4</v>
      </c>
      <c r="D13" s="12">
        <f>'[12]Dia 3 (a)'!$P19</f>
        <v>25.2</v>
      </c>
      <c r="E13" s="12">
        <f>'[12]Dia 4 (a)'!$P19</f>
        <v>25.6</v>
      </c>
      <c r="F13" s="12">
        <f>'[12]Dia 5 (a)'!$P19</f>
        <v>24.4</v>
      </c>
      <c r="G13" s="12">
        <f>'[12]Dia 6 (a)'!$P19</f>
        <v>24.5</v>
      </c>
      <c r="H13" s="12">
        <f>'[12]Dia 7 (a)'!$P19</f>
        <v>26.7</v>
      </c>
      <c r="I13" s="12">
        <f>'[12]Dia 8 (a)'!$P19</f>
        <v>31.9</v>
      </c>
      <c r="J13" s="12">
        <f>'[12]Dia 9 (a)'!$P19</f>
        <v>35</v>
      </c>
      <c r="K13" s="12">
        <f>'[12]Dia 10 (a)'!$P19</f>
        <v>35.200000000000003</v>
      </c>
      <c r="L13" s="12">
        <f>'[12]Dia 11 (a)'!$P19</f>
        <v>35.1</v>
      </c>
      <c r="M13" s="12">
        <f>'[12]Dia 12 (a)'!$P19</f>
        <v>27.2</v>
      </c>
      <c r="N13" s="12">
        <f>'[12]Dia 13 (a)'!$P19</f>
        <v>24.2</v>
      </c>
      <c r="O13" s="12">
        <f>'[12]Dia 14 (a)'!$P19</f>
        <v>28</v>
      </c>
      <c r="P13" s="12">
        <f>'[12]Dia 15 (a)'!$P19</f>
        <v>29.4</v>
      </c>
      <c r="Q13" s="12">
        <f>'[12]Dia 16 (a)'!$P19</f>
        <v>27</v>
      </c>
      <c r="R13" s="12">
        <f>'[12]Dia 17 (a)'!$P19</f>
        <v>28.8</v>
      </c>
      <c r="S13" s="12">
        <f>'[12]Dia 18 (a)'!$P19</f>
        <v>26.6</v>
      </c>
      <c r="T13" s="12">
        <f>'[12]Dia 19 (a)'!$P19</f>
        <v>21.8</v>
      </c>
      <c r="U13" s="12">
        <f>'[12]Dia 20 (a)'!$P19</f>
        <v>22.7</v>
      </c>
      <c r="V13" s="12">
        <f>'[12]Dia 21 (a)'!$P19</f>
        <v>23.9</v>
      </c>
      <c r="W13" s="12">
        <f>'[12]Dia 22 (a)'!$P19</f>
        <v>22.6</v>
      </c>
      <c r="X13" s="12">
        <f>'[12]Dia 23 (a)'!$P19</f>
        <v>27</v>
      </c>
      <c r="Y13" s="12">
        <f>'[12]Dia 24 (a)'!$P19</f>
        <v>31.2</v>
      </c>
      <c r="Z13" s="12">
        <f>'[12]Dia 25 (a)'!$P19</f>
        <v>30.6</v>
      </c>
      <c r="AA13" s="12">
        <f>'[12]Dia 26 (a)'!$P19</f>
        <v>28.6</v>
      </c>
      <c r="AB13" s="12">
        <f>'[12]Dia 27 (a)'!$P19</f>
        <v>29.4</v>
      </c>
      <c r="AC13" s="12">
        <f>'[12]Dia 28 (a)'!$P19</f>
        <v>25.8</v>
      </c>
      <c r="AD13" s="12">
        <f>'[12]Dia 29 (a)'!$P19</f>
        <v>27.4</v>
      </c>
      <c r="AE13" s="12">
        <f>'[12]Dia 30 (a)'!$P19</f>
        <v>26.4</v>
      </c>
      <c r="AF13" s="13">
        <f>'[12]Dia 31 (a)'!$P19</f>
        <v>25.9</v>
      </c>
      <c r="AG13" s="14"/>
    </row>
    <row r="14" spans="1:33" ht="20.100000000000001" customHeight="1">
      <c r="A14" s="11">
        <v>17</v>
      </c>
      <c r="B14" s="12">
        <f>'[12]Dia 1 (a)'!$P20</f>
        <v>24.4</v>
      </c>
      <c r="C14" s="12">
        <f>'[12]Dia 2 (a)'!$P20</f>
        <v>25</v>
      </c>
      <c r="D14" s="12">
        <f>'[12]Dia 3 (a)'!$P20</f>
        <v>25</v>
      </c>
      <c r="E14" s="12">
        <f>'[12]Dia 4 (a)'!$P20</f>
        <v>25.4</v>
      </c>
      <c r="F14" s="12">
        <f>'[12]Dia 5 (a)'!$P20</f>
        <v>23.6</v>
      </c>
      <c r="G14" s="12">
        <f>'[12]Dia 6 (a)'!$P20</f>
        <v>24</v>
      </c>
      <c r="H14" s="12">
        <f>'[12]Dia 7 (a)'!$P20</f>
        <v>25.8</v>
      </c>
      <c r="I14" s="12">
        <f>'[12]Dia 8 (a)'!$P20</f>
        <v>30</v>
      </c>
      <c r="J14" s="12">
        <f>'[12]Dia 9 (a)'!$P20</f>
        <v>32</v>
      </c>
      <c r="K14" s="12">
        <f>'[12]Dia 10 (a)'!$P20</f>
        <v>33.299999999999997</v>
      </c>
      <c r="L14" s="12">
        <f>'[12]Dia 11 (a)'!$P20</f>
        <v>33.799999999999997</v>
      </c>
      <c r="M14" s="12">
        <f>'[12]Dia 12 (a)'!$P20</f>
        <v>26</v>
      </c>
      <c r="N14" s="12">
        <f>'[12]Dia 13 (a)'!$P20</f>
        <v>23.8</v>
      </c>
      <c r="O14" s="12">
        <f>'[12]Dia 14 (a)'!$P20</f>
        <v>26</v>
      </c>
      <c r="P14" s="12">
        <f>'[12]Dia 15 (a)'!$P20</f>
        <v>27.9</v>
      </c>
      <c r="Q14" s="12">
        <f>'[12]Dia 16 (a)'!$P20</f>
        <v>25.6</v>
      </c>
      <c r="R14" s="12">
        <f>'[12]Dia 17 (a)'!$P20</f>
        <v>27.4</v>
      </c>
      <c r="S14" s="12">
        <f>'[12]Dia 18 (a)'!$P20</f>
        <v>25.3</v>
      </c>
      <c r="T14" s="12">
        <f>'[12]Dia 19 (a)'!$P20</f>
        <v>21.6</v>
      </c>
      <c r="U14" s="12">
        <f>'[12]Dia 20 (a)'!$P20</f>
        <v>22.2</v>
      </c>
      <c r="V14" s="12">
        <f>'[12]Dia 21 (a)'!$P20</f>
        <v>23.3</v>
      </c>
      <c r="W14" s="12">
        <f>'[12]Dia 22 (a)'!$P20</f>
        <v>22</v>
      </c>
      <c r="X14" s="12">
        <f>'[12]Dia 23 (a)'!$P20</f>
        <v>26</v>
      </c>
      <c r="Y14" s="12">
        <f>'[12]Dia 24 (a)'!$P20</f>
        <v>29.2</v>
      </c>
      <c r="Z14" s="12">
        <f>'[12]Dia 25 (a)'!$P20</f>
        <v>29.8</v>
      </c>
      <c r="AA14" s="12">
        <f>'[12]Dia 26 (a)'!$P20</f>
        <v>27</v>
      </c>
      <c r="AB14" s="12">
        <f>'[12]Dia 27 (a)'!$P20</f>
        <v>27</v>
      </c>
      <c r="AC14" s="12">
        <f>'[12]Dia 28 (a)'!$P20</f>
        <v>25.1</v>
      </c>
      <c r="AD14" s="12">
        <f>'[12]Dia 29 (a)'!$P20</f>
        <v>26.5</v>
      </c>
      <c r="AE14" s="12">
        <f>'[12]Dia 30 (a)'!$P20</f>
        <v>25.3</v>
      </c>
      <c r="AF14" s="13">
        <f>'[12]Dia 31 (a)'!$P20</f>
        <v>25.5</v>
      </c>
      <c r="AG14" s="14"/>
    </row>
    <row r="15" spans="1:33" ht="20.100000000000001" customHeight="1">
      <c r="A15" s="11">
        <v>18</v>
      </c>
      <c r="B15" s="12">
        <f>'[12]Dia 1 (a)'!$P21</f>
        <v>24.1</v>
      </c>
      <c r="C15" s="12">
        <f>'[12]Dia 2 (a)'!$P21</f>
        <v>24.3</v>
      </c>
      <c r="D15" s="12">
        <f>'[12]Dia 3 (a)'!$P21</f>
        <v>24</v>
      </c>
      <c r="E15" s="12">
        <f>'[12]Dia 4 (a)'!$P21</f>
        <v>25</v>
      </c>
      <c r="F15" s="12">
        <f>'[12]Dia 5 (a)'!$P21</f>
        <v>23.2</v>
      </c>
      <c r="G15" s="12">
        <f>'[12]Dia 6 (a)'!$P21</f>
        <v>23.7</v>
      </c>
      <c r="H15" s="12">
        <f>'[12]Dia 7 (a)'!$P21</f>
        <v>24.9</v>
      </c>
      <c r="I15" s="12">
        <f>'[12]Dia 8 (a)'!$P21</f>
        <v>28.6</v>
      </c>
      <c r="J15" s="12">
        <f>'[12]Dia 9 (a)'!$P21</f>
        <v>30.4</v>
      </c>
      <c r="K15" s="12">
        <f>'[12]Dia 10 (a)'!$P21</f>
        <v>31.4</v>
      </c>
      <c r="L15" s="12">
        <f>'[12]Dia 11 (a)'!$P21</f>
        <v>32.700000000000003</v>
      </c>
      <c r="M15" s="12">
        <f>'[12]Dia 12 (a)'!$P21</f>
        <v>25.4</v>
      </c>
      <c r="N15" s="12">
        <f>'[12]Dia 13 (a)'!$P21</f>
        <v>22.4</v>
      </c>
      <c r="O15" s="12">
        <f>'[12]Dia 14 (a)'!$P21</f>
        <v>24.4</v>
      </c>
      <c r="P15" s="12">
        <f>'[12]Dia 15 (a)'!$P21</f>
        <v>26.6</v>
      </c>
      <c r="Q15" s="12">
        <f>'[12]Dia 16 (a)'!$P21</f>
        <v>24.8</v>
      </c>
      <c r="R15" s="12">
        <f>'[12]Dia 17 (a)'!$P21</f>
        <v>26</v>
      </c>
      <c r="S15" s="12">
        <f>'[12]Dia 18 (a)'!$P21</f>
        <v>24.2</v>
      </c>
      <c r="T15" s="12">
        <f>'[12]Dia 19 (a)'!$P21</f>
        <v>21.2</v>
      </c>
      <c r="U15" s="12">
        <f>'[12]Dia 20 (a)'!$P21</f>
        <v>21.8</v>
      </c>
      <c r="V15" s="12">
        <f>'[12]Dia 21 (a)'!$P21</f>
        <v>22.4</v>
      </c>
      <c r="W15" s="12">
        <f>'[12]Dia 22 (a)'!$P21</f>
        <v>21.6</v>
      </c>
      <c r="X15" s="12">
        <f>'[12]Dia 23 (a)'!$P21</f>
        <v>24</v>
      </c>
      <c r="Y15" s="12">
        <f>'[12]Dia 24 (a)'!$P21</f>
        <v>27.3</v>
      </c>
      <c r="Z15" s="12">
        <f>'[12]Dia 25 (a)'!$P21</f>
        <v>27.9</v>
      </c>
      <c r="AA15" s="12">
        <f>'[12]Dia 26 (a)'!$P21</f>
        <v>26</v>
      </c>
      <c r="AB15" s="12">
        <f>'[12]Dia 27 (a)'!$P21</f>
        <v>26</v>
      </c>
      <c r="AC15" s="12">
        <f>'[12]Dia 28 (a)'!$P21</f>
        <v>24.2</v>
      </c>
      <c r="AD15" s="12">
        <f>'[12]Dia 29 (a)'!$P21</f>
        <v>25.4</v>
      </c>
      <c r="AE15" s="12">
        <f>'[12]Dia 30 (a)'!$P21</f>
        <v>24.4</v>
      </c>
      <c r="AF15" s="13">
        <f>'[12]Dia 31 (a)'!$P21</f>
        <v>25.1</v>
      </c>
      <c r="AG15" s="14"/>
    </row>
    <row r="16" spans="1:33" ht="20.100000000000001" customHeight="1">
      <c r="A16" s="11">
        <v>19</v>
      </c>
      <c r="B16" s="12">
        <f>'[12]Dia 1 (a)'!$P22</f>
        <v>23.4</v>
      </c>
      <c r="C16" s="12">
        <f>'[12]Dia 2 (a)'!$P22</f>
        <v>23.8</v>
      </c>
      <c r="D16" s="12">
        <f>'[12]Dia 3 (a)'!$P22</f>
        <v>23</v>
      </c>
      <c r="E16" s="12">
        <f>'[12]Dia 4 (a)'!$P22</f>
        <v>23.6</v>
      </c>
      <c r="F16" s="12">
        <f>'[12]Dia 5 (a)'!$P22</f>
        <v>22.8</v>
      </c>
      <c r="G16" s="12">
        <f>'[12]Dia 6 (a)'!$P22</f>
        <v>23.4</v>
      </c>
      <c r="H16" s="12">
        <f>'[12]Dia 7 (a)'!$P22</f>
        <v>24</v>
      </c>
      <c r="I16" s="12">
        <f>'[12]Dia 8 (a)'!$P22</f>
        <v>26.9</v>
      </c>
      <c r="J16" s="12">
        <f>'[12]Dia 9 (a)'!$P22</f>
        <v>28.4</v>
      </c>
      <c r="K16" s="12">
        <f>'[12]Dia 10 (a)'!$P22</f>
        <v>29.9</v>
      </c>
      <c r="L16" s="12">
        <f>'[12]Dia 11 (a)'!$P22</f>
        <v>31.1</v>
      </c>
      <c r="M16" s="12">
        <f>'[12]Dia 12 (a)'!$P22</f>
        <v>24.8</v>
      </c>
      <c r="N16" s="12">
        <f>'[12]Dia 13 (a)'!$P22</f>
        <v>21.8</v>
      </c>
      <c r="O16" s="12">
        <f>'[12]Dia 14 (a)'!$P22</f>
        <v>23</v>
      </c>
      <c r="P16" s="12">
        <f>'[12]Dia 15 (a)'!$P22</f>
        <v>25.4</v>
      </c>
      <c r="Q16" s="12">
        <f>'[12]Dia 16 (a)'!$P22</f>
        <v>23.8</v>
      </c>
      <c r="R16" s="12">
        <f>'[12]Dia 17 (a)'!$P22</f>
        <v>24.8</v>
      </c>
      <c r="S16" s="12">
        <f>'[12]Dia 18 (a)'!$P22</f>
        <v>23.4</v>
      </c>
      <c r="T16" s="12">
        <f>'[12]Dia 19 (a)'!$P22</f>
        <v>21.2</v>
      </c>
      <c r="U16" s="12">
        <f>'[12]Dia 20 (a)'!$P22</f>
        <v>21.2</v>
      </c>
      <c r="V16" s="12">
        <f>'[12]Dia 21 (a)'!$P22</f>
        <v>21.5</v>
      </c>
      <c r="W16" s="12">
        <f>'[12]Dia 22 (a)'!$P22</f>
        <v>20.399999999999999</v>
      </c>
      <c r="X16" s="12">
        <f>'[12]Dia 23 (a)'!$P22</f>
        <v>23</v>
      </c>
      <c r="Y16" s="12">
        <f>'[12]Dia 24 (a)'!$P22</f>
        <v>26.1</v>
      </c>
      <c r="Z16" s="12">
        <f>'[12]Dia 25 (a)'!$P22</f>
        <v>27</v>
      </c>
      <c r="AA16" s="12">
        <f>'[12]Dia 26 (a)'!$P22</f>
        <v>25</v>
      </c>
      <c r="AB16" s="12">
        <f>'[12]Dia 27 (a)'!$P22</f>
        <v>25</v>
      </c>
      <c r="AC16" s="12">
        <f>'[12]Dia 28 (a)'!$P22</f>
        <v>23.5</v>
      </c>
      <c r="AD16" s="12">
        <f>'[12]Dia 29 (a)'!$P22</f>
        <v>24</v>
      </c>
      <c r="AE16" s="12">
        <f>'[12]Dia 30 (a)'!$P22</f>
        <v>23.8</v>
      </c>
      <c r="AF16" s="13">
        <f>'[12]Dia 31 (a)'!$P22</f>
        <v>24.5</v>
      </c>
      <c r="AG16" s="14"/>
    </row>
    <row r="17" spans="1:33" ht="20.100000000000001" customHeight="1">
      <c r="A17" s="11">
        <v>20</v>
      </c>
      <c r="B17" s="12">
        <f>'[12]Dia 1 (a)'!$P23</f>
        <v>22.7</v>
      </c>
      <c r="C17" s="12">
        <f>'[12]Dia 2 (a)'!$P23</f>
        <v>23.3</v>
      </c>
      <c r="D17" s="12">
        <f>'[12]Dia 3 (a)'!$P23</f>
        <v>22.8</v>
      </c>
      <c r="E17" s="12">
        <f>'[12]Dia 4 (a)'!$P23</f>
        <v>22.6</v>
      </c>
      <c r="F17" s="12">
        <f>'[12]Dia 5 (a)'!$P23</f>
        <v>22.6</v>
      </c>
      <c r="G17" s="12">
        <f>'[12]Dia 6 (a)'!$P23</f>
        <v>23</v>
      </c>
      <c r="H17" s="12">
        <f>'[12]Dia 7 (a)'!$P23</f>
        <v>23.4</v>
      </c>
      <c r="I17" s="12">
        <f>'[12]Dia 8 (a)'!$P23</f>
        <v>25.7</v>
      </c>
      <c r="J17" s="12">
        <f>'[12]Dia 9 (a)'!$P23</f>
        <v>27.8</v>
      </c>
      <c r="K17" s="12">
        <f>'[12]Dia 10 (a)'!$P23</f>
        <v>28.7</v>
      </c>
      <c r="L17" s="12">
        <f>'[12]Dia 11 (a)'!$P23</f>
        <v>29.8</v>
      </c>
      <c r="M17" s="12">
        <f>'[12]Dia 12 (a)'!$P23</f>
        <v>24.2</v>
      </c>
      <c r="N17" s="12">
        <f>'[12]Dia 13 (a)'!$P23</f>
        <v>21</v>
      </c>
      <c r="O17" s="12">
        <f>'[12]Dia 14 (a)'!$P23</f>
        <v>22</v>
      </c>
      <c r="P17" s="12">
        <f>'[12]Dia 15 (a)'!$P23</f>
        <v>24.5</v>
      </c>
      <c r="Q17" s="12">
        <f>'[12]Dia 16 (a)'!$P23</f>
        <v>23</v>
      </c>
      <c r="R17" s="12">
        <f>'[12]Dia 17 (a)'!$P23</f>
        <v>23.8</v>
      </c>
      <c r="S17" s="12">
        <f>'[12]Dia 18 (a)'!$P23</f>
        <v>22.8</v>
      </c>
      <c r="T17" s="12">
        <f>'[12]Dia 19 (a)'!$P23</f>
        <v>20.6</v>
      </c>
      <c r="U17" s="12">
        <f>'[12]Dia 20 (a)'!$P23</f>
        <v>20.8</v>
      </c>
      <c r="V17" s="12">
        <f>'[12]Dia 21 (a)'!$P23</f>
        <v>20.8</v>
      </c>
      <c r="W17" s="12">
        <f>'[12]Dia 22 (a)'!$P23</f>
        <v>20</v>
      </c>
      <c r="X17" s="12">
        <f>'[12]Dia 23 (a)'!$P23</f>
        <v>22.2</v>
      </c>
      <c r="Y17" s="12">
        <f>'[12]Dia 24 (a)'!$P23</f>
        <v>25.2</v>
      </c>
      <c r="Z17" s="12">
        <f>'[12]Dia 25 (a)'!$P23</f>
        <v>26.2</v>
      </c>
      <c r="AA17" s="12">
        <f>'[12]Dia 26 (a)'!$P23</f>
        <v>24.6</v>
      </c>
      <c r="AB17" s="12">
        <f>'[12]Dia 27 (a)'!$P23</f>
        <v>26</v>
      </c>
      <c r="AC17" s="12">
        <f>'[12]Dia 28 (a)'!$P23</f>
        <v>22.9</v>
      </c>
      <c r="AD17" s="12">
        <f>'[12]Dia 29 (a)'!$P23</f>
        <v>23.7</v>
      </c>
      <c r="AE17" s="12">
        <f>'[12]Dia 30 (a)'!$P23</f>
        <v>23.2</v>
      </c>
      <c r="AF17" s="13">
        <f>'[12]Dia 31 (a)'!$P23</f>
        <v>23.8</v>
      </c>
      <c r="AG17" s="14"/>
    </row>
    <row r="18" spans="1:33" ht="20.100000000000001" customHeight="1">
      <c r="A18" s="11">
        <v>21</v>
      </c>
      <c r="B18" s="12">
        <f>'[12]Dia 1 (a)'!$P24</f>
        <v>22.4</v>
      </c>
      <c r="C18" s="12">
        <f>'[12]Dia 2 (a)'!$P24</f>
        <v>23</v>
      </c>
      <c r="D18" s="12">
        <f>'[12]Dia 3 (a)'!$P24</f>
        <v>22.2</v>
      </c>
      <c r="E18" s="12">
        <f>'[12]Dia 4 (a)'!$P24</f>
        <v>22.8</v>
      </c>
      <c r="F18" s="12">
        <f>'[12]Dia 5 (a)'!$P24</f>
        <v>22.4</v>
      </c>
      <c r="G18" s="12">
        <f>'[12]Dia 6 (a)'!$P24</f>
        <v>22.4</v>
      </c>
      <c r="H18" s="12">
        <f>'[12]Dia 7 (a)'!$P24</f>
        <v>22.9</v>
      </c>
      <c r="I18" s="12">
        <f>'[12]Dia 8 (a)'!$P24</f>
        <v>25</v>
      </c>
      <c r="J18" s="12">
        <f>'[12]Dia 9 (a)'!$P24</f>
        <v>26</v>
      </c>
      <c r="K18" s="12">
        <f>'[12]Dia 10 (a)'!$P24</f>
        <v>27.6</v>
      </c>
      <c r="L18" s="12">
        <f>'[12]Dia 11 (a)'!$P24</f>
        <v>28.9</v>
      </c>
      <c r="M18" s="12">
        <f>'[12]Dia 12 (a)'!$P24</f>
        <v>24</v>
      </c>
      <c r="N18" s="12">
        <f>'[12]Dia 13 (a)'!$P24</f>
        <v>20.6</v>
      </c>
      <c r="O18" s="12">
        <f>'[12]Dia 14 (a)'!$P24</f>
        <v>21</v>
      </c>
      <c r="P18" s="12">
        <f>'[12]Dia 15 (a)'!$P24</f>
        <v>23.8</v>
      </c>
      <c r="Q18" s="12">
        <f>'[12]Dia 16 (a)'!$P24</f>
        <v>22.4</v>
      </c>
      <c r="R18" s="12">
        <f>'[12]Dia 17 (a)'!$P24</f>
        <v>23.1</v>
      </c>
      <c r="S18" s="12">
        <f>'[12]Dia 18 (a)'!$P24</f>
        <v>22.4</v>
      </c>
      <c r="T18" s="12">
        <f>'[12]Dia 19 (a)'!$P24</f>
        <v>20.399999999999999</v>
      </c>
      <c r="U18" s="12">
        <f>'[12]Dia 20 (a)'!$P24</f>
        <v>20.399999999999999</v>
      </c>
      <c r="V18" s="12">
        <f>'[12]Dia 21 (a)'!$P24</f>
        <v>20.3</v>
      </c>
      <c r="W18" s="12">
        <f>'[12]Dia 22 (a)'!$P24</f>
        <v>19.600000000000001</v>
      </c>
      <c r="X18" s="12">
        <f>'[12]Dia 23 (a)'!$P24</f>
        <v>21.8</v>
      </c>
      <c r="Y18" s="12">
        <f>'[12]Dia 24 (a)'!$P24</f>
        <v>24.2</v>
      </c>
      <c r="Z18" s="12">
        <f>'[12]Dia 25 (a)'!$P24</f>
        <v>25.3</v>
      </c>
      <c r="AA18" s="12">
        <f>'[12]Dia 26 (a)'!$P24</f>
        <v>23.8</v>
      </c>
      <c r="AB18" s="12">
        <f>'[12]Dia 27 (a)'!$P24</f>
        <v>25</v>
      </c>
      <c r="AC18" s="12">
        <f>'[12]Dia 28 (a)'!$P24</f>
        <v>22.6</v>
      </c>
      <c r="AD18" s="12">
        <f>'[12]Dia 29 (a)'!$P24</f>
        <v>23</v>
      </c>
      <c r="AE18" s="12">
        <f>'[12]Dia 30 (a)'!$P24</f>
        <v>22.6</v>
      </c>
      <c r="AF18" s="13">
        <f>'[12]Dia 31 (a)'!$P24</f>
        <v>23.2</v>
      </c>
      <c r="AG18" s="14"/>
    </row>
    <row r="19" spans="1:33" ht="20.100000000000001" customHeight="1">
      <c r="A19" s="11">
        <v>22</v>
      </c>
      <c r="B19" s="12">
        <f>'[12]Dia 1 (a)'!$P25</f>
        <v>22</v>
      </c>
      <c r="C19" s="12">
        <f>'[12]Dia 2 (a)'!$P25</f>
        <v>22.7</v>
      </c>
      <c r="D19" s="12">
        <f>'[12]Dia 3 (a)'!$P25</f>
        <v>22</v>
      </c>
      <c r="E19" s="12">
        <f>'[12]Dia 4 (a)'!$P25</f>
        <v>22.8</v>
      </c>
      <c r="F19" s="12">
        <f>'[12]Dia 5 (a)'!$P25</f>
        <v>22.2</v>
      </c>
      <c r="G19" s="12">
        <f>'[12]Dia 6 (a)'!$P25</f>
        <v>22.2</v>
      </c>
      <c r="H19" s="12">
        <f>'[12]Dia 7 (a)'!$P25</f>
        <v>22.3</v>
      </c>
      <c r="I19" s="12">
        <f>'[12]Dia 8 (a)'!$P25</f>
        <v>23.6</v>
      </c>
      <c r="J19" s="12">
        <f>'[12]Dia 9 (a)'!$P25</f>
        <v>25</v>
      </c>
      <c r="K19" s="12">
        <f>'[12]Dia 10 (a)'!$P25</f>
        <v>26.6</v>
      </c>
      <c r="L19" s="12">
        <f>'[12]Dia 11 (a)'!$P25</f>
        <v>28</v>
      </c>
      <c r="M19" s="12">
        <f>'[12]Dia 12 (a)'!$P25</f>
        <v>23.6</v>
      </c>
      <c r="N19" s="12">
        <f>'[12]Dia 13 (a)'!$P25</f>
        <v>20</v>
      </c>
      <c r="O19" s="12">
        <f>'[12]Dia 14 (a)'!$P25</f>
        <v>20.399999999999999</v>
      </c>
      <c r="P19" s="12">
        <f>'[12]Dia 15 (a)'!$P25</f>
        <v>23.2</v>
      </c>
      <c r="Q19" s="12">
        <f>'[12]Dia 16 (a)'!$P25</f>
        <v>21.8</v>
      </c>
      <c r="R19" s="12">
        <f>'[12]Dia 17 (a)'!$P25</f>
        <v>22.6</v>
      </c>
      <c r="S19" s="12">
        <f>'[12]Dia 18 (a)'!$P25</f>
        <v>22</v>
      </c>
      <c r="T19" s="12">
        <f>'[12]Dia 19 (a)'!$P25</f>
        <v>20.3</v>
      </c>
      <c r="U19" s="12">
        <f>'[12]Dia 20 (a)'!$P25</f>
        <v>19.8</v>
      </c>
      <c r="V19" s="12">
        <f>'[12]Dia 21 (a)'!$P25</f>
        <v>19.899999999999999</v>
      </c>
      <c r="W19" s="12">
        <f>'[12]Dia 22 (a)'!$P25</f>
        <v>19</v>
      </c>
      <c r="X19" s="12">
        <f>'[12]Dia 23 (a)'!$P25</f>
        <v>21.2</v>
      </c>
      <c r="Y19" s="12">
        <f>'[12]Dia 24 (a)'!$P25</f>
        <v>23.6</v>
      </c>
      <c r="Z19" s="12">
        <f>'[12]Dia 25 (a)'!$P25</f>
        <v>24.6</v>
      </c>
      <c r="AA19" s="12">
        <f>'[12]Dia 26 (a)'!$P25</f>
        <v>23.4</v>
      </c>
      <c r="AB19" s="12">
        <f>'[12]Dia 27 (a)'!$P25</f>
        <v>24</v>
      </c>
      <c r="AC19" s="12">
        <f>'[12]Dia 28 (a)'!$P25</f>
        <v>22.2</v>
      </c>
      <c r="AD19" s="12">
        <f>'[12]Dia 29 (a)'!$P25</f>
        <v>22.6</v>
      </c>
      <c r="AE19" s="12">
        <f>'[12]Dia 30 (a)'!$P25</f>
        <v>22.4</v>
      </c>
      <c r="AF19" s="13">
        <f>'[12]Dia 31 (a)'!$P25</f>
        <v>22.6</v>
      </c>
      <c r="AG19" s="14"/>
    </row>
    <row r="20" spans="1:33" ht="20.100000000000001" customHeight="1">
      <c r="A20" s="11">
        <v>23</v>
      </c>
      <c r="B20" s="12">
        <f>'[12]Dia 1 (a)'!$P26</f>
        <v>21.5</v>
      </c>
      <c r="C20" s="12">
        <f>'[12]Dia 2 (a)'!$P26</f>
        <v>22.5</v>
      </c>
      <c r="D20" s="12">
        <f>'[12]Dia 3 (a)'!$P26</f>
        <v>21.6</v>
      </c>
      <c r="E20" s="12">
        <f>'[12]Dia 4 (a)'!$P26</f>
        <v>22.4</v>
      </c>
      <c r="F20" s="12">
        <f>'[12]Dia 5 (a)'!$P26</f>
        <v>22</v>
      </c>
      <c r="G20" s="12">
        <f>'[12]Dia 6 (a)'!$P26</f>
        <v>21.9</v>
      </c>
      <c r="H20" s="12">
        <f>'[12]Dia 7 (a)'!$P26</f>
        <v>21.6</v>
      </c>
      <c r="I20" s="12">
        <f>'[12]Dia 8 (a)'!$P26</f>
        <v>22.9</v>
      </c>
      <c r="J20" s="12">
        <f>'[12]Dia 9 (a)'!$P26</f>
        <v>24.4</v>
      </c>
      <c r="K20" s="12">
        <f>'[12]Dia 10 (a)'!$P26</f>
        <v>25.9</v>
      </c>
      <c r="L20" s="12">
        <f>'[12]Dia 11 (a)'!$P26</f>
        <v>27.2</v>
      </c>
      <c r="M20" s="12">
        <f>'[12]Dia 12 (a)'!$P26</f>
        <v>23</v>
      </c>
      <c r="N20" s="12">
        <f>'[12]Dia 13 (a)'!$P26</f>
        <v>20</v>
      </c>
      <c r="O20" s="12">
        <f>'[12]Dia 14 (a)'!$P26</f>
        <v>20</v>
      </c>
      <c r="P20" s="12">
        <f>'[12]Dia 15 (a)'!$P26</f>
        <v>22.7</v>
      </c>
      <c r="Q20" s="12">
        <f>'[12]Dia 16 (a)'!$P26</f>
        <v>21.1</v>
      </c>
      <c r="R20" s="12">
        <f>'[12]Dia 17 (a)'!$P26</f>
        <v>22</v>
      </c>
      <c r="S20" s="12">
        <f>'[12]Dia 18 (a)'!$P26</f>
        <v>21.4</v>
      </c>
      <c r="T20" s="12">
        <f>'[12]Dia 19 (a)'!$P26</f>
        <v>20</v>
      </c>
      <c r="U20" s="12">
        <f>'[12]Dia 20 (a)'!$P26</f>
        <v>19.5</v>
      </c>
      <c r="V20" s="12">
        <f>'[12]Dia 21 (a)'!$P26</f>
        <v>19.2</v>
      </c>
      <c r="W20" s="12">
        <f>'[12]Dia 22 (a)'!$P26</f>
        <v>18.600000000000001</v>
      </c>
      <c r="X20" s="12">
        <f>'[12]Dia 23 (a)'!$P26</f>
        <v>20.6</v>
      </c>
      <c r="Y20" s="12">
        <f>'[12]Dia 24 (a)'!$P26</f>
        <v>22.8</v>
      </c>
      <c r="Z20" s="12">
        <f>'[12]Dia 25 (a)'!$P26</f>
        <v>24.3</v>
      </c>
      <c r="AA20" s="12">
        <f>'[12]Dia 26 (a)'!$P26</f>
        <v>23</v>
      </c>
      <c r="AB20" s="12">
        <f>'[12]Dia 27 (a)'!$P26</f>
        <v>23.8</v>
      </c>
      <c r="AC20" s="12">
        <f>'[12]Dia 28 (a)'!$P26</f>
        <v>21.9</v>
      </c>
      <c r="AD20" s="12">
        <f>'[12]Dia 29 (a)'!$P26</f>
        <v>22.4</v>
      </c>
      <c r="AE20" s="12">
        <f>'[12]Dia 30 (a)'!$P26</f>
        <v>22.2</v>
      </c>
      <c r="AF20" s="13">
        <f>'[12]Dia 31 (a)'!$P26</f>
        <v>22.2</v>
      </c>
      <c r="AG20" s="14"/>
    </row>
    <row r="21" spans="1:33" ht="20.100000000000001" customHeight="1" thickBot="1">
      <c r="A21" s="16">
        <v>24</v>
      </c>
      <c r="B21" s="17">
        <f>'[12]Dia 1 (a)'!$P27</f>
        <v>21.2</v>
      </c>
      <c r="C21" s="17">
        <f>'[12]Dia 2 (a)'!$P27</f>
        <v>22.2</v>
      </c>
      <c r="D21" s="17">
        <f>'[12]Dia 3 (a)'!$P27</f>
        <v>22</v>
      </c>
      <c r="E21" s="17">
        <f>'[12]Dia 4 (a)'!$P27</f>
        <v>22.2</v>
      </c>
      <c r="F21" s="17">
        <f>'[12]Dia 5 (a)'!$P27</f>
        <v>21.8</v>
      </c>
      <c r="G21" s="17">
        <f>'[12]Dia 6 (a)'!$P27</f>
        <v>21.7</v>
      </c>
      <c r="H21" s="17">
        <f>'[12]Dia 7 (a)'!$P27</f>
        <v>21.1</v>
      </c>
      <c r="I21" s="17">
        <f>'[12]Dia 8 (a)'!$P27</f>
        <v>22.2</v>
      </c>
      <c r="J21" s="17">
        <f>'[12]Dia 9 (a)'!$P27</f>
        <v>22</v>
      </c>
      <c r="K21" s="17">
        <f>'[12]Dia 10 (a)'!$P27</f>
        <v>25.3</v>
      </c>
      <c r="L21" s="17">
        <f>'[12]Dia 11 (a)'!$P27</f>
        <v>26.6</v>
      </c>
      <c r="M21" s="17">
        <f>'[12]Dia 12 (a)'!$P27</f>
        <v>23</v>
      </c>
      <c r="N21" s="17">
        <f>'[12]Dia 13 (a)'!$P27</f>
        <v>19.8</v>
      </c>
      <c r="O21" s="17">
        <f>'[12]Dia 14 (a)'!$P27</f>
        <v>20</v>
      </c>
      <c r="P21" s="17">
        <f>'[12]Dia 15 (a)'!$P27</f>
        <v>22</v>
      </c>
      <c r="Q21" s="17">
        <f>'[12]Dia 16 (a)'!$P27</f>
        <v>20.6</v>
      </c>
      <c r="R21" s="17">
        <f>'[12]Dia 17 (a)'!$P27</f>
        <v>21.4</v>
      </c>
      <c r="S21" s="17">
        <f>'[12]Dia 18 (a)'!$P27</f>
        <v>21.4</v>
      </c>
      <c r="T21" s="17">
        <f>'[12]Dia 19 (a)'!$P27</f>
        <v>19.899999999999999</v>
      </c>
      <c r="U21" s="17">
        <f>'[12]Dia 20 (a)'!$P27</f>
        <v>19.399999999999999</v>
      </c>
      <c r="V21" s="17">
        <f>'[12]Dia 21 (a)'!$P27</f>
        <v>18.7</v>
      </c>
      <c r="W21" s="17">
        <f>'[12]Dia 22 (a)'!$P27</f>
        <v>18</v>
      </c>
      <c r="X21" s="17">
        <f>'[12]Dia 23 (a)'!$P27</f>
        <v>20.399999999999999</v>
      </c>
      <c r="Y21" s="17">
        <f>'[12]Dia 24 (a)'!$P27</f>
        <v>22.6</v>
      </c>
      <c r="Z21" s="17">
        <f>'[12]Dia 25 (a)'!$P27</f>
        <v>24</v>
      </c>
      <c r="AA21" s="17">
        <f>'[12]Dia 26 (a)'!$P27</f>
        <v>22.8</v>
      </c>
      <c r="AB21" s="17">
        <f>'[12]Dia 27 (a)'!$P27</f>
        <v>23.6</v>
      </c>
      <c r="AC21" s="17">
        <f>'[12]Dia 28 (a)'!$P27</f>
        <v>21.7</v>
      </c>
      <c r="AD21" s="17">
        <f>'[12]Dia 29 (a)'!$P27</f>
        <v>22.2</v>
      </c>
      <c r="AE21" s="17">
        <f>'[12]Dia 30 (a)'!$P27</f>
        <v>22</v>
      </c>
      <c r="AF21" s="18">
        <f>'[12]Dia 31 (a)'!$P27</f>
        <v>22</v>
      </c>
      <c r="AG21" s="14"/>
    </row>
    <row r="22" spans="1:33" ht="15.75" thickTop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4</v>
      </c>
      <c r="B25" s="26">
        <f>AVERAGE(B4:B21)</f>
        <v>22.838888888888885</v>
      </c>
      <c r="C25" s="26">
        <f t="shared" ref="C25:AF25" si="0">AVERAGE(C4:C21)</f>
        <v>24.544444444444444</v>
      </c>
      <c r="D25" s="26">
        <f t="shared" si="0"/>
        <v>24.144444444444446</v>
      </c>
      <c r="E25" s="26">
        <f t="shared" si="0"/>
        <v>24.388888888888889</v>
      </c>
      <c r="F25" s="26">
        <f t="shared" si="0"/>
        <v>23.294444444444444</v>
      </c>
      <c r="G25" s="26">
        <f t="shared" si="0"/>
        <v>22.977777777777774</v>
      </c>
      <c r="H25" s="26">
        <f t="shared" si="0"/>
        <v>24.016666666666666</v>
      </c>
      <c r="I25" s="26">
        <f t="shared" si="0"/>
        <v>27.06111111111111</v>
      </c>
      <c r="J25" s="26">
        <f t="shared" si="0"/>
        <v>28.644444444444439</v>
      </c>
      <c r="K25" s="26">
        <f t="shared" si="0"/>
        <v>29.772222222222222</v>
      </c>
      <c r="L25" s="26">
        <f t="shared" si="0"/>
        <v>30.672222222222231</v>
      </c>
      <c r="M25" s="26">
        <f t="shared" si="0"/>
        <v>26.583333333333332</v>
      </c>
      <c r="N25" s="26">
        <f t="shared" si="0"/>
        <v>22.183333333333334</v>
      </c>
      <c r="O25" s="26">
        <f t="shared" si="0"/>
        <v>23.361111111111111</v>
      </c>
      <c r="P25" s="26">
        <f t="shared" si="0"/>
        <v>25.399999999999995</v>
      </c>
      <c r="Q25" s="26">
        <f t="shared" si="0"/>
        <v>25.07222222222223</v>
      </c>
      <c r="R25" s="26">
        <f t="shared" si="0"/>
        <v>24.616666666666671</v>
      </c>
      <c r="S25" s="26">
        <f t="shared" si="0"/>
        <v>23.905555555555551</v>
      </c>
      <c r="T25" s="26">
        <f t="shared" si="0"/>
        <v>21.35</v>
      </c>
      <c r="U25" s="26">
        <f t="shared" si="0"/>
        <v>21.149999999999995</v>
      </c>
      <c r="V25" s="26">
        <f t="shared" si="0"/>
        <v>21.761111111111109</v>
      </c>
      <c r="W25" s="26">
        <f t="shared" si="0"/>
        <v>20.588888888888889</v>
      </c>
      <c r="X25" s="26">
        <f t="shared" si="0"/>
        <v>23.62777777777778</v>
      </c>
      <c r="Y25" s="26">
        <f>AVERAGE(Y4:Y21)</f>
        <v>26.283333333333335</v>
      </c>
      <c r="Z25" s="26">
        <f t="shared" si="0"/>
        <v>27.516666666666666</v>
      </c>
      <c r="AA25" s="26">
        <f t="shared" si="0"/>
        <v>25.105555555555558</v>
      </c>
      <c r="AB25" s="26">
        <f t="shared" si="0"/>
        <v>26.261111111111109</v>
      </c>
      <c r="AC25" s="26">
        <f t="shared" si="0"/>
        <v>23.911111111111111</v>
      </c>
      <c r="AD25" s="26">
        <f t="shared" si="0"/>
        <v>24.261111111111106</v>
      </c>
      <c r="AE25" s="26">
        <f t="shared" si="0"/>
        <v>23.87777777777778</v>
      </c>
      <c r="AF25" s="27">
        <f t="shared" si="0"/>
        <v>24.988888888888891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4</v>
      </c>
      <c r="B29" s="26">
        <f>MAX(B4:B21)</f>
        <v>25.6</v>
      </c>
      <c r="C29" s="26">
        <f t="shared" ref="C29:AF29" si="1">MAX(C4:C21)</f>
        <v>29.8</v>
      </c>
      <c r="D29" s="26">
        <f t="shared" si="1"/>
        <v>28.9</v>
      </c>
      <c r="E29" s="26">
        <f t="shared" si="1"/>
        <v>28.2</v>
      </c>
      <c r="F29" s="26">
        <f t="shared" si="1"/>
        <v>25.8</v>
      </c>
      <c r="G29" s="26">
        <f t="shared" si="1"/>
        <v>24.5</v>
      </c>
      <c r="H29" s="26">
        <f t="shared" si="1"/>
        <v>27.6</v>
      </c>
      <c r="I29" s="26">
        <f t="shared" si="1"/>
        <v>33.5</v>
      </c>
      <c r="J29" s="26">
        <f t="shared" si="1"/>
        <v>36</v>
      </c>
      <c r="K29" s="26">
        <f t="shared" si="1"/>
        <v>36.200000000000003</v>
      </c>
      <c r="L29" s="26">
        <f t="shared" si="1"/>
        <v>35.799999999999997</v>
      </c>
      <c r="M29" s="26">
        <f t="shared" si="1"/>
        <v>32.4</v>
      </c>
      <c r="N29" s="26">
        <f t="shared" si="1"/>
        <v>24.9</v>
      </c>
      <c r="O29" s="26">
        <f t="shared" si="1"/>
        <v>28.2</v>
      </c>
      <c r="P29" s="26">
        <f t="shared" si="1"/>
        <v>30.1</v>
      </c>
      <c r="Q29" s="26">
        <f t="shared" si="1"/>
        <v>30.6</v>
      </c>
      <c r="R29" s="26">
        <f t="shared" si="1"/>
        <v>29</v>
      </c>
      <c r="S29" s="26">
        <f t="shared" si="1"/>
        <v>27.6</v>
      </c>
      <c r="T29" s="26">
        <f t="shared" si="1"/>
        <v>22.8</v>
      </c>
      <c r="U29" s="26">
        <f t="shared" si="1"/>
        <v>22.7</v>
      </c>
      <c r="V29" s="26">
        <f t="shared" si="1"/>
        <v>24.7</v>
      </c>
      <c r="W29" s="26">
        <f t="shared" si="1"/>
        <v>23.4</v>
      </c>
      <c r="X29" s="26">
        <f t="shared" si="1"/>
        <v>29.6</v>
      </c>
      <c r="Y29" s="26">
        <f>MAX(Y4:Y21)</f>
        <v>32.5</v>
      </c>
      <c r="Z29" s="26">
        <f t="shared" si="1"/>
        <v>34.200000000000003</v>
      </c>
      <c r="AA29" s="26">
        <f t="shared" si="1"/>
        <v>29.6</v>
      </c>
      <c r="AB29" s="26">
        <f t="shared" si="1"/>
        <v>31.6</v>
      </c>
      <c r="AC29" s="26">
        <f t="shared" si="1"/>
        <v>26.8</v>
      </c>
      <c r="AD29" s="26">
        <f t="shared" si="1"/>
        <v>27.4</v>
      </c>
      <c r="AE29" s="26">
        <f t="shared" si="1"/>
        <v>27.8</v>
      </c>
      <c r="AF29" s="27">
        <f t="shared" si="1"/>
        <v>31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4</v>
      </c>
      <c r="B33" s="26">
        <f>MIN(B4:B21)</f>
        <v>20</v>
      </c>
      <c r="C33" s="26">
        <f t="shared" ref="C33:AF33" si="2">MIN(C4:C21)</f>
        <v>20.6</v>
      </c>
      <c r="D33" s="26">
        <f t="shared" si="2"/>
        <v>21.6</v>
      </c>
      <c r="E33" s="26">
        <f t="shared" si="2"/>
        <v>21.4</v>
      </c>
      <c r="F33" s="26">
        <f t="shared" si="2"/>
        <v>21.8</v>
      </c>
      <c r="G33" s="26">
        <f t="shared" si="2"/>
        <v>21.1</v>
      </c>
      <c r="H33" s="26">
        <f t="shared" si="2"/>
        <v>20.8</v>
      </c>
      <c r="I33" s="26">
        <f t="shared" si="2"/>
        <v>19.8</v>
      </c>
      <c r="J33" s="26">
        <f t="shared" si="2"/>
        <v>20.6</v>
      </c>
      <c r="K33" s="26">
        <f t="shared" si="2"/>
        <v>21.2</v>
      </c>
      <c r="L33" s="26">
        <f t="shared" si="2"/>
        <v>23.4</v>
      </c>
      <c r="M33" s="26">
        <f t="shared" si="2"/>
        <v>23</v>
      </c>
      <c r="N33" s="26">
        <f t="shared" si="2"/>
        <v>19.8</v>
      </c>
      <c r="O33" s="26">
        <f t="shared" si="2"/>
        <v>18.8</v>
      </c>
      <c r="P33" s="26">
        <f t="shared" si="2"/>
        <v>18.399999999999999</v>
      </c>
      <c r="Q33" s="26">
        <f t="shared" si="2"/>
        <v>20</v>
      </c>
      <c r="R33" s="26">
        <f t="shared" si="2"/>
        <v>18.8</v>
      </c>
      <c r="S33" s="26">
        <f t="shared" si="2"/>
        <v>20</v>
      </c>
      <c r="T33" s="26">
        <f t="shared" si="2"/>
        <v>19.899999999999999</v>
      </c>
      <c r="U33" s="26">
        <f t="shared" si="2"/>
        <v>19.399999999999999</v>
      </c>
      <c r="V33" s="26">
        <f t="shared" si="2"/>
        <v>18.7</v>
      </c>
      <c r="W33" s="26">
        <f t="shared" si="2"/>
        <v>16.399999999999999</v>
      </c>
      <c r="X33" s="26">
        <f t="shared" si="2"/>
        <v>17.100000000000001</v>
      </c>
      <c r="Y33" s="26">
        <f>MIN(Y4:Y21)</f>
        <v>19.600000000000001</v>
      </c>
      <c r="Z33" s="26">
        <f t="shared" si="2"/>
        <v>20.6</v>
      </c>
      <c r="AA33" s="26">
        <f t="shared" si="2"/>
        <v>22.4</v>
      </c>
      <c r="AB33" s="26">
        <f t="shared" si="2"/>
        <v>22.2</v>
      </c>
      <c r="AC33" s="26">
        <f t="shared" si="2"/>
        <v>21.7</v>
      </c>
      <c r="AD33" s="26">
        <f t="shared" si="2"/>
        <v>21.4</v>
      </c>
      <c r="AE33" s="26">
        <f t="shared" si="2"/>
        <v>21.3</v>
      </c>
      <c r="AF33" s="27">
        <f t="shared" si="2"/>
        <v>21.4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4</v>
      </c>
      <c r="B37" s="26">
        <f t="shared" ref="B37:AF37" si="3">B29-B33</f>
        <v>5.6000000000000014</v>
      </c>
      <c r="C37" s="26">
        <f t="shared" si="3"/>
        <v>9.1999999999999993</v>
      </c>
      <c r="D37" s="26">
        <f t="shared" si="3"/>
        <v>7.2999999999999972</v>
      </c>
      <c r="E37" s="26">
        <f t="shared" si="3"/>
        <v>6.8000000000000007</v>
      </c>
      <c r="F37" s="26">
        <f t="shared" si="3"/>
        <v>4</v>
      </c>
      <c r="G37" s="26">
        <f t="shared" si="3"/>
        <v>3.3999999999999986</v>
      </c>
      <c r="H37" s="26">
        <f t="shared" si="3"/>
        <v>6.8000000000000007</v>
      </c>
      <c r="I37" s="26">
        <f t="shared" si="3"/>
        <v>13.7</v>
      </c>
      <c r="J37" s="26">
        <f t="shared" si="3"/>
        <v>15.399999999999999</v>
      </c>
      <c r="K37" s="26">
        <f t="shared" si="3"/>
        <v>15.000000000000004</v>
      </c>
      <c r="L37" s="26">
        <f t="shared" si="3"/>
        <v>12.399999999999999</v>
      </c>
      <c r="M37" s="26">
        <f t="shared" si="3"/>
        <v>9.3999999999999986</v>
      </c>
      <c r="N37" s="26">
        <f t="shared" si="3"/>
        <v>5.0999999999999979</v>
      </c>
      <c r="O37" s="26">
        <f t="shared" si="3"/>
        <v>9.3999999999999986</v>
      </c>
      <c r="P37" s="26">
        <f t="shared" si="3"/>
        <v>11.700000000000003</v>
      </c>
      <c r="Q37" s="26">
        <f t="shared" si="3"/>
        <v>10.600000000000001</v>
      </c>
      <c r="R37" s="26">
        <f t="shared" si="3"/>
        <v>10.199999999999999</v>
      </c>
      <c r="S37" s="26">
        <f t="shared" si="3"/>
        <v>7.6000000000000014</v>
      </c>
      <c r="T37" s="26">
        <f t="shared" si="3"/>
        <v>2.9000000000000021</v>
      </c>
      <c r="U37" s="26">
        <f t="shared" si="3"/>
        <v>3.3000000000000007</v>
      </c>
      <c r="V37" s="26">
        <f t="shared" si="3"/>
        <v>6</v>
      </c>
      <c r="W37" s="26">
        <f t="shared" si="3"/>
        <v>7</v>
      </c>
      <c r="X37" s="26">
        <f t="shared" si="3"/>
        <v>12.5</v>
      </c>
      <c r="Y37" s="26">
        <f t="shared" si="3"/>
        <v>12.899999999999999</v>
      </c>
      <c r="Z37" s="26">
        <f t="shared" si="3"/>
        <v>13.600000000000001</v>
      </c>
      <c r="AA37" s="26">
        <f t="shared" si="3"/>
        <v>7.2000000000000028</v>
      </c>
      <c r="AB37" s="26">
        <f t="shared" si="3"/>
        <v>9.4000000000000021</v>
      </c>
      <c r="AC37" s="26">
        <f t="shared" si="3"/>
        <v>5.1000000000000014</v>
      </c>
      <c r="AD37" s="26">
        <f t="shared" si="3"/>
        <v>6</v>
      </c>
      <c r="AE37" s="26">
        <f t="shared" si="3"/>
        <v>6.5</v>
      </c>
      <c r="AF37" s="27">
        <f t="shared" si="3"/>
        <v>9.6000000000000014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3</v>
      </c>
      <c r="I40" s="31"/>
      <c r="J40" s="34"/>
      <c r="K40" s="35" t="s">
        <v>5</v>
      </c>
      <c r="L40" s="34"/>
      <c r="M40" s="34"/>
      <c r="N40" s="35" t="s">
        <v>6</v>
      </c>
      <c r="O40" s="34"/>
      <c r="P40" s="34"/>
      <c r="Q40" s="35" t="s">
        <v>7</v>
      </c>
      <c r="R40" s="31"/>
      <c r="S40" s="31"/>
      <c r="T40" s="34" t="s">
        <v>3</v>
      </c>
      <c r="U40" s="34"/>
      <c r="V40" s="34" t="s">
        <v>3</v>
      </c>
      <c r="W40" s="34"/>
      <c r="X40" s="34" t="s">
        <v>8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9</v>
      </c>
      <c r="I41" s="31"/>
      <c r="J41" s="34"/>
      <c r="K41" s="34" t="s">
        <v>9</v>
      </c>
      <c r="L41" s="34"/>
      <c r="M41" s="34"/>
      <c r="N41" s="34" t="s">
        <v>9</v>
      </c>
      <c r="O41" s="34"/>
      <c r="P41" s="34"/>
      <c r="Q41" s="34" t="s">
        <v>9</v>
      </c>
      <c r="R41" s="31"/>
      <c r="S41" s="31"/>
      <c r="T41" s="34" t="s">
        <v>10</v>
      </c>
      <c r="U41" s="34"/>
      <c r="V41" s="34" t="s">
        <v>11</v>
      </c>
      <c r="W41" s="34"/>
      <c r="X41" s="34" t="s">
        <v>12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24.65035842293906</v>
      </c>
      <c r="I43" s="39"/>
      <c r="J43" s="41"/>
      <c r="K43" s="40">
        <f>MAX(B29:AF29)</f>
        <v>36.200000000000003</v>
      </c>
      <c r="L43" s="41"/>
      <c r="M43" s="41"/>
      <c r="N43" s="40">
        <f>MIN(B33:AF33)</f>
        <v>16.399999999999999</v>
      </c>
      <c r="O43" s="41"/>
      <c r="P43" s="41"/>
      <c r="Q43" s="40">
        <f>K43-N43</f>
        <v>19.800000000000004</v>
      </c>
      <c r="R43" s="39"/>
      <c r="S43" s="40"/>
      <c r="T43" s="40">
        <f>AVERAGE(B29:AF29)</f>
        <v>28.993548387096773</v>
      </c>
      <c r="U43" s="40"/>
      <c r="V43" s="40">
        <f>AVERAGE(B33:AF33)</f>
        <v>20.425806451612903</v>
      </c>
      <c r="W43" s="40"/>
      <c r="X43" s="40">
        <f>T43-V43</f>
        <v>8.5677419354838698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2026-03-11T20:35:52Z</dcterms:created>
  <dcterms:modified xsi:type="dcterms:W3CDTF">2026-03-11T20:36:05Z</dcterms:modified>
</cp:coreProperties>
</file>