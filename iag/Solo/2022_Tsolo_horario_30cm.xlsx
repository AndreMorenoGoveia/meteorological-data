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V33" s="1"/>
  <c r="U8"/>
  <c r="T8"/>
  <c r="S8"/>
  <c r="R8"/>
  <c r="Q8"/>
  <c r="P8"/>
  <c r="O8"/>
  <c r="N8"/>
  <c r="M8"/>
  <c r="L8"/>
  <c r="K8"/>
  <c r="K33" s="1"/>
  <c r="J8"/>
  <c r="I8"/>
  <c r="H8"/>
  <c r="G8"/>
  <c r="F8"/>
  <c r="F33" s="1"/>
  <c r="E8"/>
  <c r="D8"/>
  <c r="C8"/>
  <c r="B8"/>
  <c r="AF7"/>
  <c r="AE7"/>
  <c r="AD7"/>
  <c r="AC7"/>
  <c r="AB7"/>
  <c r="AA7"/>
  <c r="Z7"/>
  <c r="Z33" s="1"/>
  <c r="Y7"/>
  <c r="X7"/>
  <c r="W7"/>
  <c r="V7"/>
  <c r="U7"/>
  <c r="U33" s="1"/>
  <c r="T7"/>
  <c r="S7"/>
  <c r="R7"/>
  <c r="Q7"/>
  <c r="P7"/>
  <c r="O7"/>
  <c r="N7"/>
  <c r="M7"/>
  <c r="L7"/>
  <c r="K7"/>
  <c r="J7"/>
  <c r="J33" s="1"/>
  <c r="I7"/>
  <c r="H7"/>
  <c r="G7"/>
  <c r="F7"/>
  <c r="E7"/>
  <c r="E33" s="1"/>
  <c r="D7"/>
  <c r="C7"/>
  <c r="B7"/>
  <c r="AF6"/>
  <c r="AE6"/>
  <c r="AD6"/>
  <c r="AC6"/>
  <c r="AB6"/>
  <c r="AA6"/>
  <c r="Z6"/>
  <c r="Y6"/>
  <c r="Y29" s="1"/>
  <c r="Y37" s="1"/>
  <c r="X6"/>
  <c r="W6"/>
  <c r="V6"/>
  <c r="U6"/>
  <c r="T6"/>
  <c r="T29" s="1"/>
  <c r="T37" s="1"/>
  <c r="S6"/>
  <c r="R6"/>
  <c r="Q6"/>
  <c r="P6"/>
  <c r="O6"/>
  <c r="N6"/>
  <c r="M6"/>
  <c r="L6"/>
  <c r="K6"/>
  <c r="J6"/>
  <c r="I6"/>
  <c r="I29" s="1"/>
  <c r="I37" s="1"/>
  <c r="H6"/>
  <c r="G6"/>
  <c r="F6"/>
  <c r="E6"/>
  <c r="D6"/>
  <c r="D29" s="1"/>
  <c r="D37" s="1"/>
  <c r="C6"/>
  <c r="B6"/>
  <c r="AF5"/>
  <c r="AF25" s="1"/>
  <c r="AE5"/>
  <c r="AD5"/>
  <c r="AC5"/>
  <c r="AB5"/>
  <c r="AA5"/>
  <c r="Z5"/>
  <c r="Y5"/>
  <c r="X5"/>
  <c r="X25" s="1"/>
  <c r="W5"/>
  <c r="V5"/>
  <c r="U5"/>
  <c r="T5"/>
  <c r="T33" s="1"/>
  <c r="S5"/>
  <c r="S33" s="1"/>
  <c r="R5"/>
  <c r="Q5"/>
  <c r="P5"/>
  <c r="P25" s="1"/>
  <c r="O5"/>
  <c r="N5"/>
  <c r="M5"/>
  <c r="L5"/>
  <c r="K5"/>
  <c r="J5"/>
  <c r="I5"/>
  <c r="H5"/>
  <c r="H25" s="1"/>
  <c r="G5"/>
  <c r="F5"/>
  <c r="E5"/>
  <c r="D5"/>
  <c r="D33" s="1"/>
  <c r="C5"/>
  <c r="C33" s="1"/>
  <c r="B5"/>
  <c r="AF4"/>
  <c r="AF33" s="1"/>
  <c r="AE4"/>
  <c r="AE33" s="1"/>
  <c r="AD4"/>
  <c r="AD33" s="1"/>
  <c r="AC4"/>
  <c r="AC33" s="1"/>
  <c r="AB4"/>
  <c r="AB33" s="1"/>
  <c r="AA4"/>
  <c r="AA29" s="1"/>
  <c r="Z4"/>
  <c r="Z25" s="1"/>
  <c r="Y4"/>
  <c r="Y33" s="1"/>
  <c r="X4"/>
  <c r="X33" s="1"/>
  <c r="W4"/>
  <c r="W33" s="1"/>
  <c r="V4"/>
  <c r="V29" s="1"/>
  <c r="U4"/>
  <c r="U25" s="1"/>
  <c r="T4"/>
  <c r="S4"/>
  <c r="S29" s="1"/>
  <c r="S37" s="1"/>
  <c r="R4"/>
  <c r="R33" s="1"/>
  <c r="Q4"/>
  <c r="Q33" s="1"/>
  <c r="P4"/>
  <c r="P33" s="1"/>
  <c r="O4"/>
  <c r="O33" s="1"/>
  <c r="N4"/>
  <c r="N33" s="1"/>
  <c r="M4"/>
  <c r="M33" s="1"/>
  <c r="L4"/>
  <c r="L33" s="1"/>
  <c r="K4"/>
  <c r="K29" s="1"/>
  <c r="J4"/>
  <c r="J25" s="1"/>
  <c r="I4"/>
  <c r="I33" s="1"/>
  <c r="H4"/>
  <c r="H33" s="1"/>
  <c r="G4"/>
  <c r="G33" s="1"/>
  <c r="F4"/>
  <c r="F29" s="1"/>
  <c r="E4"/>
  <c r="E25" s="1"/>
  <c r="D4"/>
  <c r="C4"/>
  <c r="C29" s="1"/>
  <c r="C37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U33" s="1"/>
  <c r="T8"/>
  <c r="S8"/>
  <c r="R8"/>
  <c r="Q8"/>
  <c r="P8"/>
  <c r="O8"/>
  <c r="N8"/>
  <c r="M8"/>
  <c r="L8"/>
  <c r="K8"/>
  <c r="J8"/>
  <c r="I8"/>
  <c r="H8"/>
  <c r="G8"/>
  <c r="F8"/>
  <c r="F33" s="1"/>
  <c r="E8"/>
  <c r="E33" s="1"/>
  <c r="D8"/>
  <c r="C8"/>
  <c r="B8"/>
  <c r="AE7"/>
  <c r="AD7"/>
  <c r="AC7"/>
  <c r="AB7"/>
  <c r="AA7"/>
  <c r="Z7"/>
  <c r="Y7"/>
  <c r="Y29" s="1"/>
  <c r="X7"/>
  <c r="X29" s="1"/>
  <c r="X37" s="1"/>
  <c r="W7"/>
  <c r="V7"/>
  <c r="U7"/>
  <c r="T7"/>
  <c r="T29" s="1"/>
  <c r="S7"/>
  <c r="S29" s="1"/>
  <c r="R7"/>
  <c r="Q7"/>
  <c r="P7"/>
  <c r="O7"/>
  <c r="N7"/>
  <c r="M7"/>
  <c r="L7"/>
  <c r="K7"/>
  <c r="J7"/>
  <c r="I7"/>
  <c r="I29" s="1"/>
  <c r="H7"/>
  <c r="H29" s="1"/>
  <c r="H37" s="1"/>
  <c r="G7"/>
  <c r="F7"/>
  <c r="E7"/>
  <c r="D7"/>
  <c r="D29" s="1"/>
  <c r="C7"/>
  <c r="C29" s="1"/>
  <c r="B7"/>
  <c r="AE6"/>
  <c r="AD6"/>
  <c r="AC6"/>
  <c r="AB6"/>
  <c r="AA6"/>
  <c r="Z6"/>
  <c r="Y6"/>
  <c r="X6"/>
  <c r="W6"/>
  <c r="W25" s="1"/>
  <c r="V6"/>
  <c r="V25" s="1"/>
  <c r="U6"/>
  <c r="T6"/>
  <c r="S6"/>
  <c r="R6"/>
  <c r="R25" s="1"/>
  <c r="Q6"/>
  <c r="Q29" s="1"/>
  <c r="P6"/>
  <c r="O6"/>
  <c r="N6"/>
  <c r="M6"/>
  <c r="L6"/>
  <c r="K6"/>
  <c r="J6"/>
  <c r="I6"/>
  <c r="H6"/>
  <c r="G6"/>
  <c r="G25" s="1"/>
  <c r="F6"/>
  <c r="F25" s="1"/>
  <c r="E6"/>
  <c r="D6"/>
  <c r="C6"/>
  <c r="B6"/>
  <c r="B25" s="1"/>
  <c r="AE5"/>
  <c r="AE25" s="1"/>
  <c r="AD5"/>
  <c r="AC5"/>
  <c r="AB5"/>
  <c r="AA5"/>
  <c r="Z5"/>
  <c r="Y5"/>
  <c r="X5"/>
  <c r="W5"/>
  <c r="V5"/>
  <c r="U5"/>
  <c r="T5"/>
  <c r="S5"/>
  <c r="R5"/>
  <c r="Q5"/>
  <c r="P5"/>
  <c r="P29" s="1"/>
  <c r="O5"/>
  <c r="O25" s="1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9" s="1"/>
  <c r="U37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29" s="1"/>
  <c r="E37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33" s="1"/>
  <c r="R7"/>
  <c r="Q7"/>
  <c r="P7"/>
  <c r="O7"/>
  <c r="N7"/>
  <c r="M7"/>
  <c r="L7"/>
  <c r="K7"/>
  <c r="J7"/>
  <c r="I7"/>
  <c r="H7"/>
  <c r="G7"/>
  <c r="F7"/>
  <c r="E7"/>
  <c r="D7"/>
  <c r="C7"/>
  <c r="C33" s="1"/>
  <c r="B7"/>
  <c r="AF6"/>
  <c r="AE6"/>
  <c r="AD6"/>
  <c r="AC6"/>
  <c r="AB6"/>
  <c r="AA6"/>
  <c r="Z6"/>
  <c r="Y6"/>
  <c r="X6"/>
  <c r="W6"/>
  <c r="V6"/>
  <c r="U6"/>
  <c r="T6"/>
  <c r="S6"/>
  <c r="R6"/>
  <c r="R29" s="1"/>
  <c r="R37" s="1"/>
  <c r="Q6"/>
  <c r="P6"/>
  <c r="O6"/>
  <c r="N6"/>
  <c r="M6"/>
  <c r="L6"/>
  <c r="K6"/>
  <c r="J6"/>
  <c r="I6"/>
  <c r="H6"/>
  <c r="G6"/>
  <c r="F6"/>
  <c r="E6"/>
  <c r="D6"/>
  <c r="C6"/>
  <c r="B6"/>
  <c r="B29" s="1"/>
  <c r="AF5"/>
  <c r="AE5"/>
  <c r="AD5"/>
  <c r="AD25" s="1"/>
  <c r="AC5"/>
  <c r="AB5"/>
  <c r="AA5"/>
  <c r="Z5"/>
  <c r="Y5"/>
  <c r="X5"/>
  <c r="W5"/>
  <c r="V5"/>
  <c r="U5"/>
  <c r="T5"/>
  <c r="S5"/>
  <c r="R5"/>
  <c r="Q5"/>
  <c r="Q25" s="1"/>
  <c r="P5"/>
  <c r="O5"/>
  <c r="N5"/>
  <c r="N25" s="1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33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29" s="1"/>
  <c r="Z37" s="1"/>
  <c r="Y4"/>
  <c r="Y33" s="1"/>
  <c r="X4"/>
  <c r="X33" s="1"/>
  <c r="W4"/>
  <c r="W33" s="1"/>
  <c r="V4"/>
  <c r="V33" s="1"/>
  <c r="U4"/>
  <c r="U29" s="1"/>
  <c r="U37" s="1"/>
  <c r="T4"/>
  <c r="T29" s="1"/>
  <c r="T37" s="1"/>
  <c r="S4"/>
  <c r="S29" s="1"/>
  <c r="S37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33" i="3"/>
  <c r="AE29"/>
  <c r="O29"/>
  <c r="N25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X29" s="1"/>
  <c r="W7"/>
  <c r="V7"/>
  <c r="U7"/>
  <c r="T7"/>
  <c r="S7"/>
  <c r="R7"/>
  <c r="Q7"/>
  <c r="P7"/>
  <c r="O7"/>
  <c r="N7"/>
  <c r="M7"/>
  <c r="L7"/>
  <c r="K7"/>
  <c r="J7"/>
  <c r="I7"/>
  <c r="H7"/>
  <c r="H29" s="1"/>
  <c r="G7"/>
  <c r="F7"/>
  <c r="E7"/>
  <c r="D7"/>
  <c r="C7"/>
  <c r="B7"/>
  <c r="AC6"/>
  <c r="AB6"/>
  <c r="AA6"/>
  <c r="Z6"/>
  <c r="Y6"/>
  <c r="X6"/>
  <c r="W6"/>
  <c r="V6"/>
  <c r="U6"/>
  <c r="T6"/>
  <c r="T25" s="1"/>
  <c r="S6"/>
  <c r="R6"/>
  <c r="Q6"/>
  <c r="P6"/>
  <c r="O6"/>
  <c r="N6"/>
  <c r="M6"/>
  <c r="L6"/>
  <c r="K6"/>
  <c r="J6"/>
  <c r="I6"/>
  <c r="H6"/>
  <c r="G6"/>
  <c r="F6"/>
  <c r="E6"/>
  <c r="D6"/>
  <c r="D25" s="1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O37" i="3"/>
  <c r="D37" i="9"/>
  <c r="T37"/>
  <c r="K37" i="12"/>
  <c r="AA37"/>
  <c r="B37" i="8"/>
  <c r="B37" i="1"/>
  <c r="V43" i="8"/>
  <c r="V43" i="10"/>
  <c r="N43"/>
  <c r="Q37" i="8"/>
  <c r="I37" i="11"/>
  <c r="Y37"/>
  <c r="F37" i="12"/>
  <c r="V37"/>
  <c r="B37" i="10"/>
  <c r="R37" i="9"/>
  <c r="B37" i="4"/>
  <c r="N43" i="12"/>
  <c r="V43"/>
  <c r="Q37" i="4"/>
  <c r="P37" i="11"/>
  <c r="L37" i="2"/>
  <c r="D37" i="6"/>
  <c r="T37"/>
  <c r="Q37" i="11"/>
  <c r="L33" i="2"/>
  <c r="AB33"/>
  <c r="AB37" s="1"/>
  <c r="B25" i="10"/>
  <c r="R25"/>
  <c r="C29"/>
  <c r="C37" s="1"/>
  <c r="S29"/>
  <c r="S37" s="1"/>
  <c r="D25" i="12"/>
  <c r="T25"/>
  <c r="E29"/>
  <c r="E37" s="1"/>
  <c r="U29"/>
  <c r="U37" s="1"/>
  <c r="O25" i="1"/>
  <c r="AE25"/>
  <c r="P29"/>
  <c r="P37" s="1"/>
  <c r="AF29"/>
  <c r="AF37" s="1"/>
  <c r="Q33"/>
  <c r="N43" s="1"/>
  <c r="C25" i="2"/>
  <c r="S25"/>
  <c r="G29"/>
  <c r="W29"/>
  <c r="K33"/>
  <c r="K37" s="1"/>
  <c r="AA33"/>
  <c r="AA37" s="1"/>
  <c r="M25" i="3"/>
  <c r="AC25"/>
  <c r="N29"/>
  <c r="N37" s="1"/>
  <c r="AD29"/>
  <c r="AD37" s="1"/>
  <c r="O33"/>
  <c r="V43" s="1"/>
  <c r="AE33"/>
  <c r="AE37" s="1"/>
  <c r="M25" i="4"/>
  <c r="AC25"/>
  <c r="O29"/>
  <c r="O37" s="1"/>
  <c r="AE29"/>
  <c r="AE37" s="1"/>
  <c r="Q33"/>
  <c r="O25" i="5"/>
  <c r="AE25"/>
  <c r="P29"/>
  <c r="P37" s="1"/>
  <c r="AF29"/>
  <c r="AF37" s="1"/>
  <c r="Q33"/>
  <c r="Q37" s="1"/>
  <c r="O25" i="6"/>
  <c r="AE25"/>
  <c r="Q29"/>
  <c r="Q37" s="1"/>
  <c r="C33"/>
  <c r="C37" s="1"/>
  <c r="S33"/>
  <c r="S37" s="1"/>
  <c r="Q25" i="7"/>
  <c r="B29"/>
  <c r="R29"/>
  <c r="R37" s="1"/>
  <c r="C33"/>
  <c r="N43" s="1"/>
  <c r="S33"/>
  <c r="S37" s="1"/>
  <c r="O25" i="8"/>
  <c r="AE25"/>
  <c r="P29"/>
  <c r="P37" s="1"/>
  <c r="AF29"/>
  <c r="AF37" s="1"/>
  <c r="Q33"/>
  <c r="N43" s="1"/>
  <c r="O25" i="9"/>
  <c r="AE25"/>
  <c r="Q29"/>
  <c r="C33"/>
  <c r="C37" s="1"/>
  <c r="S33"/>
  <c r="S37" s="1"/>
  <c r="Q25" i="11"/>
  <c r="C25" i="12"/>
  <c r="S25"/>
  <c r="N25" i="1"/>
  <c r="AD25"/>
  <c r="O29"/>
  <c r="O37" s="1"/>
  <c r="AE29"/>
  <c r="AE37" s="1"/>
  <c r="B25" i="2"/>
  <c r="R25"/>
  <c r="F29"/>
  <c r="V29"/>
  <c r="J33"/>
  <c r="J37" s="1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P37" s="1"/>
  <c r="N25" i="5"/>
  <c r="AD25"/>
  <c r="O29"/>
  <c r="O37" s="1"/>
  <c r="AE29"/>
  <c r="AE37" s="1"/>
  <c r="N25" i="6"/>
  <c r="AD25"/>
  <c r="P29"/>
  <c r="P37" s="1"/>
  <c r="B33"/>
  <c r="B37" s="1"/>
  <c r="R33"/>
  <c r="R37" s="1"/>
  <c r="P25" i="7"/>
  <c r="AF25"/>
  <c r="Q29"/>
  <c r="Q37" s="1"/>
  <c r="N25" i="8"/>
  <c r="AD25"/>
  <c r="O29"/>
  <c r="O37" s="1"/>
  <c r="AE29"/>
  <c r="AE37" s="1"/>
  <c r="N25" i="9"/>
  <c r="AD25"/>
  <c r="P29"/>
  <c r="P37" s="1"/>
  <c r="B33"/>
  <c r="R33"/>
  <c r="P25" i="10"/>
  <c r="AF25"/>
  <c r="Q29"/>
  <c r="Q37" s="1"/>
  <c r="P25" i="11"/>
  <c r="B29"/>
  <c r="R29"/>
  <c r="R37" s="1"/>
  <c r="D33"/>
  <c r="D37" s="1"/>
  <c r="T33"/>
  <c r="T37" s="1"/>
  <c r="B25" i="12"/>
  <c r="R25"/>
  <c r="M25" i="1"/>
  <c r="AC25"/>
  <c r="N29"/>
  <c r="N37" s="1"/>
  <c r="AD29"/>
  <c r="AD37" s="1"/>
  <c r="Q25" i="2"/>
  <c r="E29"/>
  <c r="U29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N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C33" i="11"/>
  <c r="V43" s="1"/>
  <c r="S33"/>
  <c r="S37" s="1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H37" s="1"/>
  <c r="X33"/>
  <c r="X37" s="1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9"/>
  <c r="N37" s="1"/>
  <c r="AD29"/>
  <c r="AD37" s="1"/>
  <c r="O29" i="10"/>
  <c r="O37" s="1"/>
  <c r="AE29"/>
  <c r="AE37" s="1"/>
  <c r="N25" i="11"/>
  <c r="AD25"/>
  <c r="Q29" i="12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9"/>
  <c r="O37" s="1"/>
  <c r="AE29"/>
  <c r="AE37" s="1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9"/>
  <c r="K37" s="1"/>
  <c r="AA29"/>
  <c r="AA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G29"/>
  <c r="G37" s="1"/>
  <c r="W29"/>
  <c r="W37" s="1"/>
  <c r="F25" i="9"/>
  <c r="V25"/>
  <c r="H29"/>
  <c r="H37" s="1"/>
  <c r="X29"/>
  <c r="X37" s="1"/>
  <c r="H25" i="10"/>
  <c r="X25"/>
  <c r="I29"/>
  <c r="I37" s="1"/>
  <c r="Y29"/>
  <c r="Y37" s="1"/>
  <c r="H25" i="11"/>
  <c r="X25"/>
  <c r="J29"/>
  <c r="J37" s="1"/>
  <c r="Z29"/>
  <c r="Z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U25"/>
  <c r="G29"/>
  <c r="G37" s="1"/>
  <c r="W29"/>
  <c r="W37" s="1"/>
  <c r="G25" i="10"/>
  <c r="W25"/>
  <c r="H29"/>
  <c r="H37" s="1"/>
  <c r="X29"/>
  <c r="X37" s="1"/>
  <c r="I25" i="12"/>
  <c r="Y25"/>
  <c r="J29"/>
  <c r="J37" s="1"/>
  <c r="Z29"/>
  <c r="Z37" s="1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D25" i="9"/>
  <c r="T25"/>
  <c r="F29"/>
  <c r="F37" s="1"/>
  <c r="V29"/>
  <c r="V37" s="1"/>
  <c r="F25" i="10"/>
  <c r="V25"/>
  <c r="G29"/>
  <c r="G37" s="1"/>
  <c r="W29"/>
  <c r="W37" s="1"/>
  <c r="C25" i="1"/>
  <c r="S25"/>
  <c r="D29"/>
  <c r="D37" s="1"/>
  <c r="T29"/>
  <c r="T37" s="1"/>
  <c r="Q25" i="3"/>
  <c r="B29"/>
  <c r="R29"/>
  <c r="R37" s="1"/>
  <c r="Q25" i="4"/>
  <c r="C29"/>
  <c r="C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H43" s="1"/>
  <c r="S25"/>
  <c r="E29"/>
  <c r="E37" s="1"/>
  <c r="U29"/>
  <c r="U37" s="1"/>
  <c r="E25" i="10"/>
  <c r="U25"/>
  <c r="F29"/>
  <c r="F37" s="1"/>
  <c r="V29"/>
  <c r="V37" s="1"/>
  <c r="E25" i="11"/>
  <c r="H43" s="1"/>
  <c r="U25"/>
  <c r="G29"/>
  <c r="G37" s="1"/>
  <c r="W29"/>
  <c r="W37" s="1"/>
  <c r="G25" i="12"/>
  <c r="W25"/>
  <c r="H29"/>
  <c r="H37" s="1"/>
  <c r="X29"/>
  <c r="X37" s="1"/>
  <c r="B25" i="1"/>
  <c r="H43" s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T25"/>
  <c r="E29"/>
  <c r="E37" s="1"/>
  <c r="U29"/>
  <c r="U37" s="1"/>
  <c r="F25" i="12"/>
  <c r="V25"/>
  <c r="G29"/>
  <c r="G37" s="1"/>
  <c r="W29"/>
  <c r="W37" s="1"/>
  <c r="T43" i="9" l="1"/>
  <c r="V43" i="5"/>
  <c r="N43" i="3"/>
  <c r="K43" i="7"/>
  <c r="Q43" s="1"/>
  <c r="B37"/>
  <c r="T43"/>
  <c r="H43" i="8"/>
  <c r="Q37" i="1"/>
  <c r="N43" i="5"/>
  <c r="H43" i="12"/>
  <c r="C37" i="7"/>
  <c r="V43"/>
  <c r="T43" i="5"/>
  <c r="X43" s="1"/>
  <c r="K43" i="4"/>
  <c r="Q43" s="1"/>
  <c r="K43" i="5"/>
  <c r="K43" i="12"/>
  <c r="Q43" s="1"/>
  <c r="B37"/>
  <c r="T43"/>
  <c r="X43" s="1"/>
  <c r="C37" i="11"/>
  <c r="T43" i="4"/>
  <c r="X43" s="1"/>
  <c r="K43" i="6"/>
  <c r="T43" i="2"/>
  <c r="B37"/>
  <c r="K43"/>
  <c r="Q43" s="1"/>
  <c r="H43"/>
  <c r="G37"/>
  <c r="N43" i="11"/>
  <c r="T43" i="6"/>
  <c r="X43" s="1"/>
  <c r="N43" i="9"/>
  <c r="V43"/>
  <c r="F37" i="2"/>
  <c r="W37"/>
  <c r="H43" i="10"/>
  <c r="H43" i="5"/>
  <c r="E37" i="2"/>
  <c r="V37"/>
  <c r="K43" i="10"/>
  <c r="Q43" s="1"/>
  <c r="T43" i="1"/>
  <c r="V43" i="4"/>
  <c r="H43" i="3"/>
  <c r="U37" i="2"/>
  <c r="K43" i="1"/>
  <c r="Q43" s="1"/>
  <c r="T43" i="10"/>
  <c r="X43" s="1"/>
  <c r="T43" i="8"/>
  <c r="X43" s="1"/>
  <c r="N43" i="6"/>
  <c r="V43"/>
  <c r="Q37" i="9"/>
  <c r="V43" i="1"/>
  <c r="V43" i="2"/>
  <c r="K43" i="8"/>
  <c r="Q43" s="1"/>
  <c r="K43" i="3"/>
  <c r="Q43" s="1"/>
  <c r="B37"/>
  <c r="T43"/>
  <c r="X43" s="1"/>
  <c r="K43" i="11"/>
  <c r="B37"/>
  <c r="T43"/>
  <c r="X43" s="1"/>
  <c r="H43" i="4"/>
  <c r="K43" i="9"/>
  <c r="Q43" s="1"/>
  <c r="B37"/>
  <c r="Q43" i="5" l="1"/>
  <c r="X43" i="9"/>
  <c r="Q43" i="6"/>
  <c r="X43" i="1"/>
  <c r="Q43" i="11"/>
  <c r="X43" i="2"/>
  <c r="X43" i="7"/>
</calcChain>
</file>

<file path=xl/sharedStrings.xml><?xml version="1.0" encoding="utf-8"?>
<sst xmlns="http://schemas.openxmlformats.org/spreadsheetml/2006/main" count="291" uniqueCount="15">
  <si>
    <t>Temp. 30 cm (°C)</t>
  </si>
  <si>
    <t>H/D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</si>
  <si>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</si>
  <si>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</si>
  <si>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</si>
  <si>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</si>
  <si>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</si>
  <si>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</si>
  <si>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</si>
  <si>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</si>
  <si>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</si>
  <si>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</si>
  <si>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</si>
  <si>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Dias 13, 14, 18, 19, 20 e 25 houve perda de dados</t>
  </si>
  <si>
    <t>Falha de registro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</si>
</sst>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rgb="FF1F497D"/>
      <name val="Arial"/>
      <family val="2"/>
    </font>
    <font>
      <sz val="10"/>
      <color rgb="FF1F497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5" fillId="2" borderId="10" xfId="0" applyNumberFormat="1" applyFon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0" fillId="2" borderId="0" xfId="0" applyNumberFormat="1" applyFill="1" applyBorder="1"/>
    <xf numFmtId="0" fontId="0" fillId="0" borderId="14" xfId="0" applyBorder="1"/>
    <xf numFmtId="164" fontId="3" fillId="2" borderId="0" xfId="0" applyNumberFormat="1" applyFont="1" applyFill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6" fillId="2" borderId="6" xfId="0" applyNumberFormat="1" applyFont="1" applyFill="1" applyBorder="1" applyAlignment="1">
      <alignment horizontal="center"/>
    </xf>
    <xf numFmtId="164" fontId="7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22.9</v>
          </cell>
        </row>
        <row r="11">
          <cell r="S11">
            <v>22.9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23.1</v>
          </cell>
        </row>
        <row r="19">
          <cell r="S19">
            <v>23.2</v>
          </cell>
        </row>
        <row r="20">
          <cell r="S20">
            <v>23.3</v>
          </cell>
        </row>
        <row r="21">
          <cell r="S21">
            <v>23.5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23.7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4">
        <row r="1">
          <cell r="C1" t="str">
            <v>JANEIRO DE 2022</v>
          </cell>
        </row>
      </sheetData>
      <sheetData sheetId="5">
        <row r="10">
          <cell r="S10">
            <v>23.3</v>
          </cell>
        </row>
        <row r="11">
          <cell r="S11">
            <v>23.3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23.7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23.8</v>
          </cell>
        </row>
        <row r="21">
          <cell r="S21">
            <v>23.8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24.3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6"/>
      <sheetData sheetId="7">
        <row r="10">
          <cell r="S10">
            <v>24.1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24.1</v>
          </cell>
        </row>
        <row r="18">
          <cell r="S18">
            <v>24.4</v>
          </cell>
        </row>
        <row r="19">
          <cell r="S19">
            <v>24.5</v>
          </cell>
        </row>
        <row r="20">
          <cell r="S20">
            <v>24.6</v>
          </cell>
        </row>
        <row r="21">
          <cell r="S21">
            <v>24.9</v>
          </cell>
        </row>
        <row r="22">
          <cell r="S22">
            <v>24.9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8"/>
      <sheetData sheetId="9">
        <row r="10">
          <cell r="S10">
            <v>24.4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24.1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24.5</v>
          </cell>
        </row>
        <row r="22">
          <cell r="S22">
            <v>24.5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24.3</v>
          </cell>
        </row>
      </sheetData>
      <sheetData sheetId="10"/>
      <sheetData sheetId="11">
        <row r="10">
          <cell r="S10">
            <v>23.9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23.8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23.5</v>
          </cell>
        </row>
        <row r="18">
          <cell r="S18">
            <v>23.7</v>
          </cell>
        </row>
        <row r="19">
          <cell r="S19">
            <v>23.7</v>
          </cell>
        </row>
        <row r="20">
          <cell r="S20">
            <v>23.8</v>
          </cell>
        </row>
        <row r="21">
          <cell r="S21">
            <v>23.8</v>
          </cell>
        </row>
        <row r="22">
          <cell r="S22">
            <v>23.9</v>
          </cell>
        </row>
        <row r="23">
          <cell r="S23">
            <v>24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12"/>
      <sheetData sheetId="13">
        <row r="10">
          <cell r="S10">
            <v>23.7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23.7</v>
          </cell>
        </row>
        <row r="19">
          <cell r="S19">
            <v>23.8</v>
          </cell>
        </row>
        <row r="20">
          <cell r="S20">
            <v>23.8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23.9</v>
          </cell>
        </row>
      </sheetData>
      <sheetData sheetId="14"/>
      <sheetData sheetId="15">
        <row r="10">
          <cell r="S10">
            <v>23.4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23.4</v>
          </cell>
        </row>
        <row r="18">
          <cell r="S18">
            <v>23.3</v>
          </cell>
        </row>
        <row r="19">
          <cell r="S19">
            <v>23.2</v>
          </cell>
        </row>
        <row r="20">
          <cell r="S20">
            <v>23.3</v>
          </cell>
        </row>
        <row r="21">
          <cell r="S21">
            <v>23.3</v>
          </cell>
        </row>
        <row r="22">
          <cell r="S22">
            <v>23.3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16"/>
      <sheetData sheetId="17">
        <row r="10">
          <cell r="S10">
            <v>22.7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22.4</v>
          </cell>
        </row>
        <row r="16">
          <cell r="S16">
            <v>22.5</v>
          </cell>
        </row>
        <row r="17">
          <cell r="S17">
            <v>22.5</v>
          </cell>
        </row>
        <row r="18">
          <cell r="S18">
            <v>22.5</v>
          </cell>
        </row>
        <row r="19">
          <cell r="S19">
            <v>22.5</v>
          </cell>
        </row>
        <row r="20">
          <cell r="S20">
            <v>22.6</v>
          </cell>
        </row>
        <row r="21">
          <cell r="S21">
            <v>22.6</v>
          </cell>
        </row>
        <row r="22">
          <cell r="S22">
            <v>22.6</v>
          </cell>
        </row>
        <row r="23">
          <cell r="S23">
            <v>22.7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18"/>
      <sheetData sheetId="19">
        <row r="10">
          <cell r="S10">
            <v>22.2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22.1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22.1</v>
          </cell>
        </row>
        <row r="20">
          <cell r="S20">
            <v>22.1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21.9</v>
          </cell>
        </row>
        <row r="25">
          <cell r="S25">
            <v>22</v>
          </cell>
        </row>
        <row r="26">
          <cell r="S26">
            <v>21.9</v>
          </cell>
        </row>
        <row r="27">
          <cell r="S27">
            <v>21.7</v>
          </cell>
        </row>
      </sheetData>
      <sheetData sheetId="20"/>
      <sheetData sheetId="21">
        <row r="10">
          <cell r="S10">
            <v>21.4</v>
          </cell>
        </row>
        <row r="11">
          <cell r="S11">
            <v>21.4</v>
          </cell>
        </row>
        <row r="12">
          <cell r="S12">
            <v>21.5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21.5</v>
          </cell>
        </row>
        <row r="16">
          <cell r="S16">
            <v>21.6</v>
          </cell>
        </row>
        <row r="17">
          <cell r="S17">
            <v>21.7</v>
          </cell>
        </row>
        <row r="18">
          <cell r="S18">
            <v>21.8</v>
          </cell>
        </row>
        <row r="19">
          <cell r="S19">
            <v>21.9</v>
          </cell>
        </row>
        <row r="20">
          <cell r="S20">
            <v>22.1</v>
          </cell>
        </row>
        <row r="21">
          <cell r="S21">
            <v>22.1</v>
          </cell>
        </row>
        <row r="22">
          <cell r="S22">
            <v>22.4</v>
          </cell>
        </row>
        <row r="23">
          <cell r="S23">
            <v>22.3</v>
          </cell>
        </row>
        <row r="24">
          <cell r="S24">
            <v>22.3</v>
          </cell>
        </row>
        <row r="25">
          <cell r="S25">
            <v>22.4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22"/>
      <sheetData sheetId="23">
        <row r="10">
          <cell r="S10">
            <v>22</v>
          </cell>
        </row>
        <row r="11">
          <cell r="S11">
            <v>22</v>
          </cell>
        </row>
        <row r="12">
          <cell r="S12">
            <v>22.1</v>
          </cell>
        </row>
        <row r="13">
          <cell r="S13">
            <v>22.1</v>
          </cell>
        </row>
        <row r="14">
          <cell r="S14">
            <v>22.1</v>
          </cell>
        </row>
        <row r="15">
          <cell r="S15">
            <v>22.1</v>
          </cell>
        </row>
        <row r="16">
          <cell r="S16">
            <v>22.1</v>
          </cell>
        </row>
        <row r="17">
          <cell r="S17">
            <v>22.2</v>
          </cell>
        </row>
        <row r="18">
          <cell r="S18">
            <v>22.2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22.4</v>
          </cell>
        </row>
        <row r="22">
          <cell r="S22">
            <v>22.4</v>
          </cell>
        </row>
        <row r="23">
          <cell r="S23">
            <v>22.4</v>
          </cell>
        </row>
        <row r="24">
          <cell r="S24">
            <v>22.4</v>
          </cell>
        </row>
        <row r="25">
          <cell r="S25">
            <v>22.4</v>
          </cell>
        </row>
        <row r="26">
          <cell r="S26">
            <v>22.4</v>
          </cell>
        </row>
        <row r="27">
          <cell r="S27">
            <v>22.4</v>
          </cell>
        </row>
      </sheetData>
      <sheetData sheetId="24"/>
      <sheetData sheetId="25">
        <row r="10">
          <cell r="S10">
            <v>22.3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22.2</v>
          </cell>
        </row>
        <row r="14">
          <cell r="S14">
            <v>22.1</v>
          </cell>
        </row>
        <row r="15">
          <cell r="S15">
            <v>22.1</v>
          </cell>
        </row>
        <row r="16">
          <cell r="S16">
            <v>22.3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22.5</v>
          </cell>
        </row>
        <row r="20">
          <cell r="S20">
            <v>22.6</v>
          </cell>
        </row>
        <row r="21">
          <cell r="S21">
            <v>22.8</v>
          </cell>
        </row>
        <row r="22">
          <cell r="S22">
            <v>22.9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26"/>
      <sheetData sheetId="27">
        <row r="10">
          <cell r="S10">
            <v>22.8</v>
          </cell>
        </row>
        <row r="11">
          <cell r="S11">
            <v>22.8</v>
          </cell>
        </row>
        <row r="12">
          <cell r="S12">
            <v>22.9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23</v>
          </cell>
        </row>
        <row r="17">
          <cell r="S17">
            <v>23.1</v>
          </cell>
        </row>
        <row r="18">
          <cell r="S18">
            <v>23.2</v>
          </cell>
        </row>
        <row r="19">
          <cell r="S19">
            <v>23.2</v>
          </cell>
        </row>
        <row r="20">
          <cell r="S20">
            <v>23.2</v>
          </cell>
        </row>
        <row r="21">
          <cell r="S21">
            <v>23.2</v>
          </cell>
        </row>
        <row r="22">
          <cell r="S22">
            <v>23.5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28"/>
      <sheetData sheetId="29">
        <row r="10">
          <cell r="S10">
            <v>23.2</v>
          </cell>
        </row>
        <row r="11">
          <cell r="S11">
            <v>23.2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23.1</v>
          </cell>
        </row>
        <row r="17">
          <cell r="S17">
            <v>23.1</v>
          </cell>
        </row>
        <row r="18">
          <cell r="S18">
            <v>23.2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23.5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23.9</v>
          </cell>
        </row>
        <row r="27">
          <cell r="S27">
            <v>23.9</v>
          </cell>
        </row>
      </sheetData>
      <sheetData sheetId="30"/>
      <sheetData sheetId="31">
        <row r="10">
          <cell r="S10">
            <v>23.6</v>
          </cell>
        </row>
        <row r="11">
          <cell r="S11">
            <v>23.6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23.6</v>
          </cell>
        </row>
        <row r="16">
          <cell r="S16">
            <v>23.5</v>
          </cell>
        </row>
        <row r="17">
          <cell r="S17">
            <v>23.5</v>
          </cell>
        </row>
        <row r="18">
          <cell r="S18">
            <v>23.7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32"/>
      <sheetData sheetId="33">
        <row r="10">
          <cell r="S10">
            <v>23.7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23.6</v>
          </cell>
        </row>
        <row r="17">
          <cell r="S17">
            <v>24</v>
          </cell>
        </row>
        <row r="18">
          <cell r="S18">
            <v>24.2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24.7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23.9</v>
          </cell>
        </row>
      </sheetData>
      <sheetData sheetId="34"/>
      <sheetData sheetId="35">
        <row r="10">
          <cell r="S10">
            <v>24.1</v>
          </cell>
        </row>
        <row r="11">
          <cell r="S11">
            <v>24.3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36"/>
      <sheetData sheetId="37">
        <row r="10">
          <cell r="S10">
            <v>25.1</v>
          </cell>
        </row>
        <row r="11">
          <cell r="S11">
            <v>25.1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25.2</v>
          </cell>
        </row>
        <row r="18">
          <cell r="S18">
            <v>25.5</v>
          </cell>
        </row>
        <row r="19">
          <cell r="S19">
            <v>25.7</v>
          </cell>
        </row>
        <row r="20">
          <cell r="S20">
            <v>25.9</v>
          </cell>
        </row>
        <row r="21">
          <cell r="S21">
            <v>26.2</v>
          </cell>
        </row>
        <row r="22">
          <cell r="S22">
            <v>26.7</v>
          </cell>
        </row>
        <row r="23">
          <cell r="S23">
            <v>26.8</v>
          </cell>
        </row>
        <row r="24">
          <cell r="S24">
            <v>26.8</v>
          </cell>
        </row>
        <row r="25">
          <cell r="S25">
            <v>26.8</v>
          </cell>
        </row>
        <row r="26">
          <cell r="S26">
            <v>26.9</v>
          </cell>
        </row>
        <row r="27">
          <cell r="S27">
            <v>26.9</v>
          </cell>
        </row>
      </sheetData>
      <sheetData sheetId="38"/>
      <sheetData sheetId="39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25.9</v>
          </cell>
        </row>
        <row r="14">
          <cell r="S14">
            <v>25.8</v>
          </cell>
        </row>
        <row r="15">
          <cell r="S15">
            <v>25.9</v>
          </cell>
        </row>
        <row r="16">
          <cell r="S16">
            <v>25.9</v>
          </cell>
        </row>
        <row r="17">
          <cell r="S17">
            <v>26</v>
          </cell>
        </row>
        <row r="18">
          <cell r="S18">
            <v>26.2</v>
          </cell>
        </row>
        <row r="19">
          <cell r="S19">
            <v>26.4</v>
          </cell>
        </row>
        <row r="20">
          <cell r="S20">
            <v>26.7</v>
          </cell>
        </row>
        <row r="21">
          <cell r="S21">
            <v>26.9</v>
          </cell>
        </row>
        <row r="22">
          <cell r="S22">
            <v>27</v>
          </cell>
        </row>
        <row r="23">
          <cell r="S23">
            <v>27.1</v>
          </cell>
        </row>
        <row r="24">
          <cell r="S24">
            <v>27.1</v>
          </cell>
        </row>
        <row r="25">
          <cell r="S25">
            <v>26.9</v>
          </cell>
        </row>
        <row r="26">
          <cell r="S26">
            <v>26.9</v>
          </cell>
        </row>
        <row r="27">
          <cell r="S27">
            <v>26.8</v>
          </cell>
        </row>
      </sheetData>
      <sheetData sheetId="40"/>
      <sheetData sheetId="41">
        <row r="10">
          <cell r="S10">
            <v>25.5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26</v>
          </cell>
        </row>
        <row r="19">
          <cell r="S19">
            <v>26.2</v>
          </cell>
        </row>
        <row r="20">
          <cell r="S20">
            <v>26.3</v>
          </cell>
        </row>
        <row r="21">
          <cell r="S21">
            <v>26.7</v>
          </cell>
        </row>
        <row r="22">
          <cell r="S22">
            <v>26.8</v>
          </cell>
        </row>
        <row r="23">
          <cell r="S23">
            <v>27.1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27.1</v>
          </cell>
        </row>
        <row r="27">
          <cell r="S27">
            <v>27</v>
          </cell>
        </row>
      </sheetData>
      <sheetData sheetId="42"/>
      <sheetData sheetId="43">
        <row r="10">
          <cell r="S10">
            <v>26.1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25.9</v>
          </cell>
        </row>
        <row r="16">
          <cell r="S16">
            <v>26</v>
          </cell>
        </row>
        <row r="17">
          <cell r="S17">
            <v>26.2</v>
          </cell>
        </row>
        <row r="18">
          <cell r="S18">
            <v>26.4</v>
          </cell>
        </row>
        <row r="19">
          <cell r="S19">
            <v>26.7</v>
          </cell>
        </row>
        <row r="20">
          <cell r="S20">
            <v>26.7</v>
          </cell>
        </row>
        <row r="21">
          <cell r="S21">
            <v>27</v>
          </cell>
        </row>
        <row r="22">
          <cell r="S22">
            <v>27.4</v>
          </cell>
        </row>
        <row r="23">
          <cell r="S23">
            <v>27.7</v>
          </cell>
        </row>
        <row r="24">
          <cell r="S24">
            <v>27.9</v>
          </cell>
        </row>
        <row r="25">
          <cell r="S25">
            <v>27.7</v>
          </cell>
        </row>
        <row r="26">
          <cell r="S26">
            <v>27.7</v>
          </cell>
        </row>
        <row r="27">
          <cell r="S27">
            <v>27.7</v>
          </cell>
        </row>
      </sheetData>
      <sheetData sheetId="44"/>
      <sheetData sheetId="45">
        <row r="10">
          <cell r="S10">
            <v>26.8</v>
          </cell>
        </row>
        <row r="11">
          <cell r="S11">
            <v>26.6</v>
          </cell>
        </row>
        <row r="12">
          <cell r="S12">
            <v>26.5</v>
          </cell>
        </row>
        <row r="13">
          <cell r="S13">
            <v>26.5</v>
          </cell>
        </row>
        <row r="14">
          <cell r="S14">
            <v>26.4</v>
          </cell>
        </row>
        <row r="15">
          <cell r="S15">
            <v>26.2</v>
          </cell>
        </row>
        <row r="16">
          <cell r="S16">
            <v>26.4</v>
          </cell>
        </row>
        <row r="17">
          <cell r="S17">
            <v>26.5</v>
          </cell>
        </row>
        <row r="18">
          <cell r="S18">
            <v>26.7</v>
          </cell>
        </row>
        <row r="19">
          <cell r="S19">
            <v>27</v>
          </cell>
        </row>
        <row r="20">
          <cell r="S20">
            <v>27.3</v>
          </cell>
        </row>
        <row r="21">
          <cell r="S21">
            <v>27.6</v>
          </cell>
        </row>
        <row r="22">
          <cell r="S22">
            <v>27.6</v>
          </cell>
        </row>
        <row r="23">
          <cell r="S23">
            <v>28.3</v>
          </cell>
        </row>
        <row r="24">
          <cell r="S24">
            <v>28.2</v>
          </cell>
        </row>
        <row r="25">
          <cell r="S25">
            <v>28.2</v>
          </cell>
        </row>
        <row r="26">
          <cell r="S26">
            <v>28.3</v>
          </cell>
        </row>
        <row r="27">
          <cell r="S27">
            <v>28.3</v>
          </cell>
        </row>
      </sheetData>
      <sheetData sheetId="46"/>
      <sheetData sheetId="47">
        <row r="10">
          <cell r="S10">
            <v>27.4</v>
          </cell>
        </row>
        <row r="11">
          <cell r="S11">
            <v>27.2</v>
          </cell>
        </row>
        <row r="12">
          <cell r="S12">
            <v>27.2</v>
          </cell>
        </row>
        <row r="13">
          <cell r="S13">
            <v>27.2</v>
          </cell>
        </row>
        <row r="14">
          <cell r="S14">
            <v>27</v>
          </cell>
        </row>
        <row r="15">
          <cell r="S15">
            <v>27.1</v>
          </cell>
        </row>
        <row r="16">
          <cell r="S16">
            <v>27.2</v>
          </cell>
        </row>
        <row r="17">
          <cell r="S17">
            <v>27.2</v>
          </cell>
        </row>
        <row r="18">
          <cell r="S18">
            <v>27.4</v>
          </cell>
        </row>
        <row r="19">
          <cell r="S19">
            <v>27.6</v>
          </cell>
        </row>
        <row r="20">
          <cell r="S20">
            <v>28</v>
          </cell>
        </row>
        <row r="21">
          <cell r="S21">
            <v>28.3</v>
          </cell>
        </row>
        <row r="22">
          <cell r="S22">
            <v>28.4</v>
          </cell>
        </row>
        <row r="23">
          <cell r="S23">
            <v>28.5</v>
          </cell>
        </row>
        <row r="24">
          <cell r="S24">
            <v>28.6</v>
          </cell>
        </row>
        <row r="25">
          <cell r="S25">
            <v>28.6</v>
          </cell>
        </row>
        <row r="26">
          <cell r="S26">
            <v>28.4</v>
          </cell>
        </row>
        <row r="27">
          <cell r="S27">
            <v>28.5</v>
          </cell>
        </row>
      </sheetData>
      <sheetData sheetId="48"/>
      <sheetData sheetId="49">
        <row r="10">
          <cell r="S10">
            <v>27.4</v>
          </cell>
        </row>
        <row r="11">
          <cell r="S11">
            <v>27.4</v>
          </cell>
        </row>
        <row r="12">
          <cell r="S12">
            <v>27.4</v>
          </cell>
        </row>
        <row r="13">
          <cell r="S13">
            <v>27.2</v>
          </cell>
        </row>
        <row r="14">
          <cell r="S14">
            <v>27.2</v>
          </cell>
        </row>
        <row r="15">
          <cell r="S15">
            <v>27.2</v>
          </cell>
        </row>
        <row r="16">
          <cell r="S16">
            <v>27</v>
          </cell>
        </row>
        <row r="17">
          <cell r="S17">
            <v>27.2</v>
          </cell>
        </row>
        <row r="18">
          <cell r="S18">
            <v>27.5</v>
          </cell>
        </row>
        <row r="19">
          <cell r="S19">
            <v>27.9</v>
          </cell>
        </row>
        <row r="20">
          <cell r="S20">
            <v>28.2</v>
          </cell>
        </row>
        <row r="21">
          <cell r="S21">
            <v>28.4</v>
          </cell>
        </row>
        <row r="22">
          <cell r="S22">
            <v>28.6</v>
          </cell>
        </row>
        <row r="23">
          <cell r="S23">
            <v>28.6</v>
          </cell>
        </row>
        <row r="24">
          <cell r="S24">
            <v>28.7</v>
          </cell>
        </row>
        <row r="25">
          <cell r="S25">
            <v>28.7</v>
          </cell>
        </row>
        <row r="26">
          <cell r="S26">
            <v>28.7</v>
          </cell>
        </row>
        <row r="27">
          <cell r="S27">
            <v>28.6</v>
          </cell>
        </row>
      </sheetData>
      <sheetData sheetId="50"/>
      <sheetData sheetId="51">
        <row r="10">
          <cell r="S10">
            <v>27</v>
          </cell>
        </row>
        <row r="11">
          <cell r="S11">
            <v>27.2</v>
          </cell>
        </row>
        <row r="12">
          <cell r="S12">
            <v>27.2</v>
          </cell>
        </row>
        <row r="13">
          <cell r="S13">
            <v>27.2</v>
          </cell>
        </row>
        <row r="14">
          <cell r="S14">
            <v>27.2</v>
          </cell>
        </row>
        <row r="15">
          <cell r="S15">
            <v>27.2</v>
          </cell>
        </row>
        <row r="16">
          <cell r="S16">
            <v>27.4</v>
          </cell>
        </row>
        <row r="17">
          <cell r="S17">
            <v>27.4</v>
          </cell>
        </row>
        <row r="18">
          <cell r="S18">
            <v>27.4</v>
          </cell>
        </row>
        <row r="19">
          <cell r="S19">
            <v>28</v>
          </cell>
        </row>
        <row r="20">
          <cell r="S20">
            <v>28.1</v>
          </cell>
        </row>
        <row r="21">
          <cell r="S21">
            <v>28.4</v>
          </cell>
        </row>
        <row r="22">
          <cell r="S22">
            <v>28.6</v>
          </cell>
        </row>
        <row r="23">
          <cell r="S23">
            <v>28.7</v>
          </cell>
        </row>
        <row r="24">
          <cell r="S24">
            <v>28.8</v>
          </cell>
        </row>
        <row r="25">
          <cell r="S25">
            <v>28.8</v>
          </cell>
        </row>
        <row r="26">
          <cell r="S26">
            <v>28.8</v>
          </cell>
        </row>
        <row r="27">
          <cell r="S27">
            <v>28.8</v>
          </cell>
        </row>
      </sheetData>
      <sheetData sheetId="52"/>
      <sheetData sheetId="53">
        <row r="10">
          <cell r="S10">
            <v>28</v>
          </cell>
        </row>
        <row r="11">
          <cell r="S11">
            <v>28</v>
          </cell>
        </row>
        <row r="12">
          <cell r="S12">
            <v>28</v>
          </cell>
        </row>
        <row r="13">
          <cell r="S13">
            <v>27.8</v>
          </cell>
        </row>
        <row r="14">
          <cell r="S14">
            <v>27.8</v>
          </cell>
        </row>
        <row r="15">
          <cell r="S15">
            <v>27.8</v>
          </cell>
        </row>
        <row r="16">
          <cell r="S16">
            <v>27.8</v>
          </cell>
        </row>
        <row r="17">
          <cell r="S17">
            <v>28.1</v>
          </cell>
        </row>
        <row r="18">
          <cell r="S18">
            <v>28.3</v>
          </cell>
        </row>
        <row r="19">
          <cell r="S19">
            <v>28</v>
          </cell>
        </row>
        <row r="20">
          <cell r="S20">
            <v>28</v>
          </cell>
        </row>
        <row r="21">
          <cell r="S21">
            <v>28.4</v>
          </cell>
        </row>
        <row r="22">
          <cell r="S22">
            <v>28.2</v>
          </cell>
        </row>
        <row r="23">
          <cell r="S23">
            <v>28.2</v>
          </cell>
        </row>
        <row r="24">
          <cell r="S24">
            <v>28</v>
          </cell>
        </row>
        <row r="25">
          <cell r="S25">
            <v>28</v>
          </cell>
        </row>
        <row r="26">
          <cell r="S26">
            <v>28</v>
          </cell>
        </row>
        <row r="27">
          <cell r="S27">
            <v>28</v>
          </cell>
        </row>
      </sheetData>
      <sheetData sheetId="54"/>
      <sheetData sheetId="55">
        <row r="10">
          <cell r="S10">
            <v>27.9</v>
          </cell>
        </row>
        <row r="11">
          <cell r="S11">
            <v>27.8</v>
          </cell>
        </row>
        <row r="12">
          <cell r="S12">
            <v>27.7</v>
          </cell>
        </row>
        <row r="13">
          <cell r="S13">
            <v>27.6</v>
          </cell>
        </row>
        <row r="14">
          <cell r="S14">
            <v>27.5</v>
          </cell>
        </row>
        <row r="15">
          <cell r="S15">
            <v>27.4</v>
          </cell>
        </row>
        <row r="16">
          <cell r="S16">
            <v>27.4</v>
          </cell>
        </row>
        <row r="17">
          <cell r="S17">
            <v>27.6</v>
          </cell>
        </row>
        <row r="18">
          <cell r="S18">
            <v>27.6</v>
          </cell>
        </row>
        <row r="19">
          <cell r="S19">
            <v>27.6</v>
          </cell>
        </row>
        <row r="20">
          <cell r="S20">
            <v>27.4</v>
          </cell>
        </row>
        <row r="21">
          <cell r="S21">
            <v>27.8</v>
          </cell>
        </row>
        <row r="22">
          <cell r="S22">
            <v>28</v>
          </cell>
        </row>
        <row r="23">
          <cell r="S23">
            <v>28.6</v>
          </cell>
        </row>
        <row r="24">
          <cell r="S24">
            <v>28.4</v>
          </cell>
        </row>
        <row r="25">
          <cell r="S25">
            <v>28</v>
          </cell>
        </row>
        <row r="26">
          <cell r="S26">
            <v>28</v>
          </cell>
        </row>
        <row r="27">
          <cell r="S27">
            <v>28</v>
          </cell>
        </row>
      </sheetData>
      <sheetData sheetId="56"/>
      <sheetData sheetId="57">
        <row r="10">
          <cell r="S10">
            <v>27.4</v>
          </cell>
        </row>
        <row r="11">
          <cell r="S11">
            <v>27.2</v>
          </cell>
        </row>
        <row r="12">
          <cell r="S12">
            <v>27.1</v>
          </cell>
        </row>
        <row r="13">
          <cell r="S13">
            <v>26.9</v>
          </cell>
        </row>
        <row r="14">
          <cell r="S14">
            <v>26.8</v>
          </cell>
        </row>
        <row r="15">
          <cell r="S15">
            <v>26.8</v>
          </cell>
        </row>
        <row r="16">
          <cell r="S16">
            <v>26.7</v>
          </cell>
        </row>
        <row r="17">
          <cell r="S17">
            <v>26.6</v>
          </cell>
        </row>
        <row r="18">
          <cell r="S18">
            <v>26.6</v>
          </cell>
        </row>
        <row r="19">
          <cell r="S19">
            <v>26.6</v>
          </cell>
        </row>
        <row r="20">
          <cell r="S20">
            <v>26.6</v>
          </cell>
        </row>
        <row r="21">
          <cell r="S21">
            <v>26.6</v>
          </cell>
        </row>
        <row r="22">
          <cell r="S22">
            <v>26.6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26.3</v>
          </cell>
        </row>
      </sheetData>
      <sheetData sheetId="58"/>
      <sheetData sheetId="59">
        <row r="10">
          <cell r="S10">
            <v>25.4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24.8</v>
          </cell>
        </row>
        <row r="18">
          <cell r="S18">
            <v>24.7</v>
          </cell>
        </row>
        <row r="19">
          <cell r="S19">
            <v>24.7</v>
          </cell>
        </row>
        <row r="20">
          <cell r="S20">
            <v>24.7</v>
          </cell>
        </row>
        <row r="21">
          <cell r="S21">
            <v>24.7</v>
          </cell>
        </row>
        <row r="22">
          <cell r="S22">
            <v>24.6</v>
          </cell>
        </row>
        <row r="23">
          <cell r="S23">
            <v>24.4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</v>
          </cell>
        </row>
        <row r="27">
          <cell r="S27">
            <v>23.8</v>
          </cell>
        </row>
      </sheetData>
      <sheetData sheetId="60"/>
      <sheetData sheetId="61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23.4</v>
          </cell>
        </row>
        <row r="15">
          <cell r="S15">
            <v>23.6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23.3</v>
          </cell>
        </row>
        <row r="21">
          <cell r="S21">
            <v>23.4</v>
          </cell>
        </row>
        <row r="22">
          <cell r="S22">
            <v>23.5</v>
          </cell>
        </row>
        <row r="23">
          <cell r="S23">
            <v>23.5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62"/>
      <sheetData sheetId="63">
        <row r="10">
          <cell r="S10">
            <v>23.4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23.2</v>
          </cell>
        </row>
        <row r="20">
          <cell r="S20">
            <v>23.3</v>
          </cell>
        </row>
        <row r="21">
          <cell r="S21">
            <v>23.4</v>
          </cell>
        </row>
        <row r="22">
          <cell r="S22">
            <v>23.4</v>
          </cell>
        </row>
        <row r="23">
          <cell r="S23">
            <v>23.5</v>
          </cell>
        </row>
        <row r="24">
          <cell r="S24">
            <v>23.5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23.4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23.4</v>
          </cell>
        </row>
        <row r="16">
          <cell r="S16">
            <v>23.5</v>
          </cell>
        </row>
        <row r="17">
          <cell r="S17">
            <v>23.5</v>
          </cell>
        </row>
        <row r="18">
          <cell r="S18">
            <v>23.7</v>
          </cell>
        </row>
        <row r="19">
          <cell r="S19">
            <v>23.7</v>
          </cell>
        </row>
        <row r="20">
          <cell r="S20">
            <v>23.6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23.6</v>
          </cell>
        </row>
        <row r="25">
          <cell r="S25">
            <v>23.8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4">
        <row r="1">
          <cell r="C1" t="str">
            <v>FEVEREIRO DE 2022</v>
          </cell>
        </row>
      </sheetData>
      <sheetData sheetId="5">
        <row r="10">
          <cell r="S10">
            <v>23.8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23.7</v>
          </cell>
        </row>
        <row r="17">
          <cell r="S17">
            <v>23.8</v>
          </cell>
        </row>
        <row r="18">
          <cell r="S18">
            <v>23.9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23.8</v>
          </cell>
        </row>
        <row r="22">
          <cell r="S22">
            <v>23.8</v>
          </cell>
        </row>
        <row r="23">
          <cell r="S23">
            <v>23.8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24</v>
          </cell>
        </row>
      </sheetData>
      <sheetData sheetId="6"/>
      <sheetData sheetId="7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24.2</v>
          </cell>
        </row>
        <row r="27">
          <cell r="S27">
            <v>24.2</v>
          </cell>
        </row>
      </sheetData>
      <sheetData sheetId="8"/>
      <sheetData sheetId="9">
        <row r="10">
          <cell r="S10">
            <v>23.6</v>
          </cell>
        </row>
        <row r="11">
          <cell r="S11">
            <v>23.6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24.3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10"/>
      <sheetData sheetId="11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12"/>
      <sheetData sheetId="13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25.1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14"/>
      <sheetData sheetId="15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24.4</v>
          </cell>
        </row>
        <row r="19">
          <cell r="S19">
            <v>24.3</v>
          </cell>
        </row>
        <row r="20">
          <cell r="S20">
            <v>24.2</v>
          </cell>
        </row>
        <row r="21">
          <cell r="S21">
            <v>24.2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16"/>
      <sheetData sheetId="17">
        <row r="10">
          <cell r="S10">
            <v>23.6</v>
          </cell>
        </row>
        <row r="11">
          <cell r="S11">
            <v>23.6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23.4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23.6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24</v>
          </cell>
        </row>
      </sheetData>
      <sheetData sheetId="18"/>
      <sheetData sheetId="19">
        <row r="10">
          <cell r="S10">
            <v>23.3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23.5</v>
          </cell>
        </row>
        <row r="18">
          <cell r="S18">
            <v>23.6</v>
          </cell>
        </row>
        <row r="19">
          <cell r="S19">
            <v>23.6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20"/>
      <sheetData sheetId="21">
        <row r="10">
          <cell r="S10">
            <v>23.9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23.9</v>
          </cell>
        </row>
        <row r="17">
          <cell r="S17">
            <v>24</v>
          </cell>
        </row>
        <row r="18">
          <cell r="S18">
            <v>24.2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25.1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25.8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22"/>
      <sheetData sheetId="23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24.8</v>
          </cell>
        </row>
        <row r="20">
          <cell r="S20">
            <v>24.9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24"/>
      <sheetData sheetId="25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25.6</v>
          </cell>
        </row>
        <row r="24">
          <cell r="S24">
            <v>25.8</v>
          </cell>
        </row>
        <row r="25">
          <cell r="S25">
            <v>25.9</v>
          </cell>
        </row>
        <row r="26">
          <cell r="S26">
            <v>25.9</v>
          </cell>
        </row>
        <row r="27">
          <cell r="S27">
            <v>25.9</v>
          </cell>
        </row>
      </sheetData>
      <sheetData sheetId="26"/>
      <sheetData sheetId="27">
        <row r="10">
          <cell r="S10">
            <v>25.3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25.1</v>
          </cell>
        </row>
        <row r="16">
          <cell r="S16">
            <v>25</v>
          </cell>
        </row>
        <row r="17">
          <cell r="S17">
            <v>25.2</v>
          </cell>
        </row>
        <row r="18">
          <cell r="S18">
            <v>25.4</v>
          </cell>
        </row>
        <row r="19">
          <cell r="S19">
            <v>25.5</v>
          </cell>
        </row>
        <row r="20">
          <cell r="S20">
            <v>25.7</v>
          </cell>
        </row>
        <row r="21">
          <cell r="S21">
            <v>25.9</v>
          </cell>
        </row>
        <row r="22">
          <cell r="S22">
            <v>26.1</v>
          </cell>
        </row>
        <row r="23">
          <cell r="S23">
            <v>26.3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26.3</v>
          </cell>
        </row>
      </sheetData>
      <sheetData sheetId="28"/>
      <sheetData sheetId="29">
        <row r="10">
          <cell r="S10">
            <v>25.6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25.5</v>
          </cell>
        </row>
        <row r="17">
          <cell r="S17">
            <v>25.7</v>
          </cell>
        </row>
        <row r="18">
          <cell r="S18">
            <v>26</v>
          </cell>
        </row>
        <row r="19">
          <cell r="S19">
            <v>26.2</v>
          </cell>
        </row>
        <row r="20">
          <cell r="S20">
            <v>26.5</v>
          </cell>
        </row>
        <row r="21">
          <cell r="S21">
            <v>26.8</v>
          </cell>
        </row>
        <row r="22">
          <cell r="S22">
            <v>27.1</v>
          </cell>
        </row>
        <row r="23">
          <cell r="S23">
            <v>27.3</v>
          </cell>
        </row>
        <row r="24">
          <cell r="S24">
            <v>27.4</v>
          </cell>
        </row>
        <row r="25">
          <cell r="S25">
            <v>27.5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30"/>
      <sheetData sheetId="31">
        <row r="10">
          <cell r="S10">
            <v>26.4</v>
          </cell>
        </row>
        <row r="11">
          <cell r="S11">
            <v>26.6</v>
          </cell>
        </row>
        <row r="12">
          <cell r="S12">
            <v>26.8</v>
          </cell>
        </row>
        <row r="13">
          <cell r="S13">
            <v>26.6</v>
          </cell>
        </row>
        <row r="14">
          <cell r="S14">
            <v>26.6</v>
          </cell>
        </row>
        <row r="15">
          <cell r="S15">
            <v>26.4</v>
          </cell>
        </row>
        <row r="16">
          <cell r="S16">
            <v>26</v>
          </cell>
        </row>
        <row r="17">
          <cell r="S17">
            <v>26.2</v>
          </cell>
        </row>
        <row r="18">
          <cell r="S18">
            <v>26.2</v>
          </cell>
        </row>
        <row r="19">
          <cell r="S19">
            <v>26.8</v>
          </cell>
        </row>
        <row r="20">
          <cell r="S20">
            <v>26.9</v>
          </cell>
        </row>
        <row r="21">
          <cell r="S21">
            <v>27</v>
          </cell>
        </row>
        <row r="22">
          <cell r="S22">
            <v>27.1</v>
          </cell>
        </row>
        <row r="23">
          <cell r="S23">
            <v>27.2</v>
          </cell>
        </row>
        <row r="24">
          <cell r="S24">
            <v>27.3</v>
          </cell>
        </row>
        <row r="25">
          <cell r="S25">
            <v>27.3</v>
          </cell>
        </row>
        <row r="26">
          <cell r="S26">
            <v>27.2</v>
          </cell>
        </row>
        <row r="27">
          <cell r="S27">
            <v>27.1</v>
          </cell>
        </row>
      </sheetData>
      <sheetData sheetId="32"/>
      <sheetData sheetId="33">
        <row r="10">
          <cell r="S10">
            <v>26.3</v>
          </cell>
        </row>
        <row r="11">
          <cell r="S11">
            <v>26.2</v>
          </cell>
        </row>
        <row r="12">
          <cell r="S12">
            <v>26.1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25.9</v>
          </cell>
        </row>
        <row r="18">
          <cell r="S18">
            <v>25.9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26.1</v>
          </cell>
        </row>
        <row r="22">
          <cell r="S22">
            <v>26.3</v>
          </cell>
        </row>
        <row r="23">
          <cell r="S23">
            <v>26.4</v>
          </cell>
        </row>
        <row r="24">
          <cell r="S24">
            <v>26.5</v>
          </cell>
        </row>
        <row r="25">
          <cell r="S25">
            <v>26.6</v>
          </cell>
        </row>
        <row r="26">
          <cell r="S26">
            <v>26.6</v>
          </cell>
        </row>
        <row r="27">
          <cell r="S27">
            <v>26.6</v>
          </cell>
        </row>
      </sheetData>
      <sheetData sheetId="34"/>
      <sheetData sheetId="35">
        <row r="10">
          <cell r="S10">
            <v>25.8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25.9</v>
          </cell>
        </row>
        <row r="14">
          <cell r="S14">
            <v>25.8</v>
          </cell>
        </row>
        <row r="15">
          <cell r="S15">
            <v>25.9</v>
          </cell>
        </row>
        <row r="16">
          <cell r="S16">
            <v>26</v>
          </cell>
        </row>
        <row r="17">
          <cell r="S17">
            <v>26.1</v>
          </cell>
        </row>
        <row r="18">
          <cell r="S18">
            <v>26.1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26.2</v>
          </cell>
        </row>
        <row r="24">
          <cell r="S24">
            <v>26.6</v>
          </cell>
        </row>
        <row r="25">
          <cell r="S25">
            <v>26.8</v>
          </cell>
        </row>
        <row r="26">
          <cell r="S26">
            <v>26.8</v>
          </cell>
        </row>
        <row r="27">
          <cell r="S27">
            <v>26.8</v>
          </cell>
        </row>
      </sheetData>
      <sheetData sheetId="36"/>
      <sheetData sheetId="37">
        <row r="10">
          <cell r="S10">
            <v>25.4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25.1</v>
          </cell>
        </row>
        <row r="16">
          <cell r="S16">
            <v>25.2</v>
          </cell>
        </row>
        <row r="17">
          <cell r="S17">
            <v>25.2</v>
          </cell>
        </row>
        <row r="18">
          <cell r="S18">
            <v>25.3</v>
          </cell>
        </row>
        <row r="19">
          <cell r="S19">
            <v>25</v>
          </cell>
        </row>
        <row r="20">
          <cell r="S20">
            <v>25.2</v>
          </cell>
        </row>
        <row r="21">
          <cell r="S21">
            <v>25.3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</v>
          </cell>
        </row>
      </sheetData>
      <sheetData sheetId="38"/>
      <sheetData sheetId="39">
        <row r="10">
          <cell r="S10">
            <v>24.4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24.1</v>
          </cell>
        </row>
        <row r="17">
          <cell r="S17">
            <v>24.3</v>
          </cell>
        </row>
        <row r="18">
          <cell r="S18">
            <v>24.5</v>
          </cell>
        </row>
        <row r="19">
          <cell r="S19">
            <v>24.6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24.6</v>
          </cell>
        </row>
        <row r="23">
          <cell r="S23">
            <v>24.8</v>
          </cell>
        </row>
        <row r="24">
          <cell r="S24">
            <v>24.8</v>
          </cell>
        </row>
        <row r="25">
          <cell r="S25">
            <v>24.8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40"/>
      <sheetData sheetId="41">
        <row r="10">
          <cell r="S10">
            <v>24.7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25.9</v>
          </cell>
        </row>
        <row r="17">
          <cell r="S17">
            <v>25</v>
          </cell>
        </row>
        <row r="18">
          <cell r="S18">
            <v>25.2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25.4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26.2</v>
          </cell>
        </row>
        <row r="27">
          <cell r="S27">
            <v>26</v>
          </cell>
        </row>
      </sheetData>
      <sheetData sheetId="42"/>
      <sheetData sheetId="43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25.5</v>
          </cell>
        </row>
        <row r="19">
          <cell r="S19">
            <v>25.8</v>
          </cell>
        </row>
        <row r="20">
          <cell r="S20">
            <v>25.9</v>
          </cell>
        </row>
        <row r="21">
          <cell r="S21">
            <v>26</v>
          </cell>
        </row>
        <row r="22">
          <cell r="S22">
            <v>26.2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26.4</v>
          </cell>
        </row>
        <row r="26">
          <cell r="S26">
            <v>26.4</v>
          </cell>
        </row>
        <row r="27">
          <cell r="S27">
            <v>26.3</v>
          </cell>
        </row>
      </sheetData>
      <sheetData sheetId="44"/>
      <sheetData sheetId="45">
        <row r="10">
          <cell r="S10">
            <v>26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25.5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25.5</v>
          </cell>
        </row>
        <row r="17">
          <cell r="S17">
            <v>25.8</v>
          </cell>
        </row>
        <row r="18">
          <cell r="S18">
            <v>25.9</v>
          </cell>
        </row>
        <row r="19">
          <cell r="S19">
            <v>26.2</v>
          </cell>
        </row>
        <row r="20">
          <cell r="S20">
            <v>26.5</v>
          </cell>
        </row>
        <row r="21">
          <cell r="S21">
            <v>26.7</v>
          </cell>
        </row>
        <row r="22">
          <cell r="S22">
            <v>26.9</v>
          </cell>
        </row>
        <row r="23">
          <cell r="S23">
            <v>27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27.2</v>
          </cell>
        </row>
        <row r="27">
          <cell r="S27">
            <v>27.2</v>
          </cell>
        </row>
      </sheetData>
      <sheetData sheetId="46"/>
      <sheetData sheetId="47">
        <row r="10">
          <cell r="S10">
            <v>26.3</v>
          </cell>
        </row>
        <row r="11">
          <cell r="S11">
            <v>26.3</v>
          </cell>
        </row>
        <row r="12">
          <cell r="S12">
            <v>26.3</v>
          </cell>
        </row>
        <row r="13">
          <cell r="S13">
            <v>26.1</v>
          </cell>
        </row>
        <row r="14">
          <cell r="S14">
            <v>26.2</v>
          </cell>
        </row>
        <row r="15">
          <cell r="S15">
            <v>26.1</v>
          </cell>
        </row>
        <row r="16">
          <cell r="S16">
            <v>26.1</v>
          </cell>
        </row>
        <row r="17">
          <cell r="S17">
            <v>26.2</v>
          </cell>
        </row>
        <row r="18">
          <cell r="S18">
            <v>26.4</v>
          </cell>
        </row>
        <row r="19">
          <cell r="S19">
            <v>26.6</v>
          </cell>
        </row>
        <row r="20">
          <cell r="S20">
            <v>26.9</v>
          </cell>
        </row>
        <row r="21">
          <cell r="S21">
            <v>27</v>
          </cell>
        </row>
        <row r="22">
          <cell r="S22">
            <v>27.1</v>
          </cell>
        </row>
        <row r="23">
          <cell r="S23">
            <v>27.2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27.1</v>
          </cell>
        </row>
        <row r="27">
          <cell r="S27">
            <v>27</v>
          </cell>
        </row>
      </sheetData>
      <sheetData sheetId="48"/>
      <sheetData sheetId="49">
        <row r="10">
          <cell r="S10">
            <v>26.1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26</v>
          </cell>
        </row>
        <row r="17">
          <cell r="S17">
            <v>26.2</v>
          </cell>
        </row>
        <row r="18">
          <cell r="S18">
            <v>26.4</v>
          </cell>
        </row>
        <row r="19">
          <cell r="S19">
            <v>26.4</v>
          </cell>
        </row>
        <row r="20">
          <cell r="S20">
            <v>26.4</v>
          </cell>
        </row>
        <row r="21">
          <cell r="S21">
            <v>27</v>
          </cell>
        </row>
        <row r="22">
          <cell r="S22">
            <v>27</v>
          </cell>
        </row>
        <row r="23">
          <cell r="S23">
            <v>27.2</v>
          </cell>
        </row>
        <row r="24">
          <cell r="S24">
            <v>27.4</v>
          </cell>
        </row>
        <row r="25">
          <cell r="S25">
            <v>27.6</v>
          </cell>
        </row>
        <row r="26">
          <cell r="S26">
            <v>27.8</v>
          </cell>
        </row>
        <row r="27">
          <cell r="S27">
            <v>27.8</v>
          </cell>
        </row>
      </sheetData>
      <sheetData sheetId="50"/>
      <sheetData sheetId="51">
        <row r="10">
          <cell r="S10">
            <v>27.1</v>
          </cell>
        </row>
        <row r="11">
          <cell r="S11">
            <v>27</v>
          </cell>
        </row>
        <row r="12">
          <cell r="S12">
            <v>26.9</v>
          </cell>
        </row>
        <row r="13">
          <cell r="S13">
            <v>26.9</v>
          </cell>
        </row>
        <row r="14">
          <cell r="S14">
            <v>26.9</v>
          </cell>
        </row>
        <row r="15">
          <cell r="S15">
            <v>26.9</v>
          </cell>
        </row>
        <row r="16">
          <cell r="S16">
            <v>27</v>
          </cell>
        </row>
        <row r="17">
          <cell r="S17">
            <v>27.1</v>
          </cell>
        </row>
        <row r="18">
          <cell r="S18">
            <v>27.3</v>
          </cell>
        </row>
        <row r="19">
          <cell r="S19">
            <v>27.2</v>
          </cell>
        </row>
        <row r="20">
          <cell r="S20">
            <v>27.6</v>
          </cell>
        </row>
        <row r="21">
          <cell r="S21">
            <v>27.6</v>
          </cell>
        </row>
        <row r="22">
          <cell r="S22">
            <v>27.8</v>
          </cell>
        </row>
        <row r="23">
          <cell r="S23">
            <v>28</v>
          </cell>
        </row>
        <row r="24">
          <cell r="S24">
            <v>28.2</v>
          </cell>
        </row>
        <row r="25">
          <cell r="S25">
            <v>28.4</v>
          </cell>
        </row>
        <row r="26">
          <cell r="S26">
            <v>28.6</v>
          </cell>
        </row>
        <row r="27">
          <cell r="S27">
            <v>28.4</v>
          </cell>
        </row>
      </sheetData>
      <sheetData sheetId="52"/>
      <sheetData sheetId="53">
        <row r="10">
          <cell r="S10">
            <v>27.5</v>
          </cell>
        </row>
        <row r="11">
          <cell r="S11">
            <v>27.4</v>
          </cell>
        </row>
        <row r="12">
          <cell r="S12">
            <v>27.2</v>
          </cell>
        </row>
        <row r="13">
          <cell r="S13">
            <v>27.2</v>
          </cell>
        </row>
        <row r="14">
          <cell r="S14">
            <v>27.2</v>
          </cell>
        </row>
        <row r="15">
          <cell r="S15">
            <v>27.1</v>
          </cell>
        </row>
        <row r="16">
          <cell r="S16">
            <v>27.2</v>
          </cell>
        </row>
        <row r="17">
          <cell r="S17">
            <v>27.3</v>
          </cell>
        </row>
        <row r="18">
          <cell r="S18">
            <v>27.5</v>
          </cell>
        </row>
        <row r="19">
          <cell r="S19">
            <v>27.6</v>
          </cell>
        </row>
        <row r="20">
          <cell r="S20">
            <v>27.6</v>
          </cell>
        </row>
        <row r="21">
          <cell r="S21">
            <v>27.8</v>
          </cell>
        </row>
        <row r="22">
          <cell r="S22">
            <v>28</v>
          </cell>
        </row>
        <row r="23">
          <cell r="S23">
            <v>28.4</v>
          </cell>
        </row>
        <row r="24">
          <cell r="S24">
            <v>28.4</v>
          </cell>
        </row>
        <row r="25">
          <cell r="S25">
            <v>28.6</v>
          </cell>
        </row>
        <row r="26">
          <cell r="S26">
            <v>28.6</v>
          </cell>
        </row>
        <row r="27">
          <cell r="S27">
            <v>27.8</v>
          </cell>
        </row>
      </sheetData>
      <sheetData sheetId="54"/>
      <sheetData sheetId="55">
        <row r="10">
          <cell r="S10">
            <v>27.8</v>
          </cell>
        </row>
        <row r="11">
          <cell r="S11">
            <v>27.7</v>
          </cell>
        </row>
        <row r="12">
          <cell r="S12">
            <v>27.7</v>
          </cell>
        </row>
        <row r="13">
          <cell r="S13">
            <v>27.6</v>
          </cell>
        </row>
        <row r="14">
          <cell r="S14">
            <v>27.5</v>
          </cell>
        </row>
        <row r="15">
          <cell r="S15">
            <v>27.6</v>
          </cell>
        </row>
        <row r="16">
          <cell r="S16">
            <v>27.5</v>
          </cell>
        </row>
        <row r="17">
          <cell r="S17">
            <v>27.7</v>
          </cell>
        </row>
        <row r="18">
          <cell r="S18">
            <v>27.9</v>
          </cell>
        </row>
        <row r="19">
          <cell r="S19">
            <v>28.1</v>
          </cell>
        </row>
        <row r="20">
          <cell r="S20">
            <v>28.3</v>
          </cell>
        </row>
        <row r="21">
          <cell r="S21">
            <v>28.5</v>
          </cell>
        </row>
        <row r="22">
          <cell r="S22">
            <v>28.7</v>
          </cell>
        </row>
        <row r="23">
          <cell r="S23">
            <v>28.9</v>
          </cell>
        </row>
        <row r="24">
          <cell r="S24">
            <v>29.1</v>
          </cell>
        </row>
        <row r="25">
          <cell r="S25">
            <v>29.1</v>
          </cell>
        </row>
        <row r="26">
          <cell r="S26">
            <v>29.1</v>
          </cell>
        </row>
        <row r="27">
          <cell r="S27">
            <v>29.1</v>
          </cell>
        </row>
      </sheetData>
      <sheetData sheetId="56"/>
      <sheetData sheetId="57">
        <row r="10">
          <cell r="S10">
            <v>28</v>
          </cell>
        </row>
        <row r="11">
          <cell r="S11">
            <v>28</v>
          </cell>
        </row>
        <row r="12">
          <cell r="S12">
            <v>27.9</v>
          </cell>
        </row>
        <row r="13">
          <cell r="S13">
            <v>27.8</v>
          </cell>
        </row>
        <row r="14">
          <cell r="S14">
            <v>27.8</v>
          </cell>
        </row>
        <row r="15">
          <cell r="S15">
            <v>27.8</v>
          </cell>
        </row>
        <row r="16">
          <cell r="S16">
            <v>27.8</v>
          </cell>
        </row>
        <row r="17">
          <cell r="S17">
            <v>28</v>
          </cell>
        </row>
        <row r="18">
          <cell r="S18">
            <v>28.2</v>
          </cell>
        </row>
        <row r="19">
          <cell r="S19">
            <v>28.5</v>
          </cell>
        </row>
        <row r="20">
          <cell r="S20">
            <v>28.5</v>
          </cell>
        </row>
        <row r="21">
          <cell r="S21">
            <v>28.6</v>
          </cell>
        </row>
        <row r="22">
          <cell r="S22">
            <v>29.1</v>
          </cell>
        </row>
        <row r="23">
          <cell r="S23">
            <v>29.4</v>
          </cell>
        </row>
        <row r="24">
          <cell r="S24">
            <v>29.5</v>
          </cell>
        </row>
        <row r="25">
          <cell r="S25">
            <v>29.7</v>
          </cell>
        </row>
        <row r="26">
          <cell r="S26">
            <v>29.5</v>
          </cell>
        </row>
        <row r="27">
          <cell r="S27">
            <v>29.5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28.2</v>
          </cell>
        </row>
        <row r="11">
          <cell r="S11">
            <v>28.2</v>
          </cell>
        </row>
        <row r="12">
          <cell r="S12">
            <v>28.2</v>
          </cell>
        </row>
        <row r="13">
          <cell r="S13">
            <v>28.4</v>
          </cell>
        </row>
        <row r="14">
          <cell r="S14">
            <v>28.4</v>
          </cell>
        </row>
        <row r="15">
          <cell r="S15">
            <v>27.8</v>
          </cell>
        </row>
        <row r="16">
          <cell r="S16">
            <v>28</v>
          </cell>
        </row>
        <row r="17">
          <cell r="S17">
            <v>28.2</v>
          </cell>
        </row>
        <row r="18">
          <cell r="S18">
            <v>28.2</v>
          </cell>
        </row>
        <row r="19">
          <cell r="S19">
            <v>28.8</v>
          </cell>
        </row>
        <row r="20">
          <cell r="S20">
            <v>28.9</v>
          </cell>
        </row>
        <row r="21">
          <cell r="S21">
            <v>29</v>
          </cell>
        </row>
        <row r="22">
          <cell r="S22">
            <v>29.1</v>
          </cell>
        </row>
        <row r="23">
          <cell r="S23">
            <v>29</v>
          </cell>
        </row>
        <row r="24">
          <cell r="S24">
            <v>28.8</v>
          </cell>
        </row>
        <row r="25">
          <cell r="S25">
            <v>29</v>
          </cell>
        </row>
        <row r="26">
          <cell r="S26">
            <v>28.7</v>
          </cell>
        </row>
        <row r="27">
          <cell r="S27">
            <v>27.5</v>
          </cell>
        </row>
      </sheetData>
      <sheetData sheetId="4">
        <row r="1">
          <cell r="C1" t="str">
            <v>MARÇO DE 2022</v>
          </cell>
        </row>
      </sheetData>
      <sheetData sheetId="5">
        <row r="10">
          <cell r="S10">
            <v>27.2</v>
          </cell>
        </row>
        <row r="11">
          <cell r="S11">
            <v>27.2</v>
          </cell>
        </row>
        <row r="12">
          <cell r="S12">
            <v>26.8</v>
          </cell>
        </row>
        <row r="13">
          <cell r="S13">
            <v>26.8</v>
          </cell>
        </row>
        <row r="14">
          <cell r="S14">
            <v>26.8</v>
          </cell>
        </row>
        <row r="15">
          <cell r="S15">
            <v>26.8</v>
          </cell>
        </row>
        <row r="16">
          <cell r="S16">
            <v>26.8</v>
          </cell>
        </row>
        <row r="17">
          <cell r="S17">
            <v>27</v>
          </cell>
        </row>
        <row r="18">
          <cell r="S18">
            <v>27</v>
          </cell>
        </row>
        <row r="19">
          <cell r="S19">
            <v>27.4</v>
          </cell>
        </row>
        <row r="20">
          <cell r="S20">
            <v>27.5</v>
          </cell>
        </row>
        <row r="21">
          <cell r="S21">
            <v>27.7</v>
          </cell>
        </row>
        <row r="22">
          <cell r="S22">
            <v>27.8</v>
          </cell>
        </row>
        <row r="23">
          <cell r="S23">
            <v>28</v>
          </cell>
        </row>
        <row r="24">
          <cell r="S24">
            <v>28.1</v>
          </cell>
        </row>
        <row r="25">
          <cell r="S25">
            <v>28.1</v>
          </cell>
        </row>
        <row r="26">
          <cell r="S26">
            <v>28.1</v>
          </cell>
        </row>
        <row r="27">
          <cell r="S27">
            <v>28</v>
          </cell>
        </row>
      </sheetData>
      <sheetData sheetId="6"/>
      <sheetData sheetId="7">
        <row r="10">
          <cell r="S10">
            <v>27</v>
          </cell>
        </row>
        <row r="11">
          <cell r="S11">
            <v>27</v>
          </cell>
        </row>
        <row r="12">
          <cell r="S12">
            <v>27</v>
          </cell>
        </row>
        <row r="13">
          <cell r="S13">
            <v>26.8</v>
          </cell>
        </row>
        <row r="14">
          <cell r="S14">
            <v>26.8</v>
          </cell>
        </row>
        <row r="15">
          <cell r="S15">
            <v>26.8</v>
          </cell>
        </row>
        <row r="16">
          <cell r="S16">
            <v>26.8</v>
          </cell>
        </row>
        <row r="17">
          <cell r="S17">
            <v>27</v>
          </cell>
        </row>
        <row r="18">
          <cell r="S18">
            <v>27</v>
          </cell>
        </row>
        <row r="19">
          <cell r="S19">
            <v>27.6</v>
          </cell>
        </row>
        <row r="20">
          <cell r="S20">
            <v>27.8</v>
          </cell>
        </row>
        <row r="21">
          <cell r="S21">
            <v>28</v>
          </cell>
        </row>
        <row r="22">
          <cell r="S22">
            <v>28.2</v>
          </cell>
        </row>
        <row r="23">
          <cell r="S23">
            <v>28.4</v>
          </cell>
        </row>
        <row r="24">
          <cell r="S24">
            <v>28.4</v>
          </cell>
        </row>
        <row r="25">
          <cell r="S25">
            <v>28.4</v>
          </cell>
        </row>
        <row r="26">
          <cell r="S26">
            <v>28.3</v>
          </cell>
        </row>
        <row r="27">
          <cell r="S27">
            <v>28.2</v>
          </cell>
        </row>
      </sheetData>
      <sheetData sheetId="8"/>
      <sheetData sheetId="9">
        <row r="10">
          <cell r="S10">
            <v>27.3</v>
          </cell>
        </row>
        <row r="11">
          <cell r="S11">
            <v>27.2</v>
          </cell>
        </row>
        <row r="12">
          <cell r="S12">
            <v>27.1</v>
          </cell>
        </row>
        <row r="13">
          <cell r="S13">
            <v>27</v>
          </cell>
        </row>
        <row r="14">
          <cell r="S14">
            <v>27.1</v>
          </cell>
        </row>
        <row r="15">
          <cell r="S15">
            <v>27</v>
          </cell>
        </row>
        <row r="16">
          <cell r="S16">
            <v>26.9</v>
          </cell>
        </row>
        <row r="17">
          <cell r="S17">
            <v>26.7</v>
          </cell>
        </row>
        <row r="18">
          <cell r="S18">
            <v>26.9</v>
          </cell>
        </row>
        <row r="19">
          <cell r="S19">
            <v>27</v>
          </cell>
        </row>
        <row r="20">
          <cell r="S20">
            <v>27</v>
          </cell>
        </row>
        <row r="21">
          <cell r="S21">
            <v>27</v>
          </cell>
        </row>
        <row r="22">
          <cell r="S22">
            <v>26.9</v>
          </cell>
        </row>
        <row r="23">
          <cell r="S23">
            <v>26.8</v>
          </cell>
        </row>
        <row r="24">
          <cell r="S24">
            <v>26.7</v>
          </cell>
        </row>
        <row r="25">
          <cell r="S25">
            <v>26.6</v>
          </cell>
        </row>
        <row r="26">
          <cell r="S26">
            <v>26.5</v>
          </cell>
        </row>
        <row r="27">
          <cell r="S27">
            <v>26.4</v>
          </cell>
        </row>
      </sheetData>
      <sheetData sheetId="10"/>
      <sheetData sheetId="11">
        <row r="10">
          <cell r="S10">
            <v>25.6</v>
          </cell>
        </row>
        <row r="11">
          <cell r="S11">
            <v>26.4</v>
          </cell>
        </row>
        <row r="12">
          <cell r="S12">
            <v>25.5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25.5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25.7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26.2</v>
          </cell>
        </row>
        <row r="22">
          <cell r="S22">
            <v>26.6</v>
          </cell>
        </row>
        <row r="23">
          <cell r="S23">
            <v>26.4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12"/>
      <sheetData sheetId="13">
        <row r="10">
          <cell r="S10">
            <v>26</v>
          </cell>
        </row>
        <row r="11">
          <cell r="S11">
            <v>26</v>
          </cell>
        </row>
        <row r="12">
          <cell r="S12">
            <v>25.9</v>
          </cell>
        </row>
        <row r="13">
          <cell r="S13">
            <v>25.9</v>
          </cell>
        </row>
        <row r="14">
          <cell r="S14">
            <v>25.8</v>
          </cell>
        </row>
        <row r="15">
          <cell r="S15">
            <v>25.9</v>
          </cell>
        </row>
        <row r="16">
          <cell r="S16">
            <v>26</v>
          </cell>
        </row>
        <row r="17">
          <cell r="S17">
            <v>26.1</v>
          </cell>
        </row>
        <row r="18">
          <cell r="S18">
            <v>26.1</v>
          </cell>
        </row>
        <row r="19">
          <cell r="S19">
            <v>26.4</v>
          </cell>
        </row>
        <row r="20">
          <cell r="S20">
            <v>26.5</v>
          </cell>
        </row>
        <row r="21">
          <cell r="S21">
            <v>26.7</v>
          </cell>
        </row>
        <row r="22">
          <cell r="S22">
            <v>27</v>
          </cell>
        </row>
        <row r="23">
          <cell r="S23">
            <v>27.1</v>
          </cell>
        </row>
        <row r="24">
          <cell r="S24">
            <v>27.1</v>
          </cell>
        </row>
        <row r="25">
          <cell r="S25">
            <v>27.1</v>
          </cell>
        </row>
        <row r="26">
          <cell r="S26">
            <v>27</v>
          </cell>
        </row>
        <row r="27">
          <cell r="S27">
            <v>26.8</v>
          </cell>
        </row>
      </sheetData>
      <sheetData sheetId="14"/>
      <sheetData sheetId="15">
        <row r="10">
          <cell r="S10">
            <v>25.9</v>
          </cell>
        </row>
        <row r="11">
          <cell r="S11">
            <v>25.9</v>
          </cell>
        </row>
        <row r="12">
          <cell r="S12">
            <v>25.8</v>
          </cell>
        </row>
        <row r="13">
          <cell r="S13">
            <v>25.8</v>
          </cell>
        </row>
        <row r="14">
          <cell r="S14">
            <v>25.7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26</v>
          </cell>
        </row>
        <row r="18">
          <cell r="S18">
            <v>26</v>
          </cell>
        </row>
        <row r="19">
          <cell r="S19">
            <v>27</v>
          </cell>
        </row>
        <row r="20">
          <cell r="S20">
            <v>27</v>
          </cell>
        </row>
        <row r="21">
          <cell r="S21">
            <v>27</v>
          </cell>
        </row>
        <row r="22">
          <cell r="S22">
            <v>26.8</v>
          </cell>
        </row>
        <row r="23">
          <cell r="S23">
            <v>26.4</v>
          </cell>
        </row>
        <row r="24">
          <cell r="S24">
            <v>26.2</v>
          </cell>
        </row>
        <row r="25">
          <cell r="S25">
            <v>26.2</v>
          </cell>
        </row>
        <row r="26">
          <cell r="S26">
            <v>26</v>
          </cell>
        </row>
        <row r="27">
          <cell r="S27">
            <v>26.2</v>
          </cell>
        </row>
      </sheetData>
      <sheetData sheetId="16"/>
      <sheetData sheetId="17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25.5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25.8</v>
          </cell>
        </row>
        <row r="19">
          <cell r="S19">
            <v>26.2</v>
          </cell>
        </row>
        <row r="20">
          <cell r="S20">
            <v>26.3</v>
          </cell>
        </row>
        <row r="21">
          <cell r="S21">
            <v>26.4</v>
          </cell>
        </row>
        <row r="22">
          <cell r="S22">
            <v>26.6</v>
          </cell>
        </row>
        <row r="23">
          <cell r="S23">
            <v>26.6</v>
          </cell>
        </row>
        <row r="24">
          <cell r="S24">
            <v>26.6</v>
          </cell>
        </row>
        <row r="25">
          <cell r="S25">
            <v>26.6</v>
          </cell>
        </row>
        <row r="26">
          <cell r="S26">
            <v>26.7</v>
          </cell>
        </row>
        <row r="27">
          <cell r="S27">
            <v>26.7</v>
          </cell>
        </row>
      </sheetData>
      <sheetData sheetId="18"/>
      <sheetData sheetId="19">
        <row r="10">
          <cell r="S10">
            <v>26.1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25.9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25.7</v>
          </cell>
        </row>
        <row r="17">
          <cell r="S17">
            <v>26.1</v>
          </cell>
        </row>
        <row r="18">
          <cell r="S18">
            <v>26.3</v>
          </cell>
        </row>
        <row r="19">
          <cell r="S19">
            <v>26.3</v>
          </cell>
        </row>
        <row r="20">
          <cell r="S20">
            <v>26.4</v>
          </cell>
        </row>
        <row r="21">
          <cell r="S21">
            <v>26.7</v>
          </cell>
        </row>
        <row r="22">
          <cell r="S22">
            <v>26.8</v>
          </cell>
        </row>
        <row r="23">
          <cell r="S23">
            <v>26.9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26.8</v>
          </cell>
        </row>
      </sheetData>
      <sheetData sheetId="20"/>
      <sheetData sheetId="21">
        <row r="10">
          <cell r="S10">
            <v>26.1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25.8</v>
          </cell>
        </row>
        <row r="16">
          <cell r="S16">
            <v>26</v>
          </cell>
        </row>
        <row r="17">
          <cell r="S17">
            <v>26.1</v>
          </cell>
        </row>
        <row r="18">
          <cell r="S18">
            <v>26.4</v>
          </cell>
        </row>
        <row r="19">
          <cell r="S19">
            <v>26</v>
          </cell>
        </row>
        <row r="20">
          <cell r="S20">
            <v>26.4</v>
          </cell>
        </row>
        <row r="21">
          <cell r="S21">
            <v>26.6</v>
          </cell>
        </row>
        <row r="22">
          <cell r="S22">
            <v>26.8</v>
          </cell>
        </row>
        <row r="23">
          <cell r="S23">
            <v>27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27</v>
          </cell>
        </row>
      </sheetData>
      <sheetData sheetId="22"/>
      <sheetData sheetId="23">
        <row r="10">
          <cell r="S10">
            <v>26.5</v>
          </cell>
        </row>
        <row r="11">
          <cell r="S11">
            <v>26.5</v>
          </cell>
        </row>
        <row r="12">
          <cell r="S12">
            <v>26.3</v>
          </cell>
        </row>
        <row r="13">
          <cell r="S13">
            <v>26.3</v>
          </cell>
        </row>
        <row r="14">
          <cell r="S14">
            <v>26.2</v>
          </cell>
        </row>
        <row r="15">
          <cell r="S15">
            <v>26.1</v>
          </cell>
        </row>
        <row r="16">
          <cell r="S16">
            <v>26.1</v>
          </cell>
        </row>
        <row r="17">
          <cell r="S17">
            <v>26.1</v>
          </cell>
        </row>
        <row r="18">
          <cell r="S18">
            <v>26.1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24"/>
      <sheetData sheetId="25">
        <row r="10">
          <cell r="S10">
            <v>25.7</v>
          </cell>
        </row>
        <row r="11">
          <cell r="S11">
            <v>25.6</v>
          </cell>
        </row>
        <row r="12">
          <cell r="S12">
            <v>25.4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25.3</v>
          </cell>
        </row>
        <row r="16">
          <cell r="S16">
            <v>25.5</v>
          </cell>
        </row>
        <row r="17">
          <cell r="S17">
            <v>25.5</v>
          </cell>
        </row>
        <row r="18">
          <cell r="S18">
            <v>25.5</v>
          </cell>
        </row>
        <row r="19">
          <cell r="S19">
            <v>25.5</v>
          </cell>
        </row>
        <row r="20">
          <cell r="S20">
            <v>25.5</v>
          </cell>
        </row>
        <row r="21">
          <cell r="S21">
            <v>25.7</v>
          </cell>
        </row>
        <row r="22">
          <cell r="S22">
            <v>25.8</v>
          </cell>
        </row>
        <row r="23">
          <cell r="S23">
            <v>25.9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25.9</v>
          </cell>
        </row>
      </sheetData>
      <sheetData sheetId="26"/>
      <sheetData sheetId="27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25.4</v>
          </cell>
        </row>
        <row r="19">
          <cell r="S19">
            <v>25.4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25.8</v>
          </cell>
        </row>
        <row r="25">
          <cell r="S25">
            <v>25.8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28"/>
      <sheetData sheetId="29">
        <row r="10">
          <cell r="S10">
            <v>25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24.8</v>
          </cell>
        </row>
        <row r="19">
          <cell r="S19">
            <v>25.2</v>
          </cell>
        </row>
        <row r="20">
          <cell r="S20">
            <v>25.2</v>
          </cell>
        </row>
        <row r="21">
          <cell r="S21">
            <v>25.2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30"/>
      <sheetData sheetId="31">
        <row r="10">
          <cell r="S10">
            <v>25.2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24.8</v>
          </cell>
        </row>
        <row r="20">
          <cell r="S20">
            <v>24.9</v>
          </cell>
        </row>
        <row r="21">
          <cell r="S21">
            <v>25.13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32"/>
      <sheetData sheetId="33">
        <row r="10">
          <cell r="S10">
            <v>24.7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24.9</v>
          </cell>
        </row>
        <row r="19">
          <cell r="S19">
            <v>25.1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25.3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34"/>
      <sheetData sheetId="35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24.7</v>
          </cell>
        </row>
        <row r="14">
          <cell r="S14">
            <v>24.6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25.3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25.6</v>
          </cell>
        </row>
        <row r="24">
          <cell r="S24">
            <v>25.7</v>
          </cell>
        </row>
        <row r="25">
          <cell r="S25">
            <v>25.5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36"/>
      <sheetData sheetId="37">
        <row r="10">
          <cell r="S10">
            <v>25.2</v>
          </cell>
        </row>
        <row r="11">
          <cell r="S11">
            <v>25.1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25.5</v>
          </cell>
        </row>
        <row r="18">
          <cell r="S18">
            <v>25.6</v>
          </cell>
        </row>
        <row r="19">
          <cell r="S19">
            <v>25.4</v>
          </cell>
        </row>
        <row r="20">
          <cell r="S20">
            <v>25.4</v>
          </cell>
        </row>
        <row r="21">
          <cell r="S21">
            <v>24.8</v>
          </cell>
        </row>
        <row r="22">
          <cell r="S22">
            <v>24.4</v>
          </cell>
        </row>
        <row r="23">
          <cell r="S23">
            <v>24.2</v>
          </cell>
        </row>
        <row r="24">
          <cell r="S24">
            <v>24.6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38"/>
      <sheetData sheetId="39">
        <row r="10">
          <cell r="S10">
            <v>25.8</v>
          </cell>
        </row>
        <row r="11">
          <cell r="S11">
            <v>25.8</v>
          </cell>
        </row>
        <row r="12">
          <cell r="S12">
            <v>25.8</v>
          </cell>
        </row>
        <row r="13">
          <cell r="S13">
            <v>25.8</v>
          </cell>
        </row>
        <row r="14">
          <cell r="S14">
            <v>25.7</v>
          </cell>
        </row>
        <row r="15">
          <cell r="S15">
            <v>25.7</v>
          </cell>
        </row>
        <row r="16">
          <cell r="S16">
            <v>25.7</v>
          </cell>
        </row>
        <row r="17">
          <cell r="S17">
            <v>25.8</v>
          </cell>
        </row>
        <row r="18">
          <cell r="S18">
            <v>25.9</v>
          </cell>
        </row>
        <row r="19">
          <cell r="S19">
            <v>26</v>
          </cell>
        </row>
        <row r="20">
          <cell r="S20">
            <v>26.2</v>
          </cell>
        </row>
        <row r="21">
          <cell r="S21">
            <v>26.2</v>
          </cell>
        </row>
        <row r="22">
          <cell r="S22">
            <v>26.3</v>
          </cell>
        </row>
        <row r="23">
          <cell r="S23">
            <v>26.4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40"/>
      <sheetData sheetId="41">
        <row r="10">
          <cell r="S10">
            <v>25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24.8</v>
          </cell>
        </row>
        <row r="19">
          <cell r="S19">
            <v>24.8</v>
          </cell>
        </row>
        <row r="20">
          <cell r="S20">
            <v>24.7</v>
          </cell>
        </row>
        <row r="21">
          <cell r="S21">
            <v>24.7</v>
          </cell>
        </row>
        <row r="22">
          <cell r="S22">
            <v>24.6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24.3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42"/>
      <sheetData sheetId="43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23.7</v>
          </cell>
        </row>
        <row r="22">
          <cell r="S22">
            <v>23.5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23.4</v>
          </cell>
        </row>
      </sheetData>
      <sheetData sheetId="44"/>
      <sheetData sheetId="45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46"/>
      <sheetData sheetId="47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23.5</v>
          </cell>
        </row>
        <row r="17">
          <cell r="S17">
            <v>23.6</v>
          </cell>
        </row>
        <row r="18">
          <cell r="S18">
            <v>23.9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24.4</v>
          </cell>
        </row>
        <row r="22">
          <cell r="S22">
            <v>24.6</v>
          </cell>
        </row>
        <row r="23">
          <cell r="S23">
            <v>24.8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48"/>
      <sheetData sheetId="49">
        <row r="10">
          <cell r="S10">
            <v>24.5</v>
          </cell>
        </row>
        <row r="11">
          <cell r="S11">
            <v>24.8</v>
          </cell>
        </row>
        <row r="12">
          <cell r="S12">
            <v>24.6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25.5</v>
          </cell>
        </row>
        <row r="21">
          <cell r="S21">
            <v>25.6</v>
          </cell>
        </row>
        <row r="22">
          <cell r="S22">
            <v>25.9</v>
          </cell>
        </row>
        <row r="23">
          <cell r="S23">
            <v>26.1</v>
          </cell>
        </row>
        <row r="24">
          <cell r="S24">
            <v>26.2</v>
          </cell>
        </row>
        <row r="25">
          <cell r="S25">
            <v>26.2</v>
          </cell>
        </row>
        <row r="26">
          <cell r="S26">
            <v>26.3</v>
          </cell>
        </row>
        <row r="27">
          <cell r="S27">
            <v>26.4</v>
          </cell>
        </row>
      </sheetData>
      <sheetData sheetId="50"/>
      <sheetData sheetId="51">
        <row r="10">
          <cell r="S10">
            <v>25.7</v>
          </cell>
        </row>
        <row r="11">
          <cell r="S11">
            <v>25.6</v>
          </cell>
        </row>
        <row r="12">
          <cell r="S12">
            <v>25.7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25.9</v>
          </cell>
        </row>
        <row r="19">
          <cell r="S19">
            <v>26.1</v>
          </cell>
        </row>
        <row r="20">
          <cell r="S20">
            <v>26.4</v>
          </cell>
        </row>
        <row r="21">
          <cell r="S21">
            <v>26.4</v>
          </cell>
        </row>
        <row r="22">
          <cell r="S22">
            <v>26.6</v>
          </cell>
        </row>
        <row r="23">
          <cell r="S23">
            <v>26.6</v>
          </cell>
        </row>
        <row r="24">
          <cell r="S24">
            <v>26.6</v>
          </cell>
        </row>
        <row r="25">
          <cell r="S25">
            <v>26.6</v>
          </cell>
        </row>
        <row r="26">
          <cell r="S26">
            <v>26.6</v>
          </cell>
        </row>
        <row r="27">
          <cell r="S27">
            <v>26.6</v>
          </cell>
        </row>
      </sheetData>
      <sheetData sheetId="52"/>
      <sheetData sheetId="53">
        <row r="10">
          <cell r="S10">
            <v>26.1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</v>
          </cell>
        </row>
        <row r="16">
          <cell r="S16">
            <v>25.9</v>
          </cell>
        </row>
        <row r="17">
          <cell r="S17">
            <v>26.1</v>
          </cell>
        </row>
        <row r="18">
          <cell r="S18">
            <v>26.1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26.4</v>
          </cell>
        </row>
        <row r="23">
          <cell r="S23">
            <v>26.8</v>
          </cell>
        </row>
        <row r="24">
          <cell r="S24">
            <v>26.6</v>
          </cell>
        </row>
        <row r="25">
          <cell r="S25">
            <v>26.6</v>
          </cell>
        </row>
        <row r="26">
          <cell r="S26">
            <v>26.6</v>
          </cell>
        </row>
        <row r="27">
          <cell r="S27">
            <v>26.6</v>
          </cell>
        </row>
      </sheetData>
      <sheetData sheetId="54"/>
      <sheetData sheetId="55">
        <row r="10">
          <cell r="S10">
            <v>26.3</v>
          </cell>
        </row>
        <row r="11">
          <cell r="S11">
            <v>26.1</v>
          </cell>
        </row>
        <row r="12">
          <cell r="S12">
            <v>26.2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25.5</v>
          </cell>
        </row>
        <row r="16">
          <cell r="S16">
            <v>25.9</v>
          </cell>
        </row>
        <row r="17">
          <cell r="S17">
            <v>25.9</v>
          </cell>
        </row>
        <row r="18">
          <cell r="S18">
            <v>25.7</v>
          </cell>
        </row>
        <row r="19">
          <cell r="S19">
            <v>25.6</v>
          </cell>
        </row>
        <row r="20">
          <cell r="S20">
            <v>25.6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25.8</v>
          </cell>
        </row>
        <row r="26">
          <cell r="S26">
            <v>25.6</v>
          </cell>
        </row>
        <row r="27">
          <cell r="S27">
            <v>25.4</v>
          </cell>
        </row>
      </sheetData>
      <sheetData sheetId="56"/>
      <sheetData sheetId="57">
        <row r="10">
          <cell r="S10">
            <v>25.1</v>
          </cell>
        </row>
        <row r="11">
          <cell r="S11">
            <v>25.1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25.1</v>
          </cell>
        </row>
        <row r="18">
          <cell r="S18">
            <v>25.1</v>
          </cell>
        </row>
        <row r="19">
          <cell r="S19">
            <v>25.1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25.6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25.7</v>
          </cell>
        </row>
      </sheetData>
      <sheetData sheetId="58"/>
      <sheetData sheetId="59">
        <row r="10">
          <cell r="S10">
            <v>25</v>
          </cell>
        </row>
        <row r="11">
          <cell r="S11">
            <v>25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25.5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25.9</v>
          </cell>
        </row>
        <row r="25">
          <cell r="S25">
            <v>25.9</v>
          </cell>
        </row>
        <row r="26">
          <cell r="S26">
            <v>25.9</v>
          </cell>
        </row>
        <row r="27">
          <cell r="S27">
            <v>25.9</v>
          </cell>
        </row>
      </sheetData>
      <sheetData sheetId="60"/>
      <sheetData sheetId="61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25.4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25.4</v>
          </cell>
        </row>
        <row r="18">
          <cell r="S18">
            <v>25.4</v>
          </cell>
        </row>
        <row r="19">
          <cell r="S19">
            <v>26.2</v>
          </cell>
        </row>
        <row r="20">
          <cell r="S20">
            <v>26.4</v>
          </cell>
        </row>
        <row r="21">
          <cell r="S21">
            <v>26.8</v>
          </cell>
        </row>
        <row r="22">
          <cell r="S22">
            <v>27</v>
          </cell>
        </row>
        <row r="23">
          <cell r="S23">
            <v>27.2</v>
          </cell>
        </row>
        <row r="24">
          <cell r="S24">
            <v>27.3</v>
          </cell>
        </row>
        <row r="25">
          <cell r="S25">
            <v>27.4</v>
          </cell>
        </row>
        <row r="26">
          <cell r="S26">
            <v>27.3</v>
          </cell>
        </row>
        <row r="27">
          <cell r="S27">
            <v>27.3</v>
          </cell>
        </row>
      </sheetData>
      <sheetData sheetId="62"/>
      <sheetData sheetId="63">
        <row r="10">
          <cell r="S10">
            <v>26.6</v>
          </cell>
        </row>
        <row r="11">
          <cell r="S11">
            <v>26.5</v>
          </cell>
        </row>
        <row r="12">
          <cell r="S12">
            <v>26.4</v>
          </cell>
        </row>
        <row r="13">
          <cell r="S13">
            <v>26.3</v>
          </cell>
        </row>
        <row r="14">
          <cell r="S14">
            <v>26.2</v>
          </cell>
        </row>
        <row r="15">
          <cell r="S15">
            <v>26.1</v>
          </cell>
        </row>
        <row r="16">
          <cell r="S16">
            <v>26</v>
          </cell>
        </row>
        <row r="17">
          <cell r="S17">
            <v>25.9</v>
          </cell>
        </row>
        <row r="18">
          <cell r="S18">
            <v>25.8</v>
          </cell>
        </row>
        <row r="19">
          <cell r="S19">
            <v>25.9</v>
          </cell>
        </row>
        <row r="20">
          <cell r="S20">
            <v>25.7</v>
          </cell>
        </row>
        <row r="21">
          <cell r="S21">
            <v>25.7</v>
          </cell>
        </row>
        <row r="22">
          <cell r="S22">
            <v>25.5</v>
          </cell>
        </row>
        <row r="23">
          <cell r="S23">
            <v>25.6</v>
          </cell>
        </row>
        <row r="24">
          <cell r="S24">
            <v>25.4</v>
          </cell>
        </row>
        <row r="25">
          <cell r="S25">
            <v>25.5</v>
          </cell>
        </row>
        <row r="26">
          <cell r="S26">
            <v>25.6</v>
          </cell>
        </row>
        <row r="27">
          <cell r="S27">
            <v>25.7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23.7</v>
          </cell>
        </row>
        <row r="20">
          <cell r="S20">
            <v>23.7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23.5</v>
          </cell>
        </row>
        <row r="25">
          <cell r="S25">
            <v>23.5</v>
          </cell>
        </row>
        <row r="26">
          <cell r="S26">
            <v>23.5</v>
          </cell>
        </row>
        <row r="27">
          <cell r="S27">
            <v>23.4</v>
          </cell>
        </row>
      </sheetData>
      <sheetData sheetId="4">
        <row r="1">
          <cell r="C1" t="str">
            <v>ABRIL DE 2022</v>
          </cell>
        </row>
      </sheetData>
      <sheetData sheetId="5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22.7</v>
          </cell>
        </row>
        <row r="18">
          <cell r="S18">
            <v>22.8</v>
          </cell>
        </row>
        <row r="19">
          <cell r="S19">
            <v>22.8</v>
          </cell>
        </row>
        <row r="20">
          <cell r="S20">
            <v>22.8</v>
          </cell>
        </row>
        <row r="21">
          <cell r="S21">
            <v>22.8</v>
          </cell>
        </row>
        <row r="22">
          <cell r="S22">
            <v>22.8</v>
          </cell>
        </row>
        <row r="23">
          <cell r="S23">
            <v>22.9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22.9</v>
          </cell>
        </row>
        <row r="27">
          <cell r="S27">
            <v>22.9</v>
          </cell>
        </row>
      </sheetData>
      <sheetData sheetId="6"/>
      <sheetData sheetId="7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22.7</v>
          </cell>
        </row>
        <row r="17">
          <cell r="S17">
            <v>22.9</v>
          </cell>
        </row>
        <row r="18">
          <cell r="S18">
            <v>23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23.5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23.7</v>
          </cell>
        </row>
        <row r="27">
          <cell r="S27">
            <v>23.6</v>
          </cell>
        </row>
      </sheetData>
      <sheetData sheetId="8"/>
      <sheetData sheetId="9">
        <row r="10">
          <cell r="S10">
            <v>23.2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24.3</v>
          </cell>
        </row>
        <row r="20">
          <cell r="S20">
            <v>24.4</v>
          </cell>
        </row>
        <row r="21">
          <cell r="S21">
            <v>24.7</v>
          </cell>
        </row>
        <row r="22">
          <cell r="S22">
            <v>24.9</v>
          </cell>
        </row>
        <row r="23">
          <cell r="S23">
            <v>25.1</v>
          </cell>
        </row>
        <row r="24">
          <cell r="S24">
            <v>25.2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10"/>
      <sheetData sheetId="11">
        <row r="10">
          <cell r="S10">
            <v>24.6</v>
          </cell>
        </row>
        <row r="11">
          <cell r="S11">
            <v>24.6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24.3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24.1</v>
          </cell>
        </row>
        <row r="19">
          <cell r="S19">
            <v>24.1</v>
          </cell>
        </row>
        <row r="20">
          <cell r="S20">
            <v>24.2</v>
          </cell>
        </row>
        <row r="21">
          <cell r="S21">
            <v>24.1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12"/>
      <sheetData sheetId="13">
        <row r="10">
          <cell r="S10">
            <v>23.4</v>
          </cell>
        </row>
        <row r="11">
          <cell r="S11">
            <v>23.4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23.7</v>
          </cell>
        </row>
        <row r="20">
          <cell r="S20">
            <v>23.7</v>
          </cell>
        </row>
        <row r="21">
          <cell r="S21">
            <v>23.9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14"/>
      <sheetData sheetId="15">
        <row r="10">
          <cell r="S10">
            <v>23.7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23.9</v>
          </cell>
        </row>
        <row r="20">
          <cell r="S20">
            <v>24.1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23.5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16"/>
      <sheetData sheetId="17">
        <row r="10">
          <cell r="S10">
            <v>24</v>
          </cell>
        </row>
        <row r="11">
          <cell r="S11">
            <v>24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24.5</v>
          </cell>
        </row>
        <row r="19">
          <cell r="S19">
            <v>24.8</v>
          </cell>
        </row>
        <row r="20">
          <cell r="S20">
            <v>24.9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25.5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18"/>
      <sheetData sheetId="19">
        <row r="10">
          <cell r="S10">
            <v>24.8</v>
          </cell>
        </row>
        <row r="11">
          <cell r="S11">
            <v>24.8</v>
          </cell>
        </row>
        <row r="12">
          <cell r="S12">
            <v>24.6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25.6</v>
          </cell>
        </row>
        <row r="21">
          <cell r="S21">
            <v>25.8</v>
          </cell>
        </row>
        <row r="22">
          <cell r="S22">
            <v>26</v>
          </cell>
        </row>
        <row r="23">
          <cell r="S23">
            <v>26.1</v>
          </cell>
        </row>
        <row r="24">
          <cell r="S24">
            <v>26.2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26.3</v>
          </cell>
        </row>
      </sheetData>
      <sheetData sheetId="20"/>
      <sheetData sheetId="21">
        <row r="10">
          <cell r="S10">
            <v>25.8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25.3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25.6</v>
          </cell>
        </row>
        <row r="19">
          <cell r="S19">
            <v>25.7</v>
          </cell>
        </row>
        <row r="20">
          <cell r="S20">
            <v>25.9</v>
          </cell>
        </row>
        <row r="21">
          <cell r="S21">
            <v>26.1</v>
          </cell>
        </row>
        <row r="22">
          <cell r="S22">
            <v>26.3</v>
          </cell>
        </row>
        <row r="23">
          <cell r="S23">
            <v>26.4</v>
          </cell>
        </row>
        <row r="24">
          <cell r="S24">
            <v>26.5</v>
          </cell>
        </row>
        <row r="25">
          <cell r="S25">
            <v>26.5</v>
          </cell>
        </row>
        <row r="26">
          <cell r="S26">
            <v>26.3</v>
          </cell>
        </row>
        <row r="27">
          <cell r="S27">
            <v>26.3</v>
          </cell>
        </row>
      </sheetData>
      <sheetData sheetId="22"/>
      <sheetData sheetId="23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25.2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25.2</v>
          </cell>
        </row>
        <row r="18">
          <cell r="S18">
            <v>25.3</v>
          </cell>
        </row>
        <row r="19">
          <cell r="S19">
            <v>25.4</v>
          </cell>
        </row>
        <row r="20">
          <cell r="S20">
            <v>25.6</v>
          </cell>
        </row>
        <row r="21">
          <cell r="S21">
            <v>25.7</v>
          </cell>
        </row>
        <row r="22">
          <cell r="S22">
            <v>26</v>
          </cell>
        </row>
        <row r="23">
          <cell r="S23">
            <v>26.1</v>
          </cell>
        </row>
        <row r="24">
          <cell r="S24">
            <v>26.1</v>
          </cell>
        </row>
        <row r="25">
          <cell r="S25">
            <v>26.2</v>
          </cell>
        </row>
        <row r="26">
          <cell r="S26">
            <v>26.1</v>
          </cell>
        </row>
        <row r="27">
          <cell r="S27">
            <v>26.2</v>
          </cell>
        </row>
      </sheetData>
      <sheetData sheetId="24"/>
      <sheetData sheetId="25">
        <row r="10">
          <cell r="S10">
            <v>25.6</v>
          </cell>
        </row>
        <row r="11">
          <cell r="S11">
            <v>25.6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25.4</v>
          </cell>
        </row>
        <row r="19">
          <cell r="S19">
            <v>25.6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25.3</v>
          </cell>
        </row>
        <row r="27">
          <cell r="S27">
            <v>25.4</v>
          </cell>
        </row>
      </sheetData>
      <sheetData sheetId="26"/>
      <sheetData sheetId="27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24.8</v>
          </cell>
        </row>
        <row r="20">
          <cell r="S20">
            <v>24.9</v>
          </cell>
        </row>
        <row r="21">
          <cell r="S21">
            <v>24.7</v>
          </cell>
        </row>
        <row r="22">
          <cell r="S22">
            <v>24.9</v>
          </cell>
        </row>
        <row r="23">
          <cell r="S23">
            <v>24.9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28"/>
      <sheetData sheetId="29">
        <row r="10">
          <cell r="S10">
            <v>24.4</v>
          </cell>
        </row>
        <row r="11">
          <cell r="S11">
            <v>24.4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24.6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24.5</v>
          </cell>
        </row>
      </sheetData>
      <sheetData sheetId="30"/>
      <sheetData sheetId="31">
        <row r="10">
          <cell r="S10">
            <v>23.6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23.5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23.5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23.8</v>
          </cell>
        </row>
        <row r="22">
          <cell r="S22">
            <v>23.8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32"/>
      <sheetData sheetId="33">
        <row r="10">
          <cell r="S10">
            <v>23.1</v>
          </cell>
        </row>
        <row r="11">
          <cell r="S11">
            <v>23.1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22.8</v>
          </cell>
        </row>
        <row r="18">
          <cell r="S18">
            <v>22.9</v>
          </cell>
        </row>
        <row r="19">
          <cell r="S19">
            <v>23</v>
          </cell>
        </row>
        <row r="20">
          <cell r="S20">
            <v>23.1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23.4</v>
          </cell>
        </row>
        <row r="24">
          <cell r="S24">
            <v>23.4</v>
          </cell>
        </row>
        <row r="25">
          <cell r="S25">
            <v>23.4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34"/>
      <sheetData sheetId="35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22.6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22.8</v>
          </cell>
        </row>
        <row r="21">
          <cell r="S21">
            <v>22.8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22.9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22.8</v>
          </cell>
        </row>
      </sheetData>
      <sheetData sheetId="36"/>
      <sheetData sheetId="37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21.9</v>
          </cell>
        </row>
        <row r="20">
          <cell r="S20">
            <v>22.1</v>
          </cell>
        </row>
        <row r="21">
          <cell r="S21">
            <v>22.3</v>
          </cell>
        </row>
        <row r="22">
          <cell r="S22">
            <v>22.6</v>
          </cell>
        </row>
        <row r="23">
          <cell r="S23">
            <v>22.5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38"/>
      <sheetData sheetId="39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22.5</v>
          </cell>
        </row>
        <row r="20">
          <cell r="S20">
            <v>22.7</v>
          </cell>
        </row>
        <row r="21">
          <cell r="S21">
            <v>23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23.4</v>
          </cell>
        </row>
        <row r="25">
          <cell r="S25">
            <v>23.4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40"/>
      <sheetData sheetId="41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23.3</v>
          </cell>
        </row>
        <row r="22">
          <cell r="S22">
            <v>23.4</v>
          </cell>
        </row>
        <row r="23">
          <cell r="S23">
            <v>23.7</v>
          </cell>
        </row>
        <row r="24">
          <cell r="S24">
            <v>23.6</v>
          </cell>
        </row>
        <row r="25">
          <cell r="S25">
            <v>23.7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42"/>
      <sheetData sheetId="43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23.1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23.5</v>
          </cell>
        </row>
        <row r="22">
          <cell r="S22">
            <v>23.9</v>
          </cell>
        </row>
        <row r="23">
          <cell r="S23">
            <v>23.9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23</v>
          </cell>
        </row>
      </sheetData>
      <sheetData sheetId="44"/>
      <sheetData sheetId="45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46"/>
      <sheetData sheetId="47">
        <row r="10">
          <cell r="S10">
            <v>23.5</v>
          </cell>
        </row>
        <row r="11">
          <cell r="S11">
            <v>23.5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23.6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23.8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48"/>
      <sheetData sheetId="49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23.5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23.7</v>
          </cell>
        </row>
        <row r="20">
          <cell r="S20">
            <v>23.9</v>
          </cell>
        </row>
        <row r="21">
          <cell r="S21">
            <v>24.3</v>
          </cell>
        </row>
        <row r="22">
          <cell r="S22">
            <v>24.3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24.7</v>
          </cell>
        </row>
        <row r="26">
          <cell r="S26">
            <v>24.6</v>
          </cell>
        </row>
        <row r="27">
          <cell r="S27">
            <v>24.7</v>
          </cell>
        </row>
      </sheetData>
      <sheetData sheetId="50"/>
      <sheetData sheetId="51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24.1</v>
          </cell>
        </row>
        <row r="19">
          <cell r="S19">
            <v>24.6</v>
          </cell>
        </row>
        <row r="20">
          <cell r="S20">
            <v>24.7</v>
          </cell>
        </row>
        <row r="21">
          <cell r="S21">
            <v>24.9</v>
          </cell>
        </row>
        <row r="22">
          <cell r="S22">
            <v>25.1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25.3</v>
          </cell>
        </row>
        <row r="26">
          <cell r="S26">
            <v>25.4</v>
          </cell>
        </row>
        <row r="27">
          <cell r="S27">
            <v>25.4</v>
          </cell>
        </row>
      </sheetData>
      <sheetData sheetId="52"/>
      <sheetData sheetId="53">
        <row r="10">
          <cell r="S10">
            <v>24.7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24.9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25.4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25.4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54"/>
      <sheetData sheetId="55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25.1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26</v>
          </cell>
        </row>
        <row r="24">
          <cell r="S24">
            <v>26.1</v>
          </cell>
        </row>
        <row r="25">
          <cell r="S25">
            <v>26.1</v>
          </cell>
        </row>
        <row r="26">
          <cell r="S26">
            <v>26.1</v>
          </cell>
        </row>
        <row r="27">
          <cell r="S27">
            <v>26</v>
          </cell>
        </row>
      </sheetData>
      <sheetData sheetId="56"/>
      <sheetData sheetId="57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25.6</v>
          </cell>
        </row>
        <row r="21">
          <cell r="S21">
            <v>25.9</v>
          </cell>
        </row>
        <row r="22">
          <cell r="S22">
            <v>26</v>
          </cell>
        </row>
        <row r="23">
          <cell r="S23">
            <v>26.1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58"/>
      <sheetData sheetId="59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24.5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60"/>
      <sheetData sheetId="61">
        <row r="10">
          <cell r="S10">
            <v>23.7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23.6</v>
          </cell>
        </row>
        <row r="14">
          <cell r="S14">
            <v>23.5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23.4</v>
          </cell>
        </row>
        <row r="19">
          <cell r="S19">
            <v>23.4</v>
          </cell>
        </row>
        <row r="20">
          <cell r="S20">
            <v>23.3</v>
          </cell>
        </row>
        <row r="21">
          <cell r="S21">
            <v>23.3</v>
          </cell>
        </row>
        <row r="22">
          <cell r="S22">
            <v>23.3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23.1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22.8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23.1</v>
          </cell>
        </row>
        <row r="19">
          <cell r="S19">
            <v>23.2</v>
          </cell>
        </row>
        <row r="20">
          <cell r="S20">
            <v>23.2</v>
          </cell>
        </row>
        <row r="21">
          <cell r="S21">
            <v>23.4</v>
          </cell>
        </row>
        <row r="22">
          <cell r="S22">
            <v>23.4</v>
          </cell>
        </row>
        <row r="23">
          <cell r="S23">
            <v>23.4</v>
          </cell>
        </row>
        <row r="24">
          <cell r="S24">
            <v>23.4</v>
          </cell>
        </row>
        <row r="25">
          <cell r="S25">
            <v>23.4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4">
        <row r="1">
          <cell r="C1" t="str">
            <v>MAIO DE 2022</v>
          </cell>
        </row>
      </sheetData>
      <sheetData sheetId="5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23.1</v>
          </cell>
        </row>
        <row r="17">
          <cell r="S17">
            <v>23.2</v>
          </cell>
        </row>
        <row r="18">
          <cell r="S18">
            <v>23.4</v>
          </cell>
        </row>
        <row r="19">
          <cell r="S19">
            <v>23.4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23.8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6"/>
      <sheetData sheetId="7">
        <row r="10">
          <cell r="S10">
            <v>23.5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23.8</v>
          </cell>
        </row>
        <row r="21">
          <cell r="S21">
            <v>24.2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8"/>
      <sheetData sheetId="9">
        <row r="10">
          <cell r="S10">
            <v>24.2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23.4</v>
          </cell>
        </row>
        <row r="20">
          <cell r="S20">
            <v>23.2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22.6</v>
          </cell>
        </row>
      </sheetData>
      <sheetData sheetId="10"/>
      <sheetData sheetId="11">
        <row r="10">
          <cell r="S10">
            <v>21.7</v>
          </cell>
        </row>
        <row r="11">
          <cell r="S11">
            <v>21.6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21.2</v>
          </cell>
        </row>
        <row r="15">
          <cell r="S15">
            <v>21.2</v>
          </cell>
        </row>
        <row r="16">
          <cell r="S16">
            <v>21.1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21.1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12"/>
      <sheetData sheetId="13">
        <row r="10">
          <cell r="S10">
            <v>20.7</v>
          </cell>
        </row>
        <row r="11">
          <cell r="S11">
            <v>20.5</v>
          </cell>
        </row>
        <row r="12">
          <cell r="S12">
            <v>20.7</v>
          </cell>
        </row>
        <row r="13">
          <cell r="S13">
            <v>20.8</v>
          </cell>
        </row>
        <row r="14">
          <cell r="S14">
            <v>20.5</v>
          </cell>
        </row>
        <row r="15">
          <cell r="S15">
            <v>20.6</v>
          </cell>
        </row>
        <row r="16">
          <cell r="S16">
            <v>20.7</v>
          </cell>
        </row>
        <row r="17">
          <cell r="S17">
            <v>20.8</v>
          </cell>
        </row>
        <row r="18">
          <cell r="S18">
            <v>20.9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14"/>
      <sheetData sheetId="15">
        <row r="10">
          <cell r="S10">
            <v>20.6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20.399999999999999</v>
          </cell>
        </row>
        <row r="19">
          <cell r="S19">
            <v>20.399999999999999</v>
          </cell>
        </row>
        <row r="20">
          <cell r="S20">
            <v>20.5</v>
          </cell>
        </row>
        <row r="21">
          <cell r="S21">
            <v>20.5</v>
          </cell>
        </row>
        <row r="22">
          <cell r="S22">
            <v>20.5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20.399999999999999</v>
          </cell>
        </row>
      </sheetData>
      <sheetData sheetId="16"/>
      <sheetData sheetId="17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20.100000000000001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20.100000000000001</v>
          </cell>
        </row>
        <row r="22">
          <cell r="S22">
            <v>20.100000000000001</v>
          </cell>
        </row>
        <row r="23">
          <cell r="S23">
            <v>20.100000000000001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20.5</v>
          </cell>
        </row>
      </sheetData>
      <sheetData sheetId="18"/>
      <sheetData sheetId="19">
        <row r="10">
          <cell r="S10">
            <v>20.2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20.3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20.6</v>
          </cell>
        </row>
        <row r="20">
          <cell r="S20">
            <v>20.7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20"/>
      <sheetData sheetId="21">
        <row r="10">
          <cell r="S10">
            <v>20.7</v>
          </cell>
        </row>
        <row r="11">
          <cell r="S11">
            <v>20.7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20.7</v>
          </cell>
        </row>
        <row r="18">
          <cell r="S18">
            <v>20.7</v>
          </cell>
        </row>
        <row r="19">
          <cell r="S19">
            <v>20.6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22"/>
      <sheetData sheetId="23">
        <row r="10">
          <cell r="S10">
            <v>21.1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21.1</v>
          </cell>
        </row>
        <row r="19">
          <cell r="S19">
            <v>21.4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21.9</v>
          </cell>
        </row>
      </sheetData>
      <sheetData sheetId="24"/>
      <sheetData sheetId="25">
        <row r="10">
          <cell r="S10">
            <v>21.4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21.3</v>
          </cell>
        </row>
        <row r="16">
          <cell r="S16">
            <v>21.3</v>
          </cell>
        </row>
        <row r="17">
          <cell r="S17">
            <v>21.2</v>
          </cell>
        </row>
        <row r="18">
          <cell r="S18">
            <v>21.3</v>
          </cell>
        </row>
        <row r="19">
          <cell r="S19">
            <v>21.4</v>
          </cell>
        </row>
        <row r="20">
          <cell r="S20">
            <v>21.4</v>
          </cell>
        </row>
        <row r="21">
          <cell r="S21">
            <v>21.6</v>
          </cell>
        </row>
        <row r="22">
          <cell r="S22">
            <v>21.6</v>
          </cell>
        </row>
        <row r="23">
          <cell r="S23">
            <v>21.7</v>
          </cell>
        </row>
        <row r="24">
          <cell r="S24">
            <v>21.7</v>
          </cell>
        </row>
        <row r="25">
          <cell r="S25">
            <v>21.7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26"/>
      <sheetData sheetId="27">
        <row r="10">
          <cell r="S10">
            <v>21.1</v>
          </cell>
        </row>
        <row r="11">
          <cell r="S11">
            <v>21.1</v>
          </cell>
        </row>
        <row r="12">
          <cell r="S12">
            <v>21.1</v>
          </cell>
        </row>
        <row r="13">
          <cell r="S13">
            <v>21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21.4</v>
          </cell>
        </row>
        <row r="20">
          <cell r="S20">
            <v>21.5</v>
          </cell>
        </row>
        <row r="21">
          <cell r="S21">
            <v>21.7</v>
          </cell>
        </row>
        <row r="22">
          <cell r="S22">
            <v>21.9</v>
          </cell>
        </row>
        <row r="23">
          <cell r="S23">
            <v>21.9</v>
          </cell>
        </row>
        <row r="24">
          <cell r="S24">
            <v>22</v>
          </cell>
        </row>
        <row r="25">
          <cell r="S25">
            <v>22.1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28"/>
      <sheetData sheetId="29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21.7</v>
          </cell>
        </row>
        <row r="17">
          <cell r="S17">
            <v>21.7</v>
          </cell>
        </row>
        <row r="18">
          <cell r="S18">
            <v>21.8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22.2</v>
          </cell>
        </row>
        <row r="23">
          <cell r="S23">
            <v>22.2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22.4</v>
          </cell>
        </row>
      </sheetData>
      <sheetData sheetId="30"/>
      <sheetData sheetId="31">
        <row r="10">
          <cell r="S10">
            <v>22.1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21.9</v>
          </cell>
        </row>
        <row r="14">
          <cell r="S14">
            <v>21.9</v>
          </cell>
        </row>
        <row r="15">
          <cell r="S15">
            <v>21.9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21.9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32"/>
      <sheetData sheetId="33">
        <row r="10">
          <cell r="S10">
            <v>21.2</v>
          </cell>
        </row>
        <row r="11">
          <cell r="S11">
            <v>21.2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21.3</v>
          </cell>
        </row>
        <row r="22">
          <cell r="S22">
            <v>21.4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21.4</v>
          </cell>
        </row>
      </sheetData>
      <sheetData sheetId="34"/>
      <sheetData sheetId="3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20.399999999999999</v>
          </cell>
        </row>
        <row r="19">
          <cell r="S19">
            <v>20.8</v>
          </cell>
        </row>
        <row r="20">
          <cell r="S20">
            <v>20.8</v>
          </cell>
        </row>
        <row r="21">
          <cell r="S21">
            <v>20.8</v>
          </cell>
        </row>
        <row r="22">
          <cell r="S22">
            <v>21.1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</v>
          </cell>
        </row>
        <row r="27">
          <cell r="S27">
            <v>20.9</v>
          </cell>
        </row>
      </sheetData>
      <sheetData sheetId="36"/>
      <sheetData sheetId="37">
        <row r="10">
          <cell r="S10">
            <v>19.7</v>
          </cell>
        </row>
        <row r="11">
          <cell r="S11">
            <v>19.600000000000001</v>
          </cell>
        </row>
        <row r="12">
          <cell r="S12">
            <v>19.5</v>
          </cell>
        </row>
        <row r="13">
          <cell r="S13">
            <v>19.399999999999999</v>
          </cell>
        </row>
        <row r="14">
          <cell r="S14">
            <v>19.2</v>
          </cell>
        </row>
        <row r="15">
          <cell r="S15">
            <v>19.100000000000001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19.100000000000001</v>
          </cell>
        </row>
        <row r="19">
          <cell r="S19">
            <v>19.100000000000001</v>
          </cell>
        </row>
        <row r="20">
          <cell r="S20">
            <v>19.3</v>
          </cell>
        </row>
        <row r="21">
          <cell r="S21">
            <v>19.3</v>
          </cell>
        </row>
        <row r="22">
          <cell r="S22">
            <v>19.399999999999999</v>
          </cell>
        </row>
        <row r="23">
          <cell r="S23">
            <v>19.399999999999999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19.3</v>
          </cell>
        </row>
        <row r="27">
          <cell r="S27">
            <v>19.3</v>
          </cell>
        </row>
      </sheetData>
      <sheetData sheetId="38"/>
      <sheetData sheetId="39">
        <row r="10">
          <cell r="S10">
            <v>18.2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</v>
          </cell>
        </row>
        <row r="17">
          <cell r="S17">
            <v>17.8</v>
          </cell>
        </row>
        <row r="18">
          <cell r="S18">
            <v>18</v>
          </cell>
        </row>
        <row r="19">
          <cell r="S19">
            <v>18.2</v>
          </cell>
        </row>
        <row r="20">
          <cell r="S20">
            <v>18.3</v>
          </cell>
        </row>
        <row r="21">
          <cell r="S21">
            <v>18.3</v>
          </cell>
        </row>
        <row r="22">
          <cell r="S22">
            <v>18.3</v>
          </cell>
        </row>
        <row r="23">
          <cell r="S23">
            <v>18.399999999999999</v>
          </cell>
        </row>
        <row r="24">
          <cell r="S24">
            <v>18.399999999999999</v>
          </cell>
        </row>
        <row r="25">
          <cell r="S25">
            <v>18.399999999999999</v>
          </cell>
        </row>
        <row r="26">
          <cell r="S26">
            <v>18.399999999999999</v>
          </cell>
        </row>
        <row r="27">
          <cell r="S27">
            <v>18.3</v>
          </cell>
        </row>
      </sheetData>
      <sheetData sheetId="40"/>
      <sheetData sheetId="41">
        <row r="10">
          <cell r="S10">
            <v>17.399999999999999</v>
          </cell>
        </row>
        <row r="11">
          <cell r="S11">
            <v>17.2</v>
          </cell>
        </row>
        <row r="12">
          <cell r="S12">
            <v>17</v>
          </cell>
        </row>
        <row r="13">
          <cell r="S13">
            <v>17.2</v>
          </cell>
        </row>
        <row r="14">
          <cell r="S14">
            <v>17</v>
          </cell>
        </row>
        <row r="15">
          <cell r="S15">
            <v>17.2</v>
          </cell>
        </row>
        <row r="16">
          <cell r="S16">
            <v>17</v>
          </cell>
        </row>
        <row r="17">
          <cell r="S17">
            <v>17.2</v>
          </cell>
        </row>
        <row r="18">
          <cell r="S18">
            <v>17.100000000000001</v>
          </cell>
        </row>
        <row r="19">
          <cell r="S19">
            <v>17.600000000000001</v>
          </cell>
        </row>
        <row r="20">
          <cell r="S20">
            <v>17.7</v>
          </cell>
        </row>
        <row r="21">
          <cell r="S21">
            <v>17.899999999999999</v>
          </cell>
        </row>
        <row r="22">
          <cell r="S22">
            <v>18</v>
          </cell>
        </row>
        <row r="23">
          <cell r="S23">
            <v>18.100000000000001</v>
          </cell>
        </row>
        <row r="24">
          <cell r="S24">
            <v>18.3</v>
          </cell>
        </row>
        <row r="25">
          <cell r="S25">
            <v>18.3</v>
          </cell>
        </row>
        <row r="26">
          <cell r="S26">
            <v>18.100000000000001</v>
          </cell>
        </row>
        <row r="27">
          <cell r="S27">
            <v>18.2</v>
          </cell>
        </row>
      </sheetData>
      <sheetData sheetId="42"/>
      <sheetData sheetId="43">
        <row r="10">
          <cell r="S10">
            <v>17.8</v>
          </cell>
        </row>
        <row r="11">
          <cell r="S11">
            <v>17.8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17.8</v>
          </cell>
        </row>
        <row r="15">
          <cell r="S15">
            <v>17.899999999999999</v>
          </cell>
        </row>
        <row r="16">
          <cell r="S16">
            <v>18</v>
          </cell>
        </row>
        <row r="17">
          <cell r="S17">
            <v>18</v>
          </cell>
        </row>
        <row r="18">
          <cell r="S18">
            <v>18.100000000000001</v>
          </cell>
        </row>
        <row r="19">
          <cell r="S19">
            <v>18.3</v>
          </cell>
        </row>
        <row r="20">
          <cell r="S20">
            <v>18.399999999999999</v>
          </cell>
        </row>
        <row r="21">
          <cell r="S21">
            <v>18.7</v>
          </cell>
        </row>
        <row r="22">
          <cell r="S22">
            <v>18.8</v>
          </cell>
        </row>
        <row r="23">
          <cell r="S23">
            <v>18.899999999999999</v>
          </cell>
        </row>
        <row r="24">
          <cell r="S24">
            <v>19</v>
          </cell>
        </row>
        <row r="25">
          <cell r="S25">
            <v>19.100000000000001</v>
          </cell>
        </row>
        <row r="26">
          <cell r="S26">
            <v>19.100000000000001</v>
          </cell>
        </row>
        <row r="27">
          <cell r="S27">
            <v>19.100000000000001</v>
          </cell>
        </row>
      </sheetData>
      <sheetData sheetId="44"/>
      <sheetData sheetId="45">
        <row r="10">
          <cell r="S10">
            <v>18.2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18.2</v>
          </cell>
        </row>
        <row r="19">
          <cell r="S19">
            <v>18.8</v>
          </cell>
        </row>
        <row r="20">
          <cell r="S20">
            <v>18.899999999999999</v>
          </cell>
        </row>
        <row r="21">
          <cell r="S21">
            <v>19.2</v>
          </cell>
        </row>
        <row r="22">
          <cell r="S22">
            <v>19.399999999999999</v>
          </cell>
        </row>
        <row r="23">
          <cell r="S23">
            <v>19.5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46"/>
      <sheetData sheetId="47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18.8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18.8</v>
          </cell>
        </row>
        <row r="19">
          <cell r="S19">
            <v>19.100000000000001</v>
          </cell>
        </row>
        <row r="20">
          <cell r="S20">
            <v>19.3</v>
          </cell>
        </row>
        <row r="21">
          <cell r="S21">
            <v>19.399999999999999</v>
          </cell>
        </row>
        <row r="22">
          <cell r="S22">
            <v>19.600000000000001</v>
          </cell>
        </row>
        <row r="23">
          <cell r="S23">
            <v>19.7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19.899999999999999</v>
          </cell>
        </row>
      </sheetData>
      <sheetData sheetId="48"/>
      <sheetData sheetId="49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19.5</v>
          </cell>
        </row>
        <row r="20">
          <cell r="S20">
            <v>19.7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20.399999999999999</v>
          </cell>
        </row>
      </sheetData>
      <sheetData sheetId="50"/>
      <sheetData sheetId="51">
        <row r="10">
          <cell r="S10">
            <v>19.2</v>
          </cell>
        </row>
        <row r="11">
          <cell r="S11">
            <v>19.2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19.399999999999999</v>
          </cell>
        </row>
        <row r="15">
          <cell r="S15">
            <v>19.2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19.8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20.5</v>
          </cell>
        </row>
      </sheetData>
      <sheetData sheetId="52"/>
      <sheetData sheetId="53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19.899999999999999</v>
          </cell>
        </row>
        <row r="13">
          <cell r="S13">
            <v>19.899999999999999</v>
          </cell>
        </row>
        <row r="14">
          <cell r="S14">
            <v>19.899999999999999</v>
          </cell>
        </row>
        <row r="15">
          <cell r="S15">
            <v>19.8</v>
          </cell>
        </row>
        <row r="16">
          <cell r="S16">
            <v>19.7</v>
          </cell>
        </row>
        <row r="17">
          <cell r="S17">
            <v>19.899999999999999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20.399999999999999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20.399999999999999</v>
          </cell>
        </row>
      </sheetData>
      <sheetData sheetId="54"/>
      <sheetData sheetId="55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21.1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56"/>
      <sheetData sheetId="57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</v>
          </cell>
        </row>
        <row r="19">
          <cell r="S19">
            <v>20.2</v>
          </cell>
        </row>
        <row r="20">
          <cell r="S20">
            <v>20.2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58"/>
      <sheetData sheetId="59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20.399999999999999</v>
          </cell>
        </row>
        <row r="19">
          <cell r="S19">
            <v>20.3</v>
          </cell>
        </row>
        <row r="20">
          <cell r="S20">
            <v>20.3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60"/>
      <sheetData sheetId="61">
        <row r="10">
          <cell r="S10">
            <v>21.1</v>
          </cell>
        </row>
        <row r="11">
          <cell r="S11">
            <v>20.9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20.9</v>
          </cell>
        </row>
        <row r="15">
          <cell r="S15">
            <v>20.8</v>
          </cell>
        </row>
        <row r="16">
          <cell r="S16">
            <v>20.7</v>
          </cell>
        </row>
        <row r="17">
          <cell r="S17">
            <v>20.8</v>
          </cell>
        </row>
        <row r="18">
          <cell r="S18">
            <v>20.8</v>
          </cell>
        </row>
        <row r="19">
          <cell r="S19">
            <v>20.8</v>
          </cell>
        </row>
        <row r="20">
          <cell r="S20">
            <v>20.8</v>
          </cell>
        </row>
        <row r="21">
          <cell r="S21">
            <v>20.8</v>
          </cell>
        </row>
        <row r="22">
          <cell r="S22">
            <v>20.8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20.8</v>
          </cell>
        </row>
        <row r="26">
          <cell r="S26">
            <v>20.8</v>
          </cell>
        </row>
        <row r="27">
          <cell r="S27">
            <v>20.7</v>
          </cell>
        </row>
      </sheetData>
      <sheetData sheetId="62"/>
      <sheetData sheetId="63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19.899999999999999</v>
          </cell>
        </row>
        <row r="18">
          <cell r="S18">
            <v>19.899999999999999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19.899999999999999</v>
          </cell>
        </row>
        <row r="22">
          <cell r="S22">
            <v>19.899999999999999</v>
          </cell>
        </row>
        <row r="23">
          <cell r="S23">
            <v>19.8</v>
          </cell>
        </row>
        <row r="24">
          <cell r="S24">
            <v>19.8</v>
          </cell>
        </row>
        <row r="25">
          <cell r="S25">
            <v>19.8</v>
          </cell>
        </row>
        <row r="26">
          <cell r="S26">
            <v>19.7</v>
          </cell>
        </row>
        <row r="27">
          <cell r="S27">
            <v>19.7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19.3</v>
          </cell>
        </row>
        <row r="18">
          <cell r="S18">
            <v>19.2</v>
          </cell>
        </row>
        <row r="19">
          <cell r="S19">
            <v>19.5</v>
          </cell>
        </row>
        <row r="20">
          <cell r="S20">
            <v>19.600000000000001</v>
          </cell>
        </row>
        <row r="21">
          <cell r="S21">
            <v>19.600000000000001</v>
          </cell>
        </row>
        <row r="22">
          <cell r="S22">
            <v>19.8</v>
          </cell>
        </row>
        <row r="23">
          <cell r="S23">
            <v>19.8</v>
          </cell>
        </row>
        <row r="24">
          <cell r="S24">
            <v>19.899999999999999</v>
          </cell>
        </row>
        <row r="25">
          <cell r="S25">
            <v>19.8</v>
          </cell>
        </row>
        <row r="26">
          <cell r="S26">
            <v>19.899999999999999</v>
          </cell>
        </row>
        <row r="27">
          <cell r="S27">
            <v>20</v>
          </cell>
        </row>
      </sheetData>
      <sheetData sheetId="4">
        <row r="1">
          <cell r="C1" t="str">
            <v>JUNHO DE 2022</v>
          </cell>
        </row>
      </sheetData>
      <sheetData sheetId="5">
        <row r="10">
          <cell r="S10">
            <v>19.5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19.5</v>
          </cell>
        </row>
        <row r="15">
          <cell r="S15">
            <v>19.399999999999999</v>
          </cell>
        </row>
        <row r="16">
          <cell r="S16">
            <v>19.600000000000001</v>
          </cell>
        </row>
        <row r="17">
          <cell r="S17">
            <v>19.5</v>
          </cell>
        </row>
        <row r="18">
          <cell r="S18">
            <v>19.399999999999999</v>
          </cell>
        </row>
        <row r="19">
          <cell r="S19">
            <v>19.8</v>
          </cell>
        </row>
        <row r="20">
          <cell r="S20">
            <v>19.899999999999999</v>
          </cell>
        </row>
        <row r="21">
          <cell r="S21">
            <v>19.899999999999999</v>
          </cell>
        </row>
        <row r="22">
          <cell r="S22">
            <v>19.899999999999999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</v>
          </cell>
        </row>
        <row r="27">
          <cell r="S27">
            <v>19.7</v>
          </cell>
        </row>
      </sheetData>
      <sheetData sheetId="6"/>
      <sheetData sheetId="7">
        <row r="10">
          <cell r="S10">
            <v>19.3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19.2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19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19.399999999999999</v>
          </cell>
        </row>
        <row r="27">
          <cell r="S27">
            <v>19.2</v>
          </cell>
        </row>
      </sheetData>
      <sheetData sheetId="8"/>
      <sheetData sheetId="9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18.899999999999999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</v>
          </cell>
        </row>
        <row r="22">
          <cell r="S22">
            <v>19.100000000000001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10"/>
      <sheetData sheetId="11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19.100000000000001</v>
          </cell>
        </row>
        <row r="20">
          <cell r="S20">
            <v>19.2</v>
          </cell>
        </row>
        <row r="21">
          <cell r="S21">
            <v>19.3</v>
          </cell>
        </row>
        <row r="22">
          <cell r="S22">
            <v>19.5</v>
          </cell>
        </row>
        <row r="23">
          <cell r="S23">
            <v>19.600000000000001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19.600000000000001</v>
          </cell>
        </row>
      </sheetData>
      <sheetData sheetId="12"/>
      <sheetData sheetId="13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19.100000000000001</v>
          </cell>
        </row>
        <row r="14">
          <cell r="S14">
            <v>19.100000000000001</v>
          </cell>
        </row>
        <row r="15">
          <cell r="S15">
            <v>19.100000000000001</v>
          </cell>
        </row>
        <row r="16">
          <cell r="S16">
            <v>19.100000000000001</v>
          </cell>
        </row>
        <row r="17">
          <cell r="S17">
            <v>19.100000000000001</v>
          </cell>
        </row>
        <row r="18">
          <cell r="S18">
            <v>19.2</v>
          </cell>
        </row>
        <row r="19">
          <cell r="S19">
            <v>19.2</v>
          </cell>
        </row>
        <row r="20">
          <cell r="S20">
            <v>19.3</v>
          </cell>
        </row>
        <row r="21">
          <cell r="S21">
            <v>19.399999999999999</v>
          </cell>
        </row>
        <row r="22">
          <cell r="S22">
            <v>19.5</v>
          </cell>
        </row>
        <row r="23">
          <cell r="S23">
            <v>19.600000000000001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19.7</v>
          </cell>
        </row>
      </sheetData>
      <sheetData sheetId="14"/>
      <sheetData sheetId="15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19.2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19.7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16"/>
      <sheetData sheetId="17">
        <row r="10">
          <cell r="S10">
            <v>19.3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19.2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18"/>
      <sheetData sheetId="19">
        <row r="10">
          <cell r="S10">
            <v>18.899999999999999</v>
          </cell>
        </row>
        <row r="11">
          <cell r="S11">
            <v>18.899999999999999</v>
          </cell>
        </row>
        <row r="12">
          <cell r="S12">
            <v>18.899999999999999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18.899999999999999</v>
          </cell>
        </row>
        <row r="19">
          <cell r="S19">
            <v>18.8</v>
          </cell>
        </row>
        <row r="20">
          <cell r="S20">
            <v>18.600000000000001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18.8</v>
          </cell>
        </row>
        <row r="24">
          <cell r="S24">
            <v>18.8</v>
          </cell>
        </row>
        <row r="25">
          <cell r="S25">
            <v>18.8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20"/>
      <sheetData sheetId="21">
        <row r="10">
          <cell r="S10">
            <v>19.3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19.3</v>
          </cell>
        </row>
        <row r="18">
          <cell r="S18">
            <v>19.3</v>
          </cell>
        </row>
        <row r="19">
          <cell r="S19">
            <v>19.399999999999999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19.600000000000001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19.399999999999999</v>
          </cell>
        </row>
        <row r="27">
          <cell r="S27">
            <v>19.600000000000001</v>
          </cell>
        </row>
      </sheetData>
      <sheetData sheetId="22"/>
      <sheetData sheetId="23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18.899999999999999</v>
          </cell>
        </row>
        <row r="19">
          <cell r="S19">
            <v>18.899999999999999</v>
          </cell>
        </row>
        <row r="20">
          <cell r="S20">
            <v>18.899999999999999</v>
          </cell>
        </row>
        <row r="21">
          <cell r="S21">
            <v>18.899999999999999</v>
          </cell>
        </row>
        <row r="22">
          <cell r="S22">
            <v>18.899999999999999</v>
          </cell>
        </row>
        <row r="23">
          <cell r="S23">
            <v>18.899999999999999</v>
          </cell>
        </row>
        <row r="24">
          <cell r="S24">
            <v>18.899999999999999</v>
          </cell>
        </row>
        <row r="25">
          <cell r="S25">
            <v>18.899999999999999</v>
          </cell>
        </row>
        <row r="26">
          <cell r="S26">
            <v>18.8</v>
          </cell>
        </row>
        <row r="27">
          <cell r="S27">
            <v>18.8</v>
          </cell>
        </row>
      </sheetData>
      <sheetData sheetId="24"/>
      <sheetData sheetId="25">
        <row r="10">
          <cell r="S10">
            <v>18.2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</v>
          </cell>
        </row>
        <row r="17">
          <cell r="S17">
            <v>17.899999999999999</v>
          </cell>
        </row>
        <row r="18">
          <cell r="S18">
            <v>17.899999999999999</v>
          </cell>
        </row>
        <row r="19">
          <cell r="S19">
            <v>17.8</v>
          </cell>
        </row>
        <row r="20">
          <cell r="S20">
            <v>17.600000000000001</v>
          </cell>
        </row>
        <row r="21">
          <cell r="S21">
            <v>17.8</v>
          </cell>
        </row>
        <row r="22">
          <cell r="S22">
            <v>18</v>
          </cell>
        </row>
        <row r="23">
          <cell r="S23">
            <v>18</v>
          </cell>
        </row>
        <row r="24">
          <cell r="S24">
            <v>18</v>
          </cell>
        </row>
        <row r="25">
          <cell r="S25">
            <v>18</v>
          </cell>
        </row>
        <row r="26">
          <cell r="S26">
            <v>17.8</v>
          </cell>
        </row>
        <row r="27">
          <cell r="S27">
            <v>17.8</v>
          </cell>
        </row>
      </sheetData>
      <sheetData sheetId="26"/>
      <sheetData sheetId="27">
        <row r="10">
          <cell r="S10">
            <v>17.3</v>
          </cell>
        </row>
        <row r="11">
          <cell r="S11">
            <v>17.100000000000001</v>
          </cell>
        </row>
        <row r="12">
          <cell r="S12">
            <v>17</v>
          </cell>
        </row>
        <row r="13">
          <cell r="S13">
            <v>17</v>
          </cell>
        </row>
        <row r="14">
          <cell r="S14">
            <v>17.100000000000001</v>
          </cell>
        </row>
        <row r="15">
          <cell r="S15">
            <v>16.899999999999999</v>
          </cell>
        </row>
        <row r="16">
          <cell r="S16">
            <v>16.899999999999999</v>
          </cell>
        </row>
        <row r="17">
          <cell r="S17">
            <v>16.899999999999999</v>
          </cell>
        </row>
        <row r="18">
          <cell r="S18">
            <v>16.899999999999999</v>
          </cell>
        </row>
        <row r="19">
          <cell r="S19">
            <v>17</v>
          </cell>
        </row>
        <row r="20">
          <cell r="S20">
            <v>17</v>
          </cell>
        </row>
        <row r="21">
          <cell r="S21">
            <v>17</v>
          </cell>
        </row>
        <row r="22">
          <cell r="S22">
            <v>17</v>
          </cell>
        </row>
        <row r="23">
          <cell r="S23">
            <v>17</v>
          </cell>
        </row>
        <row r="24">
          <cell r="S24">
            <v>17.2</v>
          </cell>
        </row>
        <row r="25">
          <cell r="S25">
            <v>17.3</v>
          </cell>
        </row>
        <row r="26">
          <cell r="S26">
            <v>17.399999999999999</v>
          </cell>
        </row>
        <row r="27">
          <cell r="S27">
            <v>17.399999999999999</v>
          </cell>
        </row>
      </sheetData>
      <sheetData sheetId="28"/>
      <sheetData sheetId="29">
        <row r="10">
          <cell r="S10">
            <v>17.100000000000001</v>
          </cell>
        </row>
        <row r="11">
          <cell r="S11">
            <v>17</v>
          </cell>
        </row>
        <row r="12">
          <cell r="S12">
            <v>17.100000000000001</v>
          </cell>
        </row>
        <row r="13">
          <cell r="S13">
            <v>17.100000000000001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</v>
          </cell>
        </row>
        <row r="17">
          <cell r="S17">
            <v>17.100000000000001</v>
          </cell>
        </row>
        <row r="18">
          <cell r="S18">
            <v>17.100000000000001</v>
          </cell>
        </row>
        <row r="19">
          <cell r="S19">
            <v>17</v>
          </cell>
        </row>
        <row r="20">
          <cell r="S20">
            <v>17</v>
          </cell>
        </row>
        <row r="21">
          <cell r="S21">
            <v>17</v>
          </cell>
        </row>
        <row r="22">
          <cell r="S22">
            <v>17</v>
          </cell>
        </row>
        <row r="23">
          <cell r="S23">
            <v>17</v>
          </cell>
        </row>
        <row r="24">
          <cell r="S24">
            <v>17</v>
          </cell>
        </row>
        <row r="25">
          <cell r="S25">
            <v>17</v>
          </cell>
        </row>
        <row r="26">
          <cell r="S26">
            <v>17</v>
          </cell>
        </row>
        <row r="27">
          <cell r="S27">
            <v>17</v>
          </cell>
        </row>
      </sheetData>
      <sheetData sheetId="30"/>
      <sheetData sheetId="31">
        <row r="10">
          <cell r="S10">
            <v>16.899999999999999</v>
          </cell>
        </row>
        <row r="11">
          <cell r="S11">
            <v>17</v>
          </cell>
        </row>
        <row r="12">
          <cell r="S12">
            <v>16.899999999999999</v>
          </cell>
        </row>
        <row r="13">
          <cell r="S13">
            <v>16.899999999999999</v>
          </cell>
        </row>
        <row r="14">
          <cell r="S14">
            <v>16.899999999999999</v>
          </cell>
        </row>
        <row r="15">
          <cell r="S15">
            <v>16.899999999999999</v>
          </cell>
        </row>
        <row r="16">
          <cell r="S16">
            <v>17</v>
          </cell>
        </row>
        <row r="17">
          <cell r="S17">
            <v>17</v>
          </cell>
        </row>
        <row r="18">
          <cell r="S18">
            <v>17</v>
          </cell>
        </row>
        <row r="19">
          <cell r="S19">
            <v>17</v>
          </cell>
        </row>
        <row r="20">
          <cell r="S20">
            <v>17.2</v>
          </cell>
        </row>
        <row r="21">
          <cell r="S21">
            <v>17.2</v>
          </cell>
        </row>
        <row r="22">
          <cell r="S22">
            <v>17.3</v>
          </cell>
        </row>
        <row r="23">
          <cell r="S23">
            <v>17.399999999999999</v>
          </cell>
        </row>
        <row r="24">
          <cell r="S24">
            <v>17.399999999999999</v>
          </cell>
        </row>
        <row r="25">
          <cell r="S25">
            <v>17.5</v>
          </cell>
        </row>
        <row r="26">
          <cell r="S26">
            <v>17.5</v>
          </cell>
        </row>
        <row r="27">
          <cell r="S27">
            <v>17.5</v>
          </cell>
        </row>
      </sheetData>
      <sheetData sheetId="32"/>
      <sheetData sheetId="33">
        <row r="10">
          <cell r="S10">
            <v>17</v>
          </cell>
        </row>
        <row r="11">
          <cell r="S11">
            <v>17</v>
          </cell>
        </row>
        <row r="12">
          <cell r="S12">
            <v>16.8</v>
          </cell>
        </row>
        <row r="13">
          <cell r="S13">
            <v>17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</v>
          </cell>
        </row>
        <row r="17">
          <cell r="S17">
            <v>17</v>
          </cell>
        </row>
        <row r="18">
          <cell r="S18">
            <v>17</v>
          </cell>
        </row>
        <row r="19">
          <cell r="S19">
            <v>17.399999999999999</v>
          </cell>
        </row>
        <row r="20">
          <cell r="S20">
            <v>17.399999999999999</v>
          </cell>
        </row>
        <row r="21">
          <cell r="S21">
            <v>17.7</v>
          </cell>
        </row>
        <row r="22">
          <cell r="S22">
            <v>17.899999999999999</v>
          </cell>
        </row>
        <row r="23">
          <cell r="S23">
            <v>18</v>
          </cell>
        </row>
        <row r="24">
          <cell r="S24">
            <v>18.100000000000001</v>
          </cell>
        </row>
        <row r="25">
          <cell r="S25">
            <v>18.3</v>
          </cell>
        </row>
        <row r="26">
          <cell r="S26">
            <v>18.3</v>
          </cell>
        </row>
        <row r="27">
          <cell r="S27">
            <v>18.3</v>
          </cell>
        </row>
      </sheetData>
      <sheetData sheetId="34"/>
      <sheetData sheetId="35">
        <row r="10">
          <cell r="S10">
            <v>17.7</v>
          </cell>
        </row>
        <row r="11">
          <cell r="S11">
            <v>17.7</v>
          </cell>
        </row>
        <row r="12">
          <cell r="S12">
            <v>17.7</v>
          </cell>
        </row>
        <row r="13">
          <cell r="S13">
            <v>17.600000000000001</v>
          </cell>
        </row>
        <row r="14">
          <cell r="S14">
            <v>17.5</v>
          </cell>
        </row>
        <row r="15">
          <cell r="S15">
            <v>17.5</v>
          </cell>
        </row>
        <row r="16">
          <cell r="S16">
            <v>17.600000000000001</v>
          </cell>
        </row>
        <row r="17">
          <cell r="S17">
            <v>17.600000000000001</v>
          </cell>
        </row>
        <row r="18">
          <cell r="S18">
            <v>17.7</v>
          </cell>
        </row>
        <row r="19">
          <cell r="S19">
            <v>17.8</v>
          </cell>
        </row>
        <row r="20">
          <cell r="S20">
            <v>17.899999999999999</v>
          </cell>
        </row>
        <row r="21">
          <cell r="S21">
            <v>18.100000000000001</v>
          </cell>
        </row>
        <row r="22">
          <cell r="S22">
            <v>18.3</v>
          </cell>
        </row>
        <row r="23">
          <cell r="S23">
            <v>18.5</v>
          </cell>
        </row>
        <row r="24">
          <cell r="S24">
            <v>18.5</v>
          </cell>
        </row>
        <row r="25">
          <cell r="S25">
            <v>18.600000000000001</v>
          </cell>
        </row>
        <row r="26">
          <cell r="S26">
            <v>18.600000000000001</v>
          </cell>
        </row>
        <row r="27">
          <cell r="S27">
            <v>18.7</v>
          </cell>
        </row>
      </sheetData>
      <sheetData sheetId="36"/>
      <sheetData sheetId="37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18.5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</v>
          </cell>
        </row>
        <row r="16">
          <cell r="S16">
            <v>18.3</v>
          </cell>
        </row>
        <row r="17">
          <cell r="S17">
            <v>18.3</v>
          </cell>
        </row>
        <row r="18">
          <cell r="S18">
            <v>18.3</v>
          </cell>
        </row>
        <row r="19">
          <cell r="S19">
            <v>18.2</v>
          </cell>
        </row>
        <row r="20">
          <cell r="S20">
            <v>18.2</v>
          </cell>
        </row>
        <row r="21">
          <cell r="S21">
            <v>18.2</v>
          </cell>
        </row>
        <row r="22">
          <cell r="S22">
            <v>18.2</v>
          </cell>
        </row>
        <row r="23">
          <cell r="S23">
            <v>18.2</v>
          </cell>
        </row>
        <row r="24">
          <cell r="S24">
            <v>18.2</v>
          </cell>
        </row>
        <row r="25">
          <cell r="S25">
            <v>18.100000000000001</v>
          </cell>
        </row>
        <row r="26">
          <cell r="S26">
            <v>18.100000000000001</v>
          </cell>
        </row>
        <row r="27">
          <cell r="S27">
            <v>18</v>
          </cell>
        </row>
      </sheetData>
      <sheetData sheetId="38"/>
      <sheetData sheetId="39">
        <row r="10">
          <cell r="S10">
            <v>17.7</v>
          </cell>
        </row>
        <row r="11">
          <cell r="S11">
            <v>17.7</v>
          </cell>
        </row>
        <row r="12">
          <cell r="S12">
            <v>17.7</v>
          </cell>
        </row>
        <row r="13">
          <cell r="S13">
            <v>17.7</v>
          </cell>
        </row>
        <row r="14">
          <cell r="S14">
            <v>17.7</v>
          </cell>
        </row>
        <row r="15">
          <cell r="S15">
            <v>17.7</v>
          </cell>
        </row>
        <row r="16">
          <cell r="S16">
            <v>17.7</v>
          </cell>
        </row>
        <row r="17">
          <cell r="S17">
            <v>17.7</v>
          </cell>
        </row>
        <row r="18">
          <cell r="S18">
            <v>17.7</v>
          </cell>
        </row>
        <row r="19">
          <cell r="S19">
            <v>17.600000000000001</v>
          </cell>
        </row>
        <row r="20">
          <cell r="S20">
            <v>17.399999999999999</v>
          </cell>
        </row>
        <row r="21">
          <cell r="S21">
            <v>17.600000000000001</v>
          </cell>
        </row>
        <row r="22">
          <cell r="S22">
            <v>17.7</v>
          </cell>
        </row>
        <row r="23">
          <cell r="S23">
            <v>17.8</v>
          </cell>
        </row>
        <row r="24">
          <cell r="S24">
            <v>17.8</v>
          </cell>
        </row>
        <row r="25">
          <cell r="S25">
            <v>17.8</v>
          </cell>
        </row>
        <row r="26">
          <cell r="S26">
            <v>17.8</v>
          </cell>
        </row>
        <row r="27">
          <cell r="S27">
            <v>17.8</v>
          </cell>
        </row>
      </sheetData>
      <sheetData sheetId="40"/>
      <sheetData sheetId="41">
        <row r="10">
          <cell r="S10">
            <v>17</v>
          </cell>
        </row>
        <row r="11">
          <cell r="S11">
            <v>17.2</v>
          </cell>
        </row>
        <row r="12">
          <cell r="S12">
            <v>17.600000000000001</v>
          </cell>
        </row>
        <row r="13">
          <cell r="S13">
            <v>17.399999999999999</v>
          </cell>
        </row>
        <row r="14">
          <cell r="S14">
            <v>17.399999999999999</v>
          </cell>
        </row>
        <row r="15">
          <cell r="S15">
            <v>17.399999999999999</v>
          </cell>
        </row>
        <row r="16">
          <cell r="S16">
            <v>17.399999999999999</v>
          </cell>
        </row>
        <row r="17">
          <cell r="S17">
            <v>17.600000000000001</v>
          </cell>
        </row>
        <row r="18">
          <cell r="S18">
            <v>17.600000000000001</v>
          </cell>
        </row>
        <row r="19">
          <cell r="S19">
            <v>17.7</v>
          </cell>
        </row>
        <row r="20">
          <cell r="S20">
            <v>17.8</v>
          </cell>
        </row>
        <row r="21">
          <cell r="S21">
            <v>18</v>
          </cell>
        </row>
        <row r="22">
          <cell r="S22">
            <v>18</v>
          </cell>
        </row>
        <row r="23">
          <cell r="S23">
            <v>18</v>
          </cell>
        </row>
        <row r="24">
          <cell r="S24">
            <v>18.100000000000001</v>
          </cell>
        </row>
        <row r="25">
          <cell r="S25">
            <v>18.100000000000001</v>
          </cell>
        </row>
        <row r="26">
          <cell r="S26">
            <v>18.2</v>
          </cell>
        </row>
        <row r="27">
          <cell r="S27">
            <v>18.2</v>
          </cell>
        </row>
      </sheetData>
      <sheetData sheetId="42"/>
      <sheetData sheetId="43">
        <row r="10">
          <cell r="S10">
            <v>17.7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17.7</v>
          </cell>
        </row>
        <row r="14">
          <cell r="S14">
            <v>17.7</v>
          </cell>
        </row>
        <row r="15">
          <cell r="S15">
            <v>17.8</v>
          </cell>
        </row>
        <row r="16">
          <cell r="S16">
            <v>17.8</v>
          </cell>
        </row>
        <row r="17">
          <cell r="S17">
            <v>17.899999999999999</v>
          </cell>
        </row>
        <row r="18">
          <cell r="S18">
            <v>18</v>
          </cell>
        </row>
        <row r="19">
          <cell r="S19">
            <v>18.3</v>
          </cell>
        </row>
        <row r="20">
          <cell r="S20">
            <v>18.399999999999999</v>
          </cell>
        </row>
        <row r="21">
          <cell r="S21">
            <v>18.600000000000001</v>
          </cell>
        </row>
        <row r="22">
          <cell r="S22">
            <v>18.7</v>
          </cell>
        </row>
        <row r="23">
          <cell r="S23">
            <v>18.8</v>
          </cell>
        </row>
        <row r="24">
          <cell r="S24">
            <v>19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44"/>
      <sheetData sheetId="45">
        <row r="10">
          <cell r="S10">
            <v>18.2</v>
          </cell>
        </row>
        <row r="11">
          <cell r="S11">
            <v>18.2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18.399999999999999</v>
          </cell>
        </row>
        <row r="18">
          <cell r="S18">
            <v>18.5</v>
          </cell>
        </row>
        <row r="19">
          <cell r="S19">
            <v>18.899999999999999</v>
          </cell>
        </row>
        <row r="20">
          <cell r="S20">
            <v>19</v>
          </cell>
        </row>
        <row r="21">
          <cell r="S21">
            <v>19.3</v>
          </cell>
        </row>
        <row r="22">
          <cell r="S22">
            <v>19.399999999999999</v>
          </cell>
        </row>
        <row r="23">
          <cell r="S23">
            <v>19.5</v>
          </cell>
        </row>
        <row r="24">
          <cell r="S24">
            <v>19.600000000000001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19.600000000000001</v>
          </cell>
        </row>
      </sheetData>
      <sheetData sheetId="46"/>
      <sheetData sheetId="47">
        <row r="10">
          <cell r="S10">
            <v>19.100000000000001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19</v>
          </cell>
        </row>
        <row r="18">
          <cell r="S18">
            <v>19.2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19.600000000000001</v>
          </cell>
        </row>
        <row r="22">
          <cell r="S22">
            <v>19.7</v>
          </cell>
        </row>
        <row r="23">
          <cell r="S23">
            <v>19.899999999999999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48"/>
      <sheetData sheetId="49">
        <row r="10">
          <cell r="S10">
            <v>19.2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19.100000000000001</v>
          </cell>
        </row>
        <row r="16">
          <cell r="S16">
            <v>19.100000000000001</v>
          </cell>
        </row>
        <row r="17">
          <cell r="S17">
            <v>19.100000000000001</v>
          </cell>
        </row>
        <row r="18">
          <cell r="S18">
            <v>19.2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19.600000000000001</v>
          </cell>
        </row>
        <row r="22">
          <cell r="S22">
            <v>19.7</v>
          </cell>
        </row>
        <row r="23">
          <cell r="S23">
            <v>19.8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50"/>
      <sheetData sheetId="51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19.2</v>
          </cell>
        </row>
        <row r="15">
          <cell r="S15">
            <v>19.100000000000001</v>
          </cell>
        </row>
        <row r="16">
          <cell r="S16">
            <v>19.100000000000001</v>
          </cell>
        </row>
        <row r="17">
          <cell r="S17">
            <v>19.100000000000001</v>
          </cell>
        </row>
        <row r="18">
          <cell r="S18">
            <v>19.100000000000001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19.7</v>
          </cell>
        </row>
        <row r="23">
          <cell r="S23">
            <v>19.7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19.7</v>
          </cell>
        </row>
      </sheetData>
      <sheetData sheetId="52"/>
      <sheetData sheetId="53">
        <row r="10">
          <cell r="S10">
            <v>19.3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19.100000000000001</v>
          </cell>
        </row>
        <row r="22">
          <cell r="S22">
            <v>19.100000000000001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19.100000000000001</v>
          </cell>
        </row>
        <row r="27">
          <cell r="S27">
            <v>19</v>
          </cell>
        </row>
      </sheetData>
      <sheetData sheetId="54"/>
      <sheetData sheetId="55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18.5</v>
          </cell>
        </row>
        <row r="13">
          <cell r="S13">
            <v>18.5</v>
          </cell>
        </row>
        <row r="14">
          <cell r="S14">
            <v>18.3</v>
          </cell>
        </row>
        <row r="15">
          <cell r="S15">
            <v>18.5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18.399999999999999</v>
          </cell>
        </row>
        <row r="20">
          <cell r="S20">
            <v>18</v>
          </cell>
        </row>
        <row r="21">
          <cell r="S21">
            <v>18.2</v>
          </cell>
        </row>
        <row r="22">
          <cell r="S22">
            <v>18</v>
          </cell>
        </row>
        <row r="23">
          <cell r="S23">
            <v>18.399999999999999</v>
          </cell>
        </row>
        <row r="24">
          <cell r="S24">
            <v>18.399999999999999</v>
          </cell>
        </row>
        <row r="25">
          <cell r="S25">
            <v>18.399999999999999</v>
          </cell>
        </row>
        <row r="26">
          <cell r="S26">
            <v>18.399999999999999</v>
          </cell>
        </row>
        <row r="27">
          <cell r="S27">
            <v>18.399999999999999</v>
          </cell>
        </row>
      </sheetData>
      <sheetData sheetId="56"/>
      <sheetData sheetId="57">
        <row r="10">
          <cell r="S10">
            <v>17.899999999999999</v>
          </cell>
        </row>
        <row r="11">
          <cell r="S11">
            <v>17.899999999999999</v>
          </cell>
        </row>
        <row r="12">
          <cell r="S12">
            <v>17.899999999999999</v>
          </cell>
        </row>
        <row r="13">
          <cell r="S13">
            <v>17.899999999999999</v>
          </cell>
        </row>
        <row r="14">
          <cell r="S14">
            <v>17.8</v>
          </cell>
        </row>
        <row r="15">
          <cell r="S15">
            <v>17.8</v>
          </cell>
        </row>
        <row r="16">
          <cell r="S16">
            <v>17.899999999999999</v>
          </cell>
        </row>
        <row r="17">
          <cell r="S17">
            <v>17.899999999999999</v>
          </cell>
        </row>
        <row r="18">
          <cell r="S18">
            <v>18</v>
          </cell>
        </row>
        <row r="19">
          <cell r="S19">
            <v>18</v>
          </cell>
        </row>
        <row r="20">
          <cell r="S20">
            <v>18.2</v>
          </cell>
        </row>
        <row r="21">
          <cell r="S21">
            <v>18.5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18.600000000000001</v>
          </cell>
        </row>
        <row r="26">
          <cell r="S26">
            <v>18.600000000000001</v>
          </cell>
        </row>
        <row r="27">
          <cell r="S27">
            <v>18.600000000000001</v>
          </cell>
        </row>
      </sheetData>
      <sheetData sheetId="58"/>
      <sheetData sheetId="59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18.399999999999999</v>
          </cell>
        </row>
        <row r="19">
          <cell r="S19">
            <v>18.600000000000001</v>
          </cell>
        </row>
        <row r="20">
          <cell r="S20">
            <v>18.600000000000001</v>
          </cell>
        </row>
        <row r="21">
          <cell r="S21">
            <v>18.8</v>
          </cell>
        </row>
        <row r="22">
          <cell r="S22">
            <v>18.899999999999999</v>
          </cell>
        </row>
        <row r="23">
          <cell r="S23">
            <v>19</v>
          </cell>
        </row>
        <row r="24">
          <cell r="S24">
            <v>19.100000000000001</v>
          </cell>
        </row>
        <row r="25">
          <cell r="S25">
            <v>19.100000000000001</v>
          </cell>
        </row>
        <row r="26">
          <cell r="S26">
            <v>19.100000000000001</v>
          </cell>
        </row>
        <row r="27">
          <cell r="S27">
            <v>19.100000000000001</v>
          </cell>
        </row>
      </sheetData>
      <sheetData sheetId="60"/>
      <sheetData sheetId="61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18.8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18.600000000000001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19.2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19</v>
          </cell>
        </row>
        <row r="11">
          <cell r="S11">
            <v>18.8</v>
          </cell>
        </row>
        <row r="12">
          <cell r="S12">
            <v>18.7</v>
          </cell>
        </row>
        <row r="13">
          <cell r="S13">
            <v>18.7</v>
          </cell>
        </row>
        <row r="14">
          <cell r="S14">
            <v>18.5</v>
          </cell>
        </row>
        <row r="15">
          <cell r="S15">
            <v>18.899999999999999</v>
          </cell>
        </row>
        <row r="16">
          <cell r="S16">
            <v>18.600000000000001</v>
          </cell>
        </row>
        <row r="17">
          <cell r="S17">
            <v>18.7</v>
          </cell>
        </row>
        <row r="18">
          <cell r="S18">
            <v>18.8</v>
          </cell>
        </row>
        <row r="19">
          <cell r="S19">
            <v>18.8</v>
          </cell>
        </row>
        <row r="20">
          <cell r="S20">
            <v>18.899999999999999</v>
          </cell>
        </row>
        <row r="21">
          <cell r="S21">
            <v>19</v>
          </cell>
        </row>
        <row r="22">
          <cell r="S22">
            <v>19.2</v>
          </cell>
        </row>
        <row r="23">
          <cell r="S23">
            <v>19.3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19.5</v>
          </cell>
        </row>
        <row r="27">
          <cell r="S27">
            <v>19.5</v>
          </cell>
        </row>
      </sheetData>
      <sheetData sheetId="4">
        <row r="1">
          <cell r="C1" t="str">
            <v>JULHO DE 2022</v>
          </cell>
        </row>
      </sheetData>
      <sheetData sheetId="5">
        <row r="10">
          <cell r="S10">
            <v>19</v>
          </cell>
        </row>
        <row r="11">
          <cell r="S11">
            <v>18.899999999999999</v>
          </cell>
        </row>
        <row r="12">
          <cell r="S12">
            <v>18.8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18.8</v>
          </cell>
        </row>
        <row r="20">
          <cell r="S20">
            <v>19</v>
          </cell>
        </row>
        <row r="21">
          <cell r="S21">
            <v>19.100000000000001</v>
          </cell>
        </row>
        <row r="22">
          <cell r="S22">
            <v>19.3</v>
          </cell>
        </row>
        <row r="23">
          <cell r="S23">
            <v>19.399999999999999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19.8</v>
          </cell>
        </row>
        <row r="27">
          <cell r="S27">
            <v>19.600000000000001</v>
          </cell>
        </row>
      </sheetData>
      <sheetData sheetId="6" refreshError="1"/>
      <sheetData sheetId="7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19.399999999999999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19.600000000000001</v>
          </cell>
        </row>
        <row r="19">
          <cell r="S19">
            <v>19.600000000000001</v>
          </cell>
        </row>
        <row r="20">
          <cell r="S20">
            <v>19.600000000000001</v>
          </cell>
        </row>
        <row r="21">
          <cell r="S21">
            <v>19.8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20.100000000000001</v>
          </cell>
        </row>
        <row r="25">
          <cell r="S25">
            <v>20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8" refreshError="1"/>
      <sheetData sheetId="9">
        <row r="10">
          <cell r="S10">
            <v>20</v>
          </cell>
        </row>
        <row r="11">
          <cell r="S11">
            <v>19.8</v>
          </cell>
        </row>
        <row r="12">
          <cell r="S12">
            <v>19.7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-99</v>
          </cell>
        </row>
        <row r="19">
          <cell r="S19">
            <v>19.600000000000001</v>
          </cell>
        </row>
        <row r="20">
          <cell r="S20">
            <v>19.8</v>
          </cell>
        </row>
        <row r="21">
          <cell r="S21">
            <v>19.600000000000001</v>
          </cell>
        </row>
        <row r="22">
          <cell r="S22">
            <v>19.600000000000001</v>
          </cell>
        </row>
        <row r="23">
          <cell r="S23">
            <v>20.2</v>
          </cell>
        </row>
        <row r="24">
          <cell r="S24">
            <v>20.3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10" refreshError="1"/>
      <sheetData sheetId="11">
        <row r="10">
          <cell r="S10">
            <v>19.899999999999999</v>
          </cell>
        </row>
        <row r="11">
          <cell r="S11">
            <v>19.7</v>
          </cell>
        </row>
        <row r="12">
          <cell r="S12">
            <v>19.8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19.7</v>
          </cell>
        </row>
        <row r="19">
          <cell r="S19">
            <v>19.7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20.100000000000001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20.399999999999999</v>
          </cell>
        </row>
        <row r="26">
          <cell r="S26">
            <v>20.399999999999999</v>
          </cell>
        </row>
        <row r="27">
          <cell r="S27">
            <v>20.3</v>
          </cell>
        </row>
      </sheetData>
      <sheetData sheetId="12" refreshError="1"/>
      <sheetData sheetId="13">
        <row r="10">
          <cell r="S10">
            <v>19.7</v>
          </cell>
        </row>
        <row r="11">
          <cell r="S11">
            <v>19.399999999999999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19.399999999999999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19.399999999999999</v>
          </cell>
        </row>
        <row r="19">
          <cell r="S19">
            <v>19.399999999999999</v>
          </cell>
        </row>
        <row r="20">
          <cell r="S20">
            <v>19.5</v>
          </cell>
        </row>
        <row r="21">
          <cell r="S21">
            <v>19.600000000000001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14" refreshError="1"/>
      <sheetData sheetId="15">
        <row r="10">
          <cell r="S10">
            <v>19.2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19.399999999999999</v>
          </cell>
        </row>
        <row r="20">
          <cell r="S20">
            <v>19.399999999999999</v>
          </cell>
        </row>
        <row r="21">
          <cell r="S21">
            <v>19.600000000000001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16" refreshError="1"/>
      <sheetData sheetId="17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19.2</v>
          </cell>
        </row>
        <row r="20">
          <cell r="S20">
            <v>19.399999999999999</v>
          </cell>
        </row>
        <row r="21">
          <cell r="S21">
            <v>19.399999999999999</v>
          </cell>
        </row>
        <row r="22">
          <cell r="S22">
            <v>19.600000000000001</v>
          </cell>
        </row>
        <row r="23">
          <cell r="S23">
            <v>19.600000000000001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19.399999999999999</v>
          </cell>
        </row>
        <row r="27">
          <cell r="S27">
            <v>19.600000000000001</v>
          </cell>
        </row>
      </sheetData>
      <sheetData sheetId="18" refreshError="1"/>
      <sheetData sheetId="19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19.399999999999999</v>
          </cell>
        </row>
        <row r="19">
          <cell r="S19">
            <v>19.5</v>
          </cell>
        </row>
        <row r="20">
          <cell r="S20">
            <v>19.7</v>
          </cell>
        </row>
        <row r="21">
          <cell r="S21">
            <v>19.8</v>
          </cell>
        </row>
        <row r="22">
          <cell r="S22">
            <v>19.899999999999999</v>
          </cell>
        </row>
        <row r="23">
          <cell r="S23">
            <v>20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20" refreshError="1"/>
      <sheetData sheetId="21">
        <row r="10">
          <cell r="S10">
            <v>19.600000000000001</v>
          </cell>
        </row>
        <row r="11">
          <cell r="S11">
            <v>19.399999999999999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19.399999999999999</v>
          </cell>
        </row>
        <row r="15">
          <cell r="S15">
            <v>19.2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19.8</v>
          </cell>
        </row>
        <row r="20">
          <cell r="S20">
            <v>20</v>
          </cell>
        </row>
        <row r="21">
          <cell r="S21">
            <v>20.100000000000001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20.399999999999999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20.5</v>
          </cell>
        </row>
      </sheetData>
      <sheetData sheetId="22" refreshError="1"/>
      <sheetData sheetId="23">
        <row r="10">
          <cell r="S10">
            <v>19.899999999999999</v>
          </cell>
        </row>
        <row r="11">
          <cell r="S11">
            <v>19.8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19.7</v>
          </cell>
        </row>
        <row r="18">
          <cell r="S18">
            <v>19.7</v>
          </cell>
        </row>
        <row r="19">
          <cell r="S19">
            <v>19.8</v>
          </cell>
        </row>
        <row r="20">
          <cell r="S20">
            <v>20</v>
          </cell>
        </row>
        <row r="21">
          <cell r="S21">
            <v>20.100000000000001</v>
          </cell>
        </row>
        <row r="22">
          <cell r="S22">
            <v>20.3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20.399999999999999</v>
          </cell>
        </row>
      </sheetData>
      <sheetData sheetId="24" refreshError="1"/>
      <sheetData sheetId="25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20</v>
          </cell>
        </row>
        <row r="17">
          <cell r="S17">
            <v>19.8</v>
          </cell>
        </row>
        <row r="18">
          <cell r="S18">
            <v>19.8</v>
          </cell>
        </row>
        <row r="19">
          <cell r="S19">
            <v>20.3</v>
          </cell>
        </row>
        <row r="20">
          <cell r="S20">
            <v>20.3</v>
          </cell>
        </row>
        <row r="21">
          <cell r="S21">
            <v>20.399999999999999</v>
          </cell>
        </row>
        <row r="22">
          <cell r="S22">
            <v>20.5</v>
          </cell>
        </row>
        <row r="23">
          <cell r="S23">
            <v>20.7</v>
          </cell>
        </row>
        <row r="24">
          <cell r="S24">
            <v>20.7</v>
          </cell>
        </row>
        <row r="25">
          <cell r="S25">
            <v>20.7</v>
          </cell>
        </row>
        <row r="26">
          <cell r="S26">
            <v>20.7</v>
          </cell>
        </row>
        <row r="27">
          <cell r="S27">
            <v>20.7</v>
          </cell>
        </row>
      </sheetData>
      <sheetData sheetId="26" refreshError="1"/>
      <sheetData sheetId="27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20.100000000000001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19.899999999999999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19.899999999999999</v>
          </cell>
        </row>
        <row r="22">
          <cell r="S22">
            <v>19.899999999999999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19.7</v>
          </cell>
        </row>
      </sheetData>
      <sheetData sheetId="28" refreshError="1"/>
      <sheetData sheetId="29">
        <row r="10">
          <cell r="S10">
            <v>19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19.8</v>
          </cell>
        </row>
        <row r="20">
          <cell r="S20">
            <v>20</v>
          </cell>
        </row>
        <row r="21">
          <cell r="S21">
            <v>20.100000000000001</v>
          </cell>
        </row>
        <row r="22">
          <cell r="S22">
            <v>20.2</v>
          </cell>
        </row>
        <row r="23">
          <cell r="S23">
            <v>20.399999999999999</v>
          </cell>
        </row>
        <row r="24">
          <cell r="S24">
            <v>20.5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30" refreshError="1"/>
      <sheetData sheetId="31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19.899999999999999</v>
          </cell>
        </row>
        <row r="16">
          <cell r="S16">
            <v>19.8</v>
          </cell>
        </row>
        <row r="17">
          <cell r="S17">
            <v>19.899999999999999</v>
          </cell>
        </row>
        <row r="18">
          <cell r="S18">
            <v>19.899999999999999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20.399999999999999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32" refreshError="1"/>
      <sheetData sheetId="33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20.3</v>
          </cell>
        </row>
        <row r="15">
          <cell r="S15">
            <v>20.2</v>
          </cell>
        </row>
        <row r="16">
          <cell r="S16">
            <v>20.100000000000001</v>
          </cell>
        </row>
        <row r="17">
          <cell r="S17">
            <v>20.2</v>
          </cell>
        </row>
        <row r="18">
          <cell r="S18">
            <v>20.3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20.6</v>
          </cell>
        </row>
        <row r="22">
          <cell r="S22">
            <v>20.7</v>
          </cell>
        </row>
        <row r="23">
          <cell r="S23">
            <v>20.9</v>
          </cell>
        </row>
        <row r="24">
          <cell r="S24">
            <v>21</v>
          </cell>
        </row>
        <row r="25">
          <cell r="S25">
            <v>21.1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34" refreshError="1"/>
      <sheetData sheetId="3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20.8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21.5</v>
          </cell>
        </row>
        <row r="26">
          <cell r="S26">
            <v>21.5</v>
          </cell>
        </row>
        <row r="27">
          <cell r="S27">
            <v>21.5</v>
          </cell>
        </row>
      </sheetData>
      <sheetData sheetId="36" refreshError="1"/>
      <sheetData sheetId="37">
        <row r="10">
          <cell r="S10">
            <v>21</v>
          </cell>
        </row>
        <row r="11">
          <cell r="S11">
            <v>20.9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20.8</v>
          </cell>
        </row>
        <row r="18">
          <cell r="S18">
            <v>20.7</v>
          </cell>
        </row>
        <row r="19">
          <cell r="S19">
            <v>20.7</v>
          </cell>
        </row>
        <row r="20">
          <cell r="S20">
            <v>20.7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20.9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20.9</v>
          </cell>
        </row>
      </sheetData>
      <sheetData sheetId="38" refreshError="1"/>
      <sheetData sheetId="39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20.6</v>
          </cell>
        </row>
        <row r="17">
          <cell r="S17">
            <v>20.399999999999999</v>
          </cell>
        </row>
        <row r="18">
          <cell r="S18">
            <v>20.7</v>
          </cell>
        </row>
        <row r="19">
          <cell r="S19">
            <v>20.7</v>
          </cell>
        </row>
        <row r="20">
          <cell r="S20">
            <v>21.1</v>
          </cell>
        </row>
        <row r="21">
          <cell r="S21">
            <v>21.2</v>
          </cell>
        </row>
        <row r="22">
          <cell r="S22">
            <v>21.5</v>
          </cell>
        </row>
        <row r="23">
          <cell r="S23">
            <v>21.5</v>
          </cell>
        </row>
        <row r="24">
          <cell r="S24">
            <v>21.6</v>
          </cell>
        </row>
        <row r="25">
          <cell r="S25">
            <v>21.5</v>
          </cell>
        </row>
        <row r="26">
          <cell r="S26">
            <v>21.7</v>
          </cell>
        </row>
        <row r="27">
          <cell r="S27">
            <v>21.5</v>
          </cell>
        </row>
      </sheetData>
      <sheetData sheetId="40" refreshError="1"/>
      <sheetData sheetId="41">
        <row r="10">
          <cell r="S10">
            <v>21</v>
          </cell>
        </row>
        <row r="11">
          <cell r="S11">
            <v>21</v>
          </cell>
        </row>
        <row r="12">
          <cell r="S12">
            <v>20.6</v>
          </cell>
        </row>
        <row r="13">
          <cell r="S13">
            <v>20.8</v>
          </cell>
        </row>
        <row r="14">
          <cell r="S14">
            <v>21.2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21.3</v>
          </cell>
        </row>
        <row r="20">
          <cell r="S20">
            <v>21.3</v>
          </cell>
        </row>
        <row r="21">
          <cell r="S21">
            <v>21.4</v>
          </cell>
        </row>
        <row r="22">
          <cell r="S22">
            <v>21.5</v>
          </cell>
        </row>
        <row r="23">
          <cell r="S23">
            <v>21.6</v>
          </cell>
        </row>
        <row r="24">
          <cell r="S24">
            <v>21.7</v>
          </cell>
        </row>
        <row r="25">
          <cell r="S25">
            <v>21.7</v>
          </cell>
        </row>
        <row r="26">
          <cell r="S26">
            <v>21.7</v>
          </cell>
        </row>
        <row r="27">
          <cell r="S27">
            <v>21.7</v>
          </cell>
        </row>
      </sheetData>
      <sheetData sheetId="42" refreshError="1"/>
      <sheetData sheetId="43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20.9</v>
          </cell>
        </row>
        <row r="16">
          <cell r="S16">
            <v>20.9</v>
          </cell>
        </row>
        <row r="17">
          <cell r="S17">
            <v>21</v>
          </cell>
        </row>
        <row r="18">
          <cell r="S18">
            <v>21.1</v>
          </cell>
        </row>
        <row r="19">
          <cell r="S19">
            <v>21.2</v>
          </cell>
        </row>
        <row r="20">
          <cell r="S20">
            <v>21.3</v>
          </cell>
        </row>
        <row r="21">
          <cell r="S21">
            <v>21.5</v>
          </cell>
        </row>
        <row r="22">
          <cell r="S22">
            <v>21.2</v>
          </cell>
        </row>
        <row r="23">
          <cell r="S23">
            <v>21.8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21.9</v>
          </cell>
        </row>
      </sheetData>
      <sheetData sheetId="44" refreshError="1"/>
      <sheetData sheetId="45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</v>
          </cell>
        </row>
        <row r="20">
          <cell r="S20">
            <v>21.2</v>
          </cell>
        </row>
        <row r="21">
          <cell r="S21">
            <v>21.4</v>
          </cell>
        </row>
        <row r="22">
          <cell r="S22">
            <v>21.5</v>
          </cell>
        </row>
        <row r="23">
          <cell r="S23">
            <v>21.6</v>
          </cell>
        </row>
        <row r="24">
          <cell r="S24">
            <v>21.7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21.7</v>
          </cell>
        </row>
      </sheetData>
      <sheetData sheetId="46" refreshError="1"/>
      <sheetData sheetId="47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20.7</v>
          </cell>
        </row>
        <row r="19">
          <cell r="S19">
            <v>20.8</v>
          </cell>
        </row>
        <row r="20">
          <cell r="S20">
            <v>21</v>
          </cell>
        </row>
        <row r="21">
          <cell r="S21">
            <v>21.2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21.6</v>
          </cell>
        </row>
        <row r="25">
          <cell r="S25">
            <v>21.7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48" refreshError="1"/>
      <sheetData sheetId="49">
        <row r="10">
          <cell r="S10">
            <v>20.8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20.7</v>
          </cell>
        </row>
        <row r="19">
          <cell r="S19">
            <v>20.7</v>
          </cell>
        </row>
        <row r="20">
          <cell r="S20">
            <v>20.9</v>
          </cell>
        </row>
        <row r="21">
          <cell r="S21">
            <v>21</v>
          </cell>
        </row>
        <row r="22">
          <cell r="S22">
            <v>21.5</v>
          </cell>
        </row>
        <row r="23">
          <cell r="S23">
            <v>21.4</v>
          </cell>
        </row>
        <row r="24">
          <cell r="S24">
            <v>21.2</v>
          </cell>
        </row>
        <row r="25">
          <cell r="S25">
            <v>21.5</v>
          </cell>
        </row>
        <row r="26">
          <cell r="S26">
            <v>21.5</v>
          </cell>
        </row>
        <row r="27">
          <cell r="S27">
            <v>21.5</v>
          </cell>
        </row>
      </sheetData>
      <sheetData sheetId="50" refreshError="1"/>
      <sheetData sheetId="51">
        <row r="10">
          <cell r="S10">
            <v>20.7</v>
          </cell>
        </row>
        <row r="11">
          <cell r="S11">
            <v>20.7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20.6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20.6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21.5</v>
          </cell>
        </row>
      </sheetData>
      <sheetData sheetId="52" refreshError="1"/>
      <sheetData sheetId="53">
        <row r="10">
          <cell r="S10">
            <v>20.8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20.5</v>
          </cell>
        </row>
        <row r="15">
          <cell r="S15">
            <v>20.5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20.7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54" refreshError="1"/>
      <sheetData sheetId="55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21.1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21.1</v>
          </cell>
        </row>
        <row r="19">
          <cell r="S19">
            <v>21.2</v>
          </cell>
        </row>
        <row r="20">
          <cell r="S20">
            <v>21.3</v>
          </cell>
        </row>
        <row r="21">
          <cell r="S21">
            <v>21.4</v>
          </cell>
        </row>
        <row r="22">
          <cell r="S22">
            <v>21.6</v>
          </cell>
        </row>
        <row r="23">
          <cell r="S23">
            <v>21.7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56" refreshError="1"/>
      <sheetData sheetId="57">
        <row r="10">
          <cell r="S10">
            <v>21.2</v>
          </cell>
        </row>
        <row r="11">
          <cell r="S11">
            <v>21.2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20.9</v>
          </cell>
        </row>
        <row r="17">
          <cell r="S17">
            <v>20.9</v>
          </cell>
        </row>
        <row r="18">
          <cell r="S18">
            <v>21</v>
          </cell>
        </row>
        <row r="19">
          <cell r="S19">
            <v>21.1</v>
          </cell>
        </row>
        <row r="20">
          <cell r="S20">
            <v>21.2</v>
          </cell>
        </row>
        <row r="21">
          <cell r="S21">
            <v>21.4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58" refreshError="1"/>
      <sheetData sheetId="59">
        <row r="10">
          <cell r="S10">
            <v>21.4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20.8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20.399999999999999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</v>
          </cell>
        </row>
        <row r="26">
          <cell r="S26">
            <v>19.8</v>
          </cell>
        </row>
        <row r="27">
          <cell r="S27">
            <v>19.8</v>
          </cell>
        </row>
      </sheetData>
      <sheetData sheetId="60" refreshError="1"/>
      <sheetData sheetId="61">
        <row r="10">
          <cell r="S10">
            <v>19</v>
          </cell>
        </row>
        <row r="11">
          <cell r="S11">
            <v>19</v>
          </cell>
        </row>
        <row r="12">
          <cell r="S12">
            <v>18.899999999999999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18.7</v>
          </cell>
        </row>
        <row r="16">
          <cell r="S16">
            <v>18.8</v>
          </cell>
        </row>
        <row r="17">
          <cell r="S17">
            <v>18.7</v>
          </cell>
        </row>
        <row r="18">
          <cell r="S18">
            <v>18.8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18.600000000000001</v>
          </cell>
        </row>
      </sheetData>
      <sheetData sheetId="62" refreshError="1"/>
      <sheetData sheetId="63">
        <row r="10">
          <cell r="S10">
            <v>18.5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18.5</v>
          </cell>
        </row>
        <row r="18">
          <cell r="S18">
            <v>18.600000000000001</v>
          </cell>
        </row>
        <row r="19">
          <cell r="S19">
            <v>18.8</v>
          </cell>
        </row>
        <row r="20">
          <cell r="S20">
            <v>19</v>
          </cell>
        </row>
        <row r="21">
          <cell r="S21">
            <v>18.2</v>
          </cell>
        </row>
        <row r="22">
          <cell r="S22">
            <v>18.600000000000001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19.399999999999999</v>
          </cell>
        </row>
        <row r="26">
          <cell r="S26">
            <v>19.399999999999999</v>
          </cell>
        </row>
        <row r="27">
          <cell r="S27">
            <v>19.399999999999999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19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18.899999999999999</v>
          </cell>
        </row>
        <row r="18">
          <cell r="S18">
            <v>19.100000000000001</v>
          </cell>
        </row>
        <row r="19">
          <cell r="S19">
            <v>19.100000000000001</v>
          </cell>
        </row>
        <row r="20">
          <cell r="S20">
            <v>19.3</v>
          </cell>
        </row>
        <row r="21">
          <cell r="S21">
            <v>19.5</v>
          </cell>
        </row>
        <row r="22">
          <cell r="S22">
            <v>19.7</v>
          </cell>
        </row>
        <row r="23">
          <cell r="S23">
            <v>19.8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4">
        <row r="1">
          <cell r="C1" t="str">
            <v>AGOSTO DE 2022</v>
          </cell>
        </row>
      </sheetData>
      <sheetData sheetId="5">
        <row r="10">
          <cell r="S10">
            <v>19.5</v>
          </cell>
        </row>
        <row r="11">
          <cell r="S11">
            <v>19.399999999999999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19.5</v>
          </cell>
        </row>
        <row r="18">
          <cell r="S18">
            <v>19.600000000000001</v>
          </cell>
        </row>
        <row r="19">
          <cell r="S19">
            <v>19.7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20.399999999999999</v>
          </cell>
        </row>
        <row r="23">
          <cell r="S23">
            <v>20.5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20.7</v>
          </cell>
        </row>
        <row r="27">
          <cell r="S27">
            <v>20.7</v>
          </cell>
        </row>
      </sheetData>
      <sheetData sheetId="6" refreshError="1"/>
      <sheetData sheetId="7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19.399999999999999</v>
          </cell>
        </row>
        <row r="15">
          <cell r="S15">
            <v>19.600000000000001</v>
          </cell>
        </row>
        <row r="16">
          <cell r="S16">
            <v>19.399999999999999</v>
          </cell>
        </row>
        <row r="17">
          <cell r="S17">
            <v>19.7</v>
          </cell>
        </row>
        <row r="18">
          <cell r="S18">
            <v>19.8</v>
          </cell>
        </row>
        <row r="19">
          <cell r="S19">
            <v>20.100000000000001</v>
          </cell>
        </row>
        <row r="20">
          <cell r="S20">
            <v>20.3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20.7</v>
          </cell>
        </row>
        <row r="24">
          <cell r="S24">
            <v>20.7</v>
          </cell>
        </row>
        <row r="25">
          <cell r="S25">
            <v>20.9</v>
          </cell>
        </row>
        <row r="26">
          <cell r="S26">
            <v>20.9</v>
          </cell>
        </row>
        <row r="27">
          <cell r="S27">
            <v>20.9</v>
          </cell>
        </row>
      </sheetData>
      <sheetData sheetId="8" refreshError="1"/>
      <sheetData sheetId="9">
        <row r="10">
          <cell r="S10">
            <v>20.2</v>
          </cell>
        </row>
        <row r="11">
          <cell r="S11">
            <v>20.100000000000001</v>
          </cell>
        </row>
        <row r="12">
          <cell r="S12">
            <v>20.100000000000001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20.100000000000001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20.5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21.3</v>
          </cell>
        </row>
      </sheetData>
      <sheetData sheetId="10" refreshError="1"/>
      <sheetData sheetId="11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20.399999999999999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20.399999999999999</v>
          </cell>
        </row>
        <row r="22">
          <cell r="S22">
            <v>20.5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20.2</v>
          </cell>
        </row>
        <row r="27">
          <cell r="S27">
            <v>20.3</v>
          </cell>
        </row>
      </sheetData>
      <sheetData sheetId="12" refreshError="1"/>
      <sheetData sheetId="13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19.5</v>
          </cell>
        </row>
        <row r="15">
          <cell r="S15">
            <v>19.5</v>
          </cell>
        </row>
        <row r="16">
          <cell r="S16">
            <v>19.5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19.399999999999999</v>
          </cell>
        </row>
        <row r="20">
          <cell r="S20">
            <v>19.399999999999999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19.399999999999999</v>
          </cell>
        </row>
        <row r="24">
          <cell r="S24">
            <v>19.3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14" refreshError="1"/>
      <sheetData sheetId="15">
        <row r="10">
          <cell r="S10">
            <v>18.899999999999999</v>
          </cell>
        </row>
        <row r="11">
          <cell r="S11">
            <v>18.899999999999999</v>
          </cell>
        </row>
        <row r="12">
          <cell r="S12">
            <v>18.7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18.899999999999999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18.8</v>
          </cell>
        </row>
        <row r="24">
          <cell r="S24">
            <v>18.8</v>
          </cell>
        </row>
        <row r="25">
          <cell r="S25">
            <v>18.899999999999999</v>
          </cell>
        </row>
        <row r="26">
          <cell r="S26">
            <v>18.8</v>
          </cell>
        </row>
        <row r="27">
          <cell r="S27">
            <v>18.8</v>
          </cell>
        </row>
      </sheetData>
      <sheetData sheetId="16" refreshError="1"/>
      <sheetData sheetId="17">
        <row r="10">
          <cell r="S10">
            <v>18.7</v>
          </cell>
        </row>
        <row r="11">
          <cell r="S11">
            <v>18.5</v>
          </cell>
        </row>
        <row r="12">
          <cell r="S12">
            <v>18.7</v>
          </cell>
        </row>
        <row r="13">
          <cell r="S13">
            <v>18.7</v>
          </cell>
        </row>
        <row r="14">
          <cell r="S14">
            <v>18.600000000000001</v>
          </cell>
        </row>
        <row r="15">
          <cell r="S15">
            <v>18.7</v>
          </cell>
        </row>
        <row r="16">
          <cell r="S16">
            <v>18.600000000000001</v>
          </cell>
        </row>
        <row r="17">
          <cell r="S17">
            <v>18.7</v>
          </cell>
        </row>
        <row r="18">
          <cell r="S18">
            <v>18.7</v>
          </cell>
        </row>
        <row r="19">
          <cell r="S19">
            <v>18.7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18.899999999999999</v>
          </cell>
        </row>
        <row r="24">
          <cell r="S24">
            <v>18.899999999999999</v>
          </cell>
        </row>
        <row r="25">
          <cell r="S25">
            <v>18.899999999999999</v>
          </cell>
        </row>
        <row r="26">
          <cell r="S26">
            <v>18.899999999999999</v>
          </cell>
        </row>
        <row r="27">
          <cell r="S27">
            <v>18.899999999999999</v>
          </cell>
        </row>
      </sheetData>
      <sheetData sheetId="18" refreshError="1"/>
      <sheetData sheetId="19">
        <row r="10">
          <cell r="S10">
            <v>18.7</v>
          </cell>
        </row>
        <row r="11">
          <cell r="S11">
            <v>18.7</v>
          </cell>
        </row>
        <row r="12">
          <cell r="S12">
            <v>18.7</v>
          </cell>
        </row>
        <row r="13">
          <cell r="S13">
            <v>18.7</v>
          </cell>
        </row>
        <row r="14">
          <cell r="S14">
            <v>18.7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18.600000000000001</v>
          </cell>
        </row>
        <row r="19">
          <cell r="S19">
            <v>18.600000000000001</v>
          </cell>
        </row>
        <row r="20">
          <cell r="S20">
            <v>18.600000000000001</v>
          </cell>
        </row>
        <row r="21">
          <cell r="S21">
            <v>18.600000000000001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18.600000000000001</v>
          </cell>
        </row>
        <row r="26">
          <cell r="S26">
            <v>18.399999999999999</v>
          </cell>
        </row>
        <row r="27">
          <cell r="S27">
            <v>18.2</v>
          </cell>
        </row>
      </sheetData>
      <sheetData sheetId="20" refreshError="1"/>
      <sheetData sheetId="21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18.5</v>
          </cell>
        </row>
        <row r="15">
          <cell r="S15">
            <v>18.7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18.8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18.399999999999999</v>
          </cell>
        </row>
        <row r="22">
          <cell r="S22">
            <v>18.600000000000001</v>
          </cell>
        </row>
        <row r="23">
          <cell r="S23">
            <v>18.399999999999999</v>
          </cell>
        </row>
        <row r="24">
          <cell r="S24">
            <v>18.399999999999999</v>
          </cell>
        </row>
        <row r="25">
          <cell r="S25">
            <v>18.399999999999999</v>
          </cell>
        </row>
        <row r="26">
          <cell r="S26">
            <v>18.2</v>
          </cell>
        </row>
        <row r="27">
          <cell r="S27">
            <v>18</v>
          </cell>
        </row>
      </sheetData>
      <sheetData sheetId="22" refreshError="1"/>
      <sheetData sheetId="23">
        <row r="10">
          <cell r="S10">
            <v>17.7</v>
          </cell>
        </row>
        <row r="11">
          <cell r="S11">
            <v>17.600000000000001</v>
          </cell>
        </row>
        <row r="12">
          <cell r="S12">
            <v>17.5</v>
          </cell>
        </row>
        <row r="13">
          <cell r="S13">
            <v>17.5</v>
          </cell>
        </row>
        <row r="14">
          <cell r="S14">
            <v>17.5</v>
          </cell>
        </row>
        <row r="15">
          <cell r="S15">
            <v>17.5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17.399999999999999</v>
          </cell>
        </row>
        <row r="19">
          <cell r="S19">
            <v>17.600000000000001</v>
          </cell>
        </row>
        <row r="20">
          <cell r="S20">
            <v>17.600000000000001</v>
          </cell>
        </row>
        <row r="21">
          <cell r="S21">
            <v>17.8</v>
          </cell>
        </row>
        <row r="22">
          <cell r="S22">
            <v>17.8</v>
          </cell>
        </row>
        <row r="23">
          <cell r="S23">
            <v>17.8</v>
          </cell>
        </row>
        <row r="24">
          <cell r="S24">
            <v>17.8</v>
          </cell>
        </row>
        <row r="25">
          <cell r="S25">
            <v>17.8</v>
          </cell>
        </row>
        <row r="26">
          <cell r="S26">
            <v>17.8</v>
          </cell>
        </row>
        <row r="27">
          <cell r="S27">
            <v>17.8</v>
          </cell>
        </row>
      </sheetData>
      <sheetData sheetId="24" refreshError="1"/>
      <sheetData sheetId="25">
        <row r="10">
          <cell r="S10">
            <v>17.5</v>
          </cell>
        </row>
        <row r="11">
          <cell r="S11">
            <v>17.5</v>
          </cell>
        </row>
        <row r="12">
          <cell r="S12">
            <v>17.5</v>
          </cell>
        </row>
        <row r="13">
          <cell r="S13">
            <v>17.399999999999999</v>
          </cell>
        </row>
        <row r="14">
          <cell r="S14">
            <v>17.5</v>
          </cell>
        </row>
        <row r="15">
          <cell r="S15">
            <v>17.399999999999999</v>
          </cell>
        </row>
        <row r="16">
          <cell r="S16">
            <v>17.5</v>
          </cell>
        </row>
        <row r="17">
          <cell r="S17">
            <v>17.600000000000001</v>
          </cell>
        </row>
        <row r="18">
          <cell r="S18">
            <v>17.600000000000001</v>
          </cell>
        </row>
        <row r="19">
          <cell r="S19">
            <v>17.8</v>
          </cell>
        </row>
        <row r="20">
          <cell r="S20">
            <v>18</v>
          </cell>
        </row>
        <row r="21">
          <cell r="S21">
            <v>18</v>
          </cell>
        </row>
        <row r="22">
          <cell r="S22">
            <v>18.2</v>
          </cell>
        </row>
        <row r="23">
          <cell r="S23">
            <v>18.399999999999999</v>
          </cell>
        </row>
        <row r="24">
          <cell r="S24">
            <v>18.399999999999999</v>
          </cell>
        </row>
        <row r="25">
          <cell r="S25">
            <v>18.399999999999999</v>
          </cell>
        </row>
        <row r="26">
          <cell r="S26">
            <v>18.399999999999999</v>
          </cell>
        </row>
        <row r="27">
          <cell r="S27">
            <v>18.399999999999999</v>
          </cell>
        </row>
      </sheetData>
      <sheetData sheetId="26" refreshError="1"/>
      <sheetData sheetId="27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17.399999999999999</v>
          </cell>
        </row>
        <row r="14">
          <cell r="S14">
            <v>17.600000000000001</v>
          </cell>
        </row>
        <row r="15">
          <cell r="S15">
            <v>17.600000000000001</v>
          </cell>
        </row>
        <row r="16">
          <cell r="S16">
            <v>17.600000000000001</v>
          </cell>
        </row>
        <row r="17">
          <cell r="S17">
            <v>18</v>
          </cell>
        </row>
        <row r="18">
          <cell r="S18">
            <v>17.8</v>
          </cell>
        </row>
        <row r="19">
          <cell r="S19">
            <v>18.2</v>
          </cell>
        </row>
        <row r="20">
          <cell r="S20">
            <v>18.399999999999999</v>
          </cell>
        </row>
        <row r="21">
          <cell r="S21">
            <v>18.600000000000001</v>
          </cell>
        </row>
        <row r="22">
          <cell r="S22">
            <v>18.8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19.2</v>
          </cell>
        </row>
        <row r="26">
          <cell r="S26">
            <v>19.100000000000001</v>
          </cell>
        </row>
        <row r="27">
          <cell r="S27">
            <v>19.100000000000001</v>
          </cell>
        </row>
      </sheetData>
      <sheetData sheetId="28" refreshError="1"/>
      <sheetData sheetId="29">
        <row r="10">
          <cell r="S10">
            <v>18.2</v>
          </cell>
        </row>
        <row r="11">
          <cell r="S11">
            <v>18.2</v>
          </cell>
        </row>
        <row r="12">
          <cell r="S12">
            <v>18.600000000000001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18.8</v>
          </cell>
        </row>
        <row r="20">
          <cell r="S20">
            <v>18.899999999999999</v>
          </cell>
        </row>
        <row r="21">
          <cell r="S21">
            <v>19.2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19.7</v>
          </cell>
        </row>
        <row r="25">
          <cell r="S25">
            <v>19.8</v>
          </cell>
        </row>
        <row r="26">
          <cell r="S26">
            <v>19.899999999999999</v>
          </cell>
        </row>
        <row r="27">
          <cell r="S27">
            <v>19.899999999999999</v>
          </cell>
        </row>
      </sheetData>
      <sheetData sheetId="30" refreshError="1"/>
      <sheetData sheetId="31">
        <row r="10">
          <cell r="S10">
            <v>19.3</v>
          </cell>
        </row>
        <row r="11">
          <cell r="S11">
            <v>19.3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19.100000000000001</v>
          </cell>
        </row>
        <row r="15">
          <cell r="S15">
            <v>19.3</v>
          </cell>
        </row>
        <row r="16">
          <cell r="S16">
            <v>19.2</v>
          </cell>
        </row>
        <row r="17">
          <cell r="S17">
            <v>19.3</v>
          </cell>
        </row>
        <row r="18">
          <cell r="S18">
            <v>19.5</v>
          </cell>
        </row>
        <row r="19">
          <cell r="S19">
            <v>19.600000000000001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20.5</v>
          </cell>
        </row>
      </sheetData>
      <sheetData sheetId="32" refreshError="1"/>
      <sheetData sheetId="33">
        <row r="10">
          <cell r="S10">
            <v>19.899999999999999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19.7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19.7</v>
          </cell>
        </row>
        <row r="18">
          <cell r="S18">
            <v>19.8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20.100000000000001</v>
          </cell>
        </row>
        <row r="22">
          <cell r="S22">
            <v>20.3</v>
          </cell>
        </row>
        <row r="23">
          <cell r="S23">
            <v>20.399999999999999</v>
          </cell>
        </row>
        <row r="24">
          <cell r="S24">
            <v>20.5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34" refreshError="1"/>
      <sheetData sheetId="35">
        <row r="10">
          <cell r="S10">
            <v>19.8</v>
          </cell>
        </row>
        <row r="11">
          <cell r="S11">
            <v>19.8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19.7</v>
          </cell>
        </row>
        <row r="15">
          <cell r="S15">
            <v>19.5</v>
          </cell>
        </row>
        <row r="16">
          <cell r="S16">
            <v>19.600000000000001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19.7</v>
          </cell>
        </row>
        <row r="20">
          <cell r="S20">
            <v>19.7</v>
          </cell>
        </row>
        <row r="21">
          <cell r="S21">
            <v>19.899999999999999</v>
          </cell>
        </row>
        <row r="22">
          <cell r="S22">
            <v>19.899999999999999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19.899999999999999</v>
          </cell>
        </row>
      </sheetData>
      <sheetData sheetId="36" refreshError="1"/>
      <sheetData sheetId="37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19.5</v>
          </cell>
        </row>
        <row r="20">
          <cell r="S20">
            <v>19.5</v>
          </cell>
        </row>
        <row r="21">
          <cell r="S21">
            <v>19.600000000000001</v>
          </cell>
        </row>
        <row r="22">
          <cell r="S22">
            <v>19.7</v>
          </cell>
        </row>
        <row r="23">
          <cell r="S23">
            <v>19.7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19.899999999999999</v>
          </cell>
        </row>
      </sheetData>
      <sheetData sheetId="38" refreshError="1"/>
      <sheetData sheetId="39">
        <row r="10">
          <cell r="S10">
            <v>19.399999999999999</v>
          </cell>
        </row>
        <row r="11">
          <cell r="S11">
            <v>19</v>
          </cell>
        </row>
        <row r="12">
          <cell r="S12">
            <v>19.399999999999999</v>
          </cell>
        </row>
        <row r="13">
          <cell r="S13">
            <v>19</v>
          </cell>
        </row>
        <row r="14">
          <cell r="S14">
            <v>18.8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18.399999999999999</v>
          </cell>
        </row>
        <row r="20">
          <cell r="S20">
            <v>18.3</v>
          </cell>
        </row>
        <row r="21">
          <cell r="S21">
            <v>18.2</v>
          </cell>
        </row>
        <row r="22">
          <cell r="S22">
            <v>18.100000000000001</v>
          </cell>
        </row>
        <row r="23">
          <cell r="S23">
            <v>18</v>
          </cell>
        </row>
        <row r="24">
          <cell r="S24">
            <v>17.899999999999999</v>
          </cell>
        </row>
        <row r="25">
          <cell r="S25">
            <v>17.8</v>
          </cell>
        </row>
        <row r="26">
          <cell r="S26">
            <v>17.7</v>
          </cell>
        </row>
        <row r="27">
          <cell r="S27">
            <v>17.600000000000001</v>
          </cell>
        </row>
      </sheetData>
      <sheetData sheetId="40" refreshError="1"/>
      <sheetData sheetId="41">
        <row r="10">
          <cell r="S10">
            <v>17</v>
          </cell>
        </row>
        <row r="11">
          <cell r="S11">
            <v>17</v>
          </cell>
        </row>
        <row r="12">
          <cell r="S12">
            <v>16.899999999999999</v>
          </cell>
        </row>
        <row r="13">
          <cell r="S13">
            <v>16.8</v>
          </cell>
        </row>
        <row r="14">
          <cell r="S14">
            <v>16.8</v>
          </cell>
        </row>
        <row r="15">
          <cell r="S15">
            <v>16.8</v>
          </cell>
        </row>
        <row r="16">
          <cell r="S16">
            <v>16.8</v>
          </cell>
        </row>
        <row r="17">
          <cell r="S17">
            <v>16.8</v>
          </cell>
        </row>
        <row r="18">
          <cell r="S18">
            <v>16.8</v>
          </cell>
        </row>
        <row r="19">
          <cell r="S19">
            <v>16.8</v>
          </cell>
        </row>
        <row r="20">
          <cell r="S20">
            <v>16.8</v>
          </cell>
        </row>
        <row r="21">
          <cell r="S21">
            <v>16.7</v>
          </cell>
        </row>
        <row r="22">
          <cell r="S22">
            <v>16.7</v>
          </cell>
        </row>
        <row r="23">
          <cell r="S23">
            <v>16.899999999999999</v>
          </cell>
        </row>
        <row r="24">
          <cell r="S24">
            <v>16.899999999999999</v>
          </cell>
        </row>
        <row r="25">
          <cell r="S25">
            <v>16.899999999999999</v>
          </cell>
        </row>
        <row r="26">
          <cell r="S26">
            <v>16.7</v>
          </cell>
        </row>
        <row r="27">
          <cell r="S27">
            <v>16.899999999999999</v>
          </cell>
        </row>
      </sheetData>
      <sheetData sheetId="42" refreshError="1"/>
      <sheetData sheetId="43">
        <row r="10">
          <cell r="S10">
            <v>16.600000000000001</v>
          </cell>
        </row>
        <row r="11">
          <cell r="S11">
            <v>16.7</v>
          </cell>
        </row>
        <row r="12">
          <cell r="S12">
            <v>16.7</v>
          </cell>
        </row>
        <row r="13">
          <cell r="S13">
            <v>16.7</v>
          </cell>
        </row>
        <row r="14">
          <cell r="S14">
            <v>16.600000000000001</v>
          </cell>
        </row>
        <row r="15">
          <cell r="S15">
            <v>16.600000000000001</v>
          </cell>
        </row>
        <row r="16">
          <cell r="S16">
            <v>16.600000000000001</v>
          </cell>
        </row>
        <row r="17">
          <cell r="S17">
            <v>16.600000000000001</v>
          </cell>
        </row>
        <row r="18">
          <cell r="S18">
            <v>16.8</v>
          </cell>
        </row>
        <row r="19">
          <cell r="S19">
            <v>16.899999999999999</v>
          </cell>
        </row>
        <row r="20">
          <cell r="S20">
            <v>17</v>
          </cell>
        </row>
        <row r="21">
          <cell r="S21">
            <v>17.2</v>
          </cell>
        </row>
        <row r="22">
          <cell r="S22">
            <v>17.3</v>
          </cell>
        </row>
        <row r="23">
          <cell r="S23">
            <v>17.3</v>
          </cell>
        </row>
        <row r="24">
          <cell r="S24">
            <v>17.5</v>
          </cell>
        </row>
        <row r="25">
          <cell r="S25">
            <v>17.5</v>
          </cell>
        </row>
        <row r="26">
          <cell r="S26">
            <v>17.600000000000001</v>
          </cell>
        </row>
        <row r="27">
          <cell r="S27">
            <v>17.5</v>
          </cell>
        </row>
      </sheetData>
      <sheetData sheetId="44" refreshError="1"/>
      <sheetData sheetId="45">
        <row r="10">
          <cell r="S10">
            <v>17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17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17.2</v>
          </cell>
        </row>
        <row r="17">
          <cell r="S17">
            <v>17</v>
          </cell>
        </row>
        <row r="18">
          <cell r="S18">
            <v>17.3</v>
          </cell>
        </row>
        <row r="19">
          <cell r="S19">
            <v>17.600000000000001</v>
          </cell>
        </row>
        <row r="20">
          <cell r="S20">
            <v>17.8</v>
          </cell>
        </row>
        <row r="21">
          <cell r="S21">
            <v>18</v>
          </cell>
        </row>
        <row r="22">
          <cell r="S22">
            <v>18.2</v>
          </cell>
        </row>
        <row r="23">
          <cell r="S23">
            <v>18.5</v>
          </cell>
        </row>
        <row r="24">
          <cell r="S24">
            <v>18.600000000000001</v>
          </cell>
        </row>
        <row r="25">
          <cell r="S25">
            <v>18.600000000000001</v>
          </cell>
        </row>
        <row r="26">
          <cell r="S26">
            <v>18.7</v>
          </cell>
        </row>
        <row r="27">
          <cell r="S27">
            <v>18.7</v>
          </cell>
        </row>
      </sheetData>
      <sheetData sheetId="46" refreshError="1"/>
      <sheetData sheetId="47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18.3</v>
          </cell>
        </row>
        <row r="18">
          <cell r="S18">
            <v>18.399999999999999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19</v>
          </cell>
        </row>
        <row r="22">
          <cell r="S22">
            <v>19.3</v>
          </cell>
        </row>
        <row r="23">
          <cell r="S23">
            <v>19.5</v>
          </cell>
        </row>
        <row r="24">
          <cell r="S24">
            <v>19.600000000000001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19.7</v>
          </cell>
        </row>
      </sheetData>
      <sheetData sheetId="48" refreshError="1"/>
      <sheetData sheetId="49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19.399999999999999</v>
          </cell>
        </row>
        <row r="15">
          <cell r="S15">
            <v>19.3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</v>
          </cell>
        </row>
        <row r="27">
          <cell r="S27">
            <v>20.2</v>
          </cell>
        </row>
      </sheetData>
      <sheetData sheetId="50" refreshError="1"/>
      <sheetData sheetId="51">
        <row r="10">
          <cell r="S10">
            <v>20.2</v>
          </cell>
        </row>
        <row r="11">
          <cell r="S11">
            <v>20.100000000000001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20.8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52" refreshError="1"/>
      <sheetData sheetId="53">
        <row r="10">
          <cell r="S10">
            <v>20.6</v>
          </cell>
        </row>
        <row r="11">
          <cell r="S11">
            <v>20.399999999999999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</v>
          </cell>
        </row>
        <row r="17">
          <cell r="S17">
            <v>20.3</v>
          </cell>
        </row>
        <row r="18">
          <cell r="S18">
            <v>20.6</v>
          </cell>
        </row>
        <row r="19">
          <cell r="S19">
            <v>20.7</v>
          </cell>
        </row>
        <row r="20">
          <cell r="S20">
            <v>20.7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54" refreshError="1"/>
      <sheetData sheetId="55">
        <row r="10">
          <cell r="S10">
            <v>20.5</v>
          </cell>
        </row>
        <row r="11">
          <cell r="S11">
            <v>20.5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20.7</v>
          </cell>
        </row>
        <row r="19">
          <cell r="S19">
            <v>21</v>
          </cell>
        </row>
        <row r="20">
          <cell r="S20">
            <v>21.2</v>
          </cell>
        </row>
        <row r="21">
          <cell r="S21">
            <v>21.6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56" refreshError="1"/>
      <sheetData sheetId="57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21.1</v>
          </cell>
        </row>
        <row r="15">
          <cell r="S15">
            <v>21</v>
          </cell>
        </row>
        <row r="16">
          <cell r="S16">
            <v>20.9</v>
          </cell>
        </row>
        <row r="17">
          <cell r="S17">
            <v>21</v>
          </cell>
        </row>
        <row r="18">
          <cell r="S18">
            <v>21.1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21.6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58" refreshError="1"/>
      <sheetData sheetId="59">
        <row r="10">
          <cell r="S10">
            <v>20.8</v>
          </cell>
        </row>
        <row r="11">
          <cell r="S11">
            <v>20.7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20.100000000000001</v>
          </cell>
        </row>
        <row r="20">
          <cell r="S20">
            <v>20.100000000000001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19.899999999999999</v>
          </cell>
        </row>
        <row r="24">
          <cell r="S24">
            <v>19.8</v>
          </cell>
        </row>
        <row r="25">
          <cell r="S25">
            <v>19.8</v>
          </cell>
        </row>
        <row r="26">
          <cell r="S26">
            <v>19.7</v>
          </cell>
        </row>
        <row r="27">
          <cell r="S27">
            <v>19.5</v>
          </cell>
        </row>
      </sheetData>
      <sheetData sheetId="60" refreshError="1"/>
      <sheetData sheetId="61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18.5</v>
          </cell>
        </row>
        <row r="13">
          <cell r="S13">
            <v>18.5</v>
          </cell>
        </row>
        <row r="14">
          <cell r="S14">
            <v>18.399999999999999</v>
          </cell>
        </row>
        <row r="15">
          <cell r="S15">
            <v>18.3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18.399999999999999</v>
          </cell>
        </row>
        <row r="22">
          <cell r="S22">
            <v>18.5</v>
          </cell>
        </row>
        <row r="23">
          <cell r="S23">
            <v>18.5</v>
          </cell>
        </row>
        <row r="24">
          <cell r="S24">
            <v>18.5</v>
          </cell>
        </row>
        <row r="25">
          <cell r="S25">
            <v>18.7</v>
          </cell>
        </row>
        <row r="26">
          <cell r="S26">
            <v>18.5</v>
          </cell>
        </row>
        <row r="27">
          <cell r="S27">
            <v>18.5</v>
          </cell>
        </row>
      </sheetData>
      <sheetData sheetId="62" refreshError="1"/>
      <sheetData sheetId="63">
        <row r="10">
          <cell r="S10">
            <v>17.8</v>
          </cell>
        </row>
        <row r="11">
          <cell r="S11">
            <v>17.8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17.7</v>
          </cell>
        </row>
        <row r="15">
          <cell r="S15">
            <v>17.8</v>
          </cell>
        </row>
        <row r="16">
          <cell r="S16">
            <v>17.8</v>
          </cell>
        </row>
        <row r="17">
          <cell r="S17">
            <v>17.899999999999999</v>
          </cell>
        </row>
        <row r="18">
          <cell r="S18">
            <v>18.100000000000001</v>
          </cell>
        </row>
        <row r="19">
          <cell r="S19">
            <v>18.600000000000001</v>
          </cell>
        </row>
        <row r="20">
          <cell r="S20">
            <v>18.399999999999999</v>
          </cell>
        </row>
        <row r="21">
          <cell r="S21">
            <v>18.399999999999999</v>
          </cell>
        </row>
        <row r="22">
          <cell r="S22">
            <v>18.600000000000001</v>
          </cell>
        </row>
        <row r="23">
          <cell r="S23">
            <v>18.8</v>
          </cell>
        </row>
        <row r="24">
          <cell r="S24">
            <v>18.8</v>
          </cell>
        </row>
        <row r="25">
          <cell r="S25">
            <v>19.2</v>
          </cell>
        </row>
        <row r="26">
          <cell r="S26">
            <v>19.399999999999999</v>
          </cell>
        </row>
        <row r="27">
          <cell r="S27">
            <v>19.2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18.5</v>
          </cell>
        </row>
        <row r="16">
          <cell r="S16">
            <v>18.5</v>
          </cell>
        </row>
        <row r="17">
          <cell r="S17">
            <v>18.600000000000001</v>
          </cell>
        </row>
        <row r="18">
          <cell r="S18">
            <v>18.899999999999999</v>
          </cell>
        </row>
        <row r="19">
          <cell r="S19">
            <v>18</v>
          </cell>
        </row>
        <row r="20">
          <cell r="S20">
            <v>18.600000000000001</v>
          </cell>
        </row>
        <row r="21">
          <cell r="S21">
            <v>19.2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20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</v>
          </cell>
        </row>
      </sheetData>
      <sheetData sheetId="4">
        <row r="1">
          <cell r="C1" t="str">
            <v>SETEMBRO DE 2022</v>
          </cell>
        </row>
      </sheetData>
      <sheetData sheetId="5">
        <row r="10">
          <cell r="S10">
            <v>19.5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19.5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19.8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20.5</v>
          </cell>
        </row>
        <row r="22">
          <cell r="S22">
            <v>20.6</v>
          </cell>
        </row>
        <row r="23">
          <cell r="S23">
            <v>21</v>
          </cell>
        </row>
        <row r="24">
          <cell r="S24">
            <v>21.1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6" refreshError="1"/>
      <sheetData sheetId="7">
        <row r="10">
          <cell r="S10">
            <v>20.6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20.2</v>
          </cell>
        </row>
        <row r="20">
          <cell r="S20">
            <v>20.399999999999999</v>
          </cell>
        </row>
        <row r="21">
          <cell r="S21">
            <v>20.5</v>
          </cell>
        </row>
        <row r="22">
          <cell r="S22">
            <v>20.5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20.7</v>
          </cell>
        </row>
        <row r="26">
          <cell r="S26">
            <v>20.8</v>
          </cell>
        </row>
        <row r="27">
          <cell r="S27">
            <v>20.8</v>
          </cell>
        </row>
      </sheetData>
      <sheetData sheetId="8" refreshError="1"/>
      <sheetData sheetId="9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19.2</v>
          </cell>
        </row>
        <row r="15">
          <cell r="S15">
            <v>19.100000000000001</v>
          </cell>
        </row>
        <row r="16">
          <cell r="S16">
            <v>19</v>
          </cell>
        </row>
        <row r="17">
          <cell r="S17">
            <v>18.899999999999999</v>
          </cell>
        </row>
        <row r="18">
          <cell r="S18">
            <v>18.8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18.7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18.7</v>
          </cell>
        </row>
        <row r="26">
          <cell r="S26">
            <v>18.7</v>
          </cell>
        </row>
        <row r="27">
          <cell r="S27">
            <v>18.600000000000001</v>
          </cell>
        </row>
      </sheetData>
      <sheetData sheetId="10" refreshError="1"/>
      <sheetData sheetId="11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17.600000000000001</v>
          </cell>
        </row>
        <row r="15">
          <cell r="S15">
            <v>17.600000000000001</v>
          </cell>
        </row>
        <row r="16">
          <cell r="S16">
            <v>17.600000000000001</v>
          </cell>
        </row>
        <row r="17">
          <cell r="S17">
            <v>17.600000000000001</v>
          </cell>
        </row>
        <row r="18">
          <cell r="S18">
            <v>17.8</v>
          </cell>
        </row>
        <row r="19">
          <cell r="S19">
            <v>17.7</v>
          </cell>
        </row>
        <row r="20">
          <cell r="S20">
            <v>17.8</v>
          </cell>
        </row>
        <row r="21">
          <cell r="S21">
            <v>17.8</v>
          </cell>
        </row>
        <row r="22">
          <cell r="S22">
            <v>17.8</v>
          </cell>
        </row>
        <row r="23">
          <cell r="S23">
            <v>17.8</v>
          </cell>
        </row>
        <row r="24">
          <cell r="S24">
            <v>17.8</v>
          </cell>
        </row>
        <row r="25">
          <cell r="S25">
            <v>17.899999999999999</v>
          </cell>
        </row>
        <row r="26">
          <cell r="S26">
            <v>17.8</v>
          </cell>
        </row>
        <row r="27">
          <cell r="S27">
            <v>17.8</v>
          </cell>
        </row>
      </sheetData>
      <sheetData sheetId="12" refreshError="1"/>
      <sheetData sheetId="13">
        <row r="10">
          <cell r="S10">
            <v>17</v>
          </cell>
        </row>
        <row r="11">
          <cell r="S11">
            <v>17</v>
          </cell>
        </row>
        <row r="12">
          <cell r="S12">
            <v>17.2</v>
          </cell>
        </row>
        <row r="13">
          <cell r="S13">
            <v>17.399999999999999</v>
          </cell>
        </row>
        <row r="14">
          <cell r="S14">
            <v>17.399999999999999</v>
          </cell>
        </row>
        <row r="15">
          <cell r="S15">
            <v>17.399999999999999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17.399999999999999</v>
          </cell>
        </row>
        <row r="19">
          <cell r="S19">
            <v>17.8</v>
          </cell>
        </row>
        <row r="20">
          <cell r="S20">
            <v>18</v>
          </cell>
        </row>
        <row r="21">
          <cell r="S21">
            <v>18</v>
          </cell>
        </row>
        <row r="22">
          <cell r="S22">
            <v>18.2</v>
          </cell>
        </row>
        <row r="23">
          <cell r="S23">
            <v>18.2</v>
          </cell>
        </row>
        <row r="24">
          <cell r="S24">
            <v>18.3</v>
          </cell>
        </row>
        <row r="25">
          <cell r="S25">
            <v>18.3</v>
          </cell>
        </row>
        <row r="26">
          <cell r="S26">
            <v>18.3</v>
          </cell>
        </row>
        <row r="27">
          <cell r="S27">
            <v>18.3</v>
          </cell>
        </row>
      </sheetData>
      <sheetData sheetId="14" refreshError="1"/>
      <sheetData sheetId="15">
        <row r="10">
          <cell r="S10">
            <v>18.100000000000001</v>
          </cell>
        </row>
        <row r="11">
          <cell r="S11">
            <v>18.100000000000001</v>
          </cell>
        </row>
        <row r="12">
          <cell r="S12">
            <v>18.100000000000001</v>
          </cell>
        </row>
        <row r="13">
          <cell r="S13">
            <v>18.100000000000001</v>
          </cell>
        </row>
        <row r="14">
          <cell r="S14">
            <v>18</v>
          </cell>
        </row>
        <row r="15">
          <cell r="S15">
            <v>17.899999999999999</v>
          </cell>
        </row>
        <row r="16">
          <cell r="S16">
            <v>17.899999999999999</v>
          </cell>
        </row>
        <row r="17">
          <cell r="S17">
            <v>17.899999999999999</v>
          </cell>
        </row>
        <row r="18">
          <cell r="S18">
            <v>17.8</v>
          </cell>
        </row>
        <row r="19">
          <cell r="S19">
            <v>17.7</v>
          </cell>
        </row>
        <row r="20">
          <cell r="S20">
            <v>17.899999999999999</v>
          </cell>
        </row>
        <row r="21">
          <cell r="S21">
            <v>17.899999999999999</v>
          </cell>
        </row>
        <row r="22">
          <cell r="S22">
            <v>17.899999999999999</v>
          </cell>
        </row>
        <row r="23">
          <cell r="S23">
            <v>18</v>
          </cell>
        </row>
        <row r="24">
          <cell r="S24">
            <v>17.899999999999999</v>
          </cell>
        </row>
        <row r="25">
          <cell r="S25">
            <v>17.899999999999999</v>
          </cell>
        </row>
        <row r="26">
          <cell r="S26">
            <v>18</v>
          </cell>
        </row>
        <row r="27">
          <cell r="S27">
            <v>18</v>
          </cell>
        </row>
      </sheetData>
      <sheetData sheetId="16" refreshError="1"/>
      <sheetData sheetId="17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17.5</v>
          </cell>
        </row>
        <row r="13">
          <cell r="S13">
            <v>17.5</v>
          </cell>
        </row>
        <row r="14">
          <cell r="S14">
            <v>17.600000000000001</v>
          </cell>
        </row>
        <row r="15">
          <cell r="S15">
            <v>17.5</v>
          </cell>
        </row>
        <row r="16">
          <cell r="S16">
            <v>17.8</v>
          </cell>
        </row>
        <row r="17">
          <cell r="S17">
            <v>17.8</v>
          </cell>
        </row>
        <row r="18">
          <cell r="S18">
            <v>18</v>
          </cell>
        </row>
        <row r="19">
          <cell r="S19">
            <v>18.3</v>
          </cell>
        </row>
        <row r="20">
          <cell r="S20">
            <v>18.3</v>
          </cell>
        </row>
        <row r="21">
          <cell r="S21">
            <v>18.3</v>
          </cell>
        </row>
        <row r="22">
          <cell r="S22">
            <v>18.600000000000001</v>
          </cell>
        </row>
        <row r="23">
          <cell r="S23">
            <v>18.7</v>
          </cell>
        </row>
        <row r="24">
          <cell r="S24">
            <v>18.8</v>
          </cell>
        </row>
        <row r="25">
          <cell r="S25">
            <v>18.899999999999999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18" refreshError="1"/>
      <sheetData sheetId="19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18.7</v>
          </cell>
        </row>
        <row r="13">
          <cell r="S13">
            <v>18.7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19</v>
          </cell>
        </row>
        <row r="17">
          <cell r="S17">
            <v>19.2</v>
          </cell>
        </row>
        <row r="18">
          <cell r="S18">
            <v>19.399999999999999</v>
          </cell>
        </row>
        <row r="19">
          <cell r="S19">
            <v>19.3</v>
          </cell>
        </row>
        <row r="20">
          <cell r="S20">
            <v>20</v>
          </cell>
        </row>
        <row r="21">
          <cell r="S21">
            <v>20.3</v>
          </cell>
        </row>
        <row r="22">
          <cell r="S22">
            <v>20.6</v>
          </cell>
        </row>
        <row r="23">
          <cell r="S23">
            <v>20.7</v>
          </cell>
        </row>
        <row r="24">
          <cell r="S24">
            <v>20.9</v>
          </cell>
        </row>
        <row r="25">
          <cell r="S25">
            <v>21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20" refreshError="1"/>
      <sheetData sheetId="21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20.8</v>
          </cell>
        </row>
        <row r="20">
          <cell r="S20">
            <v>21.1</v>
          </cell>
        </row>
        <row r="21">
          <cell r="S21">
            <v>21.2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21.5</v>
          </cell>
        </row>
        <row r="27">
          <cell r="S27">
            <v>21.4</v>
          </cell>
        </row>
      </sheetData>
      <sheetData sheetId="22" refreshError="1"/>
      <sheetData sheetId="23">
        <row r="10">
          <cell r="S10">
            <v>20.2</v>
          </cell>
        </row>
        <row r="11">
          <cell r="S11">
            <v>20.2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</v>
          </cell>
        </row>
        <row r="15">
          <cell r="S15">
            <v>19.8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19.600000000000001</v>
          </cell>
        </row>
        <row r="19">
          <cell r="S19">
            <v>19.600000000000001</v>
          </cell>
        </row>
        <row r="20">
          <cell r="S20">
            <v>19.600000000000001</v>
          </cell>
        </row>
        <row r="21">
          <cell r="S21">
            <v>19.5</v>
          </cell>
        </row>
        <row r="22">
          <cell r="S22">
            <v>19.399999999999999</v>
          </cell>
        </row>
        <row r="23">
          <cell r="S23">
            <v>19.399999999999999</v>
          </cell>
        </row>
        <row r="24">
          <cell r="S24">
            <v>19.3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19.100000000000001</v>
          </cell>
        </row>
      </sheetData>
      <sheetData sheetId="24" refreshError="1"/>
      <sheetData sheetId="25">
        <row r="10">
          <cell r="S10">
            <v>18.600000000000001</v>
          </cell>
        </row>
        <row r="11">
          <cell r="S11">
            <v>18.5</v>
          </cell>
        </row>
        <row r="12">
          <cell r="S12">
            <v>18.5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18.2</v>
          </cell>
        </row>
        <row r="20">
          <cell r="S20">
            <v>18</v>
          </cell>
        </row>
        <row r="21">
          <cell r="S21">
            <v>18</v>
          </cell>
        </row>
        <row r="22">
          <cell r="S22">
            <v>18.2</v>
          </cell>
        </row>
        <row r="23">
          <cell r="S23">
            <v>18.2</v>
          </cell>
        </row>
        <row r="24">
          <cell r="S24">
            <v>18.2</v>
          </cell>
        </row>
        <row r="25">
          <cell r="S25">
            <v>18.399999999999999</v>
          </cell>
        </row>
        <row r="26">
          <cell r="S26">
            <v>18.399999999999999</v>
          </cell>
        </row>
        <row r="27">
          <cell r="S27">
            <v>18.399999999999999</v>
          </cell>
        </row>
      </sheetData>
      <sheetData sheetId="26" refreshError="1"/>
      <sheetData sheetId="27">
        <row r="10">
          <cell r="S10">
            <v>18.3</v>
          </cell>
        </row>
        <row r="11">
          <cell r="S11">
            <v>18.100000000000001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18.3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18.5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18.600000000000001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18.8</v>
          </cell>
        </row>
        <row r="25">
          <cell r="S25">
            <v>18.600000000000001</v>
          </cell>
        </row>
        <row r="26">
          <cell r="S26">
            <v>18.8</v>
          </cell>
        </row>
        <row r="27">
          <cell r="S27">
            <v>18.8</v>
          </cell>
        </row>
      </sheetData>
      <sheetData sheetId="28" refreshError="1"/>
      <sheetData sheetId="29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18.899999999999999</v>
          </cell>
        </row>
        <row r="19">
          <cell r="S19">
            <v>18.899999999999999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18.8</v>
          </cell>
        </row>
        <row r="24">
          <cell r="S24">
            <v>19</v>
          </cell>
        </row>
        <row r="25">
          <cell r="S25">
            <v>18.899999999999999</v>
          </cell>
        </row>
        <row r="26">
          <cell r="S26">
            <v>18.7</v>
          </cell>
        </row>
        <row r="27">
          <cell r="S27">
            <v>18.7</v>
          </cell>
        </row>
      </sheetData>
      <sheetData sheetId="30" refreshError="1"/>
      <sheetData sheetId="31">
        <row r="10">
          <cell r="S10">
            <v>18.2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18.100000000000001</v>
          </cell>
        </row>
        <row r="17">
          <cell r="S17">
            <v>18</v>
          </cell>
        </row>
        <row r="18">
          <cell r="S18">
            <v>18</v>
          </cell>
        </row>
        <row r="19">
          <cell r="S19">
            <v>18.100000000000001</v>
          </cell>
        </row>
        <row r="20">
          <cell r="S20">
            <v>18.100000000000001</v>
          </cell>
        </row>
        <row r="21">
          <cell r="S21">
            <v>18.100000000000001</v>
          </cell>
        </row>
        <row r="22">
          <cell r="S22">
            <v>18.100000000000001</v>
          </cell>
        </row>
        <row r="23">
          <cell r="S23">
            <v>18.100000000000001</v>
          </cell>
        </row>
        <row r="24">
          <cell r="S24">
            <v>18.100000000000001</v>
          </cell>
        </row>
        <row r="25">
          <cell r="S25">
            <v>18.100000000000001</v>
          </cell>
        </row>
        <row r="26">
          <cell r="S26">
            <v>18</v>
          </cell>
        </row>
        <row r="27">
          <cell r="S27">
            <v>18</v>
          </cell>
        </row>
      </sheetData>
      <sheetData sheetId="32" refreshError="1"/>
      <sheetData sheetId="33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17.399999999999999</v>
          </cell>
        </row>
        <row r="15">
          <cell r="S15">
            <v>17.399999999999999</v>
          </cell>
        </row>
        <row r="16">
          <cell r="S16">
            <v>17.5</v>
          </cell>
        </row>
        <row r="17">
          <cell r="S17">
            <v>17.399999999999999</v>
          </cell>
        </row>
        <row r="18">
          <cell r="S18">
            <v>17.399999999999999</v>
          </cell>
        </row>
        <row r="19">
          <cell r="S19">
            <v>17.600000000000001</v>
          </cell>
        </row>
        <row r="20">
          <cell r="S20">
            <v>17.600000000000001</v>
          </cell>
        </row>
        <row r="21">
          <cell r="S21">
            <v>17.600000000000001</v>
          </cell>
        </row>
        <row r="22">
          <cell r="S22">
            <v>17.600000000000001</v>
          </cell>
        </row>
        <row r="23">
          <cell r="S23">
            <v>17.7</v>
          </cell>
        </row>
        <row r="24">
          <cell r="S24">
            <v>17.7</v>
          </cell>
        </row>
        <row r="25">
          <cell r="S25">
            <v>17.7</v>
          </cell>
        </row>
        <row r="26">
          <cell r="S26">
            <v>17.600000000000001</v>
          </cell>
        </row>
        <row r="27">
          <cell r="S27">
            <v>17.600000000000001</v>
          </cell>
        </row>
      </sheetData>
      <sheetData sheetId="34" refreshError="1"/>
      <sheetData sheetId="35">
        <row r="10">
          <cell r="S10">
            <v>17.2</v>
          </cell>
        </row>
        <row r="11">
          <cell r="S11">
            <v>17.2</v>
          </cell>
        </row>
        <row r="12">
          <cell r="S12">
            <v>17.2</v>
          </cell>
        </row>
        <row r="13">
          <cell r="S13">
            <v>17.2</v>
          </cell>
        </row>
        <row r="14">
          <cell r="S14">
            <v>17.100000000000001</v>
          </cell>
        </row>
        <row r="15">
          <cell r="S15">
            <v>17.100000000000001</v>
          </cell>
        </row>
        <row r="16">
          <cell r="S16">
            <v>17.2</v>
          </cell>
        </row>
        <row r="17">
          <cell r="S17">
            <v>17.2</v>
          </cell>
        </row>
        <row r="18">
          <cell r="S18">
            <v>17.2</v>
          </cell>
        </row>
        <row r="19">
          <cell r="S19">
            <v>17.399999999999999</v>
          </cell>
        </row>
        <row r="20">
          <cell r="S20">
            <v>17.5</v>
          </cell>
        </row>
        <row r="21">
          <cell r="S21">
            <v>17.600000000000001</v>
          </cell>
        </row>
        <row r="22">
          <cell r="S22">
            <v>17.7</v>
          </cell>
        </row>
        <row r="23">
          <cell r="S23">
            <v>17.7</v>
          </cell>
        </row>
        <row r="24">
          <cell r="S24">
            <v>17.899999999999999</v>
          </cell>
        </row>
        <row r="25">
          <cell r="S25">
            <v>17.899999999999999</v>
          </cell>
        </row>
        <row r="26">
          <cell r="S26">
            <v>17.899999999999999</v>
          </cell>
        </row>
        <row r="27">
          <cell r="S27">
            <v>17.8</v>
          </cell>
        </row>
      </sheetData>
      <sheetData sheetId="36" refreshError="1"/>
      <sheetData sheetId="37">
        <row r="10">
          <cell r="S10">
            <v>17.2</v>
          </cell>
        </row>
        <row r="11">
          <cell r="S11">
            <v>17.2</v>
          </cell>
        </row>
        <row r="12">
          <cell r="S12">
            <v>17.2</v>
          </cell>
        </row>
        <row r="13">
          <cell r="S13">
            <v>17.100000000000001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17.2</v>
          </cell>
        </row>
        <row r="17">
          <cell r="S17">
            <v>17.3</v>
          </cell>
        </row>
        <row r="18">
          <cell r="S18">
            <v>17.600000000000001</v>
          </cell>
        </row>
        <row r="19">
          <cell r="S19">
            <v>17.8</v>
          </cell>
        </row>
        <row r="20">
          <cell r="S20">
            <v>18</v>
          </cell>
        </row>
        <row r="21">
          <cell r="S21">
            <v>18.399999999999999</v>
          </cell>
        </row>
        <row r="22">
          <cell r="S22">
            <v>18.600000000000001</v>
          </cell>
        </row>
        <row r="23">
          <cell r="S23">
            <v>18.8</v>
          </cell>
        </row>
        <row r="24">
          <cell r="S24">
            <v>18.899999999999999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38" refreshError="1"/>
      <sheetData sheetId="39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18.5</v>
          </cell>
        </row>
        <row r="17">
          <cell r="S17">
            <v>18.600000000000001</v>
          </cell>
        </row>
        <row r="18">
          <cell r="S18">
            <v>18.8</v>
          </cell>
        </row>
        <row r="19">
          <cell r="S19">
            <v>19.100000000000001</v>
          </cell>
        </row>
        <row r="20">
          <cell r="S20">
            <v>19.399999999999999</v>
          </cell>
        </row>
        <row r="21">
          <cell r="S21">
            <v>19.7</v>
          </cell>
        </row>
        <row r="22">
          <cell r="S22">
            <v>19.899999999999999</v>
          </cell>
        </row>
        <row r="23">
          <cell r="S23">
            <v>20.100000000000001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20.3</v>
          </cell>
        </row>
      </sheetData>
      <sheetData sheetId="40" refreshError="1"/>
      <sheetData sheetId="41">
        <row r="10">
          <cell r="S10">
            <v>19.7</v>
          </cell>
        </row>
        <row r="11">
          <cell r="S11">
            <v>19.7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19.7</v>
          </cell>
        </row>
        <row r="18">
          <cell r="S18">
            <v>20</v>
          </cell>
        </row>
        <row r="19">
          <cell r="S19">
            <v>20.2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42" refreshError="1"/>
      <sheetData sheetId="43">
        <row r="10">
          <cell r="S10">
            <v>20.100000000000001</v>
          </cell>
        </row>
        <row r="11">
          <cell r="S11">
            <v>20.100000000000001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19.899999999999999</v>
          </cell>
        </row>
        <row r="17">
          <cell r="S17">
            <v>19.8</v>
          </cell>
        </row>
        <row r="18">
          <cell r="S18">
            <v>19.8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20.100000000000001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20.2</v>
          </cell>
        </row>
        <row r="26">
          <cell r="S26">
            <v>20.100000000000001</v>
          </cell>
        </row>
        <row r="27">
          <cell r="S27">
            <v>20</v>
          </cell>
        </row>
      </sheetData>
      <sheetData sheetId="44" refreshError="1"/>
      <sheetData sheetId="45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19.2</v>
          </cell>
        </row>
        <row r="16">
          <cell r="S16">
            <v>19.399999999999999</v>
          </cell>
        </row>
        <row r="17">
          <cell r="S17">
            <v>19.2</v>
          </cell>
        </row>
        <row r="18">
          <cell r="S18">
            <v>19.399999999999999</v>
          </cell>
        </row>
        <row r="19">
          <cell r="S19">
            <v>19.8</v>
          </cell>
        </row>
        <row r="20">
          <cell r="S20">
            <v>19.899999999999999</v>
          </cell>
        </row>
        <row r="21">
          <cell r="S21">
            <v>20</v>
          </cell>
        </row>
        <row r="22">
          <cell r="S22">
            <v>20.100000000000001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46" refreshError="1"/>
      <sheetData sheetId="47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19.8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20.8</v>
          </cell>
        </row>
        <row r="26">
          <cell r="S26">
            <v>20.8</v>
          </cell>
        </row>
        <row r="27">
          <cell r="S27">
            <v>20.7</v>
          </cell>
        </row>
      </sheetData>
      <sheetData sheetId="48" refreshError="1"/>
      <sheetData sheetId="49">
        <row r="10">
          <cell r="S10">
            <v>19.2</v>
          </cell>
        </row>
        <row r="11">
          <cell r="S11">
            <v>19.2</v>
          </cell>
        </row>
        <row r="12">
          <cell r="S12">
            <v>19.399999999999999</v>
          </cell>
        </row>
        <row r="13">
          <cell r="S13">
            <v>19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19.2</v>
          </cell>
        </row>
        <row r="18">
          <cell r="S18">
            <v>19</v>
          </cell>
        </row>
        <row r="19">
          <cell r="S19">
            <v>19.600000000000001</v>
          </cell>
        </row>
        <row r="20">
          <cell r="S20">
            <v>19.7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20.399999999999999</v>
          </cell>
        </row>
        <row r="24">
          <cell r="S24">
            <v>20.5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50" refreshError="1"/>
      <sheetData sheetId="51">
        <row r="10">
          <cell r="S10">
            <v>19.8</v>
          </cell>
        </row>
        <row r="11">
          <cell r="S11">
            <v>19.8</v>
          </cell>
        </row>
        <row r="12">
          <cell r="S12">
            <v>19.600000000000001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19.600000000000001</v>
          </cell>
        </row>
        <row r="17">
          <cell r="S17">
            <v>19.2</v>
          </cell>
        </row>
        <row r="18">
          <cell r="S18">
            <v>19.2</v>
          </cell>
        </row>
        <row r="19">
          <cell r="S19">
            <v>19.7</v>
          </cell>
        </row>
        <row r="20">
          <cell r="S20">
            <v>19.899999999999999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</v>
          </cell>
        </row>
        <row r="27">
          <cell r="S27">
            <v>20.2</v>
          </cell>
        </row>
      </sheetData>
      <sheetData sheetId="52" refreshError="1"/>
      <sheetData sheetId="53">
        <row r="10">
          <cell r="S10">
            <v>19.8</v>
          </cell>
        </row>
        <row r="11">
          <cell r="S11">
            <v>19.7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19.3</v>
          </cell>
        </row>
        <row r="20">
          <cell r="S20">
            <v>19.3</v>
          </cell>
        </row>
        <row r="21">
          <cell r="S21">
            <v>19.2</v>
          </cell>
        </row>
        <row r="22">
          <cell r="S22">
            <v>19.3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19.100000000000001</v>
          </cell>
        </row>
      </sheetData>
      <sheetData sheetId="54" refreshError="1"/>
      <sheetData sheetId="55">
        <row r="10">
          <cell r="S10">
            <v>18.8</v>
          </cell>
        </row>
        <row r="11">
          <cell r="S11">
            <v>18.8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18.399999999999999</v>
          </cell>
        </row>
        <row r="17">
          <cell r="S17">
            <v>18.600000000000001</v>
          </cell>
        </row>
        <row r="18">
          <cell r="S18">
            <v>18.8</v>
          </cell>
        </row>
        <row r="19">
          <cell r="S19">
            <v>19</v>
          </cell>
        </row>
        <row r="20">
          <cell r="S20">
            <v>19.2</v>
          </cell>
        </row>
        <row r="21">
          <cell r="S21">
            <v>19.3</v>
          </cell>
        </row>
        <row r="22">
          <cell r="S22">
            <v>19.399999999999999</v>
          </cell>
        </row>
        <row r="23">
          <cell r="S23">
            <v>19.5</v>
          </cell>
        </row>
        <row r="24">
          <cell r="S24">
            <v>19.5</v>
          </cell>
        </row>
        <row r="25">
          <cell r="S25">
            <v>19.5</v>
          </cell>
        </row>
        <row r="26">
          <cell r="S26">
            <v>19.5</v>
          </cell>
        </row>
        <row r="27">
          <cell r="S27">
            <v>19.399999999999999</v>
          </cell>
        </row>
      </sheetData>
      <sheetData sheetId="56" refreshError="1"/>
      <sheetData sheetId="57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18.7</v>
          </cell>
        </row>
        <row r="22">
          <cell r="S22">
            <v>18.7</v>
          </cell>
        </row>
        <row r="23">
          <cell r="S23">
            <v>18.7</v>
          </cell>
        </row>
        <row r="24">
          <cell r="S24">
            <v>18.7</v>
          </cell>
        </row>
        <row r="25">
          <cell r="S25">
            <v>18.5</v>
          </cell>
        </row>
        <row r="26">
          <cell r="S26">
            <v>18.5</v>
          </cell>
        </row>
        <row r="27">
          <cell r="S27">
            <v>18.5</v>
          </cell>
        </row>
      </sheetData>
      <sheetData sheetId="58" refreshError="1"/>
      <sheetData sheetId="59">
        <row r="10">
          <cell r="S10">
            <v>17.899999999999999</v>
          </cell>
        </row>
        <row r="11">
          <cell r="S11">
            <v>17.8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17.8</v>
          </cell>
        </row>
        <row r="15">
          <cell r="S15">
            <v>17.7</v>
          </cell>
        </row>
        <row r="16">
          <cell r="S16">
            <v>17.7</v>
          </cell>
        </row>
        <row r="17">
          <cell r="S17">
            <v>17.7</v>
          </cell>
        </row>
        <row r="18">
          <cell r="S18">
            <v>17.7</v>
          </cell>
        </row>
        <row r="19">
          <cell r="S19">
            <v>17.8</v>
          </cell>
        </row>
        <row r="20">
          <cell r="S20">
            <v>17.8</v>
          </cell>
        </row>
        <row r="21">
          <cell r="S21">
            <v>17.8</v>
          </cell>
        </row>
        <row r="22">
          <cell r="S22">
            <v>17.8</v>
          </cell>
        </row>
        <row r="23">
          <cell r="S23">
            <v>17.600000000000001</v>
          </cell>
        </row>
        <row r="24">
          <cell r="S24">
            <v>17.8</v>
          </cell>
        </row>
        <row r="25">
          <cell r="S25">
            <v>17.8</v>
          </cell>
        </row>
        <row r="26">
          <cell r="S26">
            <v>17.8</v>
          </cell>
        </row>
        <row r="27">
          <cell r="S27">
            <v>17.600000000000001</v>
          </cell>
        </row>
      </sheetData>
      <sheetData sheetId="60" refreshError="1"/>
      <sheetData sheetId="61">
        <row r="10">
          <cell r="S10">
            <v>17.5</v>
          </cell>
        </row>
        <row r="11">
          <cell r="S11">
            <v>17.5</v>
          </cell>
        </row>
        <row r="12">
          <cell r="S12">
            <v>17.399999999999999</v>
          </cell>
        </row>
        <row r="13">
          <cell r="S13">
            <v>17.5</v>
          </cell>
        </row>
        <row r="14">
          <cell r="S14">
            <v>17.399999999999999</v>
          </cell>
        </row>
        <row r="15">
          <cell r="S15">
            <v>17.399999999999999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17.399999999999999</v>
          </cell>
        </row>
        <row r="19">
          <cell r="S19">
            <v>17.5</v>
          </cell>
        </row>
        <row r="20">
          <cell r="S20">
            <v>17.5</v>
          </cell>
        </row>
        <row r="21">
          <cell r="S21">
            <v>17.600000000000001</v>
          </cell>
        </row>
        <row r="22">
          <cell r="S22">
            <v>17.600000000000001</v>
          </cell>
        </row>
        <row r="23">
          <cell r="S23">
            <v>17.600000000000001</v>
          </cell>
        </row>
        <row r="24">
          <cell r="S24">
            <v>17.600000000000001</v>
          </cell>
        </row>
        <row r="25">
          <cell r="S25">
            <v>17.600000000000001</v>
          </cell>
        </row>
        <row r="26">
          <cell r="S26">
            <v>17.600000000000001</v>
          </cell>
        </row>
        <row r="27">
          <cell r="S27">
            <v>17.600000000000001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17.5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17.600000000000001</v>
          </cell>
        </row>
        <row r="15">
          <cell r="S15">
            <v>17.600000000000001</v>
          </cell>
        </row>
        <row r="16">
          <cell r="S16">
            <v>17.7</v>
          </cell>
        </row>
        <row r="17">
          <cell r="S17">
            <v>17.7</v>
          </cell>
        </row>
        <row r="18">
          <cell r="S18">
            <v>18</v>
          </cell>
        </row>
        <row r="19">
          <cell r="S19">
            <v>18.2</v>
          </cell>
        </row>
        <row r="20">
          <cell r="S20">
            <v>18.3</v>
          </cell>
        </row>
        <row r="21">
          <cell r="S21">
            <v>18.399999999999999</v>
          </cell>
        </row>
        <row r="22">
          <cell r="S22">
            <v>18.5</v>
          </cell>
        </row>
        <row r="23">
          <cell r="S23">
            <v>18.5</v>
          </cell>
        </row>
        <row r="24">
          <cell r="S24">
            <v>18.600000000000001</v>
          </cell>
        </row>
        <row r="25">
          <cell r="S25">
            <v>18.7</v>
          </cell>
        </row>
        <row r="26">
          <cell r="S26">
            <v>18.7</v>
          </cell>
        </row>
        <row r="27">
          <cell r="S27">
            <v>18.7</v>
          </cell>
        </row>
      </sheetData>
      <sheetData sheetId="4">
        <row r="1">
          <cell r="C1" t="str">
            <v>OUTUBRO DE 2022</v>
          </cell>
        </row>
      </sheetData>
      <sheetData sheetId="5">
        <row r="10">
          <cell r="S10">
            <v>18.5</v>
          </cell>
        </row>
        <row r="11">
          <cell r="S11">
            <v>18.399999999999999</v>
          </cell>
        </row>
        <row r="12">
          <cell r="S12">
            <v>18.5</v>
          </cell>
        </row>
        <row r="13">
          <cell r="S13">
            <v>18.5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19</v>
          </cell>
        </row>
        <row r="19">
          <cell r="S19">
            <v>18.899999999999999</v>
          </cell>
        </row>
        <row r="20">
          <cell r="S20">
            <v>19</v>
          </cell>
        </row>
        <row r="21">
          <cell r="S21">
            <v>19.100000000000001</v>
          </cell>
        </row>
        <row r="22">
          <cell r="S22">
            <v>19.399999999999999</v>
          </cell>
        </row>
        <row r="23">
          <cell r="S23">
            <v>19.5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19.7</v>
          </cell>
        </row>
        <row r="27">
          <cell r="S27">
            <v>19.600000000000001</v>
          </cell>
        </row>
      </sheetData>
      <sheetData sheetId="6" refreshError="1"/>
      <sheetData sheetId="7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19.399999999999999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8" refreshError="1"/>
      <sheetData sheetId="9">
        <row r="10">
          <cell r="S10">
            <v>19.2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19.2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19.399999999999999</v>
          </cell>
        </row>
        <row r="27">
          <cell r="S27">
            <v>18.8</v>
          </cell>
        </row>
      </sheetData>
      <sheetData sheetId="10" refreshError="1"/>
      <sheetData sheetId="11">
        <row r="10">
          <cell r="S10">
            <v>19</v>
          </cell>
        </row>
        <row r="11">
          <cell r="S11">
            <v>18.899999999999999</v>
          </cell>
        </row>
        <row r="12">
          <cell r="S12">
            <v>18.899999999999999</v>
          </cell>
        </row>
        <row r="13">
          <cell r="S13">
            <v>18.899999999999999</v>
          </cell>
        </row>
        <row r="14">
          <cell r="S14">
            <v>19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19.3</v>
          </cell>
        </row>
        <row r="18">
          <cell r="S18">
            <v>19.399999999999999</v>
          </cell>
        </row>
        <row r="19">
          <cell r="S19">
            <v>19.600000000000001</v>
          </cell>
        </row>
        <row r="20">
          <cell r="S20">
            <v>19.899999999999999</v>
          </cell>
        </row>
        <row r="21">
          <cell r="S21">
            <v>20.100000000000001</v>
          </cell>
        </row>
        <row r="22">
          <cell r="S22">
            <v>20.2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20.7</v>
          </cell>
        </row>
        <row r="27">
          <cell r="S27">
            <v>20.9</v>
          </cell>
        </row>
      </sheetData>
      <sheetData sheetId="12" refreshError="1"/>
      <sheetData sheetId="13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20.5</v>
          </cell>
        </row>
        <row r="15">
          <cell r="S15">
            <v>20.399999999999999</v>
          </cell>
        </row>
        <row r="16">
          <cell r="S16">
            <v>20.6</v>
          </cell>
        </row>
        <row r="17">
          <cell r="S17">
            <v>20.8</v>
          </cell>
        </row>
        <row r="18">
          <cell r="S18">
            <v>20.9</v>
          </cell>
        </row>
        <row r="19">
          <cell r="S19">
            <v>21.2</v>
          </cell>
        </row>
        <row r="20">
          <cell r="S20">
            <v>21.5</v>
          </cell>
        </row>
        <row r="21">
          <cell r="S21">
            <v>21.8</v>
          </cell>
        </row>
        <row r="22">
          <cell r="S22">
            <v>21.9</v>
          </cell>
        </row>
        <row r="23">
          <cell r="S23">
            <v>21.9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22</v>
          </cell>
        </row>
        <row r="27">
          <cell r="S27">
            <v>22.3</v>
          </cell>
        </row>
      </sheetData>
      <sheetData sheetId="14" refreshError="1"/>
      <sheetData sheetId="15">
        <row r="10">
          <cell r="S10">
            <v>21.8</v>
          </cell>
        </row>
        <row r="11">
          <cell r="S11">
            <v>21.7</v>
          </cell>
        </row>
        <row r="12">
          <cell r="S12">
            <v>21.6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21.5</v>
          </cell>
        </row>
        <row r="18">
          <cell r="S18">
            <v>21.7</v>
          </cell>
        </row>
        <row r="19">
          <cell r="S19">
            <v>21.4</v>
          </cell>
        </row>
        <row r="20">
          <cell r="S20">
            <v>21.5</v>
          </cell>
        </row>
        <row r="21">
          <cell r="S21">
            <v>21.5</v>
          </cell>
        </row>
        <row r="22">
          <cell r="S22">
            <v>21.6</v>
          </cell>
        </row>
        <row r="23">
          <cell r="S23">
            <v>21.6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21.5</v>
          </cell>
        </row>
        <row r="27">
          <cell r="S27">
            <v>21.4</v>
          </cell>
        </row>
      </sheetData>
      <sheetData sheetId="16" refreshError="1"/>
      <sheetData sheetId="17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20.5</v>
          </cell>
        </row>
        <row r="14">
          <cell r="S14">
            <v>20.5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20.8</v>
          </cell>
        </row>
        <row r="18">
          <cell r="S18">
            <v>20.9</v>
          </cell>
        </row>
        <row r="19">
          <cell r="S19">
            <v>20.9</v>
          </cell>
        </row>
        <row r="20">
          <cell r="S20">
            <v>20.9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18" refreshError="1"/>
      <sheetData sheetId="19">
        <row r="10">
          <cell r="S10">
            <v>21.2</v>
          </cell>
        </row>
        <row r="11">
          <cell r="S11">
            <v>21.2</v>
          </cell>
        </row>
        <row r="12">
          <cell r="S12">
            <v>21.1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21.1</v>
          </cell>
        </row>
        <row r="17">
          <cell r="S17">
            <v>21.1</v>
          </cell>
        </row>
        <row r="18">
          <cell r="S18">
            <v>21.2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21.2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</v>
          </cell>
        </row>
        <row r="25">
          <cell r="S25">
            <v>20.8</v>
          </cell>
        </row>
        <row r="26">
          <cell r="S26">
            <v>20.8</v>
          </cell>
        </row>
        <row r="27">
          <cell r="S27">
            <v>21</v>
          </cell>
        </row>
      </sheetData>
      <sheetData sheetId="20" refreshError="1"/>
      <sheetData sheetId="21">
        <row r="10">
          <cell r="S10">
            <v>20.8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20.5</v>
          </cell>
        </row>
        <row r="18">
          <cell r="S18">
            <v>20.5</v>
          </cell>
        </row>
        <row r="19">
          <cell r="S19">
            <v>20.5</v>
          </cell>
        </row>
        <row r="20">
          <cell r="S20">
            <v>20.6</v>
          </cell>
        </row>
        <row r="21">
          <cell r="S21">
            <v>20.5</v>
          </cell>
        </row>
        <row r="22">
          <cell r="S22">
            <v>20.5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20.5</v>
          </cell>
        </row>
      </sheetData>
      <sheetData sheetId="22" refreshError="1"/>
      <sheetData sheetId="23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20.100000000000001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20.7</v>
          </cell>
        </row>
        <row r="21">
          <cell r="S21">
            <v>20.9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24" refreshError="1"/>
      <sheetData sheetId="25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21.2</v>
          </cell>
        </row>
        <row r="20">
          <cell r="S20">
            <v>21.4</v>
          </cell>
        </row>
        <row r="21">
          <cell r="S21">
            <v>21.6</v>
          </cell>
        </row>
        <row r="22">
          <cell r="S22">
            <v>21.7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26" refreshError="1"/>
      <sheetData sheetId="27">
        <row r="10">
          <cell r="S10">
            <v>21.3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21.2</v>
          </cell>
        </row>
        <row r="15">
          <cell r="S15">
            <v>21.1</v>
          </cell>
        </row>
        <row r="16">
          <cell r="S16">
            <v>21.3</v>
          </cell>
        </row>
        <row r="17">
          <cell r="S17">
            <v>21.4</v>
          </cell>
        </row>
        <row r="18">
          <cell r="S18">
            <v>21.5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21.8</v>
          </cell>
        </row>
        <row r="23">
          <cell r="S23">
            <v>22.1</v>
          </cell>
        </row>
        <row r="24">
          <cell r="S24">
            <v>22.2</v>
          </cell>
        </row>
        <row r="25">
          <cell r="S25">
            <v>22.4</v>
          </cell>
        </row>
        <row r="26">
          <cell r="S26">
            <v>22.2</v>
          </cell>
        </row>
        <row r="27">
          <cell r="S27">
            <v>22</v>
          </cell>
        </row>
      </sheetData>
      <sheetData sheetId="28" refreshError="1"/>
      <sheetData sheetId="29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21.5</v>
          </cell>
        </row>
        <row r="17">
          <cell r="S17">
            <v>21.6</v>
          </cell>
        </row>
        <row r="18">
          <cell r="S18">
            <v>21.7</v>
          </cell>
        </row>
        <row r="19">
          <cell r="S19">
            <v>21</v>
          </cell>
        </row>
        <row r="20">
          <cell r="S20">
            <v>21.2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21.8</v>
          </cell>
        </row>
        <row r="27">
          <cell r="S27">
            <v>21.4</v>
          </cell>
        </row>
      </sheetData>
      <sheetData sheetId="30" refreshError="1"/>
      <sheetData sheetId="31">
        <row r="10">
          <cell r="S10">
            <v>21.3</v>
          </cell>
        </row>
        <row r="11">
          <cell r="S11">
            <v>21.3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21.2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21.1</v>
          </cell>
        </row>
        <row r="18">
          <cell r="S18">
            <v>21.2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21.2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32" refreshError="1"/>
      <sheetData sheetId="33">
        <row r="10">
          <cell r="S10">
            <v>20.7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20.8</v>
          </cell>
        </row>
        <row r="17">
          <cell r="S17">
            <v>20.9</v>
          </cell>
        </row>
        <row r="18">
          <cell r="S18">
            <v>21</v>
          </cell>
        </row>
        <row r="19">
          <cell r="S19">
            <v>21.4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21.8</v>
          </cell>
        </row>
        <row r="23">
          <cell r="S23">
            <v>21.9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34" refreshError="1"/>
      <sheetData sheetId="35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21.9</v>
          </cell>
        </row>
        <row r="20">
          <cell r="S20">
            <v>22.1</v>
          </cell>
        </row>
        <row r="21">
          <cell r="S21">
            <v>22.3</v>
          </cell>
        </row>
        <row r="22">
          <cell r="S22">
            <v>22.5</v>
          </cell>
        </row>
        <row r="23">
          <cell r="S23">
            <v>22.5</v>
          </cell>
        </row>
        <row r="24">
          <cell r="S24">
            <v>22.8</v>
          </cell>
        </row>
        <row r="25">
          <cell r="S25">
            <v>23</v>
          </cell>
        </row>
        <row r="26">
          <cell r="S26">
            <v>22.9</v>
          </cell>
        </row>
        <row r="27">
          <cell r="S27">
            <v>22.8</v>
          </cell>
        </row>
      </sheetData>
      <sheetData sheetId="36" refreshError="1"/>
      <sheetData sheetId="37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21.8</v>
          </cell>
        </row>
        <row r="15">
          <cell r="S15">
            <v>21.6</v>
          </cell>
        </row>
        <row r="16">
          <cell r="S16">
            <v>21.8</v>
          </cell>
        </row>
        <row r="17">
          <cell r="S17">
            <v>21.6</v>
          </cell>
        </row>
        <row r="18">
          <cell r="S18">
            <v>21.6</v>
          </cell>
        </row>
        <row r="19">
          <cell r="S19">
            <v>21.6</v>
          </cell>
        </row>
        <row r="20">
          <cell r="S20">
            <v>21.6</v>
          </cell>
        </row>
        <row r="21">
          <cell r="S21">
            <v>21.5</v>
          </cell>
        </row>
        <row r="22">
          <cell r="S22">
            <v>21.4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21.3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38" refreshError="1"/>
      <sheetData sheetId="39">
        <row r="10">
          <cell r="S10">
            <v>20.9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20.7</v>
          </cell>
        </row>
        <row r="18">
          <cell r="S18">
            <v>20.7</v>
          </cell>
        </row>
        <row r="19">
          <cell r="S19">
            <v>20.7</v>
          </cell>
        </row>
        <row r="20">
          <cell r="S20">
            <v>20.7</v>
          </cell>
        </row>
        <row r="21">
          <cell r="S21">
            <v>20.7</v>
          </cell>
        </row>
        <row r="22">
          <cell r="S22">
            <v>20.7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20.9</v>
          </cell>
        </row>
        <row r="26">
          <cell r="S26">
            <v>20.9</v>
          </cell>
        </row>
        <row r="27">
          <cell r="S27">
            <v>20.9</v>
          </cell>
        </row>
      </sheetData>
      <sheetData sheetId="40" refreshError="1"/>
      <sheetData sheetId="41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20.5</v>
          </cell>
        </row>
        <row r="16">
          <cell r="S16">
            <v>20.399999999999999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21.3</v>
          </cell>
        </row>
        <row r="20">
          <cell r="S20">
            <v>21.6</v>
          </cell>
        </row>
        <row r="21">
          <cell r="S21">
            <v>21.7</v>
          </cell>
        </row>
        <row r="22">
          <cell r="S22">
            <v>22</v>
          </cell>
        </row>
        <row r="23">
          <cell r="S23">
            <v>22.1</v>
          </cell>
        </row>
        <row r="24">
          <cell r="S24">
            <v>22.4</v>
          </cell>
        </row>
        <row r="25">
          <cell r="S25">
            <v>22.3</v>
          </cell>
        </row>
        <row r="26">
          <cell r="S26">
            <v>22.3</v>
          </cell>
        </row>
        <row r="27">
          <cell r="S27">
            <v>22.3</v>
          </cell>
        </row>
      </sheetData>
      <sheetData sheetId="42" refreshError="1"/>
      <sheetData sheetId="43">
        <row r="10">
          <cell r="S10">
            <v>21.8</v>
          </cell>
        </row>
        <row r="11">
          <cell r="S11">
            <v>21.7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21.5</v>
          </cell>
        </row>
        <row r="15">
          <cell r="S15">
            <v>21.4</v>
          </cell>
        </row>
        <row r="16">
          <cell r="S16">
            <v>21.6</v>
          </cell>
        </row>
        <row r="17">
          <cell r="S17">
            <v>21.4</v>
          </cell>
        </row>
        <row r="18">
          <cell r="S18">
            <v>21.5</v>
          </cell>
        </row>
        <row r="19">
          <cell r="S19">
            <v>21.6</v>
          </cell>
        </row>
        <row r="20">
          <cell r="S20">
            <v>21.6</v>
          </cell>
        </row>
        <row r="21">
          <cell r="S21">
            <v>21.7</v>
          </cell>
        </row>
        <row r="22">
          <cell r="S22">
            <v>21.7</v>
          </cell>
        </row>
        <row r="23">
          <cell r="S23">
            <v>21.7</v>
          </cell>
        </row>
        <row r="24">
          <cell r="S24">
            <v>21.8</v>
          </cell>
        </row>
        <row r="25">
          <cell r="S25">
            <v>21.7</v>
          </cell>
        </row>
        <row r="26">
          <cell r="S26">
            <v>21.5</v>
          </cell>
        </row>
        <row r="27">
          <cell r="S27">
            <v>21.7</v>
          </cell>
        </row>
      </sheetData>
      <sheetData sheetId="44" refreshError="1"/>
      <sheetData sheetId="45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21.4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21.6</v>
          </cell>
        </row>
        <row r="18">
          <cell r="S18">
            <v>21.6</v>
          </cell>
        </row>
        <row r="19">
          <cell r="S19">
            <v>21.9</v>
          </cell>
        </row>
        <row r="20">
          <cell r="S20">
            <v>22.1</v>
          </cell>
        </row>
        <row r="21">
          <cell r="S21">
            <v>22.2</v>
          </cell>
        </row>
        <row r="22">
          <cell r="S22">
            <v>22.3</v>
          </cell>
        </row>
        <row r="23">
          <cell r="S23">
            <v>22.4</v>
          </cell>
        </row>
        <row r="24">
          <cell r="S24">
            <v>22.3</v>
          </cell>
        </row>
        <row r="25">
          <cell r="S25">
            <v>22.3</v>
          </cell>
        </row>
        <row r="26">
          <cell r="S26">
            <v>22.3</v>
          </cell>
        </row>
        <row r="27">
          <cell r="S27">
            <v>22.2</v>
          </cell>
        </row>
      </sheetData>
      <sheetData sheetId="46" refreshError="1"/>
      <sheetData sheetId="47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21.8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22.4</v>
          </cell>
        </row>
        <row r="20">
          <cell r="S20">
            <v>22.8</v>
          </cell>
        </row>
        <row r="21">
          <cell r="S21">
            <v>23.1</v>
          </cell>
        </row>
        <row r="22">
          <cell r="S22">
            <v>23.3</v>
          </cell>
        </row>
        <row r="23">
          <cell r="S23">
            <v>23.5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48" refreshError="1"/>
      <sheetData sheetId="49">
        <row r="10">
          <cell r="S10">
            <v>22.9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22.6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22.6</v>
          </cell>
        </row>
        <row r="20">
          <cell r="S20">
            <v>22.8</v>
          </cell>
        </row>
        <row r="21">
          <cell r="S21">
            <v>22.9</v>
          </cell>
        </row>
        <row r="22">
          <cell r="S22">
            <v>23</v>
          </cell>
        </row>
        <row r="23">
          <cell r="S23">
            <v>23.1</v>
          </cell>
        </row>
        <row r="24">
          <cell r="S24">
            <v>23.1</v>
          </cell>
        </row>
        <row r="25">
          <cell r="S25">
            <v>23.1</v>
          </cell>
        </row>
        <row r="26">
          <cell r="S26">
            <v>23.1</v>
          </cell>
        </row>
        <row r="27">
          <cell r="S27">
            <v>23</v>
          </cell>
        </row>
      </sheetData>
      <sheetData sheetId="50" refreshError="1"/>
      <sheetData sheetId="51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22.4</v>
          </cell>
        </row>
        <row r="17">
          <cell r="S17">
            <v>22.6</v>
          </cell>
        </row>
        <row r="18">
          <cell r="S18">
            <v>23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23.6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23.8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52" refreshError="1"/>
      <sheetData sheetId="53">
        <row r="10">
          <cell r="S10">
            <v>23.3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23.2</v>
          </cell>
        </row>
        <row r="14">
          <cell r="S14">
            <v>23.1</v>
          </cell>
        </row>
        <row r="15">
          <cell r="S15">
            <v>23.1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23.7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24.6</v>
          </cell>
        </row>
        <row r="24">
          <cell r="S24">
            <v>25</v>
          </cell>
        </row>
        <row r="25">
          <cell r="S25">
            <v>24.8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54" refreshError="1"/>
      <sheetData sheetId="55">
        <row r="10">
          <cell r="S10">
            <v>24.4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24.5</v>
          </cell>
        </row>
        <row r="18">
          <cell r="S18">
            <v>24.7</v>
          </cell>
        </row>
        <row r="19">
          <cell r="S19">
            <v>25.1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26.2</v>
          </cell>
        </row>
        <row r="25">
          <cell r="S25">
            <v>26.2</v>
          </cell>
        </row>
        <row r="26">
          <cell r="S26">
            <v>26.2</v>
          </cell>
        </row>
        <row r="27">
          <cell r="S27">
            <v>26.2</v>
          </cell>
        </row>
      </sheetData>
      <sheetData sheetId="56" refreshError="1"/>
      <sheetData sheetId="57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25.5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58" refreshError="1"/>
      <sheetData sheetId="59">
        <row r="10">
          <cell r="S10">
            <v>25.4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25.3</v>
          </cell>
        </row>
        <row r="15">
          <cell r="S15">
            <v>25.2</v>
          </cell>
        </row>
        <row r="16">
          <cell r="S16">
            <v>25.3</v>
          </cell>
        </row>
        <row r="17">
          <cell r="S17">
            <v>25.5</v>
          </cell>
        </row>
        <row r="18">
          <cell r="S18">
            <v>25.7</v>
          </cell>
        </row>
        <row r="19">
          <cell r="S19">
            <v>26.1</v>
          </cell>
        </row>
        <row r="20">
          <cell r="S20">
            <v>26.2</v>
          </cell>
        </row>
        <row r="21">
          <cell r="S21">
            <v>26.4</v>
          </cell>
        </row>
        <row r="22">
          <cell r="S22">
            <v>26.5</v>
          </cell>
        </row>
        <row r="23">
          <cell r="S23">
            <v>26.6</v>
          </cell>
        </row>
        <row r="24">
          <cell r="S24">
            <v>26.8</v>
          </cell>
        </row>
        <row r="25">
          <cell r="S25">
            <v>26.8</v>
          </cell>
        </row>
        <row r="26">
          <cell r="S26">
            <v>26.8</v>
          </cell>
        </row>
        <row r="27">
          <cell r="S27">
            <v>26.8</v>
          </cell>
        </row>
      </sheetData>
      <sheetData sheetId="60" refreshError="1"/>
      <sheetData sheetId="61">
        <row r="10">
          <cell r="S10">
            <v>25.4</v>
          </cell>
        </row>
        <row r="11">
          <cell r="S11">
            <v>25.4</v>
          </cell>
        </row>
        <row r="12">
          <cell r="S12">
            <v>25.2</v>
          </cell>
        </row>
        <row r="13">
          <cell r="S13">
            <v>25.1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25.1</v>
          </cell>
        </row>
        <row r="17">
          <cell r="S17">
            <v>25.2</v>
          </cell>
        </row>
        <row r="18">
          <cell r="S18">
            <v>25.2</v>
          </cell>
        </row>
        <row r="19">
          <cell r="S19">
            <v>25.4</v>
          </cell>
        </row>
        <row r="20">
          <cell r="S20">
            <v>25.6</v>
          </cell>
        </row>
        <row r="21">
          <cell r="S21">
            <v>25.8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62" refreshError="1"/>
      <sheetData sheetId="63">
        <row r="10">
          <cell r="S10">
            <v>24.6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24.2</v>
          </cell>
        </row>
        <row r="15">
          <cell r="S15">
            <v>24.4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24.2</v>
          </cell>
        </row>
        <row r="20">
          <cell r="S20">
            <v>24.2</v>
          </cell>
        </row>
        <row r="21">
          <cell r="S21">
            <v>24.2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23.2</v>
          </cell>
        </row>
        <row r="11">
          <cell r="S11">
            <v>23.2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22.9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22.8</v>
          </cell>
        </row>
        <row r="19">
          <cell r="S19">
            <v>22.8</v>
          </cell>
        </row>
        <row r="20">
          <cell r="S20">
            <v>22.4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21.6</v>
          </cell>
        </row>
        <row r="24">
          <cell r="S24">
            <v>22.4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4">
        <row r="1">
          <cell r="C1" t="str">
            <v>NOVEMBRO DE 2022</v>
          </cell>
        </row>
      </sheetData>
      <sheetData sheetId="5">
        <row r="10">
          <cell r="S10">
            <v>21.5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20.9</v>
          </cell>
        </row>
        <row r="17">
          <cell r="S17">
            <v>20.9</v>
          </cell>
        </row>
        <row r="18">
          <cell r="S18">
            <v>20.8</v>
          </cell>
        </row>
        <row r="19">
          <cell r="S19">
            <v>20.7</v>
          </cell>
        </row>
        <row r="20">
          <cell r="S20">
            <v>20.7</v>
          </cell>
        </row>
        <row r="21">
          <cell r="S21">
            <v>20.5</v>
          </cell>
        </row>
        <row r="22">
          <cell r="S22">
            <v>20.7</v>
          </cell>
        </row>
        <row r="23">
          <cell r="S23">
            <v>20.5</v>
          </cell>
        </row>
        <row r="24">
          <cell r="S24">
            <v>20.399999999999999</v>
          </cell>
        </row>
        <row r="25">
          <cell r="S25">
            <v>20.5</v>
          </cell>
        </row>
        <row r="26">
          <cell r="S26">
            <v>20.3</v>
          </cell>
        </row>
        <row r="27">
          <cell r="S27">
            <v>20.2</v>
          </cell>
        </row>
      </sheetData>
      <sheetData sheetId="6" refreshError="1"/>
      <sheetData sheetId="7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19.2</v>
          </cell>
        </row>
        <row r="15">
          <cell r="S15">
            <v>19.3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19.3</v>
          </cell>
        </row>
        <row r="19">
          <cell r="S19">
            <v>19.399999999999999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19.5</v>
          </cell>
        </row>
        <row r="23">
          <cell r="S23">
            <v>19.8</v>
          </cell>
        </row>
        <row r="24">
          <cell r="S24">
            <v>19.8</v>
          </cell>
        </row>
        <row r="25">
          <cell r="S25">
            <v>19.600000000000001</v>
          </cell>
        </row>
        <row r="26">
          <cell r="S26">
            <v>19.5</v>
          </cell>
        </row>
        <row r="27">
          <cell r="S27">
            <v>19.5</v>
          </cell>
        </row>
      </sheetData>
      <sheetData sheetId="8" refreshError="1"/>
      <sheetData sheetId="9">
        <row r="10">
          <cell r="S10">
            <v>19.3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19.100000000000001</v>
          </cell>
        </row>
        <row r="18">
          <cell r="S18">
            <v>19.2</v>
          </cell>
        </row>
        <row r="19">
          <cell r="S19">
            <v>19.399999999999999</v>
          </cell>
        </row>
        <row r="20">
          <cell r="S20">
            <v>19.5</v>
          </cell>
        </row>
        <row r="21">
          <cell r="S21">
            <v>19.5</v>
          </cell>
        </row>
        <row r="22">
          <cell r="S22">
            <v>19.8</v>
          </cell>
        </row>
        <row r="23">
          <cell r="S23">
            <v>19.8</v>
          </cell>
        </row>
        <row r="24">
          <cell r="S24">
            <v>19.899999999999999</v>
          </cell>
        </row>
        <row r="25">
          <cell r="S25">
            <v>20</v>
          </cell>
        </row>
        <row r="26">
          <cell r="S26">
            <v>19.899999999999999</v>
          </cell>
        </row>
        <row r="27">
          <cell r="S27">
            <v>19.8</v>
          </cell>
        </row>
      </sheetData>
      <sheetData sheetId="10" refreshError="1"/>
      <sheetData sheetId="11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19.3</v>
          </cell>
        </row>
        <row r="16">
          <cell r="S16">
            <v>19.399999999999999</v>
          </cell>
        </row>
        <row r="17">
          <cell r="S17">
            <v>19.5</v>
          </cell>
        </row>
        <row r="18">
          <cell r="S18">
            <v>19.600000000000001</v>
          </cell>
        </row>
        <row r="19">
          <cell r="S19">
            <v>19.600000000000001</v>
          </cell>
        </row>
        <row r="20">
          <cell r="S20">
            <v>19.399999999999999</v>
          </cell>
        </row>
        <row r="21">
          <cell r="S21">
            <v>19.8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12" refreshError="1"/>
      <sheetData sheetId="13">
        <row r="10">
          <cell r="S10">
            <v>19.600000000000001</v>
          </cell>
        </row>
        <row r="11">
          <cell r="S11">
            <v>19.7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19.399999999999999</v>
          </cell>
        </row>
        <row r="15">
          <cell r="S15">
            <v>19.600000000000001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19.8</v>
          </cell>
        </row>
        <row r="19">
          <cell r="S19">
            <v>19.8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20.2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20.399999999999999</v>
          </cell>
        </row>
        <row r="27">
          <cell r="S27">
            <v>20.2</v>
          </cell>
        </row>
      </sheetData>
      <sheetData sheetId="14" refreshError="1"/>
      <sheetData sheetId="15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19.899999999999999</v>
          </cell>
        </row>
        <row r="13">
          <cell r="S13">
            <v>19.899999999999999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19.899999999999999</v>
          </cell>
        </row>
        <row r="17">
          <cell r="S17">
            <v>19.899999999999999</v>
          </cell>
        </row>
        <row r="18">
          <cell r="S18">
            <v>20</v>
          </cell>
        </row>
        <row r="19">
          <cell r="S19">
            <v>19.8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20.2</v>
          </cell>
        </row>
        <row r="27">
          <cell r="S27">
            <v>20</v>
          </cell>
        </row>
      </sheetData>
      <sheetData sheetId="16" refreshError="1"/>
      <sheetData sheetId="17">
        <row r="10">
          <cell r="S10">
            <v>19.8</v>
          </cell>
        </row>
        <row r="11">
          <cell r="S11">
            <v>19.8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19.600000000000001</v>
          </cell>
        </row>
        <row r="15">
          <cell r="S15">
            <v>19.7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20.3</v>
          </cell>
        </row>
        <row r="19">
          <cell r="S19">
            <v>20.3</v>
          </cell>
        </row>
        <row r="20">
          <cell r="S20">
            <v>20.8</v>
          </cell>
        </row>
        <row r="21">
          <cell r="S21">
            <v>21.1</v>
          </cell>
        </row>
        <row r="22">
          <cell r="S22">
            <v>21.4</v>
          </cell>
        </row>
        <row r="23">
          <cell r="S23">
            <v>21.6</v>
          </cell>
        </row>
        <row r="24">
          <cell r="S24">
            <v>21.7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18" refreshError="1"/>
      <sheetData sheetId="19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21.8</v>
          </cell>
        </row>
        <row r="20">
          <cell r="S20">
            <v>22</v>
          </cell>
        </row>
        <row r="21">
          <cell r="S21">
            <v>22.3</v>
          </cell>
        </row>
        <row r="22">
          <cell r="S22">
            <v>22.4</v>
          </cell>
        </row>
        <row r="23">
          <cell r="S23">
            <v>22.5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20" refreshError="1"/>
      <sheetData sheetId="21">
        <row r="10">
          <cell r="S10">
            <v>21.8</v>
          </cell>
        </row>
        <row r="11">
          <cell r="S11">
            <v>21.7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21.7</v>
          </cell>
        </row>
        <row r="17">
          <cell r="S17">
            <v>21.8</v>
          </cell>
        </row>
        <row r="18">
          <cell r="S18">
            <v>21.8</v>
          </cell>
        </row>
        <row r="19">
          <cell r="S19">
            <v>22.2</v>
          </cell>
        </row>
        <row r="20">
          <cell r="S20">
            <v>22.4</v>
          </cell>
        </row>
        <row r="21">
          <cell r="S21">
            <v>22.8</v>
          </cell>
        </row>
        <row r="22">
          <cell r="S22">
            <v>23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22" refreshError="1"/>
      <sheetData sheetId="23">
        <row r="10">
          <cell r="S10">
            <v>22.6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22.2</v>
          </cell>
        </row>
        <row r="19">
          <cell r="S19">
            <v>23.1</v>
          </cell>
        </row>
        <row r="20">
          <cell r="S20">
            <v>23.2</v>
          </cell>
        </row>
        <row r="21">
          <cell r="S21">
            <v>23.4</v>
          </cell>
        </row>
        <row r="22">
          <cell r="S22">
            <v>23.5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24" refreshError="1"/>
      <sheetData sheetId="25">
        <row r="10">
          <cell r="S10">
            <v>22.6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22.5</v>
          </cell>
        </row>
        <row r="17">
          <cell r="S17">
            <v>22.5</v>
          </cell>
        </row>
        <row r="18">
          <cell r="S18">
            <v>22.5</v>
          </cell>
        </row>
        <row r="19">
          <cell r="S19">
            <v>22.5</v>
          </cell>
        </row>
        <row r="20">
          <cell r="S20">
            <v>22.6</v>
          </cell>
        </row>
        <row r="21">
          <cell r="S21">
            <v>22.7</v>
          </cell>
        </row>
        <row r="22">
          <cell r="S22">
            <v>22.8</v>
          </cell>
        </row>
        <row r="23">
          <cell r="S23">
            <v>22.8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22.9</v>
          </cell>
        </row>
        <row r="27">
          <cell r="S27">
            <v>22.8</v>
          </cell>
        </row>
      </sheetData>
      <sheetData sheetId="26" refreshError="1"/>
      <sheetData sheetId="27">
        <row r="10">
          <cell r="S10">
            <v>22.6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22.5</v>
          </cell>
        </row>
        <row r="14">
          <cell r="S14">
            <v>22.6</v>
          </cell>
        </row>
        <row r="15">
          <cell r="S15">
            <v>22.5</v>
          </cell>
        </row>
        <row r="16">
          <cell r="S16">
            <v>22.6</v>
          </cell>
        </row>
        <row r="17">
          <cell r="S17">
            <v>22.9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23.6</v>
          </cell>
        </row>
        <row r="21">
          <cell r="S21">
            <v>23.9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28" refreshError="1"/>
      <sheetData sheetId="29">
        <row r="10">
          <cell r="S10">
            <v>24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23.7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23.7</v>
          </cell>
        </row>
        <row r="20">
          <cell r="S20">
            <v>23.9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30" refreshError="1"/>
      <sheetData sheetId="31">
        <row r="10">
          <cell r="S10">
            <v>23.3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24.4</v>
          </cell>
        </row>
        <row r="23">
          <cell r="S23">
            <v>24.6</v>
          </cell>
        </row>
        <row r="24">
          <cell r="S24">
            <v>24.4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32" refreshError="1"/>
      <sheetData sheetId="33">
        <row r="10">
          <cell r="S10">
            <v>23.6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23.3</v>
          </cell>
        </row>
        <row r="18">
          <cell r="S18">
            <v>23.4</v>
          </cell>
        </row>
        <row r="19">
          <cell r="S19">
            <v>23.7</v>
          </cell>
        </row>
        <row r="20">
          <cell r="S20">
            <v>23.9</v>
          </cell>
        </row>
        <row r="21">
          <cell r="S21">
            <v>23.9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34" refreshError="1"/>
      <sheetData sheetId="35">
        <row r="10">
          <cell r="S10">
            <v>23.1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23</v>
          </cell>
        </row>
        <row r="16">
          <cell r="S16">
            <v>22.9</v>
          </cell>
        </row>
        <row r="17">
          <cell r="S17">
            <v>23</v>
          </cell>
        </row>
        <row r="18">
          <cell r="S18">
            <v>23.3</v>
          </cell>
        </row>
        <row r="19">
          <cell r="S19">
            <v>23.5</v>
          </cell>
        </row>
        <row r="20">
          <cell r="S20">
            <v>23.7</v>
          </cell>
        </row>
        <row r="21">
          <cell r="S21">
            <v>24</v>
          </cell>
        </row>
        <row r="22">
          <cell r="S22">
            <v>24.3</v>
          </cell>
        </row>
        <row r="23">
          <cell r="S23">
            <v>24.5</v>
          </cell>
        </row>
        <row r="24">
          <cell r="S24">
            <v>24.7</v>
          </cell>
        </row>
        <row r="25">
          <cell r="S25">
            <v>24.7</v>
          </cell>
        </row>
        <row r="26">
          <cell r="S26">
            <v>24.7</v>
          </cell>
        </row>
        <row r="27">
          <cell r="S27">
            <v>24.7</v>
          </cell>
        </row>
      </sheetData>
      <sheetData sheetId="36" refreshError="1"/>
      <sheetData sheetId="37">
        <row r="10">
          <cell r="S10">
            <v>23.6</v>
          </cell>
        </row>
        <row r="11">
          <cell r="S11">
            <v>23.6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24.7</v>
          </cell>
        </row>
        <row r="22">
          <cell r="S22">
            <v>25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38" refreshError="1"/>
      <sheetData sheetId="39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24.1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24.5</v>
          </cell>
        </row>
        <row r="19">
          <cell r="S19">
            <v>24.6</v>
          </cell>
        </row>
        <row r="20">
          <cell r="S20">
            <v>25.1</v>
          </cell>
        </row>
        <row r="21">
          <cell r="S21">
            <v>25.4</v>
          </cell>
        </row>
        <row r="22">
          <cell r="S22">
            <v>25.6</v>
          </cell>
        </row>
        <row r="23">
          <cell r="S23">
            <v>25.8</v>
          </cell>
        </row>
        <row r="24">
          <cell r="S24">
            <v>25.9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25.7</v>
          </cell>
        </row>
      </sheetData>
      <sheetData sheetId="40" refreshError="1"/>
      <sheetData sheetId="41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24.9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25.1</v>
          </cell>
        </row>
        <row r="18">
          <cell r="S18">
            <v>25.2</v>
          </cell>
        </row>
        <row r="19">
          <cell r="S19">
            <v>25.2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25.6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25.5</v>
          </cell>
        </row>
        <row r="26">
          <cell r="S26">
            <v>25.6</v>
          </cell>
        </row>
        <row r="27">
          <cell r="S27">
            <v>25.4</v>
          </cell>
        </row>
      </sheetData>
      <sheetData sheetId="42" refreshError="1"/>
      <sheetData sheetId="43">
        <row r="10">
          <cell r="S10">
            <v>24.7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24.5</v>
          </cell>
        </row>
        <row r="17">
          <cell r="S17">
            <v>24.7</v>
          </cell>
        </row>
        <row r="18">
          <cell r="S18">
            <v>24.9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26.2</v>
          </cell>
        </row>
        <row r="26">
          <cell r="S26">
            <v>26.1</v>
          </cell>
        </row>
        <row r="27">
          <cell r="S27">
            <v>26</v>
          </cell>
        </row>
      </sheetData>
      <sheetData sheetId="44" refreshError="1"/>
      <sheetData sheetId="45">
        <row r="10">
          <cell r="S10">
            <v>25</v>
          </cell>
        </row>
        <row r="11">
          <cell r="S11">
            <v>25</v>
          </cell>
        </row>
        <row r="12">
          <cell r="S12">
            <v>24.8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25.5</v>
          </cell>
        </row>
      </sheetData>
      <sheetData sheetId="46" refreshError="1"/>
      <sheetData sheetId="47">
        <row r="10">
          <cell r="S10">
            <v>24.7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24.7</v>
          </cell>
        </row>
        <row r="19">
          <cell r="S19">
            <v>24.7</v>
          </cell>
        </row>
        <row r="20">
          <cell r="S20">
            <v>24.9</v>
          </cell>
        </row>
        <row r="21">
          <cell r="S21">
            <v>25.1</v>
          </cell>
        </row>
        <row r="22">
          <cell r="S22">
            <v>25.1</v>
          </cell>
        </row>
        <row r="23">
          <cell r="S23">
            <v>25.2</v>
          </cell>
        </row>
        <row r="24">
          <cell r="S24">
            <v>25.1</v>
          </cell>
        </row>
        <row r="25">
          <cell r="S25">
            <v>25.2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48" refreshError="1"/>
      <sheetData sheetId="49">
        <row r="10">
          <cell r="S10">
            <v>23.8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23.7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23.7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24.4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24.3</v>
          </cell>
        </row>
      </sheetData>
      <sheetData sheetId="50" refreshError="1"/>
      <sheetData sheetId="51">
        <row r="10">
          <cell r="S10">
            <v>23.4</v>
          </cell>
        </row>
        <row r="11">
          <cell r="S11">
            <v>23.4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22.8</v>
          </cell>
        </row>
        <row r="19">
          <cell r="S19">
            <v>22.9</v>
          </cell>
        </row>
        <row r="20">
          <cell r="S20">
            <v>22.8</v>
          </cell>
        </row>
        <row r="21">
          <cell r="S21">
            <v>22.8</v>
          </cell>
        </row>
        <row r="22">
          <cell r="S22">
            <v>22.8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52" refreshError="1"/>
      <sheetData sheetId="53">
        <row r="10">
          <cell r="S10">
            <v>22</v>
          </cell>
        </row>
        <row r="11">
          <cell r="S11">
            <v>21.9</v>
          </cell>
        </row>
        <row r="12">
          <cell r="S12">
            <v>21.9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21.9</v>
          </cell>
        </row>
        <row r="16">
          <cell r="S16">
            <v>22</v>
          </cell>
        </row>
        <row r="17">
          <cell r="S17">
            <v>22.1</v>
          </cell>
        </row>
        <row r="18">
          <cell r="S18">
            <v>22.2</v>
          </cell>
        </row>
        <row r="19">
          <cell r="S19">
            <v>22.2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22.7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22.7</v>
          </cell>
        </row>
      </sheetData>
      <sheetData sheetId="54" refreshError="1"/>
      <sheetData sheetId="55">
        <row r="10">
          <cell r="S10">
            <v>22.2</v>
          </cell>
        </row>
        <row r="11">
          <cell r="S11">
            <v>22.4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22.3</v>
          </cell>
        </row>
        <row r="17">
          <cell r="S17">
            <v>22.8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23</v>
          </cell>
        </row>
        <row r="21">
          <cell r="S21">
            <v>23.1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23.2</v>
          </cell>
        </row>
        <row r="25">
          <cell r="S25">
            <v>23.3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56" refreshError="1"/>
      <sheetData sheetId="57">
        <row r="10">
          <cell r="S10">
            <v>22.6</v>
          </cell>
        </row>
        <row r="11">
          <cell r="S11">
            <v>22.7</v>
          </cell>
        </row>
        <row r="12">
          <cell r="S12">
            <v>22.74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58" refreshError="1"/>
      <sheetData sheetId="59">
        <row r="10">
          <cell r="S10">
            <v>22.4</v>
          </cell>
        </row>
        <row r="11">
          <cell r="S11">
            <v>22.3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22.2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22.5</v>
          </cell>
        </row>
        <row r="19">
          <cell r="S19">
            <v>22.5</v>
          </cell>
        </row>
        <row r="20">
          <cell r="S20">
            <v>22.6</v>
          </cell>
        </row>
        <row r="21">
          <cell r="S21">
            <v>22.6</v>
          </cell>
        </row>
        <row r="22">
          <cell r="S22">
            <v>22.6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60" refreshError="1"/>
      <sheetData sheetId="61">
        <row r="10">
          <cell r="S10">
            <v>22.1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22.1</v>
          </cell>
        </row>
        <row r="17">
          <cell r="S17">
            <v>22.2</v>
          </cell>
        </row>
        <row r="18">
          <cell r="S18">
            <v>22.1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22.7</v>
          </cell>
        </row>
        <row r="23">
          <cell r="S23">
            <v>22.5</v>
          </cell>
        </row>
        <row r="24">
          <cell r="S24">
            <v>22.9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4">
        <row r="1">
          <cell r="C1" t="str">
            <v>DEZEMBRO DE 2022</v>
          </cell>
        </row>
      </sheetData>
      <sheetData sheetId="5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22.5</v>
          </cell>
        </row>
        <row r="17">
          <cell r="S17">
            <v>22.6</v>
          </cell>
        </row>
        <row r="18">
          <cell r="S18">
            <v>22.7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23.1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23.2</v>
          </cell>
        </row>
      </sheetData>
      <sheetData sheetId="6" refreshError="1"/>
      <sheetData sheetId="7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23.1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23.2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8" refreshError="1"/>
      <sheetData sheetId="9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23.1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10" refreshError="1"/>
      <sheetData sheetId="11">
        <row r="10">
          <cell r="S10">
            <v>23.1</v>
          </cell>
        </row>
        <row r="11">
          <cell r="S11">
            <v>23.1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23.1</v>
          </cell>
        </row>
        <row r="17">
          <cell r="S17">
            <v>23.1</v>
          </cell>
        </row>
        <row r="18">
          <cell r="S18">
            <v>23</v>
          </cell>
        </row>
        <row r="19">
          <cell r="S19">
            <v>23.1</v>
          </cell>
        </row>
        <row r="20">
          <cell r="S20">
            <v>23.1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12" refreshError="1"/>
      <sheetData sheetId="13">
        <row r="10">
          <cell r="S10">
            <v>22.9</v>
          </cell>
        </row>
        <row r="11">
          <cell r="S11">
            <v>22.8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22.9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22.8</v>
          </cell>
        </row>
        <row r="21">
          <cell r="S21">
            <v>22.8</v>
          </cell>
        </row>
        <row r="22">
          <cell r="S22">
            <v>22.9</v>
          </cell>
        </row>
        <row r="23">
          <cell r="S23">
            <v>22.9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14" refreshError="1"/>
      <sheetData sheetId="15">
        <row r="10">
          <cell r="S10">
            <v>22.4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22.6</v>
          </cell>
        </row>
        <row r="19">
          <cell r="S19">
            <v>22.8</v>
          </cell>
        </row>
        <row r="20">
          <cell r="S20">
            <v>23</v>
          </cell>
        </row>
        <row r="21">
          <cell r="S21">
            <v>23.1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16" refreshError="1"/>
      <sheetData sheetId="17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23.3</v>
          </cell>
        </row>
        <row r="19">
          <cell r="S19">
            <v>23.4</v>
          </cell>
        </row>
        <row r="20">
          <cell r="S20">
            <v>23.7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18" refreshError="1"/>
      <sheetData sheetId="19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23.4</v>
          </cell>
        </row>
        <row r="16">
          <cell r="S16">
            <v>23.5</v>
          </cell>
        </row>
        <row r="17">
          <cell r="S17">
            <v>23.7</v>
          </cell>
        </row>
        <row r="18">
          <cell r="S18">
            <v>23.9</v>
          </cell>
        </row>
        <row r="19">
          <cell r="S19">
            <v>24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20" refreshError="1"/>
      <sheetData sheetId="21">
        <row r="10">
          <cell r="S10">
            <v>24.4</v>
          </cell>
        </row>
        <row r="11">
          <cell r="S11">
            <v>24.4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25.1</v>
          </cell>
        </row>
        <row r="20">
          <cell r="S20">
            <v>25.4</v>
          </cell>
        </row>
        <row r="21">
          <cell r="S21">
            <v>25.5</v>
          </cell>
        </row>
        <row r="22">
          <cell r="S22">
            <v>25.8</v>
          </cell>
        </row>
        <row r="23">
          <cell r="S23">
            <v>26.1</v>
          </cell>
        </row>
        <row r="24">
          <cell r="S24">
            <v>26.1</v>
          </cell>
        </row>
        <row r="25">
          <cell r="S25">
            <v>26.2</v>
          </cell>
        </row>
        <row r="26">
          <cell r="S26">
            <v>26.1</v>
          </cell>
        </row>
        <row r="27">
          <cell r="S27">
            <v>26.1</v>
          </cell>
        </row>
      </sheetData>
      <sheetData sheetId="22" refreshError="1"/>
      <sheetData sheetId="23">
        <row r="10">
          <cell r="S10">
            <v>25.2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25.6</v>
          </cell>
        </row>
        <row r="19">
          <cell r="S19">
            <v>25.7</v>
          </cell>
        </row>
        <row r="20">
          <cell r="S20">
            <v>26.1</v>
          </cell>
        </row>
        <row r="21">
          <cell r="S21">
            <v>26.3</v>
          </cell>
        </row>
        <row r="22">
          <cell r="S22">
            <v>26.4</v>
          </cell>
        </row>
        <row r="23">
          <cell r="S23">
            <v>26.7</v>
          </cell>
        </row>
        <row r="24">
          <cell r="S24">
            <v>26.8</v>
          </cell>
        </row>
        <row r="25">
          <cell r="S25">
            <v>26.9</v>
          </cell>
        </row>
        <row r="26">
          <cell r="S26">
            <v>26.9</v>
          </cell>
        </row>
        <row r="27">
          <cell r="S27">
            <v>26.7</v>
          </cell>
        </row>
      </sheetData>
      <sheetData sheetId="24" refreshError="1"/>
      <sheetData sheetId="25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25.8</v>
          </cell>
        </row>
        <row r="17">
          <cell r="S17">
            <v>25.8</v>
          </cell>
        </row>
        <row r="18">
          <cell r="S18">
            <v>25.8</v>
          </cell>
        </row>
        <row r="19">
          <cell r="S19">
            <v>25.6</v>
          </cell>
        </row>
        <row r="20">
          <cell r="S20">
            <v>25.6</v>
          </cell>
        </row>
        <row r="21">
          <cell r="S21">
            <v>25.4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26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25.4</v>
          </cell>
        </row>
      </sheetData>
      <sheetData sheetId="26" refreshError="1"/>
      <sheetData sheetId="27">
        <row r="10">
          <cell r="S10">
            <v>24.9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24.6</v>
          </cell>
        </row>
        <row r="24">
          <cell r="S24">
            <v>23.8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28" refreshError="1"/>
      <sheetData sheetId="29">
        <row r="10">
          <cell r="S10">
            <v>23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22.7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22.7</v>
          </cell>
        </row>
        <row r="17">
          <cell r="S17">
            <v>22.7</v>
          </cell>
        </row>
        <row r="18">
          <cell r="S18">
            <v>23</v>
          </cell>
        </row>
        <row r="19">
          <cell r="S19">
            <v>23</v>
          </cell>
        </row>
        <row r="20">
          <cell r="S20">
            <v>22.8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23.4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30" refreshError="1"/>
      <sheetData sheetId="31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22.6</v>
          </cell>
        </row>
        <row r="17">
          <cell r="S17">
            <v>22.7</v>
          </cell>
        </row>
        <row r="18">
          <cell r="S18">
            <v>22.9</v>
          </cell>
        </row>
        <row r="19">
          <cell r="S19">
            <v>23.1</v>
          </cell>
        </row>
        <row r="20">
          <cell r="S20">
            <v>23.3</v>
          </cell>
        </row>
        <row r="21">
          <cell r="S21">
            <v>23.4</v>
          </cell>
        </row>
        <row r="22">
          <cell r="S22">
            <v>23.6</v>
          </cell>
        </row>
        <row r="23">
          <cell r="S23">
            <v>23.7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23.7</v>
          </cell>
        </row>
        <row r="27">
          <cell r="S27">
            <v>23.7</v>
          </cell>
        </row>
      </sheetData>
      <sheetData sheetId="32" refreshError="1"/>
      <sheetData sheetId="33">
        <row r="10">
          <cell r="S10">
            <v>23</v>
          </cell>
        </row>
        <row r="11">
          <cell r="S11">
            <v>23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</v>
          </cell>
        </row>
        <row r="19">
          <cell r="S19">
            <v>23.5</v>
          </cell>
        </row>
        <row r="20">
          <cell r="S20">
            <v>23.8</v>
          </cell>
        </row>
        <row r="21">
          <cell r="S21">
            <v>23.9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23.8</v>
          </cell>
        </row>
      </sheetData>
      <sheetData sheetId="34" refreshError="1"/>
      <sheetData sheetId="35">
        <row r="10">
          <cell r="S10">
            <v>23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22.7</v>
          </cell>
        </row>
        <row r="15">
          <cell r="S15">
            <v>22.6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23.7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36" refreshError="1"/>
      <sheetData sheetId="37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23.2</v>
          </cell>
        </row>
        <row r="21">
          <cell r="S21">
            <v>23.4</v>
          </cell>
        </row>
        <row r="22">
          <cell r="S22">
            <v>23.4</v>
          </cell>
        </row>
        <row r="23">
          <cell r="S23">
            <v>23.5</v>
          </cell>
        </row>
        <row r="24">
          <cell r="S24">
            <v>23.9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38" refreshError="1"/>
      <sheetData sheetId="39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22.7</v>
          </cell>
        </row>
        <row r="18">
          <cell r="S18">
            <v>22.7</v>
          </cell>
        </row>
        <row r="19">
          <cell r="S19">
            <v>22.7</v>
          </cell>
        </row>
        <row r="20">
          <cell r="S20">
            <v>22.7</v>
          </cell>
        </row>
        <row r="21">
          <cell r="S21">
            <v>22.7</v>
          </cell>
        </row>
        <row r="22">
          <cell r="S22">
            <v>22.7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40" refreshError="1"/>
      <sheetData sheetId="41">
        <row r="10">
          <cell r="S10">
            <v>22.1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21.9</v>
          </cell>
        </row>
        <row r="14">
          <cell r="S14">
            <v>21.9</v>
          </cell>
        </row>
        <row r="15">
          <cell r="S15">
            <v>21.9</v>
          </cell>
        </row>
        <row r="16">
          <cell r="S16">
            <v>21.9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</v>
          </cell>
        </row>
        <row r="20">
          <cell r="S20">
            <v>22.1</v>
          </cell>
        </row>
        <row r="21">
          <cell r="S21">
            <v>22.1</v>
          </cell>
        </row>
        <row r="22">
          <cell r="S22">
            <v>22.1</v>
          </cell>
        </row>
        <row r="23">
          <cell r="S23">
            <v>22.2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22.2</v>
          </cell>
        </row>
      </sheetData>
      <sheetData sheetId="42" refreshError="1"/>
      <sheetData sheetId="43">
        <row r="10">
          <cell r="S10">
            <v>21.7</v>
          </cell>
        </row>
        <row r="11">
          <cell r="S11">
            <v>21.7</v>
          </cell>
        </row>
        <row r="12">
          <cell r="S12">
            <v>21.8</v>
          </cell>
        </row>
        <row r="13">
          <cell r="S13">
            <v>21.6</v>
          </cell>
        </row>
        <row r="14">
          <cell r="S14">
            <v>21.7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21.7</v>
          </cell>
        </row>
        <row r="18">
          <cell r="S18">
            <v>21.8</v>
          </cell>
        </row>
        <row r="19">
          <cell r="S19">
            <v>21.9</v>
          </cell>
        </row>
        <row r="20">
          <cell r="S20">
            <v>21.9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22.1</v>
          </cell>
        </row>
        <row r="24">
          <cell r="S24">
            <v>22.1</v>
          </cell>
        </row>
        <row r="25">
          <cell r="S25">
            <v>22.2</v>
          </cell>
        </row>
        <row r="26">
          <cell r="S26">
            <v>22.1</v>
          </cell>
        </row>
        <row r="27">
          <cell r="S27">
            <v>22.1</v>
          </cell>
        </row>
      </sheetData>
      <sheetData sheetId="44" refreshError="1"/>
      <sheetData sheetId="45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21.3</v>
          </cell>
        </row>
        <row r="18">
          <cell r="S18">
            <v>21.2</v>
          </cell>
        </row>
        <row r="19">
          <cell r="S19">
            <v>21.6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46" refreshError="1"/>
      <sheetData sheetId="47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</v>
          </cell>
        </row>
        <row r="15">
          <cell r="S15">
            <v>21.1</v>
          </cell>
        </row>
        <row r="16">
          <cell r="S16">
            <v>21.2</v>
          </cell>
        </row>
        <row r="17">
          <cell r="S17">
            <v>21.3</v>
          </cell>
        </row>
        <row r="18">
          <cell r="S18">
            <v>21.5</v>
          </cell>
        </row>
        <row r="19">
          <cell r="S19">
            <v>21.6</v>
          </cell>
        </row>
        <row r="20">
          <cell r="S20">
            <v>21.8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</v>
          </cell>
        </row>
      </sheetData>
      <sheetData sheetId="48" refreshError="1"/>
      <sheetData sheetId="49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21.9</v>
          </cell>
        </row>
        <row r="15">
          <cell r="S15">
            <v>21.9</v>
          </cell>
        </row>
        <row r="16">
          <cell r="S16">
            <v>22</v>
          </cell>
        </row>
        <row r="17">
          <cell r="S17">
            <v>22.2</v>
          </cell>
        </row>
        <row r="18">
          <cell r="S18">
            <v>22.4</v>
          </cell>
        </row>
        <row r="19">
          <cell r="S19">
            <v>22.8</v>
          </cell>
        </row>
        <row r="20">
          <cell r="S20">
            <v>22.9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50" refreshError="1"/>
      <sheetData sheetId="51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23.1</v>
          </cell>
        </row>
        <row r="17">
          <cell r="S17">
            <v>23.2</v>
          </cell>
        </row>
        <row r="18">
          <cell r="S18">
            <v>23.4</v>
          </cell>
        </row>
        <row r="19">
          <cell r="S19">
            <v>23.6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52" refreshError="1"/>
      <sheetData sheetId="53">
        <row r="10">
          <cell r="S10">
            <v>24</v>
          </cell>
        </row>
        <row r="11">
          <cell r="S11">
            <v>23.9</v>
          </cell>
        </row>
        <row r="12">
          <cell r="S12">
            <v>23.7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23.9</v>
          </cell>
        </row>
        <row r="17">
          <cell r="S17">
            <v>23.8</v>
          </cell>
        </row>
        <row r="18">
          <cell r="S18">
            <v>23.9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24</v>
          </cell>
        </row>
        <row r="24">
          <cell r="S24">
            <v>24.2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54" refreshError="1"/>
      <sheetData sheetId="55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23.5</v>
          </cell>
        </row>
        <row r="17">
          <cell r="S17">
            <v>23.8</v>
          </cell>
        </row>
        <row r="18">
          <cell r="S18">
            <v>23.8</v>
          </cell>
        </row>
        <row r="19">
          <cell r="S19">
            <v>23.6</v>
          </cell>
        </row>
        <row r="20">
          <cell r="S20">
            <v>24</v>
          </cell>
        </row>
        <row r="21">
          <cell r="S21">
            <v>24.4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24.2</v>
          </cell>
        </row>
        <row r="27">
          <cell r="S27">
            <v>24.2</v>
          </cell>
        </row>
      </sheetData>
      <sheetData sheetId="56" refreshError="1"/>
      <sheetData sheetId="57">
        <row r="10">
          <cell r="S10">
            <v>24</v>
          </cell>
        </row>
        <row r="11">
          <cell r="S11">
            <v>24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23.7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24.1</v>
          </cell>
        </row>
        <row r="22">
          <cell r="S22">
            <v>24.1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</v>
          </cell>
        </row>
        <row r="26">
          <cell r="S26">
            <v>23.9</v>
          </cell>
        </row>
        <row r="27">
          <cell r="S27">
            <v>23.9</v>
          </cell>
        </row>
      </sheetData>
      <sheetData sheetId="58" refreshError="1"/>
      <sheetData sheetId="59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23.3</v>
          </cell>
        </row>
        <row r="19">
          <cell r="S19">
            <v>23.5</v>
          </cell>
        </row>
        <row r="20">
          <cell r="S20">
            <v>23.5</v>
          </cell>
        </row>
        <row r="21">
          <cell r="S21">
            <v>23.5</v>
          </cell>
        </row>
        <row r="22">
          <cell r="S22">
            <v>23.7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23.8</v>
          </cell>
        </row>
        <row r="26">
          <cell r="S26">
            <v>23.9</v>
          </cell>
        </row>
        <row r="27">
          <cell r="S27">
            <v>23.7</v>
          </cell>
        </row>
      </sheetData>
      <sheetData sheetId="60" refreshError="1"/>
      <sheetData sheetId="61">
        <row r="10">
          <cell r="S10">
            <v>23.3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23.5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23.7</v>
          </cell>
        </row>
        <row r="27">
          <cell r="S27">
            <v>23.6</v>
          </cell>
        </row>
      </sheetData>
      <sheetData sheetId="62" refreshError="1"/>
      <sheetData sheetId="63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23.6</v>
          </cell>
        </row>
        <row r="20">
          <cell r="S20">
            <v>23.7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24.1</v>
          </cell>
        </row>
        <row r="27">
          <cell r="S27">
            <v>23.9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(a)'!$S10</f>
        <v>22.9</v>
      </c>
      <c r="C4" s="12">
        <f>'[1]Dia 2 (a)'!$S10</f>
        <v>23.3</v>
      </c>
      <c r="D4" s="12">
        <f>'[1]Dia 3 (a)'!$S10</f>
        <v>24.1</v>
      </c>
      <c r="E4" s="12">
        <f>'[1]Dia 4 (a)'!$S10</f>
        <v>24.4</v>
      </c>
      <c r="F4" s="12">
        <f>'[1]Dia 5 (a)'!$S10</f>
        <v>23.9</v>
      </c>
      <c r="G4" s="12">
        <f>'[1]Dia 6 (a)'!$S10</f>
        <v>23.7</v>
      </c>
      <c r="H4" s="12">
        <f>'[1]Dia 7 (a)'!$S10</f>
        <v>23.4</v>
      </c>
      <c r="I4" s="12">
        <f>'[1]Dia 8 (a)'!$S10</f>
        <v>22.7</v>
      </c>
      <c r="J4" s="12">
        <f>'[1]Dia 9 (a)'!$S10</f>
        <v>22.2</v>
      </c>
      <c r="K4" s="12">
        <f>'[1]Dia 10 (a)'!$S10</f>
        <v>21.4</v>
      </c>
      <c r="L4" s="12">
        <f>'[1]Dia 11 (a)'!$S10</f>
        <v>22</v>
      </c>
      <c r="M4" s="12">
        <f>'[1]Dia 12 (a)'!$S10</f>
        <v>22.3</v>
      </c>
      <c r="N4" s="12">
        <f>'[1]Dia 13 (a)'!$S10</f>
        <v>22.8</v>
      </c>
      <c r="O4" s="12">
        <f>'[1]Dia 14 (a)'!$S10</f>
        <v>23.2</v>
      </c>
      <c r="P4" s="12">
        <f>'[1]Dia 15 (a)'!$S10</f>
        <v>23.6</v>
      </c>
      <c r="Q4" s="12">
        <f>'[1]Dia 16 (a)'!$S10</f>
        <v>23.7</v>
      </c>
      <c r="R4" s="12">
        <f>'[1]Dia 17 (a)'!$S10</f>
        <v>24.1</v>
      </c>
      <c r="S4" s="12">
        <f>'[1]Dia 18 (a)'!$S10</f>
        <v>25.1</v>
      </c>
      <c r="T4" s="12">
        <f>'[1]Dia 19 (a)'!$S10</f>
        <v>26</v>
      </c>
      <c r="U4" s="12">
        <f>'[1]Dia 20 (a)'!$S10</f>
        <v>25.5</v>
      </c>
      <c r="V4" s="12">
        <f>'[1]Dia 21 (a)'!$S10</f>
        <v>26.1</v>
      </c>
      <c r="W4" s="12">
        <f>'[1]Dia 22 (a)'!$S10</f>
        <v>26.8</v>
      </c>
      <c r="X4" s="12">
        <f>'[1]Dia 23 (a)'!$S10</f>
        <v>27.4</v>
      </c>
      <c r="Y4" s="12">
        <f>'[1]Dia 24 (a)'!$S10</f>
        <v>27.4</v>
      </c>
      <c r="Z4" s="12">
        <f>'[1]Dia 25 (a)'!$S10</f>
        <v>27</v>
      </c>
      <c r="AA4" s="12">
        <f>'[1]Dia 26 (a)'!$S10</f>
        <v>28</v>
      </c>
      <c r="AB4" s="12">
        <f>'[1]Dia 27 (a)'!$S10</f>
        <v>27.9</v>
      </c>
      <c r="AC4" s="12">
        <f>'[1]Dia 28 (a)'!$S10</f>
        <v>27.4</v>
      </c>
      <c r="AD4" s="12">
        <f>'[1]Dia 29 (a)'!$S10</f>
        <v>25.4</v>
      </c>
      <c r="AE4" s="12">
        <f>'[1]Dia 30 (a)'!$S10</f>
        <v>23</v>
      </c>
      <c r="AF4" s="13">
        <f>'[1]Dia 31 (a)'!$S10</f>
        <v>23.4</v>
      </c>
      <c r="AG4" s="14"/>
    </row>
    <row r="5" spans="1:33" ht="20.100000000000001" customHeight="1">
      <c r="A5" s="11">
        <v>8</v>
      </c>
      <c r="B5" s="12">
        <f>'[1]Dia 1 (a)'!$S11</f>
        <v>22.9</v>
      </c>
      <c r="C5" s="12">
        <f>'[1]Dia 2 (a)'!$S11</f>
        <v>23.3</v>
      </c>
      <c r="D5" s="12">
        <f>'[1]Dia 3 (a)'!$S11</f>
        <v>24.1</v>
      </c>
      <c r="E5" s="12">
        <f>'[1]Dia 4 (a)'!$S11</f>
        <v>24.3</v>
      </c>
      <c r="F5" s="12">
        <f>'[1]Dia 5 (a)'!$S11</f>
        <v>23.9</v>
      </c>
      <c r="G5" s="12">
        <f>'[1]Dia 6 (a)'!$S11</f>
        <v>23.6</v>
      </c>
      <c r="H5" s="12">
        <f>'[1]Dia 7 (a)'!$S11</f>
        <v>23.4</v>
      </c>
      <c r="I5" s="12">
        <f>'[1]Dia 8 (a)'!$S11</f>
        <v>22.5</v>
      </c>
      <c r="J5" s="12">
        <f>'[1]Dia 9 (a)'!$S11</f>
        <v>22.1</v>
      </c>
      <c r="K5" s="12">
        <f>'[1]Dia 10 (a)'!$S11</f>
        <v>21.4</v>
      </c>
      <c r="L5" s="12">
        <f>'[1]Dia 11 (a)'!$S11</f>
        <v>22</v>
      </c>
      <c r="M5" s="12">
        <f>'[1]Dia 12 (a)'!$S11</f>
        <v>22.1</v>
      </c>
      <c r="N5" s="12">
        <f>'[1]Dia 13 (a)'!$S11</f>
        <v>22.8</v>
      </c>
      <c r="O5" s="12">
        <f>'[1]Dia 14 (a)'!$S11</f>
        <v>23.2</v>
      </c>
      <c r="P5" s="12">
        <f>'[1]Dia 15 (a)'!$S11</f>
        <v>23.6</v>
      </c>
      <c r="Q5" s="12">
        <f>'[1]Dia 16 (a)'!$S11</f>
        <v>23.8</v>
      </c>
      <c r="R5" s="12">
        <f>'[1]Dia 17 (a)'!$S11</f>
        <v>24.3</v>
      </c>
      <c r="S5" s="12">
        <f>'[1]Dia 18 (a)'!$S11</f>
        <v>25.1</v>
      </c>
      <c r="T5" s="12">
        <f>'[1]Dia 19 (a)'!$S11</f>
        <v>26</v>
      </c>
      <c r="U5" s="12">
        <f>'[1]Dia 20 (a)'!$S11</f>
        <v>25.5</v>
      </c>
      <c r="V5" s="12">
        <f>'[1]Dia 21 (a)'!$S11</f>
        <v>26</v>
      </c>
      <c r="W5" s="12">
        <f>'[1]Dia 22 (a)'!$S11</f>
        <v>26.6</v>
      </c>
      <c r="X5" s="12">
        <f>'[1]Dia 23 (a)'!$S11</f>
        <v>27.2</v>
      </c>
      <c r="Y5" s="12">
        <f>'[1]Dia 24 (a)'!$S11</f>
        <v>27.4</v>
      </c>
      <c r="Z5" s="12">
        <f>'[1]Dia 25 (a)'!$S11</f>
        <v>27.2</v>
      </c>
      <c r="AA5" s="12">
        <f>'[1]Dia 26 (a)'!$S11</f>
        <v>28</v>
      </c>
      <c r="AB5" s="12">
        <f>'[1]Dia 27 (a)'!$S11</f>
        <v>27.8</v>
      </c>
      <c r="AC5" s="12">
        <f>'[1]Dia 28 (a)'!$S11</f>
        <v>27.2</v>
      </c>
      <c r="AD5" s="12">
        <f>'[1]Dia 29 (a)'!$S11</f>
        <v>25.3</v>
      </c>
      <c r="AE5" s="12">
        <f>'[1]Dia 30 (a)'!$S11</f>
        <v>23</v>
      </c>
      <c r="AF5" s="13">
        <f>'[1]Dia 31 (a)'!$S11</f>
        <v>23.3</v>
      </c>
      <c r="AG5" s="14"/>
    </row>
    <row r="6" spans="1:33" ht="20.100000000000001" customHeight="1">
      <c r="A6" s="11">
        <v>9</v>
      </c>
      <c r="B6" s="12">
        <f>'[1]Dia 1 (a)'!$S12</f>
        <v>22.9</v>
      </c>
      <c r="C6" s="12">
        <f>'[1]Dia 2 (a)'!$S12</f>
        <v>23.4</v>
      </c>
      <c r="D6" s="12">
        <f>'[1]Dia 3 (a)'!$S12</f>
        <v>24.1</v>
      </c>
      <c r="E6" s="12">
        <f>'[1]Dia 4 (a)'!$S12</f>
        <v>24.3</v>
      </c>
      <c r="F6" s="12">
        <f>'[1]Dia 5 (a)'!$S12</f>
        <v>23.8</v>
      </c>
      <c r="G6" s="12">
        <f>'[1]Dia 6 (a)'!$S12</f>
        <v>23.6</v>
      </c>
      <c r="H6" s="12">
        <f>'[1]Dia 7 (a)'!$S12</f>
        <v>23.3</v>
      </c>
      <c r="I6" s="12">
        <f>'[1]Dia 8 (a)'!$S12</f>
        <v>22.5</v>
      </c>
      <c r="J6" s="12">
        <f>'[1]Dia 9 (a)'!$S12</f>
        <v>22.1</v>
      </c>
      <c r="K6" s="12">
        <f>'[1]Dia 10 (a)'!$S12</f>
        <v>21.5</v>
      </c>
      <c r="L6" s="12">
        <f>'[1]Dia 11 (a)'!$S12</f>
        <v>22.1</v>
      </c>
      <c r="M6" s="12">
        <f>'[1]Dia 12 (a)'!$S12</f>
        <v>22.1</v>
      </c>
      <c r="N6" s="12">
        <f>'[1]Dia 13 (a)'!$S12</f>
        <v>22.9</v>
      </c>
      <c r="O6" s="12">
        <f>'[1]Dia 14 (a)'!$S12</f>
        <v>23</v>
      </c>
      <c r="P6" s="12">
        <f>'[1]Dia 15 (a)'!$S12</f>
        <v>23.5</v>
      </c>
      <c r="Q6" s="12">
        <f>'[1]Dia 16 (a)'!$S12</f>
        <v>23.8</v>
      </c>
      <c r="R6" s="15">
        <f>'[1]Dia 17 (a)'!$S12</f>
        <v>24.4</v>
      </c>
      <c r="S6" s="12">
        <f>'[1]Dia 18 (a)'!$S12</f>
        <v>25</v>
      </c>
      <c r="T6" s="12">
        <f>'[1]Dia 19 (a)'!$S12</f>
        <v>26</v>
      </c>
      <c r="U6" s="12">
        <f>'[1]Dia 20 (a)'!$S12</f>
        <v>25.5</v>
      </c>
      <c r="V6" s="12">
        <f>'[1]Dia 21 (a)'!$S12</f>
        <v>26</v>
      </c>
      <c r="W6" s="12">
        <f>'[1]Dia 22 (a)'!$S12</f>
        <v>26.5</v>
      </c>
      <c r="X6" s="12">
        <f>'[1]Dia 23 (a)'!$S12</f>
        <v>27.2</v>
      </c>
      <c r="Y6" s="12">
        <f>'[1]Dia 24 (a)'!$S12</f>
        <v>27.4</v>
      </c>
      <c r="Z6" s="12">
        <f>'[1]Dia 25 (a)'!$S12</f>
        <v>27.2</v>
      </c>
      <c r="AA6" s="12">
        <f>'[1]Dia 26 (a)'!$S12</f>
        <v>28</v>
      </c>
      <c r="AB6" s="12">
        <f>'[1]Dia 27 (a)'!$S12</f>
        <v>27.7</v>
      </c>
      <c r="AC6" s="12">
        <f>'[1]Dia 28 (a)'!$S12</f>
        <v>27.1</v>
      </c>
      <c r="AD6" s="12">
        <f>'[1]Dia 29 (a)'!$S12</f>
        <v>25.2</v>
      </c>
      <c r="AE6" s="12">
        <f>'[1]Dia 30 (a)'!$S12</f>
        <v>23</v>
      </c>
      <c r="AF6" s="13">
        <f>'[1]Dia 31 (a)'!$S12</f>
        <v>23.2</v>
      </c>
      <c r="AG6" s="14"/>
    </row>
    <row r="7" spans="1:33" ht="20.100000000000001" customHeight="1">
      <c r="A7" s="11">
        <v>10</v>
      </c>
      <c r="B7" s="12">
        <f>'[1]Dia 1 (a)'!$S13</f>
        <v>22.8</v>
      </c>
      <c r="C7" s="12">
        <f>'[1]Dia 2 (a)'!$S13</f>
        <v>23.4</v>
      </c>
      <c r="D7" s="12">
        <f>'[1]Dia 3 (a)'!$S13</f>
        <v>24</v>
      </c>
      <c r="E7" s="12">
        <f>'[1]Dia 4 (a)'!$S13</f>
        <v>24.2</v>
      </c>
      <c r="F7" s="12">
        <f>'[1]Dia 5 (a)'!$S13</f>
        <v>23.7</v>
      </c>
      <c r="G7" s="12">
        <f>'[1]Dia 6 (a)'!$S13</f>
        <v>23.6</v>
      </c>
      <c r="H7" s="12">
        <f>'[1]Dia 7 (a)'!$S13</f>
        <v>23.3</v>
      </c>
      <c r="I7" s="12">
        <f>'[1]Dia 8 (a)'!$S13</f>
        <v>22.5</v>
      </c>
      <c r="J7" s="12">
        <f>'[1]Dia 9 (a)'!$S13</f>
        <v>22.1</v>
      </c>
      <c r="K7" s="12">
        <f>'[1]Dia 10 (a)'!$S13</f>
        <v>21.5</v>
      </c>
      <c r="L7" s="12">
        <f>'[1]Dia 11 (a)'!$S13</f>
        <v>22.1</v>
      </c>
      <c r="M7" s="12">
        <f>'[1]Dia 12 (a)'!$S13</f>
        <v>22.2</v>
      </c>
      <c r="N7" s="12">
        <f>'[1]Dia 13 (a)'!$S13</f>
        <v>22.9</v>
      </c>
      <c r="O7" s="12">
        <f>'[1]Dia 14 (a)'!$S13</f>
        <v>23</v>
      </c>
      <c r="P7" s="12">
        <f>'[1]Dia 15 (a)'!$S13</f>
        <v>23.5</v>
      </c>
      <c r="Q7" s="12">
        <f>'[1]Dia 16 (a)'!$S13</f>
        <v>23.8</v>
      </c>
      <c r="R7" s="15">
        <f>'[1]Dia 17 (a)'!$S13</f>
        <v>24.4</v>
      </c>
      <c r="S7" s="12">
        <f>'[1]Dia 18 (a)'!$S13</f>
        <v>25</v>
      </c>
      <c r="T7" s="12">
        <f>'[1]Dia 19 (a)'!$S13</f>
        <v>25.9</v>
      </c>
      <c r="U7" s="12">
        <f>'[1]Dia 20 (a)'!$S13</f>
        <v>25.4</v>
      </c>
      <c r="V7" s="12">
        <f>'[1]Dia 21 (a)'!$S13</f>
        <v>25.8</v>
      </c>
      <c r="W7" s="12">
        <f>'[1]Dia 22 (a)'!$S13</f>
        <v>26.5</v>
      </c>
      <c r="X7" s="12">
        <f>'[1]Dia 23 (a)'!$S13</f>
        <v>27.2</v>
      </c>
      <c r="Y7" s="12">
        <f>'[1]Dia 24 (a)'!$S13</f>
        <v>27.2</v>
      </c>
      <c r="Z7" s="12">
        <f>'[1]Dia 25 (a)'!$S13</f>
        <v>27.2</v>
      </c>
      <c r="AA7" s="12">
        <f>'[1]Dia 26 (a)'!$S13</f>
        <v>27.8</v>
      </c>
      <c r="AB7" s="12">
        <f>'[1]Dia 27 (a)'!$S13</f>
        <v>27.6</v>
      </c>
      <c r="AC7" s="12">
        <f>'[1]Dia 28 (a)'!$S13</f>
        <v>26.9</v>
      </c>
      <c r="AD7" s="12">
        <f>'[1]Dia 29 (a)'!$S13</f>
        <v>25.2</v>
      </c>
      <c r="AE7" s="12">
        <f>'[1]Dia 30 (a)'!$S13</f>
        <v>23</v>
      </c>
      <c r="AF7" s="13">
        <f>'[1]Dia 31 (a)'!$S13</f>
        <v>23.2</v>
      </c>
      <c r="AG7" s="14"/>
    </row>
    <row r="8" spans="1:33" ht="20.100000000000001" customHeight="1">
      <c r="A8" s="11">
        <v>11</v>
      </c>
      <c r="B8" s="12">
        <f>'[1]Dia 1 (a)'!$S14</f>
        <v>22.9</v>
      </c>
      <c r="C8" s="12">
        <f>'[1]Dia 2 (a)'!$S14</f>
        <v>23.3</v>
      </c>
      <c r="D8" s="12">
        <f>'[1]Dia 3 (a)'!$S14</f>
        <v>24</v>
      </c>
      <c r="E8" s="12">
        <f>'[1]Dia 4 (a)'!$S14</f>
        <v>24.2</v>
      </c>
      <c r="F8" s="12">
        <f>'[1]Dia 5 (a)'!$S14</f>
        <v>23.8</v>
      </c>
      <c r="G8" s="12">
        <f>'[1]Dia 6 (a)'!$S14</f>
        <v>23.6</v>
      </c>
      <c r="H8" s="12">
        <f>'[1]Dia 7 (a)'!$S14</f>
        <v>23.3</v>
      </c>
      <c r="I8" s="12">
        <f>'[1]Dia 8 (a)'!$S14</f>
        <v>22.5</v>
      </c>
      <c r="J8" s="12">
        <f>'[1]Dia 9 (a)'!$S14</f>
        <v>22</v>
      </c>
      <c r="K8" s="12">
        <f>'[1]Dia 10 (a)'!$S14</f>
        <v>21.5</v>
      </c>
      <c r="L8" s="12">
        <f>'[1]Dia 11 (a)'!$S14</f>
        <v>22.1</v>
      </c>
      <c r="M8" s="12">
        <f>'[1]Dia 12 (a)'!$S14</f>
        <v>22.1</v>
      </c>
      <c r="N8" s="12">
        <f>'[1]Dia 13 (a)'!$S14</f>
        <v>22.9</v>
      </c>
      <c r="O8" s="12">
        <f>'[1]Dia 14 (a)'!$S14</f>
        <v>23</v>
      </c>
      <c r="P8" s="12">
        <f>'[1]Dia 15 (a)'!$S14</f>
        <v>23.5</v>
      </c>
      <c r="Q8" s="12">
        <f>'[1]Dia 16 (a)'!$S14</f>
        <v>23.7</v>
      </c>
      <c r="R8" s="15">
        <f>'[1]Dia 17 (a)'!$S14</f>
        <v>24.4</v>
      </c>
      <c r="S8" s="12">
        <f>'[1]Dia 18 (a)'!$S14</f>
        <v>25</v>
      </c>
      <c r="T8" s="12">
        <f>'[1]Dia 19 (a)'!$S14</f>
        <v>25.8</v>
      </c>
      <c r="U8" s="12">
        <f>'[1]Dia 20 (a)'!$S14</f>
        <v>25.4</v>
      </c>
      <c r="V8" s="12">
        <f>'[1]Dia 21 (a)'!$S14</f>
        <v>25.8</v>
      </c>
      <c r="W8" s="12">
        <f>'[1]Dia 22 (a)'!$S14</f>
        <v>26.4</v>
      </c>
      <c r="X8" s="12">
        <f>'[1]Dia 23 (a)'!$S14</f>
        <v>27</v>
      </c>
      <c r="Y8" s="12">
        <f>'[1]Dia 24 (a)'!$S14</f>
        <v>27.2</v>
      </c>
      <c r="Z8" s="12">
        <f>'[1]Dia 25 (a)'!$S14</f>
        <v>27.2</v>
      </c>
      <c r="AA8" s="12">
        <f>'[1]Dia 26 (a)'!$S14</f>
        <v>27.8</v>
      </c>
      <c r="AB8" s="12">
        <f>'[1]Dia 27 (a)'!$S14</f>
        <v>27.5</v>
      </c>
      <c r="AC8" s="12">
        <f>'[1]Dia 28 (a)'!$S14</f>
        <v>26.8</v>
      </c>
      <c r="AD8" s="12">
        <f>'[1]Dia 29 (a)'!$S14</f>
        <v>25</v>
      </c>
      <c r="AE8" s="12">
        <f>'[1]Dia 30 (a)'!$S14</f>
        <v>23.4</v>
      </c>
      <c r="AF8" s="13">
        <f>'[1]Dia 31 (a)'!$S14</f>
        <v>23.2</v>
      </c>
      <c r="AG8" s="14"/>
    </row>
    <row r="9" spans="1:33" ht="20.100000000000001" customHeight="1">
      <c r="A9" s="11">
        <v>12</v>
      </c>
      <c r="B9" s="12">
        <f>'[1]Dia 1 (a)'!$S15</f>
        <v>22.9</v>
      </c>
      <c r="C9" s="12">
        <f>'[1]Dia 2 (a)'!$S15</f>
        <v>23.5</v>
      </c>
      <c r="D9" s="12">
        <f>'[1]Dia 3 (a)'!$S15</f>
        <v>24</v>
      </c>
      <c r="E9" s="12">
        <f>'[1]Dia 4 (a)'!$S15</f>
        <v>24.1</v>
      </c>
      <c r="F9" s="12">
        <f>'[1]Dia 5 (a)'!$S15</f>
        <v>23.5</v>
      </c>
      <c r="G9" s="12">
        <f>'[1]Dia 6 (a)'!$S15</f>
        <v>23.6</v>
      </c>
      <c r="H9" s="12">
        <f>'[1]Dia 7 (a)'!$S15</f>
        <v>23.2</v>
      </c>
      <c r="I9" s="12">
        <f>'[1]Dia 8 (a)'!$S15</f>
        <v>22.4</v>
      </c>
      <c r="J9" s="12">
        <f>'[1]Dia 9 (a)'!$S15</f>
        <v>22</v>
      </c>
      <c r="K9" s="12">
        <f>'[1]Dia 10 (a)'!$S15</f>
        <v>21.5</v>
      </c>
      <c r="L9" s="12">
        <f>'[1]Dia 11 (a)'!$S15</f>
        <v>22.1</v>
      </c>
      <c r="M9" s="12">
        <f>'[1]Dia 12 (a)'!$S15</f>
        <v>22.1</v>
      </c>
      <c r="N9" s="12">
        <f>'[1]Dia 13 (a)'!$S15</f>
        <v>22.9</v>
      </c>
      <c r="O9" s="12">
        <f>'[1]Dia 14 (a)'!$S15</f>
        <v>23.1</v>
      </c>
      <c r="P9" s="12">
        <f>'[1]Dia 15 (a)'!$S15</f>
        <v>23.6</v>
      </c>
      <c r="Q9" s="12">
        <f>'[1]Dia 16 (a)'!$S15</f>
        <v>23.7</v>
      </c>
      <c r="R9" s="15">
        <f>'[1]Dia 17 (a)'!$S15</f>
        <v>24.4</v>
      </c>
      <c r="S9" s="12">
        <f>'[1]Dia 18 (a)'!$S15</f>
        <v>25</v>
      </c>
      <c r="T9" s="12">
        <f>'[1]Dia 19 (a)'!$S15</f>
        <v>25.9</v>
      </c>
      <c r="U9" s="12">
        <f>'[1]Dia 20 (a)'!$S15</f>
        <v>25.6</v>
      </c>
      <c r="V9" s="12">
        <f>'[1]Dia 21 (a)'!$S15</f>
        <v>25.9</v>
      </c>
      <c r="W9" s="12">
        <f>'[1]Dia 22 (a)'!$S15</f>
        <v>26.2</v>
      </c>
      <c r="X9" s="12">
        <f>'[1]Dia 23 (a)'!$S15</f>
        <v>27.1</v>
      </c>
      <c r="Y9" s="12">
        <f>'[1]Dia 24 (a)'!$S15</f>
        <v>27.2</v>
      </c>
      <c r="Z9" s="12">
        <f>'[1]Dia 25 (a)'!$S15</f>
        <v>27.2</v>
      </c>
      <c r="AA9" s="12">
        <f>'[1]Dia 26 (a)'!$S15</f>
        <v>27.8</v>
      </c>
      <c r="AB9" s="12">
        <f>'[1]Dia 27 (a)'!$S15</f>
        <v>27.4</v>
      </c>
      <c r="AC9" s="12">
        <f>'[1]Dia 28 (a)'!$S15</f>
        <v>26.8</v>
      </c>
      <c r="AD9" s="12">
        <f>'[1]Dia 29 (a)'!$S15</f>
        <v>25</v>
      </c>
      <c r="AE9" s="12">
        <f>'[1]Dia 30 (a)'!$S15</f>
        <v>23.6</v>
      </c>
      <c r="AF9" s="13">
        <f>'[1]Dia 31 (a)'!$S15</f>
        <v>23.2</v>
      </c>
      <c r="AG9" s="14"/>
    </row>
    <row r="10" spans="1:33" ht="20.100000000000001" customHeight="1">
      <c r="A10" s="11">
        <v>13</v>
      </c>
      <c r="B10" s="12">
        <f>'[1]Dia 1 (a)'!$S16</f>
        <v>22.8</v>
      </c>
      <c r="C10" s="12">
        <f>'[1]Dia 2 (a)'!$S16</f>
        <v>23.5</v>
      </c>
      <c r="D10" s="12">
        <f>'[1]Dia 3 (a)'!$S16</f>
        <v>24.1</v>
      </c>
      <c r="E10" s="12">
        <f>'[1]Dia 4 (a)'!$S16</f>
        <v>24.1</v>
      </c>
      <c r="F10" s="12">
        <f>'[1]Dia 5 (a)'!$S16</f>
        <v>23.5</v>
      </c>
      <c r="G10" s="12">
        <f>'[1]Dia 6 (a)'!$S16</f>
        <v>23.6</v>
      </c>
      <c r="H10" s="12">
        <f>'[1]Dia 7 (a)'!$S16</f>
        <v>23.2</v>
      </c>
      <c r="I10" s="12">
        <f>'[1]Dia 8 (a)'!$S16</f>
        <v>22.5</v>
      </c>
      <c r="J10" s="12">
        <f>'[1]Dia 9 (a)'!$S16</f>
        <v>22</v>
      </c>
      <c r="K10" s="12">
        <f>'[1]Dia 10 (a)'!$S16</f>
        <v>21.6</v>
      </c>
      <c r="L10" s="12">
        <f>'[1]Dia 11 (a)'!$S16</f>
        <v>22.1</v>
      </c>
      <c r="M10" s="12">
        <f>'[1]Dia 12 (a)'!$S16</f>
        <v>22.3</v>
      </c>
      <c r="N10" s="12">
        <f>'[1]Dia 13 (a)'!$S16</f>
        <v>23</v>
      </c>
      <c r="O10" s="12">
        <f>'[1]Dia 14 (a)'!$S16</f>
        <v>23.1</v>
      </c>
      <c r="P10" s="12">
        <f>'[1]Dia 15 (a)'!$S16</f>
        <v>23.5</v>
      </c>
      <c r="Q10" s="12">
        <f>'[1]Dia 16 (a)'!$S16</f>
        <v>23.6</v>
      </c>
      <c r="R10" s="15">
        <f>'[1]Dia 17 (a)'!$S16</f>
        <v>24.4</v>
      </c>
      <c r="S10" s="12">
        <f>'[1]Dia 18 (a)'!$S16</f>
        <v>25</v>
      </c>
      <c r="T10" s="12">
        <f>'[1]Dia 19 (a)'!$S16</f>
        <v>25.9</v>
      </c>
      <c r="U10" s="12">
        <f>'[1]Dia 20 (a)'!$S16</f>
        <v>25.6</v>
      </c>
      <c r="V10" s="12">
        <f>'[1]Dia 21 (a)'!$S16</f>
        <v>26</v>
      </c>
      <c r="W10" s="12">
        <f>'[1]Dia 22 (a)'!$S16</f>
        <v>26.4</v>
      </c>
      <c r="X10" s="12">
        <f>'[1]Dia 23 (a)'!$S16</f>
        <v>27.2</v>
      </c>
      <c r="Y10" s="12">
        <f>'[1]Dia 24 (a)'!$S16</f>
        <v>27</v>
      </c>
      <c r="Z10" s="12">
        <f>'[1]Dia 25 (a)'!$S16</f>
        <v>27.4</v>
      </c>
      <c r="AA10" s="12">
        <f>'[1]Dia 26 (a)'!$S16</f>
        <v>27.8</v>
      </c>
      <c r="AB10" s="12">
        <f>'[1]Dia 27 (a)'!$S16</f>
        <v>27.4</v>
      </c>
      <c r="AC10" s="12">
        <f>'[1]Dia 28 (a)'!$S16</f>
        <v>26.7</v>
      </c>
      <c r="AD10" s="12">
        <f>'[1]Dia 29 (a)'!$S16</f>
        <v>25</v>
      </c>
      <c r="AE10" s="12">
        <f>'[1]Dia 30 (a)'!$S16</f>
        <v>23</v>
      </c>
      <c r="AF10" s="13">
        <f>'[1]Dia 31 (a)'!$S16</f>
        <v>23.2</v>
      </c>
      <c r="AG10" s="14"/>
    </row>
    <row r="11" spans="1:33" ht="20.100000000000001" customHeight="1">
      <c r="A11" s="11">
        <v>14</v>
      </c>
      <c r="B11" s="12">
        <f>'[1]Dia 1 (a)'!$S17</f>
        <v>22.9</v>
      </c>
      <c r="C11" s="12">
        <f>'[1]Dia 2 (a)'!$S17</f>
        <v>23.7</v>
      </c>
      <c r="D11" s="12">
        <f>'[1]Dia 3 (a)'!$S17</f>
        <v>24.1</v>
      </c>
      <c r="E11" s="12">
        <f>'[1]Dia 4 (a)'!$S17</f>
        <v>24.2</v>
      </c>
      <c r="F11" s="12">
        <f>'[1]Dia 5 (a)'!$S17</f>
        <v>23.5</v>
      </c>
      <c r="G11" s="12">
        <f>'[1]Dia 6 (a)'!$S17</f>
        <v>23.7</v>
      </c>
      <c r="H11" s="12">
        <f>'[1]Dia 7 (a)'!$S17</f>
        <v>23.4</v>
      </c>
      <c r="I11" s="12">
        <f>'[1]Dia 8 (a)'!$S17</f>
        <v>22.5</v>
      </c>
      <c r="J11" s="12">
        <f>'[1]Dia 9 (a)'!$S17</f>
        <v>22</v>
      </c>
      <c r="K11" s="12">
        <f>'[1]Dia 10 (a)'!$S17</f>
        <v>21.7</v>
      </c>
      <c r="L11" s="12">
        <f>'[1]Dia 11 (a)'!$S17</f>
        <v>22.2</v>
      </c>
      <c r="M11" s="12">
        <f>'[1]Dia 12 (a)'!$S17</f>
        <v>22.4</v>
      </c>
      <c r="N11" s="12">
        <f>'[1]Dia 13 (a)'!$S17</f>
        <v>23.1</v>
      </c>
      <c r="O11" s="12">
        <f>'[1]Dia 14 (a)'!$S17</f>
        <v>23.1</v>
      </c>
      <c r="P11" s="12">
        <f>'[1]Dia 15 (a)'!$S17</f>
        <v>23.5</v>
      </c>
      <c r="Q11" s="12">
        <f>'[1]Dia 16 (a)'!$S17</f>
        <v>24</v>
      </c>
      <c r="R11" s="12">
        <f>'[1]Dia 17 (a)'!$S17</f>
        <v>24.4</v>
      </c>
      <c r="S11" s="12">
        <f>'[1]Dia 18 (a)'!$S17</f>
        <v>25.2</v>
      </c>
      <c r="T11" s="12">
        <f>'[1]Dia 19 (a)'!$S17</f>
        <v>26</v>
      </c>
      <c r="U11" s="12">
        <f>'[1]Dia 20 (a)'!$S17</f>
        <v>25.8</v>
      </c>
      <c r="V11" s="12">
        <f>'[1]Dia 21 (a)'!$S17</f>
        <v>26.2</v>
      </c>
      <c r="W11" s="12">
        <f>'[1]Dia 22 (a)'!$S17</f>
        <v>26.5</v>
      </c>
      <c r="X11" s="12">
        <f>'[1]Dia 23 (a)'!$S17</f>
        <v>27.2</v>
      </c>
      <c r="Y11" s="12">
        <f>'[1]Dia 24 (a)'!$S17</f>
        <v>27.2</v>
      </c>
      <c r="Z11" s="12">
        <f>'[1]Dia 25 (a)'!$S17</f>
        <v>27.4</v>
      </c>
      <c r="AA11" s="12">
        <f>'[1]Dia 26 (a)'!$S17</f>
        <v>28.1</v>
      </c>
      <c r="AB11" s="12">
        <f>'[1]Dia 27 (a)'!$S17</f>
        <v>27.6</v>
      </c>
      <c r="AC11" s="12">
        <f>'[1]Dia 28 (a)'!$S17</f>
        <v>26.6</v>
      </c>
      <c r="AD11" s="12">
        <f>'[1]Dia 29 (a)'!$S17</f>
        <v>24.8</v>
      </c>
      <c r="AE11" s="12">
        <f>'[1]Dia 30 (a)'!$S17</f>
        <v>23</v>
      </c>
      <c r="AF11" s="13">
        <f>'[1]Dia 31 (a)'!$S17</f>
        <v>23.2</v>
      </c>
      <c r="AG11" s="14"/>
    </row>
    <row r="12" spans="1:33" ht="20.100000000000001" customHeight="1">
      <c r="A12" s="11">
        <v>15</v>
      </c>
      <c r="B12" s="12">
        <f>'[1]Dia 1 (a)'!$S18</f>
        <v>23.1</v>
      </c>
      <c r="C12" s="12">
        <f>'[1]Dia 2 (a)'!$S18</f>
        <v>23.8</v>
      </c>
      <c r="D12" s="12">
        <f>'[1]Dia 3 (a)'!$S18</f>
        <v>24.4</v>
      </c>
      <c r="E12" s="12">
        <f>'[1]Dia 4 (a)'!$S18</f>
        <v>24.2</v>
      </c>
      <c r="F12" s="12">
        <f>'[1]Dia 5 (a)'!$S18</f>
        <v>23.7</v>
      </c>
      <c r="G12" s="12">
        <f>'[1]Dia 6 (a)'!$S18</f>
        <v>23.7</v>
      </c>
      <c r="H12" s="12">
        <f>'[1]Dia 7 (a)'!$S18</f>
        <v>23.3</v>
      </c>
      <c r="I12" s="12">
        <f>'[1]Dia 8 (a)'!$S18</f>
        <v>22.5</v>
      </c>
      <c r="J12" s="12">
        <f>'[1]Dia 9 (a)'!$S18</f>
        <v>22</v>
      </c>
      <c r="K12" s="12">
        <f>'[1]Dia 10 (a)'!$S18</f>
        <v>21.8</v>
      </c>
      <c r="L12" s="12">
        <f>'[1]Dia 11 (a)'!$S18</f>
        <v>22.2</v>
      </c>
      <c r="M12" s="12">
        <f>'[1]Dia 12 (a)'!$S18</f>
        <v>22.4</v>
      </c>
      <c r="N12" s="12">
        <f>'[1]Dia 13 (a)'!$S18</f>
        <v>23.2</v>
      </c>
      <c r="O12" s="12">
        <f>'[1]Dia 14 (a)'!$S18</f>
        <v>23.2</v>
      </c>
      <c r="P12" s="12">
        <f>'[1]Dia 15 (a)'!$S18</f>
        <v>23.7</v>
      </c>
      <c r="Q12" s="12">
        <f>'[1]Dia 16 (a)'!$S18</f>
        <v>24.2</v>
      </c>
      <c r="R12" s="15">
        <f>'[1]Dia 17 (a)'!$S18</f>
        <v>24.6</v>
      </c>
      <c r="S12" s="12">
        <f>'[1]Dia 18 (a)'!$S18</f>
        <v>25.5</v>
      </c>
      <c r="T12" s="12">
        <f>'[1]Dia 19 (a)'!$S18</f>
        <v>26.2</v>
      </c>
      <c r="U12" s="12">
        <f>'[1]Dia 20 (a)'!$S18</f>
        <v>26</v>
      </c>
      <c r="V12" s="12">
        <f>'[1]Dia 21 (a)'!$S18</f>
        <v>26.4</v>
      </c>
      <c r="W12" s="12">
        <f>'[1]Dia 22 (a)'!$S18</f>
        <v>26.7</v>
      </c>
      <c r="X12" s="12">
        <f>'[1]Dia 23 (a)'!$S18</f>
        <v>27.4</v>
      </c>
      <c r="Y12" s="12">
        <f>'[1]Dia 24 (a)'!$S18</f>
        <v>27.5</v>
      </c>
      <c r="Z12" s="12">
        <f>'[1]Dia 25 (a)'!$S18</f>
        <v>27.4</v>
      </c>
      <c r="AA12" s="12">
        <f>'[1]Dia 26 (a)'!$S18</f>
        <v>28.3</v>
      </c>
      <c r="AB12" s="12">
        <f>'[1]Dia 27 (a)'!$S18</f>
        <v>27.6</v>
      </c>
      <c r="AC12" s="12">
        <f>'[1]Dia 28 (a)'!$S18</f>
        <v>26.6</v>
      </c>
      <c r="AD12" s="12">
        <f>'[1]Dia 29 (a)'!$S18</f>
        <v>24.7</v>
      </c>
      <c r="AE12" s="12">
        <f>'[1]Dia 30 (a)'!$S18</f>
        <v>23</v>
      </c>
      <c r="AF12" s="13">
        <f>'[1]Dia 31 (a)'!$S18</f>
        <v>23.2</v>
      </c>
      <c r="AG12" s="14"/>
    </row>
    <row r="13" spans="1:33" ht="20.100000000000001" customHeight="1">
      <c r="A13" s="11">
        <v>16</v>
      </c>
      <c r="B13" s="12">
        <f>'[1]Dia 1 (a)'!$S19</f>
        <v>23.2</v>
      </c>
      <c r="C13" s="12">
        <f>'[1]Dia 2 (a)'!$S19</f>
        <v>23.8</v>
      </c>
      <c r="D13" s="12">
        <f>'[1]Dia 3 (a)'!$S19</f>
        <v>24.5</v>
      </c>
      <c r="E13" s="12">
        <f>'[1]Dia 4 (a)'!$S19</f>
        <v>24.4</v>
      </c>
      <c r="F13" s="12">
        <f>'[1]Dia 5 (a)'!$S19</f>
        <v>23.7</v>
      </c>
      <c r="G13" s="12">
        <f>'[1]Dia 6 (a)'!$S19</f>
        <v>23.8</v>
      </c>
      <c r="H13" s="12">
        <f>'[1]Dia 7 (a)'!$S19</f>
        <v>23.2</v>
      </c>
      <c r="I13" s="12">
        <f>'[1]Dia 8 (a)'!$S19</f>
        <v>22.5</v>
      </c>
      <c r="J13" s="12">
        <f>'[1]Dia 9 (a)'!$S19</f>
        <v>22.1</v>
      </c>
      <c r="K13" s="12">
        <f>'[1]Dia 10 (a)'!$S19</f>
        <v>21.9</v>
      </c>
      <c r="L13" s="12">
        <f>'[1]Dia 11 (a)'!$S19</f>
        <v>22.3</v>
      </c>
      <c r="M13" s="12">
        <f>'[1]Dia 12 (a)'!$S19</f>
        <v>22.5</v>
      </c>
      <c r="N13" s="12">
        <f>'[1]Dia 13 (a)'!$S19</f>
        <v>23.2</v>
      </c>
      <c r="O13" s="12">
        <f>'[1]Dia 14 (a)'!$S19</f>
        <v>23.3</v>
      </c>
      <c r="P13" s="12">
        <f>'[1]Dia 15 (a)'!$S19</f>
        <v>23.8</v>
      </c>
      <c r="Q13" s="12">
        <f>'[1]Dia 16 (a)'!$S19</f>
        <v>24.2</v>
      </c>
      <c r="R13" s="12">
        <f>'[1]Dia 17 (a)'!$S19</f>
        <v>24.7</v>
      </c>
      <c r="S13" s="12">
        <f>'[1]Dia 18 (a)'!$S19</f>
        <v>25.7</v>
      </c>
      <c r="T13" s="12">
        <f>'[1]Dia 19 (a)'!$S19</f>
        <v>26.4</v>
      </c>
      <c r="U13" s="12">
        <f>'[1]Dia 20 (a)'!$S19</f>
        <v>26.2</v>
      </c>
      <c r="V13" s="12">
        <f>'[1]Dia 21 (a)'!$S19</f>
        <v>26.7</v>
      </c>
      <c r="W13" s="12">
        <f>'[1]Dia 22 (a)'!$S19</f>
        <v>27</v>
      </c>
      <c r="X13" s="12">
        <f>'[1]Dia 23 (a)'!$S19</f>
        <v>27.6</v>
      </c>
      <c r="Y13" s="12">
        <f>'[1]Dia 24 (a)'!$S19</f>
        <v>27.9</v>
      </c>
      <c r="Z13" s="12">
        <f>'[1]Dia 25 (a)'!$S19</f>
        <v>28</v>
      </c>
      <c r="AA13" s="12">
        <f>'[1]Dia 26 (a)'!$S19</f>
        <v>28</v>
      </c>
      <c r="AB13" s="12">
        <f>'[1]Dia 27 (a)'!$S19</f>
        <v>27.6</v>
      </c>
      <c r="AC13" s="12">
        <f>'[1]Dia 28 (a)'!$S19</f>
        <v>26.6</v>
      </c>
      <c r="AD13" s="12">
        <f>'[1]Dia 29 (a)'!$S19</f>
        <v>24.7</v>
      </c>
      <c r="AE13" s="12">
        <f>'[1]Dia 30 (a)'!$S19</f>
        <v>23.2</v>
      </c>
      <c r="AF13" s="13">
        <f>'[1]Dia 31 (a)'!$S19</f>
        <v>23.2</v>
      </c>
      <c r="AG13" s="14"/>
    </row>
    <row r="14" spans="1:33" ht="20.100000000000001" customHeight="1">
      <c r="A14" s="11">
        <v>17</v>
      </c>
      <c r="B14" s="12">
        <f>'[1]Dia 1 (a)'!$S20</f>
        <v>23.3</v>
      </c>
      <c r="C14" s="12">
        <f>'[1]Dia 2 (a)'!$S20</f>
        <v>23.8</v>
      </c>
      <c r="D14" s="12">
        <f>'[1]Dia 3 (a)'!$S20</f>
        <v>24.6</v>
      </c>
      <c r="E14" s="12">
        <f>'[1]Dia 4 (a)'!$S20</f>
        <v>24.5</v>
      </c>
      <c r="F14" s="12">
        <f>'[1]Dia 5 (a)'!$S20</f>
        <v>23.8</v>
      </c>
      <c r="G14" s="12">
        <f>'[1]Dia 6 (a)'!$S20</f>
        <v>23.8</v>
      </c>
      <c r="H14" s="12">
        <f>'[1]Dia 7 (a)'!$S20</f>
        <v>23.3</v>
      </c>
      <c r="I14" s="12">
        <f>'[1]Dia 8 (a)'!$S20</f>
        <v>22.6</v>
      </c>
      <c r="J14" s="12">
        <f>'[1]Dia 9 (a)'!$S20</f>
        <v>22.1</v>
      </c>
      <c r="K14" s="12">
        <f>'[1]Dia 10 (a)'!$S20</f>
        <v>22.1</v>
      </c>
      <c r="L14" s="12">
        <f>'[1]Dia 11 (a)'!$S20</f>
        <v>22.4</v>
      </c>
      <c r="M14" s="12">
        <f>'[1]Dia 12 (a)'!$S20</f>
        <v>22.6</v>
      </c>
      <c r="N14" s="12">
        <f>'[1]Dia 13 (a)'!$S20</f>
        <v>23.2</v>
      </c>
      <c r="O14" s="12">
        <f>'[1]Dia 14 (a)'!$S20</f>
        <v>23.4</v>
      </c>
      <c r="P14" s="12">
        <f>'[1]Dia 15 (a)'!$S20</f>
        <v>24</v>
      </c>
      <c r="Q14" s="12">
        <f>'[1]Dia 16 (a)'!$S20</f>
        <v>24.4</v>
      </c>
      <c r="R14" s="12">
        <f>'[1]Dia 17 (a)'!$S20</f>
        <v>25</v>
      </c>
      <c r="S14" s="12">
        <f>'[1]Dia 18 (a)'!$S20</f>
        <v>25.9</v>
      </c>
      <c r="T14" s="12">
        <f>'[1]Dia 19 (a)'!$S20</f>
        <v>26.7</v>
      </c>
      <c r="U14" s="12">
        <f>'[1]Dia 20 (a)'!$S20</f>
        <v>26.3</v>
      </c>
      <c r="V14" s="12">
        <f>'[1]Dia 21 (a)'!$S20</f>
        <v>26.7</v>
      </c>
      <c r="W14" s="12">
        <f>'[1]Dia 22 (a)'!$S20</f>
        <v>27.3</v>
      </c>
      <c r="X14" s="12">
        <f>'[1]Dia 23 (a)'!$S20</f>
        <v>28</v>
      </c>
      <c r="Y14" s="12">
        <f>'[1]Dia 24 (a)'!$S20</f>
        <v>28.2</v>
      </c>
      <c r="Z14" s="12">
        <f>'[1]Dia 25 (a)'!$S20</f>
        <v>28.1</v>
      </c>
      <c r="AA14" s="12">
        <f>'[1]Dia 26 (a)'!$S20</f>
        <v>28</v>
      </c>
      <c r="AB14" s="12">
        <f>'[1]Dia 27 (a)'!$S20</f>
        <v>27.4</v>
      </c>
      <c r="AC14" s="12">
        <f>'[1]Dia 28 (a)'!$S20</f>
        <v>26.6</v>
      </c>
      <c r="AD14" s="12">
        <f>'[1]Dia 29 (a)'!$S20</f>
        <v>24.7</v>
      </c>
      <c r="AE14" s="12">
        <f>'[1]Dia 30 (a)'!$S20</f>
        <v>23.3</v>
      </c>
      <c r="AF14" s="13">
        <f>'[1]Dia 31 (a)'!$S20</f>
        <v>23.3</v>
      </c>
      <c r="AG14" s="14"/>
    </row>
    <row r="15" spans="1:33" ht="20.100000000000001" customHeight="1">
      <c r="A15" s="11">
        <v>18</v>
      </c>
      <c r="B15" s="12">
        <f>'[1]Dia 1 (a)'!$S21</f>
        <v>23.5</v>
      </c>
      <c r="C15" s="12">
        <f>'[1]Dia 2 (a)'!$S21</f>
        <v>23.8</v>
      </c>
      <c r="D15" s="12">
        <f>'[1]Dia 3 (a)'!$S21</f>
        <v>24.9</v>
      </c>
      <c r="E15" s="12">
        <f>'[1]Dia 4 (a)'!$S21</f>
        <v>24.5</v>
      </c>
      <c r="F15" s="12">
        <f>'[1]Dia 5 (a)'!$S21</f>
        <v>23.8</v>
      </c>
      <c r="G15" s="12">
        <f>'[1]Dia 6 (a)'!$S21</f>
        <v>23.9</v>
      </c>
      <c r="H15" s="12">
        <f>'[1]Dia 7 (a)'!$S21</f>
        <v>23.3</v>
      </c>
      <c r="I15" s="12">
        <f>'[1]Dia 8 (a)'!$S21</f>
        <v>22.6</v>
      </c>
      <c r="J15" s="12">
        <f>'[1]Dia 9 (a)'!$S21</f>
        <v>22</v>
      </c>
      <c r="K15" s="12">
        <f>'[1]Dia 10 (a)'!$S21</f>
        <v>22.1</v>
      </c>
      <c r="L15" s="12">
        <f>'[1]Dia 11 (a)'!$S21</f>
        <v>22.4</v>
      </c>
      <c r="M15" s="12">
        <f>'[1]Dia 12 (a)'!$S21</f>
        <v>22.8</v>
      </c>
      <c r="N15" s="12">
        <f>'[1]Dia 13 (a)'!$S21</f>
        <v>23.2</v>
      </c>
      <c r="O15" s="12">
        <f>'[1]Dia 14 (a)'!$S21</f>
        <v>23.5</v>
      </c>
      <c r="P15" s="12">
        <f>'[1]Dia 15 (a)'!$S21</f>
        <v>24</v>
      </c>
      <c r="Q15" s="12">
        <f>'[1]Dia 16 (a)'!$S21</f>
        <v>24.7</v>
      </c>
      <c r="R15" s="12">
        <f>'[1]Dia 17 (a)'!$S21</f>
        <v>25.2</v>
      </c>
      <c r="S15" s="12">
        <f>'[1]Dia 18 (a)'!$S21</f>
        <v>26.2</v>
      </c>
      <c r="T15" s="12">
        <f>'[1]Dia 19 (a)'!$S21</f>
        <v>26.9</v>
      </c>
      <c r="U15" s="12">
        <f>'[1]Dia 20 (a)'!$S21</f>
        <v>26.7</v>
      </c>
      <c r="V15" s="12">
        <f>'[1]Dia 21 (a)'!$S21</f>
        <v>27</v>
      </c>
      <c r="W15" s="12">
        <f>'[1]Dia 22 (a)'!$S21</f>
        <v>27.6</v>
      </c>
      <c r="X15" s="12">
        <f>'[1]Dia 23 (a)'!$S21</f>
        <v>28.3</v>
      </c>
      <c r="Y15" s="12">
        <f>'[1]Dia 24 (a)'!$S21</f>
        <v>28.4</v>
      </c>
      <c r="Z15" s="12">
        <f>'[1]Dia 25 (a)'!$S21</f>
        <v>28.4</v>
      </c>
      <c r="AA15" s="12">
        <f>'[1]Dia 26 (a)'!$S21</f>
        <v>28.4</v>
      </c>
      <c r="AB15" s="12">
        <f>'[1]Dia 27 (a)'!$S21</f>
        <v>27.8</v>
      </c>
      <c r="AC15" s="12">
        <f>'[1]Dia 28 (a)'!$S21</f>
        <v>26.6</v>
      </c>
      <c r="AD15" s="12">
        <f>'[1]Dia 29 (a)'!$S21</f>
        <v>24.7</v>
      </c>
      <c r="AE15" s="12">
        <f>'[1]Dia 30 (a)'!$S21</f>
        <v>23.4</v>
      </c>
      <c r="AF15" s="13">
        <f>'[1]Dia 31 (a)'!$S21</f>
        <v>23.4</v>
      </c>
      <c r="AG15" s="14"/>
    </row>
    <row r="16" spans="1:33" ht="20.100000000000001" customHeight="1">
      <c r="A16" s="11">
        <v>19</v>
      </c>
      <c r="B16" s="12">
        <f>'[1]Dia 1 (a)'!$S22</f>
        <v>23.6</v>
      </c>
      <c r="C16" s="12">
        <f>'[1]Dia 2 (a)'!$S22</f>
        <v>24</v>
      </c>
      <c r="D16" s="12">
        <f>'[1]Dia 3 (a)'!$S22</f>
        <v>24.9</v>
      </c>
      <c r="E16" s="12">
        <f>'[1]Dia 4 (a)'!$S22</f>
        <v>24.5</v>
      </c>
      <c r="F16" s="12">
        <f>'[1]Dia 5 (a)'!$S22</f>
        <v>23.9</v>
      </c>
      <c r="G16" s="12">
        <f>'[1]Dia 6 (a)'!$S22</f>
        <v>23.9</v>
      </c>
      <c r="H16" s="12">
        <f>'[1]Dia 7 (a)'!$S22</f>
        <v>23.3</v>
      </c>
      <c r="I16" s="12">
        <f>'[1]Dia 8 (a)'!$S22</f>
        <v>22.6</v>
      </c>
      <c r="J16" s="12">
        <f>'[1]Dia 9 (a)'!$S22</f>
        <v>22</v>
      </c>
      <c r="K16" s="12">
        <f>'[1]Dia 10 (a)'!$S22</f>
        <v>22.4</v>
      </c>
      <c r="L16" s="12">
        <f>'[1]Dia 11 (a)'!$S22</f>
        <v>22.4</v>
      </c>
      <c r="M16" s="12">
        <f>'[1]Dia 12 (a)'!$S22</f>
        <v>22.9</v>
      </c>
      <c r="N16" s="12">
        <f>'[1]Dia 13 (a)'!$S22</f>
        <v>23.5</v>
      </c>
      <c r="O16" s="12">
        <f>'[1]Dia 14 (a)'!$S22</f>
        <v>23.7</v>
      </c>
      <c r="P16" s="12">
        <f>'[1]Dia 15 (a)'!$S22</f>
        <v>24.1</v>
      </c>
      <c r="Q16" s="12">
        <f>'[1]Dia 16 (a)'!$S22</f>
        <v>24.8</v>
      </c>
      <c r="R16" s="12">
        <f>'[1]Dia 17 (a)'!$S22</f>
        <v>25.4</v>
      </c>
      <c r="S16" s="12">
        <f>'[1]Dia 18 (a)'!$S22</f>
        <v>26.7</v>
      </c>
      <c r="T16" s="12">
        <f>'[1]Dia 19 (a)'!$S22</f>
        <v>27</v>
      </c>
      <c r="U16" s="12">
        <f>'[1]Dia 20 (a)'!$S22</f>
        <v>26.8</v>
      </c>
      <c r="V16" s="12">
        <f>'[1]Dia 21 (a)'!$S22</f>
        <v>27.4</v>
      </c>
      <c r="W16" s="12">
        <f>'[1]Dia 22 (a)'!$S22</f>
        <v>27.6</v>
      </c>
      <c r="X16" s="12">
        <f>'[1]Dia 23 (a)'!$S22</f>
        <v>28.4</v>
      </c>
      <c r="Y16" s="12">
        <f>'[1]Dia 24 (a)'!$S22</f>
        <v>28.6</v>
      </c>
      <c r="Z16" s="12">
        <f>'[1]Dia 25 (a)'!$S22</f>
        <v>28.6</v>
      </c>
      <c r="AA16" s="12">
        <f>'[1]Dia 26 (a)'!$S22</f>
        <v>28.2</v>
      </c>
      <c r="AB16" s="12">
        <f>'[1]Dia 27 (a)'!$S22</f>
        <v>28</v>
      </c>
      <c r="AC16" s="12">
        <f>'[1]Dia 28 (a)'!$S22</f>
        <v>26.6</v>
      </c>
      <c r="AD16" s="12">
        <f>'[1]Dia 29 (a)'!$S22</f>
        <v>24.6</v>
      </c>
      <c r="AE16" s="12">
        <f>'[1]Dia 30 (a)'!$S22</f>
        <v>23.5</v>
      </c>
      <c r="AF16" s="13">
        <f>'[1]Dia 31 (a)'!$S22</f>
        <v>23.4</v>
      </c>
      <c r="AG16" s="14"/>
    </row>
    <row r="17" spans="1:33" ht="20.100000000000001" customHeight="1">
      <c r="A17" s="11">
        <v>20</v>
      </c>
      <c r="B17" s="12">
        <f>'[1]Dia 1 (a)'!$S23</f>
        <v>23.6</v>
      </c>
      <c r="C17" s="12">
        <f>'[1]Dia 2 (a)'!$S23</f>
        <v>24</v>
      </c>
      <c r="D17" s="12">
        <f>'[1]Dia 3 (a)'!$S23</f>
        <v>24.9</v>
      </c>
      <c r="E17" s="12">
        <f>'[1]Dia 4 (a)'!$S23</f>
        <v>24.5</v>
      </c>
      <c r="F17" s="12">
        <f>'[1]Dia 5 (a)'!$S23</f>
        <v>24</v>
      </c>
      <c r="G17" s="12">
        <f>'[1]Dia 6 (a)'!$S23</f>
        <v>24</v>
      </c>
      <c r="H17" s="12">
        <f>'[1]Dia 7 (a)'!$S23</f>
        <v>23.3</v>
      </c>
      <c r="I17" s="12">
        <f>'[1]Dia 8 (a)'!$S23</f>
        <v>22.7</v>
      </c>
      <c r="J17" s="12">
        <f>'[1]Dia 9 (a)'!$S23</f>
        <v>22</v>
      </c>
      <c r="K17" s="12">
        <f>'[1]Dia 10 (a)'!$S23</f>
        <v>22.3</v>
      </c>
      <c r="L17" s="12">
        <f>'[1]Dia 11 (a)'!$S23</f>
        <v>22.4</v>
      </c>
      <c r="M17" s="12">
        <f>'[1]Dia 12 (a)'!$S23</f>
        <v>23</v>
      </c>
      <c r="N17" s="12">
        <f>'[1]Dia 13 (a)'!$S23</f>
        <v>23.6</v>
      </c>
      <c r="O17" s="12">
        <f>'[1]Dia 14 (a)'!$S23</f>
        <v>23.7</v>
      </c>
      <c r="P17" s="12">
        <f>'[1]Dia 15 (a)'!$S23</f>
        <v>24.2</v>
      </c>
      <c r="Q17" s="12">
        <f>'[1]Dia 16 (a)'!$S23</f>
        <v>25</v>
      </c>
      <c r="R17" s="12">
        <f>'[1]Dia 17 (a)'!$S23</f>
        <v>25.4</v>
      </c>
      <c r="S17" s="12">
        <f>'[1]Dia 18 (a)'!$S23</f>
        <v>26.8</v>
      </c>
      <c r="T17" s="12">
        <f>'[1]Dia 19 (a)'!$S23</f>
        <v>27.1</v>
      </c>
      <c r="U17" s="12">
        <f>'[1]Dia 20 (a)'!$S23</f>
        <v>27.1</v>
      </c>
      <c r="V17" s="12">
        <f>'[1]Dia 21 (a)'!$S23</f>
        <v>27.7</v>
      </c>
      <c r="W17" s="12">
        <f>'[1]Dia 22 (a)'!$S23</f>
        <v>28.3</v>
      </c>
      <c r="X17" s="12">
        <f>'[1]Dia 23 (a)'!$S23</f>
        <v>28.5</v>
      </c>
      <c r="Y17" s="12">
        <f>'[1]Dia 24 (a)'!$S23</f>
        <v>28.6</v>
      </c>
      <c r="Z17" s="12">
        <f>'[1]Dia 25 (a)'!$S23</f>
        <v>28.7</v>
      </c>
      <c r="AA17" s="12">
        <f>'[1]Dia 26 (a)'!$S23</f>
        <v>28.2</v>
      </c>
      <c r="AB17" s="12">
        <f>'[1]Dia 27 (a)'!$S23</f>
        <v>28.6</v>
      </c>
      <c r="AC17" s="12">
        <f>'[1]Dia 28 (a)'!$S23</f>
        <v>26.4</v>
      </c>
      <c r="AD17" s="12">
        <f>'[1]Dia 29 (a)'!$S23</f>
        <v>24.4</v>
      </c>
      <c r="AE17" s="12">
        <f>'[1]Dia 30 (a)'!$S23</f>
        <v>23.5</v>
      </c>
      <c r="AF17" s="13">
        <f>'[1]Dia 31 (a)'!$S23</f>
        <v>23.5</v>
      </c>
      <c r="AG17" s="14"/>
    </row>
    <row r="18" spans="1:33" ht="20.100000000000001" customHeight="1">
      <c r="A18" s="11">
        <v>21</v>
      </c>
      <c r="B18" s="12">
        <f>'[1]Dia 1 (a)'!$S24</f>
        <v>23.6</v>
      </c>
      <c r="C18" s="12">
        <f>'[1]Dia 2 (a)'!$S24</f>
        <v>24</v>
      </c>
      <c r="D18" s="12">
        <f>'[1]Dia 3 (a)'!$S24</f>
        <v>24.9</v>
      </c>
      <c r="E18" s="12">
        <f>'[1]Dia 4 (a)'!$S24</f>
        <v>24.5</v>
      </c>
      <c r="F18" s="12">
        <f>'[1]Dia 5 (a)'!$S24</f>
        <v>24.1</v>
      </c>
      <c r="G18" s="12">
        <f>'[1]Dia 6 (a)'!$S24</f>
        <v>24</v>
      </c>
      <c r="H18" s="12">
        <f>'[1]Dia 7 (a)'!$S24</f>
        <v>23.3</v>
      </c>
      <c r="I18" s="12">
        <f>'[1]Dia 8 (a)'!$S24</f>
        <v>22.7</v>
      </c>
      <c r="J18" s="12">
        <f>'[1]Dia 9 (a)'!$S24</f>
        <v>21.9</v>
      </c>
      <c r="K18" s="12">
        <f>'[1]Dia 10 (a)'!$S24</f>
        <v>22.3</v>
      </c>
      <c r="L18" s="12">
        <f>'[1]Dia 11 (a)'!$S24</f>
        <v>22.4</v>
      </c>
      <c r="M18" s="12">
        <f>'[1]Dia 12 (a)'!$S24</f>
        <v>23</v>
      </c>
      <c r="N18" s="12">
        <f>'[1]Dia 13 (a)'!$S24</f>
        <v>23.6</v>
      </c>
      <c r="O18" s="12">
        <f>'[1]Dia 14 (a)'!$S24</f>
        <v>23.8</v>
      </c>
      <c r="P18" s="12">
        <f>'[1]Dia 15 (a)'!$S24</f>
        <v>24.2</v>
      </c>
      <c r="Q18" s="12">
        <f>'[1]Dia 16 (a)'!$S24</f>
        <v>25</v>
      </c>
      <c r="R18" s="12">
        <f>'[1]Dia 17 (a)'!$S24</f>
        <v>25.4</v>
      </c>
      <c r="S18" s="12">
        <f>'[1]Dia 18 (a)'!$S24</f>
        <v>26.8</v>
      </c>
      <c r="T18" s="12">
        <f>'[1]Dia 19 (a)'!$S24</f>
        <v>27.1</v>
      </c>
      <c r="U18" s="12">
        <f>'[1]Dia 20 (a)'!$S24</f>
        <v>27.2</v>
      </c>
      <c r="V18" s="12">
        <f>'[1]Dia 21 (a)'!$S24</f>
        <v>27.9</v>
      </c>
      <c r="W18" s="12">
        <f>'[1]Dia 22 (a)'!$S24</f>
        <v>28.2</v>
      </c>
      <c r="X18" s="12">
        <f>'[1]Dia 23 (a)'!$S24</f>
        <v>28.6</v>
      </c>
      <c r="Y18" s="12">
        <f>'[1]Dia 24 (a)'!$S24</f>
        <v>28.7</v>
      </c>
      <c r="Z18" s="12">
        <f>'[1]Dia 25 (a)'!$S24</f>
        <v>28.8</v>
      </c>
      <c r="AA18" s="12">
        <f>'[1]Dia 26 (a)'!$S24</f>
        <v>28</v>
      </c>
      <c r="AB18" s="12">
        <f>'[1]Dia 27 (a)'!$S24</f>
        <v>28.4</v>
      </c>
      <c r="AC18" s="12">
        <f>'[1]Dia 28 (a)'!$S24</f>
        <v>26.4</v>
      </c>
      <c r="AD18" s="12">
        <f>'[1]Dia 29 (a)'!$S24</f>
        <v>24.3</v>
      </c>
      <c r="AE18" s="12">
        <f>'[1]Dia 30 (a)'!$S24</f>
        <v>23.6</v>
      </c>
      <c r="AF18" s="13">
        <f>'[1]Dia 31 (a)'!$S24</f>
        <v>23.5</v>
      </c>
      <c r="AG18" s="14"/>
    </row>
    <row r="19" spans="1:33" ht="20.100000000000001" customHeight="1">
      <c r="A19" s="11">
        <v>22</v>
      </c>
      <c r="B19" s="12">
        <f>'[1]Dia 1 (a)'!$S25</f>
        <v>23.7</v>
      </c>
      <c r="C19" s="12">
        <f>'[1]Dia 2 (a)'!$S25</f>
        <v>24.3</v>
      </c>
      <c r="D19" s="12">
        <f>'[1]Dia 3 (a)'!$S25</f>
        <v>24.9</v>
      </c>
      <c r="E19" s="12">
        <f>'[1]Dia 4 (a)'!$S25</f>
        <v>24.4</v>
      </c>
      <c r="F19" s="12">
        <f>'[1]Dia 5 (a)'!$S25</f>
        <v>24.1</v>
      </c>
      <c r="G19" s="12">
        <f>'[1]Dia 6 (a)'!$S25</f>
        <v>24</v>
      </c>
      <c r="H19" s="12">
        <f>'[1]Dia 7 (a)'!$S25</f>
        <v>23.3</v>
      </c>
      <c r="I19" s="12">
        <f>'[1]Dia 8 (a)'!$S25</f>
        <v>22.7</v>
      </c>
      <c r="J19" s="12">
        <f>'[1]Dia 9 (a)'!$S25</f>
        <v>22</v>
      </c>
      <c r="K19" s="12">
        <f>'[1]Dia 10 (a)'!$S25</f>
        <v>22.4</v>
      </c>
      <c r="L19" s="12">
        <f>'[1]Dia 11 (a)'!$S25</f>
        <v>22.4</v>
      </c>
      <c r="M19" s="12">
        <f>'[1]Dia 12 (a)'!$S25</f>
        <v>23</v>
      </c>
      <c r="N19" s="12">
        <f>'[1]Dia 13 (a)'!$S25</f>
        <v>23.6</v>
      </c>
      <c r="O19" s="12">
        <f>'[1]Dia 14 (a)'!$S25</f>
        <v>23.8</v>
      </c>
      <c r="P19" s="12">
        <f>'[1]Dia 15 (a)'!$S25</f>
        <v>24.2</v>
      </c>
      <c r="Q19" s="12">
        <f>'[1]Dia 16 (a)'!$S25</f>
        <v>25</v>
      </c>
      <c r="R19" s="12">
        <f>'[1]Dia 17 (a)'!$S25</f>
        <v>25.5</v>
      </c>
      <c r="S19" s="12">
        <f>'[1]Dia 18 (a)'!$S25</f>
        <v>26.8</v>
      </c>
      <c r="T19" s="12">
        <f>'[1]Dia 19 (a)'!$S25</f>
        <v>26.9</v>
      </c>
      <c r="U19" s="12">
        <f>'[1]Dia 20 (a)'!$S25</f>
        <v>27.2</v>
      </c>
      <c r="V19" s="12">
        <f>'[1]Dia 21 (a)'!$S25</f>
        <v>27.7</v>
      </c>
      <c r="W19" s="12">
        <f>'[1]Dia 22 (a)'!$S25</f>
        <v>28.2</v>
      </c>
      <c r="X19" s="12">
        <f>'[1]Dia 23 (a)'!$S25</f>
        <v>28.6</v>
      </c>
      <c r="Y19" s="12">
        <f>'[1]Dia 24 (a)'!$S25</f>
        <v>28.7</v>
      </c>
      <c r="Z19" s="12">
        <f>'[1]Dia 25 (a)'!$S25</f>
        <v>28.8</v>
      </c>
      <c r="AA19" s="12">
        <f>'[1]Dia 26 (a)'!$S25</f>
        <v>28</v>
      </c>
      <c r="AB19" s="12">
        <f>'[1]Dia 27 (a)'!$S25</f>
        <v>28</v>
      </c>
      <c r="AC19" s="12">
        <f>'[1]Dia 28 (a)'!$S25</f>
        <v>26.3</v>
      </c>
      <c r="AD19" s="12">
        <f>'[1]Dia 29 (a)'!$S25</f>
        <v>24.3</v>
      </c>
      <c r="AE19" s="12">
        <f>'[1]Dia 30 (a)'!$S25</f>
        <v>23.6</v>
      </c>
      <c r="AF19" s="13">
        <f>'[1]Dia 31 (a)'!$S25</f>
        <v>23.6</v>
      </c>
      <c r="AG19" s="14"/>
    </row>
    <row r="20" spans="1:33" ht="20.100000000000001" customHeight="1">
      <c r="A20" s="11">
        <v>23</v>
      </c>
      <c r="B20" s="12">
        <f>'[1]Dia 1 (a)'!$S26</f>
        <v>23.6</v>
      </c>
      <c r="C20" s="12">
        <f>'[1]Dia 2 (a)'!$S26</f>
        <v>24.5</v>
      </c>
      <c r="D20" s="12">
        <f>'[1]Dia 3 (a)'!$S26</f>
        <v>24.9</v>
      </c>
      <c r="E20" s="12">
        <f>'[1]Dia 4 (a)'!$S26</f>
        <v>24.4</v>
      </c>
      <c r="F20" s="12">
        <f>'[1]Dia 5 (a)'!$S26</f>
        <v>24.1</v>
      </c>
      <c r="G20" s="12">
        <f>'[1]Dia 6 (a)'!$S26</f>
        <v>24</v>
      </c>
      <c r="H20" s="12">
        <f>'[1]Dia 7 (a)'!$S26</f>
        <v>23.3</v>
      </c>
      <c r="I20" s="12">
        <f>'[1]Dia 8 (a)'!$S26</f>
        <v>22.7</v>
      </c>
      <c r="J20" s="12">
        <f>'[1]Dia 9 (a)'!$S26</f>
        <v>21.9</v>
      </c>
      <c r="K20" s="12">
        <f>'[1]Dia 10 (a)'!$S26</f>
        <v>22.5</v>
      </c>
      <c r="L20" s="12">
        <f>'[1]Dia 11 (a)'!$S26</f>
        <v>22.4</v>
      </c>
      <c r="M20" s="12">
        <f>'[1]Dia 12 (a)'!$S26</f>
        <v>23</v>
      </c>
      <c r="N20" s="12">
        <f>'[1]Dia 13 (a)'!$S26</f>
        <v>23.5</v>
      </c>
      <c r="O20" s="12">
        <f>'[1]Dia 14 (a)'!$S26</f>
        <v>23.9</v>
      </c>
      <c r="P20" s="12">
        <f>'[1]Dia 15 (a)'!$S26</f>
        <v>24.3</v>
      </c>
      <c r="Q20" s="12">
        <f>'[1]Dia 16 (a)'!$S26</f>
        <v>25</v>
      </c>
      <c r="R20" s="12">
        <f>'[1]Dia 17 (a)'!$S26</f>
        <v>25.5</v>
      </c>
      <c r="S20" s="12">
        <f>'[1]Dia 18 (a)'!$S26</f>
        <v>26.9</v>
      </c>
      <c r="T20" s="12">
        <f>'[1]Dia 19 (a)'!$S26</f>
        <v>26.9</v>
      </c>
      <c r="U20" s="12">
        <f>'[1]Dia 20 (a)'!$S26</f>
        <v>27.1</v>
      </c>
      <c r="V20" s="12">
        <f>'[1]Dia 21 (a)'!$S26</f>
        <v>27.7</v>
      </c>
      <c r="W20" s="12">
        <f>'[1]Dia 22 (a)'!$S26</f>
        <v>28.3</v>
      </c>
      <c r="X20" s="12">
        <f>'[1]Dia 23 (a)'!$S26</f>
        <v>28.4</v>
      </c>
      <c r="Y20" s="12">
        <f>'[1]Dia 24 (a)'!$S26</f>
        <v>28.7</v>
      </c>
      <c r="Z20" s="12">
        <f>'[1]Dia 25 (a)'!$S26</f>
        <v>28.8</v>
      </c>
      <c r="AA20" s="12">
        <f>'[1]Dia 26 (a)'!$S26</f>
        <v>28</v>
      </c>
      <c r="AB20" s="12">
        <f>'[1]Dia 27 (a)'!$S26</f>
        <v>28</v>
      </c>
      <c r="AC20" s="12">
        <f>'[1]Dia 28 (a)'!$S26</f>
        <v>26.3</v>
      </c>
      <c r="AD20" s="12">
        <f>'[1]Dia 29 (a)'!$S26</f>
        <v>24</v>
      </c>
      <c r="AE20" s="12">
        <f>'[1]Dia 30 (a)'!$S26</f>
        <v>23.6</v>
      </c>
      <c r="AF20" s="13">
        <f>'[1]Dia 31 (a)'!$S26</f>
        <v>23.6</v>
      </c>
      <c r="AG20" s="14"/>
    </row>
    <row r="21" spans="1:33" ht="20.100000000000001" customHeight="1" thickBot="1">
      <c r="A21" s="16">
        <v>24</v>
      </c>
      <c r="B21" s="17">
        <f>'[1]Dia 1 (a)'!$S27</f>
        <v>23.6</v>
      </c>
      <c r="C21" s="17">
        <f>'[1]Dia 2 (a)'!$S27</f>
        <v>24.5</v>
      </c>
      <c r="D21" s="17">
        <f>'[1]Dia 3 (a)'!$S27</f>
        <v>24.9</v>
      </c>
      <c r="E21" s="17">
        <f>'[1]Dia 4 (a)'!$S27</f>
        <v>24.3</v>
      </c>
      <c r="F21" s="17">
        <f>'[1]Dia 5 (a)'!$S27</f>
        <v>24.1</v>
      </c>
      <c r="G21" s="17">
        <f>'[1]Dia 6 (a)'!$S27</f>
        <v>23.9</v>
      </c>
      <c r="H21" s="17">
        <f>'[1]Dia 7 (a)'!$S27</f>
        <v>23.3</v>
      </c>
      <c r="I21" s="17">
        <f>'[1]Dia 8 (a)'!$S27</f>
        <v>22.7</v>
      </c>
      <c r="J21" s="17">
        <f>'[1]Dia 9 (a)'!$S27</f>
        <v>21.7</v>
      </c>
      <c r="K21" s="17">
        <f>'[1]Dia 10 (a)'!$S27</f>
        <v>22.5</v>
      </c>
      <c r="L21" s="17">
        <f>'[1]Dia 11 (a)'!$S27</f>
        <v>22.4</v>
      </c>
      <c r="M21" s="17">
        <f>'[1]Dia 12 (a)'!$S27</f>
        <v>23</v>
      </c>
      <c r="N21" s="17">
        <f>'[1]Dia 13 (a)'!$S27</f>
        <v>23.5</v>
      </c>
      <c r="O21" s="17">
        <f>'[1]Dia 14 (a)'!$S27</f>
        <v>23.9</v>
      </c>
      <c r="P21" s="17">
        <f>'[1]Dia 15 (a)'!$S27</f>
        <v>24.3</v>
      </c>
      <c r="Q21" s="17">
        <f>'[1]Dia 16 (a)'!$S27</f>
        <v>23.9</v>
      </c>
      <c r="R21" s="17">
        <f>'[1]Dia 17 (a)'!$S27</f>
        <v>25.5</v>
      </c>
      <c r="S21" s="17">
        <f>'[1]Dia 18 (a)'!$S27</f>
        <v>26.9</v>
      </c>
      <c r="T21" s="17">
        <f>'[1]Dia 19 (a)'!$S27</f>
        <v>26.8</v>
      </c>
      <c r="U21" s="17">
        <f>'[1]Dia 20 (a)'!$S27</f>
        <v>27</v>
      </c>
      <c r="V21" s="17">
        <f>'[1]Dia 21 (a)'!$S27</f>
        <v>27.7</v>
      </c>
      <c r="W21" s="17">
        <f>'[1]Dia 22 (a)'!$S27</f>
        <v>28.3</v>
      </c>
      <c r="X21" s="17">
        <f>'[1]Dia 23 (a)'!$S27</f>
        <v>28.5</v>
      </c>
      <c r="Y21" s="17">
        <f>'[1]Dia 24 (a)'!$S27</f>
        <v>28.6</v>
      </c>
      <c r="Z21" s="17">
        <f>'[1]Dia 25 (a)'!$S27</f>
        <v>28.8</v>
      </c>
      <c r="AA21" s="17">
        <f>'[1]Dia 26 (a)'!$S27</f>
        <v>28</v>
      </c>
      <c r="AB21" s="17">
        <f>'[1]Dia 27 (a)'!$S27</f>
        <v>28</v>
      </c>
      <c r="AC21" s="17">
        <f>'[1]Dia 28 (a)'!$S27</f>
        <v>26.3</v>
      </c>
      <c r="AD21" s="17">
        <f>'[1]Dia 29 (a)'!$S27</f>
        <v>23.8</v>
      </c>
      <c r="AE21" s="17">
        <f>'[1]Dia 30 (a)'!$S27</f>
        <v>23.6</v>
      </c>
      <c r="AF21" s="18">
        <f>'[1]Dia 31 (a)'!$S27</f>
        <v>23.6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 t="s">
        <v>2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23.211111111111119</v>
      </c>
      <c r="C25" s="28">
        <f t="shared" ref="C25:AF25" si="0">AVERAGE(C4:C21)</f>
        <v>23.772222222222226</v>
      </c>
      <c r="D25" s="28">
        <f t="shared" si="0"/>
        <v>24.461111111111101</v>
      </c>
      <c r="E25" s="28">
        <f t="shared" si="0"/>
        <v>24.333333333333329</v>
      </c>
      <c r="F25" s="28">
        <f t="shared" si="0"/>
        <v>23.827777777777779</v>
      </c>
      <c r="G25" s="28">
        <f t="shared" si="0"/>
        <v>23.777777777777771</v>
      </c>
      <c r="H25" s="28">
        <f t="shared" si="0"/>
        <v>23.3</v>
      </c>
      <c r="I25" s="28">
        <f t="shared" si="0"/>
        <v>22.577777777777776</v>
      </c>
      <c r="J25" s="28">
        <f t="shared" si="0"/>
        <v>22.011111111111106</v>
      </c>
      <c r="K25" s="28">
        <f t="shared" si="0"/>
        <v>21.911111111111111</v>
      </c>
      <c r="L25" s="28">
        <f t="shared" si="0"/>
        <v>22.244444444444433</v>
      </c>
      <c r="M25" s="28">
        <f t="shared" si="0"/>
        <v>22.544444444444444</v>
      </c>
      <c r="N25" s="28">
        <f t="shared" si="0"/>
        <v>23.18888888888889</v>
      </c>
      <c r="O25" s="28">
        <f t="shared" si="0"/>
        <v>23.383333333333333</v>
      </c>
      <c r="P25" s="28">
        <f t="shared" si="0"/>
        <v>23.838888888888889</v>
      </c>
      <c r="Q25" s="28">
        <f t="shared" si="0"/>
        <v>24.238888888888887</v>
      </c>
      <c r="R25" s="28">
        <f t="shared" si="0"/>
        <v>24.833333333333329</v>
      </c>
      <c r="S25" s="28">
        <f t="shared" si="0"/>
        <v>25.811111111111106</v>
      </c>
      <c r="T25" s="28">
        <f t="shared" si="0"/>
        <v>26.416666666666668</v>
      </c>
      <c r="U25" s="28">
        <f t="shared" si="0"/>
        <v>26.216666666666669</v>
      </c>
      <c r="V25" s="28">
        <f t="shared" si="0"/>
        <v>26.705555555555549</v>
      </c>
      <c r="W25" s="28">
        <f t="shared" si="0"/>
        <v>27.188888888888894</v>
      </c>
      <c r="X25" s="28">
        <f t="shared" si="0"/>
        <v>27.766666666666666</v>
      </c>
      <c r="Y25" s="28">
        <f t="shared" si="0"/>
        <v>27.883333333333333</v>
      </c>
      <c r="Z25" s="28">
        <f t="shared" si="0"/>
        <v>27.900000000000006</v>
      </c>
      <c r="AA25" s="28">
        <f t="shared" si="0"/>
        <v>28.022222222222222</v>
      </c>
      <c r="AB25" s="28">
        <f t="shared" si="0"/>
        <v>27.794444444444444</v>
      </c>
      <c r="AC25" s="28">
        <f t="shared" si="0"/>
        <v>26.677777777777781</v>
      </c>
      <c r="AD25" s="28">
        <f t="shared" si="0"/>
        <v>24.727777777777778</v>
      </c>
      <c r="AE25" s="28">
        <f t="shared" si="0"/>
        <v>23.294444444444448</v>
      </c>
      <c r="AF25" s="28">
        <f t="shared" si="0"/>
        <v>23.344444444444445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23.7</v>
      </c>
      <c r="C29" s="28">
        <f t="shared" ref="C29:AF29" si="1">MAX(C4:C21)</f>
        <v>24.5</v>
      </c>
      <c r="D29" s="28">
        <f t="shared" si="1"/>
        <v>24.9</v>
      </c>
      <c r="E29" s="28">
        <f t="shared" si="1"/>
        <v>24.5</v>
      </c>
      <c r="F29" s="28">
        <f t="shared" si="1"/>
        <v>24.1</v>
      </c>
      <c r="G29" s="28">
        <f t="shared" si="1"/>
        <v>24</v>
      </c>
      <c r="H29" s="28">
        <f t="shared" si="1"/>
        <v>23.4</v>
      </c>
      <c r="I29" s="28">
        <f t="shared" si="1"/>
        <v>22.7</v>
      </c>
      <c r="J29" s="28">
        <f t="shared" si="1"/>
        <v>22.2</v>
      </c>
      <c r="K29" s="28">
        <f t="shared" si="1"/>
        <v>22.5</v>
      </c>
      <c r="L29" s="28">
        <f t="shared" si="1"/>
        <v>22.4</v>
      </c>
      <c r="M29" s="28">
        <f t="shared" si="1"/>
        <v>23</v>
      </c>
      <c r="N29" s="28">
        <f t="shared" si="1"/>
        <v>23.6</v>
      </c>
      <c r="O29" s="28">
        <f t="shared" si="1"/>
        <v>23.9</v>
      </c>
      <c r="P29" s="28">
        <f t="shared" si="1"/>
        <v>24.3</v>
      </c>
      <c r="Q29" s="28">
        <f t="shared" si="1"/>
        <v>25</v>
      </c>
      <c r="R29" s="28">
        <f t="shared" si="1"/>
        <v>25.5</v>
      </c>
      <c r="S29" s="28">
        <f t="shared" si="1"/>
        <v>26.9</v>
      </c>
      <c r="T29" s="28">
        <f t="shared" si="1"/>
        <v>27.1</v>
      </c>
      <c r="U29" s="28">
        <f t="shared" si="1"/>
        <v>27.2</v>
      </c>
      <c r="V29" s="28">
        <f t="shared" si="1"/>
        <v>27.9</v>
      </c>
      <c r="W29" s="28">
        <f t="shared" si="1"/>
        <v>28.3</v>
      </c>
      <c r="X29" s="28">
        <f t="shared" si="1"/>
        <v>28.6</v>
      </c>
      <c r="Y29" s="28">
        <f t="shared" si="1"/>
        <v>28.7</v>
      </c>
      <c r="Z29" s="28">
        <f t="shared" si="1"/>
        <v>28.8</v>
      </c>
      <c r="AA29" s="28">
        <f t="shared" si="1"/>
        <v>28.4</v>
      </c>
      <c r="AB29" s="28">
        <f t="shared" si="1"/>
        <v>28.6</v>
      </c>
      <c r="AC29" s="28">
        <f t="shared" si="1"/>
        <v>27.4</v>
      </c>
      <c r="AD29" s="28">
        <f t="shared" si="1"/>
        <v>25.4</v>
      </c>
      <c r="AE29" s="28">
        <f t="shared" si="1"/>
        <v>23.6</v>
      </c>
      <c r="AF29" s="28">
        <f t="shared" si="1"/>
        <v>23.6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22.8</v>
      </c>
      <c r="C33" s="28">
        <f t="shared" ref="C33:AF33" si="2">MIN(C4:C21)</f>
        <v>23.3</v>
      </c>
      <c r="D33" s="28">
        <f t="shared" si="2"/>
        <v>24</v>
      </c>
      <c r="E33" s="28">
        <f t="shared" si="2"/>
        <v>24.1</v>
      </c>
      <c r="F33" s="28">
        <f t="shared" si="2"/>
        <v>23.5</v>
      </c>
      <c r="G33" s="28">
        <f t="shared" si="2"/>
        <v>23.6</v>
      </c>
      <c r="H33" s="28">
        <f t="shared" si="2"/>
        <v>23.2</v>
      </c>
      <c r="I33" s="28">
        <f t="shared" si="2"/>
        <v>22.4</v>
      </c>
      <c r="J33" s="28">
        <f t="shared" si="2"/>
        <v>21.7</v>
      </c>
      <c r="K33" s="28">
        <f t="shared" si="2"/>
        <v>21.4</v>
      </c>
      <c r="L33" s="28">
        <f t="shared" si="2"/>
        <v>22</v>
      </c>
      <c r="M33" s="28">
        <f t="shared" si="2"/>
        <v>22.1</v>
      </c>
      <c r="N33" s="28">
        <f t="shared" si="2"/>
        <v>22.8</v>
      </c>
      <c r="O33" s="28">
        <f t="shared" si="2"/>
        <v>23</v>
      </c>
      <c r="P33" s="28">
        <f t="shared" si="2"/>
        <v>23.5</v>
      </c>
      <c r="Q33" s="28">
        <f t="shared" si="2"/>
        <v>23.6</v>
      </c>
      <c r="R33" s="28">
        <f t="shared" si="2"/>
        <v>24.1</v>
      </c>
      <c r="S33" s="28">
        <f t="shared" si="2"/>
        <v>25</v>
      </c>
      <c r="T33" s="28">
        <f t="shared" si="2"/>
        <v>25.8</v>
      </c>
      <c r="U33" s="28">
        <f t="shared" si="2"/>
        <v>25.4</v>
      </c>
      <c r="V33" s="28">
        <f t="shared" si="2"/>
        <v>25.8</v>
      </c>
      <c r="W33" s="28">
        <f t="shared" si="2"/>
        <v>26.2</v>
      </c>
      <c r="X33" s="28">
        <f t="shared" si="2"/>
        <v>27</v>
      </c>
      <c r="Y33" s="28">
        <f t="shared" si="2"/>
        <v>27</v>
      </c>
      <c r="Z33" s="28">
        <f t="shared" si="2"/>
        <v>27</v>
      </c>
      <c r="AA33" s="28">
        <f t="shared" si="2"/>
        <v>27.8</v>
      </c>
      <c r="AB33" s="28">
        <f t="shared" si="2"/>
        <v>27.4</v>
      </c>
      <c r="AC33" s="28">
        <f t="shared" si="2"/>
        <v>26.3</v>
      </c>
      <c r="AD33" s="28">
        <f t="shared" si="2"/>
        <v>23.8</v>
      </c>
      <c r="AE33" s="28">
        <f t="shared" si="2"/>
        <v>23</v>
      </c>
      <c r="AF33" s="28">
        <f t="shared" si="2"/>
        <v>23.2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0.89999999999999858</v>
      </c>
      <c r="C37" s="28">
        <f t="shared" ref="C37:AF37" si="3">C29-C33</f>
        <v>1.1999999999999993</v>
      </c>
      <c r="D37" s="28">
        <f t="shared" si="3"/>
        <v>0.89999999999999858</v>
      </c>
      <c r="E37" s="28">
        <f t="shared" si="3"/>
        <v>0.39999999999999858</v>
      </c>
      <c r="F37" s="28">
        <f t="shared" si="3"/>
        <v>0.60000000000000142</v>
      </c>
      <c r="G37" s="28">
        <f t="shared" si="3"/>
        <v>0.39999999999999858</v>
      </c>
      <c r="H37" s="28">
        <f t="shared" si="3"/>
        <v>0.19999999999999929</v>
      </c>
      <c r="I37" s="28">
        <f t="shared" si="3"/>
        <v>0.30000000000000071</v>
      </c>
      <c r="J37" s="28">
        <f t="shared" si="3"/>
        <v>0.5</v>
      </c>
      <c r="K37" s="28">
        <f t="shared" si="3"/>
        <v>1.1000000000000014</v>
      </c>
      <c r="L37" s="28">
        <f t="shared" si="3"/>
        <v>0.39999999999999858</v>
      </c>
      <c r="M37" s="28">
        <f t="shared" si="3"/>
        <v>0.89999999999999858</v>
      </c>
      <c r="N37" s="28">
        <f t="shared" si="3"/>
        <v>0.80000000000000071</v>
      </c>
      <c r="O37" s="28">
        <f t="shared" si="3"/>
        <v>0.89999999999999858</v>
      </c>
      <c r="P37" s="28">
        <f t="shared" si="3"/>
        <v>0.80000000000000071</v>
      </c>
      <c r="Q37" s="28">
        <f t="shared" si="3"/>
        <v>1.3999999999999986</v>
      </c>
      <c r="R37" s="28">
        <f t="shared" si="3"/>
        <v>1.3999999999999986</v>
      </c>
      <c r="S37" s="28">
        <f t="shared" si="3"/>
        <v>1.8999999999999986</v>
      </c>
      <c r="T37" s="28">
        <f t="shared" si="3"/>
        <v>1.3000000000000007</v>
      </c>
      <c r="U37" s="28">
        <f t="shared" si="3"/>
        <v>1.8000000000000007</v>
      </c>
      <c r="V37" s="28">
        <f t="shared" si="3"/>
        <v>2.0999999999999979</v>
      </c>
      <c r="W37" s="28">
        <f t="shared" si="3"/>
        <v>2.1000000000000014</v>
      </c>
      <c r="X37" s="28">
        <f t="shared" si="3"/>
        <v>1.6000000000000014</v>
      </c>
      <c r="Y37" s="28">
        <f t="shared" si="3"/>
        <v>1.6999999999999993</v>
      </c>
      <c r="Z37" s="28">
        <f t="shared" si="3"/>
        <v>1.8000000000000007</v>
      </c>
      <c r="AA37" s="28">
        <f t="shared" si="3"/>
        <v>0.59999999999999787</v>
      </c>
      <c r="AB37" s="28">
        <f t="shared" si="3"/>
        <v>1.2000000000000028</v>
      </c>
      <c r="AC37" s="28">
        <f t="shared" si="3"/>
        <v>1.0999999999999979</v>
      </c>
      <c r="AD37" s="28">
        <f t="shared" si="3"/>
        <v>1.5999999999999979</v>
      </c>
      <c r="AE37" s="28">
        <f t="shared" si="3"/>
        <v>0.60000000000000142</v>
      </c>
      <c r="AF37" s="28">
        <f t="shared" si="3"/>
        <v>0.40000000000000213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24.748566308243728</v>
      </c>
      <c r="I43" s="40"/>
      <c r="J43" s="42"/>
      <c r="K43" s="41">
        <f>MAX(B29:AF29)</f>
        <v>28.8</v>
      </c>
      <c r="L43" s="42"/>
      <c r="M43" s="42"/>
      <c r="N43" s="41">
        <f>MIN(B33:AF33)</f>
        <v>21.4</v>
      </c>
      <c r="O43" s="42"/>
      <c r="P43" s="42"/>
      <c r="Q43" s="41">
        <f>K43-N43</f>
        <v>7.4000000000000021</v>
      </c>
      <c r="R43" s="40"/>
      <c r="S43" s="41"/>
      <c r="T43" s="41">
        <f>AVERAGE(B29:AF29)</f>
        <v>25.312903225806448</v>
      </c>
      <c r="U43" s="41"/>
      <c r="V43" s="41">
        <f>AVERAGE(B33:AF33)</f>
        <v>24.251612903225805</v>
      </c>
      <c r="W43" s="41"/>
      <c r="X43" s="41">
        <f>T43-V43</f>
        <v>1.0612903225806427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2">
        <f>'[2]Dia 1 (a)'!$S10</f>
        <v>23.4</v>
      </c>
      <c r="C4" s="12">
        <f>'[2]Dia 2 (a)'!$S10</f>
        <v>23.8</v>
      </c>
      <c r="D4" s="12">
        <f>'[2]Dia 3 (a)'!$S10</f>
        <v>23.6</v>
      </c>
      <c r="E4" s="12">
        <f>'[2]Dia 4 (a)'!$S10</f>
        <v>23.6</v>
      </c>
      <c r="F4" s="12">
        <f>'[2]Dia 5 (a)'!$S10</f>
        <v>24</v>
      </c>
      <c r="G4" s="12">
        <f>'[2]Dia 6 (a)'!$S10</f>
        <v>24.8</v>
      </c>
      <c r="H4" s="12">
        <f>'[2]Dia 7 (a)'!$S10</f>
        <v>24.8</v>
      </c>
      <c r="I4" s="12">
        <f>'[2]Dia 8 (a)'!$S10</f>
        <v>23.6</v>
      </c>
      <c r="J4" s="12">
        <f>'[2]Dia 9 (a)'!$S10</f>
        <v>23.3</v>
      </c>
      <c r="K4" s="12">
        <f>'[2]Dia 10 (a)'!$S10</f>
        <v>23.9</v>
      </c>
      <c r="L4" s="12">
        <f>'[2]Dia 11 (a)'!$S10</f>
        <v>24.6</v>
      </c>
      <c r="M4" s="12">
        <f>'[2]Dia 12 (a)'!$S10</f>
        <v>24</v>
      </c>
      <c r="N4" s="12">
        <f>'[2]Dia 13 (a)'!$S10</f>
        <v>25.3</v>
      </c>
      <c r="O4" s="12">
        <f>'[2]Dia 14 (a)'!$S10</f>
        <v>25.6</v>
      </c>
      <c r="P4" s="12">
        <f>'[2]Dia 15 (a)'!$S10</f>
        <v>26.4</v>
      </c>
      <c r="Q4" s="12">
        <f>'[2]Dia 16 (a)'!$S10</f>
        <v>26.3</v>
      </c>
      <c r="R4" s="12">
        <f>'[2]Dia 17 (a)'!$S10</f>
        <v>25.8</v>
      </c>
      <c r="S4" s="12">
        <f>'[2]Dia 18 (a)'!$S10</f>
        <v>25.4</v>
      </c>
      <c r="T4" s="12">
        <f>'[2]Dia 19 (a)'!$S10</f>
        <v>24.4</v>
      </c>
      <c r="U4" s="12">
        <f>'[2]Dia 20 (a)'!$S10</f>
        <v>24.7</v>
      </c>
      <c r="V4" s="12">
        <f>'[2]Dia 21 (a)'!$S10</f>
        <v>25.4</v>
      </c>
      <c r="W4" s="12">
        <f>'[2]Dia 22 (a)'!$S10</f>
        <v>26</v>
      </c>
      <c r="X4" s="12">
        <f>'[2]Dia 23 (a)'!$S10</f>
        <v>26.3</v>
      </c>
      <c r="Y4" s="12">
        <f>'[2]Dia 24 (a)'!$S10</f>
        <v>26.1</v>
      </c>
      <c r="Z4" s="12">
        <f>'[2]Dia 25 (a)'!$S10</f>
        <v>27.1</v>
      </c>
      <c r="AA4" s="12">
        <f>'[2]Dia 26 (a)'!$S10</f>
        <v>27.5</v>
      </c>
      <c r="AB4" s="12">
        <f>'[2]Dia 27 (a)'!$S10</f>
        <v>27.8</v>
      </c>
      <c r="AC4" s="12">
        <f>'[2]Dia 28 (a)'!$S10</f>
        <v>28</v>
      </c>
      <c r="AD4" s="12"/>
      <c r="AE4" s="12"/>
      <c r="AF4" s="13"/>
      <c r="AG4" s="14"/>
    </row>
    <row r="5" spans="1:33" ht="20.100000000000001" customHeight="1">
      <c r="A5" s="11">
        <v>8</v>
      </c>
      <c r="B5" s="12">
        <f>'[2]Dia 1 (a)'!$S11</f>
        <v>23.4</v>
      </c>
      <c r="C5" s="12">
        <f>'[2]Dia 2 (a)'!$S11</f>
        <v>23.8</v>
      </c>
      <c r="D5" s="12">
        <f>'[2]Dia 3 (a)'!$S11</f>
        <v>23.6</v>
      </c>
      <c r="E5" s="12">
        <f>'[2]Dia 4 (a)'!$S11</f>
        <v>23.6</v>
      </c>
      <c r="F5" s="12">
        <f>'[2]Dia 5 (a)'!$S11</f>
        <v>24</v>
      </c>
      <c r="G5" s="12">
        <f>'[2]Dia 6 (a)'!$S11</f>
        <v>24.8</v>
      </c>
      <c r="H5" s="12">
        <f>'[2]Dia 7 (a)'!$S11</f>
        <v>24.8</v>
      </c>
      <c r="I5" s="12">
        <f>'[2]Dia 8 (a)'!$S11</f>
        <v>23.6</v>
      </c>
      <c r="J5" s="12">
        <f>'[2]Dia 9 (a)'!$S11</f>
        <v>23.4</v>
      </c>
      <c r="K5" s="12">
        <f>'[2]Dia 10 (a)'!$S11</f>
        <v>23.9</v>
      </c>
      <c r="L5" s="12">
        <f>'[2]Dia 11 (a)'!$S11</f>
        <v>24.6</v>
      </c>
      <c r="M5" s="12">
        <f>'[2]Dia 12 (a)'!$S11</f>
        <v>24</v>
      </c>
      <c r="N5" s="12">
        <f>'[2]Dia 13 (a)'!$S11</f>
        <v>25.3</v>
      </c>
      <c r="O5" s="12">
        <f>'[2]Dia 14 (a)'!$S11</f>
        <v>25.5</v>
      </c>
      <c r="P5" s="12">
        <f>'[2]Dia 15 (a)'!$S11</f>
        <v>26.6</v>
      </c>
      <c r="Q5" s="12">
        <f>'[2]Dia 16 (a)'!$S11</f>
        <v>26.2</v>
      </c>
      <c r="R5" s="12">
        <f>'[2]Dia 17 (a)'!$S11</f>
        <v>26</v>
      </c>
      <c r="S5" s="12">
        <f>'[2]Dia 18 (a)'!$S11</f>
        <v>25.4</v>
      </c>
      <c r="T5" s="12">
        <f>'[2]Dia 19 (a)'!$S11</f>
        <v>24.5</v>
      </c>
      <c r="U5" s="12">
        <f>'[2]Dia 20 (a)'!$S11</f>
        <v>24.8</v>
      </c>
      <c r="V5" s="12">
        <f>'[2]Dia 21 (a)'!$S11</f>
        <v>25.4</v>
      </c>
      <c r="W5" s="12">
        <f>'[2]Dia 22 (a)'!$S11</f>
        <v>25.5</v>
      </c>
      <c r="X5" s="12">
        <f>'[2]Dia 23 (a)'!$S11</f>
        <v>26.3</v>
      </c>
      <c r="Y5" s="12">
        <f>'[2]Dia 24 (a)'!$S11</f>
        <v>26.1</v>
      </c>
      <c r="Z5" s="12">
        <f>'[2]Dia 25 (a)'!$S11</f>
        <v>27</v>
      </c>
      <c r="AA5" s="12">
        <f>'[2]Dia 26 (a)'!$S11</f>
        <v>27.4</v>
      </c>
      <c r="AB5" s="12">
        <f>'[2]Dia 27 (a)'!$S11</f>
        <v>27.7</v>
      </c>
      <c r="AC5" s="12">
        <f>'[2]Dia 28 (a)'!$S11</f>
        <v>28</v>
      </c>
      <c r="AD5" s="12"/>
      <c r="AE5" s="12"/>
      <c r="AF5" s="13"/>
      <c r="AG5" s="14"/>
    </row>
    <row r="6" spans="1:33" ht="20.100000000000001" customHeight="1">
      <c r="A6" s="11">
        <v>9</v>
      </c>
      <c r="B6" s="12">
        <f>'[2]Dia 1 (a)'!$S12</f>
        <v>23.3</v>
      </c>
      <c r="C6" s="12">
        <f>'[2]Dia 2 (a)'!$S12</f>
        <v>23.7</v>
      </c>
      <c r="D6" s="12">
        <f>'[2]Dia 3 (a)'!$S12</f>
        <v>23.6</v>
      </c>
      <c r="E6" s="12">
        <f>'[2]Dia 4 (a)'!$S12</f>
        <v>23.4</v>
      </c>
      <c r="F6" s="12">
        <f>'[2]Dia 5 (a)'!$S12</f>
        <v>24</v>
      </c>
      <c r="G6" s="12">
        <f>'[2]Dia 6 (a)'!$S12</f>
        <v>24.8</v>
      </c>
      <c r="H6" s="12">
        <f>'[2]Dia 7 (a)'!$S12</f>
        <v>24.8</v>
      </c>
      <c r="I6" s="12">
        <f>'[2]Dia 8 (a)'!$S12</f>
        <v>23.5</v>
      </c>
      <c r="J6" s="12">
        <f>'[2]Dia 9 (a)'!$S12</f>
        <v>23.4</v>
      </c>
      <c r="K6" s="12">
        <f>'[2]Dia 10 (a)'!$S12</f>
        <v>23.9</v>
      </c>
      <c r="L6" s="12">
        <f>'[2]Dia 11 (a)'!$S12</f>
        <v>24.6</v>
      </c>
      <c r="M6" s="12">
        <f>'[2]Dia 12 (a)'!$S12</f>
        <v>24</v>
      </c>
      <c r="N6" s="12">
        <f>'[2]Dia 13 (a)'!$S12</f>
        <v>25.2</v>
      </c>
      <c r="O6" s="12">
        <f>'[2]Dia 14 (a)'!$S12</f>
        <v>25.5</v>
      </c>
      <c r="P6" s="12">
        <f>'[2]Dia 15 (a)'!$S12</f>
        <v>26.8</v>
      </c>
      <c r="Q6" s="12">
        <f>'[2]Dia 16 (a)'!$S12</f>
        <v>26.1</v>
      </c>
      <c r="R6" s="12">
        <f>'[2]Dia 17 (a)'!$S12</f>
        <v>26</v>
      </c>
      <c r="S6" s="12">
        <f>'[2]Dia 18 (a)'!$S12</f>
        <v>25.3</v>
      </c>
      <c r="T6" s="12">
        <f>'[2]Dia 19 (a)'!$S12</f>
        <v>24.4</v>
      </c>
      <c r="U6" s="12">
        <f>'[2]Dia 20 (a)'!$S12</f>
        <v>24.7</v>
      </c>
      <c r="V6" s="12">
        <f>'[2]Dia 21 (a)'!$S12</f>
        <v>25.4</v>
      </c>
      <c r="W6" s="12">
        <f>'[2]Dia 22 (a)'!$S12</f>
        <v>25.5</v>
      </c>
      <c r="X6" s="12">
        <f>'[2]Dia 23 (a)'!$S12</f>
        <v>26.3</v>
      </c>
      <c r="Y6" s="12">
        <f>'[2]Dia 24 (a)'!$S12</f>
        <v>26</v>
      </c>
      <c r="Z6" s="12">
        <f>'[2]Dia 25 (a)'!$S12</f>
        <v>26.9</v>
      </c>
      <c r="AA6" s="12">
        <f>'[2]Dia 26 (a)'!$S12</f>
        <v>27.2</v>
      </c>
      <c r="AB6" s="12">
        <f>'[2]Dia 27 (a)'!$S12</f>
        <v>27.7</v>
      </c>
      <c r="AC6" s="12">
        <f>'[2]Dia 28 (a)'!$S12</f>
        <v>27.9</v>
      </c>
      <c r="AD6" s="12"/>
      <c r="AE6" s="12"/>
      <c r="AF6" s="13"/>
      <c r="AG6" s="14"/>
    </row>
    <row r="7" spans="1:33" ht="20.100000000000001" customHeight="1">
      <c r="A7" s="11">
        <v>10</v>
      </c>
      <c r="B7" s="12">
        <f>'[2]Dia 1 (a)'!$S13</f>
        <v>23.3</v>
      </c>
      <c r="C7" s="12">
        <f>'[2]Dia 2 (a)'!$S13</f>
        <v>23.7</v>
      </c>
      <c r="D7" s="12">
        <f>'[2]Dia 3 (a)'!$S13</f>
        <v>23.6</v>
      </c>
      <c r="E7" s="12">
        <f>'[2]Dia 4 (a)'!$S13</f>
        <v>23.4</v>
      </c>
      <c r="F7" s="12">
        <f>'[2]Dia 5 (a)'!$S13</f>
        <v>24</v>
      </c>
      <c r="G7" s="12">
        <f>'[2]Dia 6 (a)'!$S13</f>
        <v>24.6</v>
      </c>
      <c r="H7" s="12">
        <f>'[2]Dia 7 (a)'!$S13</f>
        <v>24.6</v>
      </c>
      <c r="I7" s="12">
        <f>'[2]Dia 8 (a)'!$S13</f>
        <v>23.5</v>
      </c>
      <c r="J7" s="12">
        <f>'[2]Dia 9 (a)'!$S13</f>
        <v>23.3</v>
      </c>
      <c r="K7" s="12">
        <f>'[2]Dia 10 (a)'!$S13</f>
        <v>23.8</v>
      </c>
      <c r="L7" s="12">
        <f>'[2]Dia 11 (a)'!$S13</f>
        <v>24.4</v>
      </c>
      <c r="M7" s="12">
        <f>'[2]Dia 12 (a)'!$S13</f>
        <v>24</v>
      </c>
      <c r="N7" s="12">
        <f>'[2]Dia 13 (a)'!$S13</f>
        <v>25.2</v>
      </c>
      <c r="O7" s="12">
        <f>'[2]Dia 14 (a)'!$S13</f>
        <v>25.4</v>
      </c>
      <c r="P7" s="12">
        <f>'[2]Dia 15 (a)'!$S13</f>
        <v>26.6</v>
      </c>
      <c r="Q7" s="12">
        <f>'[2]Dia 16 (a)'!$S13</f>
        <v>26</v>
      </c>
      <c r="R7" s="12">
        <f>'[2]Dia 17 (a)'!$S13</f>
        <v>25.9</v>
      </c>
      <c r="S7" s="12">
        <f>'[2]Dia 18 (a)'!$S13</f>
        <v>25.2</v>
      </c>
      <c r="T7" s="12">
        <f>'[2]Dia 19 (a)'!$S13</f>
        <v>24.3</v>
      </c>
      <c r="U7" s="12">
        <f>'[2]Dia 20 (a)'!$S13</f>
        <v>24.7</v>
      </c>
      <c r="V7" s="12">
        <f>'[2]Dia 21 (a)'!$S13</f>
        <v>25.3</v>
      </c>
      <c r="W7" s="12">
        <f>'[2]Dia 22 (a)'!$S13</f>
        <v>25.5</v>
      </c>
      <c r="X7" s="12">
        <f>'[2]Dia 23 (a)'!$S13</f>
        <v>26.1</v>
      </c>
      <c r="Y7" s="12">
        <f>'[2]Dia 24 (a)'!$S13</f>
        <v>26</v>
      </c>
      <c r="Z7" s="12">
        <f>'[2]Dia 25 (a)'!$S13</f>
        <v>26.9</v>
      </c>
      <c r="AA7" s="12">
        <f>'[2]Dia 26 (a)'!$S13</f>
        <v>27.2</v>
      </c>
      <c r="AB7" s="12">
        <f>'[2]Dia 27 (a)'!$S13</f>
        <v>27.6</v>
      </c>
      <c r="AC7" s="12">
        <f>'[2]Dia 28 (a)'!$S13</f>
        <v>27.8</v>
      </c>
      <c r="AD7" s="12"/>
      <c r="AE7" s="12"/>
      <c r="AF7" s="13"/>
      <c r="AG7" s="14"/>
    </row>
    <row r="8" spans="1:33" ht="20.100000000000001" customHeight="1">
      <c r="A8" s="11">
        <v>11</v>
      </c>
      <c r="B8" s="12">
        <f>'[2]Dia 1 (a)'!$S14</f>
        <v>23.3</v>
      </c>
      <c r="C8" s="12">
        <f>'[2]Dia 2 (a)'!$S14</f>
        <v>23.8</v>
      </c>
      <c r="D8" s="12">
        <f>'[2]Dia 3 (a)'!$S14</f>
        <v>23.6</v>
      </c>
      <c r="E8" s="12">
        <f>'[2]Dia 4 (a)'!$S14</f>
        <v>23.4</v>
      </c>
      <c r="F8" s="12">
        <f>'[2]Dia 5 (a)'!$S14</f>
        <v>24</v>
      </c>
      <c r="G8" s="12">
        <f>'[2]Dia 6 (a)'!$S14</f>
        <v>24.6</v>
      </c>
      <c r="H8" s="12">
        <f>'[2]Dia 7 (a)'!$S14</f>
        <v>24.5</v>
      </c>
      <c r="I8" s="12">
        <f>'[2]Dia 8 (a)'!$S14</f>
        <v>23.5</v>
      </c>
      <c r="J8" s="12">
        <f>'[2]Dia 9 (a)'!$S14</f>
        <v>23.2</v>
      </c>
      <c r="K8" s="12">
        <f>'[2]Dia 10 (a)'!$S14</f>
        <v>23.8</v>
      </c>
      <c r="L8" s="12">
        <f>'[2]Dia 11 (a)'!$S14</f>
        <v>24.4</v>
      </c>
      <c r="M8" s="12">
        <f>'[2]Dia 12 (a)'!$S14</f>
        <v>24</v>
      </c>
      <c r="N8" s="12">
        <f>'[2]Dia 13 (a)'!$S14</f>
        <v>25.2</v>
      </c>
      <c r="O8" s="12">
        <f>'[2]Dia 14 (a)'!$S14</f>
        <v>25.4</v>
      </c>
      <c r="P8" s="12">
        <f>'[2]Dia 15 (a)'!$S14</f>
        <v>26.6</v>
      </c>
      <c r="Q8" s="12">
        <f>'[2]Dia 16 (a)'!$S14</f>
        <v>25.9</v>
      </c>
      <c r="R8" s="12">
        <f>'[2]Dia 17 (a)'!$S14</f>
        <v>25.8</v>
      </c>
      <c r="S8" s="12">
        <f>'[2]Dia 18 (a)'!$S14</f>
        <v>25.2</v>
      </c>
      <c r="T8" s="12">
        <f>'[2]Dia 19 (a)'!$S14</f>
        <v>24.3</v>
      </c>
      <c r="U8" s="12">
        <f>'[2]Dia 20 (a)'!$S14</f>
        <v>24.7</v>
      </c>
      <c r="V8" s="12">
        <f>'[2]Dia 21 (a)'!$S14</f>
        <v>25.3</v>
      </c>
      <c r="W8" s="12">
        <f>'[2]Dia 22 (a)'!$S14</f>
        <v>25.4</v>
      </c>
      <c r="X8" s="12">
        <f>'[2]Dia 23 (a)'!$S14</f>
        <v>26.2</v>
      </c>
      <c r="Y8" s="12">
        <f>'[2]Dia 24 (a)'!$S14</f>
        <v>25.9</v>
      </c>
      <c r="Z8" s="12">
        <f>'[2]Dia 25 (a)'!$S14</f>
        <v>26.9</v>
      </c>
      <c r="AA8" s="12">
        <f>'[2]Dia 26 (a)'!$S14</f>
        <v>27.2</v>
      </c>
      <c r="AB8" s="12">
        <f>'[2]Dia 27 (a)'!$S14</f>
        <v>27.5</v>
      </c>
      <c r="AC8" s="12">
        <f>'[2]Dia 28 (a)'!$S14</f>
        <v>27.8</v>
      </c>
      <c r="AD8" s="12"/>
      <c r="AE8" s="12"/>
      <c r="AF8" s="13"/>
      <c r="AG8" s="14"/>
    </row>
    <row r="9" spans="1:33" ht="20.100000000000001" customHeight="1">
      <c r="A9" s="11">
        <v>12</v>
      </c>
      <c r="B9" s="12">
        <f>'[2]Dia 1 (a)'!$S15</f>
        <v>23.4</v>
      </c>
      <c r="C9" s="12">
        <f>'[2]Dia 2 (a)'!$S15</f>
        <v>23.8</v>
      </c>
      <c r="D9" s="12">
        <f>'[2]Dia 3 (a)'!$S15</f>
        <v>23.5</v>
      </c>
      <c r="E9" s="12">
        <f>'[2]Dia 4 (a)'!$S15</f>
        <v>23.4</v>
      </c>
      <c r="F9" s="12">
        <f>'[2]Dia 5 (a)'!$S15</f>
        <v>24</v>
      </c>
      <c r="G9" s="12">
        <f>'[2]Dia 6 (a)'!$S15</f>
        <v>24.6</v>
      </c>
      <c r="H9" s="12">
        <f>'[2]Dia 7 (a)'!$S15</f>
        <v>24.5</v>
      </c>
      <c r="I9" s="12">
        <f>'[2]Dia 8 (a)'!$S15</f>
        <v>23.4</v>
      </c>
      <c r="J9" s="12">
        <f>'[2]Dia 9 (a)'!$S15</f>
        <v>23.2</v>
      </c>
      <c r="K9" s="12">
        <f>'[2]Dia 10 (a)'!$S15</f>
        <v>23.8</v>
      </c>
      <c r="L9" s="12">
        <f>'[2]Dia 11 (a)'!$S15</f>
        <v>24.4</v>
      </c>
      <c r="M9" s="12">
        <f>'[2]Dia 12 (a)'!$S15</f>
        <v>24</v>
      </c>
      <c r="N9" s="12">
        <f>'[2]Dia 13 (a)'!$S15</f>
        <v>25.1</v>
      </c>
      <c r="O9" s="12">
        <f>'[2]Dia 14 (a)'!$S15</f>
        <v>25.4</v>
      </c>
      <c r="P9" s="12">
        <f>'[2]Dia 15 (a)'!$S15</f>
        <v>26.4</v>
      </c>
      <c r="Q9" s="12">
        <f>'[2]Dia 16 (a)'!$S15</f>
        <v>25.8</v>
      </c>
      <c r="R9" s="12">
        <f>'[2]Dia 17 (a)'!$S15</f>
        <v>25.9</v>
      </c>
      <c r="S9" s="12">
        <f>'[2]Dia 18 (a)'!$S15</f>
        <v>25.1</v>
      </c>
      <c r="T9" s="12">
        <f>'[2]Dia 19 (a)'!$S15</f>
        <v>24.3</v>
      </c>
      <c r="U9" s="12">
        <f>'[2]Dia 20 (a)'!$S15</f>
        <v>24.7</v>
      </c>
      <c r="V9" s="12">
        <f>'[2]Dia 21 (a)'!$S15</f>
        <v>25.3</v>
      </c>
      <c r="W9" s="12">
        <f>'[2]Dia 22 (a)'!$S15</f>
        <v>25.4</v>
      </c>
      <c r="X9" s="12">
        <f>'[2]Dia 23 (a)'!$S15</f>
        <v>26.1</v>
      </c>
      <c r="Y9" s="12">
        <f>'[2]Dia 24 (a)'!$S15</f>
        <v>25.9</v>
      </c>
      <c r="Z9" s="12">
        <f>'[2]Dia 25 (a)'!$S15</f>
        <v>26.9</v>
      </c>
      <c r="AA9" s="12">
        <f>'[2]Dia 26 (a)'!$S15</f>
        <v>27.1</v>
      </c>
      <c r="AB9" s="12">
        <f>'[2]Dia 27 (a)'!$S15</f>
        <v>27.6</v>
      </c>
      <c r="AC9" s="12">
        <f>'[2]Dia 28 (a)'!$S15</f>
        <v>27.8</v>
      </c>
      <c r="AD9" s="12"/>
      <c r="AE9" s="12"/>
      <c r="AF9" s="13"/>
      <c r="AG9" s="14"/>
    </row>
    <row r="10" spans="1:33" ht="20.100000000000001" customHeight="1">
      <c r="A10" s="11">
        <v>13</v>
      </c>
      <c r="B10" s="12">
        <f>'[2]Dia 1 (a)'!$S16</f>
        <v>23.5</v>
      </c>
      <c r="C10" s="12">
        <f>'[2]Dia 2 (a)'!$S16</f>
        <v>23.7</v>
      </c>
      <c r="D10" s="12">
        <f>'[2]Dia 3 (a)'!$S16</f>
        <v>23.6</v>
      </c>
      <c r="E10" s="12">
        <f>'[2]Dia 4 (a)'!$S16</f>
        <v>23.6</v>
      </c>
      <c r="F10" s="12">
        <f>'[2]Dia 5 (a)'!$S16</f>
        <v>24</v>
      </c>
      <c r="G10" s="12">
        <f>'[2]Dia 6 (a)'!$S16</f>
        <v>24.6</v>
      </c>
      <c r="H10" s="12">
        <f>'[2]Dia 7 (a)'!$S16</f>
        <v>24.4</v>
      </c>
      <c r="I10" s="12">
        <f>'[2]Dia 8 (a)'!$S16</f>
        <v>23.3</v>
      </c>
      <c r="J10" s="12">
        <f>'[2]Dia 9 (a)'!$S16</f>
        <v>23.4</v>
      </c>
      <c r="K10" s="12">
        <f>'[2]Dia 10 (a)'!$S16</f>
        <v>23.9</v>
      </c>
      <c r="L10" s="12">
        <f>'[2]Dia 11 (a)'!$S16</f>
        <v>24.4</v>
      </c>
      <c r="M10" s="12">
        <f>'[2]Dia 12 (a)'!$S16</f>
        <v>24</v>
      </c>
      <c r="N10" s="12">
        <f>'[2]Dia 13 (a)'!$S16</f>
        <v>25</v>
      </c>
      <c r="O10" s="12">
        <f>'[2]Dia 14 (a)'!$S16</f>
        <v>25.5</v>
      </c>
      <c r="P10" s="12">
        <f>'[2]Dia 15 (a)'!$S16</f>
        <v>26</v>
      </c>
      <c r="Q10" s="12">
        <f>'[2]Dia 16 (a)'!$S16</f>
        <v>25.8</v>
      </c>
      <c r="R10" s="12">
        <f>'[2]Dia 17 (a)'!$S16</f>
        <v>26</v>
      </c>
      <c r="S10" s="12">
        <f>'[2]Dia 18 (a)'!$S16</f>
        <v>25.2</v>
      </c>
      <c r="T10" s="12">
        <f>'[2]Dia 19 (a)'!$S16</f>
        <v>24.1</v>
      </c>
      <c r="U10" s="12">
        <f>'[2]Dia 20 (a)'!$S16</f>
        <v>25.9</v>
      </c>
      <c r="V10" s="12">
        <f>'[2]Dia 21 (a)'!$S16</f>
        <v>25.3</v>
      </c>
      <c r="W10" s="12">
        <f>'[2]Dia 22 (a)'!$S16</f>
        <v>25.5</v>
      </c>
      <c r="X10" s="12">
        <f>'[2]Dia 23 (a)'!$S16</f>
        <v>26.1</v>
      </c>
      <c r="Y10" s="12">
        <f>'[2]Dia 24 (a)'!$S16</f>
        <v>26</v>
      </c>
      <c r="Z10" s="12">
        <f>'[2]Dia 25 (a)'!$S16</f>
        <v>27</v>
      </c>
      <c r="AA10" s="12">
        <f>'[2]Dia 26 (a)'!$S16</f>
        <v>27.2</v>
      </c>
      <c r="AB10" s="12">
        <f>'[2]Dia 27 (a)'!$S16</f>
        <v>27.5</v>
      </c>
      <c r="AC10" s="12">
        <f>'[2]Dia 28 (a)'!$S16</f>
        <v>27.8</v>
      </c>
      <c r="AD10" s="12"/>
      <c r="AE10" s="12"/>
      <c r="AF10" s="13"/>
      <c r="AG10" s="14"/>
    </row>
    <row r="11" spans="1:33" ht="20.100000000000001" customHeight="1">
      <c r="A11" s="11">
        <v>14</v>
      </c>
      <c r="B11" s="12">
        <f>'[2]Dia 1 (a)'!$S17</f>
        <v>23.5</v>
      </c>
      <c r="C11" s="12">
        <f>'[2]Dia 2 (a)'!$S17</f>
        <v>23.8</v>
      </c>
      <c r="D11" s="12">
        <f>'[2]Dia 3 (a)'!$S17</f>
        <v>23.6</v>
      </c>
      <c r="E11" s="12">
        <f>'[2]Dia 4 (a)'!$S17</f>
        <v>23.6</v>
      </c>
      <c r="F11" s="12">
        <f>'[2]Dia 5 (a)'!$S17</f>
        <v>24.2</v>
      </c>
      <c r="G11" s="12">
        <f>'[2]Dia 6 (a)'!$S17</f>
        <v>24.6</v>
      </c>
      <c r="H11" s="12">
        <f>'[2]Dia 7 (a)'!$S17</f>
        <v>24.4</v>
      </c>
      <c r="I11" s="12">
        <f>'[2]Dia 8 (a)'!$S17</f>
        <v>23.4</v>
      </c>
      <c r="J11" s="12">
        <f>'[2]Dia 9 (a)'!$S17</f>
        <v>23.5</v>
      </c>
      <c r="K11" s="12">
        <f>'[2]Dia 10 (a)'!$S17</f>
        <v>24</v>
      </c>
      <c r="L11" s="12">
        <f>'[2]Dia 11 (a)'!$S17</f>
        <v>24.6</v>
      </c>
      <c r="M11" s="12">
        <f>'[2]Dia 12 (a)'!$S17</f>
        <v>24.2</v>
      </c>
      <c r="N11" s="12">
        <f>'[2]Dia 13 (a)'!$S17</f>
        <v>25.2</v>
      </c>
      <c r="O11" s="12">
        <f>'[2]Dia 14 (a)'!$S17</f>
        <v>25.7</v>
      </c>
      <c r="P11" s="12">
        <f>'[2]Dia 15 (a)'!$S17</f>
        <v>26.2</v>
      </c>
      <c r="Q11" s="12">
        <f>'[2]Dia 16 (a)'!$S17</f>
        <v>25.9</v>
      </c>
      <c r="R11" s="12">
        <f>'[2]Dia 17 (a)'!$S17</f>
        <v>26.1</v>
      </c>
      <c r="S11" s="12">
        <f>'[2]Dia 18 (a)'!$S17</f>
        <v>25.2</v>
      </c>
      <c r="T11" s="12">
        <f>'[2]Dia 19 (a)'!$S17</f>
        <v>24.3</v>
      </c>
      <c r="U11" s="12">
        <f>'[2]Dia 20 (a)'!$S17</f>
        <v>25</v>
      </c>
      <c r="V11" s="12">
        <f>'[2]Dia 21 (a)'!$S17</f>
        <v>25.4</v>
      </c>
      <c r="W11" s="12">
        <f>'[2]Dia 22 (a)'!$S17</f>
        <v>25.8</v>
      </c>
      <c r="X11" s="12">
        <f>'[2]Dia 23 (a)'!$S17</f>
        <v>26.2</v>
      </c>
      <c r="Y11" s="12">
        <f>'[2]Dia 24 (a)'!$S17</f>
        <v>26.2</v>
      </c>
      <c r="Z11" s="12">
        <f>'[2]Dia 25 (a)'!$S17</f>
        <v>27.1</v>
      </c>
      <c r="AA11" s="12">
        <f>'[2]Dia 26 (a)'!$S17</f>
        <v>27.3</v>
      </c>
      <c r="AB11" s="12">
        <f>'[2]Dia 27 (a)'!$S17</f>
        <v>27.7</v>
      </c>
      <c r="AC11" s="12">
        <f>'[2]Dia 28 (a)'!$S17</f>
        <v>28</v>
      </c>
      <c r="AD11" s="12"/>
      <c r="AE11" s="12"/>
      <c r="AF11" s="13"/>
      <c r="AG11" s="14"/>
    </row>
    <row r="12" spans="1:33" ht="20.100000000000001" customHeight="1">
      <c r="A12" s="11">
        <v>15</v>
      </c>
      <c r="B12" s="12">
        <f>'[2]Dia 1 (a)'!$S18</f>
        <v>23.7</v>
      </c>
      <c r="C12" s="12">
        <f>'[2]Dia 2 (a)'!$S18</f>
        <v>23.9</v>
      </c>
      <c r="D12" s="12">
        <f>'[2]Dia 3 (a)'!$S18</f>
        <v>23.6</v>
      </c>
      <c r="E12" s="12">
        <f>'[2]Dia 4 (a)'!$S18</f>
        <v>23.6</v>
      </c>
      <c r="F12" s="12">
        <f>'[2]Dia 5 (a)'!$S18</f>
        <v>24.6</v>
      </c>
      <c r="G12" s="12">
        <f>'[2]Dia 6 (a)'!$S18</f>
        <v>24.6</v>
      </c>
      <c r="H12" s="12">
        <f>'[2]Dia 7 (a)'!$S18</f>
        <v>24.4</v>
      </c>
      <c r="I12" s="12">
        <f>'[2]Dia 8 (a)'!$S18</f>
        <v>23.6</v>
      </c>
      <c r="J12" s="12">
        <f>'[2]Dia 9 (a)'!$S18</f>
        <v>23.6</v>
      </c>
      <c r="K12" s="12">
        <f>'[2]Dia 10 (a)'!$S18</f>
        <v>24.2</v>
      </c>
      <c r="L12" s="12">
        <f>'[2]Dia 11 (a)'!$S18</f>
        <v>24.6</v>
      </c>
      <c r="M12" s="12">
        <f>'[2]Dia 12 (a)'!$S18</f>
        <v>24.4</v>
      </c>
      <c r="N12" s="12">
        <f>'[2]Dia 13 (a)'!$S18</f>
        <v>25.4</v>
      </c>
      <c r="O12" s="12">
        <f>'[2]Dia 14 (a)'!$S18</f>
        <v>26</v>
      </c>
      <c r="P12" s="12">
        <f>'[2]Dia 15 (a)'!$S18</f>
        <v>26.2</v>
      </c>
      <c r="Q12" s="12">
        <f>'[2]Dia 16 (a)'!$S18</f>
        <v>25.9</v>
      </c>
      <c r="R12" s="12">
        <f>'[2]Dia 17 (a)'!$S18</f>
        <v>26.1</v>
      </c>
      <c r="S12" s="12">
        <f>'[2]Dia 18 (a)'!$S18</f>
        <v>25.3</v>
      </c>
      <c r="T12" s="12">
        <f>'[2]Dia 19 (a)'!$S18</f>
        <v>24.5</v>
      </c>
      <c r="U12" s="12">
        <f>'[2]Dia 20 (a)'!$S18</f>
        <v>25.2</v>
      </c>
      <c r="V12" s="12">
        <f>'[2]Dia 21 (a)'!$S18</f>
        <v>25.5</v>
      </c>
      <c r="W12" s="12">
        <f>'[2]Dia 22 (a)'!$S18</f>
        <v>25.9</v>
      </c>
      <c r="X12" s="12">
        <f>'[2]Dia 23 (a)'!$S18</f>
        <v>26.4</v>
      </c>
      <c r="Y12" s="12">
        <f>'[2]Dia 24 (a)'!$S18</f>
        <v>26.4</v>
      </c>
      <c r="Z12" s="12">
        <f>'[2]Dia 25 (a)'!$S18</f>
        <v>27.3</v>
      </c>
      <c r="AA12" s="12">
        <f>'[2]Dia 26 (a)'!$S18</f>
        <v>27.5</v>
      </c>
      <c r="AB12" s="12">
        <f>'[2]Dia 27 (a)'!$S18</f>
        <v>27.9</v>
      </c>
      <c r="AC12" s="12">
        <f>'[2]Dia 28 (a)'!$S18</f>
        <v>28.2</v>
      </c>
      <c r="AD12" s="12"/>
      <c r="AE12" s="12"/>
      <c r="AF12" s="13"/>
      <c r="AG12" s="14"/>
    </row>
    <row r="13" spans="1:33" ht="20.100000000000001" customHeight="1">
      <c r="A13" s="11">
        <v>16</v>
      </c>
      <c r="B13" s="12">
        <f>'[2]Dia 1 (a)'!$S19</f>
        <v>23.7</v>
      </c>
      <c r="C13" s="12">
        <f>'[2]Dia 2 (a)'!$S19</f>
        <v>23.9</v>
      </c>
      <c r="D13" s="12">
        <f>'[2]Dia 3 (a)'!$S19</f>
        <v>23.8</v>
      </c>
      <c r="E13" s="12">
        <f>'[2]Dia 4 (a)'!$S19</f>
        <v>23.8</v>
      </c>
      <c r="F13" s="12">
        <f>'[2]Dia 5 (a)'!$S19</f>
        <v>24.6</v>
      </c>
      <c r="G13" s="12">
        <f>'[2]Dia 6 (a)'!$S19</f>
        <v>24.8</v>
      </c>
      <c r="H13" s="12">
        <f>'[2]Dia 7 (a)'!$S19</f>
        <v>24.3</v>
      </c>
      <c r="I13" s="12">
        <f>'[2]Dia 8 (a)'!$S19</f>
        <v>23.6</v>
      </c>
      <c r="J13" s="12">
        <f>'[2]Dia 9 (a)'!$S19</f>
        <v>23.6</v>
      </c>
      <c r="K13" s="12">
        <f>'[2]Dia 10 (a)'!$S19</f>
        <v>24.6</v>
      </c>
      <c r="L13" s="12">
        <f>'[2]Dia 11 (a)'!$S19</f>
        <v>24.8</v>
      </c>
      <c r="M13" s="12">
        <f>'[2]Dia 12 (a)'!$S19</f>
        <v>24.8</v>
      </c>
      <c r="N13" s="12">
        <f>'[2]Dia 13 (a)'!$S19</f>
        <v>25.5</v>
      </c>
      <c r="O13" s="12">
        <f>'[2]Dia 14 (a)'!$S19</f>
        <v>26.2</v>
      </c>
      <c r="P13" s="12">
        <f>'[2]Dia 15 (a)'!$S19</f>
        <v>26.8</v>
      </c>
      <c r="Q13" s="12">
        <f>'[2]Dia 16 (a)'!$S19</f>
        <v>26</v>
      </c>
      <c r="R13" s="12">
        <f>'[2]Dia 17 (a)'!$S19</f>
        <v>26</v>
      </c>
      <c r="S13" s="12">
        <f>'[2]Dia 18 (a)'!$S19</f>
        <v>25</v>
      </c>
      <c r="T13" s="12">
        <f>'[2]Dia 19 (a)'!$S19</f>
        <v>24.6</v>
      </c>
      <c r="U13" s="12">
        <f>'[2]Dia 20 (a)'!$S19</f>
        <v>25</v>
      </c>
      <c r="V13" s="12">
        <f>'[2]Dia 21 (a)'!$S19</f>
        <v>25.8</v>
      </c>
      <c r="W13" s="12">
        <f>'[2]Dia 22 (a)'!$S19</f>
        <v>26.2</v>
      </c>
      <c r="X13" s="12">
        <f>'[2]Dia 23 (a)'!$S19</f>
        <v>26.6</v>
      </c>
      <c r="Y13" s="12">
        <f>'[2]Dia 24 (a)'!$S19</f>
        <v>26.4</v>
      </c>
      <c r="Z13" s="12">
        <f>'[2]Dia 25 (a)'!$S19</f>
        <v>27.2</v>
      </c>
      <c r="AA13" s="12">
        <f>'[2]Dia 26 (a)'!$S19</f>
        <v>27.6</v>
      </c>
      <c r="AB13" s="12">
        <f>'[2]Dia 27 (a)'!$S19</f>
        <v>28.1</v>
      </c>
      <c r="AC13" s="12">
        <f>'[2]Dia 28 (a)'!$S19</f>
        <v>28.5</v>
      </c>
      <c r="AD13" s="12"/>
      <c r="AE13" s="12"/>
      <c r="AF13" s="13"/>
      <c r="AG13" s="14"/>
    </row>
    <row r="14" spans="1:33" ht="20.100000000000001" customHeight="1">
      <c r="A14" s="11">
        <v>17</v>
      </c>
      <c r="B14" s="12">
        <f>'[2]Dia 1 (a)'!$S20</f>
        <v>23.6</v>
      </c>
      <c r="C14" s="12">
        <f>'[2]Dia 2 (a)'!$S20</f>
        <v>24</v>
      </c>
      <c r="D14" s="12">
        <f>'[2]Dia 3 (a)'!$S20</f>
        <v>24</v>
      </c>
      <c r="E14" s="12">
        <f>'[2]Dia 4 (a)'!$S20</f>
        <v>24</v>
      </c>
      <c r="F14" s="12">
        <f>'[2]Dia 5 (a)'!$S20</f>
        <v>24.8</v>
      </c>
      <c r="G14" s="12">
        <f>'[2]Dia 6 (a)'!$S20</f>
        <v>24.8</v>
      </c>
      <c r="H14" s="12">
        <f>'[2]Dia 7 (a)'!$S20</f>
        <v>24.2</v>
      </c>
      <c r="I14" s="12">
        <f>'[2]Dia 8 (a)'!$S20</f>
        <v>23.6</v>
      </c>
      <c r="J14" s="12">
        <f>'[2]Dia 9 (a)'!$S20</f>
        <v>23.8</v>
      </c>
      <c r="K14" s="12">
        <f>'[2]Dia 10 (a)'!$S20</f>
        <v>24.8</v>
      </c>
      <c r="L14" s="12">
        <f>'[2]Dia 11 (a)'!$S20</f>
        <v>24.9</v>
      </c>
      <c r="M14" s="12">
        <f>'[2]Dia 12 (a)'!$S20</f>
        <v>25</v>
      </c>
      <c r="N14" s="12">
        <f>'[2]Dia 13 (a)'!$S20</f>
        <v>25.7</v>
      </c>
      <c r="O14" s="12">
        <f>'[2]Dia 14 (a)'!$S20</f>
        <v>26.5</v>
      </c>
      <c r="P14" s="12">
        <f>'[2]Dia 15 (a)'!$S20</f>
        <v>26.9</v>
      </c>
      <c r="Q14" s="12">
        <f>'[2]Dia 16 (a)'!$S20</f>
        <v>26</v>
      </c>
      <c r="R14" s="12">
        <f>'[2]Dia 17 (a)'!$S20</f>
        <v>26</v>
      </c>
      <c r="S14" s="12">
        <f>'[2]Dia 18 (a)'!$S20</f>
        <v>25.2</v>
      </c>
      <c r="T14" s="12">
        <f>'[2]Dia 19 (a)'!$S20</f>
        <v>24.4</v>
      </c>
      <c r="U14" s="12">
        <f>'[2]Dia 20 (a)'!$S20</f>
        <v>25</v>
      </c>
      <c r="V14" s="12">
        <f>'[2]Dia 21 (a)'!$S20</f>
        <v>25.9</v>
      </c>
      <c r="W14" s="12">
        <f>'[2]Dia 22 (a)'!$S20</f>
        <v>26.5</v>
      </c>
      <c r="X14" s="12">
        <f>'[2]Dia 23 (a)'!$S20</f>
        <v>26.9</v>
      </c>
      <c r="Y14" s="12">
        <f>'[2]Dia 24 (a)'!$S20</f>
        <v>26.4</v>
      </c>
      <c r="Z14" s="12">
        <f>'[2]Dia 25 (a)'!$S20</f>
        <v>27.6</v>
      </c>
      <c r="AA14" s="12">
        <f>'[2]Dia 26 (a)'!$S20</f>
        <v>27.6</v>
      </c>
      <c r="AB14" s="12">
        <f>'[2]Dia 27 (a)'!$S20</f>
        <v>28.3</v>
      </c>
      <c r="AC14" s="12">
        <f>'[2]Dia 28 (a)'!$S20</f>
        <v>28.5</v>
      </c>
      <c r="AD14" s="12"/>
      <c r="AE14" s="12"/>
      <c r="AF14" s="13"/>
      <c r="AG14" s="14"/>
    </row>
    <row r="15" spans="1:33" ht="20.100000000000001" customHeight="1">
      <c r="A15" s="11">
        <v>18</v>
      </c>
      <c r="B15" s="12">
        <f>'[2]Dia 1 (a)'!$S21</f>
        <v>24</v>
      </c>
      <c r="C15" s="12">
        <f>'[2]Dia 2 (a)'!$S21</f>
        <v>23.8</v>
      </c>
      <c r="D15" s="12">
        <f>'[2]Dia 3 (a)'!$S21</f>
        <v>24</v>
      </c>
      <c r="E15" s="12">
        <f>'[2]Dia 4 (a)'!$S21</f>
        <v>24</v>
      </c>
      <c r="F15" s="12">
        <f>'[2]Dia 5 (a)'!$S21</f>
        <v>25</v>
      </c>
      <c r="G15" s="12">
        <f>'[2]Dia 6 (a)'!$S21</f>
        <v>25</v>
      </c>
      <c r="H15" s="12">
        <f>'[2]Dia 7 (a)'!$S21</f>
        <v>24.2</v>
      </c>
      <c r="I15" s="12">
        <f>'[2]Dia 8 (a)'!$S21</f>
        <v>23.6</v>
      </c>
      <c r="J15" s="12">
        <f>'[2]Dia 9 (a)'!$S21</f>
        <v>24</v>
      </c>
      <c r="K15" s="12">
        <f>'[2]Dia 10 (a)'!$S21</f>
        <v>25.1</v>
      </c>
      <c r="L15" s="12">
        <f>'[2]Dia 11 (a)'!$S21</f>
        <v>25</v>
      </c>
      <c r="M15" s="12">
        <f>'[2]Dia 12 (a)'!$S21</f>
        <v>25.2</v>
      </c>
      <c r="N15" s="12">
        <f>'[2]Dia 13 (a)'!$S21</f>
        <v>25.9</v>
      </c>
      <c r="O15" s="12">
        <f>'[2]Dia 14 (a)'!$S21</f>
        <v>26.8</v>
      </c>
      <c r="P15" s="12">
        <f>'[2]Dia 15 (a)'!$S21</f>
        <v>27</v>
      </c>
      <c r="Q15" s="12">
        <f>'[2]Dia 16 (a)'!$S21</f>
        <v>26.1</v>
      </c>
      <c r="R15" s="12">
        <f>'[2]Dia 17 (a)'!$S21</f>
        <v>26</v>
      </c>
      <c r="S15" s="12">
        <f>'[2]Dia 18 (a)'!$S21</f>
        <v>25.3</v>
      </c>
      <c r="T15" s="12">
        <f>'[2]Dia 19 (a)'!$S21</f>
        <v>24.6</v>
      </c>
      <c r="U15" s="12">
        <f>'[2]Dia 20 (a)'!$S21</f>
        <v>25</v>
      </c>
      <c r="V15" s="12">
        <f>'[2]Dia 21 (a)'!$S21</f>
        <v>26</v>
      </c>
      <c r="W15" s="12">
        <f>'[2]Dia 22 (a)'!$S21</f>
        <v>26.7</v>
      </c>
      <c r="X15" s="12">
        <f>'[2]Dia 23 (a)'!$S21</f>
        <v>27</v>
      </c>
      <c r="Y15" s="12">
        <f>'[2]Dia 24 (a)'!$S21</f>
        <v>27</v>
      </c>
      <c r="Z15" s="12">
        <f>'[2]Dia 25 (a)'!$S21</f>
        <v>27.6</v>
      </c>
      <c r="AA15" s="12">
        <f>'[2]Dia 26 (a)'!$S21</f>
        <v>27.8</v>
      </c>
      <c r="AB15" s="12">
        <f>'[2]Dia 27 (a)'!$S21</f>
        <v>28.5</v>
      </c>
      <c r="AC15" s="12">
        <f>'[2]Dia 28 (a)'!$S21</f>
        <v>28.6</v>
      </c>
      <c r="AD15" s="12"/>
      <c r="AE15" s="12"/>
      <c r="AF15" s="13"/>
      <c r="AG15" s="14"/>
    </row>
    <row r="16" spans="1:33" ht="20.100000000000001" customHeight="1">
      <c r="A16" s="11">
        <v>19</v>
      </c>
      <c r="B16" s="12">
        <f>'[2]Dia 1 (a)'!$S22</f>
        <v>24</v>
      </c>
      <c r="C16" s="12">
        <f>'[2]Dia 2 (a)'!$S22</f>
        <v>23.8</v>
      </c>
      <c r="D16" s="12">
        <f>'[2]Dia 3 (a)'!$S22</f>
        <v>24.1</v>
      </c>
      <c r="E16" s="12">
        <f>'[2]Dia 4 (a)'!$S22</f>
        <v>24.2</v>
      </c>
      <c r="F16" s="12">
        <f>'[2]Dia 5 (a)'!$S22</f>
        <v>25.2</v>
      </c>
      <c r="G16" s="12">
        <f>'[2]Dia 6 (a)'!$S22</f>
        <v>25.1</v>
      </c>
      <c r="H16" s="12">
        <f>'[2]Dia 7 (a)'!$S22</f>
        <v>24.2</v>
      </c>
      <c r="I16" s="12">
        <f>'[2]Dia 8 (a)'!$S22</f>
        <v>23.6</v>
      </c>
      <c r="J16" s="12">
        <f>'[2]Dia 9 (a)'!$S22</f>
        <v>24</v>
      </c>
      <c r="K16" s="12">
        <f>'[2]Dia 10 (a)'!$S22</f>
        <v>25.4</v>
      </c>
      <c r="L16" s="12">
        <f>'[2]Dia 11 (a)'!$S22</f>
        <v>25.2</v>
      </c>
      <c r="M16" s="12">
        <f>'[2]Dia 12 (a)'!$S22</f>
        <v>25.4</v>
      </c>
      <c r="N16" s="12">
        <f>'[2]Dia 13 (a)'!$S22</f>
        <v>26.1</v>
      </c>
      <c r="O16" s="12">
        <f>'[2]Dia 14 (a)'!$S22</f>
        <v>27.1</v>
      </c>
      <c r="P16" s="12">
        <f>'[2]Dia 15 (a)'!$S22</f>
        <v>27.1</v>
      </c>
      <c r="Q16" s="12">
        <f>'[2]Dia 16 (a)'!$S22</f>
        <v>26.3</v>
      </c>
      <c r="R16" s="12">
        <f>'[2]Dia 17 (a)'!$S22</f>
        <v>26</v>
      </c>
      <c r="S16" s="12">
        <f>'[2]Dia 18 (a)'!$S22</f>
        <v>25.4</v>
      </c>
      <c r="T16" s="12">
        <f>'[2]Dia 19 (a)'!$S22</f>
        <v>24.6</v>
      </c>
      <c r="U16" s="12">
        <f>'[2]Dia 20 (a)'!$S22</f>
        <v>25</v>
      </c>
      <c r="V16" s="12">
        <f>'[2]Dia 21 (a)'!$S22</f>
        <v>26.2</v>
      </c>
      <c r="W16" s="12">
        <f>'[2]Dia 22 (a)'!$S22</f>
        <v>26.9</v>
      </c>
      <c r="X16" s="12">
        <f>'[2]Dia 23 (a)'!$S22</f>
        <v>27.1</v>
      </c>
      <c r="Y16" s="12">
        <f>'[2]Dia 24 (a)'!$S22</f>
        <v>27</v>
      </c>
      <c r="Z16" s="12">
        <f>'[2]Dia 25 (a)'!$S22</f>
        <v>27.8</v>
      </c>
      <c r="AA16" s="12">
        <f>'[2]Dia 26 (a)'!$S22</f>
        <v>28</v>
      </c>
      <c r="AB16" s="12">
        <f>'[2]Dia 27 (a)'!$S22</f>
        <v>28.7</v>
      </c>
      <c r="AC16" s="12">
        <f>'[2]Dia 28 (a)'!$S22</f>
        <v>29.1</v>
      </c>
      <c r="AD16" s="12"/>
      <c r="AE16" s="12"/>
      <c r="AF16" s="13"/>
      <c r="AG16" s="14"/>
    </row>
    <row r="17" spans="1:33" ht="20.100000000000001" customHeight="1">
      <c r="A17" s="11">
        <v>20</v>
      </c>
      <c r="B17" s="12">
        <f>'[2]Dia 1 (a)'!$S23</f>
        <v>24</v>
      </c>
      <c r="C17" s="12">
        <f>'[2]Dia 2 (a)'!$S23</f>
        <v>23.8</v>
      </c>
      <c r="D17" s="12">
        <f>'[2]Dia 3 (a)'!$S23</f>
        <v>24.1</v>
      </c>
      <c r="E17" s="12">
        <f>'[2]Dia 4 (a)'!$S23</f>
        <v>24.3</v>
      </c>
      <c r="F17" s="12">
        <f>'[2]Dia 5 (a)'!$S23</f>
        <v>25.4</v>
      </c>
      <c r="G17" s="12">
        <f>'[2]Dia 6 (a)'!$S23</f>
        <v>25.2</v>
      </c>
      <c r="H17" s="12">
        <f>'[2]Dia 7 (a)'!$S23</f>
        <v>24.2</v>
      </c>
      <c r="I17" s="12">
        <f>'[2]Dia 8 (a)'!$S23</f>
        <v>23.6</v>
      </c>
      <c r="J17" s="12">
        <f>'[2]Dia 9 (a)'!$S23</f>
        <v>24.4</v>
      </c>
      <c r="K17" s="12">
        <f>'[2]Dia 10 (a)'!$S23</f>
        <v>25.5</v>
      </c>
      <c r="L17" s="12">
        <f>'[2]Dia 11 (a)'!$S23</f>
        <v>25.2</v>
      </c>
      <c r="M17" s="12">
        <f>'[2]Dia 12 (a)'!$S23</f>
        <v>25.6</v>
      </c>
      <c r="N17" s="12">
        <f>'[2]Dia 13 (a)'!$S23</f>
        <v>26.3</v>
      </c>
      <c r="O17" s="12">
        <f>'[2]Dia 14 (a)'!$S23</f>
        <v>27.3</v>
      </c>
      <c r="P17" s="12">
        <f>'[2]Dia 15 (a)'!$S23</f>
        <v>27.2</v>
      </c>
      <c r="Q17" s="12">
        <f>'[2]Dia 16 (a)'!$S23</f>
        <v>26.4</v>
      </c>
      <c r="R17" s="12">
        <f>'[2]Dia 17 (a)'!$S23</f>
        <v>26.2</v>
      </c>
      <c r="S17" s="12">
        <f>'[2]Dia 18 (a)'!$S23</f>
        <v>25.4</v>
      </c>
      <c r="T17" s="12">
        <f>'[2]Dia 19 (a)'!$S23</f>
        <v>24.8</v>
      </c>
      <c r="U17" s="12">
        <f>'[2]Dia 20 (a)'!$S23</f>
        <v>25.4</v>
      </c>
      <c r="V17" s="12">
        <f>'[2]Dia 21 (a)'!$S23</f>
        <v>26.4</v>
      </c>
      <c r="W17" s="12">
        <f>'[2]Dia 22 (a)'!$S23</f>
        <v>27</v>
      </c>
      <c r="X17" s="12">
        <f>'[2]Dia 23 (a)'!$S23</f>
        <v>27.2</v>
      </c>
      <c r="Y17" s="12">
        <f>'[2]Dia 24 (a)'!$S23</f>
        <v>27.2</v>
      </c>
      <c r="Z17" s="12">
        <f>'[2]Dia 25 (a)'!$S23</f>
        <v>28</v>
      </c>
      <c r="AA17" s="12">
        <f>'[2]Dia 26 (a)'!$S23</f>
        <v>28.4</v>
      </c>
      <c r="AB17" s="12">
        <f>'[2]Dia 27 (a)'!$S23</f>
        <v>28.9</v>
      </c>
      <c r="AC17" s="12">
        <f>'[2]Dia 28 (a)'!$S23</f>
        <v>29.4</v>
      </c>
      <c r="AD17" s="12"/>
      <c r="AE17" s="12"/>
      <c r="AF17" s="13"/>
      <c r="AG17" s="14"/>
    </row>
    <row r="18" spans="1:33" ht="20.100000000000001" customHeight="1">
      <c r="A18" s="11">
        <v>21</v>
      </c>
      <c r="B18" s="12">
        <f>'[2]Dia 1 (a)'!$S24</f>
        <v>23.6</v>
      </c>
      <c r="C18" s="12">
        <f>'[2]Dia 2 (a)'!$S24</f>
        <v>23.8</v>
      </c>
      <c r="D18" s="12">
        <f>'[2]Dia 3 (a)'!$S24</f>
        <v>24.1</v>
      </c>
      <c r="E18" s="12">
        <f>'[2]Dia 4 (a)'!$S24</f>
        <v>24.4</v>
      </c>
      <c r="F18" s="12">
        <f>'[2]Dia 5 (a)'!$S24</f>
        <v>25.4</v>
      </c>
      <c r="G18" s="12">
        <f>'[2]Dia 6 (a)'!$S24</f>
        <v>25.2</v>
      </c>
      <c r="H18" s="12">
        <f>'[2]Dia 7 (a)'!$S24</f>
        <v>24.2</v>
      </c>
      <c r="I18" s="12">
        <f>'[2]Dia 8 (a)'!$S24</f>
        <v>23.6</v>
      </c>
      <c r="J18" s="12">
        <f>'[2]Dia 9 (a)'!$S24</f>
        <v>24.4</v>
      </c>
      <c r="K18" s="12">
        <f>'[2]Dia 10 (a)'!$S24</f>
        <v>25.8</v>
      </c>
      <c r="L18" s="12">
        <f>'[2]Dia 11 (a)'!$S24</f>
        <v>25.2</v>
      </c>
      <c r="M18" s="12">
        <f>'[2]Dia 12 (a)'!$S24</f>
        <v>25.8</v>
      </c>
      <c r="N18" s="12">
        <f>'[2]Dia 13 (a)'!$S24</f>
        <v>26.3</v>
      </c>
      <c r="O18" s="12">
        <f>'[2]Dia 14 (a)'!$S24</f>
        <v>27.4</v>
      </c>
      <c r="P18" s="12">
        <f>'[2]Dia 15 (a)'!$S24</f>
        <v>27.3</v>
      </c>
      <c r="Q18" s="12">
        <f>'[2]Dia 16 (a)'!$S24</f>
        <v>26.5</v>
      </c>
      <c r="R18" s="12">
        <f>'[2]Dia 17 (a)'!$S24</f>
        <v>26.6</v>
      </c>
      <c r="S18" s="12">
        <f>'[2]Dia 18 (a)'!$S24</f>
        <v>25.6</v>
      </c>
      <c r="T18" s="12">
        <f>'[2]Dia 19 (a)'!$S24</f>
        <v>24.8</v>
      </c>
      <c r="U18" s="12">
        <f>'[2]Dia 20 (a)'!$S24</f>
        <v>26</v>
      </c>
      <c r="V18" s="12">
        <f>'[2]Dia 21 (a)'!$S24</f>
        <v>26.4</v>
      </c>
      <c r="W18" s="12">
        <f>'[2]Dia 22 (a)'!$S24</f>
        <v>27.2</v>
      </c>
      <c r="X18" s="12">
        <f>'[2]Dia 23 (a)'!$S24</f>
        <v>27.2</v>
      </c>
      <c r="Y18" s="12">
        <f>'[2]Dia 24 (a)'!$S24</f>
        <v>27.4</v>
      </c>
      <c r="Z18" s="12">
        <f>'[2]Dia 25 (a)'!$S24</f>
        <v>28.2</v>
      </c>
      <c r="AA18" s="12">
        <f>'[2]Dia 26 (a)'!$S24</f>
        <v>28.4</v>
      </c>
      <c r="AB18" s="12">
        <f>'[2]Dia 27 (a)'!$S24</f>
        <v>29.1</v>
      </c>
      <c r="AC18" s="12">
        <f>'[2]Dia 28 (a)'!$S24</f>
        <v>29.5</v>
      </c>
      <c r="AD18" s="12"/>
      <c r="AE18" s="12"/>
      <c r="AF18" s="13"/>
      <c r="AG18" s="14"/>
    </row>
    <row r="19" spans="1:33" ht="20.100000000000001" customHeight="1">
      <c r="A19" s="11">
        <v>22</v>
      </c>
      <c r="B19" s="12">
        <f>'[2]Dia 1 (a)'!$S25</f>
        <v>23.8</v>
      </c>
      <c r="C19" s="12">
        <f>'[2]Dia 2 (a)'!$S25</f>
        <v>23.8</v>
      </c>
      <c r="D19" s="12">
        <f>'[2]Dia 3 (a)'!$S25</f>
        <v>24.1</v>
      </c>
      <c r="E19" s="12">
        <f>'[2]Dia 4 (a)'!$S25</f>
        <v>24.4</v>
      </c>
      <c r="F19" s="12">
        <f>'[2]Dia 5 (a)'!$S25</f>
        <v>25.5</v>
      </c>
      <c r="G19" s="12">
        <f>'[2]Dia 6 (a)'!$S25</f>
        <v>25.2</v>
      </c>
      <c r="H19" s="12">
        <f>'[2]Dia 7 (a)'!$S25</f>
        <v>24.1</v>
      </c>
      <c r="I19" s="12">
        <f>'[2]Dia 8 (a)'!$S25</f>
        <v>23.6</v>
      </c>
      <c r="J19" s="12">
        <f>'[2]Dia 9 (a)'!$S25</f>
        <v>24.4</v>
      </c>
      <c r="K19" s="12">
        <f>'[2]Dia 10 (a)'!$S25</f>
        <v>25.7</v>
      </c>
      <c r="L19" s="12">
        <f>'[2]Dia 11 (a)'!$S25</f>
        <v>25.2</v>
      </c>
      <c r="M19" s="12">
        <f>'[2]Dia 12 (a)'!$S25</f>
        <v>25.9</v>
      </c>
      <c r="N19" s="12">
        <f>'[2]Dia 13 (a)'!$S25</f>
        <v>26.3</v>
      </c>
      <c r="O19" s="12">
        <f>'[2]Dia 14 (a)'!$S25</f>
        <v>27.5</v>
      </c>
      <c r="P19" s="12">
        <f>'[2]Dia 15 (a)'!$S25</f>
        <v>27.3</v>
      </c>
      <c r="Q19" s="12">
        <f>'[2]Dia 16 (a)'!$S25</f>
        <v>26.6</v>
      </c>
      <c r="R19" s="12">
        <f>'[2]Dia 17 (a)'!$S25</f>
        <v>26.8</v>
      </c>
      <c r="S19" s="12">
        <f>'[2]Dia 18 (a)'!$S25</f>
        <v>25.6</v>
      </c>
      <c r="T19" s="12">
        <f>'[2]Dia 19 (a)'!$S25</f>
        <v>24.8</v>
      </c>
      <c r="U19" s="12">
        <f>'[2]Dia 20 (a)'!$S25</f>
        <v>26</v>
      </c>
      <c r="V19" s="12">
        <f>'[2]Dia 21 (a)'!$S25</f>
        <v>26.4</v>
      </c>
      <c r="W19" s="12">
        <f>'[2]Dia 22 (a)'!$S25</f>
        <v>27.2</v>
      </c>
      <c r="X19" s="12">
        <f>'[2]Dia 23 (a)'!$S25</f>
        <v>27.2</v>
      </c>
      <c r="Y19" s="12">
        <f>'[2]Dia 24 (a)'!$S25</f>
        <v>27.6</v>
      </c>
      <c r="Z19" s="12">
        <f>'[2]Dia 25 (a)'!$S25</f>
        <v>28.4</v>
      </c>
      <c r="AA19" s="12">
        <f>'[2]Dia 26 (a)'!$S25</f>
        <v>28.6</v>
      </c>
      <c r="AB19" s="12">
        <f>'[2]Dia 27 (a)'!$S25</f>
        <v>29.1</v>
      </c>
      <c r="AC19" s="12">
        <f>'[2]Dia 28 (a)'!$S25</f>
        <v>29.7</v>
      </c>
      <c r="AD19" s="12"/>
      <c r="AE19" s="12"/>
      <c r="AF19" s="13"/>
      <c r="AG19" s="14"/>
    </row>
    <row r="20" spans="1:33" ht="20.100000000000001" customHeight="1">
      <c r="A20" s="11">
        <v>23</v>
      </c>
      <c r="B20" s="12">
        <f>'[2]Dia 1 (a)'!$S26</f>
        <v>24</v>
      </c>
      <c r="C20" s="12">
        <f>'[2]Dia 2 (a)'!$S26</f>
        <v>23.8</v>
      </c>
      <c r="D20" s="12">
        <f>'[2]Dia 3 (a)'!$S26</f>
        <v>24.2</v>
      </c>
      <c r="E20" s="12">
        <f>'[2]Dia 4 (a)'!$S26</f>
        <v>24.4</v>
      </c>
      <c r="F20" s="12">
        <f>'[2]Dia 5 (a)'!$S26</f>
        <v>25.5</v>
      </c>
      <c r="G20" s="12">
        <f>'[2]Dia 6 (a)'!$S26</f>
        <v>25.2</v>
      </c>
      <c r="H20" s="12">
        <f>'[2]Dia 7 (a)'!$S26</f>
        <v>24.1</v>
      </c>
      <c r="I20" s="12">
        <f>'[2]Dia 8 (a)'!$S26</f>
        <v>23.6</v>
      </c>
      <c r="J20" s="12">
        <f>'[2]Dia 9 (a)'!$S26</f>
        <v>24.4</v>
      </c>
      <c r="K20" s="12">
        <f>'[2]Dia 10 (a)'!$S26</f>
        <v>25.7</v>
      </c>
      <c r="L20" s="12">
        <f>'[2]Dia 11 (a)'!$S26</f>
        <v>25.1</v>
      </c>
      <c r="M20" s="12">
        <f>'[2]Dia 12 (a)'!$S26</f>
        <v>25.9</v>
      </c>
      <c r="N20" s="12">
        <f>'[2]Dia 13 (a)'!$S26</f>
        <v>26.3</v>
      </c>
      <c r="O20" s="12">
        <f>'[2]Dia 14 (a)'!$S26</f>
        <v>27.4</v>
      </c>
      <c r="P20" s="12">
        <f>'[2]Dia 15 (a)'!$S26</f>
        <v>27.2</v>
      </c>
      <c r="Q20" s="12">
        <f>'[2]Dia 16 (a)'!$S26</f>
        <v>26.6</v>
      </c>
      <c r="R20" s="12">
        <f>'[2]Dia 17 (a)'!$S26</f>
        <v>26.8</v>
      </c>
      <c r="S20" s="12">
        <f>'[2]Dia 18 (a)'!$S26</f>
        <v>25.6</v>
      </c>
      <c r="T20" s="12">
        <f>'[2]Dia 19 (a)'!$S26</f>
        <v>25</v>
      </c>
      <c r="U20" s="12">
        <f>'[2]Dia 20 (a)'!$S26</f>
        <v>26.2</v>
      </c>
      <c r="V20" s="12">
        <f>'[2]Dia 21 (a)'!$S26</f>
        <v>26.4</v>
      </c>
      <c r="W20" s="12">
        <f>'[2]Dia 22 (a)'!$S26</f>
        <v>27.2</v>
      </c>
      <c r="X20" s="12">
        <f>'[2]Dia 23 (a)'!$S26</f>
        <v>27.1</v>
      </c>
      <c r="Y20" s="12">
        <f>'[2]Dia 24 (a)'!$S26</f>
        <v>27.8</v>
      </c>
      <c r="Z20" s="12">
        <f>'[2]Dia 25 (a)'!$S26</f>
        <v>28.6</v>
      </c>
      <c r="AA20" s="12">
        <f>'[2]Dia 26 (a)'!$S26</f>
        <v>28.6</v>
      </c>
      <c r="AB20" s="12">
        <f>'[2]Dia 27 (a)'!$S26</f>
        <v>29.1</v>
      </c>
      <c r="AC20" s="12">
        <f>'[2]Dia 28 (a)'!$S26</f>
        <v>29.5</v>
      </c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>
        <f>'[2]Dia 1 (a)'!$S27</f>
        <v>24</v>
      </c>
      <c r="C21" s="17">
        <f>'[2]Dia 2 (a)'!$S27</f>
        <v>24</v>
      </c>
      <c r="D21" s="17">
        <f>'[2]Dia 3 (a)'!$S27</f>
        <v>24.2</v>
      </c>
      <c r="E21" s="17">
        <f>'[2]Dia 4 (a)'!$S27</f>
        <v>24.4</v>
      </c>
      <c r="F21" s="17">
        <f>'[2]Dia 5 (a)'!$S27</f>
        <v>25.5</v>
      </c>
      <c r="G21" s="17">
        <f>'[2]Dia 6 (a)'!$S27</f>
        <v>25.2</v>
      </c>
      <c r="H21" s="17">
        <f>'[2]Dia 7 (a)'!$S27</f>
        <v>24.1</v>
      </c>
      <c r="I21" s="17">
        <f>'[2]Dia 8 (a)'!$S27</f>
        <v>24</v>
      </c>
      <c r="J21" s="17">
        <f>'[2]Dia 9 (a)'!$S27</f>
        <v>24.4</v>
      </c>
      <c r="K21" s="17">
        <f>'[2]Dia 10 (a)'!$S27</f>
        <v>25.6</v>
      </c>
      <c r="L21" s="17">
        <f>'[2]Dia 11 (a)'!$S27</f>
        <v>25</v>
      </c>
      <c r="M21" s="17">
        <f>'[2]Dia 12 (a)'!$S27</f>
        <v>25.9</v>
      </c>
      <c r="N21" s="17">
        <f>'[2]Dia 13 (a)'!$S27</f>
        <v>26.3</v>
      </c>
      <c r="O21" s="17">
        <f>'[2]Dia 14 (a)'!$S27</f>
        <v>27.4</v>
      </c>
      <c r="P21" s="17">
        <f>'[2]Dia 15 (a)'!$S27</f>
        <v>27.1</v>
      </c>
      <c r="Q21" s="17">
        <f>'[2]Dia 16 (a)'!$S27</f>
        <v>26.6</v>
      </c>
      <c r="R21" s="17">
        <f>'[2]Dia 17 (a)'!$S27</f>
        <v>26.8</v>
      </c>
      <c r="S21" s="17">
        <f>'[2]Dia 18 (a)'!$S27</f>
        <v>25</v>
      </c>
      <c r="T21" s="17">
        <f>'[2]Dia 19 (a)'!$S27</f>
        <v>25</v>
      </c>
      <c r="U21" s="17">
        <f>'[2]Dia 20 (a)'!$S27</f>
        <v>26</v>
      </c>
      <c r="V21" s="17">
        <f>'[2]Dia 21 (a)'!$S27</f>
        <v>26.3</v>
      </c>
      <c r="W21" s="17">
        <f>'[2]Dia 22 (a)'!$S27</f>
        <v>27.2</v>
      </c>
      <c r="X21" s="17">
        <f>'[2]Dia 23 (a)'!$S27</f>
        <v>27</v>
      </c>
      <c r="Y21" s="17">
        <f>'[2]Dia 24 (a)'!$S27</f>
        <v>27.8</v>
      </c>
      <c r="Z21" s="17">
        <f>'[2]Dia 25 (a)'!$S27</f>
        <v>28.4</v>
      </c>
      <c r="AA21" s="17">
        <f>'[2]Dia 26 (a)'!$S27</f>
        <v>27.8</v>
      </c>
      <c r="AB21" s="17">
        <f>'[2]Dia 27 (a)'!$S27</f>
        <v>29.1</v>
      </c>
      <c r="AC21" s="17">
        <f>'[2]Dia 28 (a)'!$S27</f>
        <v>29.5</v>
      </c>
      <c r="AD21" s="17"/>
      <c r="AE21" s="17"/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23.638888888888889</v>
      </c>
      <c r="C25" s="28">
        <f t="shared" ref="C25:AC25" si="0">AVERAGE(C4:C21)</f>
        <v>23.81666666666667</v>
      </c>
      <c r="D25" s="28">
        <f t="shared" si="0"/>
        <v>23.827777777777783</v>
      </c>
      <c r="E25" s="28">
        <f t="shared" si="0"/>
        <v>23.861111111111104</v>
      </c>
      <c r="F25" s="28">
        <f t="shared" si="0"/>
        <v>24.649999999999995</v>
      </c>
      <c r="G25" s="28">
        <f t="shared" si="0"/>
        <v>24.87222222222222</v>
      </c>
      <c r="H25" s="28">
        <f t="shared" si="0"/>
        <v>24.37777777777778</v>
      </c>
      <c r="I25" s="28">
        <f t="shared" si="0"/>
        <v>23.566666666666677</v>
      </c>
      <c r="J25" s="28">
        <f t="shared" si="0"/>
        <v>23.761111111111106</v>
      </c>
      <c r="K25" s="28">
        <f t="shared" si="0"/>
        <v>24.633333333333333</v>
      </c>
      <c r="L25" s="28">
        <f t="shared" si="0"/>
        <v>24.788888888888888</v>
      </c>
      <c r="M25" s="28">
        <f t="shared" si="0"/>
        <v>24.783333333333328</v>
      </c>
      <c r="N25" s="28">
        <f t="shared" si="0"/>
        <v>25.644444444444449</v>
      </c>
      <c r="O25" s="28">
        <f t="shared" si="0"/>
        <v>26.31111111111111</v>
      </c>
      <c r="P25" s="28">
        <f t="shared" si="0"/>
        <v>26.761111111111109</v>
      </c>
      <c r="Q25" s="28">
        <f t="shared" si="0"/>
        <v>26.166666666666671</v>
      </c>
      <c r="R25" s="28">
        <f t="shared" si="0"/>
        <v>26.155555555555559</v>
      </c>
      <c r="S25" s="28">
        <f t="shared" si="0"/>
        <v>25.3</v>
      </c>
      <c r="T25" s="28">
        <f t="shared" si="0"/>
        <v>24.538888888888891</v>
      </c>
      <c r="U25" s="28">
        <f t="shared" si="0"/>
        <v>25.222222222222218</v>
      </c>
      <c r="V25" s="28">
        <f t="shared" si="0"/>
        <v>25.783333333333328</v>
      </c>
      <c r="W25" s="28">
        <f t="shared" si="0"/>
        <v>26.255555555555553</v>
      </c>
      <c r="X25" s="28">
        <f t="shared" si="0"/>
        <v>26.627777777777776</v>
      </c>
      <c r="Y25" s="28">
        <f t="shared" si="0"/>
        <v>26.62222222222222</v>
      </c>
      <c r="Z25" s="28">
        <f t="shared" si="0"/>
        <v>27.494444444444447</v>
      </c>
      <c r="AA25" s="28">
        <f t="shared" si="0"/>
        <v>27.68888888888889</v>
      </c>
      <c r="AB25" s="28">
        <f t="shared" si="0"/>
        <v>28.216666666666672</v>
      </c>
      <c r="AC25" s="28">
        <f t="shared" si="0"/>
        <v>28.533333333333335</v>
      </c>
      <c r="AD25" s="28"/>
      <c r="AE25" s="28"/>
      <c r="AF25" s="28"/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24</v>
      </c>
      <c r="C29" s="28">
        <f t="shared" ref="C29:AC29" si="1">MAX(C4:C21)</f>
        <v>24</v>
      </c>
      <c r="D29" s="28">
        <f t="shared" si="1"/>
        <v>24.2</v>
      </c>
      <c r="E29" s="28">
        <f t="shared" si="1"/>
        <v>24.4</v>
      </c>
      <c r="F29" s="28">
        <f t="shared" si="1"/>
        <v>25.5</v>
      </c>
      <c r="G29" s="28">
        <f t="shared" si="1"/>
        <v>25.2</v>
      </c>
      <c r="H29" s="28">
        <f t="shared" si="1"/>
        <v>24.8</v>
      </c>
      <c r="I29" s="28">
        <f t="shared" si="1"/>
        <v>24</v>
      </c>
      <c r="J29" s="28">
        <f t="shared" si="1"/>
        <v>24.4</v>
      </c>
      <c r="K29" s="28">
        <f t="shared" si="1"/>
        <v>25.8</v>
      </c>
      <c r="L29" s="28">
        <f t="shared" si="1"/>
        <v>25.2</v>
      </c>
      <c r="M29" s="28">
        <f t="shared" si="1"/>
        <v>25.9</v>
      </c>
      <c r="N29" s="28">
        <f t="shared" si="1"/>
        <v>26.3</v>
      </c>
      <c r="O29" s="28">
        <f t="shared" si="1"/>
        <v>27.5</v>
      </c>
      <c r="P29" s="28">
        <f t="shared" si="1"/>
        <v>27.3</v>
      </c>
      <c r="Q29" s="28">
        <f t="shared" si="1"/>
        <v>26.6</v>
      </c>
      <c r="R29" s="28">
        <f t="shared" si="1"/>
        <v>26.8</v>
      </c>
      <c r="S29" s="28">
        <f t="shared" si="1"/>
        <v>25.6</v>
      </c>
      <c r="T29" s="28">
        <f t="shared" si="1"/>
        <v>25</v>
      </c>
      <c r="U29" s="28">
        <f t="shared" si="1"/>
        <v>26.2</v>
      </c>
      <c r="V29" s="28">
        <f t="shared" si="1"/>
        <v>26.4</v>
      </c>
      <c r="W29" s="28">
        <f t="shared" si="1"/>
        <v>27.2</v>
      </c>
      <c r="X29" s="28">
        <f t="shared" si="1"/>
        <v>27.2</v>
      </c>
      <c r="Y29" s="28">
        <f t="shared" si="1"/>
        <v>27.8</v>
      </c>
      <c r="Z29" s="28">
        <f t="shared" si="1"/>
        <v>28.6</v>
      </c>
      <c r="AA29" s="28">
        <f t="shared" si="1"/>
        <v>28.6</v>
      </c>
      <c r="AB29" s="28">
        <f t="shared" si="1"/>
        <v>29.1</v>
      </c>
      <c r="AC29" s="28">
        <f t="shared" si="1"/>
        <v>29.7</v>
      </c>
      <c r="AD29" s="28"/>
      <c r="AE29" s="28"/>
      <c r="AF29" s="28"/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23.3</v>
      </c>
      <c r="C33" s="28">
        <f t="shared" ref="C33:AC33" si="2">MIN(C4:C21)</f>
        <v>23.7</v>
      </c>
      <c r="D33" s="28">
        <f t="shared" si="2"/>
        <v>23.5</v>
      </c>
      <c r="E33" s="28">
        <f t="shared" si="2"/>
        <v>23.4</v>
      </c>
      <c r="F33" s="28">
        <f t="shared" si="2"/>
        <v>24</v>
      </c>
      <c r="G33" s="28">
        <f t="shared" si="2"/>
        <v>24.6</v>
      </c>
      <c r="H33" s="28">
        <f t="shared" si="2"/>
        <v>24.1</v>
      </c>
      <c r="I33" s="28">
        <f t="shared" si="2"/>
        <v>23.3</v>
      </c>
      <c r="J33" s="28">
        <f t="shared" si="2"/>
        <v>23.2</v>
      </c>
      <c r="K33" s="28">
        <f t="shared" si="2"/>
        <v>23.8</v>
      </c>
      <c r="L33" s="28">
        <f t="shared" si="2"/>
        <v>24.4</v>
      </c>
      <c r="M33" s="28">
        <f t="shared" si="2"/>
        <v>24</v>
      </c>
      <c r="N33" s="28">
        <f t="shared" si="2"/>
        <v>25</v>
      </c>
      <c r="O33" s="28">
        <f t="shared" si="2"/>
        <v>25.4</v>
      </c>
      <c r="P33" s="28">
        <f t="shared" si="2"/>
        <v>26</v>
      </c>
      <c r="Q33" s="28">
        <f t="shared" si="2"/>
        <v>25.8</v>
      </c>
      <c r="R33" s="28">
        <f t="shared" si="2"/>
        <v>25.8</v>
      </c>
      <c r="S33" s="28">
        <f t="shared" si="2"/>
        <v>25</v>
      </c>
      <c r="T33" s="28">
        <f t="shared" si="2"/>
        <v>24.1</v>
      </c>
      <c r="U33" s="28">
        <f t="shared" si="2"/>
        <v>24.7</v>
      </c>
      <c r="V33" s="28">
        <f t="shared" si="2"/>
        <v>25.3</v>
      </c>
      <c r="W33" s="28">
        <f t="shared" si="2"/>
        <v>25.4</v>
      </c>
      <c r="X33" s="28">
        <f t="shared" si="2"/>
        <v>26.1</v>
      </c>
      <c r="Y33" s="28">
        <f t="shared" si="2"/>
        <v>25.9</v>
      </c>
      <c r="Z33" s="28">
        <f t="shared" si="2"/>
        <v>26.9</v>
      </c>
      <c r="AA33" s="28">
        <f t="shared" si="2"/>
        <v>27.1</v>
      </c>
      <c r="AB33" s="28">
        <f t="shared" si="2"/>
        <v>27.5</v>
      </c>
      <c r="AC33" s="28">
        <f t="shared" si="2"/>
        <v>27.8</v>
      </c>
      <c r="AD33" s="28"/>
      <c r="AE33" s="28"/>
      <c r="AF33" s="28"/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0.69999999999999929</v>
      </c>
      <c r="C37" s="28">
        <f t="shared" ref="C37:AC37" si="3">C29-C33</f>
        <v>0.30000000000000071</v>
      </c>
      <c r="D37" s="28">
        <f t="shared" si="3"/>
        <v>0.69999999999999929</v>
      </c>
      <c r="E37" s="28">
        <f t="shared" si="3"/>
        <v>1</v>
      </c>
      <c r="F37" s="28">
        <f t="shared" si="3"/>
        <v>1.5</v>
      </c>
      <c r="G37" s="28">
        <f t="shared" si="3"/>
        <v>0.59999999999999787</v>
      </c>
      <c r="H37" s="28">
        <f t="shared" si="3"/>
        <v>0.69999999999999929</v>
      </c>
      <c r="I37" s="28">
        <f t="shared" si="3"/>
        <v>0.69999999999999929</v>
      </c>
      <c r="J37" s="28">
        <f t="shared" si="3"/>
        <v>1.1999999999999993</v>
      </c>
      <c r="K37" s="28">
        <f t="shared" si="3"/>
        <v>2</v>
      </c>
      <c r="L37" s="28">
        <f t="shared" si="3"/>
        <v>0.80000000000000071</v>
      </c>
      <c r="M37" s="28">
        <f t="shared" si="3"/>
        <v>1.8999999999999986</v>
      </c>
      <c r="N37" s="28">
        <f t="shared" si="3"/>
        <v>1.3000000000000007</v>
      </c>
      <c r="O37" s="28">
        <f t="shared" si="3"/>
        <v>2.1000000000000014</v>
      </c>
      <c r="P37" s="28">
        <f t="shared" si="3"/>
        <v>1.3000000000000007</v>
      </c>
      <c r="Q37" s="28">
        <f t="shared" si="3"/>
        <v>0.80000000000000071</v>
      </c>
      <c r="R37" s="28">
        <f t="shared" si="3"/>
        <v>1</v>
      </c>
      <c r="S37" s="28">
        <f t="shared" si="3"/>
        <v>0.60000000000000142</v>
      </c>
      <c r="T37" s="28">
        <f t="shared" si="3"/>
        <v>0.89999999999999858</v>
      </c>
      <c r="U37" s="28">
        <f t="shared" si="3"/>
        <v>1.5</v>
      </c>
      <c r="V37" s="28">
        <f t="shared" si="3"/>
        <v>1.0999999999999979</v>
      </c>
      <c r="W37" s="28">
        <f t="shared" si="3"/>
        <v>1.8000000000000007</v>
      </c>
      <c r="X37" s="28">
        <f t="shared" si="3"/>
        <v>1.0999999999999979</v>
      </c>
      <c r="Y37" s="28">
        <f t="shared" si="3"/>
        <v>1.9000000000000021</v>
      </c>
      <c r="Z37" s="28">
        <f t="shared" si="3"/>
        <v>1.7000000000000028</v>
      </c>
      <c r="AA37" s="28">
        <f t="shared" si="3"/>
        <v>1.5</v>
      </c>
      <c r="AB37" s="28">
        <f t="shared" si="3"/>
        <v>1.6000000000000014</v>
      </c>
      <c r="AC37" s="28">
        <f t="shared" si="3"/>
        <v>1.8999999999999986</v>
      </c>
      <c r="AD37" s="28"/>
      <c r="AE37" s="28"/>
      <c r="AF37" s="28"/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25.49642857142857</v>
      </c>
      <c r="I43" s="40"/>
      <c r="J43" s="42"/>
      <c r="K43" s="41">
        <f>MAX(B29:AF29)</f>
        <v>29.7</v>
      </c>
      <c r="L43" s="42"/>
      <c r="M43" s="42"/>
      <c r="N43" s="41">
        <f>MIN(B33:AF33)</f>
        <v>23.2</v>
      </c>
      <c r="O43" s="42"/>
      <c r="P43" s="42"/>
      <c r="Q43" s="41">
        <f>K43-N43</f>
        <v>6.5</v>
      </c>
      <c r="R43" s="40"/>
      <c r="S43" s="41"/>
      <c r="T43" s="41">
        <f>AVERAGE(B29:AF29)</f>
        <v>26.18928571428572</v>
      </c>
      <c r="U43" s="41"/>
      <c r="V43" s="41">
        <f>AVERAGE(B33:AF33)</f>
        <v>24.967857142857138</v>
      </c>
      <c r="W43" s="41"/>
      <c r="X43" s="41">
        <f>T43-V43</f>
        <v>1.2214285714285822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(a)'!$S10</f>
        <v>28.2</v>
      </c>
      <c r="C4" s="12">
        <f>'[3]Dia 2 (a)'!$S10</f>
        <v>27.2</v>
      </c>
      <c r="D4" s="12">
        <f>'[3]Dia 3 (a)'!$S10</f>
        <v>27</v>
      </c>
      <c r="E4" s="12">
        <f>'[3]Dia 4 (a)'!$S10</f>
        <v>27.3</v>
      </c>
      <c r="F4" s="12">
        <f>'[3]Dia 5 (a)'!$S10</f>
        <v>25.6</v>
      </c>
      <c r="G4" s="12">
        <f>'[3]Dia 6 (a)'!$S10</f>
        <v>26</v>
      </c>
      <c r="H4" s="12">
        <f>'[3]Dia 7 (a)'!$S10</f>
        <v>25.9</v>
      </c>
      <c r="I4" s="12">
        <f>'[3]Dia 8 (a)'!$S10</f>
        <v>25.6</v>
      </c>
      <c r="J4" s="12">
        <f>'[3]Dia 9 (a)'!$S10</f>
        <v>26.1</v>
      </c>
      <c r="K4" s="12">
        <f>'[3]Dia 10 (a)'!$S10</f>
        <v>26.1</v>
      </c>
      <c r="L4" s="12">
        <f>'[3]Dia 11 (a)'!$S10</f>
        <v>26.5</v>
      </c>
      <c r="M4" s="12">
        <f>'[3]Dia 12 (a)'!$S10</f>
        <v>25.7</v>
      </c>
      <c r="N4" s="12">
        <f>'[3]Dia 13 (a)'!$S10</f>
        <v>25.4</v>
      </c>
      <c r="O4" s="12">
        <f>'[3]Dia 14 (a)'!$S10</f>
        <v>25</v>
      </c>
      <c r="P4" s="12">
        <f>'[3]Dia 15 (a)'!$S10</f>
        <v>25.2</v>
      </c>
      <c r="Q4" s="12">
        <f>'[3]Dia 16 (a)'!$S10</f>
        <v>24.7</v>
      </c>
      <c r="R4" s="12">
        <f>'[3]Dia 17 (a)'!$S10</f>
        <v>24.6</v>
      </c>
      <c r="S4" s="12">
        <f>'[3]Dia 18 (a)'!$S10</f>
        <v>25.2</v>
      </c>
      <c r="T4" s="12">
        <f>'[3]Dia 19 (a)'!$S10</f>
        <v>25.8</v>
      </c>
      <c r="U4" s="12">
        <f>'[3]Dia 20 (a)'!$S10</f>
        <v>25</v>
      </c>
      <c r="V4" s="12">
        <f>'[3]Dia 21 (a)'!$S10</f>
        <v>23.4</v>
      </c>
      <c r="W4" s="12">
        <f>'[3]Dia 22 (a)'!$S10</f>
        <v>22.8</v>
      </c>
      <c r="X4" s="12">
        <f>'[3]Dia 23 (a)'!$S10</f>
        <v>23.4</v>
      </c>
      <c r="Y4" s="12">
        <f>'[3]Dia 24 (a)'!$S10</f>
        <v>24.5</v>
      </c>
      <c r="Z4" s="12">
        <f>'[3]Dia 25 (a)'!$S10</f>
        <v>25.7</v>
      </c>
      <c r="AA4" s="12">
        <f>'[3]Dia 26 (a)'!$S10</f>
        <v>26.1</v>
      </c>
      <c r="AB4" s="12">
        <f>'[3]Dia 27 (a)'!$S10</f>
        <v>26.3</v>
      </c>
      <c r="AC4" s="12">
        <f>'[3]Dia 28 (a)'!$S10</f>
        <v>25.1</v>
      </c>
      <c r="AD4" s="12">
        <f>'[3]Dia 29 (a)'!$S10</f>
        <v>25</v>
      </c>
      <c r="AE4" s="12">
        <f>'[3]Dia 30 (a)'!$S10</f>
        <v>25</v>
      </c>
      <c r="AF4" s="13">
        <f>'[3]Dia 31 (a)'!$S10</f>
        <v>26.6</v>
      </c>
      <c r="AG4" s="14"/>
    </row>
    <row r="5" spans="1:33" ht="20.100000000000001" customHeight="1">
      <c r="A5" s="11">
        <v>8</v>
      </c>
      <c r="B5" s="12">
        <f>'[3]Dia 1 (a)'!$S11</f>
        <v>28.2</v>
      </c>
      <c r="C5" s="12">
        <f>'[3]Dia 2 (a)'!$S11</f>
        <v>27.2</v>
      </c>
      <c r="D5" s="12">
        <f>'[3]Dia 3 (a)'!$S11</f>
        <v>27</v>
      </c>
      <c r="E5" s="12">
        <f>'[3]Dia 4 (a)'!$S11</f>
        <v>27.2</v>
      </c>
      <c r="F5" s="12">
        <f>'[3]Dia 5 (a)'!$S11</f>
        <v>26.4</v>
      </c>
      <c r="G5" s="12">
        <f>'[3]Dia 6 (a)'!$S11</f>
        <v>26</v>
      </c>
      <c r="H5" s="12">
        <f>'[3]Dia 7 (a)'!$S11</f>
        <v>25.9</v>
      </c>
      <c r="I5" s="12">
        <f>'[3]Dia 8 (a)'!$S11</f>
        <v>25.6</v>
      </c>
      <c r="J5" s="12">
        <f>'[3]Dia 9 (a)'!$S11</f>
        <v>26.1</v>
      </c>
      <c r="K5" s="12">
        <f>'[3]Dia 10 (a)'!$S11</f>
        <v>26</v>
      </c>
      <c r="L5" s="12">
        <f>'[3]Dia 11 (a)'!$S11</f>
        <v>26.5</v>
      </c>
      <c r="M5" s="12">
        <f>'[3]Dia 12 (a)'!$S11</f>
        <v>25.6</v>
      </c>
      <c r="N5" s="12">
        <f>'[3]Dia 13 (a)'!$S11</f>
        <v>25.4</v>
      </c>
      <c r="O5" s="12">
        <f>'[3]Dia 14 (a)'!$S11</f>
        <v>24.8</v>
      </c>
      <c r="P5" s="12">
        <f>'[3]Dia 15 (a)'!$S11</f>
        <v>24.2</v>
      </c>
      <c r="Q5" s="12">
        <f>'[3]Dia 16 (a)'!$S11</f>
        <v>24.7</v>
      </c>
      <c r="R5" s="12">
        <f>'[3]Dia 17 (a)'!$S11</f>
        <v>24.6</v>
      </c>
      <c r="S5" s="12">
        <f>'[3]Dia 18 (a)'!$S11</f>
        <v>25.1</v>
      </c>
      <c r="T5" s="12">
        <f>'[3]Dia 19 (a)'!$S11</f>
        <v>25.8</v>
      </c>
      <c r="U5" s="12">
        <f>'[3]Dia 20 (a)'!$S11</f>
        <v>25.2</v>
      </c>
      <c r="V5" s="12">
        <f>'[3]Dia 21 (a)'!$S11</f>
        <v>23.4</v>
      </c>
      <c r="W5" s="12">
        <f>'[3]Dia 22 (a)'!$S11</f>
        <v>22.8</v>
      </c>
      <c r="X5" s="12">
        <f>'[3]Dia 23 (a)'!$S11</f>
        <v>23.4</v>
      </c>
      <c r="Y5" s="12">
        <f>'[3]Dia 24 (a)'!$S11</f>
        <v>24.8</v>
      </c>
      <c r="Z5" s="12">
        <f>'[3]Dia 25 (a)'!$S11</f>
        <v>25.6</v>
      </c>
      <c r="AA5" s="12">
        <f>'[3]Dia 26 (a)'!$S11</f>
        <v>26.1</v>
      </c>
      <c r="AB5" s="12">
        <f>'[3]Dia 27 (a)'!$S11</f>
        <v>26.1</v>
      </c>
      <c r="AC5" s="12">
        <f>'[3]Dia 28 (a)'!$S11</f>
        <v>25.1</v>
      </c>
      <c r="AD5" s="12">
        <f>'[3]Dia 29 (a)'!$S11</f>
        <v>25</v>
      </c>
      <c r="AE5" s="12">
        <f>'[3]Dia 30 (a)'!$S11</f>
        <v>25</v>
      </c>
      <c r="AF5" s="13">
        <f>'[3]Dia 31 (a)'!$S11</f>
        <v>26.5</v>
      </c>
      <c r="AG5" s="14"/>
    </row>
    <row r="6" spans="1:33" ht="20.100000000000001" customHeight="1">
      <c r="A6" s="11">
        <v>9</v>
      </c>
      <c r="B6" s="12">
        <f>'[3]Dia 1 (a)'!$S12</f>
        <v>28.2</v>
      </c>
      <c r="C6" s="12">
        <f>'[3]Dia 2 (a)'!$S12</f>
        <v>26.8</v>
      </c>
      <c r="D6" s="12">
        <f>'[3]Dia 3 (a)'!$S12</f>
        <v>27</v>
      </c>
      <c r="E6" s="12">
        <f>'[3]Dia 4 (a)'!$S12</f>
        <v>27.1</v>
      </c>
      <c r="F6" s="12">
        <f>'[3]Dia 5 (a)'!$S12</f>
        <v>25.5</v>
      </c>
      <c r="G6" s="12">
        <f>'[3]Dia 6 (a)'!$S12</f>
        <v>25.9</v>
      </c>
      <c r="H6" s="12">
        <f>'[3]Dia 7 (a)'!$S12</f>
        <v>25.8</v>
      </c>
      <c r="I6" s="12">
        <f>'[3]Dia 8 (a)'!$S12</f>
        <v>25.6</v>
      </c>
      <c r="J6" s="12">
        <f>'[3]Dia 9 (a)'!$S12</f>
        <v>26</v>
      </c>
      <c r="K6" s="12">
        <f>'[3]Dia 10 (a)'!$S12</f>
        <v>26</v>
      </c>
      <c r="L6" s="12">
        <f>'[3]Dia 11 (a)'!$S12</f>
        <v>26.3</v>
      </c>
      <c r="M6" s="12">
        <f>'[3]Dia 12 (a)'!$S12</f>
        <v>25.4</v>
      </c>
      <c r="N6" s="12">
        <f>'[3]Dia 13 (a)'!$S12</f>
        <v>25.4</v>
      </c>
      <c r="O6" s="12">
        <f>'[3]Dia 14 (a)'!$S12</f>
        <v>24.8</v>
      </c>
      <c r="P6" s="12">
        <f>'[3]Dia 15 (a)'!$S12</f>
        <v>24.2</v>
      </c>
      <c r="Q6" s="12">
        <f>'[3]Dia 16 (a)'!$S12</f>
        <v>24.7</v>
      </c>
      <c r="R6" s="12">
        <f>'[3]Dia 17 (a)'!$S12</f>
        <v>24.6</v>
      </c>
      <c r="S6" s="12">
        <f>'[3]Dia 18 (a)'!$S12</f>
        <v>25.2</v>
      </c>
      <c r="T6" s="12">
        <f>'[3]Dia 19 (a)'!$S12</f>
        <v>25.8</v>
      </c>
      <c r="U6" s="12">
        <f>'[3]Dia 20 (a)'!$S12</f>
        <v>25.2</v>
      </c>
      <c r="V6" s="12">
        <f>'[3]Dia 21 (a)'!$S12</f>
        <v>23.4</v>
      </c>
      <c r="W6" s="12">
        <f>'[3]Dia 22 (a)'!$S12</f>
        <v>22.8</v>
      </c>
      <c r="X6" s="12">
        <f>'[3]Dia 23 (a)'!$S12</f>
        <v>23.4</v>
      </c>
      <c r="Y6" s="12">
        <f>'[3]Dia 24 (a)'!$S12</f>
        <v>24.6</v>
      </c>
      <c r="Z6" s="12">
        <f>'[3]Dia 25 (a)'!$S12</f>
        <v>25.7</v>
      </c>
      <c r="AA6" s="12">
        <f>'[3]Dia 26 (a)'!$S12</f>
        <v>26</v>
      </c>
      <c r="AB6" s="12">
        <f>'[3]Dia 27 (a)'!$S12</f>
        <v>26.2</v>
      </c>
      <c r="AC6" s="12">
        <f>'[3]Dia 28 (a)'!$S12</f>
        <v>25</v>
      </c>
      <c r="AD6" s="12">
        <f>'[3]Dia 29 (a)'!$S12</f>
        <v>24.8</v>
      </c>
      <c r="AE6" s="12">
        <f>'[3]Dia 30 (a)'!$S12</f>
        <v>25</v>
      </c>
      <c r="AF6" s="13">
        <f>'[3]Dia 31 (a)'!$S12</f>
        <v>26.4</v>
      </c>
      <c r="AG6" s="14"/>
    </row>
    <row r="7" spans="1:33" ht="20.100000000000001" customHeight="1">
      <c r="A7" s="11">
        <v>10</v>
      </c>
      <c r="B7" s="12">
        <f>'[3]Dia 1 (a)'!$S13</f>
        <v>28.4</v>
      </c>
      <c r="C7" s="12">
        <f>'[3]Dia 2 (a)'!$S13</f>
        <v>26.8</v>
      </c>
      <c r="D7" s="12">
        <f>'[3]Dia 3 (a)'!$S13</f>
        <v>26.8</v>
      </c>
      <c r="E7" s="12">
        <f>'[3]Dia 4 (a)'!$S13</f>
        <v>27</v>
      </c>
      <c r="F7" s="12">
        <f>'[3]Dia 5 (a)'!$S13</f>
        <v>25.5</v>
      </c>
      <c r="G7" s="12">
        <f>'[3]Dia 6 (a)'!$S13</f>
        <v>25.9</v>
      </c>
      <c r="H7" s="12">
        <f>'[3]Dia 7 (a)'!$S13</f>
        <v>25.8</v>
      </c>
      <c r="I7" s="12">
        <f>'[3]Dia 8 (a)'!$S13</f>
        <v>25.5</v>
      </c>
      <c r="J7" s="12">
        <f>'[3]Dia 9 (a)'!$S13</f>
        <v>25.9</v>
      </c>
      <c r="K7" s="12">
        <f>'[3]Dia 10 (a)'!$S13</f>
        <v>26</v>
      </c>
      <c r="L7" s="12">
        <f>'[3]Dia 11 (a)'!$S13</f>
        <v>26.3</v>
      </c>
      <c r="M7" s="12">
        <f>'[3]Dia 12 (a)'!$S13</f>
        <v>25.4</v>
      </c>
      <c r="N7" s="12">
        <f>'[3]Dia 13 (a)'!$S13</f>
        <v>25.3</v>
      </c>
      <c r="O7" s="12">
        <f>'[3]Dia 14 (a)'!$S13</f>
        <v>24.8</v>
      </c>
      <c r="P7" s="12">
        <f>'[3]Dia 15 (a)'!$S13</f>
        <v>24.2</v>
      </c>
      <c r="Q7" s="12">
        <f>'[3]Dia 16 (a)'!$S13</f>
        <v>24.7</v>
      </c>
      <c r="R7" s="12">
        <f>'[3]Dia 17 (a)'!$S13</f>
        <v>24.7</v>
      </c>
      <c r="S7" s="12">
        <f>'[3]Dia 18 (a)'!$S13</f>
        <v>25.2</v>
      </c>
      <c r="T7" s="12">
        <f>'[3]Dia 19 (a)'!$S13</f>
        <v>25.8</v>
      </c>
      <c r="U7" s="12">
        <f>'[3]Dia 20 (a)'!$S13</f>
        <v>25</v>
      </c>
      <c r="V7" s="12">
        <f>'[3]Dia 21 (a)'!$S13</f>
        <v>23.3</v>
      </c>
      <c r="W7" s="12">
        <f>'[3]Dia 22 (a)'!$S13</f>
        <v>22.8</v>
      </c>
      <c r="X7" s="12">
        <f>'[3]Dia 23 (a)'!$S13</f>
        <v>23.4</v>
      </c>
      <c r="Y7" s="12">
        <f>'[3]Dia 24 (a)'!$S13</f>
        <v>24.7</v>
      </c>
      <c r="Z7" s="12">
        <f>'[3]Dia 25 (a)'!$S13</f>
        <v>25.6</v>
      </c>
      <c r="AA7" s="12">
        <f>'[3]Dia 26 (a)'!$S13</f>
        <v>26</v>
      </c>
      <c r="AB7" s="12">
        <f>'[3]Dia 27 (a)'!$S13</f>
        <v>26</v>
      </c>
      <c r="AC7" s="12">
        <f>'[3]Dia 28 (a)'!$S13</f>
        <v>25</v>
      </c>
      <c r="AD7" s="12">
        <f>'[3]Dia 29 (a)'!$S13</f>
        <v>24.8</v>
      </c>
      <c r="AE7" s="12">
        <f>'[3]Dia 30 (a)'!$S13</f>
        <v>25</v>
      </c>
      <c r="AF7" s="13">
        <f>'[3]Dia 31 (a)'!$S13</f>
        <v>26.3</v>
      </c>
      <c r="AG7" s="14"/>
    </row>
    <row r="8" spans="1:33" ht="20.100000000000001" customHeight="1">
      <c r="A8" s="11">
        <v>11</v>
      </c>
      <c r="B8" s="12">
        <f>'[3]Dia 1 (a)'!$S14</f>
        <v>28.4</v>
      </c>
      <c r="C8" s="12">
        <f>'[3]Dia 2 (a)'!$S14</f>
        <v>26.8</v>
      </c>
      <c r="D8" s="12">
        <f>'[3]Dia 3 (a)'!$S14</f>
        <v>26.8</v>
      </c>
      <c r="E8" s="12">
        <f>'[3]Dia 4 (a)'!$S14</f>
        <v>27.1</v>
      </c>
      <c r="F8" s="12">
        <f>'[3]Dia 5 (a)'!$S14</f>
        <v>25.5</v>
      </c>
      <c r="G8" s="12">
        <f>'[3]Dia 6 (a)'!$S14</f>
        <v>25.8</v>
      </c>
      <c r="H8" s="12">
        <f>'[3]Dia 7 (a)'!$S14</f>
        <v>25.7</v>
      </c>
      <c r="I8" s="12">
        <f>'[3]Dia 8 (a)'!$S14</f>
        <v>25.5</v>
      </c>
      <c r="J8" s="12">
        <f>'[3]Dia 9 (a)'!$S14</f>
        <v>25.9</v>
      </c>
      <c r="K8" s="12">
        <f>'[3]Dia 10 (a)'!$S14</f>
        <v>25.9</v>
      </c>
      <c r="L8" s="12">
        <f>'[3]Dia 11 (a)'!$S14</f>
        <v>26.2</v>
      </c>
      <c r="M8" s="12">
        <f>'[3]Dia 12 (a)'!$S14</f>
        <v>25.4</v>
      </c>
      <c r="N8" s="12">
        <f>'[3]Dia 13 (a)'!$S14</f>
        <v>25.3</v>
      </c>
      <c r="O8" s="12">
        <f>'[3]Dia 14 (a)'!$S14</f>
        <v>24.6</v>
      </c>
      <c r="P8" s="12">
        <f>'[3]Dia 15 (a)'!$S14</f>
        <v>24.4</v>
      </c>
      <c r="Q8" s="12">
        <f>'[3]Dia 16 (a)'!$S14</f>
        <v>24.7</v>
      </c>
      <c r="R8" s="12">
        <f>'[3]Dia 17 (a)'!$S14</f>
        <v>24.6</v>
      </c>
      <c r="S8" s="12">
        <f>'[3]Dia 18 (a)'!$S14</f>
        <v>25.2</v>
      </c>
      <c r="T8" s="12">
        <f>'[3]Dia 19 (a)'!$S14</f>
        <v>25.7</v>
      </c>
      <c r="U8" s="12">
        <f>'[3]Dia 20 (a)'!$S14</f>
        <v>25</v>
      </c>
      <c r="V8" s="12">
        <f>'[3]Dia 21 (a)'!$S14</f>
        <v>23.3</v>
      </c>
      <c r="W8" s="12">
        <f>'[3]Dia 22 (a)'!$S14</f>
        <v>22.8</v>
      </c>
      <c r="X8" s="12">
        <f>'[3]Dia 23 (a)'!$S14</f>
        <v>23.4</v>
      </c>
      <c r="Y8" s="12">
        <f>'[3]Dia 24 (a)'!$S14</f>
        <v>24.7</v>
      </c>
      <c r="Z8" s="12">
        <f>'[3]Dia 25 (a)'!$S14</f>
        <v>25.6</v>
      </c>
      <c r="AA8" s="12">
        <f>'[3]Dia 26 (a)'!$S14</f>
        <v>26</v>
      </c>
      <c r="AB8" s="12">
        <f>'[3]Dia 27 (a)'!$S14</f>
        <v>25.9</v>
      </c>
      <c r="AC8" s="12">
        <f>'[3]Dia 28 (a)'!$S14</f>
        <v>24.9</v>
      </c>
      <c r="AD8" s="12">
        <f>'[3]Dia 29 (a)'!$S14</f>
        <v>24.8</v>
      </c>
      <c r="AE8" s="12">
        <f>'[3]Dia 30 (a)'!$S14</f>
        <v>25.4</v>
      </c>
      <c r="AF8" s="13">
        <f>'[3]Dia 31 (a)'!$S14</f>
        <v>26.2</v>
      </c>
      <c r="AG8" s="14"/>
    </row>
    <row r="9" spans="1:33" ht="20.100000000000001" customHeight="1">
      <c r="A9" s="11">
        <v>12</v>
      </c>
      <c r="B9" s="12">
        <f>'[3]Dia 1 (a)'!$S15</f>
        <v>27.8</v>
      </c>
      <c r="C9" s="12">
        <f>'[3]Dia 2 (a)'!$S15</f>
        <v>26.8</v>
      </c>
      <c r="D9" s="12">
        <f>'[3]Dia 3 (a)'!$S15</f>
        <v>26.8</v>
      </c>
      <c r="E9" s="12">
        <f>'[3]Dia 4 (a)'!$S15</f>
        <v>27</v>
      </c>
      <c r="F9" s="12">
        <f>'[3]Dia 5 (a)'!$S15</f>
        <v>25.5</v>
      </c>
      <c r="G9" s="12">
        <f>'[3]Dia 6 (a)'!$S15</f>
        <v>25.9</v>
      </c>
      <c r="H9" s="12">
        <f>'[3]Dia 7 (a)'!$S15</f>
        <v>25.8</v>
      </c>
      <c r="I9" s="12">
        <f>'[3]Dia 8 (a)'!$S15</f>
        <v>25.5</v>
      </c>
      <c r="J9" s="12">
        <f>'[3]Dia 9 (a)'!$S15</f>
        <v>25.9</v>
      </c>
      <c r="K9" s="12">
        <f>'[3]Dia 10 (a)'!$S15</f>
        <v>25.8</v>
      </c>
      <c r="L9" s="12">
        <f>'[3]Dia 11 (a)'!$S15</f>
        <v>26.1</v>
      </c>
      <c r="M9" s="12">
        <f>'[3]Dia 12 (a)'!$S15</f>
        <v>25.3</v>
      </c>
      <c r="N9" s="12">
        <f>'[3]Dia 13 (a)'!$S15</f>
        <v>25.3</v>
      </c>
      <c r="O9" s="12">
        <f>'[3]Dia 14 (a)'!$S15</f>
        <v>24.6</v>
      </c>
      <c r="P9" s="12">
        <f>'[3]Dia 15 (a)'!$S15</f>
        <v>24.4</v>
      </c>
      <c r="Q9" s="12">
        <f>'[3]Dia 16 (a)'!$S15</f>
        <v>24.7</v>
      </c>
      <c r="R9" s="12">
        <f>'[3]Dia 17 (a)'!$S15</f>
        <v>24.7</v>
      </c>
      <c r="S9" s="12">
        <f>'[3]Dia 18 (a)'!$S15</f>
        <v>25.2</v>
      </c>
      <c r="T9" s="12">
        <f>'[3]Dia 19 (a)'!$S15</f>
        <v>25.7</v>
      </c>
      <c r="U9" s="12">
        <f>'[3]Dia 20 (a)'!$S15</f>
        <v>25</v>
      </c>
      <c r="V9" s="12">
        <f>'[3]Dia 21 (a)'!$S15</f>
        <v>23.2</v>
      </c>
      <c r="W9" s="12">
        <f>'[3]Dia 22 (a)'!$S15</f>
        <v>22.7</v>
      </c>
      <c r="X9" s="12">
        <f>'[3]Dia 23 (a)'!$S15</f>
        <v>23.4</v>
      </c>
      <c r="Y9" s="12">
        <f>'[3]Dia 24 (a)'!$S15</f>
        <v>24.7</v>
      </c>
      <c r="Z9" s="12">
        <f>'[3]Dia 25 (a)'!$S15</f>
        <v>25.6</v>
      </c>
      <c r="AA9" s="12">
        <f>'[3]Dia 26 (a)'!$S15</f>
        <v>26</v>
      </c>
      <c r="AB9" s="12">
        <f>'[3]Dia 27 (a)'!$S15</f>
        <v>25.5</v>
      </c>
      <c r="AC9" s="12">
        <f>'[3]Dia 28 (a)'!$S15</f>
        <v>25</v>
      </c>
      <c r="AD9" s="12">
        <f>'[3]Dia 29 (a)'!$S15</f>
        <v>24.8</v>
      </c>
      <c r="AE9" s="12">
        <f>'[3]Dia 30 (a)'!$S15</f>
        <v>25.2</v>
      </c>
      <c r="AF9" s="13">
        <f>'[3]Dia 31 (a)'!$S15</f>
        <v>26.1</v>
      </c>
      <c r="AG9" s="14"/>
    </row>
    <row r="10" spans="1:33" ht="20.100000000000001" customHeight="1">
      <c r="A10" s="11">
        <v>13</v>
      </c>
      <c r="B10" s="12">
        <f>'[3]Dia 1 (a)'!$S16</f>
        <v>28</v>
      </c>
      <c r="C10" s="12">
        <f>'[3]Dia 2 (a)'!$S16</f>
        <v>26.8</v>
      </c>
      <c r="D10" s="12">
        <f>'[3]Dia 3 (a)'!$S16</f>
        <v>26.8</v>
      </c>
      <c r="E10" s="12">
        <f>'[3]Dia 4 (a)'!$S16</f>
        <v>26.9</v>
      </c>
      <c r="F10" s="12">
        <f>'[3]Dia 5 (a)'!$S16</f>
        <v>25.6</v>
      </c>
      <c r="G10" s="12">
        <f>'[3]Dia 6 (a)'!$S16</f>
        <v>26</v>
      </c>
      <c r="H10" s="12">
        <f>'[3]Dia 7 (a)'!$S16</f>
        <v>25.8</v>
      </c>
      <c r="I10" s="12">
        <f>'[3]Dia 8 (a)'!$S16</f>
        <v>25.6</v>
      </c>
      <c r="J10" s="12">
        <f>'[3]Dia 9 (a)'!$S16</f>
        <v>25.7</v>
      </c>
      <c r="K10" s="12">
        <f>'[3]Dia 10 (a)'!$S16</f>
        <v>26</v>
      </c>
      <c r="L10" s="12">
        <f>'[3]Dia 11 (a)'!$S16</f>
        <v>26.1</v>
      </c>
      <c r="M10" s="12">
        <f>'[3]Dia 12 (a)'!$S16</f>
        <v>25.5</v>
      </c>
      <c r="N10" s="12">
        <f>'[3]Dia 13 (a)'!$S16</f>
        <v>25.3</v>
      </c>
      <c r="O10" s="12">
        <f>'[3]Dia 14 (a)'!$S16</f>
        <v>24.6</v>
      </c>
      <c r="P10" s="12">
        <f>'[3]Dia 15 (a)'!$S16</f>
        <v>24.4</v>
      </c>
      <c r="Q10" s="12">
        <f>'[3]Dia 16 (a)'!$S16</f>
        <v>24.8</v>
      </c>
      <c r="R10" s="12">
        <f>'[3]Dia 17 (a)'!$S16</f>
        <v>24.8</v>
      </c>
      <c r="S10" s="12">
        <f>'[3]Dia 18 (a)'!$S16</f>
        <v>25.2</v>
      </c>
      <c r="T10" s="12">
        <f>'[3]Dia 19 (a)'!$S16</f>
        <v>25.7</v>
      </c>
      <c r="U10" s="12">
        <f>'[3]Dia 20 (a)'!$S16</f>
        <v>24.8</v>
      </c>
      <c r="V10" s="12">
        <f>'[3]Dia 21 (a)'!$S16</f>
        <v>23.2</v>
      </c>
      <c r="W10" s="12">
        <f>'[3]Dia 22 (a)'!$S16</f>
        <v>22.8</v>
      </c>
      <c r="X10" s="12">
        <f>'[3]Dia 23 (a)'!$S16</f>
        <v>23.5</v>
      </c>
      <c r="Y10" s="12">
        <f>'[3]Dia 24 (a)'!$S16</f>
        <v>24.7</v>
      </c>
      <c r="Z10" s="12">
        <f>'[3]Dia 25 (a)'!$S16</f>
        <v>25.6</v>
      </c>
      <c r="AA10" s="12">
        <f>'[3]Dia 26 (a)'!$S16</f>
        <v>25.9</v>
      </c>
      <c r="AB10" s="12">
        <f>'[3]Dia 27 (a)'!$S16</f>
        <v>25.9</v>
      </c>
      <c r="AC10" s="12">
        <f>'[3]Dia 28 (a)'!$S16</f>
        <v>25</v>
      </c>
      <c r="AD10" s="12">
        <f>'[3]Dia 29 (a)'!$S16</f>
        <v>25</v>
      </c>
      <c r="AE10" s="12">
        <f>'[3]Dia 30 (a)'!$S16</f>
        <v>25.2</v>
      </c>
      <c r="AF10" s="13">
        <f>'[3]Dia 31 (a)'!$S16</f>
        <v>26</v>
      </c>
      <c r="AG10" s="14"/>
    </row>
    <row r="11" spans="1:33" ht="20.100000000000001" customHeight="1">
      <c r="A11" s="11">
        <v>14</v>
      </c>
      <c r="B11" s="12">
        <f>'[3]Dia 1 (a)'!$S17</f>
        <v>28.2</v>
      </c>
      <c r="C11" s="12">
        <f>'[3]Dia 2 (a)'!$S17</f>
        <v>27</v>
      </c>
      <c r="D11" s="12">
        <f>'[3]Dia 3 (a)'!$S17</f>
        <v>27</v>
      </c>
      <c r="E11" s="12">
        <f>'[3]Dia 4 (a)'!$S17</f>
        <v>26.7</v>
      </c>
      <c r="F11" s="12">
        <f>'[3]Dia 5 (a)'!$S17</f>
        <v>25.8</v>
      </c>
      <c r="G11" s="12">
        <f>'[3]Dia 6 (a)'!$S17</f>
        <v>26.1</v>
      </c>
      <c r="H11" s="12">
        <f>'[3]Dia 7 (a)'!$S17</f>
        <v>26</v>
      </c>
      <c r="I11" s="12">
        <f>'[3]Dia 8 (a)'!$S17</f>
        <v>25.8</v>
      </c>
      <c r="J11" s="12">
        <f>'[3]Dia 9 (a)'!$S17</f>
        <v>26.1</v>
      </c>
      <c r="K11" s="12">
        <f>'[3]Dia 10 (a)'!$S17</f>
        <v>26.1</v>
      </c>
      <c r="L11" s="12">
        <f>'[3]Dia 11 (a)'!$S17</f>
        <v>26.1</v>
      </c>
      <c r="M11" s="12">
        <f>'[3]Dia 12 (a)'!$S17</f>
        <v>25.5</v>
      </c>
      <c r="N11" s="12">
        <f>'[3]Dia 13 (a)'!$S17</f>
        <v>25.4</v>
      </c>
      <c r="O11" s="12">
        <f>'[3]Dia 14 (a)'!$S17</f>
        <v>24.8</v>
      </c>
      <c r="P11" s="12">
        <f>'[3]Dia 15 (a)'!$S17</f>
        <v>24.4</v>
      </c>
      <c r="Q11" s="12">
        <f>'[3]Dia 16 (a)'!$S17</f>
        <v>24.8</v>
      </c>
      <c r="R11" s="12">
        <f>'[3]Dia 17 (a)'!$S17</f>
        <v>24.9</v>
      </c>
      <c r="S11" s="12">
        <f>'[3]Dia 18 (a)'!$S17</f>
        <v>25.5</v>
      </c>
      <c r="T11" s="12">
        <f>'[3]Dia 19 (a)'!$S17</f>
        <v>25.8</v>
      </c>
      <c r="U11" s="12">
        <f>'[3]Dia 20 (a)'!$S17</f>
        <v>24.8</v>
      </c>
      <c r="V11" s="12">
        <f>'[3]Dia 21 (a)'!$S17</f>
        <v>23.2</v>
      </c>
      <c r="W11" s="12">
        <f>'[3]Dia 22 (a)'!$S17</f>
        <v>22.9</v>
      </c>
      <c r="X11" s="12">
        <f>'[3]Dia 23 (a)'!$S17</f>
        <v>23.6</v>
      </c>
      <c r="Y11" s="12">
        <f>'[3]Dia 24 (a)'!$S17</f>
        <v>24.9</v>
      </c>
      <c r="Z11" s="12">
        <f>'[3]Dia 25 (a)'!$S17</f>
        <v>25.8</v>
      </c>
      <c r="AA11" s="12">
        <f>'[3]Dia 26 (a)'!$S17</f>
        <v>26.1</v>
      </c>
      <c r="AB11" s="12">
        <f>'[3]Dia 27 (a)'!$S17</f>
        <v>25.9</v>
      </c>
      <c r="AC11" s="12">
        <f>'[3]Dia 28 (a)'!$S17</f>
        <v>25.1</v>
      </c>
      <c r="AD11" s="12">
        <f>'[3]Dia 29 (a)'!$S17</f>
        <v>25</v>
      </c>
      <c r="AE11" s="12">
        <f>'[3]Dia 30 (a)'!$S17</f>
        <v>25.4</v>
      </c>
      <c r="AF11" s="13">
        <f>'[3]Dia 31 (a)'!$S17</f>
        <v>25.9</v>
      </c>
      <c r="AG11" s="14"/>
    </row>
    <row r="12" spans="1:33" ht="20.100000000000001" customHeight="1">
      <c r="A12" s="11">
        <v>15</v>
      </c>
      <c r="B12" s="12">
        <f>'[3]Dia 1 (a)'!$S18</f>
        <v>28.2</v>
      </c>
      <c r="C12" s="12">
        <f>'[3]Dia 2 (a)'!$S18</f>
        <v>27</v>
      </c>
      <c r="D12" s="12">
        <f>'[3]Dia 3 (a)'!$S18</f>
        <v>27</v>
      </c>
      <c r="E12" s="12">
        <f>'[3]Dia 4 (a)'!$S18</f>
        <v>26.9</v>
      </c>
      <c r="F12" s="12">
        <f>'[3]Dia 5 (a)'!$S18</f>
        <v>25.7</v>
      </c>
      <c r="G12" s="12">
        <f>'[3]Dia 6 (a)'!$S18</f>
        <v>26.1</v>
      </c>
      <c r="H12" s="12">
        <f>'[3]Dia 7 (a)'!$S18</f>
        <v>26</v>
      </c>
      <c r="I12" s="12">
        <f>'[3]Dia 8 (a)'!$S18</f>
        <v>25.8</v>
      </c>
      <c r="J12" s="12">
        <f>'[3]Dia 9 (a)'!$S18</f>
        <v>26.3</v>
      </c>
      <c r="K12" s="12">
        <f>'[3]Dia 10 (a)'!$S18</f>
        <v>26.4</v>
      </c>
      <c r="L12" s="12">
        <f>'[3]Dia 11 (a)'!$S18</f>
        <v>26.1</v>
      </c>
      <c r="M12" s="12">
        <f>'[3]Dia 12 (a)'!$S18</f>
        <v>25.5</v>
      </c>
      <c r="N12" s="12">
        <f>'[3]Dia 13 (a)'!$S18</f>
        <v>25.4</v>
      </c>
      <c r="O12" s="12">
        <f>'[3]Dia 14 (a)'!$S18</f>
        <v>24.8</v>
      </c>
      <c r="P12" s="12">
        <f>'[3]Dia 15 (a)'!$S18</f>
        <v>24.6</v>
      </c>
      <c r="Q12" s="12">
        <f>'[3]Dia 16 (a)'!$S18</f>
        <v>24.9</v>
      </c>
      <c r="R12" s="12">
        <f>'[3]Dia 17 (a)'!$S18</f>
        <v>25</v>
      </c>
      <c r="S12" s="12">
        <f>'[3]Dia 18 (a)'!$S18</f>
        <v>25.6</v>
      </c>
      <c r="T12" s="12">
        <f>'[3]Dia 19 (a)'!$S18</f>
        <v>25.9</v>
      </c>
      <c r="U12" s="12">
        <f>'[3]Dia 20 (a)'!$S18</f>
        <v>24.8</v>
      </c>
      <c r="V12" s="12">
        <f>'[3]Dia 21 (a)'!$S18</f>
        <v>23.2</v>
      </c>
      <c r="W12" s="12">
        <f>'[3]Dia 22 (a)'!$S18</f>
        <v>23</v>
      </c>
      <c r="X12" s="12">
        <f>'[3]Dia 23 (a)'!$S18</f>
        <v>23.9</v>
      </c>
      <c r="Y12" s="12">
        <f>'[3]Dia 24 (a)'!$S18</f>
        <v>25</v>
      </c>
      <c r="Z12" s="12">
        <f>'[3]Dia 25 (a)'!$S18</f>
        <v>25.9</v>
      </c>
      <c r="AA12" s="12">
        <f>'[3]Dia 26 (a)'!$S18</f>
        <v>26.1</v>
      </c>
      <c r="AB12" s="12">
        <f>'[3]Dia 27 (a)'!$S18</f>
        <v>25.7</v>
      </c>
      <c r="AC12" s="12">
        <f>'[3]Dia 28 (a)'!$S18</f>
        <v>25.1</v>
      </c>
      <c r="AD12" s="12">
        <f>'[3]Dia 29 (a)'!$S18</f>
        <v>25</v>
      </c>
      <c r="AE12" s="12">
        <f>'[3]Dia 30 (a)'!$S18</f>
        <v>25.4</v>
      </c>
      <c r="AF12" s="13">
        <f>'[3]Dia 31 (a)'!$S18</f>
        <v>25.8</v>
      </c>
      <c r="AG12" s="14"/>
    </row>
    <row r="13" spans="1:33" ht="20.100000000000001" customHeight="1">
      <c r="A13" s="11">
        <v>16</v>
      </c>
      <c r="B13" s="12">
        <f>'[3]Dia 1 (a)'!$S19</f>
        <v>28.8</v>
      </c>
      <c r="C13" s="12">
        <f>'[3]Dia 2 (a)'!$S19</f>
        <v>27.4</v>
      </c>
      <c r="D13" s="12">
        <f>'[3]Dia 3 (a)'!$S19</f>
        <v>27.6</v>
      </c>
      <c r="E13" s="12">
        <f>'[3]Dia 4 (a)'!$S19</f>
        <v>27</v>
      </c>
      <c r="F13" s="12">
        <f>'[3]Dia 5 (a)'!$S19</f>
        <v>25.8</v>
      </c>
      <c r="G13" s="12">
        <f>'[3]Dia 6 (a)'!$S19</f>
        <v>26.4</v>
      </c>
      <c r="H13" s="12">
        <f>'[3]Dia 7 (a)'!$S19</f>
        <v>27</v>
      </c>
      <c r="I13" s="12">
        <f>'[3]Dia 8 (a)'!$S19</f>
        <v>26.2</v>
      </c>
      <c r="J13" s="12">
        <f>'[3]Dia 9 (a)'!$S19</f>
        <v>26.3</v>
      </c>
      <c r="K13" s="12">
        <f>'[3]Dia 10 (a)'!$S19</f>
        <v>26</v>
      </c>
      <c r="L13" s="12">
        <f>'[3]Dia 11 (a)'!$S19</f>
        <v>26</v>
      </c>
      <c r="M13" s="12">
        <f>'[3]Dia 12 (a)'!$S19</f>
        <v>25.5</v>
      </c>
      <c r="N13" s="12">
        <f>'[3]Dia 13 (a)'!$S19</f>
        <v>25.4</v>
      </c>
      <c r="O13" s="12">
        <f>'[3]Dia 14 (a)'!$S19</f>
        <v>25.2</v>
      </c>
      <c r="P13" s="12">
        <f>'[3]Dia 15 (a)'!$S19</f>
        <v>24.8</v>
      </c>
      <c r="Q13" s="12">
        <f>'[3]Dia 16 (a)'!$S19</f>
        <v>25.1</v>
      </c>
      <c r="R13" s="12">
        <f>'[3]Dia 17 (a)'!$S19</f>
        <v>25.3</v>
      </c>
      <c r="S13" s="12">
        <f>'[3]Dia 18 (a)'!$S19</f>
        <v>25.4</v>
      </c>
      <c r="T13" s="12">
        <f>'[3]Dia 19 (a)'!$S19</f>
        <v>26</v>
      </c>
      <c r="U13" s="12">
        <f>'[3]Dia 20 (a)'!$S19</f>
        <v>24.8</v>
      </c>
      <c r="V13" s="12">
        <f>'[3]Dia 21 (a)'!$S19</f>
        <v>23.3</v>
      </c>
      <c r="W13" s="12">
        <f>'[3]Dia 22 (a)'!$S19</f>
        <v>23.2</v>
      </c>
      <c r="X13" s="12">
        <f>'[3]Dia 23 (a)'!$S19</f>
        <v>24</v>
      </c>
      <c r="Y13" s="12">
        <f>'[3]Dia 24 (a)'!$S19</f>
        <v>25.4</v>
      </c>
      <c r="Z13" s="12">
        <f>'[3]Dia 25 (a)'!$S19</f>
        <v>26.1</v>
      </c>
      <c r="AA13" s="12">
        <f>'[3]Dia 26 (a)'!$S19</f>
        <v>26</v>
      </c>
      <c r="AB13" s="12">
        <f>'[3]Dia 27 (a)'!$S19</f>
        <v>25.6</v>
      </c>
      <c r="AC13" s="12">
        <f>'[3]Dia 28 (a)'!$S19</f>
        <v>25.1</v>
      </c>
      <c r="AD13" s="12">
        <f>'[3]Dia 29 (a)'!$S19</f>
        <v>25.2</v>
      </c>
      <c r="AE13" s="12">
        <f>'[3]Dia 30 (a)'!$S19</f>
        <v>26.2</v>
      </c>
      <c r="AF13" s="13">
        <f>'[3]Dia 31 (a)'!$S19</f>
        <v>25.9</v>
      </c>
      <c r="AG13" s="14"/>
    </row>
    <row r="14" spans="1:33" ht="20.100000000000001" customHeight="1">
      <c r="A14" s="11">
        <v>17</v>
      </c>
      <c r="B14" s="12">
        <f>'[3]Dia 1 (a)'!$S20</f>
        <v>28.9</v>
      </c>
      <c r="C14" s="12">
        <f>'[3]Dia 2 (a)'!$S20</f>
        <v>27.5</v>
      </c>
      <c r="D14" s="12">
        <f>'[3]Dia 3 (a)'!$S20</f>
        <v>27.8</v>
      </c>
      <c r="E14" s="12">
        <f>'[3]Dia 4 (a)'!$S20</f>
        <v>27</v>
      </c>
      <c r="F14" s="12">
        <f>'[3]Dia 5 (a)'!$S20</f>
        <v>26</v>
      </c>
      <c r="G14" s="12">
        <f>'[3]Dia 6 (a)'!$S20</f>
        <v>26.5</v>
      </c>
      <c r="H14" s="12">
        <f>'[3]Dia 7 (a)'!$S20</f>
        <v>27</v>
      </c>
      <c r="I14" s="12">
        <f>'[3]Dia 8 (a)'!$S20</f>
        <v>26.3</v>
      </c>
      <c r="J14" s="12">
        <f>'[3]Dia 9 (a)'!$S20</f>
        <v>26.4</v>
      </c>
      <c r="K14" s="12">
        <f>'[3]Dia 10 (a)'!$S20</f>
        <v>26.4</v>
      </c>
      <c r="L14" s="12">
        <f>'[3]Dia 11 (a)'!$S20</f>
        <v>26</v>
      </c>
      <c r="M14" s="12">
        <f>'[3]Dia 12 (a)'!$S20</f>
        <v>25.5</v>
      </c>
      <c r="N14" s="12">
        <f>'[3]Dia 13 (a)'!$S20</f>
        <v>25.4</v>
      </c>
      <c r="O14" s="12">
        <f>'[3]Dia 14 (a)'!$S20</f>
        <v>25.2</v>
      </c>
      <c r="P14" s="12">
        <f>'[3]Dia 15 (a)'!$S20</f>
        <v>24.9</v>
      </c>
      <c r="Q14" s="12">
        <f>'[3]Dia 16 (a)'!$S20</f>
        <v>25.1</v>
      </c>
      <c r="R14" s="12">
        <f>'[3]Dia 17 (a)'!$S20</f>
        <v>25.3</v>
      </c>
      <c r="S14" s="12">
        <f>'[3]Dia 18 (a)'!$S20</f>
        <v>25.4</v>
      </c>
      <c r="T14" s="12">
        <f>'[3]Dia 19 (a)'!$S20</f>
        <v>26.2</v>
      </c>
      <c r="U14" s="12">
        <f>'[3]Dia 20 (a)'!$S20</f>
        <v>24.7</v>
      </c>
      <c r="V14" s="12">
        <f>'[3]Dia 21 (a)'!$S20</f>
        <v>23.4</v>
      </c>
      <c r="W14" s="12">
        <f>'[3]Dia 22 (a)'!$S20</f>
        <v>23.4</v>
      </c>
      <c r="X14" s="12">
        <f>'[3]Dia 23 (a)'!$S20</f>
        <v>24</v>
      </c>
      <c r="Y14" s="12">
        <f>'[3]Dia 24 (a)'!$S20</f>
        <v>25.5</v>
      </c>
      <c r="Z14" s="12">
        <f>'[3]Dia 25 (a)'!$S20</f>
        <v>26.4</v>
      </c>
      <c r="AA14" s="12">
        <f>'[3]Dia 26 (a)'!$S20</f>
        <v>26</v>
      </c>
      <c r="AB14" s="12">
        <f>'[3]Dia 27 (a)'!$S20</f>
        <v>25.6</v>
      </c>
      <c r="AC14" s="12">
        <f>'[3]Dia 28 (a)'!$S20</f>
        <v>25.2</v>
      </c>
      <c r="AD14" s="12">
        <f>'[3]Dia 29 (a)'!$S20</f>
        <v>25.4</v>
      </c>
      <c r="AE14" s="12">
        <f>'[3]Dia 30 (a)'!$S20</f>
        <v>26.4</v>
      </c>
      <c r="AF14" s="13">
        <f>'[3]Dia 31 (a)'!$S20</f>
        <v>25.7</v>
      </c>
      <c r="AG14" s="14"/>
    </row>
    <row r="15" spans="1:33" ht="20.100000000000001" customHeight="1">
      <c r="A15" s="11">
        <v>18</v>
      </c>
      <c r="B15" s="12">
        <f>'[3]Dia 1 (a)'!$S21</f>
        <v>29</v>
      </c>
      <c r="C15" s="12">
        <f>'[3]Dia 2 (a)'!$S21</f>
        <v>27.7</v>
      </c>
      <c r="D15" s="12">
        <f>'[3]Dia 3 (a)'!$S21</f>
        <v>28</v>
      </c>
      <c r="E15" s="12">
        <f>'[3]Dia 4 (a)'!$S21</f>
        <v>27</v>
      </c>
      <c r="F15" s="12">
        <f>'[3]Dia 5 (a)'!$S21</f>
        <v>26.2</v>
      </c>
      <c r="G15" s="12">
        <f>'[3]Dia 6 (a)'!$S21</f>
        <v>26.7</v>
      </c>
      <c r="H15" s="12">
        <f>'[3]Dia 7 (a)'!$S21</f>
        <v>27</v>
      </c>
      <c r="I15" s="12">
        <f>'[3]Dia 8 (a)'!$S21</f>
        <v>26.4</v>
      </c>
      <c r="J15" s="12">
        <f>'[3]Dia 9 (a)'!$S21</f>
        <v>26.7</v>
      </c>
      <c r="K15" s="12">
        <f>'[3]Dia 10 (a)'!$S21</f>
        <v>26.6</v>
      </c>
      <c r="L15" s="12">
        <f>'[3]Dia 11 (a)'!$S21</f>
        <v>26</v>
      </c>
      <c r="M15" s="12">
        <f>'[3]Dia 12 (a)'!$S21</f>
        <v>25.7</v>
      </c>
      <c r="N15" s="12">
        <f>'[3]Dia 13 (a)'!$S21</f>
        <v>25.6</v>
      </c>
      <c r="O15" s="12">
        <f>'[3]Dia 14 (a)'!$S21</f>
        <v>25.2</v>
      </c>
      <c r="P15" s="12">
        <f>'[3]Dia 15 (a)'!$S21</f>
        <v>25.13</v>
      </c>
      <c r="Q15" s="12">
        <f>'[3]Dia 16 (a)'!$S21</f>
        <v>25.3</v>
      </c>
      <c r="R15" s="12">
        <f>'[3]Dia 17 (a)'!$S21</f>
        <v>25.4</v>
      </c>
      <c r="S15" s="12">
        <f>'[3]Dia 18 (a)'!$S21</f>
        <v>24.8</v>
      </c>
      <c r="T15" s="12">
        <f>'[3]Dia 19 (a)'!$S21</f>
        <v>26.2</v>
      </c>
      <c r="U15" s="12">
        <f>'[3]Dia 20 (a)'!$S21</f>
        <v>24.7</v>
      </c>
      <c r="V15" s="12">
        <f>'[3]Dia 21 (a)'!$S21</f>
        <v>23.7</v>
      </c>
      <c r="W15" s="12">
        <f>'[3]Dia 22 (a)'!$S21</f>
        <v>23.6</v>
      </c>
      <c r="X15" s="12">
        <f>'[3]Dia 23 (a)'!$S21</f>
        <v>24.4</v>
      </c>
      <c r="Y15" s="12">
        <f>'[3]Dia 24 (a)'!$S21</f>
        <v>25.6</v>
      </c>
      <c r="Z15" s="12">
        <f>'[3]Dia 25 (a)'!$S21</f>
        <v>26.4</v>
      </c>
      <c r="AA15" s="12">
        <f>'[3]Dia 26 (a)'!$S21</f>
        <v>26</v>
      </c>
      <c r="AB15" s="12">
        <f>'[3]Dia 27 (a)'!$S21</f>
        <v>25.6</v>
      </c>
      <c r="AC15" s="12">
        <f>'[3]Dia 28 (a)'!$S21</f>
        <v>25.4</v>
      </c>
      <c r="AD15" s="12">
        <f>'[3]Dia 29 (a)'!$S21</f>
        <v>25.5</v>
      </c>
      <c r="AE15" s="12">
        <f>'[3]Dia 30 (a)'!$S21</f>
        <v>26.8</v>
      </c>
      <c r="AF15" s="13">
        <f>'[3]Dia 31 (a)'!$S21</f>
        <v>25.7</v>
      </c>
      <c r="AG15" s="14"/>
    </row>
    <row r="16" spans="1:33" ht="20.100000000000001" customHeight="1">
      <c r="A16" s="11">
        <v>19</v>
      </c>
      <c r="B16" s="12">
        <f>'[3]Dia 1 (a)'!$S22</f>
        <v>29.1</v>
      </c>
      <c r="C16" s="12">
        <f>'[3]Dia 2 (a)'!$S22</f>
        <v>27.8</v>
      </c>
      <c r="D16" s="12">
        <f>'[3]Dia 3 (a)'!$S22</f>
        <v>28.2</v>
      </c>
      <c r="E16" s="12">
        <f>'[3]Dia 4 (a)'!$S22</f>
        <v>26.9</v>
      </c>
      <c r="F16" s="12">
        <f>'[3]Dia 5 (a)'!$S22</f>
        <v>26.6</v>
      </c>
      <c r="G16" s="12">
        <f>'[3]Dia 6 (a)'!$S22</f>
        <v>27</v>
      </c>
      <c r="H16" s="12">
        <f>'[3]Dia 7 (a)'!$S22</f>
        <v>26.8</v>
      </c>
      <c r="I16" s="12">
        <f>'[3]Dia 8 (a)'!$S22</f>
        <v>26.6</v>
      </c>
      <c r="J16" s="12">
        <f>'[3]Dia 9 (a)'!$S22</f>
        <v>26.8</v>
      </c>
      <c r="K16" s="12">
        <f>'[3]Dia 10 (a)'!$S22</f>
        <v>26.8</v>
      </c>
      <c r="L16" s="12">
        <f>'[3]Dia 11 (a)'!$S22</f>
        <v>26</v>
      </c>
      <c r="M16" s="12">
        <f>'[3]Dia 12 (a)'!$S22</f>
        <v>25.8</v>
      </c>
      <c r="N16" s="12">
        <f>'[3]Dia 13 (a)'!$S22</f>
        <v>25.7</v>
      </c>
      <c r="O16" s="12">
        <f>'[3]Dia 14 (a)'!$S22</f>
        <v>25.2</v>
      </c>
      <c r="P16" s="12">
        <f>'[3]Dia 15 (a)'!$S22</f>
        <v>25.2</v>
      </c>
      <c r="Q16" s="12">
        <f>'[3]Dia 16 (a)'!$S22</f>
        <v>25.3</v>
      </c>
      <c r="R16" s="12">
        <f>'[3]Dia 17 (a)'!$S22</f>
        <v>25.5</v>
      </c>
      <c r="S16" s="12">
        <f>'[3]Dia 18 (a)'!$S22</f>
        <v>24.4</v>
      </c>
      <c r="T16" s="12">
        <f>'[3]Dia 19 (a)'!$S22</f>
        <v>26.3</v>
      </c>
      <c r="U16" s="12">
        <f>'[3]Dia 20 (a)'!$S22</f>
        <v>24.6</v>
      </c>
      <c r="V16" s="12">
        <f>'[3]Dia 21 (a)'!$S22</f>
        <v>23.5</v>
      </c>
      <c r="W16" s="12">
        <f>'[3]Dia 22 (a)'!$S22</f>
        <v>23.8</v>
      </c>
      <c r="X16" s="12">
        <f>'[3]Dia 23 (a)'!$S22</f>
        <v>24.6</v>
      </c>
      <c r="Y16" s="12">
        <f>'[3]Dia 24 (a)'!$S22</f>
        <v>25.9</v>
      </c>
      <c r="Z16" s="12">
        <f>'[3]Dia 25 (a)'!$S22</f>
        <v>26.6</v>
      </c>
      <c r="AA16" s="12">
        <f>'[3]Dia 26 (a)'!$S22</f>
        <v>26.4</v>
      </c>
      <c r="AB16" s="12">
        <f>'[3]Dia 27 (a)'!$S22</f>
        <v>25.8</v>
      </c>
      <c r="AC16" s="12">
        <f>'[3]Dia 28 (a)'!$S22</f>
        <v>25.5</v>
      </c>
      <c r="AD16" s="12">
        <f>'[3]Dia 29 (a)'!$S22</f>
        <v>25.7</v>
      </c>
      <c r="AE16" s="12">
        <f>'[3]Dia 30 (a)'!$S22</f>
        <v>27</v>
      </c>
      <c r="AF16" s="13">
        <f>'[3]Dia 31 (a)'!$S22</f>
        <v>25.5</v>
      </c>
      <c r="AG16" s="14"/>
    </row>
    <row r="17" spans="1:33" ht="20.100000000000001" customHeight="1">
      <c r="A17" s="11">
        <v>20</v>
      </c>
      <c r="B17" s="12">
        <f>'[3]Dia 1 (a)'!$S23</f>
        <v>29</v>
      </c>
      <c r="C17" s="12">
        <f>'[3]Dia 2 (a)'!$S23</f>
        <v>28</v>
      </c>
      <c r="D17" s="12">
        <f>'[3]Dia 3 (a)'!$S23</f>
        <v>28.4</v>
      </c>
      <c r="E17" s="12">
        <f>'[3]Dia 4 (a)'!$S23</f>
        <v>26.8</v>
      </c>
      <c r="F17" s="12">
        <f>'[3]Dia 5 (a)'!$S23</f>
        <v>26.4</v>
      </c>
      <c r="G17" s="12">
        <f>'[3]Dia 6 (a)'!$S23</f>
        <v>27.1</v>
      </c>
      <c r="H17" s="12">
        <f>'[3]Dia 7 (a)'!$S23</f>
        <v>26.4</v>
      </c>
      <c r="I17" s="12">
        <f>'[3]Dia 8 (a)'!$S23</f>
        <v>26.6</v>
      </c>
      <c r="J17" s="12">
        <f>'[3]Dia 9 (a)'!$S23</f>
        <v>26.9</v>
      </c>
      <c r="K17" s="12">
        <f>'[3]Dia 10 (a)'!$S23</f>
        <v>27</v>
      </c>
      <c r="L17" s="12">
        <f>'[3]Dia 11 (a)'!$S23</f>
        <v>26</v>
      </c>
      <c r="M17" s="12">
        <f>'[3]Dia 12 (a)'!$S23</f>
        <v>25.9</v>
      </c>
      <c r="N17" s="12">
        <f>'[3]Dia 13 (a)'!$S23</f>
        <v>25.8</v>
      </c>
      <c r="O17" s="12">
        <f>'[3]Dia 14 (a)'!$S23</f>
        <v>25.2</v>
      </c>
      <c r="P17" s="12">
        <f>'[3]Dia 15 (a)'!$S23</f>
        <v>25.2</v>
      </c>
      <c r="Q17" s="12">
        <f>'[3]Dia 16 (a)'!$S23</f>
        <v>25.3</v>
      </c>
      <c r="R17" s="12">
        <f>'[3]Dia 17 (a)'!$S23</f>
        <v>25.6</v>
      </c>
      <c r="S17" s="12">
        <f>'[3]Dia 18 (a)'!$S23</f>
        <v>24.2</v>
      </c>
      <c r="T17" s="12">
        <f>'[3]Dia 19 (a)'!$S23</f>
        <v>26.4</v>
      </c>
      <c r="U17" s="12">
        <f>'[3]Dia 20 (a)'!$S23</f>
        <v>24.5</v>
      </c>
      <c r="V17" s="12">
        <f>'[3]Dia 21 (a)'!$S23</f>
        <v>23.6</v>
      </c>
      <c r="W17" s="12">
        <f>'[3]Dia 22 (a)'!$S23</f>
        <v>23.9</v>
      </c>
      <c r="X17" s="12">
        <f>'[3]Dia 23 (a)'!$S23</f>
        <v>24.8</v>
      </c>
      <c r="Y17" s="12">
        <f>'[3]Dia 24 (a)'!$S23</f>
        <v>26.1</v>
      </c>
      <c r="Z17" s="12">
        <f>'[3]Dia 25 (a)'!$S23</f>
        <v>26.6</v>
      </c>
      <c r="AA17" s="12">
        <f>'[3]Dia 26 (a)'!$S23</f>
        <v>26.8</v>
      </c>
      <c r="AB17" s="12">
        <f>'[3]Dia 27 (a)'!$S23</f>
        <v>26</v>
      </c>
      <c r="AC17" s="12">
        <f>'[3]Dia 28 (a)'!$S23</f>
        <v>25.6</v>
      </c>
      <c r="AD17" s="12">
        <f>'[3]Dia 29 (a)'!$S23</f>
        <v>25.8</v>
      </c>
      <c r="AE17" s="12">
        <f>'[3]Dia 30 (a)'!$S23</f>
        <v>27.2</v>
      </c>
      <c r="AF17" s="13">
        <f>'[3]Dia 31 (a)'!$S23</f>
        <v>25.6</v>
      </c>
      <c r="AG17" s="14"/>
    </row>
    <row r="18" spans="1:33" ht="20.100000000000001" customHeight="1">
      <c r="A18" s="11">
        <v>21</v>
      </c>
      <c r="B18" s="12">
        <f>'[3]Dia 1 (a)'!$S24</f>
        <v>28.8</v>
      </c>
      <c r="C18" s="12">
        <f>'[3]Dia 2 (a)'!$S24</f>
        <v>28.1</v>
      </c>
      <c r="D18" s="12">
        <f>'[3]Dia 3 (a)'!$S24</f>
        <v>28.4</v>
      </c>
      <c r="E18" s="12">
        <f>'[3]Dia 4 (a)'!$S24</f>
        <v>26.7</v>
      </c>
      <c r="F18" s="12">
        <f>'[3]Dia 5 (a)'!$S24</f>
        <v>26</v>
      </c>
      <c r="G18" s="12">
        <f>'[3]Dia 6 (a)'!$S24</f>
        <v>27.1</v>
      </c>
      <c r="H18" s="12">
        <f>'[3]Dia 7 (a)'!$S24</f>
        <v>26.2</v>
      </c>
      <c r="I18" s="12">
        <f>'[3]Dia 8 (a)'!$S24</f>
        <v>26.6</v>
      </c>
      <c r="J18" s="12">
        <f>'[3]Dia 9 (a)'!$S24</f>
        <v>27</v>
      </c>
      <c r="K18" s="12">
        <f>'[3]Dia 10 (a)'!$S24</f>
        <v>27</v>
      </c>
      <c r="L18" s="12">
        <f>'[3]Dia 11 (a)'!$S24</f>
        <v>26</v>
      </c>
      <c r="M18" s="12">
        <f>'[3]Dia 12 (a)'!$S24</f>
        <v>26</v>
      </c>
      <c r="N18" s="12">
        <f>'[3]Dia 13 (a)'!$S24</f>
        <v>25.8</v>
      </c>
      <c r="O18" s="12">
        <f>'[3]Dia 14 (a)'!$S24</f>
        <v>25.2</v>
      </c>
      <c r="P18" s="12">
        <f>'[3]Dia 15 (a)'!$S24</f>
        <v>25.3</v>
      </c>
      <c r="Q18" s="12">
        <f>'[3]Dia 16 (a)'!$S24</f>
        <v>25.3</v>
      </c>
      <c r="R18" s="12">
        <f>'[3]Dia 17 (a)'!$S24</f>
        <v>25.7</v>
      </c>
      <c r="S18" s="12">
        <f>'[3]Dia 18 (a)'!$S24</f>
        <v>24.6</v>
      </c>
      <c r="T18" s="12">
        <f>'[3]Dia 19 (a)'!$S24</f>
        <v>26.3</v>
      </c>
      <c r="U18" s="12">
        <f>'[3]Dia 20 (a)'!$S24</f>
        <v>24.5</v>
      </c>
      <c r="V18" s="12">
        <f>'[3]Dia 21 (a)'!$S24</f>
        <v>23.6</v>
      </c>
      <c r="W18" s="12">
        <f>'[3]Dia 22 (a)'!$S24</f>
        <v>24</v>
      </c>
      <c r="X18" s="12">
        <f>'[3]Dia 23 (a)'!$S24</f>
        <v>25</v>
      </c>
      <c r="Y18" s="12">
        <f>'[3]Dia 24 (a)'!$S24</f>
        <v>26.2</v>
      </c>
      <c r="Z18" s="12">
        <f>'[3]Dia 25 (a)'!$S24</f>
        <v>26.6</v>
      </c>
      <c r="AA18" s="12">
        <f>'[3]Dia 26 (a)'!$S24</f>
        <v>26.6</v>
      </c>
      <c r="AB18" s="12">
        <f>'[3]Dia 27 (a)'!$S24</f>
        <v>26</v>
      </c>
      <c r="AC18" s="12">
        <f>'[3]Dia 28 (a)'!$S24</f>
        <v>25.7</v>
      </c>
      <c r="AD18" s="12">
        <f>'[3]Dia 29 (a)'!$S24</f>
        <v>25.9</v>
      </c>
      <c r="AE18" s="12">
        <f>'[3]Dia 30 (a)'!$S24</f>
        <v>27.3</v>
      </c>
      <c r="AF18" s="13">
        <f>'[3]Dia 31 (a)'!$S24</f>
        <v>25.4</v>
      </c>
      <c r="AG18" s="14"/>
    </row>
    <row r="19" spans="1:33" ht="20.100000000000001" customHeight="1">
      <c r="A19" s="11">
        <v>22</v>
      </c>
      <c r="B19" s="12">
        <f>'[3]Dia 1 (a)'!$S25</f>
        <v>29</v>
      </c>
      <c r="C19" s="12">
        <f>'[3]Dia 2 (a)'!$S25</f>
        <v>28.1</v>
      </c>
      <c r="D19" s="12">
        <f>'[3]Dia 3 (a)'!$S25</f>
        <v>28.4</v>
      </c>
      <c r="E19" s="12">
        <f>'[3]Dia 4 (a)'!$S25</f>
        <v>26.6</v>
      </c>
      <c r="F19" s="12">
        <f>'[3]Dia 5 (a)'!$S25</f>
        <v>26</v>
      </c>
      <c r="G19" s="12">
        <f>'[3]Dia 6 (a)'!$S25</f>
        <v>27.1</v>
      </c>
      <c r="H19" s="12">
        <f>'[3]Dia 7 (a)'!$S25</f>
        <v>26.2</v>
      </c>
      <c r="I19" s="12">
        <f>'[3]Dia 8 (a)'!$S25</f>
        <v>26.6</v>
      </c>
      <c r="J19" s="12">
        <f>'[3]Dia 9 (a)'!$S25</f>
        <v>27</v>
      </c>
      <c r="K19" s="12">
        <f>'[3]Dia 10 (a)'!$S25</f>
        <v>27</v>
      </c>
      <c r="L19" s="12">
        <f>'[3]Dia 11 (a)'!$S25</f>
        <v>26</v>
      </c>
      <c r="M19" s="12">
        <f>'[3]Dia 12 (a)'!$S25</f>
        <v>26</v>
      </c>
      <c r="N19" s="12">
        <f>'[3]Dia 13 (a)'!$S25</f>
        <v>25.8</v>
      </c>
      <c r="O19" s="12">
        <f>'[3]Dia 14 (a)'!$S25</f>
        <v>25.2</v>
      </c>
      <c r="P19" s="12">
        <f>'[3]Dia 15 (a)'!$S25</f>
        <v>25.3</v>
      </c>
      <c r="Q19" s="12">
        <f>'[3]Dia 16 (a)'!$S25</f>
        <v>25.3</v>
      </c>
      <c r="R19" s="12">
        <f>'[3]Dia 17 (a)'!$S25</f>
        <v>25.5</v>
      </c>
      <c r="S19" s="12">
        <f>'[3]Dia 18 (a)'!$S25</f>
        <v>26</v>
      </c>
      <c r="T19" s="12">
        <f>'[3]Dia 19 (a)'!$S25</f>
        <v>26.3</v>
      </c>
      <c r="U19" s="12">
        <f>'[3]Dia 20 (a)'!$S25</f>
        <v>24.3</v>
      </c>
      <c r="V19" s="12">
        <f>'[3]Dia 21 (a)'!$S25</f>
        <v>23.6</v>
      </c>
      <c r="W19" s="12">
        <f>'[3]Dia 22 (a)'!$S25</f>
        <v>24</v>
      </c>
      <c r="X19" s="12">
        <f>'[3]Dia 23 (a)'!$S25</f>
        <v>25</v>
      </c>
      <c r="Y19" s="12">
        <f>'[3]Dia 24 (a)'!$S25</f>
        <v>26.2</v>
      </c>
      <c r="Z19" s="12">
        <f>'[3]Dia 25 (a)'!$S25</f>
        <v>26.6</v>
      </c>
      <c r="AA19" s="12">
        <f>'[3]Dia 26 (a)'!$S25</f>
        <v>26.6</v>
      </c>
      <c r="AB19" s="12">
        <f>'[3]Dia 27 (a)'!$S25</f>
        <v>25.8</v>
      </c>
      <c r="AC19" s="12">
        <f>'[3]Dia 28 (a)'!$S25</f>
        <v>25.7</v>
      </c>
      <c r="AD19" s="12">
        <f>'[3]Dia 29 (a)'!$S25</f>
        <v>25.9</v>
      </c>
      <c r="AE19" s="12">
        <f>'[3]Dia 30 (a)'!$S25</f>
        <v>27.4</v>
      </c>
      <c r="AF19" s="13">
        <f>'[3]Dia 31 (a)'!$S25</f>
        <v>25.5</v>
      </c>
      <c r="AG19" s="14"/>
    </row>
    <row r="20" spans="1:33" ht="20.100000000000001" customHeight="1">
      <c r="A20" s="11">
        <v>23</v>
      </c>
      <c r="B20" s="12">
        <f>'[3]Dia 1 (a)'!$S26</f>
        <v>28.7</v>
      </c>
      <c r="C20" s="12">
        <f>'[3]Dia 2 (a)'!$S26</f>
        <v>28.1</v>
      </c>
      <c r="D20" s="12">
        <f>'[3]Dia 3 (a)'!$S26</f>
        <v>28.3</v>
      </c>
      <c r="E20" s="12">
        <f>'[3]Dia 4 (a)'!$S26</f>
        <v>26.5</v>
      </c>
      <c r="F20" s="12">
        <f>'[3]Dia 5 (a)'!$S26</f>
        <v>26</v>
      </c>
      <c r="G20" s="12">
        <f>'[3]Dia 6 (a)'!$S26</f>
        <v>27</v>
      </c>
      <c r="H20" s="12">
        <f>'[3]Dia 7 (a)'!$S26</f>
        <v>26</v>
      </c>
      <c r="I20" s="12">
        <f>'[3]Dia 8 (a)'!$S26</f>
        <v>26.7</v>
      </c>
      <c r="J20" s="12">
        <f>'[3]Dia 9 (a)'!$S26</f>
        <v>27</v>
      </c>
      <c r="K20" s="12">
        <f>'[3]Dia 10 (a)'!$S26</f>
        <v>27</v>
      </c>
      <c r="L20" s="12">
        <f>'[3]Dia 11 (a)'!$S26</f>
        <v>26</v>
      </c>
      <c r="M20" s="12">
        <f>'[3]Dia 12 (a)'!$S26</f>
        <v>25.9</v>
      </c>
      <c r="N20" s="12">
        <f>'[3]Dia 13 (a)'!$S26</f>
        <v>25.6</v>
      </c>
      <c r="O20" s="12">
        <f>'[3]Dia 14 (a)'!$S26</f>
        <v>25.2</v>
      </c>
      <c r="P20" s="12">
        <f>'[3]Dia 15 (a)'!$S26</f>
        <v>25.3</v>
      </c>
      <c r="Q20" s="12">
        <f>'[3]Dia 16 (a)'!$S26</f>
        <v>25.2</v>
      </c>
      <c r="R20" s="12">
        <f>'[3]Dia 17 (a)'!$S26</f>
        <v>25.7</v>
      </c>
      <c r="S20" s="12">
        <f>'[3]Dia 18 (a)'!$S26</f>
        <v>26</v>
      </c>
      <c r="T20" s="12">
        <f>'[3]Dia 19 (a)'!$S26</f>
        <v>26.3</v>
      </c>
      <c r="U20" s="12">
        <f>'[3]Dia 20 (a)'!$S26</f>
        <v>24.1</v>
      </c>
      <c r="V20" s="12">
        <f>'[3]Dia 21 (a)'!$S26</f>
        <v>23.5</v>
      </c>
      <c r="W20" s="12">
        <f>'[3]Dia 22 (a)'!$S26</f>
        <v>24.1</v>
      </c>
      <c r="X20" s="12">
        <f>'[3]Dia 23 (a)'!$S26</f>
        <v>25</v>
      </c>
      <c r="Y20" s="12">
        <f>'[3]Dia 24 (a)'!$S26</f>
        <v>26.3</v>
      </c>
      <c r="Z20" s="12">
        <f>'[3]Dia 25 (a)'!$S26</f>
        <v>26.6</v>
      </c>
      <c r="AA20" s="12">
        <f>'[3]Dia 26 (a)'!$S26</f>
        <v>26.6</v>
      </c>
      <c r="AB20" s="12">
        <f>'[3]Dia 27 (a)'!$S26</f>
        <v>25.6</v>
      </c>
      <c r="AC20" s="12">
        <f>'[3]Dia 28 (a)'!$S26</f>
        <v>25.7</v>
      </c>
      <c r="AD20" s="12">
        <f>'[3]Dia 29 (a)'!$S26</f>
        <v>25.9</v>
      </c>
      <c r="AE20" s="12">
        <f>'[3]Dia 30 (a)'!$S26</f>
        <v>27.3</v>
      </c>
      <c r="AF20" s="13">
        <f>'[3]Dia 31 (a)'!$S26</f>
        <v>25.6</v>
      </c>
      <c r="AG20" s="14"/>
    </row>
    <row r="21" spans="1:33" ht="20.100000000000001" customHeight="1" thickBot="1">
      <c r="A21" s="16">
        <v>24</v>
      </c>
      <c r="B21" s="17">
        <f>'[3]Dia 1 (a)'!$S27</f>
        <v>27.5</v>
      </c>
      <c r="C21" s="17">
        <f>'[3]Dia 2 (a)'!$S27</f>
        <v>28</v>
      </c>
      <c r="D21" s="17">
        <f>'[3]Dia 3 (a)'!$S27</f>
        <v>28.2</v>
      </c>
      <c r="E21" s="17">
        <f>'[3]Dia 4 (a)'!$S27</f>
        <v>26.4</v>
      </c>
      <c r="F21" s="17">
        <f>'[3]Dia 5 (a)'!$S27</f>
        <v>26</v>
      </c>
      <c r="G21" s="17">
        <f>'[3]Dia 6 (a)'!$S27</f>
        <v>26.8</v>
      </c>
      <c r="H21" s="17">
        <f>'[3]Dia 7 (a)'!$S27</f>
        <v>26.2</v>
      </c>
      <c r="I21" s="17">
        <f>'[3]Dia 8 (a)'!$S27</f>
        <v>26.7</v>
      </c>
      <c r="J21" s="17">
        <f>'[3]Dia 9 (a)'!$S27</f>
        <v>26.8</v>
      </c>
      <c r="K21" s="17">
        <f>'[3]Dia 10 (a)'!$S27</f>
        <v>27</v>
      </c>
      <c r="L21" s="17">
        <f>'[3]Dia 11 (a)'!$S27</f>
        <v>26</v>
      </c>
      <c r="M21" s="17">
        <f>'[3]Dia 12 (a)'!$S27</f>
        <v>25.9</v>
      </c>
      <c r="N21" s="17">
        <f>'[3]Dia 13 (a)'!$S27</f>
        <v>25.6</v>
      </c>
      <c r="O21" s="17">
        <f>'[3]Dia 14 (a)'!$S27</f>
        <v>25.2</v>
      </c>
      <c r="P21" s="17">
        <f>'[3]Dia 15 (a)'!$S27</f>
        <v>25.3</v>
      </c>
      <c r="Q21" s="17">
        <f>'[3]Dia 16 (a)'!$S27</f>
        <v>25.1</v>
      </c>
      <c r="R21" s="17">
        <f>'[3]Dia 17 (a)'!$S27</f>
        <v>25.6</v>
      </c>
      <c r="S21" s="17">
        <f>'[3]Dia 18 (a)'!$S27</f>
        <v>26</v>
      </c>
      <c r="T21" s="17">
        <f>'[3]Dia 19 (a)'!$S27</f>
        <v>26.2</v>
      </c>
      <c r="U21" s="17">
        <f>'[3]Dia 20 (a)'!$S27</f>
        <v>24.1</v>
      </c>
      <c r="V21" s="17">
        <f>'[3]Dia 21 (a)'!$S27</f>
        <v>23.4</v>
      </c>
      <c r="W21" s="17">
        <f>'[3]Dia 22 (a)'!$S27</f>
        <v>24</v>
      </c>
      <c r="X21" s="17">
        <f>'[3]Dia 23 (a)'!$S27</f>
        <v>25</v>
      </c>
      <c r="Y21" s="17">
        <f>'[3]Dia 24 (a)'!$S27</f>
        <v>26.4</v>
      </c>
      <c r="Z21" s="17">
        <f>'[3]Dia 25 (a)'!$S27</f>
        <v>26.6</v>
      </c>
      <c r="AA21" s="17">
        <f>'[3]Dia 26 (a)'!$S27</f>
        <v>26.6</v>
      </c>
      <c r="AB21" s="17">
        <f>'[3]Dia 27 (a)'!$S27</f>
        <v>25.4</v>
      </c>
      <c r="AC21" s="17">
        <f>'[3]Dia 28 (a)'!$S27</f>
        <v>25.7</v>
      </c>
      <c r="AD21" s="17">
        <f>'[3]Dia 29 (a)'!$S27</f>
        <v>25.9</v>
      </c>
      <c r="AE21" s="17">
        <f>'[3]Dia 30 (a)'!$S27</f>
        <v>27.3</v>
      </c>
      <c r="AF21" s="18">
        <f>'[3]Dia 31 (a)'!$S27</f>
        <v>25.7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28.466666666666665</v>
      </c>
      <c r="C25" s="28">
        <f t="shared" ref="C25:AF25" si="0">AVERAGE(C4:C21)</f>
        <v>27.394444444444449</v>
      </c>
      <c r="D25" s="28">
        <f t="shared" si="0"/>
        <v>27.527777777777775</v>
      </c>
      <c r="E25" s="28">
        <f t="shared" si="0"/>
        <v>26.894444444444442</v>
      </c>
      <c r="F25" s="28">
        <f t="shared" si="0"/>
        <v>25.894444444444442</v>
      </c>
      <c r="G25" s="28">
        <f t="shared" si="0"/>
        <v>26.411111111111115</v>
      </c>
      <c r="H25" s="28">
        <f t="shared" si="0"/>
        <v>26.194444444444443</v>
      </c>
      <c r="I25" s="28">
        <f t="shared" si="0"/>
        <v>26.066666666666674</v>
      </c>
      <c r="J25" s="28">
        <f t="shared" si="0"/>
        <v>26.383333333333333</v>
      </c>
      <c r="K25" s="28">
        <f t="shared" si="0"/>
        <v>26.394444444444446</v>
      </c>
      <c r="L25" s="28">
        <f t="shared" si="0"/>
        <v>26.12222222222222</v>
      </c>
      <c r="M25" s="28">
        <f t="shared" si="0"/>
        <v>25.638888888888886</v>
      </c>
      <c r="N25" s="28">
        <f t="shared" si="0"/>
        <v>25.494444444444451</v>
      </c>
      <c r="O25" s="28">
        <f t="shared" si="0"/>
        <v>24.977777777777774</v>
      </c>
      <c r="P25" s="28">
        <f t="shared" si="0"/>
        <v>24.801666666666666</v>
      </c>
      <c r="Q25" s="28">
        <f t="shared" si="0"/>
        <v>24.983333333333338</v>
      </c>
      <c r="R25" s="28">
        <f t="shared" si="0"/>
        <v>25.116666666666667</v>
      </c>
      <c r="S25" s="28">
        <f t="shared" si="0"/>
        <v>25.233333333333334</v>
      </c>
      <c r="T25" s="28">
        <f t="shared" si="0"/>
        <v>26.011111111111109</v>
      </c>
      <c r="U25" s="28">
        <f t="shared" si="0"/>
        <v>24.727777777777785</v>
      </c>
      <c r="V25" s="28">
        <f t="shared" si="0"/>
        <v>23.4</v>
      </c>
      <c r="W25" s="28">
        <f t="shared" si="0"/>
        <v>23.3</v>
      </c>
      <c r="X25" s="28">
        <f t="shared" si="0"/>
        <v>24.066666666666666</v>
      </c>
      <c r="Y25" s="28">
        <f t="shared" si="0"/>
        <v>25.344444444444445</v>
      </c>
      <c r="Z25" s="28">
        <f t="shared" si="0"/>
        <v>26.088888888888892</v>
      </c>
      <c r="AA25" s="28">
        <f t="shared" si="0"/>
        <v>26.216666666666669</v>
      </c>
      <c r="AB25" s="28">
        <f t="shared" si="0"/>
        <v>25.827777777777783</v>
      </c>
      <c r="AC25" s="28">
        <f t="shared" si="0"/>
        <v>25.272222222222219</v>
      </c>
      <c r="AD25" s="28">
        <f t="shared" si="0"/>
        <v>25.299999999999994</v>
      </c>
      <c r="AE25" s="28">
        <f t="shared" si="0"/>
        <v>26.083333333333332</v>
      </c>
      <c r="AF25" s="28">
        <f t="shared" si="0"/>
        <v>25.911111111111111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29.1</v>
      </c>
      <c r="C29" s="28">
        <f t="shared" ref="C29:AF29" si="1">MAX(C4:C21)</f>
        <v>28.1</v>
      </c>
      <c r="D29" s="28">
        <f t="shared" si="1"/>
        <v>28.4</v>
      </c>
      <c r="E29" s="28">
        <f t="shared" si="1"/>
        <v>27.3</v>
      </c>
      <c r="F29" s="28">
        <f t="shared" si="1"/>
        <v>26.6</v>
      </c>
      <c r="G29" s="28">
        <f t="shared" si="1"/>
        <v>27.1</v>
      </c>
      <c r="H29" s="28">
        <f t="shared" si="1"/>
        <v>27</v>
      </c>
      <c r="I29" s="28">
        <f t="shared" si="1"/>
        <v>26.7</v>
      </c>
      <c r="J29" s="28">
        <f t="shared" si="1"/>
        <v>27</v>
      </c>
      <c r="K29" s="28">
        <f t="shared" si="1"/>
        <v>27</v>
      </c>
      <c r="L29" s="28">
        <f t="shared" si="1"/>
        <v>26.5</v>
      </c>
      <c r="M29" s="28">
        <f t="shared" si="1"/>
        <v>26</v>
      </c>
      <c r="N29" s="28">
        <f t="shared" si="1"/>
        <v>25.8</v>
      </c>
      <c r="O29" s="28">
        <f t="shared" si="1"/>
        <v>25.2</v>
      </c>
      <c r="P29" s="28">
        <f t="shared" si="1"/>
        <v>25.3</v>
      </c>
      <c r="Q29" s="28">
        <f t="shared" si="1"/>
        <v>25.3</v>
      </c>
      <c r="R29" s="28">
        <f t="shared" si="1"/>
        <v>25.7</v>
      </c>
      <c r="S29" s="28">
        <f t="shared" si="1"/>
        <v>26</v>
      </c>
      <c r="T29" s="28">
        <f t="shared" si="1"/>
        <v>26.4</v>
      </c>
      <c r="U29" s="28">
        <f t="shared" si="1"/>
        <v>25.2</v>
      </c>
      <c r="V29" s="28">
        <f t="shared" si="1"/>
        <v>23.7</v>
      </c>
      <c r="W29" s="28">
        <f t="shared" si="1"/>
        <v>24.1</v>
      </c>
      <c r="X29" s="28">
        <f t="shared" si="1"/>
        <v>25</v>
      </c>
      <c r="Y29" s="28">
        <f t="shared" si="1"/>
        <v>26.4</v>
      </c>
      <c r="Z29" s="28">
        <f t="shared" si="1"/>
        <v>26.6</v>
      </c>
      <c r="AA29" s="28">
        <f t="shared" si="1"/>
        <v>26.8</v>
      </c>
      <c r="AB29" s="28">
        <f t="shared" si="1"/>
        <v>26.3</v>
      </c>
      <c r="AC29" s="28">
        <f t="shared" si="1"/>
        <v>25.7</v>
      </c>
      <c r="AD29" s="28">
        <f t="shared" si="1"/>
        <v>25.9</v>
      </c>
      <c r="AE29" s="28">
        <f t="shared" si="1"/>
        <v>27.4</v>
      </c>
      <c r="AF29" s="28">
        <f t="shared" si="1"/>
        <v>26.6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27.5</v>
      </c>
      <c r="C33" s="28">
        <f t="shared" ref="C33:AF33" si="2">MIN(C4:C21)</f>
        <v>26.8</v>
      </c>
      <c r="D33" s="28">
        <f t="shared" si="2"/>
        <v>26.8</v>
      </c>
      <c r="E33" s="28">
        <f t="shared" si="2"/>
        <v>26.4</v>
      </c>
      <c r="F33" s="28">
        <f t="shared" si="2"/>
        <v>25.5</v>
      </c>
      <c r="G33" s="28">
        <f t="shared" si="2"/>
        <v>25.8</v>
      </c>
      <c r="H33" s="28">
        <f t="shared" si="2"/>
        <v>25.7</v>
      </c>
      <c r="I33" s="28">
        <f t="shared" si="2"/>
        <v>25.5</v>
      </c>
      <c r="J33" s="28">
        <f t="shared" si="2"/>
        <v>25.7</v>
      </c>
      <c r="K33" s="28">
        <f t="shared" si="2"/>
        <v>25.8</v>
      </c>
      <c r="L33" s="28">
        <f t="shared" si="2"/>
        <v>26</v>
      </c>
      <c r="M33" s="28">
        <f t="shared" si="2"/>
        <v>25.3</v>
      </c>
      <c r="N33" s="28">
        <f t="shared" si="2"/>
        <v>25.3</v>
      </c>
      <c r="O33" s="28">
        <f t="shared" si="2"/>
        <v>24.6</v>
      </c>
      <c r="P33" s="28">
        <f t="shared" si="2"/>
        <v>24.2</v>
      </c>
      <c r="Q33" s="28">
        <f t="shared" si="2"/>
        <v>24.7</v>
      </c>
      <c r="R33" s="28">
        <f t="shared" si="2"/>
        <v>24.6</v>
      </c>
      <c r="S33" s="28">
        <f t="shared" si="2"/>
        <v>24.2</v>
      </c>
      <c r="T33" s="28">
        <f t="shared" si="2"/>
        <v>25.7</v>
      </c>
      <c r="U33" s="28">
        <f t="shared" si="2"/>
        <v>24.1</v>
      </c>
      <c r="V33" s="28">
        <f t="shared" si="2"/>
        <v>23.2</v>
      </c>
      <c r="W33" s="28">
        <f t="shared" si="2"/>
        <v>22.7</v>
      </c>
      <c r="X33" s="28">
        <f t="shared" si="2"/>
        <v>23.4</v>
      </c>
      <c r="Y33" s="28">
        <f t="shared" si="2"/>
        <v>24.5</v>
      </c>
      <c r="Z33" s="28">
        <f t="shared" si="2"/>
        <v>25.6</v>
      </c>
      <c r="AA33" s="28">
        <f t="shared" si="2"/>
        <v>25.9</v>
      </c>
      <c r="AB33" s="28">
        <f t="shared" si="2"/>
        <v>25.4</v>
      </c>
      <c r="AC33" s="28">
        <f t="shared" si="2"/>
        <v>24.9</v>
      </c>
      <c r="AD33" s="28">
        <f t="shared" si="2"/>
        <v>24.8</v>
      </c>
      <c r="AE33" s="28">
        <f t="shared" si="2"/>
        <v>25</v>
      </c>
      <c r="AF33" s="28">
        <f t="shared" si="2"/>
        <v>25.4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1.6000000000000014</v>
      </c>
      <c r="C37" s="28">
        <f t="shared" ref="C37:AF37" si="3">C29-C33</f>
        <v>1.3000000000000007</v>
      </c>
      <c r="D37" s="28">
        <f t="shared" si="3"/>
        <v>1.5999999999999979</v>
      </c>
      <c r="E37" s="28">
        <f t="shared" si="3"/>
        <v>0.90000000000000213</v>
      </c>
      <c r="F37" s="28">
        <f t="shared" si="3"/>
        <v>1.1000000000000014</v>
      </c>
      <c r="G37" s="28">
        <f t="shared" si="3"/>
        <v>1.3000000000000007</v>
      </c>
      <c r="H37" s="28">
        <f t="shared" si="3"/>
        <v>1.3000000000000007</v>
      </c>
      <c r="I37" s="28">
        <f t="shared" si="3"/>
        <v>1.1999999999999993</v>
      </c>
      <c r="J37" s="28">
        <f t="shared" si="3"/>
        <v>1.3000000000000007</v>
      </c>
      <c r="K37" s="28">
        <f t="shared" si="3"/>
        <v>1.1999999999999993</v>
      </c>
      <c r="L37" s="28">
        <f t="shared" si="3"/>
        <v>0.5</v>
      </c>
      <c r="M37" s="28">
        <f t="shared" si="3"/>
        <v>0.69999999999999929</v>
      </c>
      <c r="N37" s="28">
        <f t="shared" si="3"/>
        <v>0.5</v>
      </c>
      <c r="O37" s="28">
        <f t="shared" si="3"/>
        <v>0.59999999999999787</v>
      </c>
      <c r="P37" s="28">
        <f t="shared" si="3"/>
        <v>1.1000000000000014</v>
      </c>
      <c r="Q37" s="28">
        <f t="shared" si="3"/>
        <v>0.60000000000000142</v>
      </c>
      <c r="R37" s="28">
        <f t="shared" si="3"/>
        <v>1.0999999999999979</v>
      </c>
      <c r="S37" s="28">
        <f t="shared" si="3"/>
        <v>1.8000000000000007</v>
      </c>
      <c r="T37" s="28">
        <f t="shared" si="3"/>
        <v>0.69999999999999929</v>
      </c>
      <c r="U37" s="28">
        <f t="shared" si="3"/>
        <v>1.0999999999999979</v>
      </c>
      <c r="V37" s="28">
        <f t="shared" si="3"/>
        <v>0.5</v>
      </c>
      <c r="W37" s="28">
        <f t="shared" si="3"/>
        <v>1.4000000000000021</v>
      </c>
      <c r="X37" s="28">
        <f t="shared" si="3"/>
        <v>1.6000000000000014</v>
      </c>
      <c r="Y37" s="28">
        <f t="shared" si="3"/>
        <v>1.8999999999999986</v>
      </c>
      <c r="Z37" s="28">
        <f t="shared" si="3"/>
        <v>1</v>
      </c>
      <c r="AA37" s="28">
        <f t="shared" si="3"/>
        <v>0.90000000000000213</v>
      </c>
      <c r="AB37" s="28">
        <f t="shared" si="3"/>
        <v>0.90000000000000213</v>
      </c>
      <c r="AC37" s="28">
        <f t="shared" si="3"/>
        <v>0.80000000000000071</v>
      </c>
      <c r="AD37" s="28">
        <f t="shared" si="3"/>
        <v>1.0999999999999979</v>
      </c>
      <c r="AE37" s="28">
        <f t="shared" si="3"/>
        <v>2.3999999999999986</v>
      </c>
      <c r="AF37" s="28">
        <f t="shared" si="3"/>
        <v>1.2000000000000028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25.72729390681004</v>
      </c>
      <c r="I43" s="40"/>
      <c r="J43" s="42"/>
      <c r="K43" s="41">
        <f>MAX(B29:AF29)</f>
        <v>29.1</v>
      </c>
      <c r="L43" s="42"/>
      <c r="M43" s="42"/>
      <c r="N43" s="41">
        <f>MIN(B33:AF33)</f>
        <v>22.7</v>
      </c>
      <c r="O43" s="42"/>
      <c r="P43" s="42"/>
      <c r="Q43" s="41">
        <f>K43-N43</f>
        <v>6.4000000000000021</v>
      </c>
      <c r="R43" s="40"/>
      <c r="S43" s="41"/>
      <c r="T43" s="41">
        <f>AVERAGE(B29:AF29)</f>
        <v>26.329032258064515</v>
      </c>
      <c r="U43" s="41"/>
      <c r="V43" s="41">
        <f>AVERAGE(B33:AF33)</f>
        <v>25.193548387096776</v>
      </c>
      <c r="W43" s="41"/>
      <c r="X43" s="41">
        <f>T43-V43</f>
        <v>1.1354838709677395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(a)'!$S10</f>
        <v>24</v>
      </c>
      <c r="C4" s="12">
        <f>'[4]Dia 2 (a)'!$S10</f>
        <v>22.9</v>
      </c>
      <c r="D4" s="12">
        <f>'[4]Dia 3 (a)'!$S10</f>
        <v>22.6</v>
      </c>
      <c r="E4" s="12">
        <f>'[4]Dia 4 (a)'!$S10</f>
        <v>23.2</v>
      </c>
      <c r="F4" s="12">
        <f>'[4]Dia 5 (a)'!$S10</f>
        <v>24.6</v>
      </c>
      <c r="G4" s="12">
        <f>'[4]Dia 6 (a)'!$S10</f>
        <v>23.4</v>
      </c>
      <c r="H4" s="12">
        <f>'[4]Dia 7 (a)'!$S10</f>
        <v>23.7</v>
      </c>
      <c r="I4" s="12">
        <f>'[4]Dia 8 (a)'!$S10</f>
        <v>24</v>
      </c>
      <c r="J4" s="12">
        <f>'[4]Dia 9 (a)'!$S10</f>
        <v>24.8</v>
      </c>
      <c r="K4" s="12">
        <f>'[4]Dia 10 (a)'!$S10</f>
        <v>25.8</v>
      </c>
      <c r="L4" s="12">
        <f>'[4]Dia 11 (a)'!$S10</f>
        <v>25.4</v>
      </c>
      <c r="M4" s="12">
        <f>'[4]Dia 12 (a)'!$S10</f>
        <v>25.6</v>
      </c>
      <c r="N4" s="12">
        <f>'[4]Dia 13 (a)'!$S10</f>
        <v>24.8</v>
      </c>
      <c r="O4" s="12">
        <f>'[4]Dia 14 (a)'!$S10</f>
        <v>24.4</v>
      </c>
      <c r="P4" s="12">
        <f>'[4]Dia 15 (a)'!$S10</f>
        <v>23.6</v>
      </c>
      <c r="Q4" s="12">
        <f>'[4]Dia 16 (a)'!$S10</f>
        <v>23.1</v>
      </c>
      <c r="R4" s="12">
        <f>'[4]Dia 17 (a)'!$S10</f>
        <v>22.8</v>
      </c>
      <c r="S4" s="44">
        <f>'[4]Dia 18 (a)'!$S10</f>
        <v>-99</v>
      </c>
      <c r="T4" s="44">
        <f>'[4]Dia 19 (a)'!$S10</f>
        <v>-99</v>
      </c>
      <c r="U4" s="44">
        <f>'[4]Dia 20 (a)'!$S10</f>
        <v>-99</v>
      </c>
      <c r="V4" s="12">
        <f>'[4]Dia 21 (a)'!$S10</f>
        <v>23</v>
      </c>
      <c r="W4" s="12">
        <f>'[4]Dia 22 (a)'!$S10</f>
        <v>23</v>
      </c>
      <c r="X4" s="12">
        <f>'[4]Dia 23 (a)'!$S10</f>
        <v>23.5</v>
      </c>
      <c r="Y4" s="12">
        <f>'[4]Dia 24 (a)'!$S10</f>
        <v>23.6</v>
      </c>
      <c r="Z4" s="44">
        <f>'[4]Dia 25 (a)'!$S10</f>
        <v>-99</v>
      </c>
      <c r="AA4" s="12">
        <f>'[4]Dia 26 (a)'!$S10</f>
        <v>24.7</v>
      </c>
      <c r="AB4" s="12">
        <f>'[4]Dia 27 (a)'!$S10</f>
        <v>25</v>
      </c>
      <c r="AC4" s="12">
        <f>'[4]Dia 28 (a)'!$S10</f>
        <v>25</v>
      </c>
      <c r="AD4" s="12">
        <f>'[4]Dia 29 (a)'!$S10</f>
        <v>25</v>
      </c>
      <c r="AE4" s="12">
        <f>'[4]Dia 30 (a)'!$S10</f>
        <v>23.7</v>
      </c>
      <c r="AF4" s="13"/>
      <c r="AG4" s="14"/>
    </row>
    <row r="5" spans="1:33" ht="20.100000000000001" customHeight="1">
      <c r="A5" s="11">
        <v>8</v>
      </c>
      <c r="B5" s="12">
        <f>'[4]Dia 1 (a)'!$S11</f>
        <v>24</v>
      </c>
      <c r="C5" s="12">
        <f>'[4]Dia 2 (a)'!$S11</f>
        <v>22.9</v>
      </c>
      <c r="D5" s="12">
        <f>'[4]Dia 3 (a)'!$S11</f>
        <v>22.6</v>
      </c>
      <c r="E5" s="12">
        <f>'[4]Dia 4 (a)'!$S11</f>
        <v>23.6</v>
      </c>
      <c r="F5" s="12">
        <f>'[4]Dia 5 (a)'!$S11</f>
        <v>24.6</v>
      </c>
      <c r="G5" s="12">
        <f>'[4]Dia 6 (a)'!$S11</f>
        <v>23.4</v>
      </c>
      <c r="H5" s="12">
        <f>'[4]Dia 7 (a)'!$S11</f>
        <v>23.7</v>
      </c>
      <c r="I5" s="12">
        <f>'[4]Dia 8 (a)'!$S11</f>
        <v>24</v>
      </c>
      <c r="J5" s="12">
        <f>'[4]Dia 9 (a)'!$S11</f>
        <v>24.8</v>
      </c>
      <c r="K5" s="12">
        <f>'[4]Dia 10 (a)'!$S11</f>
        <v>25.6</v>
      </c>
      <c r="L5" s="12">
        <f>'[4]Dia 11 (a)'!$S11</f>
        <v>25.4</v>
      </c>
      <c r="M5" s="12">
        <f>'[4]Dia 12 (a)'!$S11</f>
        <v>25.6</v>
      </c>
      <c r="N5" s="12">
        <f>'[4]Dia 13 (a)'!$S11</f>
        <v>24.8</v>
      </c>
      <c r="O5" s="12">
        <f>'[4]Dia 14 (a)'!$S11</f>
        <v>24.4</v>
      </c>
      <c r="P5" s="12">
        <f>'[4]Dia 15 (a)'!$S11</f>
        <v>23.7</v>
      </c>
      <c r="Q5" s="12">
        <f>'[4]Dia 16 (a)'!$S11</f>
        <v>23.1</v>
      </c>
      <c r="R5" s="12">
        <f>'[4]Dia 17 (a)'!$S11</f>
        <v>22.8</v>
      </c>
      <c r="S5" s="44">
        <f>'[4]Dia 18 (a)'!$S11</f>
        <v>-99</v>
      </c>
      <c r="T5" s="44">
        <f>'[4]Dia 19 (a)'!$S11</f>
        <v>-99</v>
      </c>
      <c r="U5" s="44">
        <f>'[4]Dia 20 (a)'!$S11</f>
        <v>-99</v>
      </c>
      <c r="V5" s="12">
        <f>'[4]Dia 21 (a)'!$S11</f>
        <v>23</v>
      </c>
      <c r="W5" s="12">
        <f>'[4]Dia 22 (a)'!$S11</f>
        <v>23</v>
      </c>
      <c r="X5" s="12">
        <f>'[4]Dia 23 (a)'!$S11</f>
        <v>23.5</v>
      </c>
      <c r="Y5" s="12">
        <f>'[4]Dia 24 (a)'!$S11</f>
        <v>23.6</v>
      </c>
      <c r="Z5" s="44">
        <f>'[4]Dia 25 (a)'!$S11</f>
        <v>-99</v>
      </c>
      <c r="AA5" s="12">
        <f>'[4]Dia 26 (a)'!$S11</f>
        <v>24.6</v>
      </c>
      <c r="AB5" s="12">
        <f>'[4]Dia 27 (a)'!$S11</f>
        <v>25</v>
      </c>
      <c r="AC5" s="12">
        <f>'[4]Dia 28 (a)'!$S11</f>
        <v>25</v>
      </c>
      <c r="AD5" s="12">
        <f>'[4]Dia 29 (a)'!$S11</f>
        <v>25</v>
      </c>
      <c r="AE5" s="12">
        <f>'[4]Dia 30 (a)'!$S11</f>
        <v>23.7</v>
      </c>
      <c r="AF5" s="13"/>
      <c r="AG5" s="14"/>
    </row>
    <row r="6" spans="1:33" ht="20.100000000000001" customHeight="1">
      <c r="A6" s="11">
        <v>9</v>
      </c>
      <c r="B6" s="12">
        <f>'[4]Dia 1 (a)'!$S12</f>
        <v>24</v>
      </c>
      <c r="C6" s="12">
        <f>'[4]Dia 2 (a)'!$S12</f>
        <v>22.8</v>
      </c>
      <c r="D6" s="12">
        <f>'[4]Dia 3 (a)'!$S12</f>
        <v>22.6</v>
      </c>
      <c r="E6" s="12">
        <f>'[4]Dia 4 (a)'!$S12</f>
        <v>23.6</v>
      </c>
      <c r="F6" s="12">
        <f>'[4]Dia 5 (a)'!$S12</f>
        <v>24.4</v>
      </c>
      <c r="G6" s="12">
        <f>'[4]Dia 6 (a)'!$S12</f>
        <v>23.2</v>
      </c>
      <c r="H6" s="12">
        <f>'[4]Dia 7 (a)'!$S12</f>
        <v>23.6</v>
      </c>
      <c r="I6" s="12">
        <f>'[4]Dia 8 (a)'!$S12</f>
        <v>24.1</v>
      </c>
      <c r="J6" s="12">
        <f>'[4]Dia 9 (a)'!$S12</f>
        <v>24.6</v>
      </c>
      <c r="K6" s="12">
        <f>'[4]Dia 10 (a)'!$S12</f>
        <v>25.6</v>
      </c>
      <c r="L6" s="12">
        <f>'[4]Dia 11 (a)'!$S12</f>
        <v>25.4</v>
      </c>
      <c r="M6" s="12">
        <f>'[4]Dia 12 (a)'!$S12</f>
        <v>25.5</v>
      </c>
      <c r="N6" s="12">
        <f>'[4]Dia 13 (a)'!$S12</f>
        <v>24.8</v>
      </c>
      <c r="O6" s="44">
        <f>'[4]Dia 14 (a)'!$S12</f>
        <v>-99</v>
      </c>
      <c r="P6" s="12">
        <f>'[4]Dia 15 (a)'!$S12</f>
        <v>23.7</v>
      </c>
      <c r="Q6" s="12">
        <f>'[4]Dia 16 (a)'!$S12</f>
        <v>22.8</v>
      </c>
      <c r="R6" s="12">
        <f>'[4]Dia 17 (a)'!$S12</f>
        <v>22.7</v>
      </c>
      <c r="S6" s="44">
        <f>'[4]Dia 18 (a)'!$S12</f>
        <v>-99</v>
      </c>
      <c r="T6" s="44">
        <f>'[4]Dia 19 (a)'!$S12</f>
        <v>-99</v>
      </c>
      <c r="U6" s="44">
        <f>'[4]Dia 20 (a)'!$S12</f>
        <v>-99</v>
      </c>
      <c r="V6" s="12">
        <f>'[4]Dia 21 (a)'!$S12</f>
        <v>23</v>
      </c>
      <c r="W6" s="12">
        <f>'[4]Dia 22 (a)'!$S12</f>
        <v>23</v>
      </c>
      <c r="X6" s="12">
        <f>'[4]Dia 23 (a)'!$S12</f>
        <v>23.4</v>
      </c>
      <c r="Y6" s="12">
        <f>'[4]Dia 24 (a)'!$S12</f>
        <v>23.6</v>
      </c>
      <c r="Z6" s="44">
        <f>'[4]Dia 25 (a)'!$S12</f>
        <v>-99</v>
      </c>
      <c r="AA6" s="12">
        <f>'[4]Dia 26 (a)'!$S12</f>
        <v>24.6</v>
      </c>
      <c r="AB6" s="12">
        <f>'[4]Dia 27 (a)'!$S12</f>
        <v>25</v>
      </c>
      <c r="AC6" s="12">
        <f>'[4]Dia 28 (a)'!$S12</f>
        <v>25</v>
      </c>
      <c r="AD6" s="12">
        <f>'[4]Dia 29 (a)'!$S12</f>
        <v>25</v>
      </c>
      <c r="AE6" s="12">
        <f>'[4]Dia 30 (a)'!$S12</f>
        <v>23.7</v>
      </c>
      <c r="AF6" s="13"/>
      <c r="AG6" s="14"/>
    </row>
    <row r="7" spans="1:33" ht="20.100000000000001" customHeight="1">
      <c r="A7" s="11">
        <v>10</v>
      </c>
      <c r="B7" s="12">
        <f>'[4]Dia 1 (a)'!$S13</f>
        <v>24</v>
      </c>
      <c r="C7" s="12">
        <f>'[4]Dia 2 (a)'!$S13</f>
        <v>22.8</v>
      </c>
      <c r="D7" s="12">
        <f>'[4]Dia 3 (a)'!$S13</f>
        <v>22.6</v>
      </c>
      <c r="E7" s="12">
        <f>'[4]Dia 4 (a)'!$S13</f>
        <v>23.4</v>
      </c>
      <c r="F7" s="12">
        <f>'[4]Dia 5 (a)'!$S13</f>
        <v>24.4</v>
      </c>
      <c r="G7" s="12">
        <f>'[4]Dia 6 (a)'!$S13</f>
        <v>23.2</v>
      </c>
      <c r="H7" s="12">
        <f>'[4]Dia 7 (a)'!$S13</f>
        <v>23.6</v>
      </c>
      <c r="I7" s="12">
        <f>'[4]Dia 8 (a)'!$S13</f>
        <v>24</v>
      </c>
      <c r="J7" s="12">
        <f>'[4]Dia 9 (a)'!$S13</f>
        <v>24.8</v>
      </c>
      <c r="K7" s="12">
        <f>'[4]Dia 10 (a)'!$S13</f>
        <v>25.5</v>
      </c>
      <c r="L7" s="12">
        <f>'[4]Dia 11 (a)'!$S13</f>
        <v>25.3</v>
      </c>
      <c r="M7" s="12">
        <f>'[4]Dia 12 (a)'!$S13</f>
        <v>25.4</v>
      </c>
      <c r="N7" s="44">
        <f>'[4]Dia 13 (a)'!$S13</f>
        <v>-99</v>
      </c>
      <c r="O7" s="44">
        <f>'[4]Dia 14 (a)'!$S13</f>
        <v>-99</v>
      </c>
      <c r="P7" s="12">
        <f>'[4]Dia 15 (a)'!$S13</f>
        <v>23.5</v>
      </c>
      <c r="Q7" s="12">
        <f>'[4]Dia 16 (a)'!$S13</f>
        <v>22.8</v>
      </c>
      <c r="R7" s="12">
        <f>'[4]Dia 17 (a)'!$S13</f>
        <v>22.6</v>
      </c>
      <c r="S7" s="44">
        <f>'[4]Dia 18 (a)'!$S13</f>
        <v>-99</v>
      </c>
      <c r="T7" s="44">
        <f>'[4]Dia 19 (a)'!$S13</f>
        <v>-99</v>
      </c>
      <c r="U7" s="44">
        <f>'[4]Dia 20 (a)'!$S13</f>
        <v>-99</v>
      </c>
      <c r="V7" s="12">
        <f>'[4]Dia 21 (a)'!$S13</f>
        <v>22.8</v>
      </c>
      <c r="W7" s="12">
        <f>'[4]Dia 22 (a)'!$S13</f>
        <v>23</v>
      </c>
      <c r="X7" s="12">
        <f>'[4]Dia 23 (a)'!$S13</f>
        <v>23.3</v>
      </c>
      <c r="Y7" s="12">
        <f>'[4]Dia 24 (a)'!$S13</f>
        <v>23.6</v>
      </c>
      <c r="Z7" s="44">
        <f>'[4]Dia 25 (a)'!$S13</f>
        <v>-99</v>
      </c>
      <c r="AA7" s="12">
        <f>'[4]Dia 26 (a)'!$S13</f>
        <v>24.6</v>
      </c>
      <c r="AB7" s="12">
        <f>'[4]Dia 27 (a)'!$S13</f>
        <v>24.8</v>
      </c>
      <c r="AC7" s="12">
        <f>'[4]Dia 28 (a)'!$S13</f>
        <v>25</v>
      </c>
      <c r="AD7" s="12">
        <f>'[4]Dia 29 (a)'!$S13</f>
        <v>24.8</v>
      </c>
      <c r="AE7" s="12">
        <f>'[4]Dia 30 (a)'!$S13</f>
        <v>23.6</v>
      </c>
      <c r="AF7" s="13"/>
      <c r="AG7" s="14"/>
    </row>
    <row r="8" spans="1:33" ht="20.100000000000001" customHeight="1">
      <c r="A8" s="11">
        <v>11</v>
      </c>
      <c r="B8" s="12">
        <f>'[4]Dia 1 (a)'!$S14</f>
        <v>23.8</v>
      </c>
      <c r="C8" s="12">
        <f>'[4]Dia 2 (a)'!$S14</f>
        <v>22.8</v>
      </c>
      <c r="D8" s="12">
        <f>'[4]Dia 3 (a)'!$S14</f>
        <v>22.6</v>
      </c>
      <c r="E8" s="12">
        <f>'[4]Dia 4 (a)'!$S14</f>
        <v>23.4</v>
      </c>
      <c r="F8" s="12">
        <f>'[4]Dia 5 (a)'!$S14</f>
        <v>24.3</v>
      </c>
      <c r="G8" s="12">
        <f>'[4]Dia 6 (a)'!$S14</f>
        <v>23.2</v>
      </c>
      <c r="H8" s="12">
        <f>'[4]Dia 7 (a)'!$S14</f>
        <v>23.4</v>
      </c>
      <c r="I8" s="12">
        <f>'[4]Dia 8 (a)'!$S14</f>
        <v>24.1</v>
      </c>
      <c r="J8" s="12">
        <f>'[4]Dia 9 (a)'!$S14</f>
        <v>24.8</v>
      </c>
      <c r="K8" s="12">
        <f>'[4]Dia 10 (a)'!$S14</f>
        <v>25.5</v>
      </c>
      <c r="L8" s="12">
        <f>'[4]Dia 11 (a)'!$S14</f>
        <v>25.2</v>
      </c>
      <c r="M8" s="12">
        <f>'[4]Dia 12 (a)'!$S14</f>
        <v>25.4</v>
      </c>
      <c r="N8" s="44">
        <f>'[4]Dia 13 (a)'!$S14</f>
        <v>-99</v>
      </c>
      <c r="O8" s="44">
        <f>'[4]Dia 14 (a)'!$S14</f>
        <v>-99</v>
      </c>
      <c r="P8" s="12">
        <f>'[4]Dia 15 (a)'!$S14</f>
        <v>23.4</v>
      </c>
      <c r="Q8" s="12">
        <f>'[4]Dia 16 (a)'!$S14</f>
        <v>22.8</v>
      </c>
      <c r="R8" s="12">
        <f>'[4]Dia 17 (a)'!$S14</f>
        <v>22.5</v>
      </c>
      <c r="S8" s="44">
        <f>'[4]Dia 18 (a)'!$S14</f>
        <v>-99</v>
      </c>
      <c r="T8" s="44">
        <f>'[4]Dia 19 (a)'!$S14</f>
        <v>-99</v>
      </c>
      <c r="U8" s="44">
        <f>'[4]Dia 20 (a)'!$S14</f>
        <v>-99</v>
      </c>
      <c r="V8" s="12">
        <f>'[4]Dia 21 (a)'!$S14</f>
        <v>22.8</v>
      </c>
      <c r="W8" s="12">
        <f>'[4]Dia 22 (a)'!$S14</f>
        <v>23</v>
      </c>
      <c r="X8" s="12">
        <f>'[4]Dia 23 (a)'!$S14</f>
        <v>23.3</v>
      </c>
      <c r="Y8" s="12">
        <f>'[4]Dia 24 (a)'!$S14</f>
        <v>23.5</v>
      </c>
      <c r="Z8" s="44">
        <f>'[4]Dia 25 (a)'!$S14</f>
        <v>-99</v>
      </c>
      <c r="AA8" s="12">
        <f>'[4]Dia 26 (a)'!$S14</f>
        <v>24.5</v>
      </c>
      <c r="AB8" s="12">
        <f>'[4]Dia 27 (a)'!$S14</f>
        <v>24.8</v>
      </c>
      <c r="AC8" s="12">
        <f>'[4]Dia 28 (a)'!$S14</f>
        <v>25</v>
      </c>
      <c r="AD8" s="12">
        <f>'[4]Dia 29 (a)'!$S14</f>
        <v>24.8</v>
      </c>
      <c r="AE8" s="12">
        <f>'[4]Dia 30 (a)'!$S14</f>
        <v>23.5</v>
      </c>
      <c r="AF8" s="13"/>
      <c r="AG8" s="14"/>
    </row>
    <row r="9" spans="1:33" ht="20.100000000000001" customHeight="1">
      <c r="A9" s="11">
        <v>12</v>
      </c>
      <c r="B9" s="12">
        <f>'[4]Dia 1 (a)'!$S15</f>
        <v>23.8</v>
      </c>
      <c r="C9" s="12">
        <f>'[4]Dia 2 (a)'!$S15</f>
        <v>22.7</v>
      </c>
      <c r="D9" s="12">
        <f>'[4]Dia 3 (a)'!$S15</f>
        <v>22.6</v>
      </c>
      <c r="E9" s="12">
        <f>'[4]Dia 4 (a)'!$S15</f>
        <v>23.4</v>
      </c>
      <c r="F9" s="12">
        <f>'[4]Dia 5 (a)'!$S15</f>
        <v>24.2</v>
      </c>
      <c r="G9" s="12">
        <f>'[4]Dia 6 (a)'!$S15</f>
        <v>23.2</v>
      </c>
      <c r="H9" s="12">
        <f>'[4]Dia 7 (a)'!$S15</f>
        <v>23.5</v>
      </c>
      <c r="I9" s="12">
        <f>'[4]Dia 8 (a)'!$S15</f>
        <v>24.1</v>
      </c>
      <c r="J9" s="12">
        <f>'[4]Dia 9 (a)'!$S15</f>
        <v>24.8</v>
      </c>
      <c r="K9" s="12">
        <f>'[4]Dia 10 (a)'!$S15</f>
        <v>25.3</v>
      </c>
      <c r="L9" s="12">
        <f>'[4]Dia 11 (a)'!$S15</f>
        <v>25.1</v>
      </c>
      <c r="M9" s="12">
        <f>'[4]Dia 12 (a)'!$S15</f>
        <v>25.3</v>
      </c>
      <c r="N9" s="44">
        <f>'[4]Dia 13 (a)'!$S15</f>
        <v>-99</v>
      </c>
      <c r="O9" s="44">
        <f>'[4]Dia 14 (a)'!$S15</f>
        <v>-99</v>
      </c>
      <c r="P9" s="12">
        <f>'[4]Dia 15 (a)'!$S15</f>
        <v>23.4</v>
      </c>
      <c r="Q9" s="12">
        <f>'[4]Dia 16 (a)'!$S15</f>
        <v>22.7</v>
      </c>
      <c r="R9" s="12">
        <f>'[4]Dia 17 (a)'!$S15</f>
        <v>22.6</v>
      </c>
      <c r="S9" s="44">
        <f>'[4]Dia 18 (a)'!$S15</f>
        <v>-99</v>
      </c>
      <c r="T9" s="44">
        <f>'[4]Dia 19 (a)'!$S15</f>
        <v>-99</v>
      </c>
      <c r="U9" s="44">
        <f>'[4]Dia 20 (a)'!$S15</f>
        <v>-99</v>
      </c>
      <c r="V9" s="12">
        <f>'[4]Dia 21 (a)'!$S15</f>
        <v>22.8</v>
      </c>
      <c r="W9" s="12">
        <f>'[4]Dia 22 (a)'!$S15</f>
        <v>23</v>
      </c>
      <c r="X9" s="12">
        <f>'[4]Dia 23 (a)'!$S15</f>
        <v>23.3</v>
      </c>
      <c r="Y9" s="12">
        <f>'[4]Dia 24 (a)'!$S15</f>
        <v>23.4</v>
      </c>
      <c r="Z9" s="44">
        <f>'[4]Dia 25 (a)'!$S15</f>
        <v>-99</v>
      </c>
      <c r="AA9" s="12">
        <f>'[4]Dia 26 (a)'!$S15</f>
        <v>24.5</v>
      </c>
      <c r="AB9" s="12">
        <f>'[4]Dia 27 (a)'!$S15</f>
        <v>24.8</v>
      </c>
      <c r="AC9" s="12">
        <f>'[4]Dia 28 (a)'!$S15</f>
        <v>24.8</v>
      </c>
      <c r="AD9" s="12">
        <f>'[4]Dia 29 (a)'!$S15</f>
        <v>24.6</v>
      </c>
      <c r="AE9" s="12">
        <f>'[4]Dia 30 (a)'!$S15</f>
        <v>23.4</v>
      </c>
      <c r="AF9" s="13"/>
      <c r="AG9" s="14"/>
    </row>
    <row r="10" spans="1:33" ht="20.100000000000001" customHeight="1">
      <c r="A10" s="11">
        <v>13</v>
      </c>
      <c r="B10" s="12">
        <f>'[4]Dia 1 (a)'!$S16</f>
        <v>23.8</v>
      </c>
      <c r="C10" s="12">
        <f>'[4]Dia 2 (a)'!$S16</f>
        <v>22.7</v>
      </c>
      <c r="D10" s="12">
        <f>'[4]Dia 3 (a)'!$S16</f>
        <v>22.7</v>
      </c>
      <c r="E10" s="12">
        <f>'[4]Dia 4 (a)'!$S16</f>
        <v>23.6</v>
      </c>
      <c r="F10" s="12">
        <f>'[4]Dia 5 (a)'!$S16</f>
        <v>24.2</v>
      </c>
      <c r="G10" s="12">
        <f>'[4]Dia 6 (a)'!$S16</f>
        <v>23.2</v>
      </c>
      <c r="H10" s="12">
        <f>'[4]Dia 7 (a)'!$S16</f>
        <v>23.6</v>
      </c>
      <c r="I10" s="12">
        <f>'[4]Dia 8 (a)'!$S16</f>
        <v>24.2</v>
      </c>
      <c r="J10" s="12">
        <f>'[4]Dia 9 (a)'!$S16</f>
        <v>24.8</v>
      </c>
      <c r="K10" s="12">
        <f>'[4]Dia 10 (a)'!$S16</f>
        <v>25.4</v>
      </c>
      <c r="L10" s="12">
        <f>'[4]Dia 11 (a)'!$S16</f>
        <v>25.1</v>
      </c>
      <c r="M10" s="12">
        <f>'[4]Dia 12 (a)'!$S16</f>
        <v>25.3</v>
      </c>
      <c r="N10" s="44">
        <f>'[4]Dia 13 (a)'!$S16</f>
        <v>-99</v>
      </c>
      <c r="O10" s="44">
        <f>'[4]Dia 14 (a)'!$S16</f>
        <v>-99</v>
      </c>
      <c r="P10" s="12">
        <f>'[4]Dia 15 (a)'!$S16</f>
        <v>23.3</v>
      </c>
      <c r="Q10" s="12">
        <f>'[4]Dia 16 (a)'!$S16</f>
        <v>22.7</v>
      </c>
      <c r="R10" s="12">
        <f>'[4]Dia 17 (a)'!$S16</f>
        <v>22.6</v>
      </c>
      <c r="S10" s="44">
        <f>'[4]Dia 18 (a)'!$S16</f>
        <v>-99</v>
      </c>
      <c r="T10" s="44">
        <f>'[4]Dia 19 (a)'!$S16</f>
        <v>-99</v>
      </c>
      <c r="U10" s="44">
        <f>'[4]Dia 20 (a)'!$S16</f>
        <v>-99</v>
      </c>
      <c r="V10" s="12">
        <f>'[4]Dia 21 (a)'!$S16</f>
        <v>22.8</v>
      </c>
      <c r="W10" s="12">
        <f>'[4]Dia 22 (a)'!$S16</f>
        <v>22.8</v>
      </c>
      <c r="X10" s="12">
        <f>'[4]Dia 23 (a)'!$S16</f>
        <v>23.4</v>
      </c>
      <c r="Y10" s="12">
        <f>'[4]Dia 24 (a)'!$S16</f>
        <v>23.4</v>
      </c>
      <c r="Z10" s="12">
        <f>'[4]Dia 25 (a)'!$S16</f>
        <v>23.8</v>
      </c>
      <c r="AA10" s="12">
        <f>'[4]Dia 26 (a)'!$S16</f>
        <v>24.6</v>
      </c>
      <c r="AB10" s="12">
        <f>'[4]Dia 27 (a)'!$S16</f>
        <v>24.8</v>
      </c>
      <c r="AC10" s="12">
        <f>'[4]Dia 28 (a)'!$S16</f>
        <v>24.8</v>
      </c>
      <c r="AD10" s="12">
        <f>'[4]Dia 29 (a)'!$S16</f>
        <v>24.6</v>
      </c>
      <c r="AE10" s="12">
        <f>'[4]Dia 30 (a)'!$S16</f>
        <v>23.4</v>
      </c>
      <c r="AF10" s="13"/>
      <c r="AG10" s="14"/>
    </row>
    <row r="11" spans="1:33" ht="20.100000000000001" customHeight="1">
      <c r="A11" s="11">
        <v>14</v>
      </c>
      <c r="B11" s="12">
        <f>'[4]Dia 1 (a)'!$S17</f>
        <v>23.6</v>
      </c>
      <c r="C11" s="12">
        <f>'[4]Dia 2 (a)'!$S17</f>
        <v>22.7</v>
      </c>
      <c r="D11" s="12">
        <f>'[4]Dia 3 (a)'!$S17</f>
        <v>22.9</v>
      </c>
      <c r="E11" s="12">
        <f>'[4]Dia 4 (a)'!$S17</f>
        <v>23.6</v>
      </c>
      <c r="F11" s="12">
        <f>'[4]Dia 5 (a)'!$S17</f>
        <v>24.2</v>
      </c>
      <c r="G11" s="12">
        <f>'[4]Dia 6 (a)'!$S17</f>
        <v>23.2</v>
      </c>
      <c r="H11" s="12">
        <f>'[4]Dia 7 (a)'!$S17</f>
        <v>23.6</v>
      </c>
      <c r="I11" s="12">
        <f>'[4]Dia 8 (a)'!$S17</f>
        <v>24.3</v>
      </c>
      <c r="J11" s="12">
        <f>'[4]Dia 9 (a)'!$S17</f>
        <v>24.8</v>
      </c>
      <c r="K11" s="12">
        <f>'[4]Dia 10 (a)'!$S17</f>
        <v>25.6</v>
      </c>
      <c r="L11" s="12">
        <f>'[4]Dia 11 (a)'!$S17</f>
        <v>25.2</v>
      </c>
      <c r="M11" s="12">
        <f>'[4]Dia 12 (a)'!$S17</f>
        <v>25.4</v>
      </c>
      <c r="N11" s="44">
        <f>'[4]Dia 13 (a)'!$S17</f>
        <v>-99</v>
      </c>
      <c r="O11" s="44">
        <f>'[4]Dia 14 (a)'!$S17</f>
        <v>-99</v>
      </c>
      <c r="P11" s="12">
        <f>'[4]Dia 15 (a)'!$S17</f>
        <v>23.4</v>
      </c>
      <c r="Q11" s="12">
        <f>'[4]Dia 16 (a)'!$S17</f>
        <v>22.8</v>
      </c>
      <c r="R11" s="12">
        <f>'[4]Dia 17 (a)'!$S17</f>
        <v>22.6</v>
      </c>
      <c r="S11" s="44">
        <f>'[4]Dia 18 (a)'!$S17</f>
        <v>-99</v>
      </c>
      <c r="T11" s="44">
        <f>'[4]Dia 19 (a)'!$S17</f>
        <v>-99</v>
      </c>
      <c r="U11" s="44">
        <f>'[4]Dia 20 (a)'!$S17</f>
        <v>-99</v>
      </c>
      <c r="V11" s="12">
        <f>'[4]Dia 21 (a)'!$S17</f>
        <v>22.9</v>
      </c>
      <c r="W11" s="12">
        <f>'[4]Dia 22 (a)'!$S17</f>
        <v>22.8</v>
      </c>
      <c r="X11" s="12">
        <f>'[4]Dia 23 (a)'!$S17</f>
        <v>23.4</v>
      </c>
      <c r="Y11" s="12">
        <f>'[4]Dia 24 (a)'!$S17</f>
        <v>23.6</v>
      </c>
      <c r="Z11" s="12">
        <f>'[4]Dia 25 (a)'!$S17</f>
        <v>24</v>
      </c>
      <c r="AA11" s="12">
        <f>'[4]Dia 26 (a)'!$S17</f>
        <v>24.7</v>
      </c>
      <c r="AB11" s="12">
        <f>'[4]Dia 27 (a)'!$S17</f>
        <v>24.9</v>
      </c>
      <c r="AC11" s="12">
        <f>'[4]Dia 28 (a)'!$S17</f>
        <v>25</v>
      </c>
      <c r="AD11" s="12">
        <f>'[4]Dia 29 (a)'!$S17</f>
        <v>24.6</v>
      </c>
      <c r="AE11" s="12">
        <f>'[4]Dia 30 (a)'!$S17</f>
        <v>23.4</v>
      </c>
      <c r="AF11" s="13"/>
      <c r="AG11" s="14"/>
    </row>
    <row r="12" spans="1:33" ht="20.100000000000001" customHeight="1">
      <c r="A12" s="11">
        <v>15</v>
      </c>
      <c r="B12" s="12">
        <f>'[4]Dia 1 (a)'!$S18</f>
        <v>23.6</v>
      </c>
      <c r="C12" s="12">
        <f>'[4]Dia 2 (a)'!$S18</f>
        <v>22.8</v>
      </c>
      <c r="D12" s="12">
        <f>'[4]Dia 3 (a)'!$S18</f>
        <v>23</v>
      </c>
      <c r="E12" s="12">
        <f>'[4]Dia 4 (a)'!$S18</f>
        <v>23.8</v>
      </c>
      <c r="F12" s="12">
        <f>'[4]Dia 5 (a)'!$S18</f>
        <v>24.1</v>
      </c>
      <c r="G12" s="12">
        <f>'[4]Dia 6 (a)'!$S18</f>
        <v>23.2</v>
      </c>
      <c r="H12" s="12">
        <f>'[4]Dia 7 (a)'!$S18</f>
        <v>23.6</v>
      </c>
      <c r="I12" s="12">
        <f>'[4]Dia 8 (a)'!$S18</f>
        <v>24.5</v>
      </c>
      <c r="J12" s="12">
        <f>'[4]Dia 9 (a)'!$S18</f>
        <v>25</v>
      </c>
      <c r="K12" s="12">
        <f>'[4]Dia 10 (a)'!$S18</f>
        <v>25.6</v>
      </c>
      <c r="L12" s="12">
        <f>'[4]Dia 11 (a)'!$S18</f>
        <v>25.3</v>
      </c>
      <c r="M12" s="12">
        <f>'[4]Dia 12 (a)'!$S18</f>
        <v>25.4</v>
      </c>
      <c r="N12" s="44">
        <f>'[4]Dia 13 (a)'!$S18</f>
        <v>-99</v>
      </c>
      <c r="O12" s="44">
        <f>'[4]Dia 14 (a)'!$S18</f>
        <v>-99</v>
      </c>
      <c r="P12" s="12">
        <f>'[4]Dia 15 (a)'!$S18</f>
        <v>23.5</v>
      </c>
      <c r="Q12" s="12">
        <f>'[4]Dia 16 (a)'!$S18</f>
        <v>22.9</v>
      </c>
      <c r="R12" s="12">
        <f>'[4]Dia 17 (a)'!$S18</f>
        <v>22.7</v>
      </c>
      <c r="S12" s="44">
        <f>'[4]Dia 18 (a)'!$S18</f>
        <v>-99</v>
      </c>
      <c r="T12" s="44">
        <f>'[4]Dia 19 (a)'!$S18</f>
        <v>-99</v>
      </c>
      <c r="U12" s="44">
        <f>'[4]Dia 20 (a)'!$S18</f>
        <v>-99</v>
      </c>
      <c r="V12" s="12">
        <f>'[4]Dia 21 (a)'!$S18</f>
        <v>23.1</v>
      </c>
      <c r="W12" s="12">
        <f>'[4]Dia 22 (a)'!$S18</f>
        <v>23</v>
      </c>
      <c r="X12" s="12">
        <f>'[4]Dia 23 (a)'!$S18</f>
        <v>23.6</v>
      </c>
      <c r="Y12" s="12">
        <f>'[4]Dia 24 (a)'!$S18</f>
        <v>23.8</v>
      </c>
      <c r="Z12" s="12">
        <f>'[4]Dia 25 (a)'!$S18</f>
        <v>24.1</v>
      </c>
      <c r="AA12" s="12">
        <f>'[4]Dia 26 (a)'!$S18</f>
        <v>24.9</v>
      </c>
      <c r="AB12" s="12">
        <f>'[4]Dia 27 (a)'!$S18</f>
        <v>25</v>
      </c>
      <c r="AC12" s="12">
        <f>'[4]Dia 28 (a)'!$S18</f>
        <v>25</v>
      </c>
      <c r="AD12" s="12">
        <f>'[4]Dia 29 (a)'!$S18</f>
        <v>24.6</v>
      </c>
      <c r="AE12" s="12">
        <f>'[4]Dia 30 (a)'!$S18</f>
        <v>23.4</v>
      </c>
      <c r="AF12" s="13"/>
      <c r="AG12" s="14"/>
    </row>
    <row r="13" spans="1:33" ht="20.100000000000001" customHeight="1">
      <c r="A13" s="11">
        <v>16</v>
      </c>
      <c r="B13" s="12">
        <f>'[4]Dia 1 (a)'!$S19</f>
        <v>23.7</v>
      </c>
      <c r="C13" s="12">
        <f>'[4]Dia 2 (a)'!$S19</f>
        <v>22.8</v>
      </c>
      <c r="D13" s="12">
        <f>'[4]Dia 3 (a)'!$S19</f>
        <v>22.9</v>
      </c>
      <c r="E13" s="12">
        <f>'[4]Dia 4 (a)'!$S19</f>
        <v>24.3</v>
      </c>
      <c r="F13" s="12">
        <f>'[4]Dia 5 (a)'!$S19</f>
        <v>24.1</v>
      </c>
      <c r="G13" s="12">
        <f>'[4]Dia 6 (a)'!$S19</f>
        <v>23.7</v>
      </c>
      <c r="H13" s="12">
        <f>'[4]Dia 7 (a)'!$S19</f>
        <v>23.9</v>
      </c>
      <c r="I13" s="12">
        <f>'[4]Dia 8 (a)'!$S19</f>
        <v>24.8</v>
      </c>
      <c r="J13" s="12">
        <f>'[4]Dia 9 (a)'!$S19</f>
        <v>25.4</v>
      </c>
      <c r="K13" s="12">
        <f>'[4]Dia 10 (a)'!$S19</f>
        <v>25.7</v>
      </c>
      <c r="L13" s="12">
        <f>'[4]Dia 11 (a)'!$S19</f>
        <v>25.4</v>
      </c>
      <c r="M13" s="12">
        <f>'[4]Dia 12 (a)'!$S19</f>
        <v>25.6</v>
      </c>
      <c r="N13" s="12">
        <f>'[4]Dia 13 (a)'!$S19</f>
        <v>24.8</v>
      </c>
      <c r="O13" s="12">
        <f>'[4]Dia 14 (a)'!$S19</f>
        <v>24.4</v>
      </c>
      <c r="P13" s="12">
        <f>'[4]Dia 15 (a)'!$S19</f>
        <v>23.6</v>
      </c>
      <c r="Q13" s="12">
        <f>'[4]Dia 16 (a)'!$S19</f>
        <v>23</v>
      </c>
      <c r="R13" s="12">
        <f>'[4]Dia 17 (a)'!$S19</f>
        <v>22.8</v>
      </c>
      <c r="S13" s="12">
        <f>'[4]Dia 18 (a)'!$S19</f>
        <v>21.9</v>
      </c>
      <c r="T13" s="12">
        <f>'[4]Dia 19 (a)'!$S19</f>
        <v>22.5</v>
      </c>
      <c r="U13" s="12">
        <f>'[4]Dia 20 (a)'!$S19</f>
        <v>22.9</v>
      </c>
      <c r="V13" s="12">
        <f>'[4]Dia 21 (a)'!$S19</f>
        <v>23.3</v>
      </c>
      <c r="W13" s="12">
        <f>'[4]Dia 22 (a)'!$S19</f>
        <v>23.3</v>
      </c>
      <c r="X13" s="12">
        <f>'[4]Dia 23 (a)'!$S19</f>
        <v>23.6</v>
      </c>
      <c r="Y13" s="12">
        <f>'[4]Dia 24 (a)'!$S19</f>
        <v>23.7</v>
      </c>
      <c r="Z13" s="12">
        <f>'[4]Dia 25 (a)'!$S19</f>
        <v>24.6</v>
      </c>
      <c r="AA13" s="12">
        <f>'[4]Dia 26 (a)'!$S19</f>
        <v>24.8</v>
      </c>
      <c r="AB13" s="12">
        <f>'[4]Dia 27 (a)'!$S19</f>
        <v>25.1</v>
      </c>
      <c r="AC13" s="12">
        <f>'[4]Dia 28 (a)'!$S19</f>
        <v>25.4</v>
      </c>
      <c r="AD13" s="12">
        <f>'[4]Dia 29 (a)'!$S19</f>
        <v>24.6</v>
      </c>
      <c r="AE13" s="12">
        <f>'[4]Dia 30 (a)'!$S19</f>
        <v>23.4</v>
      </c>
      <c r="AF13" s="13"/>
      <c r="AG13" s="14"/>
    </row>
    <row r="14" spans="1:33" ht="20.100000000000001" customHeight="1">
      <c r="A14" s="11">
        <v>17</v>
      </c>
      <c r="B14" s="12">
        <f>'[4]Dia 1 (a)'!$S20</f>
        <v>23.7</v>
      </c>
      <c r="C14" s="12">
        <f>'[4]Dia 2 (a)'!$S20</f>
        <v>22.8</v>
      </c>
      <c r="D14" s="12">
        <f>'[4]Dia 3 (a)'!$S20</f>
        <v>23</v>
      </c>
      <c r="E14" s="12">
        <f>'[4]Dia 4 (a)'!$S20</f>
        <v>24.4</v>
      </c>
      <c r="F14" s="12">
        <f>'[4]Dia 5 (a)'!$S20</f>
        <v>24.2</v>
      </c>
      <c r="G14" s="12">
        <f>'[4]Dia 6 (a)'!$S20</f>
        <v>23.7</v>
      </c>
      <c r="H14" s="12">
        <f>'[4]Dia 7 (a)'!$S20</f>
        <v>24.1</v>
      </c>
      <c r="I14" s="12">
        <f>'[4]Dia 8 (a)'!$S20</f>
        <v>24.9</v>
      </c>
      <c r="J14" s="12">
        <f>'[4]Dia 9 (a)'!$S20</f>
        <v>25.6</v>
      </c>
      <c r="K14" s="12">
        <f>'[4]Dia 10 (a)'!$S20</f>
        <v>25.9</v>
      </c>
      <c r="L14" s="12">
        <f>'[4]Dia 11 (a)'!$S20</f>
        <v>25.6</v>
      </c>
      <c r="M14" s="12">
        <f>'[4]Dia 12 (a)'!$S20</f>
        <v>25.3</v>
      </c>
      <c r="N14" s="12">
        <f>'[4]Dia 13 (a)'!$S20</f>
        <v>24.9</v>
      </c>
      <c r="O14" s="12">
        <f>'[4]Dia 14 (a)'!$S20</f>
        <v>24.5</v>
      </c>
      <c r="P14" s="12">
        <f>'[4]Dia 15 (a)'!$S20</f>
        <v>23.6</v>
      </c>
      <c r="Q14" s="12">
        <f>'[4]Dia 16 (a)'!$S20</f>
        <v>23.1</v>
      </c>
      <c r="R14" s="12">
        <f>'[4]Dia 17 (a)'!$S20</f>
        <v>22.8</v>
      </c>
      <c r="S14" s="12">
        <f>'[4]Dia 18 (a)'!$S20</f>
        <v>22.1</v>
      </c>
      <c r="T14" s="12">
        <f>'[4]Dia 19 (a)'!$S20</f>
        <v>22.7</v>
      </c>
      <c r="U14" s="12">
        <f>'[4]Dia 20 (a)'!$S20</f>
        <v>23</v>
      </c>
      <c r="V14" s="12">
        <f>'[4]Dia 21 (a)'!$S20</f>
        <v>23.4</v>
      </c>
      <c r="W14" s="12">
        <f>'[4]Dia 22 (a)'!$S20</f>
        <v>23.4</v>
      </c>
      <c r="X14" s="12">
        <f>'[4]Dia 23 (a)'!$S20</f>
        <v>23.6</v>
      </c>
      <c r="Y14" s="12">
        <f>'[4]Dia 24 (a)'!$S20</f>
        <v>23.9</v>
      </c>
      <c r="Z14" s="12">
        <f>'[4]Dia 25 (a)'!$S20</f>
        <v>24.7</v>
      </c>
      <c r="AA14" s="12">
        <f>'[4]Dia 26 (a)'!$S20</f>
        <v>25</v>
      </c>
      <c r="AB14" s="12">
        <f>'[4]Dia 27 (a)'!$S20</f>
        <v>25.3</v>
      </c>
      <c r="AC14" s="12">
        <f>'[4]Dia 28 (a)'!$S20</f>
        <v>25.6</v>
      </c>
      <c r="AD14" s="12">
        <f>'[4]Dia 29 (a)'!$S20</f>
        <v>24.6</v>
      </c>
      <c r="AE14" s="12">
        <f>'[4]Dia 30 (a)'!$S20</f>
        <v>23.3</v>
      </c>
      <c r="AF14" s="13"/>
      <c r="AG14" s="14"/>
    </row>
    <row r="15" spans="1:33" ht="20.100000000000001" customHeight="1">
      <c r="A15" s="11">
        <v>18</v>
      </c>
      <c r="B15" s="12">
        <f>'[4]Dia 1 (a)'!$S21</f>
        <v>23.6</v>
      </c>
      <c r="C15" s="12">
        <f>'[4]Dia 2 (a)'!$S21</f>
        <v>22.8</v>
      </c>
      <c r="D15" s="12">
        <f>'[4]Dia 3 (a)'!$S21</f>
        <v>23.2</v>
      </c>
      <c r="E15" s="12">
        <f>'[4]Dia 4 (a)'!$S21</f>
        <v>24.7</v>
      </c>
      <c r="F15" s="12">
        <f>'[4]Dia 5 (a)'!$S21</f>
        <v>24.1</v>
      </c>
      <c r="G15" s="12">
        <f>'[4]Dia 6 (a)'!$S21</f>
        <v>23.9</v>
      </c>
      <c r="H15" s="12">
        <f>'[4]Dia 7 (a)'!$S21</f>
        <v>24.2</v>
      </c>
      <c r="I15" s="12">
        <f>'[4]Dia 8 (a)'!$S21</f>
        <v>25.2</v>
      </c>
      <c r="J15" s="12">
        <f>'[4]Dia 9 (a)'!$S21</f>
        <v>25.8</v>
      </c>
      <c r="K15" s="12">
        <f>'[4]Dia 10 (a)'!$S21</f>
        <v>26.1</v>
      </c>
      <c r="L15" s="12">
        <f>'[4]Dia 11 (a)'!$S21</f>
        <v>25.7</v>
      </c>
      <c r="M15" s="12">
        <f>'[4]Dia 12 (a)'!$S21</f>
        <v>25.4</v>
      </c>
      <c r="N15" s="12">
        <f>'[4]Dia 13 (a)'!$S21</f>
        <v>24.7</v>
      </c>
      <c r="O15" s="12">
        <f>'[4]Dia 14 (a)'!$S21</f>
        <v>24.6</v>
      </c>
      <c r="P15" s="12">
        <f>'[4]Dia 15 (a)'!$S21</f>
        <v>23.8</v>
      </c>
      <c r="Q15" s="12">
        <f>'[4]Dia 16 (a)'!$S21</f>
        <v>23.2</v>
      </c>
      <c r="R15" s="12">
        <f>'[4]Dia 17 (a)'!$S21</f>
        <v>22.8</v>
      </c>
      <c r="S15" s="12">
        <f>'[4]Dia 18 (a)'!$S21</f>
        <v>22.3</v>
      </c>
      <c r="T15" s="12">
        <f>'[4]Dia 19 (a)'!$S21</f>
        <v>23</v>
      </c>
      <c r="U15" s="12">
        <f>'[4]Dia 20 (a)'!$S21</f>
        <v>23.3</v>
      </c>
      <c r="V15" s="12">
        <f>'[4]Dia 21 (a)'!$S21</f>
        <v>23.5</v>
      </c>
      <c r="W15" s="12">
        <f>'[4]Dia 22 (a)'!$S21</f>
        <v>23.6</v>
      </c>
      <c r="X15" s="12">
        <f>'[4]Dia 23 (a)'!$S21</f>
        <v>23.6</v>
      </c>
      <c r="Y15" s="12">
        <f>'[4]Dia 24 (a)'!$S21</f>
        <v>24.3</v>
      </c>
      <c r="Z15" s="12">
        <f>'[4]Dia 25 (a)'!$S21</f>
        <v>24.9</v>
      </c>
      <c r="AA15" s="12">
        <f>'[4]Dia 26 (a)'!$S21</f>
        <v>25.4</v>
      </c>
      <c r="AB15" s="12">
        <f>'[4]Dia 27 (a)'!$S21</f>
        <v>25.4</v>
      </c>
      <c r="AC15" s="12">
        <f>'[4]Dia 28 (a)'!$S21</f>
        <v>25.9</v>
      </c>
      <c r="AD15" s="12">
        <f>'[4]Dia 29 (a)'!$S21</f>
        <v>24.6</v>
      </c>
      <c r="AE15" s="12">
        <f>'[4]Dia 30 (a)'!$S21</f>
        <v>23.3</v>
      </c>
      <c r="AF15" s="13"/>
      <c r="AG15" s="14"/>
    </row>
    <row r="16" spans="1:33" ht="20.100000000000001" customHeight="1">
      <c r="A16" s="11">
        <v>19</v>
      </c>
      <c r="B16" s="12">
        <f>'[4]Dia 1 (a)'!$S22</f>
        <v>23.6</v>
      </c>
      <c r="C16" s="12">
        <f>'[4]Dia 2 (a)'!$S22</f>
        <v>22.8</v>
      </c>
      <c r="D16" s="12">
        <f>'[4]Dia 3 (a)'!$S22</f>
        <v>23.4</v>
      </c>
      <c r="E16" s="12">
        <f>'[4]Dia 4 (a)'!$S22</f>
        <v>24.9</v>
      </c>
      <c r="F16" s="12">
        <f>'[4]Dia 5 (a)'!$S22</f>
        <v>24.1</v>
      </c>
      <c r="G16" s="12">
        <f>'[4]Dia 6 (a)'!$S22</f>
        <v>24.1</v>
      </c>
      <c r="H16" s="12">
        <f>'[4]Dia 7 (a)'!$S22</f>
        <v>24.4</v>
      </c>
      <c r="I16" s="12">
        <f>'[4]Dia 8 (a)'!$S22</f>
        <v>25.4</v>
      </c>
      <c r="J16" s="12">
        <f>'[4]Dia 9 (a)'!$S22</f>
        <v>26</v>
      </c>
      <c r="K16" s="12">
        <f>'[4]Dia 10 (a)'!$S22</f>
        <v>26.3</v>
      </c>
      <c r="L16" s="12">
        <f>'[4]Dia 11 (a)'!$S22</f>
        <v>26</v>
      </c>
      <c r="M16" s="12">
        <f>'[4]Dia 12 (a)'!$S22</f>
        <v>25.4</v>
      </c>
      <c r="N16" s="12">
        <f>'[4]Dia 13 (a)'!$S22</f>
        <v>24.9</v>
      </c>
      <c r="O16" s="12">
        <f>'[4]Dia 14 (a)'!$S22</f>
        <v>24.6</v>
      </c>
      <c r="P16" s="12">
        <f>'[4]Dia 15 (a)'!$S22</f>
        <v>23.8</v>
      </c>
      <c r="Q16" s="12">
        <f>'[4]Dia 16 (a)'!$S22</f>
        <v>23.4</v>
      </c>
      <c r="R16" s="12">
        <f>'[4]Dia 17 (a)'!$S22</f>
        <v>23</v>
      </c>
      <c r="S16" s="12">
        <f>'[4]Dia 18 (a)'!$S22</f>
        <v>22.6</v>
      </c>
      <c r="T16" s="12">
        <f>'[4]Dia 19 (a)'!$S22</f>
        <v>23.2</v>
      </c>
      <c r="U16" s="12">
        <f>'[4]Dia 20 (a)'!$S22</f>
        <v>23.4</v>
      </c>
      <c r="V16" s="12">
        <f>'[4]Dia 21 (a)'!$S22</f>
        <v>23.9</v>
      </c>
      <c r="W16" s="12">
        <f>'[4]Dia 22 (a)'!$S22</f>
        <v>23.8</v>
      </c>
      <c r="X16" s="12">
        <f>'[4]Dia 23 (a)'!$S22</f>
        <v>23.6</v>
      </c>
      <c r="Y16" s="12">
        <f>'[4]Dia 24 (a)'!$S22</f>
        <v>24.3</v>
      </c>
      <c r="Z16" s="12">
        <f>'[4]Dia 25 (a)'!$S22</f>
        <v>25.1</v>
      </c>
      <c r="AA16" s="12">
        <f>'[4]Dia 26 (a)'!$S22</f>
        <v>25.4</v>
      </c>
      <c r="AB16" s="12">
        <f>'[4]Dia 27 (a)'!$S22</f>
        <v>25.5</v>
      </c>
      <c r="AC16" s="12">
        <f>'[4]Dia 28 (a)'!$S22</f>
        <v>26</v>
      </c>
      <c r="AD16" s="12">
        <f>'[4]Dia 29 (a)'!$S22</f>
        <v>24.5</v>
      </c>
      <c r="AE16" s="12">
        <f>'[4]Dia 30 (a)'!$S22</f>
        <v>23.3</v>
      </c>
      <c r="AF16" s="13"/>
      <c r="AG16" s="14"/>
    </row>
    <row r="17" spans="1:33" ht="20.100000000000001" customHeight="1">
      <c r="A17" s="11">
        <v>20</v>
      </c>
      <c r="B17" s="12">
        <f>'[4]Dia 1 (a)'!$S23</f>
        <v>23.6</v>
      </c>
      <c r="C17" s="12">
        <f>'[4]Dia 2 (a)'!$S23</f>
        <v>22.9</v>
      </c>
      <c r="D17" s="12">
        <f>'[4]Dia 3 (a)'!$S23</f>
        <v>23.5</v>
      </c>
      <c r="E17" s="12">
        <f>'[4]Dia 4 (a)'!$S23</f>
        <v>25.1</v>
      </c>
      <c r="F17" s="12">
        <f>'[4]Dia 5 (a)'!$S23</f>
        <v>24.2</v>
      </c>
      <c r="G17" s="12">
        <f>'[4]Dia 6 (a)'!$S23</f>
        <v>24.2</v>
      </c>
      <c r="H17" s="12">
        <f>'[4]Dia 7 (a)'!$S23</f>
        <v>23.5</v>
      </c>
      <c r="I17" s="12">
        <f>'[4]Dia 8 (a)'!$S23</f>
        <v>25.4</v>
      </c>
      <c r="J17" s="12">
        <f>'[4]Dia 9 (a)'!$S23</f>
        <v>26.1</v>
      </c>
      <c r="K17" s="12">
        <f>'[4]Dia 10 (a)'!$S23</f>
        <v>26.4</v>
      </c>
      <c r="L17" s="12">
        <f>'[4]Dia 11 (a)'!$S23</f>
        <v>26.1</v>
      </c>
      <c r="M17" s="12">
        <f>'[4]Dia 12 (a)'!$S23</f>
        <v>25.4</v>
      </c>
      <c r="N17" s="12">
        <f>'[4]Dia 13 (a)'!$S23</f>
        <v>24.9</v>
      </c>
      <c r="O17" s="12">
        <f>'[4]Dia 14 (a)'!$S23</f>
        <v>24.6</v>
      </c>
      <c r="P17" s="12">
        <f>'[4]Dia 15 (a)'!$S23</f>
        <v>24</v>
      </c>
      <c r="Q17" s="12">
        <f>'[4]Dia 16 (a)'!$S23</f>
        <v>23.4</v>
      </c>
      <c r="R17" s="12">
        <f>'[4]Dia 17 (a)'!$S23</f>
        <v>23</v>
      </c>
      <c r="S17" s="12">
        <f>'[4]Dia 18 (a)'!$S23</f>
        <v>22.5</v>
      </c>
      <c r="T17" s="12">
        <f>'[4]Dia 19 (a)'!$S23</f>
        <v>23.3</v>
      </c>
      <c r="U17" s="12">
        <f>'[4]Dia 20 (a)'!$S23</f>
        <v>23.7</v>
      </c>
      <c r="V17" s="12">
        <f>'[4]Dia 21 (a)'!$S23</f>
        <v>23.9</v>
      </c>
      <c r="W17" s="12">
        <f>'[4]Dia 22 (a)'!$S23</f>
        <v>23.9</v>
      </c>
      <c r="X17" s="12">
        <f>'[4]Dia 23 (a)'!$S23</f>
        <v>23.8</v>
      </c>
      <c r="Y17" s="12">
        <f>'[4]Dia 24 (a)'!$S23</f>
        <v>24.5</v>
      </c>
      <c r="Z17" s="12">
        <f>'[4]Dia 25 (a)'!$S23</f>
        <v>25.2</v>
      </c>
      <c r="AA17" s="12">
        <f>'[4]Dia 26 (a)'!$S23</f>
        <v>25.4</v>
      </c>
      <c r="AB17" s="12">
        <f>'[4]Dia 27 (a)'!$S23</f>
        <v>26</v>
      </c>
      <c r="AC17" s="12">
        <f>'[4]Dia 28 (a)'!$S23</f>
        <v>26.1</v>
      </c>
      <c r="AD17" s="12">
        <f>'[4]Dia 29 (a)'!$S23</f>
        <v>24.5</v>
      </c>
      <c r="AE17" s="12">
        <f>'[4]Dia 30 (a)'!$S23</f>
        <v>23.2</v>
      </c>
      <c r="AF17" s="13"/>
      <c r="AG17" s="14"/>
    </row>
    <row r="18" spans="1:33" ht="20.100000000000001" customHeight="1">
      <c r="A18" s="11">
        <v>21</v>
      </c>
      <c r="B18" s="12">
        <f>'[4]Dia 1 (a)'!$S24</f>
        <v>23.5</v>
      </c>
      <c r="C18" s="12">
        <f>'[4]Dia 2 (a)'!$S24</f>
        <v>22.9</v>
      </c>
      <c r="D18" s="12">
        <f>'[4]Dia 3 (a)'!$S24</f>
        <v>23.6</v>
      </c>
      <c r="E18" s="12">
        <f>'[4]Dia 4 (a)'!$S24</f>
        <v>25.2</v>
      </c>
      <c r="F18" s="12">
        <f>'[4]Dia 5 (a)'!$S24</f>
        <v>24.2</v>
      </c>
      <c r="G18" s="12">
        <f>'[4]Dia 6 (a)'!$S24</f>
        <v>24.3</v>
      </c>
      <c r="H18" s="12">
        <f>'[4]Dia 7 (a)'!$S24</f>
        <v>24.6</v>
      </c>
      <c r="I18" s="12">
        <f>'[4]Dia 8 (a)'!$S24</f>
        <v>25.5</v>
      </c>
      <c r="J18" s="12">
        <f>'[4]Dia 9 (a)'!$S24</f>
        <v>26.2</v>
      </c>
      <c r="K18" s="12">
        <f>'[4]Dia 10 (a)'!$S24</f>
        <v>26.5</v>
      </c>
      <c r="L18" s="12">
        <f>'[4]Dia 11 (a)'!$S24</f>
        <v>26.1</v>
      </c>
      <c r="M18" s="12">
        <f>'[4]Dia 12 (a)'!$S24</f>
        <v>25.5</v>
      </c>
      <c r="N18" s="12">
        <f>'[4]Dia 13 (a)'!$S24</f>
        <v>25</v>
      </c>
      <c r="O18" s="12">
        <f>'[4]Dia 14 (a)'!$S24</f>
        <v>24.6</v>
      </c>
      <c r="P18" s="12">
        <f>'[4]Dia 15 (a)'!$S24</f>
        <v>24</v>
      </c>
      <c r="Q18" s="12">
        <f>'[4]Dia 16 (a)'!$S24</f>
        <v>23.4</v>
      </c>
      <c r="R18" s="12">
        <f>'[4]Dia 17 (a)'!$S24</f>
        <v>22.9</v>
      </c>
      <c r="S18" s="12">
        <f>'[4]Dia 18 (a)'!$S24</f>
        <v>22.6</v>
      </c>
      <c r="T18" s="12">
        <f>'[4]Dia 19 (a)'!$S24</f>
        <v>23.4</v>
      </c>
      <c r="U18" s="12">
        <f>'[4]Dia 20 (a)'!$S24</f>
        <v>23.6</v>
      </c>
      <c r="V18" s="12">
        <f>'[4]Dia 21 (a)'!$S24</f>
        <v>24.1</v>
      </c>
      <c r="W18" s="12">
        <f>'[4]Dia 22 (a)'!$S24</f>
        <v>23.9</v>
      </c>
      <c r="X18" s="12">
        <f>'[4]Dia 23 (a)'!$S24</f>
        <v>24</v>
      </c>
      <c r="Y18" s="12">
        <f>'[4]Dia 24 (a)'!$S24</f>
        <v>24.5</v>
      </c>
      <c r="Z18" s="12">
        <f>'[4]Dia 25 (a)'!$S24</f>
        <v>25.2</v>
      </c>
      <c r="AA18" s="12">
        <f>'[4]Dia 26 (a)'!$S24</f>
        <v>25.4</v>
      </c>
      <c r="AB18" s="12">
        <f>'[4]Dia 27 (a)'!$S24</f>
        <v>26.1</v>
      </c>
      <c r="AC18" s="12">
        <f>'[4]Dia 28 (a)'!$S24</f>
        <v>26.3</v>
      </c>
      <c r="AD18" s="12">
        <f>'[4]Dia 29 (a)'!$S24</f>
        <v>24.5</v>
      </c>
      <c r="AE18" s="12">
        <f>'[4]Dia 30 (a)'!$S24</f>
        <v>23.2</v>
      </c>
      <c r="AF18" s="13"/>
      <c r="AG18" s="14"/>
    </row>
    <row r="19" spans="1:33" ht="20.100000000000001" customHeight="1">
      <c r="A19" s="11">
        <v>22</v>
      </c>
      <c r="B19" s="12">
        <f>'[4]Dia 1 (a)'!$S25</f>
        <v>23.5</v>
      </c>
      <c r="C19" s="12">
        <f>'[4]Dia 2 (a)'!$S25</f>
        <v>22.9</v>
      </c>
      <c r="D19" s="12">
        <f>'[4]Dia 3 (a)'!$S25</f>
        <v>23.6</v>
      </c>
      <c r="E19" s="12">
        <f>'[4]Dia 4 (a)'!$S25</f>
        <v>25.3</v>
      </c>
      <c r="F19" s="12">
        <f>'[4]Dia 5 (a)'!$S25</f>
        <v>24.1</v>
      </c>
      <c r="G19" s="12">
        <f>'[4]Dia 6 (a)'!$S25</f>
        <v>24.3</v>
      </c>
      <c r="H19" s="12">
        <f>'[4]Dia 7 (a)'!$S25</f>
        <v>24.6</v>
      </c>
      <c r="I19" s="12">
        <f>'[4]Dia 8 (a)'!$S25</f>
        <v>25.6</v>
      </c>
      <c r="J19" s="12">
        <f>'[4]Dia 9 (a)'!$S25</f>
        <v>26.3</v>
      </c>
      <c r="K19" s="12">
        <f>'[4]Dia 10 (a)'!$S25</f>
        <v>26.5</v>
      </c>
      <c r="L19" s="12">
        <f>'[4]Dia 11 (a)'!$S25</f>
        <v>26.2</v>
      </c>
      <c r="M19" s="12">
        <f>'[4]Dia 12 (a)'!$S25</f>
        <v>25.5</v>
      </c>
      <c r="N19" s="12">
        <f>'[4]Dia 13 (a)'!$S25</f>
        <v>25</v>
      </c>
      <c r="O19" s="12">
        <f>'[4]Dia 14 (a)'!$S25</f>
        <v>24.6</v>
      </c>
      <c r="P19" s="12">
        <f>'[4]Dia 15 (a)'!$S25</f>
        <v>24</v>
      </c>
      <c r="Q19" s="12">
        <f>'[4]Dia 16 (a)'!$S25</f>
        <v>23.4</v>
      </c>
      <c r="R19" s="12">
        <f>'[4]Dia 17 (a)'!$S25</f>
        <v>22.8</v>
      </c>
      <c r="S19" s="12">
        <f>'[4]Dia 18 (a)'!$S25</f>
        <v>22.6</v>
      </c>
      <c r="T19" s="12">
        <f>'[4]Dia 19 (a)'!$S25</f>
        <v>23.4</v>
      </c>
      <c r="U19" s="12">
        <f>'[4]Dia 20 (a)'!$S25</f>
        <v>23.7</v>
      </c>
      <c r="V19" s="12">
        <f>'[4]Dia 21 (a)'!$S25</f>
        <v>24.1</v>
      </c>
      <c r="W19" s="12">
        <f>'[4]Dia 22 (a)'!$S25</f>
        <v>24.1</v>
      </c>
      <c r="X19" s="12">
        <f>'[4]Dia 23 (a)'!$S25</f>
        <v>24</v>
      </c>
      <c r="Y19" s="12">
        <f>'[4]Dia 24 (a)'!$S25</f>
        <v>24.7</v>
      </c>
      <c r="Z19" s="12">
        <f>'[4]Dia 25 (a)'!$S25</f>
        <v>25.3</v>
      </c>
      <c r="AA19" s="12">
        <f>'[4]Dia 26 (a)'!$S25</f>
        <v>25.4</v>
      </c>
      <c r="AB19" s="12">
        <f>'[4]Dia 27 (a)'!$S25</f>
        <v>26.1</v>
      </c>
      <c r="AC19" s="12">
        <f>'[4]Dia 28 (a)'!$S25</f>
        <v>26.3</v>
      </c>
      <c r="AD19" s="12">
        <f>'[4]Dia 29 (a)'!$S25</f>
        <v>24.4</v>
      </c>
      <c r="AE19" s="12">
        <f>'[4]Dia 30 (a)'!$S25</f>
        <v>23.1</v>
      </c>
      <c r="AF19" s="13"/>
      <c r="AG19" s="14"/>
    </row>
    <row r="20" spans="1:33" ht="20.100000000000001" customHeight="1">
      <c r="A20" s="11">
        <v>23</v>
      </c>
      <c r="B20" s="12">
        <f>'[4]Dia 1 (a)'!$S26</f>
        <v>23.5</v>
      </c>
      <c r="C20" s="12">
        <f>'[4]Dia 2 (a)'!$S26</f>
        <v>22.9</v>
      </c>
      <c r="D20" s="12">
        <f>'[4]Dia 3 (a)'!$S26</f>
        <v>23.7</v>
      </c>
      <c r="E20" s="12">
        <f>'[4]Dia 4 (a)'!$S26</f>
        <v>25.3</v>
      </c>
      <c r="F20" s="12">
        <f>'[4]Dia 5 (a)'!$S26</f>
        <v>24.1</v>
      </c>
      <c r="G20" s="12">
        <f>'[4]Dia 6 (a)'!$S26</f>
        <v>24.3</v>
      </c>
      <c r="H20" s="12">
        <f>'[4]Dia 7 (a)'!$S26</f>
        <v>24.6</v>
      </c>
      <c r="I20" s="12">
        <f>'[4]Dia 8 (a)'!$S26</f>
        <v>25.6</v>
      </c>
      <c r="J20" s="12">
        <f>'[4]Dia 9 (a)'!$S26</f>
        <v>26.3</v>
      </c>
      <c r="K20" s="12">
        <f>'[4]Dia 10 (a)'!$S26</f>
        <v>26.3</v>
      </c>
      <c r="L20" s="12">
        <f>'[4]Dia 11 (a)'!$S26</f>
        <v>26.1</v>
      </c>
      <c r="M20" s="12">
        <f>'[4]Dia 12 (a)'!$S26</f>
        <v>25.3</v>
      </c>
      <c r="N20" s="12">
        <f>'[4]Dia 13 (a)'!$S26</f>
        <v>24.9</v>
      </c>
      <c r="O20" s="12">
        <f>'[4]Dia 14 (a)'!$S26</f>
        <v>24.6</v>
      </c>
      <c r="P20" s="12">
        <f>'[4]Dia 15 (a)'!$S26</f>
        <v>24</v>
      </c>
      <c r="Q20" s="12">
        <f>'[4]Dia 16 (a)'!$S26</f>
        <v>23.4</v>
      </c>
      <c r="R20" s="12">
        <f>'[4]Dia 17 (a)'!$S26</f>
        <v>22.8</v>
      </c>
      <c r="S20" s="12">
        <f>'[4]Dia 18 (a)'!$S26</f>
        <v>22.7</v>
      </c>
      <c r="T20" s="12">
        <f>'[4]Dia 19 (a)'!$S26</f>
        <v>23.4</v>
      </c>
      <c r="U20" s="12">
        <f>'[4]Dia 20 (a)'!$S26</f>
        <v>23.5</v>
      </c>
      <c r="V20" s="12">
        <f>'[4]Dia 21 (a)'!$S26</f>
        <v>24</v>
      </c>
      <c r="W20" s="12">
        <f>'[4]Dia 22 (a)'!$S26</f>
        <v>24</v>
      </c>
      <c r="X20" s="12">
        <f>'[4]Dia 23 (a)'!$S26</f>
        <v>23.8</v>
      </c>
      <c r="Y20" s="12">
        <f>'[4]Dia 24 (a)'!$S26</f>
        <v>24.6</v>
      </c>
      <c r="Z20" s="12">
        <f>'[4]Dia 25 (a)'!$S26</f>
        <v>25.4</v>
      </c>
      <c r="AA20" s="12">
        <f>'[4]Dia 26 (a)'!$S26</f>
        <v>25.6</v>
      </c>
      <c r="AB20" s="12">
        <f>'[4]Dia 27 (a)'!$S26</f>
        <v>26.1</v>
      </c>
      <c r="AC20" s="12">
        <f>'[4]Dia 28 (a)'!$S26</f>
        <v>26.3</v>
      </c>
      <c r="AD20" s="12">
        <f>'[4]Dia 29 (a)'!$S26</f>
        <v>24.4</v>
      </c>
      <c r="AE20" s="12">
        <f>'[4]Dia 30 (a)'!$S26</f>
        <v>23.2</v>
      </c>
      <c r="AF20" s="13"/>
      <c r="AG20" s="14"/>
    </row>
    <row r="21" spans="1:33" ht="20.100000000000001" customHeight="1" thickBot="1">
      <c r="A21" s="16">
        <v>24</v>
      </c>
      <c r="B21" s="17">
        <f>'[4]Dia 1 (a)'!$S27</f>
        <v>23.4</v>
      </c>
      <c r="C21" s="17">
        <f>'[4]Dia 2 (a)'!$S27</f>
        <v>22.9</v>
      </c>
      <c r="D21" s="17">
        <f>'[4]Dia 3 (a)'!$S27</f>
        <v>23.6</v>
      </c>
      <c r="E21" s="17">
        <f>'[4]Dia 4 (a)'!$S27</f>
        <v>25.3</v>
      </c>
      <c r="F21" s="17">
        <f>'[4]Dia 5 (a)'!$S27</f>
        <v>24</v>
      </c>
      <c r="G21" s="17">
        <f>'[4]Dia 6 (a)'!$S27</f>
        <v>24.3</v>
      </c>
      <c r="H21" s="17">
        <f>'[4]Dia 7 (a)'!$S27</f>
        <v>24.6</v>
      </c>
      <c r="I21" s="17">
        <f>'[4]Dia 8 (a)'!$S27</f>
        <v>25.6</v>
      </c>
      <c r="J21" s="17">
        <f>'[4]Dia 9 (a)'!$S27</f>
        <v>26.3</v>
      </c>
      <c r="K21" s="17">
        <f>'[4]Dia 10 (a)'!$S27</f>
        <v>26.3</v>
      </c>
      <c r="L21" s="17">
        <f>'[4]Dia 11 (a)'!$S27</f>
        <v>26.2</v>
      </c>
      <c r="M21" s="17">
        <f>'[4]Dia 12 (a)'!$S27</f>
        <v>25.4</v>
      </c>
      <c r="N21" s="17">
        <f>'[4]Dia 13 (a)'!$S27</f>
        <v>24.9</v>
      </c>
      <c r="O21" s="17">
        <f>'[4]Dia 14 (a)'!$S27</f>
        <v>24.5</v>
      </c>
      <c r="P21" s="17">
        <f>'[4]Dia 15 (a)'!$S27</f>
        <v>24</v>
      </c>
      <c r="Q21" s="17">
        <f>'[4]Dia 16 (a)'!$S27</f>
        <v>23.4</v>
      </c>
      <c r="R21" s="17">
        <f>'[4]Dia 17 (a)'!$S27</f>
        <v>22.8</v>
      </c>
      <c r="S21" s="17">
        <f>'[4]Dia 18 (a)'!$S27</f>
        <v>22.7</v>
      </c>
      <c r="T21" s="17">
        <f>'[4]Dia 19 (a)'!$S27</f>
        <v>23.4</v>
      </c>
      <c r="U21" s="17">
        <f>'[4]Dia 20 (a)'!$S27</f>
        <v>23.5</v>
      </c>
      <c r="V21" s="17">
        <f>'[4]Dia 21 (a)'!$S27</f>
        <v>23</v>
      </c>
      <c r="W21" s="17">
        <f>'[4]Dia 22 (a)'!$S27</f>
        <v>24</v>
      </c>
      <c r="X21" s="17">
        <f>'[4]Dia 23 (a)'!$S27</f>
        <v>23.8</v>
      </c>
      <c r="Y21" s="17">
        <f>'[4]Dia 24 (a)'!$S27</f>
        <v>24.7</v>
      </c>
      <c r="Z21" s="17">
        <f>'[4]Dia 25 (a)'!$S27</f>
        <v>25.4</v>
      </c>
      <c r="AA21" s="17">
        <f>'[4]Dia 26 (a)'!$S27</f>
        <v>25.6</v>
      </c>
      <c r="AB21" s="17">
        <f>'[4]Dia 27 (a)'!$S27</f>
        <v>26</v>
      </c>
      <c r="AC21" s="17">
        <f>'[4]Dia 28 (a)'!$S27</f>
        <v>26.2</v>
      </c>
      <c r="AD21" s="17">
        <f>'[4]Dia 29 (a)'!$S27</f>
        <v>24.4</v>
      </c>
      <c r="AE21" s="17">
        <f>'[4]Dia 30 (a)'!$S27</f>
        <v>23.2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45" t="s">
        <v>13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23.705555555555559</v>
      </c>
      <c r="C25" s="28">
        <f t="shared" ref="C25:AE25" si="0">AVERAGE(C4:C21)</f>
        <v>22.822222222222216</v>
      </c>
      <c r="D25" s="28">
        <f t="shared" si="0"/>
        <v>23.038888888888891</v>
      </c>
      <c r="E25" s="28">
        <f t="shared" si="0"/>
        <v>24.227777777777778</v>
      </c>
      <c r="F25" s="28">
        <f t="shared" si="0"/>
        <v>24.227777777777778</v>
      </c>
      <c r="G25" s="28">
        <f t="shared" si="0"/>
        <v>23.666666666666668</v>
      </c>
      <c r="H25" s="28">
        <f t="shared" si="0"/>
        <v>23.933333333333337</v>
      </c>
      <c r="I25" s="28">
        <f t="shared" si="0"/>
        <v>24.738888888888891</v>
      </c>
      <c r="J25" s="28">
        <f t="shared" si="0"/>
        <v>25.400000000000006</v>
      </c>
      <c r="K25" s="28">
        <f t="shared" si="0"/>
        <v>25.883333333333336</v>
      </c>
      <c r="L25" s="28">
        <f t="shared" si="0"/>
        <v>25.6</v>
      </c>
      <c r="M25" s="28">
        <f t="shared" si="0"/>
        <v>25.427777777777774</v>
      </c>
      <c r="N25" s="28">
        <f>AVERAGE(N4:N6,N13:N21)</f>
        <v>24.866666666666664</v>
      </c>
      <c r="O25" s="28">
        <f>AVERAGE(O4:O5,O13:O21)</f>
        <v>24.527272727272724</v>
      </c>
      <c r="P25" s="28">
        <f t="shared" si="0"/>
        <v>23.683333333333337</v>
      </c>
      <c r="Q25" s="28">
        <f t="shared" si="0"/>
        <v>23.077777777777769</v>
      </c>
      <c r="R25" s="28">
        <f t="shared" si="0"/>
        <v>22.755555555555556</v>
      </c>
      <c r="S25" s="28">
        <f>AVERAGE(S13:S21)</f>
        <v>22.444444444444443</v>
      </c>
      <c r="T25" s="28">
        <f>AVERAGE(T13:T21)</f>
        <v>23.144444444444446</v>
      </c>
      <c r="U25" s="28">
        <f>AVERAGE(U13:U21)</f>
        <v>23.4</v>
      </c>
      <c r="V25" s="28">
        <f t="shared" si="0"/>
        <v>23.3</v>
      </c>
      <c r="W25" s="28">
        <f t="shared" si="0"/>
        <v>23.366666666666667</v>
      </c>
      <c r="X25" s="28">
        <f t="shared" si="0"/>
        <v>23.583333333333339</v>
      </c>
      <c r="Y25" s="28">
        <f t="shared" si="0"/>
        <v>23.961111111111112</v>
      </c>
      <c r="Z25" s="28">
        <f>AVERAGE(Z10:Z21)</f>
        <v>24.808333333333326</v>
      </c>
      <c r="AA25" s="28">
        <f t="shared" si="0"/>
        <v>24.983333333333331</v>
      </c>
      <c r="AB25" s="28">
        <f t="shared" si="0"/>
        <v>25.31666666666667</v>
      </c>
      <c r="AC25" s="28">
        <f t="shared" si="0"/>
        <v>25.483333333333334</v>
      </c>
      <c r="AD25" s="28">
        <f t="shared" si="0"/>
        <v>24.638888888888886</v>
      </c>
      <c r="AE25" s="28">
        <f t="shared" si="0"/>
        <v>23.388888888888889</v>
      </c>
      <c r="AF25" s="28"/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24</v>
      </c>
      <c r="C29" s="28">
        <f t="shared" ref="C29:AE29" si="1">MAX(C4:C21)</f>
        <v>22.9</v>
      </c>
      <c r="D29" s="28">
        <f t="shared" si="1"/>
        <v>23.7</v>
      </c>
      <c r="E29" s="28">
        <f t="shared" si="1"/>
        <v>25.3</v>
      </c>
      <c r="F29" s="28">
        <f t="shared" si="1"/>
        <v>24.6</v>
      </c>
      <c r="G29" s="28">
        <f t="shared" si="1"/>
        <v>24.3</v>
      </c>
      <c r="H29" s="28">
        <f t="shared" si="1"/>
        <v>24.6</v>
      </c>
      <c r="I29" s="28">
        <f t="shared" si="1"/>
        <v>25.6</v>
      </c>
      <c r="J29" s="28">
        <f t="shared" si="1"/>
        <v>26.3</v>
      </c>
      <c r="K29" s="28">
        <f t="shared" si="1"/>
        <v>26.5</v>
      </c>
      <c r="L29" s="28">
        <f t="shared" si="1"/>
        <v>26.2</v>
      </c>
      <c r="M29" s="28">
        <f t="shared" si="1"/>
        <v>25.6</v>
      </c>
      <c r="N29" s="28">
        <f t="shared" si="1"/>
        <v>25</v>
      </c>
      <c r="O29" s="28">
        <f t="shared" si="1"/>
        <v>24.6</v>
      </c>
      <c r="P29" s="28">
        <f t="shared" si="1"/>
        <v>24</v>
      </c>
      <c r="Q29" s="28">
        <f t="shared" si="1"/>
        <v>23.4</v>
      </c>
      <c r="R29" s="28">
        <f t="shared" si="1"/>
        <v>23</v>
      </c>
      <c r="S29" s="28">
        <f t="shared" si="1"/>
        <v>22.7</v>
      </c>
      <c r="T29" s="28">
        <f t="shared" si="1"/>
        <v>23.4</v>
      </c>
      <c r="U29" s="28">
        <f t="shared" si="1"/>
        <v>23.7</v>
      </c>
      <c r="V29" s="28">
        <f t="shared" si="1"/>
        <v>24.1</v>
      </c>
      <c r="W29" s="28">
        <f t="shared" si="1"/>
        <v>24.1</v>
      </c>
      <c r="X29" s="28">
        <f t="shared" si="1"/>
        <v>24</v>
      </c>
      <c r="Y29" s="28">
        <f t="shared" si="1"/>
        <v>24.7</v>
      </c>
      <c r="Z29" s="28">
        <f t="shared" si="1"/>
        <v>25.4</v>
      </c>
      <c r="AA29" s="28">
        <f t="shared" si="1"/>
        <v>25.6</v>
      </c>
      <c r="AB29" s="28">
        <f t="shared" si="1"/>
        <v>26.1</v>
      </c>
      <c r="AC29" s="28">
        <f t="shared" si="1"/>
        <v>26.3</v>
      </c>
      <c r="AD29" s="28">
        <f t="shared" si="1"/>
        <v>25</v>
      </c>
      <c r="AE29" s="28">
        <f t="shared" si="1"/>
        <v>23.7</v>
      </c>
      <c r="AF29" s="28"/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23.4</v>
      </c>
      <c r="C33" s="28">
        <f t="shared" ref="C33:AE33" si="2">MIN(C4:C21)</f>
        <v>22.7</v>
      </c>
      <c r="D33" s="28">
        <f t="shared" si="2"/>
        <v>22.6</v>
      </c>
      <c r="E33" s="28">
        <f t="shared" si="2"/>
        <v>23.2</v>
      </c>
      <c r="F33" s="28">
        <f t="shared" si="2"/>
        <v>24</v>
      </c>
      <c r="G33" s="28">
        <f t="shared" si="2"/>
        <v>23.2</v>
      </c>
      <c r="H33" s="28">
        <f t="shared" si="2"/>
        <v>23.4</v>
      </c>
      <c r="I33" s="28">
        <f t="shared" si="2"/>
        <v>24</v>
      </c>
      <c r="J33" s="28">
        <f t="shared" si="2"/>
        <v>24.6</v>
      </c>
      <c r="K33" s="28">
        <f t="shared" si="2"/>
        <v>25.3</v>
      </c>
      <c r="L33" s="28">
        <f t="shared" si="2"/>
        <v>25.1</v>
      </c>
      <c r="M33" s="28">
        <f t="shared" si="2"/>
        <v>25.3</v>
      </c>
      <c r="N33" s="28">
        <f>MIN(N4:N6,N13:N21)</f>
        <v>24.7</v>
      </c>
      <c r="O33" s="28">
        <f>MIN(O4:O5,O13:O21)</f>
        <v>24.4</v>
      </c>
      <c r="P33" s="28">
        <f t="shared" si="2"/>
        <v>23.3</v>
      </c>
      <c r="Q33" s="28">
        <f t="shared" si="2"/>
        <v>22.7</v>
      </c>
      <c r="R33" s="28">
        <f t="shared" si="2"/>
        <v>22.5</v>
      </c>
      <c r="S33" s="28">
        <f>MIN(S13:S21)</f>
        <v>21.9</v>
      </c>
      <c r="T33" s="28">
        <f>MIN(T13:T21)</f>
        <v>22.5</v>
      </c>
      <c r="U33" s="28">
        <f>MIN(U13:U21)</f>
        <v>22.9</v>
      </c>
      <c r="V33" s="28">
        <f t="shared" si="2"/>
        <v>22.8</v>
      </c>
      <c r="W33" s="28">
        <f t="shared" si="2"/>
        <v>22.8</v>
      </c>
      <c r="X33" s="28">
        <f t="shared" si="2"/>
        <v>23.3</v>
      </c>
      <c r="Y33" s="28">
        <f t="shared" si="2"/>
        <v>23.4</v>
      </c>
      <c r="Z33" s="28">
        <f>MIN(Z10:Z21)</f>
        <v>23.8</v>
      </c>
      <c r="AA33" s="28">
        <f t="shared" si="2"/>
        <v>24.5</v>
      </c>
      <c r="AB33" s="28">
        <f t="shared" si="2"/>
        <v>24.8</v>
      </c>
      <c r="AC33" s="28">
        <f t="shared" si="2"/>
        <v>24.8</v>
      </c>
      <c r="AD33" s="28">
        <f t="shared" si="2"/>
        <v>24.4</v>
      </c>
      <c r="AE33" s="28">
        <f t="shared" si="2"/>
        <v>23.1</v>
      </c>
      <c r="AF33" s="28"/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0.60000000000000142</v>
      </c>
      <c r="C37" s="28">
        <f t="shared" ref="C37:AE37" si="3">C29-C33</f>
        <v>0.19999999999999929</v>
      </c>
      <c r="D37" s="28">
        <f t="shared" si="3"/>
        <v>1.0999999999999979</v>
      </c>
      <c r="E37" s="28">
        <f t="shared" si="3"/>
        <v>2.1000000000000014</v>
      </c>
      <c r="F37" s="28">
        <f t="shared" si="3"/>
        <v>0.60000000000000142</v>
      </c>
      <c r="G37" s="28">
        <f t="shared" si="3"/>
        <v>1.1000000000000014</v>
      </c>
      <c r="H37" s="28">
        <f t="shared" si="3"/>
        <v>1.2000000000000028</v>
      </c>
      <c r="I37" s="28">
        <f t="shared" si="3"/>
        <v>1.6000000000000014</v>
      </c>
      <c r="J37" s="28">
        <f t="shared" si="3"/>
        <v>1.6999999999999993</v>
      </c>
      <c r="K37" s="28">
        <f t="shared" si="3"/>
        <v>1.1999999999999993</v>
      </c>
      <c r="L37" s="28">
        <f t="shared" si="3"/>
        <v>1.0999999999999979</v>
      </c>
      <c r="M37" s="28">
        <f t="shared" si="3"/>
        <v>0.30000000000000071</v>
      </c>
      <c r="N37" s="28">
        <f t="shared" si="3"/>
        <v>0.30000000000000071</v>
      </c>
      <c r="O37" s="28">
        <f t="shared" si="3"/>
        <v>0.20000000000000284</v>
      </c>
      <c r="P37" s="28">
        <f t="shared" si="3"/>
        <v>0.69999999999999929</v>
      </c>
      <c r="Q37" s="28">
        <f t="shared" si="3"/>
        <v>0.69999999999999929</v>
      </c>
      <c r="R37" s="28">
        <f t="shared" si="3"/>
        <v>0.5</v>
      </c>
      <c r="S37" s="28">
        <f t="shared" si="3"/>
        <v>0.80000000000000071</v>
      </c>
      <c r="T37" s="28">
        <f t="shared" si="3"/>
        <v>0.89999999999999858</v>
      </c>
      <c r="U37" s="28">
        <f t="shared" si="3"/>
        <v>0.80000000000000071</v>
      </c>
      <c r="V37" s="28">
        <f t="shared" si="3"/>
        <v>1.3000000000000007</v>
      </c>
      <c r="W37" s="28">
        <f t="shared" si="3"/>
        <v>1.3000000000000007</v>
      </c>
      <c r="X37" s="28">
        <f t="shared" si="3"/>
        <v>0.69999999999999929</v>
      </c>
      <c r="Y37" s="28">
        <f t="shared" si="3"/>
        <v>1.3000000000000007</v>
      </c>
      <c r="Z37" s="28">
        <f t="shared" si="3"/>
        <v>1.5999999999999979</v>
      </c>
      <c r="AA37" s="28">
        <f t="shared" si="3"/>
        <v>1.1000000000000014</v>
      </c>
      <c r="AB37" s="28">
        <f t="shared" si="3"/>
        <v>1.3000000000000007</v>
      </c>
      <c r="AC37" s="28">
        <f t="shared" si="3"/>
        <v>1.5</v>
      </c>
      <c r="AD37" s="28">
        <f t="shared" si="3"/>
        <v>0.60000000000000142</v>
      </c>
      <c r="AE37" s="28">
        <f t="shared" si="3"/>
        <v>0.59999999999999787</v>
      </c>
      <c r="AF37" s="28"/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24.113409090909091</v>
      </c>
      <c r="I43" s="40"/>
      <c r="J43" s="42"/>
      <c r="K43" s="41">
        <f>MAX(B29:AF29)</f>
        <v>26.5</v>
      </c>
      <c r="L43" s="42"/>
      <c r="M43" s="42"/>
      <c r="N43" s="41">
        <f>MIN(B33:AF33)</f>
        <v>21.9</v>
      </c>
      <c r="O43" s="42"/>
      <c r="P43" s="42"/>
      <c r="Q43" s="41">
        <f>K43-N43</f>
        <v>4.6000000000000014</v>
      </c>
      <c r="R43" s="40"/>
      <c r="S43" s="41"/>
      <c r="T43" s="41">
        <f>AVERAGE(B29:AF29)</f>
        <v>24.613333333333337</v>
      </c>
      <c r="U43" s="41"/>
      <c r="V43" s="41">
        <f>AVERAGE(B33:AF33)</f>
        <v>23.646666666666658</v>
      </c>
      <c r="W43" s="41"/>
      <c r="X43" s="41">
        <f>T43-V43</f>
        <v>0.96666666666667922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(a)'!$S10</f>
        <v>22.8</v>
      </c>
      <c r="C4" s="12">
        <f>'[5]Dia 2 (a)'!$S10</f>
        <v>23.2</v>
      </c>
      <c r="D4" s="12">
        <f>'[5]Dia 3 (a)'!$S10</f>
        <v>23.5</v>
      </c>
      <c r="E4" s="12">
        <f>'[5]Dia 4 (a)'!$S10</f>
        <v>24.2</v>
      </c>
      <c r="F4" s="12">
        <f>'[5]Dia 5 (a)'!$S10</f>
        <v>21.7</v>
      </c>
      <c r="G4" s="12">
        <f>'[5]Dia 6 (a)'!$S10</f>
        <v>20.7</v>
      </c>
      <c r="H4" s="12">
        <f>'[5]Dia 7 (a)'!$S10</f>
        <v>20.6</v>
      </c>
      <c r="I4" s="12">
        <f>'[5]Dia 8 (a)'!$S10</f>
        <v>20.100000000000001</v>
      </c>
      <c r="J4" s="12">
        <f>'[5]Dia 9 (a)'!$S10</f>
        <v>20.2</v>
      </c>
      <c r="K4" s="12">
        <f>'[5]Dia 10 (a)'!$S10</f>
        <v>20.7</v>
      </c>
      <c r="L4" s="12">
        <f>'[5]Dia 11 (a)'!$S10</f>
        <v>21.1</v>
      </c>
      <c r="M4" s="12">
        <f>'[5]Dia 12 (a)'!$S10</f>
        <v>21.4</v>
      </c>
      <c r="N4" s="12">
        <f>'[5]Dia 13 (a)'!$S10</f>
        <v>21.1</v>
      </c>
      <c r="O4" s="12">
        <f>'[5]Dia 14 (a)'!$S10</f>
        <v>21.6</v>
      </c>
      <c r="P4" s="12">
        <f>'[5]Dia 15 (a)'!$S10</f>
        <v>22.1</v>
      </c>
      <c r="Q4" s="12">
        <f>'[5]Dia 16 (a)'!$S10</f>
        <v>21.2</v>
      </c>
      <c r="R4" s="12">
        <f>'[5]Dia 17 (a)'!$S10</f>
        <v>20.399999999999999</v>
      </c>
      <c r="S4" s="12">
        <f>'[5]Dia 18 (a)'!$S10</f>
        <v>19.7</v>
      </c>
      <c r="T4" s="12">
        <f>'[5]Dia 19 (a)'!$S10</f>
        <v>18.2</v>
      </c>
      <c r="U4" s="12">
        <f>'[5]Dia 20 (a)'!$S10</f>
        <v>17.399999999999999</v>
      </c>
      <c r="V4" s="12">
        <f>'[5]Dia 21 (a)'!$S10</f>
        <v>17.8</v>
      </c>
      <c r="W4" s="12">
        <f>'[5]Dia 22 (a)'!$S10</f>
        <v>18.2</v>
      </c>
      <c r="X4" s="12">
        <f>'[5]Dia 23 (a)'!$S10</f>
        <v>18.600000000000001</v>
      </c>
      <c r="Y4" s="12">
        <f>'[5]Dia 24 (a)'!$S10</f>
        <v>19.399999999999999</v>
      </c>
      <c r="Z4" s="12">
        <f>'[5]Dia 25 (a)'!$S10</f>
        <v>19.2</v>
      </c>
      <c r="AA4" s="12">
        <f>'[5]Dia 26 (a)'!$S10</f>
        <v>19.899999999999999</v>
      </c>
      <c r="AB4" s="12">
        <f>'[5]Dia 27 (a)'!$S10</f>
        <v>20.2</v>
      </c>
      <c r="AC4" s="12">
        <f>'[5]Dia 28 (a)'!$S10</f>
        <v>20.399999999999999</v>
      </c>
      <c r="AD4" s="12">
        <f>'[5]Dia 29 (a)'!$S10</f>
        <v>20.399999999999999</v>
      </c>
      <c r="AE4" s="12">
        <f>'[5]Dia 30 (a)'!$S10</f>
        <v>21.1</v>
      </c>
      <c r="AF4" s="13">
        <f>'[5]Dia 31 (a)'!$S10</f>
        <v>20.2</v>
      </c>
      <c r="AG4" s="14"/>
    </row>
    <row r="5" spans="1:33" ht="20.100000000000001" customHeight="1">
      <c r="A5" s="11">
        <v>8</v>
      </c>
      <c r="B5" s="12">
        <f>'[5]Dia 1 (a)'!$S11</f>
        <v>22.9</v>
      </c>
      <c r="C5" s="12">
        <f>'[5]Dia 2 (a)'!$S11</f>
        <v>23.2</v>
      </c>
      <c r="D5" s="12">
        <f>'[5]Dia 3 (a)'!$S11</f>
        <v>23.6</v>
      </c>
      <c r="E5" s="12">
        <f>'[5]Dia 4 (a)'!$S11</f>
        <v>24.1</v>
      </c>
      <c r="F5" s="12">
        <f>'[5]Dia 5 (a)'!$S11</f>
        <v>21.6</v>
      </c>
      <c r="G5" s="12">
        <f>'[5]Dia 6 (a)'!$S11</f>
        <v>20.5</v>
      </c>
      <c r="H5" s="12">
        <f>'[5]Dia 7 (a)'!$S11</f>
        <v>20.6</v>
      </c>
      <c r="I5" s="12">
        <f>'[5]Dia 8 (a)'!$S11</f>
        <v>20</v>
      </c>
      <c r="J5" s="12">
        <f>'[5]Dia 9 (a)'!$S11</f>
        <v>20.3</v>
      </c>
      <c r="K5" s="12">
        <f>'[5]Dia 10 (a)'!$S11</f>
        <v>20.7</v>
      </c>
      <c r="L5" s="12">
        <f>'[5]Dia 11 (a)'!$S11</f>
        <v>21</v>
      </c>
      <c r="M5" s="12">
        <f>'[5]Dia 12 (a)'!$S11</f>
        <v>21.4</v>
      </c>
      <c r="N5" s="12">
        <f>'[5]Dia 13 (a)'!$S11</f>
        <v>21.1</v>
      </c>
      <c r="O5" s="12">
        <f>'[5]Dia 14 (a)'!$S11</f>
        <v>21.6</v>
      </c>
      <c r="P5" s="12">
        <f>'[5]Dia 15 (a)'!$S11</f>
        <v>22</v>
      </c>
      <c r="Q5" s="12">
        <f>'[5]Dia 16 (a)'!$S11</f>
        <v>21.2</v>
      </c>
      <c r="R5" s="12">
        <f>'[5]Dia 17 (a)'!$S11</f>
        <v>20.399999999999999</v>
      </c>
      <c r="S5" s="12">
        <f>'[5]Dia 18 (a)'!$S11</f>
        <v>19.600000000000001</v>
      </c>
      <c r="T5" s="12">
        <f>'[5]Dia 19 (a)'!$S11</f>
        <v>18.399999999999999</v>
      </c>
      <c r="U5" s="12">
        <f>'[5]Dia 20 (a)'!$S11</f>
        <v>17.2</v>
      </c>
      <c r="V5" s="12">
        <f>'[5]Dia 21 (a)'!$S11</f>
        <v>17.8</v>
      </c>
      <c r="W5" s="12">
        <f>'[5]Dia 22 (a)'!$S11</f>
        <v>18.2</v>
      </c>
      <c r="X5" s="12">
        <f>'[5]Dia 23 (a)'!$S11</f>
        <v>18.600000000000001</v>
      </c>
      <c r="Y5" s="12">
        <f>'[5]Dia 24 (a)'!$S11</f>
        <v>19.399999999999999</v>
      </c>
      <c r="Z5" s="12">
        <f>'[5]Dia 25 (a)'!$S11</f>
        <v>19.2</v>
      </c>
      <c r="AA5" s="12">
        <f>'[5]Dia 26 (a)'!$S11</f>
        <v>19.899999999999999</v>
      </c>
      <c r="AB5" s="12">
        <f>'[5]Dia 27 (a)'!$S11</f>
        <v>20.2</v>
      </c>
      <c r="AC5" s="12">
        <f>'[5]Dia 28 (a)'!$S11</f>
        <v>20.3</v>
      </c>
      <c r="AD5" s="12">
        <f>'[5]Dia 29 (a)'!$S11</f>
        <v>20.399999999999999</v>
      </c>
      <c r="AE5" s="12">
        <f>'[5]Dia 30 (a)'!$S11</f>
        <v>20.9</v>
      </c>
      <c r="AF5" s="13">
        <f>'[5]Dia 31 (a)'!$S11</f>
        <v>20.2</v>
      </c>
      <c r="AG5" s="14"/>
    </row>
    <row r="6" spans="1:33" ht="20.100000000000001" customHeight="1">
      <c r="A6" s="11">
        <v>9</v>
      </c>
      <c r="B6" s="12">
        <f>'[5]Dia 1 (a)'!$S12</f>
        <v>22.8</v>
      </c>
      <c r="C6" s="12">
        <f>'[5]Dia 2 (a)'!$S12</f>
        <v>23.2</v>
      </c>
      <c r="D6" s="12">
        <f>'[5]Dia 3 (a)'!$S12</f>
        <v>23.6</v>
      </c>
      <c r="E6" s="12">
        <f>'[5]Dia 4 (a)'!$S12</f>
        <v>24</v>
      </c>
      <c r="F6" s="12">
        <f>'[5]Dia 5 (a)'!$S12</f>
        <v>21.4</v>
      </c>
      <c r="G6" s="12">
        <f>'[5]Dia 6 (a)'!$S12</f>
        <v>20.7</v>
      </c>
      <c r="H6" s="12">
        <f>'[5]Dia 7 (a)'!$S12</f>
        <v>20.5</v>
      </c>
      <c r="I6" s="12">
        <f>'[5]Dia 8 (a)'!$S12</f>
        <v>20</v>
      </c>
      <c r="J6" s="12">
        <f>'[5]Dia 9 (a)'!$S12</f>
        <v>20.3</v>
      </c>
      <c r="K6" s="12">
        <f>'[5]Dia 10 (a)'!$S12</f>
        <v>20.6</v>
      </c>
      <c r="L6" s="12">
        <f>'[5]Dia 11 (a)'!$S12</f>
        <v>21</v>
      </c>
      <c r="M6" s="12">
        <f>'[5]Dia 12 (a)'!$S12</f>
        <v>21.3</v>
      </c>
      <c r="N6" s="12">
        <f>'[5]Dia 13 (a)'!$S12</f>
        <v>21.1</v>
      </c>
      <c r="O6" s="12">
        <f>'[5]Dia 14 (a)'!$S12</f>
        <v>21.6</v>
      </c>
      <c r="P6" s="12">
        <f>'[5]Dia 15 (a)'!$S12</f>
        <v>22</v>
      </c>
      <c r="Q6" s="12">
        <f>'[5]Dia 16 (a)'!$S12</f>
        <v>21.3</v>
      </c>
      <c r="R6" s="12">
        <f>'[5]Dia 17 (a)'!$S12</f>
        <v>20.399999999999999</v>
      </c>
      <c r="S6" s="12">
        <f>'[5]Dia 18 (a)'!$S12</f>
        <v>19.5</v>
      </c>
      <c r="T6" s="12">
        <f>'[5]Dia 19 (a)'!$S12</f>
        <v>18.399999999999999</v>
      </c>
      <c r="U6" s="12">
        <f>'[5]Dia 20 (a)'!$S12</f>
        <v>17</v>
      </c>
      <c r="V6" s="12">
        <f>'[5]Dia 21 (a)'!$S12</f>
        <v>17.8</v>
      </c>
      <c r="W6" s="12">
        <f>'[5]Dia 22 (a)'!$S12</f>
        <v>18.2</v>
      </c>
      <c r="X6" s="12">
        <f>'[5]Dia 23 (a)'!$S12</f>
        <v>18.8</v>
      </c>
      <c r="Y6" s="12">
        <f>'[5]Dia 24 (a)'!$S12</f>
        <v>19.399999999999999</v>
      </c>
      <c r="Z6" s="12">
        <f>'[5]Dia 25 (a)'!$S12</f>
        <v>19</v>
      </c>
      <c r="AA6" s="12">
        <f>'[5]Dia 26 (a)'!$S12</f>
        <v>19.899999999999999</v>
      </c>
      <c r="AB6" s="12">
        <f>'[5]Dia 27 (a)'!$S12</f>
        <v>20.2</v>
      </c>
      <c r="AC6" s="12">
        <f>'[5]Dia 28 (a)'!$S12</f>
        <v>20.3</v>
      </c>
      <c r="AD6" s="12">
        <f>'[5]Dia 29 (a)'!$S12</f>
        <v>20.3</v>
      </c>
      <c r="AE6" s="12">
        <f>'[5]Dia 30 (a)'!$S12</f>
        <v>20.9</v>
      </c>
      <c r="AF6" s="13">
        <f>'[5]Dia 31 (a)'!$S12</f>
        <v>20.2</v>
      </c>
      <c r="AG6" s="14"/>
    </row>
    <row r="7" spans="1:33" ht="20.100000000000001" customHeight="1">
      <c r="A7" s="11">
        <v>10</v>
      </c>
      <c r="B7" s="12">
        <f>'[5]Dia 1 (a)'!$S13</f>
        <v>22.9</v>
      </c>
      <c r="C7" s="12">
        <f>'[5]Dia 2 (a)'!$S13</f>
        <v>23.2</v>
      </c>
      <c r="D7" s="12">
        <f>'[5]Dia 3 (a)'!$S13</f>
        <v>23.5</v>
      </c>
      <c r="E7" s="12">
        <f>'[5]Dia 4 (a)'!$S13</f>
        <v>23.9</v>
      </c>
      <c r="F7" s="12">
        <f>'[5]Dia 5 (a)'!$S13</f>
        <v>21.3</v>
      </c>
      <c r="G7" s="12">
        <f>'[5]Dia 6 (a)'!$S13</f>
        <v>20.8</v>
      </c>
      <c r="H7" s="12">
        <f>'[5]Dia 7 (a)'!$S13</f>
        <v>20.399999999999999</v>
      </c>
      <c r="I7" s="12">
        <f>'[5]Dia 8 (a)'!$S13</f>
        <v>20</v>
      </c>
      <c r="J7" s="12">
        <f>'[5]Dia 9 (a)'!$S13</f>
        <v>20.3</v>
      </c>
      <c r="K7" s="12">
        <f>'[5]Dia 10 (a)'!$S13</f>
        <v>20.6</v>
      </c>
      <c r="L7" s="12">
        <f>'[5]Dia 11 (a)'!$S13</f>
        <v>21</v>
      </c>
      <c r="M7" s="12">
        <f>'[5]Dia 12 (a)'!$S13</f>
        <v>21.4</v>
      </c>
      <c r="N7" s="12">
        <f>'[5]Dia 13 (a)'!$S13</f>
        <v>21</v>
      </c>
      <c r="O7" s="12">
        <f>'[5]Dia 14 (a)'!$S13</f>
        <v>21.6</v>
      </c>
      <c r="P7" s="12">
        <f>'[5]Dia 15 (a)'!$S13</f>
        <v>21.9</v>
      </c>
      <c r="Q7" s="12">
        <f>'[5]Dia 16 (a)'!$S13</f>
        <v>21.2</v>
      </c>
      <c r="R7" s="12">
        <f>'[5]Dia 17 (a)'!$S13</f>
        <v>20.399999999999999</v>
      </c>
      <c r="S7" s="12">
        <f>'[5]Dia 18 (a)'!$S13</f>
        <v>19.399999999999999</v>
      </c>
      <c r="T7" s="12">
        <f>'[5]Dia 19 (a)'!$S13</f>
        <v>18.2</v>
      </c>
      <c r="U7" s="12">
        <f>'[5]Dia 20 (a)'!$S13</f>
        <v>17.2</v>
      </c>
      <c r="V7" s="12">
        <f>'[5]Dia 21 (a)'!$S13</f>
        <v>17.8</v>
      </c>
      <c r="W7" s="12">
        <f>'[5]Dia 22 (a)'!$S13</f>
        <v>18.2</v>
      </c>
      <c r="X7" s="12">
        <f>'[5]Dia 23 (a)'!$S13</f>
        <v>18.600000000000001</v>
      </c>
      <c r="Y7" s="12">
        <f>'[5]Dia 24 (a)'!$S13</f>
        <v>19.399999999999999</v>
      </c>
      <c r="Z7" s="12">
        <f>'[5]Dia 25 (a)'!$S13</f>
        <v>19</v>
      </c>
      <c r="AA7" s="12">
        <f>'[5]Dia 26 (a)'!$S13</f>
        <v>19.899999999999999</v>
      </c>
      <c r="AB7" s="12">
        <f>'[5]Dia 27 (a)'!$S13</f>
        <v>20.100000000000001</v>
      </c>
      <c r="AC7" s="12">
        <f>'[5]Dia 28 (a)'!$S13</f>
        <v>20.2</v>
      </c>
      <c r="AD7" s="12">
        <f>'[5]Dia 29 (a)'!$S13</f>
        <v>20.2</v>
      </c>
      <c r="AE7" s="12">
        <f>'[5]Dia 30 (a)'!$S13</f>
        <v>20.8</v>
      </c>
      <c r="AF7" s="13">
        <f>'[5]Dia 31 (a)'!$S13</f>
        <v>20.100000000000001</v>
      </c>
      <c r="AG7" s="14"/>
    </row>
    <row r="8" spans="1:33" ht="20.100000000000001" customHeight="1">
      <c r="A8" s="11">
        <v>11</v>
      </c>
      <c r="B8" s="12">
        <f>'[5]Dia 1 (a)'!$S14</f>
        <v>22.9</v>
      </c>
      <c r="C8" s="12">
        <f>'[5]Dia 2 (a)'!$S14</f>
        <v>23.2</v>
      </c>
      <c r="D8" s="12">
        <f>'[5]Dia 3 (a)'!$S14</f>
        <v>23.5</v>
      </c>
      <c r="E8" s="12">
        <f>'[5]Dia 4 (a)'!$S14</f>
        <v>23.8</v>
      </c>
      <c r="F8" s="12">
        <f>'[5]Dia 5 (a)'!$S14</f>
        <v>21.2</v>
      </c>
      <c r="G8" s="12">
        <f>'[5]Dia 6 (a)'!$S14</f>
        <v>20.5</v>
      </c>
      <c r="H8" s="12">
        <f>'[5]Dia 7 (a)'!$S14</f>
        <v>20.399999999999999</v>
      </c>
      <c r="I8" s="12">
        <f>'[5]Dia 8 (a)'!$S14</f>
        <v>20</v>
      </c>
      <c r="J8" s="12">
        <f>'[5]Dia 9 (a)'!$S14</f>
        <v>20.3</v>
      </c>
      <c r="K8" s="12">
        <f>'[5]Dia 10 (a)'!$S14</f>
        <v>20.6</v>
      </c>
      <c r="L8" s="12">
        <f>'[5]Dia 11 (a)'!$S14</f>
        <v>21</v>
      </c>
      <c r="M8" s="12">
        <f>'[5]Dia 12 (a)'!$S14</f>
        <v>21.4</v>
      </c>
      <c r="N8" s="12">
        <f>'[5]Dia 13 (a)'!$S14</f>
        <v>21.1</v>
      </c>
      <c r="O8" s="12">
        <f>'[5]Dia 14 (a)'!$S14</f>
        <v>21.6</v>
      </c>
      <c r="P8" s="12">
        <f>'[5]Dia 15 (a)'!$S14</f>
        <v>21.9</v>
      </c>
      <c r="Q8" s="12">
        <f>'[5]Dia 16 (a)'!$S14</f>
        <v>21.1</v>
      </c>
      <c r="R8" s="12">
        <f>'[5]Dia 17 (a)'!$S14</f>
        <v>20.399999999999999</v>
      </c>
      <c r="S8" s="12">
        <f>'[5]Dia 18 (a)'!$S14</f>
        <v>19.2</v>
      </c>
      <c r="T8" s="12">
        <f>'[5]Dia 19 (a)'!$S14</f>
        <v>18.2</v>
      </c>
      <c r="U8" s="12">
        <f>'[5]Dia 20 (a)'!$S14</f>
        <v>17</v>
      </c>
      <c r="V8" s="12">
        <f>'[5]Dia 21 (a)'!$S14</f>
        <v>17.8</v>
      </c>
      <c r="W8" s="12">
        <f>'[5]Dia 22 (a)'!$S14</f>
        <v>18.2</v>
      </c>
      <c r="X8" s="12">
        <f>'[5]Dia 23 (a)'!$S14</f>
        <v>18.600000000000001</v>
      </c>
      <c r="Y8" s="12">
        <f>'[5]Dia 24 (a)'!$S14</f>
        <v>19.399999999999999</v>
      </c>
      <c r="Z8" s="12">
        <f>'[5]Dia 25 (a)'!$S14</f>
        <v>19.399999999999999</v>
      </c>
      <c r="AA8" s="12">
        <f>'[5]Dia 26 (a)'!$S14</f>
        <v>19.899999999999999</v>
      </c>
      <c r="AB8" s="12">
        <f>'[5]Dia 27 (a)'!$S14</f>
        <v>20</v>
      </c>
      <c r="AC8" s="12">
        <f>'[5]Dia 28 (a)'!$S14</f>
        <v>20.2</v>
      </c>
      <c r="AD8" s="12">
        <f>'[5]Dia 29 (a)'!$S14</f>
        <v>20.2</v>
      </c>
      <c r="AE8" s="12">
        <f>'[5]Dia 30 (a)'!$S14</f>
        <v>20.9</v>
      </c>
      <c r="AF8" s="13">
        <f>'[5]Dia 31 (a)'!$S14</f>
        <v>20</v>
      </c>
      <c r="AG8" s="14"/>
    </row>
    <row r="9" spans="1:33" ht="20.100000000000001" customHeight="1">
      <c r="A9" s="11">
        <v>12</v>
      </c>
      <c r="B9" s="12">
        <f>'[5]Dia 1 (a)'!$S15</f>
        <v>22.9</v>
      </c>
      <c r="C9" s="12">
        <f>'[5]Dia 2 (a)'!$S15</f>
        <v>23.2</v>
      </c>
      <c r="D9" s="12">
        <f>'[5]Dia 3 (a)'!$S15</f>
        <v>23.5</v>
      </c>
      <c r="E9" s="12">
        <f>'[5]Dia 4 (a)'!$S15</f>
        <v>23.8</v>
      </c>
      <c r="F9" s="12">
        <f>'[5]Dia 5 (a)'!$S15</f>
        <v>21.2</v>
      </c>
      <c r="G9" s="12">
        <f>'[5]Dia 6 (a)'!$S15</f>
        <v>20.6</v>
      </c>
      <c r="H9" s="12">
        <f>'[5]Dia 7 (a)'!$S15</f>
        <v>20.399999999999999</v>
      </c>
      <c r="I9" s="12">
        <f>'[5]Dia 8 (a)'!$S15</f>
        <v>20.100000000000001</v>
      </c>
      <c r="J9" s="12">
        <f>'[5]Dia 9 (a)'!$S15</f>
        <v>20.399999999999999</v>
      </c>
      <c r="K9" s="12">
        <f>'[5]Dia 10 (a)'!$S15</f>
        <v>20.6</v>
      </c>
      <c r="L9" s="12">
        <f>'[5]Dia 11 (a)'!$S15</f>
        <v>21</v>
      </c>
      <c r="M9" s="12">
        <f>'[5]Dia 12 (a)'!$S15</f>
        <v>21.3</v>
      </c>
      <c r="N9" s="12">
        <f>'[5]Dia 13 (a)'!$S15</f>
        <v>21.1</v>
      </c>
      <c r="O9" s="12">
        <f>'[5]Dia 14 (a)'!$S15</f>
        <v>21.6</v>
      </c>
      <c r="P9" s="12">
        <f>'[5]Dia 15 (a)'!$S15</f>
        <v>21.9</v>
      </c>
      <c r="Q9" s="12">
        <f>'[5]Dia 16 (a)'!$S15</f>
        <v>21.1</v>
      </c>
      <c r="R9" s="12">
        <f>'[5]Dia 17 (a)'!$S15</f>
        <v>20.2</v>
      </c>
      <c r="S9" s="12">
        <f>'[5]Dia 18 (a)'!$S15</f>
        <v>19.100000000000001</v>
      </c>
      <c r="T9" s="12">
        <f>'[5]Dia 19 (a)'!$S15</f>
        <v>18.2</v>
      </c>
      <c r="U9" s="12">
        <f>'[5]Dia 20 (a)'!$S15</f>
        <v>17.2</v>
      </c>
      <c r="V9" s="12">
        <f>'[5]Dia 21 (a)'!$S15</f>
        <v>17.899999999999999</v>
      </c>
      <c r="W9" s="12">
        <f>'[5]Dia 22 (a)'!$S15</f>
        <v>18.2</v>
      </c>
      <c r="X9" s="12">
        <f>'[5]Dia 23 (a)'!$S15</f>
        <v>18.600000000000001</v>
      </c>
      <c r="Y9" s="12">
        <f>'[5]Dia 24 (a)'!$S15</f>
        <v>19.399999999999999</v>
      </c>
      <c r="Z9" s="12">
        <f>'[5]Dia 25 (a)'!$S15</f>
        <v>19.2</v>
      </c>
      <c r="AA9" s="12">
        <f>'[5]Dia 26 (a)'!$S15</f>
        <v>19.8</v>
      </c>
      <c r="AB9" s="12">
        <f>'[5]Dia 27 (a)'!$S15</f>
        <v>20</v>
      </c>
      <c r="AC9" s="12">
        <f>'[5]Dia 28 (a)'!$S15</f>
        <v>20.2</v>
      </c>
      <c r="AD9" s="12">
        <f>'[5]Dia 29 (a)'!$S15</f>
        <v>20.2</v>
      </c>
      <c r="AE9" s="12">
        <f>'[5]Dia 30 (a)'!$S15</f>
        <v>20.8</v>
      </c>
      <c r="AF9" s="13">
        <f>'[5]Dia 31 (a)'!$S15</f>
        <v>20</v>
      </c>
      <c r="AG9" s="14"/>
    </row>
    <row r="10" spans="1:33" ht="20.100000000000001" customHeight="1">
      <c r="A10" s="11">
        <v>13</v>
      </c>
      <c r="B10" s="12">
        <f>'[5]Dia 1 (a)'!$S16</f>
        <v>22.9</v>
      </c>
      <c r="C10" s="12">
        <f>'[5]Dia 2 (a)'!$S16</f>
        <v>23.1</v>
      </c>
      <c r="D10" s="12">
        <f>'[5]Dia 3 (a)'!$S16</f>
        <v>23.6</v>
      </c>
      <c r="E10" s="12">
        <f>'[5]Dia 4 (a)'!$S16</f>
        <v>23.6</v>
      </c>
      <c r="F10" s="12">
        <f>'[5]Dia 5 (a)'!$S16</f>
        <v>21.1</v>
      </c>
      <c r="G10" s="12">
        <f>'[5]Dia 6 (a)'!$S16</f>
        <v>20.7</v>
      </c>
      <c r="H10" s="12">
        <f>'[5]Dia 7 (a)'!$S16</f>
        <v>20.399999999999999</v>
      </c>
      <c r="I10" s="12">
        <f>'[5]Dia 8 (a)'!$S16</f>
        <v>20</v>
      </c>
      <c r="J10" s="12">
        <f>'[5]Dia 9 (a)'!$S16</f>
        <v>20.3</v>
      </c>
      <c r="K10" s="12">
        <f>'[5]Dia 10 (a)'!$S16</f>
        <v>20.6</v>
      </c>
      <c r="L10" s="12">
        <f>'[5]Dia 11 (a)'!$S16</f>
        <v>21</v>
      </c>
      <c r="M10" s="12">
        <f>'[5]Dia 12 (a)'!$S16</f>
        <v>21.3</v>
      </c>
      <c r="N10" s="12">
        <f>'[5]Dia 13 (a)'!$S16</f>
        <v>21</v>
      </c>
      <c r="O10" s="12">
        <f>'[5]Dia 14 (a)'!$S16</f>
        <v>21.7</v>
      </c>
      <c r="P10" s="12">
        <f>'[5]Dia 15 (a)'!$S16</f>
        <v>21.8</v>
      </c>
      <c r="Q10" s="12">
        <f>'[5]Dia 16 (a)'!$S16</f>
        <v>21.1</v>
      </c>
      <c r="R10" s="12">
        <f>'[5]Dia 17 (a)'!$S16</f>
        <v>20.2</v>
      </c>
      <c r="S10" s="12">
        <f>'[5]Dia 18 (a)'!$S16</f>
        <v>19</v>
      </c>
      <c r="T10" s="12">
        <f>'[5]Dia 19 (a)'!$S16</f>
        <v>18</v>
      </c>
      <c r="U10" s="12">
        <f>'[5]Dia 20 (a)'!$S16</f>
        <v>17</v>
      </c>
      <c r="V10" s="12">
        <f>'[5]Dia 21 (a)'!$S16</f>
        <v>18</v>
      </c>
      <c r="W10" s="12">
        <f>'[5]Dia 22 (a)'!$S16</f>
        <v>18.2</v>
      </c>
      <c r="X10" s="12">
        <f>'[5]Dia 23 (a)'!$S16</f>
        <v>18.600000000000001</v>
      </c>
      <c r="Y10" s="12">
        <f>'[5]Dia 24 (a)'!$S16</f>
        <v>19.399999999999999</v>
      </c>
      <c r="Z10" s="12">
        <f>'[5]Dia 25 (a)'!$S16</f>
        <v>19.399999999999999</v>
      </c>
      <c r="AA10" s="12">
        <f>'[5]Dia 26 (a)'!$S16</f>
        <v>19.7</v>
      </c>
      <c r="AB10" s="12">
        <f>'[5]Dia 27 (a)'!$S16</f>
        <v>20</v>
      </c>
      <c r="AC10" s="12">
        <f>'[5]Dia 28 (a)'!$S16</f>
        <v>20.2</v>
      </c>
      <c r="AD10" s="12">
        <f>'[5]Dia 29 (a)'!$S16</f>
        <v>20.2</v>
      </c>
      <c r="AE10" s="12">
        <f>'[5]Dia 30 (a)'!$S16</f>
        <v>20.7</v>
      </c>
      <c r="AF10" s="13">
        <f>'[5]Dia 31 (a)'!$S16</f>
        <v>20</v>
      </c>
      <c r="AG10" s="14"/>
    </row>
    <row r="11" spans="1:33" ht="20.100000000000001" customHeight="1">
      <c r="A11" s="11">
        <v>14</v>
      </c>
      <c r="B11" s="12">
        <f>'[5]Dia 1 (a)'!$S17</f>
        <v>22.9</v>
      </c>
      <c r="C11" s="12">
        <f>'[5]Dia 2 (a)'!$S17</f>
        <v>23.2</v>
      </c>
      <c r="D11" s="12">
        <f>'[5]Dia 3 (a)'!$S17</f>
        <v>23.7</v>
      </c>
      <c r="E11" s="12">
        <f>'[5]Dia 4 (a)'!$S17</f>
        <v>23.6</v>
      </c>
      <c r="F11" s="12">
        <f>'[5]Dia 5 (a)'!$S17</f>
        <v>21</v>
      </c>
      <c r="G11" s="12">
        <f>'[5]Dia 6 (a)'!$S17</f>
        <v>20.8</v>
      </c>
      <c r="H11" s="12">
        <f>'[5]Dia 7 (a)'!$S17</f>
        <v>20.399999999999999</v>
      </c>
      <c r="I11" s="12">
        <f>'[5]Dia 8 (a)'!$S17</f>
        <v>20</v>
      </c>
      <c r="J11" s="12">
        <f>'[5]Dia 9 (a)'!$S17</f>
        <v>20.399999999999999</v>
      </c>
      <c r="K11" s="12">
        <f>'[5]Dia 10 (a)'!$S17</f>
        <v>20.7</v>
      </c>
      <c r="L11" s="12">
        <f>'[5]Dia 11 (a)'!$S17</f>
        <v>21</v>
      </c>
      <c r="M11" s="12">
        <f>'[5]Dia 12 (a)'!$S17</f>
        <v>21.2</v>
      </c>
      <c r="N11" s="12">
        <f>'[5]Dia 13 (a)'!$S17</f>
        <v>21.2</v>
      </c>
      <c r="O11" s="12">
        <f>'[5]Dia 14 (a)'!$S17</f>
        <v>21.7</v>
      </c>
      <c r="P11" s="12">
        <f>'[5]Dia 15 (a)'!$S17</f>
        <v>21.8</v>
      </c>
      <c r="Q11" s="12">
        <f>'[5]Dia 16 (a)'!$S17</f>
        <v>21.2</v>
      </c>
      <c r="R11" s="12">
        <f>'[5]Dia 17 (a)'!$S17</f>
        <v>20.399999999999999</v>
      </c>
      <c r="S11" s="12">
        <f>'[5]Dia 18 (a)'!$S17</f>
        <v>19</v>
      </c>
      <c r="T11" s="12">
        <f>'[5]Dia 19 (a)'!$S17</f>
        <v>17.8</v>
      </c>
      <c r="U11" s="12">
        <f>'[5]Dia 20 (a)'!$S17</f>
        <v>17.2</v>
      </c>
      <c r="V11" s="12">
        <f>'[5]Dia 21 (a)'!$S17</f>
        <v>18</v>
      </c>
      <c r="W11" s="12">
        <f>'[5]Dia 22 (a)'!$S17</f>
        <v>18.2</v>
      </c>
      <c r="X11" s="12">
        <f>'[5]Dia 23 (a)'!$S17</f>
        <v>18.600000000000001</v>
      </c>
      <c r="Y11" s="12">
        <f>'[5]Dia 24 (a)'!$S17</f>
        <v>19.399999999999999</v>
      </c>
      <c r="Z11" s="12">
        <f>'[5]Dia 25 (a)'!$S17</f>
        <v>19.399999999999999</v>
      </c>
      <c r="AA11" s="12">
        <f>'[5]Dia 26 (a)'!$S17</f>
        <v>19.899999999999999</v>
      </c>
      <c r="AB11" s="12">
        <f>'[5]Dia 27 (a)'!$S17</f>
        <v>20.100000000000001</v>
      </c>
      <c r="AC11" s="12">
        <f>'[5]Dia 28 (a)'!$S17</f>
        <v>20.2</v>
      </c>
      <c r="AD11" s="12">
        <f>'[5]Dia 29 (a)'!$S17</f>
        <v>20.2</v>
      </c>
      <c r="AE11" s="12">
        <f>'[5]Dia 30 (a)'!$S17</f>
        <v>20.8</v>
      </c>
      <c r="AF11" s="13">
        <f>'[5]Dia 31 (a)'!$S17</f>
        <v>19.899999999999999</v>
      </c>
      <c r="AG11" s="14"/>
    </row>
    <row r="12" spans="1:33" ht="20.100000000000001" customHeight="1">
      <c r="A12" s="11">
        <v>15</v>
      </c>
      <c r="B12" s="12">
        <f>'[5]Dia 1 (a)'!$S18</f>
        <v>23.1</v>
      </c>
      <c r="C12" s="12">
        <f>'[5]Dia 2 (a)'!$S18</f>
        <v>23.4</v>
      </c>
      <c r="D12" s="12">
        <f>'[5]Dia 3 (a)'!$S18</f>
        <v>23.8</v>
      </c>
      <c r="E12" s="12">
        <f>'[5]Dia 4 (a)'!$S18</f>
        <v>23.6</v>
      </c>
      <c r="F12" s="12">
        <f>'[5]Dia 5 (a)'!$S18</f>
        <v>21</v>
      </c>
      <c r="G12" s="12">
        <f>'[5]Dia 6 (a)'!$S18</f>
        <v>20.9</v>
      </c>
      <c r="H12" s="12">
        <f>'[5]Dia 7 (a)'!$S18</f>
        <v>20.399999999999999</v>
      </c>
      <c r="I12" s="12">
        <f>'[5]Dia 8 (a)'!$S18</f>
        <v>20</v>
      </c>
      <c r="J12" s="12">
        <f>'[5]Dia 9 (a)'!$S18</f>
        <v>20.6</v>
      </c>
      <c r="K12" s="12">
        <f>'[5]Dia 10 (a)'!$S18</f>
        <v>20.7</v>
      </c>
      <c r="L12" s="12">
        <f>'[5]Dia 11 (a)'!$S18</f>
        <v>21.1</v>
      </c>
      <c r="M12" s="12">
        <f>'[5]Dia 12 (a)'!$S18</f>
        <v>21.3</v>
      </c>
      <c r="N12" s="12">
        <f>'[5]Dia 13 (a)'!$S18</f>
        <v>21.2</v>
      </c>
      <c r="O12" s="12">
        <f>'[5]Dia 14 (a)'!$S18</f>
        <v>21.8</v>
      </c>
      <c r="P12" s="12">
        <f>'[5]Dia 15 (a)'!$S18</f>
        <v>21.9</v>
      </c>
      <c r="Q12" s="12">
        <f>'[5]Dia 16 (a)'!$S18</f>
        <v>21.2</v>
      </c>
      <c r="R12" s="12">
        <f>'[5]Dia 17 (a)'!$S18</f>
        <v>20.399999999999999</v>
      </c>
      <c r="S12" s="12">
        <f>'[5]Dia 18 (a)'!$S18</f>
        <v>19.100000000000001</v>
      </c>
      <c r="T12" s="12">
        <f>'[5]Dia 19 (a)'!$S18</f>
        <v>18</v>
      </c>
      <c r="U12" s="12">
        <f>'[5]Dia 20 (a)'!$S18</f>
        <v>17.100000000000001</v>
      </c>
      <c r="V12" s="12">
        <f>'[5]Dia 21 (a)'!$S18</f>
        <v>18.100000000000001</v>
      </c>
      <c r="W12" s="12">
        <f>'[5]Dia 22 (a)'!$S18</f>
        <v>18.2</v>
      </c>
      <c r="X12" s="12">
        <f>'[5]Dia 23 (a)'!$S18</f>
        <v>18.8</v>
      </c>
      <c r="Y12" s="12">
        <f>'[5]Dia 24 (a)'!$S18</f>
        <v>19.5</v>
      </c>
      <c r="Z12" s="12">
        <f>'[5]Dia 25 (a)'!$S18</f>
        <v>19.600000000000001</v>
      </c>
      <c r="AA12" s="12">
        <f>'[5]Dia 26 (a)'!$S18</f>
        <v>20</v>
      </c>
      <c r="AB12" s="12">
        <f>'[5]Dia 27 (a)'!$S18</f>
        <v>20.2</v>
      </c>
      <c r="AC12" s="12">
        <f>'[5]Dia 28 (a)'!$S18</f>
        <v>20.3</v>
      </c>
      <c r="AD12" s="12">
        <f>'[5]Dia 29 (a)'!$S18</f>
        <v>20.399999999999999</v>
      </c>
      <c r="AE12" s="12">
        <f>'[5]Dia 30 (a)'!$S18</f>
        <v>20.8</v>
      </c>
      <c r="AF12" s="13">
        <f>'[5]Dia 31 (a)'!$S18</f>
        <v>19.899999999999999</v>
      </c>
      <c r="AG12" s="14"/>
    </row>
    <row r="13" spans="1:33" ht="20.100000000000001" customHeight="1">
      <c r="A13" s="11">
        <v>16</v>
      </c>
      <c r="B13" s="12">
        <f>'[5]Dia 1 (a)'!$S19</f>
        <v>23.2</v>
      </c>
      <c r="C13" s="12">
        <f>'[5]Dia 2 (a)'!$S19</f>
        <v>23.4</v>
      </c>
      <c r="D13" s="12">
        <f>'[5]Dia 3 (a)'!$S19</f>
        <v>23.8</v>
      </c>
      <c r="E13" s="12">
        <f>'[5]Dia 4 (a)'!$S19</f>
        <v>23.4</v>
      </c>
      <c r="F13" s="12">
        <f>'[5]Dia 5 (a)'!$S19</f>
        <v>21</v>
      </c>
      <c r="G13" s="12">
        <f>'[5]Dia 6 (a)'!$S19</f>
        <v>21</v>
      </c>
      <c r="H13" s="12">
        <f>'[5]Dia 7 (a)'!$S19</f>
        <v>20.399999999999999</v>
      </c>
      <c r="I13" s="12">
        <f>'[5]Dia 8 (a)'!$S19</f>
        <v>20</v>
      </c>
      <c r="J13" s="12">
        <f>'[5]Dia 9 (a)'!$S19</f>
        <v>20.6</v>
      </c>
      <c r="K13" s="12">
        <f>'[5]Dia 10 (a)'!$S19</f>
        <v>20.6</v>
      </c>
      <c r="L13" s="12">
        <f>'[5]Dia 11 (a)'!$S19</f>
        <v>21.4</v>
      </c>
      <c r="M13" s="12">
        <f>'[5]Dia 12 (a)'!$S19</f>
        <v>21.4</v>
      </c>
      <c r="N13" s="12">
        <f>'[5]Dia 13 (a)'!$S19</f>
        <v>21.4</v>
      </c>
      <c r="O13" s="12">
        <f>'[5]Dia 14 (a)'!$S19</f>
        <v>21.8</v>
      </c>
      <c r="P13" s="12">
        <f>'[5]Dia 15 (a)'!$S19</f>
        <v>21.8</v>
      </c>
      <c r="Q13" s="12">
        <f>'[5]Dia 16 (a)'!$S19</f>
        <v>21.2</v>
      </c>
      <c r="R13" s="12">
        <f>'[5]Dia 17 (a)'!$S19</f>
        <v>20.8</v>
      </c>
      <c r="S13" s="12">
        <f>'[5]Dia 18 (a)'!$S19</f>
        <v>19.100000000000001</v>
      </c>
      <c r="T13" s="12">
        <f>'[5]Dia 19 (a)'!$S19</f>
        <v>18.2</v>
      </c>
      <c r="U13" s="12">
        <f>'[5]Dia 20 (a)'!$S19</f>
        <v>17.600000000000001</v>
      </c>
      <c r="V13" s="12">
        <f>'[5]Dia 21 (a)'!$S19</f>
        <v>18.3</v>
      </c>
      <c r="W13" s="12">
        <f>'[5]Dia 22 (a)'!$S19</f>
        <v>18.8</v>
      </c>
      <c r="X13" s="12">
        <f>'[5]Dia 23 (a)'!$S19</f>
        <v>19.100000000000001</v>
      </c>
      <c r="Y13" s="12">
        <f>'[5]Dia 24 (a)'!$S19</f>
        <v>19.5</v>
      </c>
      <c r="Z13" s="12">
        <f>'[5]Dia 25 (a)'!$S19</f>
        <v>19.8</v>
      </c>
      <c r="AA13" s="12">
        <f>'[5]Dia 26 (a)'!$S19</f>
        <v>20</v>
      </c>
      <c r="AB13" s="12">
        <f>'[5]Dia 27 (a)'!$S19</f>
        <v>20.399999999999999</v>
      </c>
      <c r="AC13" s="12">
        <f>'[5]Dia 28 (a)'!$S19</f>
        <v>20.2</v>
      </c>
      <c r="AD13" s="12">
        <f>'[5]Dia 29 (a)'!$S19</f>
        <v>20.3</v>
      </c>
      <c r="AE13" s="12">
        <f>'[5]Dia 30 (a)'!$S19</f>
        <v>20.8</v>
      </c>
      <c r="AF13" s="13">
        <f>'[5]Dia 31 (a)'!$S19</f>
        <v>20</v>
      </c>
      <c r="AG13" s="14"/>
    </row>
    <row r="14" spans="1:33" ht="20.100000000000001" customHeight="1">
      <c r="A14" s="11">
        <v>17</v>
      </c>
      <c r="B14" s="12">
        <f>'[5]Dia 1 (a)'!$S20</f>
        <v>23.2</v>
      </c>
      <c r="C14" s="12">
        <f>'[5]Dia 2 (a)'!$S20</f>
        <v>23.6</v>
      </c>
      <c r="D14" s="12">
        <f>'[5]Dia 3 (a)'!$S20</f>
        <v>23.8</v>
      </c>
      <c r="E14" s="12">
        <f>'[5]Dia 4 (a)'!$S20</f>
        <v>23.2</v>
      </c>
      <c r="F14" s="12">
        <f>'[5]Dia 5 (a)'!$S20</f>
        <v>21</v>
      </c>
      <c r="G14" s="12">
        <f>'[5]Dia 6 (a)'!$S20</f>
        <v>21</v>
      </c>
      <c r="H14" s="12">
        <f>'[5]Dia 7 (a)'!$S20</f>
        <v>20.5</v>
      </c>
      <c r="I14" s="12">
        <f>'[5]Dia 8 (a)'!$S20</f>
        <v>20</v>
      </c>
      <c r="J14" s="12">
        <f>'[5]Dia 9 (a)'!$S20</f>
        <v>20.7</v>
      </c>
      <c r="K14" s="12">
        <f>'[5]Dia 10 (a)'!$S20</f>
        <v>21</v>
      </c>
      <c r="L14" s="12">
        <f>'[5]Dia 11 (a)'!$S20</f>
        <v>21.6</v>
      </c>
      <c r="M14" s="12">
        <f>'[5]Dia 12 (a)'!$S20</f>
        <v>21.4</v>
      </c>
      <c r="N14" s="12">
        <f>'[5]Dia 13 (a)'!$S20</f>
        <v>21.5</v>
      </c>
      <c r="O14" s="12">
        <f>'[5]Dia 14 (a)'!$S20</f>
        <v>21.8</v>
      </c>
      <c r="P14" s="12">
        <f>'[5]Dia 15 (a)'!$S20</f>
        <v>21.8</v>
      </c>
      <c r="Q14" s="12">
        <f>'[5]Dia 16 (a)'!$S20</f>
        <v>21.2</v>
      </c>
      <c r="R14" s="12">
        <f>'[5]Dia 17 (a)'!$S20</f>
        <v>20.8</v>
      </c>
      <c r="S14" s="12">
        <f>'[5]Dia 18 (a)'!$S20</f>
        <v>19.3</v>
      </c>
      <c r="T14" s="12">
        <f>'[5]Dia 19 (a)'!$S20</f>
        <v>18.3</v>
      </c>
      <c r="U14" s="12">
        <f>'[5]Dia 20 (a)'!$S20</f>
        <v>17.7</v>
      </c>
      <c r="V14" s="12">
        <f>'[5]Dia 21 (a)'!$S20</f>
        <v>18.399999999999999</v>
      </c>
      <c r="W14" s="12">
        <f>'[5]Dia 22 (a)'!$S20</f>
        <v>18.899999999999999</v>
      </c>
      <c r="X14" s="12">
        <f>'[5]Dia 23 (a)'!$S20</f>
        <v>19.3</v>
      </c>
      <c r="Y14" s="12">
        <f>'[5]Dia 24 (a)'!$S20</f>
        <v>19.7</v>
      </c>
      <c r="Z14" s="12">
        <f>'[5]Dia 25 (a)'!$S20</f>
        <v>19.8</v>
      </c>
      <c r="AA14" s="12">
        <f>'[5]Dia 26 (a)'!$S20</f>
        <v>20</v>
      </c>
      <c r="AB14" s="12">
        <f>'[5]Dia 27 (a)'!$S20</f>
        <v>20.6</v>
      </c>
      <c r="AC14" s="12">
        <f>'[5]Dia 28 (a)'!$S20</f>
        <v>20.2</v>
      </c>
      <c r="AD14" s="12">
        <f>'[5]Dia 29 (a)'!$S20</f>
        <v>20.3</v>
      </c>
      <c r="AE14" s="12">
        <f>'[5]Dia 30 (a)'!$S20</f>
        <v>20.8</v>
      </c>
      <c r="AF14" s="13">
        <f>'[5]Dia 31 (a)'!$S20</f>
        <v>20</v>
      </c>
      <c r="AG14" s="14"/>
    </row>
    <row r="15" spans="1:33" ht="20.100000000000001" customHeight="1">
      <c r="A15" s="11">
        <v>18</v>
      </c>
      <c r="B15" s="12">
        <f>'[5]Dia 1 (a)'!$S21</f>
        <v>23.4</v>
      </c>
      <c r="C15" s="12">
        <f>'[5]Dia 2 (a)'!$S21</f>
        <v>23.6</v>
      </c>
      <c r="D15" s="12">
        <f>'[5]Dia 3 (a)'!$S21</f>
        <v>24.2</v>
      </c>
      <c r="E15" s="12">
        <f>'[5]Dia 4 (a)'!$S21</f>
        <v>23.2</v>
      </c>
      <c r="F15" s="12">
        <f>'[5]Dia 5 (a)'!$S21</f>
        <v>21.1</v>
      </c>
      <c r="G15" s="12">
        <f>'[5]Dia 6 (a)'!$S21</f>
        <v>21</v>
      </c>
      <c r="H15" s="12">
        <f>'[5]Dia 7 (a)'!$S21</f>
        <v>20.5</v>
      </c>
      <c r="I15" s="12">
        <f>'[5]Dia 8 (a)'!$S21</f>
        <v>20.100000000000001</v>
      </c>
      <c r="J15" s="12">
        <f>'[5]Dia 9 (a)'!$S21</f>
        <v>20.8</v>
      </c>
      <c r="K15" s="12">
        <f>'[5]Dia 10 (a)'!$S21</f>
        <v>21</v>
      </c>
      <c r="L15" s="12">
        <f>'[5]Dia 11 (a)'!$S21</f>
        <v>21.6</v>
      </c>
      <c r="M15" s="12">
        <f>'[5]Dia 12 (a)'!$S21</f>
        <v>21.6</v>
      </c>
      <c r="N15" s="12">
        <f>'[5]Dia 13 (a)'!$S21</f>
        <v>21.7</v>
      </c>
      <c r="O15" s="12">
        <f>'[5]Dia 14 (a)'!$S21</f>
        <v>21.8</v>
      </c>
      <c r="P15" s="12">
        <f>'[5]Dia 15 (a)'!$S21</f>
        <v>21.8</v>
      </c>
      <c r="Q15" s="12">
        <f>'[5]Dia 16 (a)'!$S21</f>
        <v>21.3</v>
      </c>
      <c r="R15" s="12">
        <f>'[5]Dia 17 (a)'!$S21</f>
        <v>20.8</v>
      </c>
      <c r="S15" s="12">
        <f>'[5]Dia 18 (a)'!$S21</f>
        <v>19.3</v>
      </c>
      <c r="T15" s="12">
        <f>'[5]Dia 19 (a)'!$S21</f>
        <v>18.3</v>
      </c>
      <c r="U15" s="12">
        <f>'[5]Dia 20 (a)'!$S21</f>
        <v>17.899999999999999</v>
      </c>
      <c r="V15" s="12">
        <f>'[5]Dia 21 (a)'!$S21</f>
        <v>18.7</v>
      </c>
      <c r="W15" s="12">
        <f>'[5]Dia 22 (a)'!$S21</f>
        <v>19.2</v>
      </c>
      <c r="X15" s="12">
        <f>'[5]Dia 23 (a)'!$S21</f>
        <v>19.399999999999999</v>
      </c>
      <c r="Y15" s="12">
        <f>'[5]Dia 24 (a)'!$S21</f>
        <v>20</v>
      </c>
      <c r="Z15" s="12">
        <f>'[5]Dia 25 (a)'!$S21</f>
        <v>20</v>
      </c>
      <c r="AA15" s="12">
        <f>'[5]Dia 26 (a)'!$S21</f>
        <v>20</v>
      </c>
      <c r="AB15" s="12">
        <f>'[5]Dia 27 (a)'!$S21</f>
        <v>20.7</v>
      </c>
      <c r="AC15" s="12">
        <f>'[5]Dia 28 (a)'!$S21</f>
        <v>20.399999999999999</v>
      </c>
      <c r="AD15" s="12">
        <f>'[5]Dia 29 (a)'!$S21</f>
        <v>20.399999999999999</v>
      </c>
      <c r="AE15" s="12">
        <f>'[5]Dia 30 (a)'!$S21</f>
        <v>20.8</v>
      </c>
      <c r="AF15" s="13">
        <f>'[5]Dia 31 (a)'!$S21</f>
        <v>19.899999999999999</v>
      </c>
      <c r="AG15" s="14"/>
    </row>
    <row r="16" spans="1:33" ht="20.100000000000001" customHeight="1">
      <c r="A16" s="11">
        <v>19</v>
      </c>
      <c r="B16" s="12">
        <f>'[5]Dia 1 (a)'!$S22</f>
        <v>23.4</v>
      </c>
      <c r="C16" s="12">
        <f>'[5]Dia 2 (a)'!$S22</f>
        <v>23.6</v>
      </c>
      <c r="D16" s="12">
        <f>'[5]Dia 3 (a)'!$S22</f>
        <v>24.2</v>
      </c>
      <c r="E16" s="12">
        <f>'[5]Dia 4 (a)'!$S22</f>
        <v>23.2</v>
      </c>
      <c r="F16" s="12">
        <f>'[5]Dia 5 (a)'!$S22</f>
        <v>21.2</v>
      </c>
      <c r="G16" s="12">
        <f>'[5]Dia 6 (a)'!$S22</f>
        <v>21.2</v>
      </c>
      <c r="H16" s="12">
        <f>'[5]Dia 7 (a)'!$S22</f>
        <v>20.5</v>
      </c>
      <c r="I16" s="12">
        <f>'[5]Dia 8 (a)'!$S22</f>
        <v>20.100000000000001</v>
      </c>
      <c r="J16" s="12">
        <f>'[5]Dia 9 (a)'!$S22</f>
        <v>21</v>
      </c>
      <c r="K16" s="12">
        <f>'[5]Dia 10 (a)'!$S22</f>
        <v>21</v>
      </c>
      <c r="L16" s="12">
        <f>'[5]Dia 11 (a)'!$S22</f>
        <v>21.8</v>
      </c>
      <c r="M16" s="12">
        <f>'[5]Dia 12 (a)'!$S22</f>
        <v>21.6</v>
      </c>
      <c r="N16" s="12">
        <f>'[5]Dia 13 (a)'!$S22</f>
        <v>21.9</v>
      </c>
      <c r="O16" s="12">
        <f>'[5]Dia 14 (a)'!$S22</f>
        <v>22.2</v>
      </c>
      <c r="P16" s="12">
        <f>'[5]Dia 15 (a)'!$S22</f>
        <v>21.8</v>
      </c>
      <c r="Q16" s="12">
        <f>'[5]Dia 16 (a)'!$S22</f>
        <v>21.4</v>
      </c>
      <c r="R16" s="12">
        <f>'[5]Dia 17 (a)'!$S22</f>
        <v>21.1</v>
      </c>
      <c r="S16" s="12">
        <f>'[5]Dia 18 (a)'!$S22</f>
        <v>19.399999999999999</v>
      </c>
      <c r="T16" s="12">
        <f>'[5]Dia 19 (a)'!$S22</f>
        <v>18.3</v>
      </c>
      <c r="U16" s="12">
        <f>'[5]Dia 20 (a)'!$S22</f>
        <v>18</v>
      </c>
      <c r="V16" s="12">
        <f>'[5]Dia 21 (a)'!$S22</f>
        <v>18.8</v>
      </c>
      <c r="W16" s="12">
        <f>'[5]Dia 22 (a)'!$S22</f>
        <v>19.399999999999999</v>
      </c>
      <c r="X16" s="12">
        <f>'[5]Dia 23 (a)'!$S22</f>
        <v>19.600000000000001</v>
      </c>
      <c r="Y16" s="12">
        <f>'[5]Dia 24 (a)'!$S22</f>
        <v>20.2</v>
      </c>
      <c r="Z16" s="12">
        <f>'[5]Dia 25 (a)'!$S22</f>
        <v>20.2</v>
      </c>
      <c r="AA16" s="12">
        <f>'[5]Dia 26 (a)'!$S22</f>
        <v>20.399999999999999</v>
      </c>
      <c r="AB16" s="12">
        <f>'[5]Dia 27 (a)'!$S22</f>
        <v>20.8</v>
      </c>
      <c r="AC16" s="12">
        <f>'[5]Dia 28 (a)'!$S22</f>
        <v>20.6</v>
      </c>
      <c r="AD16" s="12">
        <f>'[5]Dia 29 (a)'!$S22</f>
        <v>20.6</v>
      </c>
      <c r="AE16" s="12">
        <f>'[5]Dia 30 (a)'!$S22</f>
        <v>20.8</v>
      </c>
      <c r="AF16" s="13">
        <f>'[5]Dia 31 (a)'!$S22</f>
        <v>19.899999999999999</v>
      </c>
      <c r="AG16" s="14"/>
    </row>
    <row r="17" spans="1:33" ht="20.100000000000001" customHeight="1">
      <c r="A17" s="11">
        <v>20</v>
      </c>
      <c r="B17" s="12">
        <f>'[5]Dia 1 (a)'!$S23</f>
        <v>23.4</v>
      </c>
      <c r="C17" s="12">
        <f>'[5]Dia 2 (a)'!$S23</f>
        <v>23.8</v>
      </c>
      <c r="D17" s="12">
        <f>'[5]Dia 3 (a)'!$S23</f>
        <v>24.2</v>
      </c>
      <c r="E17" s="12">
        <f>'[5]Dia 4 (a)'!$S23</f>
        <v>23.2</v>
      </c>
      <c r="F17" s="12">
        <f>'[5]Dia 5 (a)'!$S23</f>
        <v>21.2</v>
      </c>
      <c r="G17" s="12">
        <f>'[5]Dia 6 (a)'!$S23</f>
        <v>21.2</v>
      </c>
      <c r="H17" s="12">
        <f>'[5]Dia 7 (a)'!$S23</f>
        <v>20.5</v>
      </c>
      <c r="I17" s="12">
        <f>'[5]Dia 8 (a)'!$S23</f>
        <v>20.100000000000001</v>
      </c>
      <c r="J17" s="12">
        <f>'[5]Dia 9 (a)'!$S23</f>
        <v>21.1</v>
      </c>
      <c r="K17" s="12">
        <f>'[5]Dia 10 (a)'!$S23</f>
        <v>21</v>
      </c>
      <c r="L17" s="12">
        <f>'[5]Dia 11 (a)'!$S23</f>
        <v>21.8</v>
      </c>
      <c r="M17" s="12">
        <f>'[5]Dia 12 (a)'!$S23</f>
        <v>21.7</v>
      </c>
      <c r="N17" s="12">
        <f>'[5]Dia 13 (a)'!$S23</f>
        <v>21.9</v>
      </c>
      <c r="O17" s="12">
        <f>'[5]Dia 14 (a)'!$S23</f>
        <v>22.2</v>
      </c>
      <c r="P17" s="12">
        <f>'[5]Dia 15 (a)'!$S23</f>
        <v>21.8</v>
      </c>
      <c r="Q17" s="12">
        <f>'[5]Dia 16 (a)'!$S23</f>
        <v>21.4</v>
      </c>
      <c r="R17" s="12">
        <f>'[5]Dia 17 (a)'!$S23</f>
        <v>21.1</v>
      </c>
      <c r="S17" s="12">
        <f>'[5]Dia 18 (a)'!$S23</f>
        <v>19.399999999999999</v>
      </c>
      <c r="T17" s="12">
        <f>'[5]Dia 19 (a)'!$S23</f>
        <v>18.399999999999999</v>
      </c>
      <c r="U17" s="12">
        <f>'[5]Dia 20 (a)'!$S23</f>
        <v>18.100000000000001</v>
      </c>
      <c r="V17" s="12">
        <f>'[5]Dia 21 (a)'!$S23</f>
        <v>18.899999999999999</v>
      </c>
      <c r="W17" s="12">
        <f>'[5]Dia 22 (a)'!$S23</f>
        <v>19.5</v>
      </c>
      <c r="X17" s="12">
        <f>'[5]Dia 23 (a)'!$S23</f>
        <v>19.7</v>
      </c>
      <c r="Y17" s="12">
        <f>'[5]Dia 24 (a)'!$S23</f>
        <v>20.3</v>
      </c>
      <c r="Z17" s="12">
        <f>'[5]Dia 25 (a)'!$S23</f>
        <v>20.399999999999999</v>
      </c>
      <c r="AA17" s="12">
        <f>'[5]Dia 26 (a)'!$S23</f>
        <v>20.399999999999999</v>
      </c>
      <c r="AB17" s="12">
        <f>'[5]Dia 27 (a)'!$S23</f>
        <v>21</v>
      </c>
      <c r="AC17" s="12">
        <f>'[5]Dia 28 (a)'!$S23</f>
        <v>20.6</v>
      </c>
      <c r="AD17" s="12">
        <f>'[5]Dia 29 (a)'!$S23</f>
        <v>20.6</v>
      </c>
      <c r="AE17" s="12">
        <f>'[5]Dia 30 (a)'!$S23</f>
        <v>20.8</v>
      </c>
      <c r="AF17" s="13">
        <f>'[5]Dia 31 (a)'!$S23</f>
        <v>19.8</v>
      </c>
      <c r="AG17" s="14"/>
    </row>
    <row r="18" spans="1:33" ht="20.100000000000001" customHeight="1">
      <c r="A18" s="11">
        <v>21</v>
      </c>
      <c r="B18" s="12">
        <f>'[5]Dia 1 (a)'!$S24</f>
        <v>23.4</v>
      </c>
      <c r="C18" s="12">
        <f>'[5]Dia 2 (a)'!$S24</f>
        <v>23.8</v>
      </c>
      <c r="D18" s="12">
        <f>'[5]Dia 3 (a)'!$S24</f>
        <v>24.2</v>
      </c>
      <c r="E18" s="12">
        <f>'[5]Dia 4 (a)'!$S24</f>
        <v>23</v>
      </c>
      <c r="F18" s="12">
        <f>'[5]Dia 5 (a)'!$S24</f>
        <v>21.2</v>
      </c>
      <c r="G18" s="12">
        <f>'[5]Dia 6 (a)'!$S24</f>
        <v>21.2</v>
      </c>
      <c r="H18" s="12">
        <f>'[5]Dia 7 (a)'!$S24</f>
        <v>20.5</v>
      </c>
      <c r="I18" s="12">
        <f>'[5]Dia 8 (a)'!$S24</f>
        <v>20.2</v>
      </c>
      <c r="J18" s="12">
        <f>'[5]Dia 9 (a)'!$S24</f>
        <v>21.2</v>
      </c>
      <c r="K18" s="12">
        <f>'[5]Dia 10 (a)'!$S24</f>
        <v>21.6</v>
      </c>
      <c r="L18" s="12">
        <f>'[5]Dia 11 (a)'!$S24</f>
        <v>21.9</v>
      </c>
      <c r="M18" s="12">
        <f>'[5]Dia 12 (a)'!$S24</f>
        <v>21.7</v>
      </c>
      <c r="N18" s="12">
        <f>'[5]Dia 13 (a)'!$S24</f>
        <v>22</v>
      </c>
      <c r="O18" s="12">
        <f>'[5]Dia 14 (a)'!$S24</f>
        <v>22.6</v>
      </c>
      <c r="P18" s="12">
        <f>'[5]Dia 15 (a)'!$S24</f>
        <v>21.8</v>
      </c>
      <c r="Q18" s="12">
        <f>'[5]Dia 16 (a)'!$S24</f>
        <v>21.4</v>
      </c>
      <c r="R18" s="12">
        <f>'[5]Dia 17 (a)'!$S24</f>
        <v>21.2</v>
      </c>
      <c r="S18" s="12">
        <f>'[5]Dia 18 (a)'!$S24</f>
        <v>19.399999999999999</v>
      </c>
      <c r="T18" s="12">
        <f>'[5]Dia 19 (a)'!$S24</f>
        <v>18.399999999999999</v>
      </c>
      <c r="U18" s="12">
        <f>'[5]Dia 20 (a)'!$S24</f>
        <v>18.3</v>
      </c>
      <c r="V18" s="12">
        <f>'[5]Dia 21 (a)'!$S24</f>
        <v>19</v>
      </c>
      <c r="W18" s="12">
        <f>'[5]Dia 22 (a)'!$S24</f>
        <v>19.600000000000001</v>
      </c>
      <c r="X18" s="12">
        <f>'[5]Dia 23 (a)'!$S24</f>
        <v>19.899999999999999</v>
      </c>
      <c r="Y18" s="12">
        <f>'[5]Dia 24 (a)'!$S24</f>
        <v>20.3</v>
      </c>
      <c r="Z18" s="12">
        <f>'[5]Dia 25 (a)'!$S24</f>
        <v>20.399999999999999</v>
      </c>
      <c r="AA18" s="12">
        <f>'[5]Dia 26 (a)'!$S24</f>
        <v>20.399999999999999</v>
      </c>
      <c r="AB18" s="12">
        <f>'[5]Dia 27 (a)'!$S24</f>
        <v>21</v>
      </c>
      <c r="AC18" s="12">
        <f>'[5]Dia 28 (a)'!$S24</f>
        <v>20.6</v>
      </c>
      <c r="AD18" s="12">
        <f>'[5]Dia 29 (a)'!$S24</f>
        <v>21</v>
      </c>
      <c r="AE18" s="12">
        <f>'[5]Dia 30 (a)'!$S24</f>
        <v>20.8</v>
      </c>
      <c r="AF18" s="13">
        <f>'[5]Dia 31 (a)'!$S24</f>
        <v>19.8</v>
      </c>
      <c r="AG18" s="14"/>
    </row>
    <row r="19" spans="1:33" ht="20.100000000000001" customHeight="1">
      <c r="A19" s="11">
        <v>22</v>
      </c>
      <c r="B19" s="12">
        <f>'[5]Dia 1 (a)'!$S25</f>
        <v>23.4</v>
      </c>
      <c r="C19" s="12">
        <f>'[5]Dia 2 (a)'!$S25</f>
        <v>23.8</v>
      </c>
      <c r="D19" s="12">
        <f>'[5]Dia 3 (a)'!$S25</f>
        <v>24.2</v>
      </c>
      <c r="E19" s="12">
        <f>'[5]Dia 4 (a)'!$S25</f>
        <v>23</v>
      </c>
      <c r="F19" s="12">
        <f>'[5]Dia 5 (a)'!$S25</f>
        <v>21.2</v>
      </c>
      <c r="G19" s="12">
        <f>'[5]Dia 6 (a)'!$S25</f>
        <v>21.2</v>
      </c>
      <c r="H19" s="12">
        <f>'[5]Dia 7 (a)'!$S25</f>
        <v>20.5</v>
      </c>
      <c r="I19" s="12">
        <f>'[5]Dia 8 (a)'!$S25</f>
        <v>20.2</v>
      </c>
      <c r="J19" s="12">
        <f>'[5]Dia 9 (a)'!$S25</f>
        <v>21.2</v>
      </c>
      <c r="K19" s="12">
        <f>'[5]Dia 10 (a)'!$S25</f>
        <v>21.6</v>
      </c>
      <c r="L19" s="12">
        <f>'[5]Dia 11 (a)'!$S25</f>
        <v>21.9</v>
      </c>
      <c r="M19" s="12">
        <f>'[5]Dia 12 (a)'!$S25</f>
        <v>21.7</v>
      </c>
      <c r="N19" s="12">
        <f>'[5]Dia 13 (a)'!$S25</f>
        <v>22.1</v>
      </c>
      <c r="O19" s="12">
        <f>'[5]Dia 14 (a)'!$S25</f>
        <v>22.6</v>
      </c>
      <c r="P19" s="12">
        <f>'[5]Dia 15 (a)'!$S25</f>
        <v>22</v>
      </c>
      <c r="Q19" s="12">
        <f>'[5]Dia 16 (a)'!$S25</f>
        <v>21.4</v>
      </c>
      <c r="R19" s="12">
        <f>'[5]Dia 17 (a)'!$S25</f>
        <v>21.2</v>
      </c>
      <c r="S19" s="12">
        <f>'[5]Dia 18 (a)'!$S25</f>
        <v>19.399999999999999</v>
      </c>
      <c r="T19" s="12">
        <f>'[5]Dia 19 (a)'!$S25</f>
        <v>18.399999999999999</v>
      </c>
      <c r="U19" s="12">
        <f>'[5]Dia 20 (a)'!$S25</f>
        <v>18.3</v>
      </c>
      <c r="V19" s="12">
        <f>'[5]Dia 21 (a)'!$S25</f>
        <v>19.100000000000001</v>
      </c>
      <c r="W19" s="12">
        <f>'[5]Dia 22 (a)'!$S25</f>
        <v>19.600000000000001</v>
      </c>
      <c r="X19" s="12">
        <f>'[5]Dia 23 (a)'!$S25</f>
        <v>19.899999999999999</v>
      </c>
      <c r="Y19" s="12">
        <f>'[5]Dia 24 (a)'!$S25</f>
        <v>20.5</v>
      </c>
      <c r="Z19" s="12">
        <f>'[5]Dia 25 (a)'!$S25</f>
        <v>20.5</v>
      </c>
      <c r="AA19" s="12">
        <f>'[5]Dia 26 (a)'!$S25</f>
        <v>20.6</v>
      </c>
      <c r="AB19" s="12">
        <f>'[5]Dia 27 (a)'!$S25</f>
        <v>21.1</v>
      </c>
      <c r="AC19" s="12">
        <f>'[5]Dia 28 (a)'!$S25</f>
        <v>20.6</v>
      </c>
      <c r="AD19" s="12">
        <f>'[5]Dia 29 (a)'!$S25</f>
        <v>21</v>
      </c>
      <c r="AE19" s="12">
        <f>'[5]Dia 30 (a)'!$S25</f>
        <v>20.8</v>
      </c>
      <c r="AF19" s="13">
        <f>'[5]Dia 31 (a)'!$S25</f>
        <v>19.8</v>
      </c>
      <c r="AG19" s="14"/>
    </row>
    <row r="20" spans="1:33" ht="20.100000000000001" customHeight="1">
      <c r="A20" s="11">
        <v>23</v>
      </c>
      <c r="B20" s="12">
        <f>'[5]Dia 1 (a)'!$S26</f>
        <v>23.6</v>
      </c>
      <c r="C20" s="12">
        <f>'[5]Dia 2 (a)'!$S26</f>
        <v>23.8</v>
      </c>
      <c r="D20" s="12">
        <f>'[5]Dia 3 (a)'!$S26</f>
        <v>24.4</v>
      </c>
      <c r="E20" s="12">
        <f>'[5]Dia 4 (a)'!$S26</f>
        <v>23</v>
      </c>
      <c r="F20" s="12">
        <f>'[5]Dia 5 (a)'!$S26</f>
        <v>21.2</v>
      </c>
      <c r="G20" s="12">
        <f>'[5]Dia 6 (a)'!$S26</f>
        <v>21.2</v>
      </c>
      <c r="H20" s="12">
        <f>'[5]Dia 7 (a)'!$S26</f>
        <v>20.5</v>
      </c>
      <c r="I20" s="12">
        <f>'[5]Dia 8 (a)'!$S26</f>
        <v>20.2</v>
      </c>
      <c r="J20" s="12">
        <f>'[5]Dia 9 (a)'!$S26</f>
        <v>21.2</v>
      </c>
      <c r="K20" s="12">
        <f>'[5]Dia 10 (a)'!$S26</f>
        <v>21.6</v>
      </c>
      <c r="L20" s="12">
        <f>'[5]Dia 11 (a)'!$S26</f>
        <v>21.9</v>
      </c>
      <c r="M20" s="12">
        <f>'[5]Dia 12 (a)'!$S26</f>
        <v>21.6</v>
      </c>
      <c r="N20" s="12">
        <f>'[5]Dia 13 (a)'!$S26</f>
        <v>22</v>
      </c>
      <c r="O20" s="12">
        <f>'[5]Dia 14 (a)'!$S26</f>
        <v>22.6</v>
      </c>
      <c r="P20" s="12">
        <f>'[5]Dia 15 (a)'!$S26</f>
        <v>22</v>
      </c>
      <c r="Q20" s="12">
        <f>'[5]Dia 16 (a)'!$S26</f>
        <v>21.4</v>
      </c>
      <c r="R20" s="12">
        <f>'[5]Dia 17 (a)'!$S26</f>
        <v>21</v>
      </c>
      <c r="S20" s="12">
        <f>'[5]Dia 18 (a)'!$S26</f>
        <v>19.3</v>
      </c>
      <c r="T20" s="12">
        <f>'[5]Dia 19 (a)'!$S26</f>
        <v>18.399999999999999</v>
      </c>
      <c r="U20" s="12">
        <f>'[5]Dia 20 (a)'!$S26</f>
        <v>18.100000000000001</v>
      </c>
      <c r="V20" s="12">
        <f>'[5]Dia 21 (a)'!$S26</f>
        <v>19.100000000000001</v>
      </c>
      <c r="W20" s="12">
        <f>'[5]Dia 22 (a)'!$S26</f>
        <v>19.600000000000001</v>
      </c>
      <c r="X20" s="12">
        <f>'[5]Dia 23 (a)'!$S26</f>
        <v>19.899999999999999</v>
      </c>
      <c r="Y20" s="12">
        <f>'[5]Dia 24 (a)'!$S26</f>
        <v>20.5</v>
      </c>
      <c r="Z20" s="12">
        <f>'[5]Dia 25 (a)'!$S26</f>
        <v>20.5</v>
      </c>
      <c r="AA20" s="12">
        <f>'[5]Dia 26 (a)'!$S26</f>
        <v>20.6</v>
      </c>
      <c r="AB20" s="12">
        <f>'[5]Dia 27 (a)'!$S26</f>
        <v>21.1</v>
      </c>
      <c r="AC20" s="12">
        <f>'[5]Dia 28 (a)'!$S26</f>
        <v>20.6</v>
      </c>
      <c r="AD20" s="12">
        <f>'[5]Dia 29 (a)'!$S26</f>
        <v>21</v>
      </c>
      <c r="AE20" s="12">
        <f>'[5]Dia 30 (a)'!$S26</f>
        <v>20.8</v>
      </c>
      <c r="AF20" s="13">
        <f>'[5]Dia 31 (a)'!$S26</f>
        <v>19.7</v>
      </c>
      <c r="AG20" s="14"/>
    </row>
    <row r="21" spans="1:33" ht="20.100000000000001" customHeight="1" thickBot="1">
      <c r="A21" s="16">
        <v>24</v>
      </c>
      <c r="B21" s="17">
        <f>'[5]Dia 1 (a)'!$S27</f>
        <v>23.6</v>
      </c>
      <c r="C21" s="17">
        <f>'[5]Dia 2 (a)'!$S27</f>
        <v>23.8</v>
      </c>
      <c r="D21" s="17">
        <f>'[5]Dia 3 (a)'!$S27</f>
        <v>24.4</v>
      </c>
      <c r="E21" s="17">
        <f>'[5]Dia 4 (a)'!$S27</f>
        <v>22.6</v>
      </c>
      <c r="F21" s="17">
        <f>'[5]Dia 5 (a)'!$S27</f>
        <v>21.1</v>
      </c>
      <c r="G21" s="17">
        <f>'[5]Dia 6 (a)'!$S27</f>
        <v>21.1</v>
      </c>
      <c r="H21" s="17">
        <f>'[5]Dia 7 (a)'!$S27</f>
        <v>20.399999999999999</v>
      </c>
      <c r="I21" s="17">
        <f>'[5]Dia 8 (a)'!$S27</f>
        <v>20.5</v>
      </c>
      <c r="J21" s="17">
        <f>'[5]Dia 9 (a)'!$S27</f>
        <v>21.1</v>
      </c>
      <c r="K21" s="17">
        <f>'[5]Dia 10 (a)'!$S27</f>
        <v>21.6</v>
      </c>
      <c r="L21" s="17">
        <f>'[5]Dia 11 (a)'!$S27</f>
        <v>21.9</v>
      </c>
      <c r="M21" s="17">
        <f>'[5]Dia 12 (a)'!$S27</f>
        <v>21.6</v>
      </c>
      <c r="N21" s="17">
        <f>'[5]Dia 13 (a)'!$S27</f>
        <v>22</v>
      </c>
      <c r="O21" s="17">
        <f>'[5]Dia 14 (a)'!$S27</f>
        <v>22.4</v>
      </c>
      <c r="P21" s="17">
        <f>'[5]Dia 15 (a)'!$S27</f>
        <v>22</v>
      </c>
      <c r="Q21" s="17">
        <f>'[5]Dia 16 (a)'!$S27</f>
        <v>21.4</v>
      </c>
      <c r="R21" s="17">
        <f>'[5]Dia 17 (a)'!$S27</f>
        <v>20.9</v>
      </c>
      <c r="S21" s="17">
        <f>'[5]Dia 18 (a)'!$S27</f>
        <v>19.3</v>
      </c>
      <c r="T21" s="17">
        <f>'[5]Dia 19 (a)'!$S27</f>
        <v>18.3</v>
      </c>
      <c r="U21" s="17">
        <f>'[5]Dia 20 (a)'!$S27</f>
        <v>18.2</v>
      </c>
      <c r="V21" s="17">
        <f>'[5]Dia 21 (a)'!$S27</f>
        <v>19.100000000000001</v>
      </c>
      <c r="W21" s="17">
        <f>'[5]Dia 22 (a)'!$S27</f>
        <v>19.600000000000001</v>
      </c>
      <c r="X21" s="17">
        <f>'[5]Dia 23 (a)'!$S27</f>
        <v>19.899999999999999</v>
      </c>
      <c r="Y21" s="17">
        <f>'[5]Dia 24 (a)'!$S27</f>
        <v>20.399999999999999</v>
      </c>
      <c r="Z21" s="17">
        <f>'[5]Dia 25 (a)'!$S27</f>
        <v>20.5</v>
      </c>
      <c r="AA21" s="17">
        <f>'[5]Dia 26 (a)'!$S27</f>
        <v>20.399999999999999</v>
      </c>
      <c r="AB21" s="17">
        <f>'[5]Dia 27 (a)'!$S27</f>
        <v>21.1</v>
      </c>
      <c r="AC21" s="17">
        <f>'[5]Dia 28 (a)'!$S27</f>
        <v>20.6</v>
      </c>
      <c r="AD21" s="17">
        <f>'[5]Dia 29 (a)'!$S27</f>
        <v>21</v>
      </c>
      <c r="AE21" s="17">
        <f>'[5]Dia 30 (a)'!$S27</f>
        <v>20.7</v>
      </c>
      <c r="AF21" s="18">
        <f>'[5]Dia 31 (a)'!$S27</f>
        <v>19.7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23.149999999999995</v>
      </c>
      <c r="C25" s="28">
        <f t="shared" ref="C25:AF25" si="0">AVERAGE(C4:C21)</f>
        <v>23.450000000000003</v>
      </c>
      <c r="D25" s="28">
        <f t="shared" si="0"/>
        <v>23.872222222222216</v>
      </c>
      <c r="E25" s="28">
        <f t="shared" si="0"/>
        <v>23.466666666666665</v>
      </c>
      <c r="F25" s="28">
        <f t="shared" si="0"/>
        <v>21.205555555555552</v>
      </c>
      <c r="G25" s="28">
        <f t="shared" si="0"/>
        <v>20.905555555555555</v>
      </c>
      <c r="H25" s="28">
        <f t="shared" si="0"/>
        <v>20.466666666666665</v>
      </c>
      <c r="I25" s="28">
        <f t="shared" si="0"/>
        <v>20.088888888888889</v>
      </c>
      <c r="J25" s="28">
        <f t="shared" si="0"/>
        <v>20.666666666666668</v>
      </c>
      <c r="K25" s="28">
        <f t="shared" si="0"/>
        <v>20.933333333333337</v>
      </c>
      <c r="L25" s="28">
        <f t="shared" si="0"/>
        <v>21.388888888888882</v>
      </c>
      <c r="M25" s="28">
        <f t="shared" si="0"/>
        <v>21.461111111111116</v>
      </c>
      <c r="N25" s="28">
        <f t="shared" si="0"/>
        <v>21.466666666666665</v>
      </c>
      <c r="O25" s="28">
        <f t="shared" si="0"/>
        <v>21.933333333333334</v>
      </c>
      <c r="P25" s="28">
        <f t="shared" si="0"/>
        <v>21.894444444444449</v>
      </c>
      <c r="Q25" s="28">
        <f t="shared" si="0"/>
        <v>21.261111111111102</v>
      </c>
      <c r="R25" s="28">
        <f t="shared" si="0"/>
        <v>20.672222222222224</v>
      </c>
      <c r="S25" s="28">
        <f t="shared" si="0"/>
        <v>19.305555555555557</v>
      </c>
      <c r="T25" s="28">
        <f t="shared" si="0"/>
        <v>18.244444444444444</v>
      </c>
      <c r="U25" s="28">
        <f t="shared" si="0"/>
        <v>17.583333333333332</v>
      </c>
      <c r="V25" s="28">
        <f t="shared" si="0"/>
        <v>18.355555555555561</v>
      </c>
      <c r="W25" s="28">
        <f t="shared" si="0"/>
        <v>18.777777777777786</v>
      </c>
      <c r="X25" s="28">
        <f t="shared" si="0"/>
        <v>19.138888888888882</v>
      </c>
      <c r="Y25" s="28">
        <f t="shared" si="0"/>
        <v>19.783333333333331</v>
      </c>
      <c r="Z25" s="28">
        <f t="shared" si="0"/>
        <v>19.75</v>
      </c>
      <c r="AA25" s="28">
        <f t="shared" si="0"/>
        <v>20.094444444444445</v>
      </c>
      <c r="AB25" s="28">
        <f t="shared" si="0"/>
        <v>20.488888888888891</v>
      </c>
      <c r="AC25" s="28">
        <f t="shared" si="0"/>
        <v>20.372222222222227</v>
      </c>
      <c r="AD25" s="28">
        <f t="shared" si="0"/>
        <v>20.483333333333334</v>
      </c>
      <c r="AE25" s="28">
        <f t="shared" si="0"/>
        <v>20.822222222222226</v>
      </c>
      <c r="AF25" s="28">
        <f t="shared" si="0"/>
        <v>19.950000000000003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23.6</v>
      </c>
      <c r="C29" s="28">
        <f t="shared" ref="C29:AF29" si="1">MAX(C4:C21)</f>
        <v>23.8</v>
      </c>
      <c r="D29" s="28">
        <f t="shared" si="1"/>
        <v>24.4</v>
      </c>
      <c r="E29" s="28">
        <f t="shared" si="1"/>
        <v>24.2</v>
      </c>
      <c r="F29" s="28">
        <f t="shared" si="1"/>
        <v>21.7</v>
      </c>
      <c r="G29" s="28">
        <f t="shared" si="1"/>
        <v>21.2</v>
      </c>
      <c r="H29" s="28">
        <f t="shared" si="1"/>
        <v>20.6</v>
      </c>
      <c r="I29" s="28">
        <f t="shared" si="1"/>
        <v>20.5</v>
      </c>
      <c r="J29" s="28">
        <f t="shared" si="1"/>
        <v>21.2</v>
      </c>
      <c r="K29" s="28">
        <f t="shared" si="1"/>
        <v>21.6</v>
      </c>
      <c r="L29" s="28">
        <f t="shared" si="1"/>
        <v>21.9</v>
      </c>
      <c r="M29" s="28">
        <f t="shared" si="1"/>
        <v>21.7</v>
      </c>
      <c r="N29" s="28">
        <f t="shared" si="1"/>
        <v>22.1</v>
      </c>
      <c r="O29" s="28">
        <f t="shared" si="1"/>
        <v>22.6</v>
      </c>
      <c r="P29" s="28">
        <f t="shared" si="1"/>
        <v>22.1</v>
      </c>
      <c r="Q29" s="28">
        <f t="shared" si="1"/>
        <v>21.4</v>
      </c>
      <c r="R29" s="28">
        <f t="shared" si="1"/>
        <v>21.2</v>
      </c>
      <c r="S29" s="28">
        <f t="shared" si="1"/>
        <v>19.7</v>
      </c>
      <c r="T29" s="28">
        <f t="shared" si="1"/>
        <v>18.399999999999999</v>
      </c>
      <c r="U29" s="28">
        <f t="shared" si="1"/>
        <v>18.3</v>
      </c>
      <c r="V29" s="28">
        <f t="shared" si="1"/>
        <v>19.100000000000001</v>
      </c>
      <c r="W29" s="28">
        <f t="shared" si="1"/>
        <v>19.600000000000001</v>
      </c>
      <c r="X29" s="28">
        <f t="shared" si="1"/>
        <v>19.899999999999999</v>
      </c>
      <c r="Y29" s="28">
        <f t="shared" si="1"/>
        <v>20.5</v>
      </c>
      <c r="Z29" s="28">
        <f t="shared" si="1"/>
        <v>20.5</v>
      </c>
      <c r="AA29" s="28">
        <f t="shared" si="1"/>
        <v>20.6</v>
      </c>
      <c r="AB29" s="28">
        <f t="shared" si="1"/>
        <v>21.1</v>
      </c>
      <c r="AC29" s="28">
        <f t="shared" si="1"/>
        <v>20.6</v>
      </c>
      <c r="AD29" s="28">
        <f t="shared" si="1"/>
        <v>21</v>
      </c>
      <c r="AE29" s="28">
        <f t="shared" si="1"/>
        <v>21.1</v>
      </c>
      <c r="AF29" s="28">
        <f t="shared" si="1"/>
        <v>20.2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22.8</v>
      </c>
      <c r="C33" s="28">
        <f t="shared" ref="C33:AF33" si="2">MIN(C4:C21)</f>
        <v>23.1</v>
      </c>
      <c r="D33" s="28">
        <f t="shared" si="2"/>
        <v>23.5</v>
      </c>
      <c r="E33" s="28">
        <f t="shared" si="2"/>
        <v>22.6</v>
      </c>
      <c r="F33" s="28">
        <f t="shared" si="2"/>
        <v>21</v>
      </c>
      <c r="G33" s="28">
        <f t="shared" si="2"/>
        <v>20.5</v>
      </c>
      <c r="H33" s="28">
        <f t="shared" si="2"/>
        <v>20.399999999999999</v>
      </c>
      <c r="I33" s="28">
        <f t="shared" si="2"/>
        <v>20</v>
      </c>
      <c r="J33" s="28">
        <f t="shared" si="2"/>
        <v>20.2</v>
      </c>
      <c r="K33" s="28">
        <f t="shared" si="2"/>
        <v>20.6</v>
      </c>
      <c r="L33" s="28">
        <f t="shared" si="2"/>
        <v>21</v>
      </c>
      <c r="M33" s="28">
        <f t="shared" si="2"/>
        <v>21.2</v>
      </c>
      <c r="N33" s="28">
        <f t="shared" si="2"/>
        <v>21</v>
      </c>
      <c r="O33" s="28">
        <f t="shared" si="2"/>
        <v>21.6</v>
      </c>
      <c r="P33" s="28">
        <f t="shared" si="2"/>
        <v>21.8</v>
      </c>
      <c r="Q33" s="28">
        <f t="shared" si="2"/>
        <v>21.1</v>
      </c>
      <c r="R33" s="28">
        <f t="shared" si="2"/>
        <v>20.2</v>
      </c>
      <c r="S33" s="28">
        <f t="shared" si="2"/>
        <v>19</v>
      </c>
      <c r="T33" s="28">
        <f t="shared" si="2"/>
        <v>17.8</v>
      </c>
      <c r="U33" s="28">
        <f t="shared" si="2"/>
        <v>17</v>
      </c>
      <c r="V33" s="28">
        <f t="shared" si="2"/>
        <v>17.8</v>
      </c>
      <c r="W33" s="28">
        <f t="shared" si="2"/>
        <v>18.2</v>
      </c>
      <c r="X33" s="28">
        <f t="shared" si="2"/>
        <v>18.600000000000001</v>
      </c>
      <c r="Y33" s="28">
        <f t="shared" si="2"/>
        <v>19.399999999999999</v>
      </c>
      <c r="Z33" s="28">
        <f t="shared" si="2"/>
        <v>19</v>
      </c>
      <c r="AA33" s="28">
        <f t="shared" si="2"/>
        <v>19.7</v>
      </c>
      <c r="AB33" s="28">
        <f t="shared" si="2"/>
        <v>20</v>
      </c>
      <c r="AC33" s="28">
        <f t="shared" si="2"/>
        <v>20.2</v>
      </c>
      <c r="AD33" s="28">
        <f t="shared" si="2"/>
        <v>20.2</v>
      </c>
      <c r="AE33" s="28">
        <f t="shared" si="2"/>
        <v>20.7</v>
      </c>
      <c r="AF33" s="28">
        <f t="shared" si="2"/>
        <v>19.7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0.80000000000000071</v>
      </c>
      <c r="C37" s="28">
        <f t="shared" ref="C37:AF37" si="3">C29-C33</f>
        <v>0.69999999999999929</v>
      </c>
      <c r="D37" s="28">
        <f t="shared" si="3"/>
        <v>0.89999999999999858</v>
      </c>
      <c r="E37" s="28">
        <f t="shared" si="3"/>
        <v>1.5999999999999979</v>
      </c>
      <c r="F37" s="28">
        <f t="shared" si="3"/>
        <v>0.69999999999999929</v>
      </c>
      <c r="G37" s="28">
        <f t="shared" si="3"/>
        <v>0.69999999999999929</v>
      </c>
      <c r="H37" s="28">
        <f t="shared" si="3"/>
        <v>0.20000000000000284</v>
      </c>
      <c r="I37" s="28">
        <f t="shared" si="3"/>
        <v>0.5</v>
      </c>
      <c r="J37" s="28">
        <f t="shared" si="3"/>
        <v>1</v>
      </c>
      <c r="K37" s="28">
        <f t="shared" si="3"/>
        <v>1</v>
      </c>
      <c r="L37" s="28">
        <f t="shared" si="3"/>
        <v>0.89999999999999858</v>
      </c>
      <c r="M37" s="28">
        <f t="shared" si="3"/>
        <v>0.5</v>
      </c>
      <c r="N37" s="28">
        <f t="shared" si="3"/>
        <v>1.1000000000000014</v>
      </c>
      <c r="O37" s="28">
        <f t="shared" si="3"/>
        <v>1</v>
      </c>
      <c r="P37" s="28">
        <f t="shared" si="3"/>
        <v>0.30000000000000071</v>
      </c>
      <c r="Q37" s="28">
        <f t="shared" si="3"/>
        <v>0.29999999999999716</v>
      </c>
      <c r="R37" s="28">
        <f t="shared" si="3"/>
        <v>1</v>
      </c>
      <c r="S37" s="28">
        <f t="shared" si="3"/>
        <v>0.69999999999999929</v>
      </c>
      <c r="T37" s="28">
        <f t="shared" si="3"/>
        <v>0.59999999999999787</v>
      </c>
      <c r="U37" s="28">
        <f t="shared" si="3"/>
        <v>1.3000000000000007</v>
      </c>
      <c r="V37" s="28">
        <f t="shared" si="3"/>
        <v>1.3000000000000007</v>
      </c>
      <c r="W37" s="28">
        <f t="shared" si="3"/>
        <v>1.4000000000000021</v>
      </c>
      <c r="X37" s="28">
        <f t="shared" si="3"/>
        <v>1.2999999999999972</v>
      </c>
      <c r="Y37" s="28">
        <f t="shared" si="3"/>
        <v>1.1000000000000014</v>
      </c>
      <c r="Z37" s="28">
        <f t="shared" si="3"/>
        <v>1.5</v>
      </c>
      <c r="AA37" s="28">
        <f t="shared" si="3"/>
        <v>0.90000000000000213</v>
      </c>
      <c r="AB37" s="28">
        <f t="shared" si="3"/>
        <v>1.1000000000000014</v>
      </c>
      <c r="AC37" s="28">
        <f t="shared" si="3"/>
        <v>0.40000000000000213</v>
      </c>
      <c r="AD37" s="28">
        <f t="shared" si="3"/>
        <v>0.80000000000000071</v>
      </c>
      <c r="AE37" s="28">
        <f t="shared" si="3"/>
        <v>0.40000000000000213</v>
      </c>
      <c r="AF37" s="28">
        <f t="shared" si="3"/>
        <v>0.5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20.691397849462369</v>
      </c>
      <c r="I43" s="40"/>
      <c r="J43" s="42"/>
      <c r="K43" s="41">
        <f>MAX(B29:AF29)</f>
        <v>24.4</v>
      </c>
      <c r="L43" s="42"/>
      <c r="M43" s="42"/>
      <c r="N43" s="41">
        <f>MIN(B33:AF33)</f>
        <v>17</v>
      </c>
      <c r="O43" s="42"/>
      <c r="P43" s="42"/>
      <c r="Q43" s="41">
        <f>K43-N43</f>
        <v>7.3999999999999986</v>
      </c>
      <c r="R43" s="40"/>
      <c r="S43" s="41"/>
      <c r="T43" s="41">
        <f>AVERAGE(B29:AF29)</f>
        <v>21.174193548387098</v>
      </c>
      <c r="U43" s="41"/>
      <c r="V43" s="41">
        <f>AVERAGE(B33:AF33)</f>
        <v>20.319354838709685</v>
      </c>
      <c r="W43" s="41"/>
      <c r="X43" s="41">
        <f>T43-V43</f>
        <v>0.85483870967741282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(a)'!$S10</f>
        <v>19</v>
      </c>
      <c r="C4" s="12">
        <f>'[6]Dia 2 (a)'!$S10</f>
        <v>19.5</v>
      </c>
      <c r="D4" s="12">
        <f>'[6]Dia 3 (a)'!$S10</f>
        <v>19.3</v>
      </c>
      <c r="E4" s="12">
        <f>'[6]Dia 4 (a)'!$S10</f>
        <v>19.100000000000001</v>
      </c>
      <c r="F4" s="12">
        <f>'[6]Dia 5 (a)'!$S10</f>
        <v>18.600000000000001</v>
      </c>
      <c r="G4" s="12">
        <f>'[6]Dia 6 (a)'!$S10</f>
        <v>19.2</v>
      </c>
      <c r="H4" s="12">
        <f>'[6]Dia 7 (a)'!$S10</f>
        <v>19.399999999999999</v>
      </c>
      <c r="I4" s="12">
        <f>'[6]Dia 8 (a)'!$S10</f>
        <v>19.3</v>
      </c>
      <c r="J4" s="12">
        <f>'[6]Dia 9 (a)'!$S10</f>
        <v>18.899999999999999</v>
      </c>
      <c r="K4" s="12">
        <f>'[6]Dia 10 (a)'!$S10</f>
        <v>19.3</v>
      </c>
      <c r="L4" s="12">
        <f>'[6]Dia 11 (a)'!$S10</f>
        <v>19.2</v>
      </c>
      <c r="M4" s="12">
        <f>'[6]Dia 12 (a)'!$S10</f>
        <v>18.2</v>
      </c>
      <c r="N4" s="12">
        <f>'[6]Dia 13 (a)'!$S10</f>
        <v>17.3</v>
      </c>
      <c r="O4" s="12">
        <f>'[6]Dia 14 (a)'!$S10</f>
        <v>17.100000000000001</v>
      </c>
      <c r="P4" s="12">
        <f>'[6]Dia 15 (a)'!$S10</f>
        <v>16.899999999999999</v>
      </c>
      <c r="Q4" s="12">
        <f>'[6]Dia 16 (a)'!$S10</f>
        <v>17</v>
      </c>
      <c r="R4" s="12">
        <f>'[6]Dia 17 (a)'!$S10</f>
        <v>17.7</v>
      </c>
      <c r="S4" s="12">
        <f>'[6]Dia 18 (a)'!$S10</f>
        <v>18.399999999999999</v>
      </c>
      <c r="T4" s="12">
        <f>'[6]Dia 19 (a)'!$S10</f>
        <v>17.7</v>
      </c>
      <c r="U4" s="12">
        <f>'[6]Dia 20 (a)'!$S10</f>
        <v>17</v>
      </c>
      <c r="V4" s="12">
        <f>'[6]Dia 21 (a)'!$S10</f>
        <v>17.7</v>
      </c>
      <c r="W4" s="12">
        <f>'[6]Dia 22 (a)'!$S10</f>
        <v>18.2</v>
      </c>
      <c r="X4" s="12">
        <f>'[6]Dia 23 (a)'!$S10</f>
        <v>19.100000000000001</v>
      </c>
      <c r="Y4" s="12">
        <f>'[6]Dia 24 (a)'!$S10</f>
        <v>19.2</v>
      </c>
      <c r="Z4" s="12">
        <f>'[6]Dia 25 (a)'!$S10</f>
        <v>19.399999999999999</v>
      </c>
      <c r="AA4" s="12">
        <f>'[6]Dia 26 (a)'!$S10</f>
        <v>19.3</v>
      </c>
      <c r="AB4" s="12">
        <f>'[6]Dia 27 (a)'!$S10</f>
        <v>18.7</v>
      </c>
      <c r="AC4" s="12">
        <f>'[6]Dia 28 (a)'!$S10</f>
        <v>17.899999999999999</v>
      </c>
      <c r="AD4" s="12">
        <f>'[6]Dia 29 (a)'!$S10</f>
        <v>18.399999999999999</v>
      </c>
      <c r="AE4" s="12">
        <f>'[6]Dia 30 (a)'!$S10</f>
        <v>18.600000000000001</v>
      </c>
      <c r="AF4" s="13"/>
      <c r="AG4" s="14"/>
    </row>
    <row r="5" spans="1:33" ht="20.100000000000001" customHeight="1">
      <c r="A5" s="11">
        <v>8</v>
      </c>
      <c r="B5" s="12">
        <f>'[6]Dia 1 (a)'!$S11</f>
        <v>19</v>
      </c>
      <c r="C5" s="12">
        <f>'[6]Dia 2 (a)'!$S11</f>
        <v>19.600000000000001</v>
      </c>
      <c r="D5" s="12">
        <f>'[6]Dia 3 (a)'!$S11</f>
        <v>19.2</v>
      </c>
      <c r="E5" s="12">
        <f>'[6]Dia 4 (a)'!$S11</f>
        <v>19.100000000000001</v>
      </c>
      <c r="F5" s="12">
        <f>'[6]Dia 5 (a)'!$S11</f>
        <v>18.600000000000001</v>
      </c>
      <c r="G5" s="12">
        <f>'[6]Dia 6 (a)'!$S11</f>
        <v>19.2</v>
      </c>
      <c r="H5" s="12">
        <f>'[6]Dia 7 (a)'!$S11</f>
        <v>19.399999999999999</v>
      </c>
      <c r="I5" s="12">
        <f>'[6]Dia 8 (a)'!$S11</f>
        <v>19.3</v>
      </c>
      <c r="J5" s="12">
        <f>'[6]Dia 9 (a)'!$S11</f>
        <v>18.899999999999999</v>
      </c>
      <c r="K5" s="12">
        <f>'[6]Dia 10 (a)'!$S11</f>
        <v>19.2</v>
      </c>
      <c r="L5" s="12">
        <f>'[6]Dia 11 (a)'!$S11</f>
        <v>19.2</v>
      </c>
      <c r="M5" s="12">
        <f>'[6]Dia 12 (a)'!$S11</f>
        <v>18.2</v>
      </c>
      <c r="N5" s="12">
        <f>'[6]Dia 13 (a)'!$S11</f>
        <v>17.100000000000001</v>
      </c>
      <c r="O5" s="12">
        <f>'[6]Dia 14 (a)'!$S11</f>
        <v>17</v>
      </c>
      <c r="P5" s="12">
        <f>'[6]Dia 15 (a)'!$S11</f>
        <v>17</v>
      </c>
      <c r="Q5" s="12">
        <f>'[6]Dia 16 (a)'!$S11</f>
        <v>17</v>
      </c>
      <c r="R5" s="12">
        <f>'[6]Dia 17 (a)'!$S11</f>
        <v>17.7</v>
      </c>
      <c r="S5" s="12">
        <f>'[6]Dia 18 (a)'!$S11</f>
        <v>18.399999999999999</v>
      </c>
      <c r="T5" s="12">
        <f>'[6]Dia 19 (a)'!$S11</f>
        <v>17.7</v>
      </c>
      <c r="U5" s="12">
        <f>'[6]Dia 20 (a)'!$S11</f>
        <v>17.2</v>
      </c>
      <c r="V5" s="12">
        <f>'[6]Dia 21 (a)'!$S11</f>
        <v>17.600000000000001</v>
      </c>
      <c r="W5" s="12">
        <f>'[6]Dia 22 (a)'!$S11</f>
        <v>18.2</v>
      </c>
      <c r="X5" s="12">
        <f>'[6]Dia 23 (a)'!$S11</f>
        <v>19</v>
      </c>
      <c r="Y5" s="12">
        <f>'[6]Dia 24 (a)'!$S11</f>
        <v>19.2</v>
      </c>
      <c r="Z5" s="12">
        <f>'[6]Dia 25 (a)'!$S11</f>
        <v>19.399999999999999</v>
      </c>
      <c r="AA5" s="12">
        <f>'[6]Dia 26 (a)'!$S11</f>
        <v>19.2</v>
      </c>
      <c r="AB5" s="12">
        <f>'[6]Dia 27 (a)'!$S11</f>
        <v>18.600000000000001</v>
      </c>
      <c r="AC5" s="12">
        <f>'[6]Dia 28 (a)'!$S11</f>
        <v>17.899999999999999</v>
      </c>
      <c r="AD5" s="12">
        <f>'[6]Dia 29 (a)'!$S11</f>
        <v>18.399999999999999</v>
      </c>
      <c r="AE5" s="12">
        <f>'[6]Dia 30 (a)'!$S11</f>
        <v>18.600000000000001</v>
      </c>
      <c r="AF5" s="13"/>
      <c r="AG5" s="14"/>
    </row>
    <row r="6" spans="1:33" ht="20.100000000000001" customHeight="1">
      <c r="A6" s="11">
        <v>9</v>
      </c>
      <c r="B6" s="12">
        <f>'[6]Dia 1 (a)'!$S12</f>
        <v>19</v>
      </c>
      <c r="C6" s="12">
        <f>'[6]Dia 2 (a)'!$S12</f>
        <v>19.600000000000001</v>
      </c>
      <c r="D6" s="12">
        <f>'[6]Dia 3 (a)'!$S12</f>
        <v>19.2</v>
      </c>
      <c r="E6" s="12">
        <f>'[6]Dia 4 (a)'!$S12</f>
        <v>19</v>
      </c>
      <c r="F6" s="12">
        <f>'[6]Dia 5 (a)'!$S12</f>
        <v>18.600000000000001</v>
      </c>
      <c r="G6" s="12">
        <f>'[6]Dia 6 (a)'!$S12</f>
        <v>19.100000000000001</v>
      </c>
      <c r="H6" s="12">
        <f>'[6]Dia 7 (a)'!$S12</f>
        <v>19.3</v>
      </c>
      <c r="I6" s="12">
        <f>'[6]Dia 8 (a)'!$S12</f>
        <v>19.3</v>
      </c>
      <c r="J6" s="12">
        <f>'[6]Dia 9 (a)'!$S12</f>
        <v>18.899999999999999</v>
      </c>
      <c r="K6" s="12">
        <f>'[6]Dia 10 (a)'!$S12</f>
        <v>19.2</v>
      </c>
      <c r="L6" s="12">
        <f>'[6]Dia 11 (a)'!$S12</f>
        <v>19.100000000000001</v>
      </c>
      <c r="M6" s="12">
        <f>'[6]Dia 12 (a)'!$S12</f>
        <v>18.2</v>
      </c>
      <c r="N6" s="12">
        <f>'[6]Dia 13 (a)'!$S12</f>
        <v>17</v>
      </c>
      <c r="O6" s="12">
        <f>'[6]Dia 14 (a)'!$S12</f>
        <v>17.100000000000001</v>
      </c>
      <c r="P6" s="12">
        <f>'[6]Dia 15 (a)'!$S12</f>
        <v>16.899999999999999</v>
      </c>
      <c r="Q6" s="12">
        <f>'[6]Dia 16 (a)'!$S12</f>
        <v>16.8</v>
      </c>
      <c r="R6" s="12">
        <f>'[6]Dia 17 (a)'!$S12</f>
        <v>17.7</v>
      </c>
      <c r="S6" s="12">
        <f>'[6]Dia 18 (a)'!$S12</f>
        <v>18.5</v>
      </c>
      <c r="T6" s="12">
        <f>'[6]Dia 19 (a)'!$S12</f>
        <v>17.7</v>
      </c>
      <c r="U6" s="12">
        <f>'[6]Dia 20 (a)'!$S12</f>
        <v>17.600000000000001</v>
      </c>
      <c r="V6" s="12">
        <f>'[6]Dia 21 (a)'!$S12</f>
        <v>17.600000000000001</v>
      </c>
      <c r="W6" s="12">
        <f>'[6]Dia 22 (a)'!$S12</f>
        <v>18.399999999999999</v>
      </c>
      <c r="X6" s="12">
        <f>'[6]Dia 23 (a)'!$S12</f>
        <v>19</v>
      </c>
      <c r="Y6" s="12">
        <f>'[6]Dia 24 (a)'!$S12</f>
        <v>19.2</v>
      </c>
      <c r="Z6" s="12">
        <f>'[6]Dia 25 (a)'!$S12</f>
        <v>19.3</v>
      </c>
      <c r="AA6" s="12">
        <f>'[6]Dia 26 (a)'!$S12</f>
        <v>19.2</v>
      </c>
      <c r="AB6" s="12">
        <f>'[6]Dia 27 (a)'!$S12</f>
        <v>18.5</v>
      </c>
      <c r="AC6" s="12">
        <f>'[6]Dia 28 (a)'!$S12</f>
        <v>17.899999999999999</v>
      </c>
      <c r="AD6" s="12">
        <f>'[6]Dia 29 (a)'!$S12</f>
        <v>18.399999999999999</v>
      </c>
      <c r="AE6" s="12">
        <f>'[6]Dia 30 (a)'!$S12</f>
        <v>18.600000000000001</v>
      </c>
      <c r="AF6" s="13"/>
      <c r="AG6" s="14"/>
    </row>
    <row r="7" spans="1:33" ht="20.100000000000001" customHeight="1">
      <c r="A7" s="11">
        <v>10</v>
      </c>
      <c r="B7" s="12">
        <f>'[6]Dia 1 (a)'!$S13</f>
        <v>19.100000000000001</v>
      </c>
      <c r="C7" s="12">
        <f>'[6]Dia 2 (a)'!$S13</f>
        <v>19.600000000000001</v>
      </c>
      <c r="D7" s="12">
        <f>'[6]Dia 3 (a)'!$S13</f>
        <v>19.2</v>
      </c>
      <c r="E7" s="12">
        <f>'[6]Dia 4 (a)'!$S13</f>
        <v>19</v>
      </c>
      <c r="F7" s="12">
        <f>'[6]Dia 5 (a)'!$S13</f>
        <v>18.600000000000001</v>
      </c>
      <c r="G7" s="12">
        <f>'[6]Dia 6 (a)'!$S13</f>
        <v>19.100000000000001</v>
      </c>
      <c r="H7" s="12">
        <f>'[6]Dia 7 (a)'!$S13</f>
        <v>19.3</v>
      </c>
      <c r="I7" s="12">
        <f>'[6]Dia 8 (a)'!$S13</f>
        <v>19.2</v>
      </c>
      <c r="J7" s="12">
        <f>'[6]Dia 9 (a)'!$S13</f>
        <v>18.8</v>
      </c>
      <c r="K7" s="12">
        <f>'[6]Dia 10 (a)'!$S13</f>
        <v>19.2</v>
      </c>
      <c r="L7" s="12">
        <f>'[6]Dia 11 (a)'!$S13</f>
        <v>19</v>
      </c>
      <c r="M7" s="12">
        <f>'[6]Dia 12 (a)'!$S13</f>
        <v>18.2</v>
      </c>
      <c r="N7" s="12">
        <f>'[6]Dia 13 (a)'!$S13</f>
        <v>17</v>
      </c>
      <c r="O7" s="12">
        <f>'[6]Dia 14 (a)'!$S13</f>
        <v>17.100000000000001</v>
      </c>
      <c r="P7" s="12">
        <f>'[6]Dia 15 (a)'!$S13</f>
        <v>16.899999999999999</v>
      </c>
      <c r="Q7" s="12">
        <f>'[6]Dia 16 (a)'!$S13</f>
        <v>17</v>
      </c>
      <c r="R7" s="12">
        <f>'[6]Dia 17 (a)'!$S13</f>
        <v>17.600000000000001</v>
      </c>
      <c r="S7" s="12">
        <f>'[6]Dia 18 (a)'!$S13</f>
        <v>18.399999999999999</v>
      </c>
      <c r="T7" s="12">
        <f>'[6]Dia 19 (a)'!$S13</f>
        <v>17.7</v>
      </c>
      <c r="U7" s="12">
        <f>'[6]Dia 20 (a)'!$S13</f>
        <v>17.399999999999999</v>
      </c>
      <c r="V7" s="12">
        <f>'[6]Dia 21 (a)'!$S13</f>
        <v>17.7</v>
      </c>
      <c r="W7" s="12">
        <f>'[6]Dia 22 (a)'!$S13</f>
        <v>18.399999999999999</v>
      </c>
      <c r="X7" s="12">
        <f>'[6]Dia 23 (a)'!$S13</f>
        <v>19</v>
      </c>
      <c r="Y7" s="12">
        <f>'[6]Dia 24 (a)'!$S13</f>
        <v>19.2</v>
      </c>
      <c r="Z7" s="12">
        <f>'[6]Dia 25 (a)'!$S13</f>
        <v>19.3</v>
      </c>
      <c r="AA7" s="12">
        <f>'[6]Dia 26 (a)'!$S13</f>
        <v>19.100000000000001</v>
      </c>
      <c r="AB7" s="12">
        <f>'[6]Dia 27 (a)'!$S13</f>
        <v>18.5</v>
      </c>
      <c r="AC7" s="12">
        <f>'[6]Dia 28 (a)'!$S13</f>
        <v>17.899999999999999</v>
      </c>
      <c r="AD7" s="12">
        <f>'[6]Dia 29 (a)'!$S13</f>
        <v>18.399999999999999</v>
      </c>
      <c r="AE7" s="12">
        <f>'[6]Dia 30 (a)'!$S13</f>
        <v>18.600000000000001</v>
      </c>
      <c r="AF7" s="13"/>
      <c r="AG7" s="14"/>
    </row>
    <row r="8" spans="1:33" ht="20.100000000000001" customHeight="1">
      <c r="A8" s="11">
        <v>11</v>
      </c>
      <c r="B8" s="12">
        <f>'[6]Dia 1 (a)'!$S14</f>
        <v>19</v>
      </c>
      <c r="C8" s="12">
        <f>'[6]Dia 2 (a)'!$S14</f>
        <v>19.5</v>
      </c>
      <c r="D8" s="12">
        <f>'[6]Dia 3 (a)'!$S14</f>
        <v>19.2</v>
      </c>
      <c r="E8" s="12">
        <f>'[6]Dia 4 (a)'!$S14</f>
        <v>18.899999999999999</v>
      </c>
      <c r="F8" s="12">
        <f>'[6]Dia 5 (a)'!$S14</f>
        <v>18.600000000000001</v>
      </c>
      <c r="G8" s="12">
        <f>'[6]Dia 6 (a)'!$S14</f>
        <v>19.100000000000001</v>
      </c>
      <c r="H8" s="12">
        <f>'[6]Dia 7 (a)'!$S14</f>
        <v>19.2</v>
      </c>
      <c r="I8" s="12">
        <f>'[6]Dia 8 (a)'!$S14</f>
        <v>19.2</v>
      </c>
      <c r="J8" s="12">
        <f>'[6]Dia 9 (a)'!$S14</f>
        <v>18.8</v>
      </c>
      <c r="K8" s="12">
        <f>'[6]Dia 10 (a)'!$S14</f>
        <v>19.2</v>
      </c>
      <c r="L8" s="12">
        <f>'[6]Dia 11 (a)'!$S14</f>
        <v>19</v>
      </c>
      <c r="M8" s="12">
        <f>'[6]Dia 12 (a)'!$S14</f>
        <v>18.2</v>
      </c>
      <c r="N8" s="12">
        <f>'[6]Dia 13 (a)'!$S14</f>
        <v>17.100000000000001</v>
      </c>
      <c r="O8" s="12">
        <f>'[6]Dia 14 (a)'!$S14</f>
        <v>17</v>
      </c>
      <c r="P8" s="12">
        <f>'[6]Dia 15 (a)'!$S14</f>
        <v>16.899999999999999</v>
      </c>
      <c r="Q8" s="12">
        <f>'[6]Dia 16 (a)'!$S14</f>
        <v>17</v>
      </c>
      <c r="R8" s="12">
        <f>'[6]Dia 17 (a)'!$S14</f>
        <v>17.5</v>
      </c>
      <c r="S8" s="12">
        <f>'[6]Dia 18 (a)'!$S14</f>
        <v>18.399999999999999</v>
      </c>
      <c r="T8" s="12">
        <f>'[6]Dia 19 (a)'!$S14</f>
        <v>17.7</v>
      </c>
      <c r="U8" s="12">
        <f>'[6]Dia 20 (a)'!$S14</f>
        <v>17.399999999999999</v>
      </c>
      <c r="V8" s="12">
        <f>'[6]Dia 21 (a)'!$S14</f>
        <v>17.7</v>
      </c>
      <c r="W8" s="12">
        <f>'[6]Dia 22 (a)'!$S14</f>
        <v>18.399999999999999</v>
      </c>
      <c r="X8" s="12">
        <f>'[6]Dia 23 (a)'!$S14</f>
        <v>19</v>
      </c>
      <c r="Y8" s="12">
        <f>'[6]Dia 24 (a)'!$S14</f>
        <v>19.2</v>
      </c>
      <c r="Z8" s="12">
        <f>'[6]Dia 25 (a)'!$S14</f>
        <v>19.2</v>
      </c>
      <c r="AA8" s="12">
        <f>'[6]Dia 26 (a)'!$S14</f>
        <v>19</v>
      </c>
      <c r="AB8" s="12">
        <f>'[6]Dia 27 (a)'!$S14</f>
        <v>18.3</v>
      </c>
      <c r="AC8" s="12">
        <f>'[6]Dia 28 (a)'!$S14</f>
        <v>17.8</v>
      </c>
      <c r="AD8" s="12">
        <f>'[6]Dia 29 (a)'!$S14</f>
        <v>18.399999999999999</v>
      </c>
      <c r="AE8" s="12">
        <f>'[6]Dia 30 (a)'!$S14</f>
        <v>18.8</v>
      </c>
      <c r="AF8" s="13"/>
      <c r="AG8" s="14"/>
    </row>
    <row r="9" spans="1:33" ht="20.100000000000001" customHeight="1">
      <c r="A9" s="11">
        <v>12</v>
      </c>
      <c r="B9" s="12">
        <f>'[6]Dia 1 (a)'!$S15</f>
        <v>19</v>
      </c>
      <c r="C9" s="12">
        <f>'[6]Dia 2 (a)'!$S15</f>
        <v>19.399999999999999</v>
      </c>
      <c r="D9" s="12">
        <f>'[6]Dia 3 (a)'!$S15</f>
        <v>19.2</v>
      </c>
      <c r="E9" s="12">
        <f>'[6]Dia 4 (a)'!$S15</f>
        <v>18.899999999999999</v>
      </c>
      <c r="F9" s="12">
        <f>'[6]Dia 5 (a)'!$S15</f>
        <v>18.600000000000001</v>
      </c>
      <c r="G9" s="12">
        <f>'[6]Dia 6 (a)'!$S15</f>
        <v>19.100000000000001</v>
      </c>
      <c r="H9" s="12">
        <f>'[6]Dia 7 (a)'!$S15</f>
        <v>19.2</v>
      </c>
      <c r="I9" s="12">
        <f>'[6]Dia 8 (a)'!$S15</f>
        <v>19.2</v>
      </c>
      <c r="J9" s="12">
        <f>'[6]Dia 9 (a)'!$S15</f>
        <v>18.8</v>
      </c>
      <c r="K9" s="12">
        <f>'[6]Dia 10 (a)'!$S15</f>
        <v>19.2</v>
      </c>
      <c r="L9" s="12">
        <f>'[6]Dia 11 (a)'!$S15</f>
        <v>19</v>
      </c>
      <c r="M9" s="12">
        <f>'[6]Dia 12 (a)'!$S15</f>
        <v>18.2</v>
      </c>
      <c r="N9" s="12">
        <f>'[6]Dia 13 (a)'!$S15</f>
        <v>16.899999999999999</v>
      </c>
      <c r="O9" s="12">
        <f>'[6]Dia 14 (a)'!$S15</f>
        <v>17</v>
      </c>
      <c r="P9" s="12">
        <f>'[6]Dia 15 (a)'!$S15</f>
        <v>16.899999999999999</v>
      </c>
      <c r="Q9" s="12">
        <f>'[6]Dia 16 (a)'!$S15</f>
        <v>17</v>
      </c>
      <c r="R9" s="12">
        <f>'[6]Dia 17 (a)'!$S15</f>
        <v>17.5</v>
      </c>
      <c r="S9" s="12">
        <f>'[6]Dia 18 (a)'!$S15</f>
        <v>18.3</v>
      </c>
      <c r="T9" s="12">
        <f>'[6]Dia 19 (a)'!$S15</f>
        <v>17.7</v>
      </c>
      <c r="U9" s="12">
        <f>'[6]Dia 20 (a)'!$S15</f>
        <v>17.399999999999999</v>
      </c>
      <c r="V9" s="12">
        <f>'[6]Dia 21 (a)'!$S15</f>
        <v>17.8</v>
      </c>
      <c r="W9" s="12">
        <f>'[6]Dia 22 (a)'!$S15</f>
        <v>18.2</v>
      </c>
      <c r="X9" s="12">
        <f>'[6]Dia 23 (a)'!$S15</f>
        <v>18.899999999999999</v>
      </c>
      <c r="Y9" s="12">
        <f>'[6]Dia 24 (a)'!$S15</f>
        <v>19.100000000000001</v>
      </c>
      <c r="Z9" s="12">
        <f>'[6]Dia 25 (a)'!$S15</f>
        <v>19.100000000000001</v>
      </c>
      <c r="AA9" s="12">
        <f>'[6]Dia 26 (a)'!$S15</f>
        <v>19</v>
      </c>
      <c r="AB9" s="12">
        <f>'[6]Dia 27 (a)'!$S15</f>
        <v>18.5</v>
      </c>
      <c r="AC9" s="12">
        <f>'[6]Dia 28 (a)'!$S15</f>
        <v>17.8</v>
      </c>
      <c r="AD9" s="12">
        <f>'[6]Dia 29 (a)'!$S15</f>
        <v>18.2</v>
      </c>
      <c r="AE9" s="12">
        <f>'[6]Dia 30 (a)'!$S15</f>
        <v>18.600000000000001</v>
      </c>
      <c r="AF9" s="13"/>
      <c r="AG9" s="14"/>
    </row>
    <row r="10" spans="1:33" ht="20.100000000000001" customHeight="1">
      <c r="A10" s="11">
        <v>13</v>
      </c>
      <c r="B10" s="12">
        <f>'[6]Dia 1 (a)'!$S16</f>
        <v>19</v>
      </c>
      <c r="C10" s="12">
        <f>'[6]Dia 2 (a)'!$S16</f>
        <v>19.600000000000001</v>
      </c>
      <c r="D10" s="12">
        <f>'[6]Dia 3 (a)'!$S16</f>
        <v>19.2</v>
      </c>
      <c r="E10" s="12">
        <f>'[6]Dia 4 (a)'!$S16</f>
        <v>18.899999999999999</v>
      </c>
      <c r="F10" s="12">
        <f>'[6]Dia 5 (a)'!$S16</f>
        <v>18.600000000000001</v>
      </c>
      <c r="G10" s="12">
        <f>'[6]Dia 6 (a)'!$S16</f>
        <v>19.100000000000001</v>
      </c>
      <c r="H10" s="12">
        <f>'[6]Dia 7 (a)'!$S16</f>
        <v>19.2</v>
      </c>
      <c r="I10" s="12">
        <f>'[6]Dia 8 (a)'!$S16</f>
        <v>19.2</v>
      </c>
      <c r="J10" s="12">
        <f>'[6]Dia 9 (a)'!$S16</f>
        <v>18.899999999999999</v>
      </c>
      <c r="K10" s="12">
        <f>'[6]Dia 10 (a)'!$S16</f>
        <v>19.2</v>
      </c>
      <c r="L10" s="12">
        <f>'[6]Dia 11 (a)'!$S16</f>
        <v>19</v>
      </c>
      <c r="M10" s="12">
        <f>'[6]Dia 12 (a)'!$S16</f>
        <v>18</v>
      </c>
      <c r="N10" s="12">
        <f>'[6]Dia 13 (a)'!$S16</f>
        <v>16.899999999999999</v>
      </c>
      <c r="O10" s="12">
        <f>'[6]Dia 14 (a)'!$S16</f>
        <v>17</v>
      </c>
      <c r="P10" s="12">
        <f>'[6]Dia 15 (a)'!$S16</f>
        <v>17</v>
      </c>
      <c r="Q10" s="12">
        <f>'[6]Dia 16 (a)'!$S16</f>
        <v>17</v>
      </c>
      <c r="R10" s="12">
        <f>'[6]Dia 17 (a)'!$S16</f>
        <v>17.600000000000001</v>
      </c>
      <c r="S10" s="12">
        <f>'[6]Dia 18 (a)'!$S16</f>
        <v>18.3</v>
      </c>
      <c r="T10" s="12">
        <f>'[6]Dia 19 (a)'!$S16</f>
        <v>17.7</v>
      </c>
      <c r="U10" s="12">
        <f>'[6]Dia 20 (a)'!$S16</f>
        <v>17.399999999999999</v>
      </c>
      <c r="V10" s="12">
        <f>'[6]Dia 21 (a)'!$S16</f>
        <v>17.8</v>
      </c>
      <c r="W10" s="12">
        <f>'[6]Dia 22 (a)'!$S16</f>
        <v>18.2</v>
      </c>
      <c r="X10" s="12">
        <f>'[6]Dia 23 (a)'!$S16</f>
        <v>18.899999999999999</v>
      </c>
      <c r="Y10" s="12">
        <f>'[6]Dia 24 (a)'!$S16</f>
        <v>19.100000000000001</v>
      </c>
      <c r="Z10" s="12">
        <f>'[6]Dia 25 (a)'!$S16</f>
        <v>19.100000000000001</v>
      </c>
      <c r="AA10" s="12">
        <f>'[6]Dia 26 (a)'!$S16</f>
        <v>19</v>
      </c>
      <c r="AB10" s="12">
        <f>'[6]Dia 27 (a)'!$S16</f>
        <v>18.399999999999999</v>
      </c>
      <c r="AC10" s="12">
        <f>'[6]Dia 28 (a)'!$S16</f>
        <v>17.899999999999999</v>
      </c>
      <c r="AD10" s="12">
        <f>'[6]Dia 29 (a)'!$S16</f>
        <v>18.2</v>
      </c>
      <c r="AE10" s="12">
        <f>'[6]Dia 30 (a)'!$S16</f>
        <v>18.600000000000001</v>
      </c>
      <c r="AF10" s="13"/>
      <c r="AG10" s="14"/>
    </row>
    <row r="11" spans="1:33" ht="20.100000000000001" customHeight="1">
      <c r="A11" s="11">
        <v>14</v>
      </c>
      <c r="B11" s="12">
        <f>'[6]Dia 1 (a)'!$S17</f>
        <v>19.3</v>
      </c>
      <c r="C11" s="12">
        <f>'[6]Dia 2 (a)'!$S17</f>
        <v>19.5</v>
      </c>
      <c r="D11" s="12">
        <f>'[6]Dia 3 (a)'!$S17</f>
        <v>19.2</v>
      </c>
      <c r="E11" s="12">
        <f>'[6]Dia 4 (a)'!$S17</f>
        <v>18.899999999999999</v>
      </c>
      <c r="F11" s="12">
        <f>'[6]Dia 5 (a)'!$S17</f>
        <v>18.8</v>
      </c>
      <c r="G11" s="12">
        <f>'[6]Dia 6 (a)'!$S17</f>
        <v>19.100000000000001</v>
      </c>
      <c r="H11" s="12">
        <f>'[6]Dia 7 (a)'!$S17</f>
        <v>19.2</v>
      </c>
      <c r="I11" s="12">
        <f>'[6]Dia 8 (a)'!$S17</f>
        <v>19.2</v>
      </c>
      <c r="J11" s="12">
        <f>'[6]Dia 9 (a)'!$S17</f>
        <v>18.899999999999999</v>
      </c>
      <c r="K11" s="12">
        <f>'[6]Dia 10 (a)'!$S17</f>
        <v>19.3</v>
      </c>
      <c r="L11" s="12">
        <f>'[6]Dia 11 (a)'!$S17</f>
        <v>19</v>
      </c>
      <c r="M11" s="12">
        <f>'[6]Dia 12 (a)'!$S17</f>
        <v>17.899999999999999</v>
      </c>
      <c r="N11" s="12">
        <f>'[6]Dia 13 (a)'!$S17</f>
        <v>16.899999999999999</v>
      </c>
      <c r="O11" s="12">
        <f>'[6]Dia 14 (a)'!$S17</f>
        <v>17.100000000000001</v>
      </c>
      <c r="P11" s="12">
        <f>'[6]Dia 15 (a)'!$S17</f>
        <v>17</v>
      </c>
      <c r="Q11" s="12">
        <f>'[6]Dia 16 (a)'!$S17</f>
        <v>17</v>
      </c>
      <c r="R11" s="12">
        <f>'[6]Dia 17 (a)'!$S17</f>
        <v>17.600000000000001</v>
      </c>
      <c r="S11" s="12">
        <f>'[6]Dia 18 (a)'!$S17</f>
        <v>18.3</v>
      </c>
      <c r="T11" s="12">
        <f>'[6]Dia 19 (a)'!$S17</f>
        <v>17.7</v>
      </c>
      <c r="U11" s="12">
        <f>'[6]Dia 20 (a)'!$S17</f>
        <v>17.600000000000001</v>
      </c>
      <c r="V11" s="12">
        <f>'[6]Dia 21 (a)'!$S17</f>
        <v>17.899999999999999</v>
      </c>
      <c r="W11" s="12">
        <f>'[6]Dia 22 (a)'!$S17</f>
        <v>18.399999999999999</v>
      </c>
      <c r="X11" s="12">
        <f>'[6]Dia 23 (a)'!$S17</f>
        <v>19</v>
      </c>
      <c r="Y11" s="12">
        <f>'[6]Dia 24 (a)'!$S17</f>
        <v>19.100000000000001</v>
      </c>
      <c r="Z11" s="12">
        <f>'[6]Dia 25 (a)'!$S17</f>
        <v>19.100000000000001</v>
      </c>
      <c r="AA11" s="12">
        <f>'[6]Dia 26 (a)'!$S17</f>
        <v>19</v>
      </c>
      <c r="AB11" s="12">
        <f>'[6]Dia 27 (a)'!$S17</f>
        <v>18.399999999999999</v>
      </c>
      <c r="AC11" s="12">
        <f>'[6]Dia 28 (a)'!$S17</f>
        <v>17.899999999999999</v>
      </c>
      <c r="AD11" s="12">
        <f>'[6]Dia 29 (a)'!$S17</f>
        <v>18.2</v>
      </c>
      <c r="AE11" s="12">
        <f>'[6]Dia 30 (a)'!$S17</f>
        <v>18.600000000000001</v>
      </c>
      <c r="AF11" s="13"/>
      <c r="AG11" s="14"/>
    </row>
    <row r="12" spans="1:33" ht="20.100000000000001" customHeight="1">
      <c r="A12" s="11">
        <v>15</v>
      </c>
      <c r="B12" s="12">
        <f>'[6]Dia 1 (a)'!$S18</f>
        <v>19.2</v>
      </c>
      <c r="C12" s="12">
        <f>'[6]Dia 2 (a)'!$S18</f>
        <v>19.399999999999999</v>
      </c>
      <c r="D12" s="12">
        <f>'[6]Dia 3 (a)'!$S18</f>
        <v>19.2</v>
      </c>
      <c r="E12" s="12">
        <f>'[6]Dia 4 (a)'!$S18</f>
        <v>18.899999999999999</v>
      </c>
      <c r="F12" s="12">
        <f>'[6]Dia 5 (a)'!$S18</f>
        <v>18.8</v>
      </c>
      <c r="G12" s="12">
        <f>'[6]Dia 6 (a)'!$S18</f>
        <v>19.2</v>
      </c>
      <c r="H12" s="12">
        <f>'[6]Dia 7 (a)'!$S18</f>
        <v>19.2</v>
      </c>
      <c r="I12" s="12">
        <f>'[6]Dia 8 (a)'!$S18</f>
        <v>19.2</v>
      </c>
      <c r="J12" s="12">
        <f>'[6]Dia 9 (a)'!$S18</f>
        <v>18.899999999999999</v>
      </c>
      <c r="K12" s="12">
        <f>'[6]Dia 10 (a)'!$S18</f>
        <v>19.3</v>
      </c>
      <c r="L12" s="12">
        <f>'[6]Dia 11 (a)'!$S18</f>
        <v>18.899999999999999</v>
      </c>
      <c r="M12" s="12">
        <f>'[6]Dia 12 (a)'!$S18</f>
        <v>17.899999999999999</v>
      </c>
      <c r="N12" s="12">
        <f>'[6]Dia 13 (a)'!$S18</f>
        <v>16.899999999999999</v>
      </c>
      <c r="O12" s="12">
        <f>'[6]Dia 14 (a)'!$S18</f>
        <v>17.100000000000001</v>
      </c>
      <c r="P12" s="12">
        <f>'[6]Dia 15 (a)'!$S18</f>
        <v>17</v>
      </c>
      <c r="Q12" s="12">
        <f>'[6]Dia 16 (a)'!$S18</f>
        <v>17</v>
      </c>
      <c r="R12" s="12">
        <f>'[6]Dia 17 (a)'!$S18</f>
        <v>17.7</v>
      </c>
      <c r="S12" s="12">
        <f>'[6]Dia 18 (a)'!$S18</f>
        <v>18.3</v>
      </c>
      <c r="T12" s="12">
        <f>'[6]Dia 19 (a)'!$S18</f>
        <v>17.7</v>
      </c>
      <c r="U12" s="12">
        <f>'[6]Dia 20 (a)'!$S18</f>
        <v>17.600000000000001</v>
      </c>
      <c r="V12" s="12">
        <f>'[6]Dia 21 (a)'!$S18</f>
        <v>18</v>
      </c>
      <c r="W12" s="12">
        <f>'[6]Dia 22 (a)'!$S18</f>
        <v>18.5</v>
      </c>
      <c r="X12" s="12">
        <f>'[6]Dia 23 (a)'!$S18</f>
        <v>19.2</v>
      </c>
      <c r="Y12" s="12">
        <f>'[6]Dia 24 (a)'!$S18</f>
        <v>19.2</v>
      </c>
      <c r="Z12" s="12">
        <f>'[6]Dia 25 (a)'!$S18</f>
        <v>19.100000000000001</v>
      </c>
      <c r="AA12" s="12">
        <f>'[6]Dia 26 (a)'!$S18</f>
        <v>19</v>
      </c>
      <c r="AB12" s="12">
        <f>'[6]Dia 27 (a)'!$S18</f>
        <v>18.399999999999999</v>
      </c>
      <c r="AC12" s="12">
        <f>'[6]Dia 28 (a)'!$S18</f>
        <v>18</v>
      </c>
      <c r="AD12" s="12">
        <f>'[6]Dia 29 (a)'!$S18</f>
        <v>18.399999999999999</v>
      </c>
      <c r="AE12" s="12">
        <f>'[6]Dia 30 (a)'!$S18</f>
        <v>18.600000000000001</v>
      </c>
      <c r="AF12" s="13"/>
      <c r="AG12" s="14"/>
    </row>
    <row r="13" spans="1:33" ht="20.100000000000001" customHeight="1">
      <c r="A13" s="11">
        <v>16</v>
      </c>
      <c r="B13" s="12">
        <f>'[6]Dia 1 (a)'!$S19</f>
        <v>19.5</v>
      </c>
      <c r="C13" s="12">
        <f>'[6]Dia 2 (a)'!$S19</f>
        <v>19.8</v>
      </c>
      <c r="D13" s="12">
        <f>'[6]Dia 3 (a)'!$S19</f>
        <v>18.8</v>
      </c>
      <c r="E13" s="12">
        <f>'[6]Dia 4 (a)'!$S19</f>
        <v>19</v>
      </c>
      <c r="F13" s="12">
        <f>'[6]Dia 5 (a)'!$S19</f>
        <v>19.100000000000001</v>
      </c>
      <c r="G13" s="12">
        <f>'[6]Dia 6 (a)'!$S19</f>
        <v>19.2</v>
      </c>
      <c r="H13" s="12">
        <f>'[6]Dia 7 (a)'!$S19</f>
        <v>19.3</v>
      </c>
      <c r="I13" s="12">
        <f>'[6]Dia 8 (a)'!$S19</f>
        <v>19.2</v>
      </c>
      <c r="J13" s="12">
        <f>'[6]Dia 9 (a)'!$S19</f>
        <v>18.8</v>
      </c>
      <c r="K13" s="12">
        <f>'[6]Dia 10 (a)'!$S19</f>
        <v>19.399999999999999</v>
      </c>
      <c r="L13" s="12">
        <f>'[6]Dia 11 (a)'!$S19</f>
        <v>18.899999999999999</v>
      </c>
      <c r="M13" s="12">
        <f>'[6]Dia 12 (a)'!$S19</f>
        <v>17.8</v>
      </c>
      <c r="N13" s="12">
        <f>'[6]Dia 13 (a)'!$S19</f>
        <v>17</v>
      </c>
      <c r="O13" s="12">
        <f>'[6]Dia 14 (a)'!$S19</f>
        <v>17</v>
      </c>
      <c r="P13" s="12">
        <f>'[6]Dia 15 (a)'!$S19</f>
        <v>17</v>
      </c>
      <c r="Q13" s="12">
        <f>'[6]Dia 16 (a)'!$S19</f>
        <v>17.399999999999999</v>
      </c>
      <c r="R13" s="12">
        <f>'[6]Dia 17 (a)'!$S19</f>
        <v>17.8</v>
      </c>
      <c r="S13" s="12">
        <f>'[6]Dia 18 (a)'!$S19</f>
        <v>18.2</v>
      </c>
      <c r="T13" s="12">
        <f>'[6]Dia 19 (a)'!$S19</f>
        <v>17.600000000000001</v>
      </c>
      <c r="U13" s="12">
        <f>'[6]Dia 20 (a)'!$S19</f>
        <v>17.7</v>
      </c>
      <c r="V13" s="12">
        <f>'[6]Dia 21 (a)'!$S19</f>
        <v>18.3</v>
      </c>
      <c r="W13" s="12">
        <f>'[6]Dia 22 (a)'!$S19</f>
        <v>18.899999999999999</v>
      </c>
      <c r="X13" s="12">
        <f>'[6]Dia 23 (a)'!$S19</f>
        <v>19.3</v>
      </c>
      <c r="Y13" s="12">
        <f>'[6]Dia 24 (a)'!$S19</f>
        <v>19.3</v>
      </c>
      <c r="Z13" s="12">
        <f>'[6]Dia 25 (a)'!$S19</f>
        <v>19.3</v>
      </c>
      <c r="AA13" s="12">
        <f>'[6]Dia 26 (a)'!$S19</f>
        <v>19</v>
      </c>
      <c r="AB13" s="12">
        <f>'[6]Dia 27 (a)'!$S19</f>
        <v>18.399999999999999</v>
      </c>
      <c r="AC13" s="12">
        <f>'[6]Dia 28 (a)'!$S19</f>
        <v>18</v>
      </c>
      <c r="AD13" s="12">
        <f>'[6]Dia 29 (a)'!$S19</f>
        <v>18.600000000000001</v>
      </c>
      <c r="AE13" s="12">
        <f>'[6]Dia 30 (a)'!$S19</f>
        <v>19</v>
      </c>
      <c r="AF13" s="13"/>
      <c r="AG13" s="14"/>
    </row>
    <row r="14" spans="1:33" ht="20.100000000000001" customHeight="1">
      <c r="A14" s="11">
        <v>17</v>
      </c>
      <c r="B14" s="12">
        <f>'[6]Dia 1 (a)'!$S20</f>
        <v>19.600000000000001</v>
      </c>
      <c r="C14" s="12">
        <f>'[6]Dia 2 (a)'!$S20</f>
        <v>19.899999999999999</v>
      </c>
      <c r="D14" s="12">
        <f>'[6]Dia 3 (a)'!$S20</f>
        <v>18.8</v>
      </c>
      <c r="E14" s="12">
        <f>'[6]Dia 4 (a)'!$S20</f>
        <v>19</v>
      </c>
      <c r="F14" s="12">
        <f>'[6]Dia 5 (a)'!$S20</f>
        <v>19.2</v>
      </c>
      <c r="G14" s="12">
        <f>'[6]Dia 6 (a)'!$S20</f>
        <v>19.3</v>
      </c>
      <c r="H14" s="12">
        <f>'[6]Dia 7 (a)'!$S20</f>
        <v>19.399999999999999</v>
      </c>
      <c r="I14" s="12">
        <f>'[6]Dia 8 (a)'!$S20</f>
        <v>19.2</v>
      </c>
      <c r="J14" s="12">
        <f>'[6]Dia 9 (a)'!$S20</f>
        <v>18.600000000000001</v>
      </c>
      <c r="K14" s="12">
        <f>'[6]Dia 10 (a)'!$S20</f>
        <v>19.399999999999999</v>
      </c>
      <c r="L14" s="12">
        <f>'[6]Dia 11 (a)'!$S20</f>
        <v>18.899999999999999</v>
      </c>
      <c r="M14" s="12">
        <f>'[6]Dia 12 (a)'!$S20</f>
        <v>17.600000000000001</v>
      </c>
      <c r="N14" s="12">
        <f>'[6]Dia 13 (a)'!$S20</f>
        <v>17</v>
      </c>
      <c r="O14" s="12">
        <f>'[6]Dia 14 (a)'!$S20</f>
        <v>17</v>
      </c>
      <c r="P14" s="12">
        <f>'[6]Dia 15 (a)'!$S20</f>
        <v>17.2</v>
      </c>
      <c r="Q14" s="12">
        <f>'[6]Dia 16 (a)'!$S20</f>
        <v>17.399999999999999</v>
      </c>
      <c r="R14" s="12">
        <f>'[6]Dia 17 (a)'!$S20</f>
        <v>17.899999999999999</v>
      </c>
      <c r="S14" s="12">
        <f>'[6]Dia 18 (a)'!$S20</f>
        <v>18.2</v>
      </c>
      <c r="T14" s="12">
        <f>'[6]Dia 19 (a)'!$S20</f>
        <v>17.399999999999999</v>
      </c>
      <c r="U14" s="12">
        <f>'[6]Dia 20 (a)'!$S20</f>
        <v>17.8</v>
      </c>
      <c r="V14" s="12">
        <f>'[6]Dia 21 (a)'!$S20</f>
        <v>18.399999999999999</v>
      </c>
      <c r="W14" s="12">
        <f>'[6]Dia 22 (a)'!$S20</f>
        <v>19</v>
      </c>
      <c r="X14" s="12">
        <f>'[6]Dia 23 (a)'!$S20</f>
        <v>19.399999999999999</v>
      </c>
      <c r="Y14" s="12">
        <f>'[6]Dia 24 (a)'!$S20</f>
        <v>19.399999999999999</v>
      </c>
      <c r="Z14" s="12">
        <f>'[6]Dia 25 (a)'!$S20</f>
        <v>19.399999999999999</v>
      </c>
      <c r="AA14" s="12">
        <f>'[6]Dia 26 (a)'!$S20</f>
        <v>19</v>
      </c>
      <c r="AB14" s="12">
        <f>'[6]Dia 27 (a)'!$S20</f>
        <v>18</v>
      </c>
      <c r="AC14" s="12">
        <f>'[6]Dia 28 (a)'!$S20</f>
        <v>18.2</v>
      </c>
      <c r="AD14" s="12">
        <f>'[6]Dia 29 (a)'!$S20</f>
        <v>18.600000000000001</v>
      </c>
      <c r="AE14" s="12">
        <f>'[6]Dia 30 (a)'!$S20</f>
        <v>19</v>
      </c>
      <c r="AF14" s="13"/>
      <c r="AG14" s="14"/>
    </row>
    <row r="15" spans="1:33" ht="20.100000000000001" customHeight="1">
      <c r="A15" s="11">
        <v>18</v>
      </c>
      <c r="B15" s="12">
        <f>'[6]Dia 1 (a)'!$S21</f>
        <v>19.600000000000001</v>
      </c>
      <c r="C15" s="12">
        <f>'[6]Dia 2 (a)'!$S21</f>
        <v>19.899999999999999</v>
      </c>
      <c r="D15" s="12">
        <f>'[6]Dia 3 (a)'!$S21</f>
        <v>19</v>
      </c>
      <c r="E15" s="12">
        <f>'[6]Dia 4 (a)'!$S21</f>
        <v>19</v>
      </c>
      <c r="F15" s="12">
        <f>'[6]Dia 5 (a)'!$S21</f>
        <v>19.3</v>
      </c>
      <c r="G15" s="12">
        <f>'[6]Dia 6 (a)'!$S21</f>
        <v>19.399999999999999</v>
      </c>
      <c r="H15" s="12">
        <f>'[6]Dia 7 (a)'!$S21</f>
        <v>19.399999999999999</v>
      </c>
      <c r="I15" s="12">
        <f>'[6]Dia 8 (a)'!$S21</f>
        <v>19.2</v>
      </c>
      <c r="J15" s="12">
        <f>'[6]Dia 9 (a)'!$S21</f>
        <v>18.8</v>
      </c>
      <c r="K15" s="12">
        <f>'[6]Dia 10 (a)'!$S21</f>
        <v>19.5</v>
      </c>
      <c r="L15" s="12">
        <f>'[6]Dia 11 (a)'!$S21</f>
        <v>18.899999999999999</v>
      </c>
      <c r="M15" s="12">
        <f>'[6]Dia 12 (a)'!$S21</f>
        <v>17.8</v>
      </c>
      <c r="N15" s="12">
        <f>'[6]Dia 13 (a)'!$S21</f>
        <v>17</v>
      </c>
      <c r="O15" s="12">
        <f>'[6]Dia 14 (a)'!$S21</f>
        <v>17</v>
      </c>
      <c r="P15" s="12">
        <f>'[6]Dia 15 (a)'!$S21</f>
        <v>17.2</v>
      </c>
      <c r="Q15" s="12">
        <f>'[6]Dia 16 (a)'!$S21</f>
        <v>17.7</v>
      </c>
      <c r="R15" s="12">
        <f>'[6]Dia 17 (a)'!$S21</f>
        <v>18.100000000000001</v>
      </c>
      <c r="S15" s="12">
        <f>'[6]Dia 18 (a)'!$S21</f>
        <v>18.2</v>
      </c>
      <c r="T15" s="12">
        <f>'[6]Dia 19 (a)'!$S21</f>
        <v>17.600000000000001</v>
      </c>
      <c r="U15" s="12">
        <f>'[6]Dia 20 (a)'!$S21</f>
        <v>18</v>
      </c>
      <c r="V15" s="12">
        <f>'[6]Dia 21 (a)'!$S21</f>
        <v>18.600000000000001</v>
      </c>
      <c r="W15" s="12">
        <f>'[6]Dia 22 (a)'!$S21</f>
        <v>19.3</v>
      </c>
      <c r="X15" s="12">
        <f>'[6]Dia 23 (a)'!$S21</f>
        <v>19.600000000000001</v>
      </c>
      <c r="Y15" s="12">
        <f>'[6]Dia 24 (a)'!$S21</f>
        <v>19.600000000000001</v>
      </c>
      <c r="Z15" s="12">
        <f>'[6]Dia 25 (a)'!$S21</f>
        <v>19.5</v>
      </c>
      <c r="AA15" s="12">
        <f>'[6]Dia 26 (a)'!$S21</f>
        <v>19.100000000000001</v>
      </c>
      <c r="AB15" s="12">
        <f>'[6]Dia 27 (a)'!$S21</f>
        <v>18.2</v>
      </c>
      <c r="AC15" s="12">
        <f>'[6]Dia 28 (a)'!$S21</f>
        <v>18.5</v>
      </c>
      <c r="AD15" s="12">
        <f>'[6]Dia 29 (a)'!$S21</f>
        <v>18.8</v>
      </c>
      <c r="AE15" s="12">
        <f>'[6]Dia 30 (a)'!$S21</f>
        <v>19.2</v>
      </c>
      <c r="AF15" s="13"/>
      <c r="AG15" s="14"/>
    </row>
    <row r="16" spans="1:33" ht="20.100000000000001" customHeight="1">
      <c r="A16" s="11">
        <v>19</v>
      </c>
      <c r="B16" s="12">
        <f>'[6]Dia 1 (a)'!$S22</f>
        <v>19.8</v>
      </c>
      <c r="C16" s="12">
        <f>'[6]Dia 2 (a)'!$S22</f>
        <v>19.899999999999999</v>
      </c>
      <c r="D16" s="12">
        <f>'[6]Dia 3 (a)'!$S22</f>
        <v>19</v>
      </c>
      <c r="E16" s="12">
        <f>'[6]Dia 4 (a)'!$S22</f>
        <v>19.100000000000001</v>
      </c>
      <c r="F16" s="12">
        <f>'[6]Dia 5 (a)'!$S22</f>
        <v>19.5</v>
      </c>
      <c r="G16" s="12">
        <f>'[6]Dia 6 (a)'!$S22</f>
        <v>19.5</v>
      </c>
      <c r="H16" s="12">
        <f>'[6]Dia 7 (a)'!$S22</f>
        <v>19.399999999999999</v>
      </c>
      <c r="I16" s="12">
        <f>'[6]Dia 8 (a)'!$S22</f>
        <v>19.2</v>
      </c>
      <c r="J16" s="12">
        <f>'[6]Dia 9 (a)'!$S22</f>
        <v>18.8</v>
      </c>
      <c r="K16" s="12">
        <f>'[6]Dia 10 (a)'!$S22</f>
        <v>19.600000000000001</v>
      </c>
      <c r="L16" s="12">
        <f>'[6]Dia 11 (a)'!$S22</f>
        <v>18.899999999999999</v>
      </c>
      <c r="M16" s="12">
        <f>'[6]Dia 12 (a)'!$S22</f>
        <v>18</v>
      </c>
      <c r="N16" s="12">
        <f>'[6]Dia 13 (a)'!$S22</f>
        <v>17</v>
      </c>
      <c r="O16" s="12">
        <f>'[6]Dia 14 (a)'!$S22</f>
        <v>17</v>
      </c>
      <c r="P16" s="12">
        <f>'[6]Dia 15 (a)'!$S22</f>
        <v>17.3</v>
      </c>
      <c r="Q16" s="12">
        <f>'[6]Dia 16 (a)'!$S22</f>
        <v>17.899999999999999</v>
      </c>
      <c r="R16" s="12">
        <f>'[6]Dia 17 (a)'!$S22</f>
        <v>18.3</v>
      </c>
      <c r="S16" s="12">
        <f>'[6]Dia 18 (a)'!$S22</f>
        <v>18.2</v>
      </c>
      <c r="T16" s="12">
        <f>'[6]Dia 19 (a)'!$S22</f>
        <v>17.7</v>
      </c>
      <c r="U16" s="12">
        <f>'[6]Dia 20 (a)'!$S22</f>
        <v>18</v>
      </c>
      <c r="V16" s="12">
        <f>'[6]Dia 21 (a)'!$S22</f>
        <v>18.7</v>
      </c>
      <c r="W16" s="12">
        <f>'[6]Dia 22 (a)'!$S22</f>
        <v>19.399999999999999</v>
      </c>
      <c r="X16" s="12">
        <f>'[6]Dia 23 (a)'!$S22</f>
        <v>19.7</v>
      </c>
      <c r="Y16" s="12">
        <f>'[6]Dia 24 (a)'!$S22</f>
        <v>19.7</v>
      </c>
      <c r="Z16" s="12">
        <f>'[6]Dia 25 (a)'!$S22</f>
        <v>19.7</v>
      </c>
      <c r="AA16" s="12">
        <f>'[6]Dia 26 (a)'!$S22</f>
        <v>19.100000000000001</v>
      </c>
      <c r="AB16" s="12">
        <f>'[6]Dia 27 (a)'!$S22</f>
        <v>18</v>
      </c>
      <c r="AC16" s="12">
        <f>'[6]Dia 28 (a)'!$S22</f>
        <v>18.600000000000001</v>
      </c>
      <c r="AD16" s="12">
        <f>'[6]Dia 29 (a)'!$S22</f>
        <v>18.899999999999999</v>
      </c>
      <c r="AE16" s="12">
        <f>'[6]Dia 30 (a)'!$S22</f>
        <v>19.399999999999999</v>
      </c>
      <c r="AF16" s="13"/>
      <c r="AG16" s="14"/>
    </row>
    <row r="17" spans="1:33" ht="20.100000000000001" customHeight="1">
      <c r="A17" s="11">
        <v>20</v>
      </c>
      <c r="B17" s="12">
        <f>'[6]Dia 1 (a)'!$S23</f>
        <v>19.8</v>
      </c>
      <c r="C17" s="12">
        <f>'[6]Dia 2 (a)'!$S23</f>
        <v>19.899999999999999</v>
      </c>
      <c r="D17" s="12">
        <f>'[6]Dia 3 (a)'!$S23</f>
        <v>19</v>
      </c>
      <c r="E17" s="12">
        <f>'[6]Dia 4 (a)'!$S23</f>
        <v>19.2</v>
      </c>
      <c r="F17" s="12">
        <f>'[6]Dia 5 (a)'!$S23</f>
        <v>19.600000000000001</v>
      </c>
      <c r="G17" s="12">
        <f>'[6]Dia 6 (a)'!$S23</f>
        <v>19.600000000000001</v>
      </c>
      <c r="H17" s="12">
        <f>'[6]Dia 7 (a)'!$S23</f>
        <v>19.600000000000001</v>
      </c>
      <c r="I17" s="12">
        <f>'[6]Dia 8 (a)'!$S23</f>
        <v>19.2</v>
      </c>
      <c r="J17" s="12">
        <f>'[6]Dia 9 (a)'!$S23</f>
        <v>18.8</v>
      </c>
      <c r="K17" s="12">
        <f>'[6]Dia 10 (a)'!$S23</f>
        <v>19.600000000000001</v>
      </c>
      <c r="L17" s="12">
        <f>'[6]Dia 11 (a)'!$S23</f>
        <v>18.899999999999999</v>
      </c>
      <c r="M17" s="12">
        <f>'[6]Dia 12 (a)'!$S23</f>
        <v>18</v>
      </c>
      <c r="N17" s="12">
        <f>'[6]Dia 13 (a)'!$S23</f>
        <v>17</v>
      </c>
      <c r="O17" s="12">
        <f>'[6]Dia 14 (a)'!$S23</f>
        <v>17</v>
      </c>
      <c r="P17" s="12">
        <f>'[6]Dia 15 (a)'!$S23</f>
        <v>17.399999999999999</v>
      </c>
      <c r="Q17" s="12">
        <f>'[6]Dia 16 (a)'!$S23</f>
        <v>18</v>
      </c>
      <c r="R17" s="12">
        <f>'[6]Dia 17 (a)'!$S23</f>
        <v>18.5</v>
      </c>
      <c r="S17" s="12">
        <f>'[6]Dia 18 (a)'!$S23</f>
        <v>18.2</v>
      </c>
      <c r="T17" s="12">
        <f>'[6]Dia 19 (a)'!$S23</f>
        <v>17.8</v>
      </c>
      <c r="U17" s="12">
        <f>'[6]Dia 20 (a)'!$S23</f>
        <v>18</v>
      </c>
      <c r="V17" s="12">
        <f>'[6]Dia 21 (a)'!$S23</f>
        <v>18.8</v>
      </c>
      <c r="W17" s="12">
        <f>'[6]Dia 22 (a)'!$S23</f>
        <v>19.5</v>
      </c>
      <c r="X17" s="12">
        <f>'[6]Dia 23 (a)'!$S23</f>
        <v>19.899999999999999</v>
      </c>
      <c r="Y17" s="12">
        <f>'[6]Dia 24 (a)'!$S23</f>
        <v>19.8</v>
      </c>
      <c r="Z17" s="12">
        <f>'[6]Dia 25 (a)'!$S23</f>
        <v>19.7</v>
      </c>
      <c r="AA17" s="12">
        <f>'[6]Dia 26 (a)'!$S23</f>
        <v>19.2</v>
      </c>
      <c r="AB17" s="12">
        <f>'[6]Dia 27 (a)'!$S23</f>
        <v>18.399999999999999</v>
      </c>
      <c r="AC17" s="12">
        <f>'[6]Dia 28 (a)'!$S23</f>
        <v>18.600000000000001</v>
      </c>
      <c r="AD17" s="12">
        <f>'[6]Dia 29 (a)'!$S23</f>
        <v>19</v>
      </c>
      <c r="AE17" s="12">
        <f>'[6]Dia 30 (a)'!$S23</f>
        <v>19.600000000000001</v>
      </c>
      <c r="AF17" s="13"/>
      <c r="AG17" s="14"/>
    </row>
    <row r="18" spans="1:33" ht="20.100000000000001" customHeight="1">
      <c r="A18" s="11">
        <v>21</v>
      </c>
      <c r="B18" s="12">
        <f>'[6]Dia 1 (a)'!$S24</f>
        <v>19.899999999999999</v>
      </c>
      <c r="C18" s="12">
        <f>'[6]Dia 2 (a)'!$S24</f>
        <v>19.899999999999999</v>
      </c>
      <c r="D18" s="12">
        <f>'[6]Dia 3 (a)'!$S24</f>
        <v>19.2</v>
      </c>
      <c r="E18" s="12">
        <f>'[6]Dia 4 (a)'!$S24</f>
        <v>19.2</v>
      </c>
      <c r="F18" s="12">
        <f>'[6]Dia 5 (a)'!$S24</f>
        <v>19.7</v>
      </c>
      <c r="G18" s="12">
        <f>'[6]Dia 6 (a)'!$S24</f>
        <v>19.7</v>
      </c>
      <c r="H18" s="12">
        <f>'[6]Dia 7 (a)'!$S24</f>
        <v>19.600000000000001</v>
      </c>
      <c r="I18" s="12">
        <f>'[6]Dia 8 (a)'!$S24</f>
        <v>19.2</v>
      </c>
      <c r="J18" s="12">
        <f>'[6]Dia 9 (a)'!$S24</f>
        <v>18.8</v>
      </c>
      <c r="K18" s="12">
        <f>'[6]Dia 10 (a)'!$S24</f>
        <v>19.600000000000001</v>
      </c>
      <c r="L18" s="12">
        <f>'[6]Dia 11 (a)'!$S24</f>
        <v>18.899999999999999</v>
      </c>
      <c r="M18" s="12">
        <f>'[6]Dia 12 (a)'!$S24</f>
        <v>18</v>
      </c>
      <c r="N18" s="12">
        <f>'[6]Dia 13 (a)'!$S24</f>
        <v>17.2</v>
      </c>
      <c r="O18" s="12">
        <f>'[6]Dia 14 (a)'!$S24</f>
        <v>17</v>
      </c>
      <c r="P18" s="12">
        <f>'[6]Dia 15 (a)'!$S24</f>
        <v>17.399999999999999</v>
      </c>
      <c r="Q18" s="12">
        <f>'[6]Dia 16 (a)'!$S24</f>
        <v>18.100000000000001</v>
      </c>
      <c r="R18" s="12">
        <f>'[6]Dia 17 (a)'!$S24</f>
        <v>18.5</v>
      </c>
      <c r="S18" s="12">
        <f>'[6]Dia 18 (a)'!$S24</f>
        <v>18.2</v>
      </c>
      <c r="T18" s="12">
        <f>'[6]Dia 19 (a)'!$S24</f>
        <v>17.8</v>
      </c>
      <c r="U18" s="12">
        <f>'[6]Dia 20 (a)'!$S24</f>
        <v>18.100000000000001</v>
      </c>
      <c r="V18" s="12">
        <f>'[6]Dia 21 (a)'!$S24</f>
        <v>19</v>
      </c>
      <c r="W18" s="12">
        <f>'[6]Dia 22 (a)'!$S24</f>
        <v>19.600000000000001</v>
      </c>
      <c r="X18" s="12">
        <f>'[6]Dia 23 (a)'!$S24</f>
        <v>20</v>
      </c>
      <c r="Y18" s="12">
        <f>'[6]Dia 24 (a)'!$S24</f>
        <v>20</v>
      </c>
      <c r="Z18" s="12">
        <f>'[6]Dia 25 (a)'!$S24</f>
        <v>19.7</v>
      </c>
      <c r="AA18" s="12">
        <f>'[6]Dia 26 (a)'!$S24</f>
        <v>19.2</v>
      </c>
      <c r="AB18" s="12">
        <f>'[6]Dia 27 (a)'!$S24</f>
        <v>18.399999999999999</v>
      </c>
      <c r="AC18" s="12">
        <f>'[6]Dia 28 (a)'!$S24</f>
        <v>18.600000000000001</v>
      </c>
      <c r="AD18" s="12">
        <f>'[6]Dia 29 (a)'!$S24</f>
        <v>19.100000000000001</v>
      </c>
      <c r="AE18" s="12">
        <f>'[6]Dia 30 (a)'!$S24</f>
        <v>19.600000000000001</v>
      </c>
      <c r="AF18" s="13"/>
      <c r="AG18" s="14"/>
    </row>
    <row r="19" spans="1:33" ht="20.100000000000001" customHeight="1">
      <c r="A19" s="11">
        <v>22</v>
      </c>
      <c r="B19" s="12">
        <f>'[6]Dia 1 (a)'!$S25</f>
        <v>19.8</v>
      </c>
      <c r="C19" s="12">
        <f>'[6]Dia 2 (a)'!$S25</f>
        <v>19.899999999999999</v>
      </c>
      <c r="D19" s="12">
        <f>'[6]Dia 3 (a)'!$S25</f>
        <v>19.2</v>
      </c>
      <c r="E19" s="12">
        <f>'[6]Dia 4 (a)'!$S25</f>
        <v>19.2</v>
      </c>
      <c r="F19" s="12">
        <f>'[6]Dia 5 (a)'!$S25</f>
        <v>19.7</v>
      </c>
      <c r="G19" s="12">
        <f>'[6]Dia 6 (a)'!$S25</f>
        <v>19.7</v>
      </c>
      <c r="H19" s="12">
        <f>'[6]Dia 7 (a)'!$S25</f>
        <v>19.7</v>
      </c>
      <c r="I19" s="12">
        <f>'[6]Dia 8 (a)'!$S25</f>
        <v>19.2</v>
      </c>
      <c r="J19" s="12">
        <f>'[6]Dia 9 (a)'!$S25</f>
        <v>18.8</v>
      </c>
      <c r="K19" s="12">
        <f>'[6]Dia 10 (a)'!$S25</f>
        <v>19.600000000000001</v>
      </c>
      <c r="L19" s="12">
        <f>'[6]Dia 11 (a)'!$S25</f>
        <v>18.899999999999999</v>
      </c>
      <c r="M19" s="12">
        <f>'[6]Dia 12 (a)'!$S25</f>
        <v>18</v>
      </c>
      <c r="N19" s="12">
        <f>'[6]Dia 13 (a)'!$S25</f>
        <v>17.3</v>
      </c>
      <c r="O19" s="12">
        <f>'[6]Dia 14 (a)'!$S25</f>
        <v>17</v>
      </c>
      <c r="P19" s="12">
        <f>'[6]Dia 15 (a)'!$S25</f>
        <v>17.5</v>
      </c>
      <c r="Q19" s="12">
        <f>'[6]Dia 16 (a)'!$S25</f>
        <v>18.3</v>
      </c>
      <c r="R19" s="12">
        <f>'[6]Dia 17 (a)'!$S25</f>
        <v>18.600000000000001</v>
      </c>
      <c r="S19" s="12">
        <f>'[6]Dia 18 (a)'!$S25</f>
        <v>18.100000000000001</v>
      </c>
      <c r="T19" s="12">
        <f>'[6]Dia 19 (a)'!$S25</f>
        <v>17.8</v>
      </c>
      <c r="U19" s="12">
        <f>'[6]Dia 20 (a)'!$S25</f>
        <v>18.100000000000001</v>
      </c>
      <c r="V19" s="12">
        <f>'[6]Dia 21 (a)'!$S25</f>
        <v>19</v>
      </c>
      <c r="W19" s="12">
        <f>'[6]Dia 22 (a)'!$S25</f>
        <v>19.7</v>
      </c>
      <c r="X19" s="12">
        <f>'[6]Dia 23 (a)'!$S25</f>
        <v>20</v>
      </c>
      <c r="Y19" s="12">
        <f>'[6]Dia 24 (a)'!$S25</f>
        <v>20</v>
      </c>
      <c r="Z19" s="12">
        <f>'[6]Dia 25 (a)'!$S25</f>
        <v>19.7</v>
      </c>
      <c r="AA19" s="12">
        <f>'[6]Dia 26 (a)'!$S25</f>
        <v>19.2</v>
      </c>
      <c r="AB19" s="12">
        <f>'[6]Dia 27 (a)'!$S25</f>
        <v>18.399999999999999</v>
      </c>
      <c r="AC19" s="12">
        <f>'[6]Dia 28 (a)'!$S25</f>
        <v>18.600000000000001</v>
      </c>
      <c r="AD19" s="12">
        <f>'[6]Dia 29 (a)'!$S25</f>
        <v>19.100000000000001</v>
      </c>
      <c r="AE19" s="12">
        <f>'[6]Dia 30 (a)'!$S25</f>
        <v>19.600000000000001</v>
      </c>
      <c r="AF19" s="13"/>
      <c r="AG19" s="14"/>
    </row>
    <row r="20" spans="1:33" ht="20.100000000000001" customHeight="1">
      <c r="A20" s="11">
        <v>23</v>
      </c>
      <c r="B20" s="12">
        <f>'[6]Dia 1 (a)'!$S26</f>
        <v>19.899999999999999</v>
      </c>
      <c r="C20" s="12">
        <f>'[6]Dia 2 (a)'!$S26</f>
        <v>19.8</v>
      </c>
      <c r="D20" s="12">
        <f>'[6]Dia 3 (a)'!$S26</f>
        <v>19.399999999999999</v>
      </c>
      <c r="E20" s="12">
        <f>'[6]Dia 4 (a)'!$S26</f>
        <v>19.2</v>
      </c>
      <c r="F20" s="12">
        <f>'[6]Dia 5 (a)'!$S26</f>
        <v>19.7</v>
      </c>
      <c r="G20" s="12">
        <f>'[6]Dia 6 (a)'!$S26</f>
        <v>19.7</v>
      </c>
      <c r="H20" s="12">
        <f>'[6]Dia 7 (a)'!$S26</f>
        <v>19.600000000000001</v>
      </c>
      <c r="I20" s="12">
        <f>'[6]Dia 8 (a)'!$S26</f>
        <v>19.2</v>
      </c>
      <c r="J20" s="12">
        <f>'[6]Dia 9 (a)'!$S26</f>
        <v>19</v>
      </c>
      <c r="K20" s="12">
        <f>'[6]Dia 10 (a)'!$S26</f>
        <v>19.399999999999999</v>
      </c>
      <c r="L20" s="12">
        <f>'[6]Dia 11 (a)'!$S26</f>
        <v>18.8</v>
      </c>
      <c r="M20" s="12">
        <f>'[6]Dia 12 (a)'!$S26</f>
        <v>17.8</v>
      </c>
      <c r="N20" s="12">
        <f>'[6]Dia 13 (a)'!$S26</f>
        <v>17.399999999999999</v>
      </c>
      <c r="O20" s="12">
        <f>'[6]Dia 14 (a)'!$S26</f>
        <v>17</v>
      </c>
      <c r="P20" s="12">
        <f>'[6]Dia 15 (a)'!$S26</f>
        <v>17.5</v>
      </c>
      <c r="Q20" s="12">
        <f>'[6]Dia 16 (a)'!$S26</f>
        <v>18.3</v>
      </c>
      <c r="R20" s="12">
        <f>'[6]Dia 17 (a)'!$S26</f>
        <v>18.600000000000001</v>
      </c>
      <c r="S20" s="12">
        <f>'[6]Dia 18 (a)'!$S26</f>
        <v>18.100000000000001</v>
      </c>
      <c r="T20" s="12">
        <f>'[6]Dia 19 (a)'!$S26</f>
        <v>17.8</v>
      </c>
      <c r="U20" s="12">
        <f>'[6]Dia 20 (a)'!$S26</f>
        <v>18.2</v>
      </c>
      <c r="V20" s="12">
        <f>'[6]Dia 21 (a)'!$S26</f>
        <v>19</v>
      </c>
      <c r="W20" s="12">
        <f>'[6]Dia 22 (a)'!$S26</f>
        <v>19.7</v>
      </c>
      <c r="X20" s="12">
        <f>'[6]Dia 23 (a)'!$S26</f>
        <v>20</v>
      </c>
      <c r="Y20" s="12">
        <f>'[6]Dia 24 (a)'!$S26</f>
        <v>20</v>
      </c>
      <c r="Z20" s="12">
        <f>'[6]Dia 25 (a)'!$S26</f>
        <v>19.7</v>
      </c>
      <c r="AA20" s="12">
        <f>'[6]Dia 26 (a)'!$S26</f>
        <v>19.100000000000001</v>
      </c>
      <c r="AB20" s="12">
        <f>'[6]Dia 27 (a)'!$S26</f>
        <v>18.399999999999999</v>
      </c>
      <c r="AC20" s="12">
        <f>'[6]Dia 28 (a)'!$S26</f>
        <v>18.600000000000001</v>
      </c>
      <c r="AD20" s="12">
        <f>'[6]Dia 29 (a)'!$S26</f>
        <v>19.100000000000001</v>
      </c>
      <c r="AE20" s="12">
        <f>'[6]Dia 30 (a)'!$S26</f>
        <v>19.600000000000001</v>
      </c>
      <c r="AF20" s="13"/>
      <c r="AG20" s="14"/>
    </row>
    <row r="21" spans="1:33" ht="20.100000000000001" customHeight="1" thickBot="1">
      <c r="A21" s="16">
        <v>24</v>
      </c>
      <c r="B21" s="17">
        <f>'[6]Dia 1 (a)'!$S27</f>
        <v>20</v>
      </c>
      <c r="C21" s="17">
        <f>'[6]Dia 2 (a)'!$S27</f>
        <v>19.7</v>
      </c>
      <c r="D21" s="17">
        <f>'[6]Dia 3 (a)'!$S27</f>
        <v>19.2</v>
      </c>
      <c r="E21" s="17">
        <f>'[6]Dia 4 (a)'!$S27</f>
        <v>19.2</v>
      </c>
      <c r="F21" s="17">
        <f>'[6]Dia 5 (a)'!$S27</f>
        <v>19.600000000000001</v>
      </c>
      <c r="G21" s="17">
        <f>'[6]Dia 6 (a)'!$S27</f>
        <v>19.7</v>
      </c>
      <c r="H21" s="17">
        <f>'[6]Dia 7 (a)'!$S27</f>
        <v>19.600000000000001</v>
      </c>
      <c r="I21" s="17">
        <f>'[6]Dia 8 (a)'!$S27</f>
        <v>19.2</v>
      </c>
      <c r="J21" s="17">
        <f>'[6]Dia 9 (a)'!$S27</f>
        <v>19</v>
      </c>
      <c r="K21" s="17">
        <f>'[6]Dia 10 (a)'!$S27</f>
        <v>19.600000000000001</v>
      </c>
      <c r="L21" s="17">
        <f>'[6]Dia 11 (a)'!$S27</f>
        <v>18.8</v>
      </c>
      <c r="M21" s="17">
        <f>'[6]Dia 12 (a)'!$S27</f>
        <v>17.8</v>
      </c>
      <c r="N21" s="17">
        <f>'[6]Dia 13 (a)'!$S27</f>
        <v>17.399999999999999</v>
      </c>
      <c r="O21" s="17">
        <f>'[6]Dia 14 (a)'!$S27</f>
        <v>17</v>
      </c>
      <c r="P21" s="17">
        <f>'[6]Dia 15 (a)'!$S27</f>
        <v>17.5</v>
      </c>
      <c r="Q21" s="17">
        <f>'[6]Dia 16 (a)'!$S27</f>
        <v>18.3</v>
      </c>
      <c r="R21" s="17">
        <f>'[6]Dia 17 (a)'!$S27</f>
        <v>18.7</v>
      </c>
      <c r="S21" s="17">
        <f>'[6]Dia 18 (a)'!$S27</f>
        <v>18</v>
      </c>
      <c r="T21" s="17">
        <f>'[6]Dia 19 (a)'!$S27</f>
        <v>17.8</v>
      </c>
      <c r="U21" s="17">
        <f>'[6]Dia 20 (a)'!$S27</f>
        <v>18.2</v>
      </c>
      <c r="V21" s="17">
        <f>'[6]Dia 21 (a)'!$S27</f>
        <v>19</v>
      </c>
      <c r="W21" s="17">
        <f>'[6]Dia 22 (a)'!$S27</f>
        <v>19.600000000000001</v>
      </c>
      <c r="X21" s="17">
        <f>'[6]Dia 23 (a)'!$S27</f>
        <v>20</v>
      </c>
      <c r="Y21" s="17">
        <f>'[6]Dia 24 (a)'!$S27</f>
        <v>20</v>
      </c>
      <c r="Z21" s="17">
        <f>'[6]Dia 25 (a)'!$S27</f>
        <v>19.7</v>
      </c>
      <c r="AA21" s="17">
        <f>'[6]Dia 26 (a)'!$S27</f>
        <v>19</v>
      </c>
      <c r="AB21" s="17">
        <f>'[6]Dia 27 (a)'!$S27</f>
        <v>18.399999999999999</v>
      </c>
      <c r="AC21" s="17">
        <f>'[6]Dia 28 (a)'!$S27</f>
        <v>18.600000000000001</v>
      </c>
      <c r="AD21" s="17">
        <f>'[6]Dia 29 (a)'!$S27</f>
        <v>19.100000000000001</v>
      </c>
      <c r="AE21" s="17">
        <f>'[6]Dia 30 (a)'!$S27</f>
        <v>19.600000000000001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19.416666666666664</v>
      </c>
      <c r="C25" s="28">
        <f t="shared" ref="C25:AE25" si="0">AVERAGE(C4:C21)</f>
        <v>19.688888888888886</v>
      </c>
      <c r="D25" s="28">
        <f t="shared" si="0"/>
        <v>19.138888888888886</v>
      </c>
      <c r="E25" s="28">
        <f t="shared" si="0"/>
        <v>19.044444444444441</v>
      </c>
      <c r="F25" s="28">
        <f t="shared" si="0"/>
        <v>19.066666666666666</v>
      </c>
      <c r="G25" s="28">
        <f t="shared" si="0"/>
        <v>19.333333333333329</v>
      </c>
      <c r="H25" s="28">
        <f t="shared" si="0"/>
        <v>19.388888888888893</v>
      </c>
      <c r="I25" s="28">
        <f t="shared" si="0"/>
        <v>19.216666666666661</v>
      </c>
      <c r="J25" s="28">
        <f t="shared" si="0"/>
        <v>18.844444444444449</v>
      </c>
      <c r="K25" s="28">
        <f t="shared" si="0"/>
        <v>19.37777777777778</v>
      </c>
      <c r="L25" s="28">
        <f t="shared" si="0"/>
        <v>18.961111111111112</v>
      </c>
      <c r="M25" s="28">
        <f t="shared" si="0"/>
        <v>17.988888888888894</v>
      </c>
      <c r="N25" s="28">
        <f t="shared" si="0"/>
        <v>17.077777777777776</v>
      </c>
      <c r="O25" s="28">
        <f t="shared" si="0"/>
        <v>17.027777777777779</v>
      </c>
      <c r="P25" s="28">
        <f t="shared" si="0"/>
        <v>17.138888888888889</v>
      </c>
      <c r="Q25" s="28">
        <f t="shared" si="0"/>
        <v>17.455555555555559</v>
      </c>
      <c r="R25" s="28">
        <f t="shared" si="0"/>
        <v>17.977777777777778</v>
      </c>
      <c r="S25" s="28">
        <f t="shared" si="0"/>
        <v>18.261111111111109</v>
      </c>
      <c r="T25" s="28">
        <f t="shared" si="0"/>
        <v>17.700000000000003</v>
      </c>
      <c r="U25" s="28">
        <f t="shared" si="0"/>
        <v>17.705555555555556</v>
      </c>
      <c r="V25" s="28">
        <f t="shared" si="0"/>
        <v>18.255555555555556</v>
      </c>
      <c r="W25" s="28">
        <f t="shared" si="0"/>
        <v>18.866666666666667</v>
      </c>
      <c r="X25" s="28">
        <f t="shared" si="0"/>
        <v>19.388888888888889</v>
      </c>
      <c r="Y25" s="28">
        <f t="shared" si="0"/>
        <v>19.461111111111109</v>
      </c>
      <c r="Z25" s="28">
        <f t="shared" si="0"/>
        <v>19.411111111111108</v>
      </c>
      <c r="AA25" s="28">
        <f t="shared" si="0"/>
        <v>19.094444444444445</v>
      </c>
      <c r="AB25" s="28">
        <f t="shared" si="0"/>
        <v>18.383333333333329</v>
      </c>
      <c r="AC25" s="28">
        <f t="shared" si="0"/>
        <v>18.183333333333337</v>
      </c>
      <c r="AD25" s="28">
        <f t="shared" si="0"/>
        <v>18.62777777777778</v>
      </c>
      <c r="AE25" s="28">
        <f t="shared" si="0"/>
        <v>19.011111111111116</v>
      </c>
      <c r="AF25" s="28"/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20</v>
      </c>
      <c r="C29" s="28">
        <f t="shared" ref="C29:AE29" si="1">MAX(C4:C21)</f>
        <v>19.899999999999999</v>
      </c>
      <c r="D29" s="28">
        <f t="shared" si="1"/>
        <v>19.399999999999999</v>
      </c>
      <c r="E29" s="28">
        <f t="shared" si="1"/>
        <v>19.2</v>
      </c>
      <c r="F29" s="28">
        <f t="shared" si="1"/>
        <v>19.7</v>
      </c>
      <c r="G29" s="28">
        <f t="shared" si="1"/>
        <v>19.7</v>
      </c>
      <c r="H29" s="28">
        <f t="shared" si="1"/>
        <v>19.7</v>
      </c>
      <c r="I29" s="28">
        <f t="shared" si="1"/>
        <v>19.3</v>
      </c>
      <c r="J29" s="28">
        <f t="shared" si="1"/>
        <v>19</v>
      </c>
      <c r="K29" s="28">
        <f t="shared" si="1"/>
        <v>19.600000000000001</v>
      </c>
      <c r="L29" s="28">
        <f t="shared" si="1"/>
        <v>19.2</v>
      </c>
      <c r="M29" s="28">
        <f t="shared" si="1"/>
        <v>18.2</v>
      </c>
      <c r="N29" s="28">
        <f t="shared" si="1"/>
        <v>17.399999999999999</v>
      </c>
      <c r="O29" s="28">
        <f t="shared" si="1"/>
        <v>17.100000000000001</v>
      </c>
      <c r="P29" s="28">
        <f t="shared" si="1"/>
        <v>17.5</v>
      </c>
      <c r="Q29" s="28">
        <f t="shared" si="1"/>
        <v>18.3</v>
      </c>
      <c r="R29" s="28">
        <f t="shared" si="1"/>
        <v>18.7</v>
      </c>
      <c r="S29" s="28">
        <f t="shared" si="1"/>
        <v>18.5</v>
      </c>
      <c r="T29" s="28">
        <f t="shared" si="1"/>
        <v>17.8</v>
      </c>
      <c r="U29" s="28">
        <f t="shared" si="1"/>
        <v>18.2</v>
      </c>
      <c r="V29" s="28">
        <f t="shared" si="1"/>
        <v>19</v>
      </c>
      <c r="W29" s="28">
        <f t="shared" si="1"/>
        <v>19.7</v>
      </c>
      <c r="X29" s="28">
        <f t="shared" si="1"/>
        <v>20</v>
      </c>
      <c r="Y29" s="28">
        <f t="shared" si="1"/>
        <v>20</v>
      </c>
      <c r="Z29" s="28">
        <f t="shared" si="1"/>
        <v>19.7</v>
      </c>
      <c r="AA29" s="28">
        <f t="shared" si="1"/>
        <v>19.3</v>
      </c>
      <c r="AB29" s="28">
        <f t="shared" si="1"/>
        <v>18.7</v>
      </c>
      <c r="AC29" s="28">
        <f t="shared" si="1"/>
        <v>18.600000000000001</v>
      </c>
      <c r="AD29" s="28">
        <f t="shared" si="1"/>
        <v>19.100000000000001</v>
      </c>
      <c r="AE29" s="28">
        <f t="shared" si="1"/>
        <v>19.600000000000001</v>
      </c>
      <c r="AF29" s="28"/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19</v>
      </c>
      <c r="C33" s="28">
        <f t="shared" ref="C33:AE33" si="2">MIN(C4:C21)</f>
        <v>19.399999999999999</v>
      </c>
      <c r="D33" s="28">
        <f t="shared" si="2"/>
        <v>18.8</v>
      </c>
      <c r="E33" s="28">
        <f t="shared" si="2"/>
        <v>18.899999999999999</v>
      </c>
      <c r="F33" s="28">
        <f t="shared" si="2"/>
        <v>18.600000000000001</v>
      </c>
      <c r="G33" s="28">
        <f t="shared" si="2"/>
        <v>19.100000000000001</v>
      </c>
      <c r="H33" s="28">
        <f t="shared" si="2"/>
        <v>19.2</v>
      </c>
      <c r="I33" s="28">
        <f t="shared" si="2"/>
        <v>19.2</v>
      </c>
      <c r="J33" s="28">
        <f t="shared" si="2"/>
        <v>18.600000000000001</v>
      </c>
      <c r="K33" s="28">
        <f t="shared" si="2"/>
        <v>19.2</v>
      </c>
      <c r="L33" s="28">
        <f t="shared" si="2"/>
        <v>18.8</v>
      </c>
      <c r="M33" s="28">
        <f t="shared" si="2"/>
        <v>17.600000000000001</v>
      </c>
      <c r="N33" s="28">
        <f t="shared" si="2"/>
        <v>16.899999999999999</v>
      </c>
      <c r="O33" s="28">
        <f t="shared" si="2"/>
        <v>17</v>
      </c>
      <c r="P33" s="28">
        <f t="shared" si="2"/>
        <v>16.899999999999999</v>
      </c>
      <c r="Q33" s="28">
        <f t="shared" si="2"/>
        <v>16.8</v>
      </c>
      <c r="R33" s="28">
        <f t="shared" si="2"/>
        <v>17.5</v>
      </c>
      <c r="S33" s="28">
        <f t="shared" si="2"/>
        <v>18</v>
      </c>
      <c r="T33" s="28">
        <f t="shared" si="2"/>
        <v>17.399999999999999</v>
      </c>
      <c r="U33" s="28">
        <f t="shared" si="2"/>
        <v>17</v>
      </c>
      <c r="V33" s="28">
        <f t="shared" si="2"/>
        <v>17.600000000000001</v>
      </c>
      <c r="W33" s="28">
        <f t="shared" si="2"/>
        <v>18.2</v>
      </c>
      <c r="X33" s="28">
        <f t="shared" si="2"/>
        <v>18.899999999999999</v>
      </c>
      <c r="Y33" s="28">
        <f t="shared" si="2"/>
        <v>19.100000000000001</v>
      </c>
      <c r="Z33" s="28">
        <f t="shared" si="2"/>
        <v>19.100000000000001</v>
      </c>
      <c r="AA33" s="28">
        <f t="shared" si="2"/>
        <v>19</v>
      </c>
      <c r="AB33" s="28">
        <f t="shared" si="2"/>
        <v>18</v>
      </c>
      <c r="AC33" s="28">
        <f t="shared" si="2"/>
        <v>17.8</v>
      </c>
      <c r="AD33" s="28">
        <f t="shared" si="2"/>
        <v>18.2</v>
      </c>
      <c r="AE33" s="28">
        <f t="shared" si="2"/>
        <v>18.600000000000001</v>
      </c>
      <c r="AF33" s="28"/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1</v>
      </c>
      <c r="C37" s="28">
        <f t="shared" ref="C37:AE37" si="3">C29-C33</f>
        <v>0.5</v>
      </c>
      <c r="D37" s="28">
        <f t="shared" si="3"/>
        <v>0.59999999999999787</v>
      </c>
      <c r="E37" s="28">
        <f t="shared" si="3"/>
        <v>0.30000000000000071</v>
      </c>
      <c r="F37" s="28">
        <f t="shared" si="3"/>
        <v>1.0999999999999979</v>
      </c>
      <c r="G37" s="28">
        <f t="shared" si="3"/>
        <v>0.59999999999999787</v>
      </c>
      <c r="H37" s="28">
        <f t="shared" si="3"/>
        <v>0.5</v>
      </c>
      <c r="I37" s="28">
        <f t="shared" si="3"/>
        <v>0.10000000000000142</v>
      </c>
      <c r="J37" s="28">
        <f t="shared" si="3"/>
        <v>0.39999999999999858</v>
      </c>
      <c r="K37" s="28">
        <f t="shared" si="3"/>
        <v>0.40000000000000213</v>
      </c>
      <c r="L37" s="28">
        <f t="shared" si="3"/>
        <v>0.39999999999999858</v>
      </c>
      <c r="M37" s="28">
        <f t="shared" si="3"/>
        <v>0.59999999999999787</v>
      </c>
      <c r="N37" s="28">
        <f t="shared" si="3"/>
        <v>0.5</v>
      </c>
      <c r="O37" s="28">
        <f t="shared" si="3"/>
        <v>0.10000000000000142</v>
      </c>
      <c r="P37" s="28">
        <f t="shared" si="3"/>
        <v>0.60000000000000142</v>
      </c>
      <c r="Q37" s="28">
        <f t="shared" si="3"/>
        <v>1.5</v>
      </c>
      <c r="R37" s="28">
        <f t="shared" si="3"/>
        <v>1.1999999999999993</v>
      </c>
      <c r="S37" s="28">
        <f t="shared" si="3"/>
        <v>0.5</v>
      </c>
      <c r="T37" s="28">
        <f t="shared" si="3"/>
        <v>0.40000000000000213</v>
      </c>
      <c r="U37" s="28">
        <f t="shared" si="3"/>
        <v>1.1999999999999993</v>
      </c>
      <c r="V37" s="28">
        <f t="shared" si="3"/>
        <v>1.3999999999999986</v>
      </c>
      <c r="W37" s="28">
        <f t="shared" si="3"/>
        <v>1.5</v>
      </c>
      <c r="X37" s="28">
        <f t="shared" si="3"/>
        <v>1.1000000000000014</v>
      </c>
      <c r="Y37" s="28">
        <f t="shared" si="3"/>
        <v>0.89999999999999858</v>
      </c>
      <c r="Z37" s="28">
        <f t="shared" si="3"/>
        <v>0.59999999999999787</v>
      </c>
      <c r="AA37" s="28">
        <f t="shared" si="3"/>
        <v>0.30000000000000071</v>
      </c>
      <c r="AB37" s="28">
        <f t="shared" si="3"/>
        <v>0.69999999999999929</v>
      </c>
      <c r="AC37" s="28">
        <f t="shared" si="3"/>
        <v>0.80000000000000071</v>
      </c>
      <c r="AD37" s="28">
        <f t="shared" si="3"/>
        <v>0.90000000000000213</v>
      </c>
      <c r="AE37" s="28">
        <f t="shared" si="3"/>
        <v>1</v>
      </c>
      <c r="AF37" s="28"/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18.616481481481479</v>
      </c>
      <c r="I43" s="40"/>
      <c r="J43" s="42"/>
      <c r="K43" s="41">
        <f>MAX(B29:AF29)</f>
        <v>20</v>
      </c>
      <c r="L43" s="42"/>
      <c r="M43" s="42"/>
      <c r="N43" s="41">
        <f>MIN(B33:AF33)</f>
        <v>16.8</v>
      </c>
      <c r="O43" s="42"/>
      <c r="P43" s="42"/>
      <c r="Q43" s="41">
        <f>K43-N43</f>
        <v>3.1999999999999993</v>
      </c>
      <c r="R43" s="40"/>
      <c r="S43" s="41"/>
      <c r="T43" s="41">
        <f>AVERAGE(B29:AF29)</f>
        <v>19.003333333333334</v>
      </c>
      <c r="U43" s="41"/>
      <c r="V43" s="41">
        <f>AVERAGE(B33:AF33)</f>
        <v>18.279999999999998</v>
      </c>
      <c r="W43" s="41"/>
      <c r="X43" s="41">
        <f>T43-V43</f>
        <v>0.72333333333333627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(a)'!$S10</f>
        <v>19</v>
      </c>
      <c r="C4" s="12">
        <f>'[7]Dia 2 (a)'!$S10</f>
        <v>19</v>
      </c>
      <c r="D4" s="12">
        <f>'[7]Dia 3 (a)'!$S10</f>
        <v>19.600000000000001</v>
      </c>
      <c r="E4" s="12">
        <f>'[7]Dia 4 (a)'!$S10</f>
        <v>20</v>
      </c>
      <c r="F4" s="12">
        <f>'[7]Dia 5 (a)'!$S10</f>
        <v>19.899999999999999</v>
      </c>
      <c r="G4" s="12">
        <f>'[7]Dia 6 (a)'!$S10</f>
        <v>19.7</v>
      </c>
      <c r="H4" s="12">
        <f>'[7]Dia 7 (a)'!$S10</f>
        <v>19.2</v>
      </c>
      <c r="I4" s="12">
        <f>'[7]Dia 8 (a)'!$S10</f>
        <v>19.600000000000001</v>
      </c>
      <c r="J4" s="12">
        <f>'[7]Dia 9 (a)'!$S10</f>
        <v>19.399999999999999</v>
      </c>
      <c r="K4" s="12">
        <f>'[7]Dia 10 (a)'!$S10</f>
        <v>19.600000000000001</v>
      </c>
      <c r="L4" s="12">
        <f>'[7]Dia 11 (a)'!$S10</f>
        <v>19.899999999999999</v>
      </c>
      <c r="M4" s="12">
        <f>'[7]Dia 12 (a)'!$S10</f>
        <v>20</v>
      </c>
      <c r="N4" s="12">
        <f>'[7]Dia 13 (a)'!$S10</f>
        <v>20.399999999999999</v>
      </c>
      <c r="O4" s="12">
        <f>'[7]Dia 14 (a)'!$S10</f>
        <v>19</v>
      </c>
      <c r="P4" s="12">
        <f>'[7]Dia 15 (a)'!$S10</f>
        <v>20</v>
      </c>
      <c r="Q4" s="12">
        <f>'[7]Dia 16 (a)'!$S10</f>
        <v>20.399999999999999</v>
      </c>
      <c r="R4" s="12">
        <f>'[7]Dia 17 (a)'!$S10</f>
        <v>20.399999999999999</v>
      </c>
      <c r="S4" s="12">
        <f>'[7]Dia 18 (a)'!$S10</f>
        <v>21</v>
      </c>
      <c r="T4" s="12">
        <f>'[7]Dia 19 (a)'!$S10</f>
        <v>20.2</v>
      </c>
      <c r="U4" s="12">
        <f>'[7]Dia 20 (a)'!$S10</f>
        <v>21</v>
      </c>
      <c r="V4" s="12">
        <f>'[7]Dia 21 (a)'!$S10</f>
        <v>21</v>
      </c>
      <c r="W4" s="12">
        <f>'[7]Dia 22 (a)'!$S10</f>
        <v>20.6</v>
      </c>
      <c r="X4" s="12">
        <f>'[7]Dia 23 (a)'!$S10</f>
        <v>21</v>
      </c>
      <c r="Y4" s="12">
        <f>'[7]Dia 24 (a)'!$S10</f>
        <v>20.8</v>
      </c>
      <c r="Z4" s="12">
        <f>'[7]Dia 25 (a)'!$S10</f>
        <v>20.7</v>
      </c>
      <c r="AA4" s="12">
        <f>'[7]Dia 26 (a)'!$S10</f>
        <v>20.8</v>
      </c>
      <c r="AB4" s="12">
        <f>'[7]Dia 27 (a)'!$S10</f>
        <v>21</v>
      </c>
      <c r="AC4" s="12">
        <f>'[7]Dia 28 (a)'!$S10</f>
        <v>21.2</v>
      </c>
      <c r="AD4" s="12">
        <f>'[7]Dia 29 (a)'!$S10</f>
        <v>21.4</v>
      </c>
      <c r="AE4" s="12">
        <f>'[7]Dia 30 (a)'!$S10</f>
        <v>19</v>
      </c>
      <c r="AF4" s="13">
        <f>'[7]Dia 31 (a)'!$S10</f>
        <v>18.5</v>
      </c>
      <c r="AG4" s="14"/>
    </row>
    <row r="5" spans="1:33" ht="20.100000000000001" customHeight="1">
      <c r="A5" s="11">
        <v>8</v>
      </c>
      <c r="B5" s="12">
        <f>'[7]Dia 1 (a)'!$S11</f>
        <v>18.8</v>
      </c>
      <c r="C5" s="12">
        <f>'[7]Dia 2 (a)'!$S11</f>
        <v>18.899999999999999</v>
      </c>
      <c r="D5" s="12">
        <f>'[7]Dia 3 (a)'!$S11</f>
        <v>19.5</v>
      </c>
      <c r="E5" s="12">
        <f>'[7]Dia 4 (a)'!$S11</f>
        <v>19.8</v>
      </c>
      <c r="F5" s="12">
        <f>'[7]Dia 5 (a)'!$S11</f>
        <v>19.7</v>
      </c>
      <c r="G5" s="12">
        <f>'[7]Dia 6 (a)'!$S11</f>
        <v>19.399999999999999</v>
      </c>
      <c r="H5" s="12">
        <f>'[7]Dia 7 (a)'!$S11</f>
        <v>19</v>
      </c>
      <c r="I5" s="12">
        <f>'[7]Dia 8 (a)'!$S11</f>
        <v>19.600000000000001</v>
      </c>
      <c r="J5" s="12">
        <f>'[7]Dia 9 (a)'!$S11</f>
        <v>19.3</v>
      </c>
      <c r="K5" s="12">
        <f>'[7]Dia 10 (a)'!$S11</f>
        <v>19.399999999999999</v>
      </c>
      <c r="L5" s="12">
        <f>'[7]Dia 11 (a)'!$S11</f>
        <v>19.8</v>
      </c>
      <c r="M5" s="12">
        <f>'[7]Dia 12 (a)'!$S11</f>
        <v>20</v>
      </c>
      <c r="N5" s="12">
        <f>'[7]Dia 13 (a)'!$S11</f>
        <v>20.3</v>
      </c>
      <c r="O5" s="12">
        <f>'[7]Dia 14 (a)'!$S11</f>
        <v>19.2</v>
      </c>
      <c r="P5" s="12">
        <f>'[7]Dia 15 (a)'!$S11</f>
        <v>20</v>
      </c>
      <c r="Q5" s="12">
        <f>'[7]Dia 16 (a)'!$S11</f>
        <v>20.3</v>
      </c>
      <c r="R5" s="12">
        <f>'[7]Dia 17 (a)'!$S11</f>
        <v>20.399999999999999</v>
      </c>
      <c r="S5" s="12">
        <f>'[7]Dia 18 (a)'!$S11</f>
        <v>20.9</v>
      </c>
      <c r="T5" s="12">
        <f>'[7]Dia 19 (a)'!$S11</f>
        <v>20.2</v>
      </c>
      <c r="U5" s="12">
        <f>'[7]Dia 20 (a)'!$S11</f>
        <v>21</v>
      </c>
      <c r="V5" s="12">
        <f>'[7]Dia 21 (a)'!$S11</f>
        <v>21</v>
      </c>
      <c r="W5" s="12">
        <f>'[7]Dia 22 (a)'!$S11</f>
        <v>20.6</v>
      </c>
      <c r="X5" s="12">
        <f>'[7]Dia 23 (a)'!$S11</f>
        <v>21</v>
      </c>
      <c r="Y5" s="12">
        <f>'[7]Dia 24 (a)'!$S11</f>
        <v>20.8</v>
      </c>
      <c r="Z5" s="12">
        <f>'[7]Dia 25 (a)'!$S11</f>
        <v>20.7</v>
      </c>
      <c r="AA5" s="12">
        <f>'[7]Dia 26 (a)'!$S11</f>
        <v>20.8</v>
      </c>
      <c r="AB5" s="12">
        <f>'[7]Dia 27 (a)'!$S11</f>
        <v>21</v>
      </c>
      <c r="AC5" s="12">
        <f>'[7]Dia 28 (a)'!$S11</f>
        <v>21.2</v>
      </c>
      <c r="AD5" s="12">
        <f>'[7]Dia 29 (a)'!$S11</f>
        <v>21.3</v>
      </c>
      <c r="AE5" s="12">
        <f>'[7]Dia 30 (a)'!$S11</f>
        <v>19</v>
      </c>
      <c r="AF5" s="13">
        <f>'[7]Dia 31 (a)'!$S11</f>
        <v>18.399999999999999</v>
      </c>
      <c r="AG5" s="14"/>
    </row>
    <row r="6" spans="1:33" ht="20.100000000000001" customHeight="1">
      <c r="A6" s="11">
        <v>9</v>
      </c>
      <c r="B6" s="12">
        <f>'[7]Dia 1 (a)'!$S12</f>
        <v>18.7</v>
      </c>
      <c r="C6" s="12">
        <f>'[7]Dia 2 (a)'!$S12</f>
        <v>18.8</v>
      </c>
      <c r="D6" s="12">
        <f>'[7]Dia 3 (a)'!$S12</f>
        <v>19.5</v>
      </c>
      <c r="E6" s="12">
        <f>'[7]Dia 4 (a)'!$S12</f>
        <v>19.7</v>
      </c>
      <c r="F6" s="12">
        <f>'[7]Dia 5 (a)'!$S12</f>
        <v>19.8</v>
      </c>
      <c r="G6" s="12">
        <f>'[7]Dia 6 (a)'!$S12</f>
        <v>19.5</v>
      </c>
      <c r="H6" s="12">
        <f>'[7]Dia 7 (a)'!$S12</f>
        <v>19</v>
      </c>
      <c r="I6" s="12">
        <f>'[7]Dia 8 (a)'!$S12</f>
        <v>19.5</v>
      </c>
      <c r="J6" s="12">
        <f>'[7]Dia 9 (a)'!$S12</f>
        <v>19.3</v>
      </c>
      <c r="K6" s="12">
        <f>'[7]Dia 10 (a)'!$S12</f>
        <v>19.600000000000001</v>
      </c>
      <c r="L6" s="12">
        <f>'[7]Dia 11 (a)'!$S12</f>
        <v>19.7</v>
      </c>
      <c r="M6" s="12">
        <f>'[7]Dia 12 (a)'!$S12</f>
        <v>19.8</v>
      </c>
      <c r="N6" s="12">
        <f>'[7]Dia 13 (a)'!$S12</f>
        <v>20.2</v>
      </c>
      <c r="O6" s="12">
        <f>'[7]Dia 14 (a)'!$S12</f>
        <v>19.2</v>
      </c>
      <c r="P6" s="12">
        <f>'[7]Dia 15 (a)'!$S12</f>
        <v>20</v>
      </c>
      <c r="Q6" s="12">
        <f>'[7]Dia 16 (a)'!$S12</f>
        <v>20.2</v>
      </c>
      <c r="R6" s="12">
        <f>'[7]Dia 17 (a)'!$S12</f>
        <v>20.399999999999999</v>
      </c>
      <c r="S6" s="12">
        <f>'[7]Dia 18 (a)'!$S12</f>
        <v>20.9</v>
      </c>
      <c r="T6" s="12">
        <f>'[7]Dia 19 (a)'!$S12</f>
        <v>20.2</v>
      </c>
      <c r="U6" s="12">
        <f>'[7]Dia 20 (a)'!$S12</f>
        <v>20.6</v>
      </c>
      <c r="V6" s="12">
        <f>'[7]Dia 21 (a)'!$S12</f>
        <v>21</v>
      </c>
      <c r="W6" s="12">
        <f>'[7]Dia 22 (a)'!$S12</f>
        <v>20.6</v>
      </c>
      <c r="X6" s="12">
        <f>'[7]Dia 23 (a)'!$S12</f>
        <v>21</v>
      </c>
      <c r="Y6" s="12">
        <f>'[7]Dia 24 (a)'!$S12</f>
        <v>20.7</v>
      </c>
      <c r="Z6" s="12">
        <f>'[7]Dia 25 (a)'!$S12</f>
        <v>20.6</v>
      </c>
      <c r="AA6" s="12">
        <f>'[7]Dia 26 (a)'!$S12</f>
        <v>20.8</v>
      </c>
      <c r="AB6" s="12">
        <f>'[7]Dia 27 (a)'!$S12</f>
        <v>21</v>
      </c>
      <c r="AC6" s="12">
        <f>'[7]Dia 28 (a)'!$S12</f>
        <v>21</v>
      </c>
      <c r="AD6" s="12">
        <f>'[7]Dia 29 (a)'!$S12</f>
        <v>21.3</v>
      </c>
      <c r="AE6" s="12">
        <f>'[7]Dia 30 (a)'!$S12</f>
        <v>18.899999999999999</v>
      </c>
      <c r="AF6" s="13">
        <f>'[7]Dia 31 (a)'!$S12</f>
        <v>18.399999999999999</v>
      </c>
      <c r="AG6" s="14"/>
    </row>
    <row r="7" spans="1:33" ht="20.100000000000001" customHeight="1">
      <c r="A7" s="11">
        <v>10</v>
      </c>
      <c r="B7" s="12">
        <f>'[7]Dia 1 (a)'!$S13</f>
        <v>18.7</v>
      </c>
      <c r="C7" s="12">
        <f>'[7]Dia 2 (a)'!$S13</f>
        <v>18.899999999999999</v>
      </c>
      <c r="D7" s="12">
        <f>'[7]Dia 3 (a)'!$S13</f>
        <v>19.5</v>
      </c>
      <c r="E7" s="12">
        <f>'[7]Dia 4 (a)'!$S13</f>
        <v>19.600000000000001</v>
      </c>
      <c r="F7" s="12">
        <f>'[7]Dia 5 (a)'!$S13</f>
        <v>19.7</v>
      </c>
      <c r="G7" s="12">
        <f>'[7]Dia 6 (a)'!$S13</f>
        <v>19.5</v>
      </c>
      <c r="H7" s="12">
        <f>'[7]Dia 7 (a)'!$S13</f>
        <v>19</v>
      </c>
      <c r="I7" s="12">
        <f>'[7]Dia 8 (a)'!$S13</f>
        <v>19.5</v>
      </c>
      <c r="J7" s="12">
        <f>'[7]Dia 9 (a)'!$S13</f>
        <v>19.3</v>
      </c>
      <c r="K7" s="12">
        <f>'[7]Dia 10 (a)'!$S13</f>
        <v>19.600000000000001</v>
      </c>
      <c r="L7" s="12">
        <f>'[7]Dia 11 (a)'!$S13</f>
        <v>19.7</v>
      </c>
      <c r="M7" s="12">
        <f>'[7]Dia 12 (a)'!$S13</f>
        <v>19.8</v>
      </c>
      <c r="N7" s="12">
        <f>'[7]Dia 13 (a)'!$S13</f>
        <v>20.2</v>
      </c>
      <c r="O7" s="12">
        <f>'[7]Dia 14 (a)'!$S13</f>
        <v>19.399999999999999</v>
      </c>
      <c r="P7" s="12">
        <f>'[7]Dia 15 (a)'!$S13</f>
        <v>20</v>
      </c>
      <c r="Q7" s="12">
        <f>'[7]Dia 16 (a)'!$S13</f>
        <v>20.2</v>
      </c>
      <c r="R7" s="12">
        <f>'[7]Dia 17 (a)'!$S13</f>
        <v>20.399999999999999</v>
      </c>
      <c r="S7" s="12">
        <f>'[7]Dia 18 (a)'!$S13</f>
        <v>20.8</v>
      </c>
      <c r="T7" s="12">
        <f>'[7]Dia 19 (a)'!$S13</f>
        <v>20.2</v>
      </c>
      <c r="U7" s="12">
        <f>'[7]Dia 20 (a)'!$S13</f>
        <v>20.8</v>
      </c>
      <c r="V7" s="12">
        <f>'[7]Dia 21 (a)'!$S13</f>
        <v>21</v>
      </c>
      <c r="W7" s="12">
        <f>'[7]Dia 22 (a)'!$S13</f>
        <v>20.6</v>
      </c>
      <c r="X7" s="12">
        <f>'[7]Dia 23 (a)'!$S13</f>
        <v>20.8</v>
      </c>
      <c r="Y7" s="12">
        <f>'[7]Dia 24 (a)'!$S13</f>
        <v>20.6</v>
      </c>
      <c r="Z7" s="12">
        <f>'[7]Dia 25 (a)'!$S13</f>
        <v>20.6</v>
      </c>
      <c r="AA7" s="12">
        <f>'[7]Dia 26 (a)'!$S13</f>
        <v>20.7</v>
      </c>
      <c r="AB7" s="12">
        <f>'[7]Dia 27 (a)'!$S13</f>
        <v>21</v>
      </c>
      <c r="AC7" s="12">
        <f>'[7]Dia 28 (a)'!$S13</f>
        <v>21</v>
      </c>
      <c r="AD7" s="12">
        <f>'[7]Dia 29 (a)'!$S13</f>
        <v>21</v>
      </c>
      <c r="AE7" s="12">
        <f>'[7]Dia 30 (a)'!$S13</f>
        <v>18.8</v>
      </c>
      <c r="AF7" s="13">
        <f>'[7]Dia 31 (a)'!$S13</f>
        <v>18.399999999999999</v>
      </c>
      <c r="AG7" s="14"/>
    </row>
    <row r="8" spans="1:33" ht="20.100000000000001" customHeight="1">
      <c r="A8" s="11">
        <v>11</v>
      </c>
      <c r="B8" s="12">
        <f>'[7]Dia 1 (a)'!$S14</f>
        <v>18.5</v>
      </c>
      <c r="C8" s="12">
        <f>'[7]Dia 2 (a)'!$S14</f>
        <v>18.899999999999999</v>
      </c>
      <c r="D8" s="12">
        <f>'[7]Dia 3 (a)'!$S14</f>
        <v>19.5</v>
      </c>
      <c r="E8" s="12">
        <f>'[7]Dia 4 (a)'!$S14</f>
        <v>19.600000000000001</v>
      </c>
      <c r="F8" s="12">
        <f>'[7]Dia 5 (a)'!$S14</f>
        <v>19.7</v>
      </c>
      <c r="G8" s="12">
        <f>'[7]Dia 6 (a)'!$S14</f>
        <v>19.399999999999999</v>
      </c>
      <c r="H8" s="12">
        <f>'[7]Dia 7 (a)'!$S14</f>
        <v>19</v>
      </c>
      <c r="I8" s="12">
        <f>'[7]Dia 8 (a)'!$S14</f>
        <v>19.5</v>
      </c>
      <c r="J8" s="12">
        <f>'[7]Dia 9 (a)'!$S14</f>
        <v>19.3</v>
      </c>
      <c r="K8" s="12">
        <f>'[7]Dia 10 (a)'!$S14</f>
        <v>19.399999999999999</v>
      </c>
      <c r="L8" s="12">
        <f>'[7]Dia 11 (a)'!$S14</f>
        <v>19.7</v>
      </c>
      <c r="M8" s="12">
        <f>'[7]Dia 12 (a)'!$S14</f>
        <v>19.8</v>
      </c>
      <c r="N8" s="12">
        <f>'[7]Dia 13 (a)'!$S14</f>
        <v>20.100000000000001</v>
      </c>
      <c r="O8" s="12">
        <f>'[7]Dia 14 (a)'!$S14</f>
        <v>19.399999999999999</v>
      </c>
      <c r="P8" s="12">
        <f>'[7]Dia 15 (a)'!$S14</f>
        <v>20</v>
      </c>
      <c r="Q8" s="12">
        <f>'[7]Dia 16 (a)'!$S14</f>
        <v>20.3</v>
      </c>
      <c r="R8" s="12">
        <f>'[7]Dia 17 (a)'!$S14</f>
        <v>20.399999999999999</v>
      </c>
      <c r="S8" s="12">
        <f>'[7]Dia 18 (a)'!$S14</f>
        <v>20.7</v>
      </c>
      <c r="T8" s="12">
        <f>'[7]Dia 19 (a)'!$S14</f>
        <v>20.2</v>
      </c>
      <c r="U8" s="12">
        <f>'[7]Dia 20 (a)'!$S14</f>
        <v>21.2</v>
      </c>
      <c r="V8" s="12">
        <f>'[7]Dia 21 (a)'!$S14</f>
        <v>21</v>
      </c>
      <c r="W8" s="12">
        <f>'[7]Dia 22 (a)'!$S14</f>
        <v>20.6</v>
      </c>
      <c r="X8" s="12">
        <f>'[7]Dia 23 (a)'!$S14</f>
        <v>20.7</v>
      </c>
      <c r="Y8" s="12">
        <f>'[7]Dia 24 (a)'!$S14</f>
        <v>20.6</v>
      </c>
      <c r="Z8" s="12">
        <f>'[7]Dia 25 (a)'!$S14</f>
        <v>20.6</v>
      </c>
      <c r="AA8" s="12">
        <f>'[7]Dia 26 (a)'!$S14</f>
        <v>20.5</v>
      </c>
      <c r="AB8" s="12">
        <f>'[7]Dia 27 (a)'!$S14</f>
        <v>21</v>
      </c>
      <c r="AC8" s="12">
        <f>'[7]Dia 28 (a)'!$S14</f>
        <v>21</v>
      </c>
      <c r="AD8" s="12">
        <f>'[7]Dia 29 (a)'!$S14</f>
        <v>21</v>
      </c>
      <c r="AE8" s="12">
        <f>'[7]Dia 30 (a)'!$S14</f>
        <v>18.8</v>
      </c>
      <c r="AF8" s="13">
        <f>'[7]Dia 31 (a)'!$S14</f>
        <v>18.399999999999999</v>
      </c>
      <c r="AG8" s="14"/>
    </row>
    <row r="9" spans="1:33" ht="20.100000000000001" customHeight="1">
      <c r="A9" s="11">
        <v>12</v>
      </c>
      <c r="B9" s="12">
        <f>'[7]Dia 1 (a)'!$S15</f>
        <v>18.899999999999999</v>
      </c>
      <c r="C9" s="12">
        <f>'[7]Dia 2 (a)'!$S15</f>
        <v>18.899999999999999</v>
      </c>
      <c r="D9" s="12">
        <f>'[7]Dia 3 (a)'!$S15</f>
        <v>19.399999999999999</v>
      </c>
      <c r="E9" s="12">
        <f>'[7]Dia 4 (a)'!$S15</f>
        <v>19.600000000000001</v>
      </c>
      <c r="F9" s="12">
        <f>'[7]Dia 5 (a)'!$S15</f>
        <v>19.600000000000001</v>
      </c>
      <c r="G9" s="12">
        <f>'[7]Dia 6 (a)'!$S15</f>
        <v>19.3</v>
      </c>
      <c r="H9" s="12">
        <f>'[7]Dia 7 (a)'!$S15</f>
        <v>19</v>
      </c>
      <c r="I9" s="12">
        <f>'[7]Dia 8 (a)'!$S15</f>
        <v>19.3</v>
      </c>
      <c r="J9" s="12">
        <f>'[7]Dia 9 (a)'!$S15</f>
        <v>19.3</v>
      </c>
      <c r="K9" s="12">
        <f>'[7]Dia 10 (a)'!$S15</f>
        <v>19.2</v>
      </c>
      <c r="L9" s="12">
        <f>'[7]Dia 11 (a)'!$S15</f>
        <v>19.600000000000001</v>
      </c>
      <c r="M9" s="12">
        <f>'[7]Dia 12 (a)'!$S15</f>
        <v>19.8</v>
      </c>
      <c r="N9" s="12">
        <f>'[7]Dia 13 (a)'!$S15</f>
        <v>20</v>
      </c>
      <c r="O9" s="12">
        <f>'[7]Dia 14 (a)'!$S15</f>
        <v>19</v>
      </c>
      <c r="P9" s="12">
        <f>'[7]Dia 15 (a)'!$S15</f>
        <v>19.899999999999999</v>
      </c>
      <c r="Q9" s="12">
        <f>'[7]Dia 16 (a)'!$S15</f>
        <v>20.2</v>
      </c>
      <c r="R9" s="12">
        <f>'[7]Dia 17 (a)'!$S15</f>
        <v>20.399999999999999</v>
      </c>
      <c r="S9" s="12">
        <f>'[7]Dia 18 (a)'!$S15</f>
        <v>20.7</v>
      </c>
      <c r="T9" s="12">
        <f>'[7]Dia 19 (a)'!$S15</f>
        <v>20.2</v>
      </c>
      <c r="U9" s="12">
        <f>'[7]Dia 20 (a)'!$S15</f>
        <v>20.6</v>
      </c>
      <c r="V9" s="12">
        <f>'[7]Dia 21 (a)'!$S15</f>
        <v>20.9</v>
      </c>
      <c r="W9" s="12">
        <f>'[7]Dia 22 (a)'!$S15</f>
        <v>20.6</v>
      </c>
      <c r="X9" s="12">
        <f>'[7]Dia 23 (a)'!$S15</f>
        <v>20.7</v>
      </c>
      <c r="Y9" s="12">
        <f>'[7]Dia 24 (a)'!$S15</f>
        <v>20.6</v>
      </c>
      <c r="Z9" s="12">
        <f>'[7]Dia 25 (a)'!$S15</f>
        <v>20.5</v>
      </c>
      <c r="AA9" s="12">
        <f>'[7]Dia 26 (a)'!$S15</f>
        <v>20.5</v>
      </c>
      <c r="AB9" s="12">
        <f>'[7]Dia 27 (a)'!$S15</f>
        <v>21.1</v>
      </c>
      <c r="AC9" s="12">
        <f>'[7]Dia 28 (a)'!$S15</f>
        <v>21</v>
      </c>
      <c r="AD9" s="12">
        <f>'[7]Dia 29 (a)'!$S15</f>
        <v>20.8</v>
      </c>
      <c r="AE9" s="12">
        <f>'[7]Dia 30 (a)'!$S15</f>
        <v>18.7</v>
      </c>
      <c r="AF9" s="13">
        <f>'[7]Dia 31 (a)'!$S15</f>
        <v>18.399999999999999</v>
      </c>
      <c r="AG9" s="14"/>
    </row>
    <row r="10" spans="1:33" ht="20.100000000000001" customHeight="1">
      <c r="A10" s="11">
        <v>13</v>
      </c>
      <c r="B10" s="12">
        <f>'[7]Dia 1 (a)'!$S16</f>
        <v>18.600000000000001</v>
      </c>
      <c r="C10" s="12">
        <f>'[7]Dia 2 (a)'!$S16</f>
        <v>19</v>
      </c>
      <c r="D10" s="12">
        <f>'[7]Dia 3 (a)'!$S16</f>
        <v>19.5</v>
      </c>
      <c r="E10" s="12">
        <f>'[7]Dia 4 (a)'!$S16</f>
        <v>19.600000000000001</v>
      </c>
      <c r="F10" s="12">
        <f>'[7]Dia 5 (a)'!$S16</f>
        <v>19.600000000000001</v>
      </c>
      <c r="G10" s="12">
        <f>'[7]Dia 6 (a)'!$S16</f>
        <v>19.3</v>
      </c>
      <c r="H10" s="12">
        <f>'[7]Dia 7 (a)'!$S16</f>
        <v>19</v>
      </c>
      <c r="I10" s="12">
        <f>'[7]Dia 8 (a)'!$S16</f>
        <v>19.3</v>
      </c>
      <c r="J10" s="12">
        <f>'[7]Dia 9 (a)'!$S16</f>
        <v>19.3</v>
      </c>
      <c r="K10" s="12">
        <f>'[7]Dia 10 (a)'!$S16</f>
        <v>19.399999999999999</v>
      </c>
      <c r="L10" s="12">
        <f>'[7]Dia 11 (a)'!$S16</f>
        <v>19.600000000000001</v>
      </c>
      <c r="M10" s="12">
        <f>'[7]Dia 12 (a)'!$S16</f>
        <v>20</v>
      </c>
      <c r="N10" s="12">
        <f>'[7]Dia 13 (a)'!$S16</f>
        <v>20</v>
      </c>
      <c r="O10" s="12">
        <f>'[7]Dia 14 (a)'!$S16</f>
        <v>19.2</v>
      </c>
      <c r="P10" s="12">
        <f>'[7]Dia 15 (a)'!$S16</f>
        <v>19.8</v>
      </c>
      <c r="Q10" s="12">
        <f>'[7]Dia 16 (a)'!$S16</f>
        <v>20.100000000000001</v>
      </c>
      <c r="R10" s="12">
        <f>'[7]Dia 17 (a)'!$S16</f>
        <v>20.6</v>
      </c>
      <c r="S10" s="12">
        <f>'[7]Dia 18 (a)'!$S16</f>
        <v>20.7</v>
      </c>
      <c r="T10" s="12">
        <f>'[7]Dia 19 (a)'!$S16</f>
        <v>20.6</v>
      </c>
      <c r="U10" s="12">
        <f>'[7]Dia 20 (a)'!$S16</f>
        <v>20.6</v>
      </c>
      <c r="V10" s="12">
        <f>'[7]Dia 21 (a)'!$S16</f>
        <v>20.9</v>
      </c>
      <c r="W10" s="12">
        <f>'[7]Dia 22 (a)'!$S16</f>
        <v>20.6</v>
      </c>
      <c r="X10" s="12">
        <f>'[7]Dia 23 (a)'!$S16</f>
        <v>20.7</v>
      </c>
      <c r="Y10" s="12">
        <f>'[7]Dia 24 (a)'!$S16</f>
        <v>20.6</v>
      </c>
      <c r="Z10" s="12">
        <f>'[7]Dia 25 (a)'!$S16</f>
        <v>20.5</v>
      </c>
      <c r="AA10" s="12">
        <f>'[7]Dia 26 (a)'!$S16</f>
        <v>20.399999999999999</v>
      </c>
      <c r="AB10" s="12">
        <f>'[7]Dia 27 (a)'!$S16</f>
        <v>21</v>
      </c>
      <c r="AC10" s="12">
        <f>'[7]Dia 28 (a)'!$S16</f>
        <v>20.9</v>
      </c>
      <c r="AD10" s="12">
        <f>'[7]Dia 29 (a)'!$S16</f>
        <v>20.6</v>
      </c>
      <c r="AE10" s="12">
        <f>'[7]Dia 30 (a)'!$S16</f>
        <v>18.8</v>
      </c>
      <c r="AF10" s="13">
        <f>'[7]Dia 31 (a)'!$S16</f>
        <v>18.399999999999999</v>
      </c>
      <c r="AG10" s="14"/>
    </row>
    <row r="11" spans="1:33" ht="20.100000000000001" customHeight="1">
      <c r="A11" s="11">
        <v>14</v>
      </c>
      <c r="B11" s="12">
        <f>'[7]Dia 1 (a)'!$S17</f>
        <v>18.7</v>
      </c>
      <c r="C11" s="12">
        <f>'[7]Dia 2 (a)'!$S17</f>
        <v>19</v>
      </c>
      <c r="D11" s="12">
        <f>'[7]Dia 3 (a)'!$S17</f>
        <v>19.600000000000001</v>
      </c>
      <c r="E11" s="12">
        <f>'[7]Dia 4 (a)'!$S17</f>
        <v>19.600000000000001</v>
      </c>
      <c r="F11" s="12">
        <f>'[7]Dia 5 (a)'!$S17</f>
        <v>19.600000000000001</v>
      </c>
      <c r="G11" s="12">
        <f>'[7]Dia 6 (a)'!$S17</f>
        <v>19.3</v>
      </c>
      <c r="H11" s="12">
        <f>'[7]Dia 7 (a)'!$S17</f>
        <v>19</v>
      </c>
      <c r="I11" s="12">
        <f>'[7]Dia 8 (a)'!$S17</f>
        <v>19.399999999999999</v>
      </c>
      <c r="J11" s="12">
        <f>'[7]Dia 9 (a)'!$S17</f>
        <v>19.3</v>
      </c>
      <c r="K11" s="12">
        <f>'[7]Dia 10 (a)'!$S17</f>
        <v>19.399999999999999</v>
      </c>
      <c r="L11" s="12">
        <f>'[7]Dia 11 (a)'!$S17</f>
        <v>19.7</v>
      </c>
      <c r="M11" s="12">
        <f>'[7]Dia 12 (a)'!$S17</f>
        <v>19.8</v>
      </c>
      <c r="N11" s="12">
        <f>'[7]Dia 13 (a)'!$S17</f>
        <v>20</v>
      </c>
      <c r="O11" s="12">
        <f>'[7]Dia 14 (a)'!$S17</f>
        <v>19.399999999999999</v>
      </c>
      <c r="P11" s="12">
        <f>'[7]Dia 15 (a)'!$S17</f>
        <v>19.899999999999999</v>
      </c>
      <c r="Q11" s="12">
        <f>'[7]Dia 16 (a)'!$S17</f>
        <v>20.2</v>
      </c>
      <c r="R11" s="12">
        <f>'[7]Dia 17 (a)'!$S17</f>
        <v>20.6</v>
      </c>
      <c r="S11" s="12">
        <f>'[7]Dia 18 (a)'!$S17</f>
        <v>20.8</v>
      </c>
      <c r="T11" s="12">
        <f>'[7]Dia 19 (a)'!$S17</f>
        <v>20.399999999999999</v>
      </c>
      <c r="U11" s="12">
        <f>'[7]Dia 20 (a)'!$S17</f>
        <v>21</v>
      </c>
      <c r="V11" s="12">
        <f>'[7]Dia 21 (a)'!$S17</f>
        <v>21</v>
      </c>
      <c r="W11" s="12">
        <f>'[7]Dia 22 (a)'!$S17</f>
        <v>20.6</v>
      </c>
      <c r="X11" s="12">
        <f>'[7]Dia 23 (a)'!$S17</f>
        <v>20.7</v>
      </c>
      <c r="Y11" s="12">
        <f>'[7]Dia 24 (a)'!$S17</f>
        <v>20.6</v>
      </c>
      <c r="Z11" s="12">
        <f>'[7]Dia 25 (a)'!$S17</f>
        <v>20.5</v>
      </c>
      <c r="AA11" s="12">
        <f>'[7]Dia 26 (a)'!$S17</f>
        <v>20.6</v>
      </c>
      <c r="AB11" s="12">
        <f>'[7]Dia 27 (a)'!$S17</f>
        <v>21</v>
      </c>
      <c r="AC11" s="12">
        <f>'[7]Dia 28 (a)'!$S17</f>
        <v>20.9</v>
      </c>
      <c r="AD11" s="12">
        <f>'[7]Dia 29 (a)'!$S17</f>
        <v>20.6</v>
      </c>
      <c r="AE11" s="12">
        <f>'[7]Dia 30 (a)'!$S17</f>
        <v>18.7</v>
      </c>
      <c r="AF11" s="13">
        <f>'[7]Dia 31 (a)'!$S17</f>
        <v>18.5</v>
      </c>
      <c r="AG11" s="14"/>
    </row>
    <row r="12" spans="1:33" ht="20.100000000000001" customHeight="1">
      <c r="A12" s="11">
        <v>15</v>
      </c>
      <c r="B12" s="12">
        <f>'[7]Dia 1 (a)'!$S18</f>
        <v>18.8</v>
      </c>
      <c r="C12" s="12">
        <f>'[7]Dia 2 (a)'!$S18</f>
        <v>19</v>
      </c>
      <c r="D12" s="12">
        <f>'[7]Dia 3 (a)'!$S18</f>
        <v>19.600000000000001</v>
      </c>
      <c r="E12" s="15">
        <f>'[7]Dia 4 (a)'!$S18</f>
        <v>-99</v>
      </c>
      <c r="F12" s="12">
        <f>'[7]Dia 5 (a)'!$S18</f>
        <v>19.7</v>
      </c>
      <c r="G12" s="12">
        <f>'[7]Dia 6 (a)'!$S18</f>
        <v>19.399999999999999</v>
      </c>
      <c r="H12" s="12">
        <f>'[7]Dia 7 (a)'!$S18</f>
        <v>19</v>
      </c>
      <c r="I12" s="12">
        <f>'[7]Dia 8 (a)'!$S18</f>
        <v>19.399999999999999</v>
      </c>
      <c r="J12" s="12">
        <f>'[7]Dia 9 (a)'!$S18</f>
        <v>19.399999999999999</v>
      </c>
      <c r="K12" s="12">
        <f>'[7]Dia 10 (a)'!$S18</f>
        <v>19.399999999999999</v>
      </c>
      <c r="L12" s="12">
        <f>'[7]Dia 11 (a)'!$S18</f>
        <v>19.7</v>
      </c>
      <c r="M12" s="12">
        <f>'[7]Dia 12 (a)'!$S18</f>
        <v>19.8</v>
      </c>
      <c r="N12" s="12">
        <f>'[7]Dia 13 (a)'!$S18</f>
        <v>19.899999999999999</v>
      </c>
      <c r="O12" s="12">
        <f>'[7]Dia 14 (a)'!$S18</f>
        <v>19.600000000000001</v>
      </c>
      <c r="P12" s="12">
        <f>'[7]Dia 15 (a)'!$S18</f>
        <v>19.899999999999999</v>
      </c>
      <c r="Q12" s="12">
        <f>'[7]Dia 16 (a)'!$S18</f>
        <v>20.3</v>
      </c>
      <c r="R12" s="12">
        <f>'[7]Dia 17 (a)'!$S18</f>
        <v>20.6</v>
      </c>
      <c r="S12" s="12">
        <f>'[7]Dia 18 (a)'!$S18</f>
        <v>20.7</v>
      </c>
      <c r="T12" s="12">
        <f>'[7]Dia 19 (a)'!$S18</f>
        <v>20.7</v>
      </c>
      <c r="U12" s="12">
        <f>'[7]Dia 20 (a)'!$S18</f>
        <v>21</v>
      </c>
      <c r="V12" s="12">
        <f>'[7]Dia 21 (a)'!$S18</f>
        <v>21.1</v>
      </c>
      <c r="W12" s="12">
        <f>'[7]Dia 22 (a)'!$S18</f>
        <v>20.6</v>
      </c>
      <c r="X12" s="12">
        <f>'[7]Dia 23 (a)'!$S18</f>
        <v>20.7</v>
      </c>
      <c r="Y12" s="12">
        <f>'[7]Dia 24 (a)'!$S18</f>
        <v>20.7</v>
      </c>
      <c r="Z12" s="12">
        <f>'[7]Dia 25 (a)'!$S18</f>
        <v>20.6</v>
      </c>
      <c r="AA12" s="12">
        <f>'[7]Dia 26 (a)'!$S18</f>
        <v>20.7</v>
      </c>
      <c r="AB12" s="12">
        <f>'[7]Dia 27 (a)'!$S18</f>
        <v>21.1</v>
      </c>
      <c r="AC12" s="12">
        <f>'[7]Dia 28 (a)'!$S18</f>
        <v>21</v>
      </c>
      <c r="AD12" s="12">
        <f>'[7]Dia 29 (a)'!$S18</f>
        <v>20.6</v>
      </c>
      <c r="AE12" s="12">
        <f>'[7]Dia 30 (a)'!$S18</f>
        <v>18.8</v>
      </c>
      <c r="AF12" s="13">
        <f>'[7]Dia 31 (a)'!$S18</f>
        <v>18.600000000000001</v>
      </c>
      <c r="AG12" s="14"/>
    </row>
    <row r="13" spans="1:33" ht="20.100000000000001" customHeight="1">
      <c r="A13" s="11">
        <v>16</v>
      </c>
      <c r="B13" s="12">
        <f>'[7]Dia 1 (a)'!$S19</f>
        <v>18.8</v>
      </c>
      <c r="C13" s="12">
        <f>'[7]Dia 2 (a)'!$S19</f>
        <v>18.8</v>
      </c>
      <c r="D13" s="12">
        <f>'[7]Dia 3 (a)'!$S19</f>
        <v>19.600000000000001</v>
      </c>
      <c r="E13" s="12">
        <f>'[7]Dia 4 (a)'!$S19</f>
        <v>19.600000000000001</v>
      </c>
      <c r="F13" s="12">
        <f>'[7]Dia 5 (a)'!$S19</f>
        <v>19.7</v>
      </c>
      <c r="G13" s="12">
        <f>'[7]Dia 6 (a)'!$S19</f>
        <v>19.399999999999999</v>
      </c>
      <c r="H13" s="12">
        <f>'[7]Dia 7 (a)'!$S19</f>
        <v>19.399999999999999</v>
      </c>
      <c r="I13" s="12">
        <f>'[7]Dia 8 (a)'!$S19</f>
        <v>19.2</v>
      </c>
      <c r="J13" s="12">
        <f>'[7]Dia 9 (a)'!$S19</f>
        <v>19.5</v>
      </c>
      <c r="K13" s="12">
        <f>'[7]Dia 10 (a)'!$S19</f>
        <v>19.8</v>
      </c>
      <c r="L13" s="12">
        <f>'[7]Dia 11 (a)'!$S19</f>
        <v>19.8</v>
      </c>
      <c r="M13" s="12">
        <f>'[7]Dia 12 (a)'!$S19</f>
        <v>20.3</v>
      </c>
      <c r="N13" s="12">
        <f>'[7]Dia 13 (a)'!$S19</f>
        <v>20</v>
      </c>
      <c r="O13" s="12">
        <f>'[7]Dia 14 (a)'!$S19</f>
        <v>19.8</v>
      </c>
      <c r="P13" s="12">
        <f>'[7]Dia 15 (a)'!$S19</f>
        <v>20</v>
      </c>
      <c r="Q13" s="12">
        <f>'[7]Dia 16 (a)'!$S19</f>
        <v>20.399999999999999</v>
      </c>
      <c r="R13" s="12">
        <f>'[7]Dia 17 (a)'!$S19</f>
        <v>20.8</v>
      </c>
      <c r="S13" s="12">
        <f>'[7]Dia 18 (a)'!$S19</f>
        <v>20.7</v>
      </c>
      <c r="T13" s="12">
        <f>'[7]Dia 19 (a)'!$S19</f>
        <v>20.7</v>
      </c>
      <c r="U13" s="12">
        <f>'[7]Dia 20 (a)'!$S19</f>
        <v>21.3</v>
      </c>
      <c r="V13" s="12">
        <f>'[7]Dia 21 (a)'!$S19</f>
        <v>21.2</v>
      </c>
      <c r="W13" s="12">
        <f>'[7]Dia 22 (a)'!$S19</f>
        <v>21</v>
      </c>
      <c r="X13" s="12">
        <f>'[7]Dia 23 (a)'!$S19</f>
        <v>20.8</v>
      </c>
      <c r="Y13" s="12">
        <f>'[7]Dia 24 (a)'!$S19</f>
        <v>20.7</v>
      </c>
      <c r="Z13" s="12">
        <f>'[7]Dia 25 (a)'!$S19</f>
        <v>20.6</v>
      </c>
      <c r="AA13" s="12">
        <f>'[7]Dia 26 (a)'!$S19</f>
        <v>20.6</v>
      </c>
      <c r="AB13" s="12">
        <f>'[7]Dia 27 (a)'!$S19</f>
        <v>21.2</v>
      </c>
      <c r="AC13" s="12">
        <f>'[7]Dia 28 (a)'!$S19</f>
        <v>21.1</v>
      </c>
      <c r="AD13" s="12">
        <f>'[7]Dia 29 (a)'!$S19</f>
        <v>20.399999999999999</v>
      </c>
      <c r="AE13" s="12">
        <f>'[7]Dia 30 (a)'!$S19</f>
        <v>18.8</v>
      </c>
      <c r="AF13" s="13">
        <f>'[7]Dia 31 (a)'!$S19</f>
        <v>18.8</v>
      </c>
      <c r="AG13" s="14"/>
    </row>
    <row r="14" spans="1:33" ht="20.100000000000001" customHeight="1">
      <c r="A14" s="11">
        <v>17</v>
      </c>
      <c r="B14" s="12">
        <f>'[7]Dia 1 (a)'!$S20</f>
        <v>18.899999999999999</v>
      </c>
      <c r="C14" s="12">
        <f>'[7]Dia 2 (a)'!$S20</f>
        <v>19</v>
      </c>
      <c r="D14" s="12">
        <f>'[7]Dia 3 (a)'!$S20</f>
        <v>19.600000000000001</v>
      </c>
      <c r="E14" s="12">
        <f>'[7]Dia 4 (a)'!$S20</f>
        <v>19.8</v>
      </c>
      <c r="F14" s="12">
        <f>'[7]Dia 5 (a)'!$S20</f>
        <v>19.8</v>
      </c>
      <c r="G14" s="12">
        <f>'[7]Dia 6 (a)'!$S20</f>
        <v>19.5</v>
      </c>
      <c r="H14" s="12">
        <f>'[7]Dia 7 (a)'!$S20</f>
        <v>19.399999999999999</v>
      </c>
      <c r="I14" s="12">
        <f>'[7]Dia 8 (a)'!$S20</f>
        <v>19.399999999999999</v>
      </c>
      <c r="J14" s="12">
        <f>'[7]Dia 9 (a)'!$S20</f>
        <v>19.7</v>
      </c>
      <c r="K14" s="12">
        <f>'[7]Dia 10 (a)'!$S20</f>
        <v>20</v>
      </c>
      <c r="L14" s="12">
        <f>'[7]Dia 11 (a)'!$S20</f>
        <v>20</v>
      </c>
      <c r="M14" s="12">
        <f>'[7]Dia 12 (a)'!$S20</f>
        <v>20.3</v>
      </c>
      <c r="N14" s="12">
        <f>'[7]Dia 13 (a)'!$S20</f>
        <v>20</v>
      </c>
      <c r="O14" s="12">
        <f>'[7]Dia 14 (a)'!$S20</f>
        <v>20</v>
      </c>
      <c r="P14" s="12">
        <f>'[7]Dia 15 (a)'!$S20</f>
        <v>20</v>
      </c>
      <c r="Q14" s="12">
        <f>'[7]Dia 16 (a)'!$S20</f>
        <v>20.399999999999999</v>
      </c>
      <c r="R14" s="12">
        <f>'[7]Dia 17 (a)'!$S20</f>
        <v>20.8</v>
      </c>
      <c r="S14" s="12">
        <f>'[7]Dia 18 (a)'!$S20</f>
        <v>20.7</v>
      </c>
      <c r="T14" s="12">
        <f>'[7]Dia 19 (a)'!$S20</f>
        <v>21.1</v>
      </c>
      <c r="U14" s="12">
        <f>'[7]Dia 20 (a)'!$S20</f>
        <v>21.3</v>
      </c>
      <c r="V14" s="12">
        <f>'[7]Dia 21 (a)'!$S20</f>
        <v>21.3</v>
      </c>
      <c r="W14" s="12">
        <f>'[7]Dia 22 (a)'!$S20</f>
        <v>21.2</v>
      </c>
      <c r="X14" s="12">
        <f>'[7]Dia 23 (a)'!$S20</f>
        <v>21</v>
      </c>
      <c r="Y14" s="12">
        <f>'[7]Dia 24 (a)'!$S20</f>
        <v>20.9</v>
      </c>
      <c r="Z14" s="12">
        <f>'[7]Dia 25 (a)'!$S20</f>
        <v>20.6</v>
      </c>
      <c r="AA14" s="12">
        <f>'[7]Dia 26 (a)'!$S20</f>
        <v>20.6</v>
      </c>
      <c r="AB14" s="12">
        <f>'[7]Dia 27 (a)'!$S20</f>
        <v>21.3</v>
      </c>
      <c r="AC14" s="12">
        <f>'[7]Dia 28 (a)'!$S20</f>
        <v>21.2</v>
      </c>
      <c r="AD14" s="12">
        <f>'[7]Dia 29 (a)'!$S20</f>
        <v>20.399999999999999</v>
      </c>
      <c r="AE14" s="12">
        <f>'[7]Dia 30 (a)'!$S20</f>
        <v>18.8</v>
      </c>
      <c r="AF14" s="13">
        <f>'[7]Dia 31 (a)'!$S20</f>
        <v>19</v>
      </c>
      <c r="AG14" s="14"/>
    </row>
    <row r="15" spans="1:33" ht="20.100000000000001" customHeight="1">
      <c r="A15" s="11">
        <v>18</v>
      </c>
      <c r="B15" s="12">
        <f>'[7]Dia 1 (a)'!$S21</f>
        <v>19</v>
      </c>
      <c r="C15" s="12">
        <f>'[7]Dia 2 (a)'!$S21</f>
        <v>19.100000000000001</v>
      </c>
      <c r="D15" s="12">
        <f>'[7]Dia 3 (a)'!$S21</f>
        <v>19.8</v>
      </c>
      <c r="E15" s="12">
        <f>'[7]Dia 4 (a)'!$S21</f>
        <v>19.600000000000001</v>
      </c>
      <c r="F15" s="12">
        <f>'[7]Dia 5 (a)'!$S21</f>
        <v>20</v>
      </c>
      <c r="G15" s="12">
        <f>'[7]Dia 6 (a)'!$S21</f>
        <v>19.600000000000001</v>
      </c>
      <c r="H15" s="12">
        <f>'[7]Dia 7 (a)'!$S21</f>
        <v>19.600000000000001</v>
      </c>
      <c r="I15" s="12">
        <f>'[7]Dia 8 (a)'!$S21</f>
        <v>19.399999999999999</v>
      </c>
      <c r="J15" s="12">
        <f>'[7]Dia 9 (a)'!$S21</f>
        <v>19.8</v>
      </c>
      <c r="K15" s="12">
        <f>'[7]Dia 10 (a)'!$S21</f>
        <v>20.100000000000001</v>
      </c>
      <c r="L15" s="12">
        <f>'[7]Dia 11 (a)'!$S21</f>
        <v>20.100000000000001</v>
      </c>
      <c r="M15" s="12">
        <f>'[7]Dia 12 (a)'!$S21</f>
        <v>20.399999999999999</v>
      </c>
      <c r="N15" s="12">
        <f>'[7]Dia 13 (a)'!$S21</f>
        <v>19.899999999999999</v>
      </c>
      <c r="O15" s="12">
        <f>'[7]Dia 14 (a)'!$S21</f>
        <v>20.100000000000001</v>
      </c>
      <c r="P15" s="12">
        <f>'[7]Dia 15 (a)'!$S21</f>
        <v>20.2</v>
      </c>
      <c r="Q15" s="12">
        <f>'[7]Dia 16 (a)'!$S21</f>
        <v>20.6</v>
      </c>
      <c r="R15" s="12">
        <f>'[7]Dia 17 (a)'!$S21</f>
        <v>21</v>
      </c>
      <c r="S15" s="12">
        <f>'[7]Dia 18 (a)'!$S21</f>
        <v>20.7</v>
      </c>
      <c r="T15" s="12">
        <f>'[7]Dia 19 (a)'!$S21</f>
        <v>21.2</v>
      </c>
      <c r="U15" s="12">
        <f>'[7]Dia 20 (a)'!$S21</f>
        <v>21.4</v>
      </c>
      <c r="V15" s="12">
        <f>'[7]Dia 21 (a)'!$S21</f>
        <v>21.5</v>
      </c>
      <c r="W15" s="12">
        <f>'[7]Dia 22 (a)'!$S21</f>
        <v>21.4</v>
      </c>
      <c r="X15" s="12">
        <f>'[7]Dia 23 (a)'!$S21</f>
        <v>21.2</v>
      </c>
      <c r="Y15" s="12">
        <f>'[7]Dia 24 (a)'!$S21</f>
        <v>21</v>
      </c>
      <c r="Z15" s="12">
        <f>'[7]Dia 25 (a)'!$S21</f>
        <v>20.6</v>
      </c>
      <c r="AA15" s="12">
        <f>'[7]Dia 26 (a)'!$S21</f>
        <v>20.8</v>
      </c>
      <c r="AB15" s="12">
        <f>'[7]Dia 27 (a)'!$S21</f>
        <v>21.4</v>
      </c>
      <c r="AC15" s="12">
        <f>'[7]Dia 28 (a)'!$S21</f>
        <v>21.4</v>
      </c>
      <c r="AD15" s="12">
        <f>'[7]Dia 29 (a)'!$S21</f>
        <v>20.399999999999999</v>
      </c>
      <c r="AE15" s="12">
        <f>'[7]Dia 30 (a)'!$S21</f>
        <v>18.8</v>
      </c>
      <c r="AF15" s="13">
        <f>'[7]Dia 31 (a)'!$S21</f>
        <v>18.2</v>
      </c>
      <c r="AG15" s="14"/>
    </row>
    <row r="16" spans="1:33" ht="20.100000000000001" customHeight="1">
      <c r="A16" s="11">
        <v>19</v>
      </c>
      <c r="B16" s="12">
        <f>'[7]Dia 1 (a)'!$S22</f>
        <v>19.2</v>
      </c>
      <c r="C16" s="12">
        <f>'[7]Dia 2 (a)'!$S22</f>
        <v>19.3</v>
      </c>
      <c r="D16" s="12">
        <f>'[7]Dia 3 (a)'!$S22</f>
        <v>20</v>
      </c>
      <c r="E16" s="12">
        <f>'[7]Dia 4 (a)'!$S22</f>
        <v>19.600000000000001</v>
      </c>
      <c r="F16" s="12">
        <f>'[7]Dia 5 (a)'!$S22</f>
        <v>20.100000000000001</v>
      </c>
      <c r="G16" s="12">
        <f>'[7]Dia 6 (a)'!$S22</f>
        <v>19.8</v>
      </c>
      <c r="H16" s="12">
        <f>'[7]Dia 7 (a)'!$S22</f>
        <v>19.8</v>
      </c>
      <c r="I16" s="12">
        <f>'[7]Dia 8 (a)'!$S22</f>
        <v>19.600000000000001</v>
      </c>
      <c r="J16" s="12">
        <f>'[7]Dia 9 (a)'!$S22</f>
        <v>19.899999999999999</v>
      </c>
      <c r="K16" s="12">
        <f>'[7]Dia 10 (a)'!$S22</f>
        <v>20.2</v>
      </c>
      <c r="L16" s="12">
        <f>'[7]Dia 11 (a)'!$S22</f>
        <v>20.3</v>
      </c>
      <c r="M16" s="12">
        <f>'[7]Dia 12 (a)'!$S22</f>
        <v>20.5</v>
      </c>
      <c r="N16" s="12">
        <f>'[7]Dia 13 (a)'!$S22</f>
        <v>19.899999999999999</v>
      </c>
      <c r="O16" s="12">
        <f>'[7]Dia 14 (a)'!$S22</f>
        <v>20.2</v>
      </c>
      <c r="P16" s="12">
        <f>'[7]Dia 15 (a)'!$S22</f>
        <v>20.399999999999999</v>
      </c>
      <c r="Q16" s="12">
        <f>'[7]Dia 16 (a)'!$S22</f>
        <v>20.7</v>
      </c>
      <c r="R16" s="12">
        <f>'[7]Dia 17 (a)'!$S22</f>
        <v>21.2</v>
      </c>
      <c r="S16" s="12">
        <f>'[7]Dia 18 (a)'!$S22</f>
        <v>20.9</v>
      </c>
      <c r="T16" s="12">
        <f>'[7]Dia 19 (a)'!$S22</f>
        <v>21.5</v>
      </c>
      <c r="U16" s="12">
        <f>'[7]Dia 20 (a)'!$S22</f>
        <v>21.5</v>
      </c>
      <c r="V16" s="12">
        <f>'[7]Dia 21 (a)'!$S22</f>
        <v>21.2</v>
      </c>
      <c r="W16" s="12">
        <f>'[7]Dia 22 (a)'!$S22</f>
        <v>21.5</v>
      </c>
      <c r="X16" s="12">
        <f>'[7]Dia 23 (a)'!$S22</f>
        <v>21.4</v>
      </c>
      <c r="Y16" s="12">
        <f>'[7]Dia 24 (a)'!$S22</f>
        <v>21.5</v>
      </c>
      <c r="Z16" s="12">
        <f>'[7]Dia 25 (a)'!$S22</f>
        <v>20.6</v>
      </c>
      <c r="AA16" s="12">
        <f>'[7]Dia 26 (a)'!$S22</f>
        <v>21</v>
      </c>
      <c r="AB16" s="12">
        <f>'[7]Dia 27 (a)'!$S22</f>
        <v>21.6</v>
      </c>
      <c r="AC16" s="12">
        <f>'[7]Dia 28 (a)'!$S22</f>
        <v>21.6</v>
      </c>
      <c r="AD16" s="12">
        <f>'[7]Dia 29 (a)'!$S22</f>
        <v>20.2</v>
      </c>
      <c r="AE16" s="12">
        <f>'[7]Dia 30 (a)'!$S22</f>
        <v>19</v>
      </c>
      <c r="AF16" s="13">
        <f>'[7]Dia 31 (a)'!$S22</f>
        <v>18.600000000000001</v>
      </c>
      <c r="AG16" s="14"/>
    </row>
    <row r="17" spans="1:33" ht="20.100000000000001" customHeight="1">
      <c r="A17" s="11">
        <v>20</v>
      </c>
      <c r="B17" s="12">
        <f>'[7]Dia 1 (a)'!$S23</f>
        <v>19.3</v>
      </c>
      <c r="C17" s="12">
        <f>'[7]Dia 2 (a)'!$S23</f>
        <v>19.399999999999999</v>
      </c>
      <c r="D17" s="12">
        <f>'[7]Dia 3 (a)'!$S23</f>
        <v>20</v>
      </c>
      <c r="E17" s="12">
        <f>'[7]Dia 4 (a)'!$S23</f>
        <v>20.2</v>
      </c>
      <c r="F17" s="12">
        <f>'[7]Dia 5 (a)'!$S23</f>
        <v>20.3</v>
      </c>
      <c r="G17" s="12">
        <f>'[7]Dia 6 (a)'!$S23</f>
        <v>19.899999999999999</v>
      </c>
      <c r="H17" s="12">
        <f>'[7]Dia 7 (a)'!$S23</f>
        <v>19.899999999999999</v>
      </c>
      <c r="I17" s="12">
        <f>'[7]Dia 8 (a)'!$S23</f>
        <v>19.600000000000001</v>
      </c>
      <c r="J17" s="12">
        <f>'[7]Dia 9 (a)'!$S23</f>
        <v>20</v>
      </c>
      <c r="K17" s="12">
        <f>'[7]Dia 10 (a)'!$S23</f>
        <v>20.2</v>
      </c>
      <c r="L17" s="12">
        <f>'[7]Dia 11 (a)'!$S23</f>
        <v>20.399999999999999</v>
      </c>
      <c r="M17" s="12">
        <f>'[7]Dia 12 (a)'!$S23</f>
        <v>20.7</v>
      </c>
      <c r="N17" s="12">
        <f>'[7]Dia 13 (a)'!$S23</f>
        <v>19.899999999999999</v>
      </c>
      <c r="O17" s="12">
        <f>'[7]Dia 14 (a)'!$S23</f>
        <v>20.399999999999999</v>
      </c>
      <c r="P17" s="12">
        <f>'[7]Dia 15 (a)'!$S23</f>
        <v>20.6</v>
      </c>
      <c r="Q17" s="12">
        <f>'[7]Dia 16 (a)'!$S23</f>
        <v>20.9</v>
      </c>
      <c r="R17" s="12">
        <f>'[7]Dia 17 (a)'!$S23</f>
        <v>21.4</v>
      </c>
      <c r="S17" s="12">
        <f>'[7]Dia 18 (a)'!$S23</f>
        <v>20.9</v>
      </c>
      <c r="T17" s="12">
        <f>'[7]Dia 19 (a)'!$S23</f>
        <v>21.5</v>
      </c>
      <c r="U17" s="12">
        <f>'[7]Dia 20 (a)'!$S23</f>
        <v>21.6</v>
      </c>
      <c r="V17" s="12">
        <f>'[7]Dia 21 (a)'!$S23</f>
        <v>21.8</v>
      </c>
      <c r="W17" s="12">
        <f>'[7]Dia 22 (a)'!$S23</f>
        <v>21.6</v>
      </c>
      <c r="X17" s="12">
        <f>'[7]Dia 23 (a)'!$S23</f>
        <v>21.5</v>
      </c>
      <c r="Y17" s="12">
        <f>'[7]Dia 24 (a)'!$S23</f>
        <v>21.4</v>
      </c>
      <c r="Z17" s="12">
        <f>'[7]Dia 25 (a)'!$S23</f>
        <v>20.6</v>
      </c>
      <c r="AA17" s="12">
        <f>'[7]Dia 26 (a)'!$S23</f>
        <v>21</v>
      </c>
      <c r="AB17" s="12">
        <f>'[7]Dia 27 (a)'!$S23</f>
        <v>21.7</v>
      </c>
      <c r="AC17" s="12">
        <f>'[7]Dia 28 (a)'!$S23</f>
        <v>21.8</v>
      </c>
      <c r="AD17" s="12">
        <f>'[7]Dia 29 (a)'!$S23</f>
        <v>20.2</v>
      </c>
      <c r="AE17" s="12">
        <f>'[7]Dia 30 (a)'!$S23</f>
        <v>19</v>
      </c>
      <c r="AF17" s="13">
        <f>'[7]Dia 31 (a)'!$S23</f>
        <v>19.2</v>
      </c>
      <c r="AG17" s="14"/>
    </row>
    <row r="18" spans="1:33" ht="20.100000000000001" customHeight="1">
      <c r="A18" s="11">
        <v>21</v>
      </c>
      <c r="B18" s="12">
        <f>'[7]Dia 1 (a)'!$S24</f>
        <v>19.399999999999999</v>
      </c>
      <c r="C18" s="12">
        <f>'[7]Dia 2 (a)'!$S24</f>
        <v>19.600000000000001</v>
      </c>
      <c r="D18" s="12">
        <f>'[7]Dia 3 (a)'!$S24</f>
        <v>20.100000000000001</v>
      </c>
      <c r="E18" s="12">
        <f>'[7]Dia 4 (a)'!$S24</f>
        <v>20.3</v>
      </c>
      <c r="F18" s="12">
        <f>'[7]Dia 5 (a)'!$S24</f>
        <v>20.3</v>
      </c>
      <c r="G18" s="12">
        <f>'[7]Dia 6 (a)'!$S24</f>
        <v>19.899999999999999</v>
      </c>
      <c r="H18" s="12">
        <f>'[7]Dia 7 (a)'!$S24</f>
        <v>20</v>
      </c>
      <c r="I18" s="12">
        <f>'[7]Dia 8 (a)'!$S24</f>
        <v>19.399999999999999</v>
      </c>
      <c r="J18" s="12">
        <f>'[7]Dia 9 (a)'!$S24</f>
        <v>20.2</v>
      </c>
      <c r="K18" s="12">
        <f>'[7]Dia 10 (a)'!$S24</f>
        <v>20.399999999999999</v>
      </c>
      <c r="L18" s="12">
        <f>'[7]Dia 11 (a)'!$S24</f>
        <v>20.399999999999999</v>
      </c>
      <c r="M18" s="12">
        <f>'[7]Dia 12 (a)'!$S24</f>
        <v>20.7</v>
      </c>
      <c r="N18" s="12">
        <f>'[7]Dia 13 (a)'!$S24</f>
        <v>19.899999999999999</v>
      </c>
      <c r="O18" s="12">
        <f>'[7]Dia 14 (a)'!$S24</f>
        <v>20.5</v>
      </c>
      <c r="P18" s="12">
        <f>'[7]Dia 15 (a)'!$S24</f>
        <v>20.6</v>
      </c>
      <c r="Q18" s="12">
        <f>'[7]Dia 16 (a)'!$S24</f>
        <v>21</v>
      </c>
      <c r="R18" s="12">
        <f>'[7]Dia 17 (a)'!$S24</f>
        <v>21.4</v>
      </c>
      <c r="S18" s="12">
        <f>'[7]Dia 18 (a)'!$S24</f>
        <v>21</v>
      </c>
      <c r="T18" s="12">
        <f>'[7]Dia 19 (a)'!$S24</f>
        <v>21.6</v>
      </c>
      <c r="U18" s="12">
        <f>'[7]Dia 20 (a)'!$S24</f>
        <v>21.7</v>
      </c>
      <c r="V18" s="12">
        <f>'[7]Dia 21 (a)'!$S24</f>
        <v>21.9</v>
      </c>
      <c r="W18" s="12">
        <f>'[7]Dia 22 (a)'!$S24</f>
        <v>21.7</v>
      </c>
      <c r="X18" s="12">
        <f>'[7]Dia 23 (a)'!$S24</f>
        <v>21.6</v>
      </c>
      <c r="Y18" s="12">
        <f>'[7]Dia 24 (a)'!$S24</f>
        <v>21.2</v>
      </c>
      <c r="Z18" s="12">
        <f>'[7]Dia 25 (a)'!$S24</f>
        <v>21.2</v>
      </c>
      <c r="AA18" s="12">
        <f>'[7]Dia 26 (a)'!$S24</f>
        <v>21</v>
      </c>
      <c r="AB18" s="12">
        <f>'[7]Dia 27 (a)'!$S24</f>
        <v>21.8</v>
      </c>
      <c r="AC18" s="12">
        <f>'[7]Dia 28 (a)'!$S24</f>
        <v>21.8</v>
      </c>
      <c r="AD18" s="12">
        <f>'[7]Dia 29 (a)'!$S24</f>
        <v>20.2</v>
      </c>
      <c r="AE18" s="12">
        <f>'[7]Dia 30 (a)'!$S24</f>
        <v>19</v>
      </c>
      <c r="AF18" s="13">
        <f>'[7]Dia 31 (a)'!$S24</f>
        <v>19.2</v>
      </c>
      <c r="AG18" s="14"/>
    </row>
    <row r="19" spans="1:33" ht="20.100000000000001" customHeight="1">
      <c r="A19" s="11">
        <v>22</v>
      </c>
      <c r="B19" s="12">
        <f>'[7]Dia 1 (a)'!$S25</f>
        <v>19.399999999999999</v>
      </c>
      <c r="C19" s="12">
        <f>'[7]Dia 2 (a)'!$S25</f>
        <v>19.600000000000001</v>
      </c>
      <c r="D19" s="12">
        <f>'[7]Dia 3 (a)'!$S25</f>
        <v>20</v>
      </c>
      <c r="E19" s="12">
        <f>'[7]Dia 4 (a)'!$S25</f>
        <v>20.2</v>
      </c>
      <c r="F19" s="12">
        <f>'[7]Dia 5 (a)'!$S25</f>
        <v>20.399999999999999</v>
      </c>
      <c r="G19" s="12">
        <f>'[7]Dia 6 (a)'!$S25</f>
        <v>19.899999999999999</v>
      </c>
      <c r="H19" s="12">
        <f>'[7]Dia 7 (a)'!$S25</f>
        <v>20</v>
      </c>
      <c r="I19" s="12">
        <f>'[7]Dia 8 (a)'!$S25</f>
        <v>19.399999999999999</v>
      </c>
      <c r="J19" s="12">
        <f>'[7]Dia 9 (a)'!$S25</f>
        <v>20.2</v>
      </c>
      <c r="K19" s="12">
        <f>'[7]Dia 10 (a)'!$S25</f>
        <v>20.5</v>
      </c>
      <c r="L19" s="12">
        <f>'[7]Dia 11 (a)'!$S25</f>
        <v>20.6</v>
      </c>
      <c r="M19" s="12">
        <f>'[7]Dia 12 (a)'!$S25</f>
        <v>20.7</v>
      </c>
      <c r="N19" s="12">
        <f>'[7]Dia 13 (a)'!$S25</f>
        <v>19.899999999999999</v>
      </c>
      <c r="O19" s="12">
        <f>'[7]Dia 14 (a)'!$S25</f>
        <v>20.6</v>
      </c>
      <c r="P19" s="12">
        <f>'[7]Dia 15 (a)'!$S25</f>
        <v>20.6</v>
      </c>
      <c r="Q19" s="12">
        <f>'[7]Dia 16 (a)'!$S25</f>
        <v>21.1</v>
      </c>
      <c r="R19" s="12">
        <f>'[7]Dia 17 (a)'!$S25</f>
        <v>21.5</v>
      </c>
      <c r="S19" s="12">
        <f>'[7]Dia 18 (a)'!$S25</f>
        <v>21</v>
      </c>
      <c r="T19" s="12">
        <f>'[7]Dia 19 (a)'!$S25</f>
        <v>21.5</v>
      </c>
      <c r="U19" s="12">
        <f>'[7]Dia 20 (a)'!$S25</f>
        <v>21.7</v>
      </c>
      <c r="V19" s="12">
        <f>'[7]Dia 21 (a)'!$S25</f>
        <v>21.9</v>
      </c>
      <c r="W19" s="12">
        <f>'[7]Dia 22 (a)'!$S25</f>
        <v>21.8</v>
      </c>
      <c r="X19" s="12">
        <f>'[7]Dia 23 (a)'!$S25</f>
        <v>21.7</v>
      </c>
      <c r="Y19" s="12">
        <f>'[7]Dia 24 (a)'!$S25</f>
        <v>21.5</v>
      </c>
      <c r="Z19" s="12">
        <f>'[7]Dia 25 (a)'!$S25</f>
        <v>21.2</v>
      </c>
      <c r="AA19" s="12">
        <f>'[7]Dia 26 (a)'!$S25</f>
        <v>21</v>
      </c>
      <c r="AB19" s="12">
        <f>'[7]Dia 27 (a)'!$S25</f>
        <v>21.8</v>
      </c>
      <c r="AC19" s="12">
        <f>'[7]Dia 28 (a)'!$S25</f>
        <v>21.8</v>
      </c>
      <c r="AD19" s="12">
        <f>'[7]Dia 29 (a)'!$S25</f>
        <v>20</v>
      </c>
      <c r="AE19" s="12">
        <f>'[7]Dia 30 (a)'!$S25</f>
        <v>19</v>
      </c>
      <c r="AF19" s="13">
        <f>'[7]Dia 31 (a)'!$S25</f>
        <v>19.399999999999999</v>
      </c>
      <c r="AG19" s="14"/>
    </row>
    <row r="20" spans="1:33" ht="20.100000000000001" customHeight="1">
      <c r="A20" s="11">
        <v>23</v>
      </c>
      <c r="B20" s="12">
        <f>'[7]Dia 1 (a)'!$S26</f>
        <v>19.5</v>
      </c>
      <c r="C20" s="12">
        <f>'[7]Dia 2 (a)'!$S26</f>
        <v>19.8</v>
      </c>
      <c r="D20" s="12">
        <f>'[7]Dia 3 (a)'!$S26</f>
        <v>20.2</v>
      </c>
      <c r="E20" s="12">
        <f>'[7]Dia 4 (a)'!$S26</f>
        <v>20.2</v>
      </c>
      <c r="F20" s="12">
        <f>'[7]Dia 5 (a)'!$S26</f>
        <v>20.399999999999999</v>
      </c>
      <c r="G20" s="12">
        <f>'[7]Dia 6 (a)'!$S26</f>
        <v>20</v>
      </c>
      <c r="H20" s="12">
        <f>'[7]Dia 7 (a)'!$S26</f>
        <v>20.100000000000001</v>
      </c>
      <c r="I20" s="12">
        <f>'[7]Dia 8 (a)'!$S26</f>
        <v>19.399999999999999</v>
      </c>
      <c r="J20" s="12">
        <f>'[7]Dia 9 (a)'!$S26</f>
        <v>20.3</v>
      </c>
      <c r="K20" s="12">
        <f>'[7]Dia 10 (a)'!$S26</f>
        <v>20.5</v>
      </c>
      <c r="L20" s="12">
        <f>'[7]Dia 11 (a)'!$S26</f>
        <v>20.6</v>
      </c>
      <c r="M20" s="12">
        <f>'[7]Dia 12 (a)'!$S26</f>
        <v>20.7</v>
      </c>
      <c r="N20" s="12">
        <f>'[7]Dia 13 (a)'!$S26</f>
        <v>19.899999999999999</v>
      </c>
      <c r="O20" s="12">
        <f>'[7]Dia 14 (a)'!$S26</f>
        <v>20.6</v>
      </c>
      <c r="P20" s="12">
        <f>'[7]Dia 15 (a)'!$S26</f>
        <v>20.6</v>
      </c>
      <c r="Q20" s="12">
        <f>'[7]Dia 16 (a)'!$S26</f>
        <v>21.1</v>
      </c>
      <c r="R20" s="12">
        <f>'[7]Dia 17 (a)'!$S26</f>
        <v>21.5</v>
      </c>
      <c r="S20" s="12">
        <f>'[7]Dia 18 (a)'!$S26</f>
        <v>21</v>
      </c>
      <c r="T20" s="12">
        <f>'[7]Dia 19 (a)'!$S26</f>
        <v>21.7</v>
      </c>
      <c r="U20" s="12">
        <f>'[7]Dia 20 (a)'!$S26</f>
        <v>21.7</v>
      </c>
      <c r="V20" s="12">
        <f>'[7]Dia 21 (a)'!$S26</f>
        <v>21.9</v>
      </c>
      <c r="W20" s="12">
        <f>'[7]Dia 22 (a)'!$S26</f>
        <v>21.8</v>
      </c>
      <c r="X20" s="12">
        <f>'[7]Dia 23 (a)'!$S26</f>
        <v>21.6</v>
      </c>
      <c r="Y20" s="12">
        <f>'[7]Dia 24 (a)'!$S26</f>
        <v>21.5</v>
      </c>
      <c r="Z20" s="12">
        <f>'[7]Dia 25 (a)'!$S26</f>
        <v>21.2</v>
      </c>
      <c r="AA20" s="12">
        <f>'[7]Dia 26 (a)'!$S26</f>
        <v>21</v>
      </c>
      <c r="AB20" s="12">
        <f>'[7]Dia 27 (a)'!$S26</f>
        <v>21.8</v>
      </c>
      <c r="AC20" s="12">
        <f>'[7]Dia 28 (a)'!$S26</f>
        <v>21.8</v>
      </c>
      <c r="AD20" s="12">
        <f>'[7]Dia 29 (a)'!$S26</f>
        <v>19.8</v>
      </c>
      <c r="AE20" s="12">
        <f>'[7]Dia 30 (a)'!$S26</f>
        <v>19</v>
      </c>
      <c r="AF20" s="13">
        <f>'[7]Dia 31 (a)'!$S26</f>
        <v>19.399999999999999</v>
      </c>
      <c r="AG20" s="14"/>
    </row>
    <row r="21" spans="1:33" ht="20.100000000000001" customHeight="1" thickBot="1">
      <c r="A21" s="16">
        <v>24</v>
      </c>
      <c r="B21" s="17">
        <f>'[7]Dia 1 (a)'!$S27</f>
        <v>19.5</v>
      </c>
      <c r="C21" s="17">
        <f>'[7]Dia 2 (a)'!$S27</f>
        <v>19.600000000000001</v>
      </c>
      <c r="D21" s="17">
        <f>'[7]Dia 3 (a)'!$S27</f>
        <v>20.2</v>
      </c>
      <c r="E21" s="17">
        <f>'[7]Dia 4 (a)'!$S27</f>
        <v>20.2</v>
      </c>
      <c r="F21" s="17">
        <f>'[7]Dia 5 (a)'!$S27</f>
        <v>20.3</v>
      </c>
      <c r="G21" s="17">
        <f>'[7]Dia 6 (a)'!$S27</f>
        <v>20</v>
      </c>
      <c r="H21" s="17">
        <f>'[7]Dia 7 (a)'!$S27</f>
        <v>20.100000000000001</v>
      </c>
      <c r="I21" s="17">
        <f>'[7]Dia 8 (a)'!$S27</f>
        <v>19.600000000000001</v>
      </c>
      <c r="J21" s="17">
        <f>'[7]Dia 9 (a)'!$S27</f>
        <v>20.3</v>
      </c>
      <c r="K21" s="17">
        <f>'[7]Dia 10 (a)'!$S27</f>
        <v>20.5</v>
      </c>
      <c r="L21" s="17">
        <f>'[7]Dia 11 (a)'!$S27</f>
        <v>20.399999999999999</v>
      </c>
      <c r="M21" s="17">
        <f>'[7]Dia 12 (a)'!$S27</f>
        <v>20.7</v>
      </c>
      <c r="N21" s="17">
        <f>'[7]Dia 13 (a)'!$S27</f>
        <v>19.7</v>
      </c>
      <c r="O21" s="17">
        <f>'[7]Dia 14 (a)'!$S27</f>
        <v>20.6</v>
      </c>
      <c r="P21" s="17">
        <f>'[7]Dia 15 (a)'!$S27</f>
        <v>20.6</v>
      </c>
      <c r="Q21" s="17">
        <f>'[7]Dia 16 (a)'!$S27</f>
        <v>21.1</v>
      </c>
      <c r="R21" s="17">
        <f>'[7]Dia 17 (a)'!$S27</f>
        <v>21.5</v>
      </c>
      <c r="S21" s="17">
        <f>'[7]Dia 18 (a)'!$S27</f>
        <v>20.9</v>
      </c>
      <c r="T21" s="17">
        <f>'[7]Dia 19 (a)'!$S27</f>
        <v>21.5</v>
      </c>
      <c r="U21" s="17">
        <f>'[7]Dia 20 (a)'!$S27</f>
        <v>21.7</v>
      </c>
      <c r="V21" s="17">
        <f>'[7]Dia 21 (a)'!$S27</f>
        <v>21.9</v>
      </c>
      <c r="W21" s="17">
        <f>'[7]Dia 22 (a)'!$S27</f>
        <v>21.7</v>
      </c>
      <c r="X21" s="17">
        <f>'[7]Dia 23 (a)'!$S27</f>
        <v>21.6</v>
      </c>
      <c r="Y21" s="17">
        <f>'[7]Dia 24 (a)'!$S27</f>
        <v>21.5</v>
      </c>
      <c r="Z21" s="17">
        <f>'[7]Dia 25 (a)'!$S27</f>
        <v>21.5</v>
      </c>
      <c r="AA21" s="17">
        <f>'[7]Dia 26 (a)'!$S27</f>
        <v>21</v>
      </c>
      <c r="AB21" s="17">
        <f>'[7]Dia 27 (a)'!$S27</f>
        <v>21.8</v>
      </c>
      <c r="AC21" s="17">
        <f>'[7]Dia 28 (a)'!$S27</f>
        <v>21.8</v>
      </c>
      <c r="AD21" s="17">
        <f>'[7]Dia 29 (a)'!$S27</f>
        <v>19.8</v>
      </c>
      <c r="AE21" s="17">
        <f>'[7]Dia 30 (a)'!$S27</f>
        <v>18.600000000000001</v>
      </c>
      <c r="AF21" s="18">
        <f>'[7]Dia 31 (a)'!$S27</f>
        <v>19.399999999999999</v>
      </c>
      <c r="AG21" s="14"/>
    </row>
    <row r="22" spans="1:33" ht="15.75" thickTop="1">
      <c r="A22" s="19"/>
      <c r="B22" s="20"/>
      <c r="C22" s="20"/>
      <c r="D22" s="20"/>
      <c r="E22" s="21" t="s">
        <v>14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18.983333333333331</v>
      </c>
      <c r="C25" s="28">
        <f t="shared" ref="C25:AF25" si="0">AVERAGE(C4:C21)</f>
        <v>19.144444444444449</v>
      </c>
      <c r="D25" s="28">
        <f t="shared" si="0"/>
        <v>19.733333333333334</v>
      </c>
      <c r="E25" s="28">
        <f>AVERAGE(E4:E11,E13:E21)</f>
        <v>19.835294117647056</v>
      </c>
      <c r="F25" s="28">
        <f t="shared" si="0"/>
        <v>19.922222222222221</v>
      </c>
      <c r="G25" s="28">
        <f t="shared" si="0"/>
        <v>19.599999999999998</v>
      </c>
      <c r="H25" s="28">
        <f t="shared" si="0"/>
        <v>19.416666666666671</v>
      </c>
      <c r="I25" s="28">
        <f t="shared" si="0"/>
        <v>19.45</v>
      </c>
      <c r="J25" s="28">
        <f t="shared" si="0"/>
        <v>19.655555555555555</v>
      </c>
      <c r="K25" s="28">
        <f t="shared" si="0"/>
        <v>19.844444444444445</v>
      </c>
      <c r="L25" s="28">
        <f t="shared" si="0"/>
        <v>19.999999999999996</v>
      </c>
      <c r="M25" s="28">
        <f t="shared" si="0"/>
        <v>20.211111111111112</v>
      </c>
      <c r="N25" s="28">
        <f t="shared" si="0"/>
        <v>20.011111111111106</v>
      </c>
      <c r="O25" s="28">
        <f t="shared" si="0"/>
        <v>19.788888888888891</v>
      </c>
      <c r="P25" s="28">
        <f t="shared" si="0"/>
        <v>20.172222222222231</v>
      </c>
      <c r="Q25" s="28">
        <f t="shared" si="0"/>
        <v>20.527777777777782</v>
      </c>
      <c r="R25" s="28">
        <f t="shared" si="0"/>
        <v>20.849999999999998</v>
      </c>
      <c r="S25" s="28">
        <f t="shared" si="0"/>
        <v>20.833333333333329</v>
      </c>
      <c r="T25" s="28">
        <f t="shared" si="0"/>
        <v>20.844444444444445</v>
      </c>
      <c r="U25" s="28">
        <f t="shared" si="0"/>
        <v>21.205555555555559</v>
      </c>
      <c r="V25" s="28">
        <f t="shared" si="0"/>
        <v>21.305555555555554</v>
      </c>
      <c r="W25" s="28">
        <f t="shared" si="0"/>
        <v>21.061111111111114</v>
      </c>
      <c r="X25" s="28">
        <f t="shared" si="0"/>
        <v>21.094444444444449</v>
      </c>
      <c r="Y25" s="28">
        <f t="shared" si="0"/>
        <v>20.955555555555552</v>
      </c>
      <c r="Z25" s="28">
        <f t="shared" si="0"/>
        <v>20.744444444444444</v>
      </c>
      <c r="AA25" s="28">
        <f t="shared" si="0"/>
        <v>20.766666666666666</v>
      </c>
      <c r="AB25" s="28">
        <f t="shared" si="0"/>
        <v>21.311111111111114</v>
      </c>
      <c r="AC25" s="28">
        <f t="shared" si="0"/>
        <v>21.305555555555557</v>
      </c>
      <c r="AD25" s="28">
        <f t="shared" si="0"/>
        <v>20.555555555555557</v>
      </c>
      <c r="AE25" s="28">
        <f t="shared" si="0"/>
        <v>18.861111111111114</v>
      </c>
      <c r="AF25" s="28">
        <f t="shared" si="0"/>
        <v>18.733333333333331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19.5</v>
      </c>
      <c r="C29" s="28">
        <f t="shared" ref="C29:AF29" si="1">MAX(C4:C21)</f>
        <v>19.8</v>
      </c>
      <c r="D29" s="28">
        <f t="shared" si="1"/>
        <v>20.2</v>
      </c>
      <c r="E29" s="28">
        <f t="shared" si="1"/>
        <v>20.3</v>
      </c>
      <c r="F29" s="28">
        <f t="shared" si="1"/>
        <v>20.399999999999999</v>
      </c>
      <c r="G29" s="28">
        <f t="shared" si="1"/>
        <v>20</v>
      </c>
      <c r="H29" s="28">
        <f t="shared" si="1"/>
        <v>20.100000000000001</v>
      </c>
      <c r="I29" s="28">
        <f t="shared" si="1"/>
        <v>19.600000000000001</v>
      </c>
      <c r="J29" s="28">
        <f t="shared" si="1"/>
        <v>20.3</v>
      </c>
      <c r="K29" s="28">
        <f t="shared" si="1"/>
        <v>20.5</v>
      </c>
      <c r="L29" s="28">
        <f t="shared" si="1"/>
        <v>20.6</v>
      </c>
      <c r="M29" s="28">
        <f t="shared" si="1"/>
        <v>20.7</v>
      </c>
      <c r="N29" s="28">
        <f t="shared" si="1"/>
        <v>20.399999999999999</v>
      </c>
      <c r="O29" s="28">
        <f t="shared" si="1"/>
        <v>20.6</v>
      </c>
      <c r="P29" s="28">
        <f t="shared" si="1"/>
        <v>20.6</v>
      </c>
      <c r="Q29" s="28">
        <f t="shared" si="1"/>
        <v>21.1</v>
      </c>
      <c r="R29" s="28">
        <f t="shared" si="1"/>
        <v>21.5</v>
      </c>
      <c r="S29" s="28">
        <f t="shared" si="1"/>
        <v>21</v>
      </c>
      <c r="T29" s="28">
        <f t="shared" si="1"/>
        <v>21.7</v>
      </c>
      <c r="U29" s="28">
        <f t="shared" si="1"/>
        <v>21.7</v>
      </c>
      <c r="V29" s="28">
        <f t="shared" si="1"/>
        <v>21.9</v>
      </c>
      <c r="W29" s="28">
        <f t="shared" si="1"/>
        <v>21.8</v>
      </c>
      <c r="X29" s="28">
        <f t="shared" si="1"/>
        <v>21.7</v>
      </c>
      <c r="Y29" s="28">
        <f t="shared" si="1"/>
        <v>21.5</v>
      </c>
      <c r="Z29" s="28">
        <f t="shared" si="1"/>
        <v>21.5</v>
      </c>
      <c r="AA29" s="28">
        <f t="shared" si="1"/>
        <v>21</v>
      </c>
      <c r="AB29" s="28">
        <f t="shared" si="1"/>
        <v>21.8</v>
      </c>
      <c r="AC29" s="28">
        <f t="shared" si="1"/>
        <v>21.8</v>
      </c>
      <c r="AD29" s="28">
        <f t="shared" si="1"/>
        <v>21.4</v>
      </c>
      <c r="AE29" s="28">
        <f t="shared" si="1"/>
        <v>19</v>
      </c>
      <c r="AF29" s="28">
        <f t="shared" si="1"/>
        <v>19.399999999999999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18.5</v>
      </c>
      <c r="C33" s="28">
        <f t="shared" ref="C33:AF33" si="2">MIN(C4:C21)</f>
        <v>18.8</v>
      </c>
      <c r="D33" s="28">
        <f t="shared" si="2"/>
        <v>19.399999999999999</v>
      </c>
      <c r="E33" s="28">
        <f>MIN(E4:E11,E13:E21)</f>
        <v>19.600000000000001</v>
      </c>
      <c r="F33" s="28">
        <f t="shared" si="2"/>
        <v>19.600000000000001</v>
      </c>
      <c r="G33" s="28">
        <f t="shared" si="2"/>
        <v>19.3</v>
      </c>
      <c r="H33" s="28">
        <f t="shared" si="2"/>
        <v>19</v>
      </c>
      <c r="I33" s="28">
        <f t="shared" si="2"/>
        <v>19.2</v>
      </c>
      <c r="J33" s="28">
        <f t="shared" si="2"/>
        <v>19.3</v>
      </c>
      <c r="K33" s="28">
        <f t="shared" si="2"/>
        <v>19.2</v>
      </c>
      <c r="L33" s="28">
        <f t="shared" si="2"/>
        <v>19.600000000000001</v>
      </c>
      <c r="M33" s="28">
        <f t="shared" si="2"/>
        <v>19.8</v>
      </c>
      <c r="N33" s="28">
        <f t="shared" si="2"/>
        <v>19.7</v>
      </c>
      <c r="O33" s="28">
        <f t="shared" si="2"/>
        <v>19</v>
      </c>
      <c r="P33" s="28">
        <f t="shared" si="2"/>
        <v>19.8</v>
      </c>
      <c r="Q33" s="28">
        <f t="shared" si="2"/>
        <v>20.100000000000001</v>
      </c>
      <c r="R33" s="28">
        <f t="shared" si="2"/>
        <v>20.399999999999999</v>
      </c>
      <c r="S33" s="28">
        <f t="shared" si="2"/>
        <v>20.7</v>
      </c>
      <c r="T33" s="28">
        <f t="shared" si="2"/>
        <v>20.2</v>
      </c>
      <c r="U33" s="28">
        <f t="shared" si="2"/>
        <v>20.6</v>
      </c>
      <c r="V33" s="28">
        <f t="shared" si="2"/>
        <v>20.9</v>
      </c>
      <c r="W33" s="28">
        <f t="shared" si="2"/>
        <v>20.6</v>
      </c>
      <c r="X33" s="28">
        <f t="shared" si="2"/>
        <v>20.7</v>
      </c>
      <c r="Y33" s="28">
        <f t="shared" si="2"/>
        <v>20.6</v>
      </c>
      <c r="Z33" s="28">
        <f t="shared" si="2"/>
        <v>20.5</v>
      </c>
      <c r="AA33" s="28">
        <f t="shared" si="2"/>
        <v>20.399999999999999</v>
      </c>
      <c r="AB33" s="28">
        <f t="shared" si="2"/>
        <v>21</v>
      </c>
      <c r="AC33" s="28">
        <f t="shared" si="2"/>
        <v>20.9</v>
      </c>
      <c r="AD33" s="28">
        <f t="shared" si="2"/>
        <v>19.8</v>
      </c>
      <c r="AE33" s="28">
        <f t="shared" si="2"/>
        <v>18.600000000000001</v>
      </c>
      <c r="AF33" s="28">
        <f t="shared" si="2"/>
        <v>18.2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1</v>
      </c>
      <c r="C37" s="28">
        <f t="shared" ref="C37:AF37" si="3">C29-C33</f>
        <v>1</v>
      </c>
      <c r="D37" s="28">
        <f t="shared" si="3"/>
        <v>0.80000000000000071</v>
      </c>
      <c r="E37" s="28">
        <f t="shared" si="3"/>
        <v>0.69999999999999929</v>
      </c>
      <c r="F37" s="28">
        <f t="shared" si="3"/>
        <v>0.79999999999999716</v>
      </c>
      <c r="G37" s="28">
        <f t="shared" si="3"/>
        <v>0.69999999999999929</v>
      </c>
      <c r="H37" s="28">
        <f t="shared" si="3"/>
        <v>1.1000000000000014</v>
      </c>
      <c r="I37" s="28">
        <f t="shared" si="3"/>
        <v>0.40000000000000213</v>
      </c>
      <c r="J37" s="28">
        <f t="shared" si="3"/>
        <v>1</v>
      </c>
      <c r="K37" s="28">
        <f t="shared" si="3"/>
        <v>1.3000000000000007</v>
      </c>
      <c r="L37" s="28">
        <f t="shared" si="3"/>
        <v>1</v>
      </c>
      <c r="M37" s="28">
        <f t="shared" si="3"/>
        <v>0.89999999999999858</v>
      </c>
      <c r="N37" s="28">
        <f t="shared" si="3"/>
        <v>0.69999999999999929</v>
      </c>
      <c r="O37" s="28">
        <f t="shared" si="3"/>
        <v>1.6000000000000014</v>
      </c>
      <c r="P37" s="28">
        <f t="shared" si="3"/>
        <v>0.80000000000000071</v>
      </c>
      <c r="Q37" s="28">
        <f t="shared" si="3"/>
        <v>1</v>
      </c>
      <c r="R37" s="28">
        <f t="shared" si="3"/>
        <v>1.1000000000000014</v>
      </c>
      <c r="S37" s="28">
        <f t="shared" si="3"/>
        <v>0.30000000000000071</v>
      </c>
      <c r="T37" s="28">
        <f t="shared" si="3"/>
        <v>1.5</v>
      </c>
      <c r="U37" s="28">
        <f t="shared" si="3"/>
        <v>1.0999999999999979</v>
      </c>
      <c r="V37" s="28">
        <f t="shared" si="3"/>
        <v>1</v>
      </c>
      <c r="W37" s="28">
        <f t="shared" si="3"/>
        <v>1.1999999999999993</v>
      </c>
      <c r="X37" s="28">
        <f t="shared" si="3"/>
        <v>1</v>
      </c>
      <c r="Y37" s="28">
        <f t="shared" si="3"/>
        <v>0.89999999999999858</v>
      </c>
      <c r="Z37" s="28">
        <f t="shared" si="3"/>
        <v>1</v>
      </c>
      <c r="AA37" s="28">
        <f t="shared" si="3"/>
        <v>0.60000000000000142</v>
      </c>
      <c r="AB37" s="28">
        <f t="shared" si="3"/>
        <v>0.80000000000000071</v>
      </c>
      <c r="AC37" s="28">
        <f t="shared" si="3"/>
        <v>0.90000000000000213</v>
      </c>
      <c r="AD37" s="28">
        <f t="shared" si="3"/>
        <v>1.5999999999999979</v>
      </c>
      <c r="AE37" s="28">
        <f t="shared" si="3"/>
        <v>0.39999999999999858</v>
      </c>
      <c r="AF37" s="28">
        <f t="shared" si="3"/>
        <v>1.1999999999999993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20.216909129243096</v>
      </c>
      <c r="I43" s="40"/>
      <c r="J43" s="42"/>
      <c r="K43" s="41">
        <f>MAX(B29:AF29)</f>
        <v>21.9</v>
      </c>
      <c r="L43" s="42"/>
      <c r="M43" s="42"/>
      <c r="N43" s="41">
        <f>MIN(B33:AF33)</f>
        <v>18.2</v>
      </c>
      <c r="O43" s="42"/>
      <c r="P43" s="42"/>
      <c r="Q43" s="41">
        <f>K43-N43</f>
        <v>3.6999999999999993</v>
      </c>
      <c r="R43" s="40"/>
      <c r="S43" s="41"/>
      <c r="T43" s="41">
        <f>AVERAGE(B29:AF29)</f>
        <v>20.754838709677415</v>
      </c>
      <c r="U43" s="41"/>
      <c r="V43" s="41">
        <f>AVERAGE(B33:AF33)</f>
        <v>19.806451612903224</v>
      </c>
      <c r="W43" s="41"/>
      <c r="X43" s="41">
        <f>T43-V43</f>
        <v>0.94838709677419075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(a)'!$S10</f>
        <v>19</v>
      </c>
      <c r="C4" s="12">
        <f>'[8]Dia 2 (a)'!$S10</f>
        <v>19.5</v>
      </c>
      <c r="D4" s="12">
        <f>'[8]Dia 3 (a)'!$S10</f>
        <v>19.600000000000001</v>
      </c>
      <c r="E4" s="12">
        <f>'[8]Dia 4 (a)'!$S10</f>
        <v>20.2</v>
      </c>
      <c r="F4" s="12">
        <f>'[8]Dia 5 (a)'!$S10</f>
        <v>20.6</v>
      </c>
      <c r="G4" s="12">
        <f>'[8]Dia 6 (a)'!$S10</f>
        <v>19.899999999999999</v>
      </c>
      <c r="H4" s="12">
        <f>'[8]Dia 7 (a)'!$S10</f>
        <v>18.899999999999999</v>
      </c>
      <c r="I4" s="12">
        <f>'[8]Dia 8 (a)'!$S10</f>
        <v>18.7</v>
      </c>
      <c r="J4" s="12">
        <f>'[8]Dia 9 (a)'!$S10</f>
        <v>18.7</v>
      </c>
      <c r="K4" s="12">
        <f>'[8]Dia 10 (a)'!$S10</f>
        <v>18.7</v>
      </c>
      <c r="L4" s="12">
        <f>'[8]Dia 11 (a)'!$S10</f>
        <v>17.7</v>
      </c>
      <c r="M4" s="12">
        <f>'[8]Dia 12 (a)'!$S10</f>
        <v>17.5</v>
      </c>
      <c r="N4" s="12">
        <f>'[8]Dia 13 (a)'!$S10</f>
        <v>17.600000000000001</v>
      </c>
      <c r="O4" s="12">
        <f>'[8]Dia 14 (a)'!$S10</f>
        <v>18.2</v>
      </c>
      <c r="P4" s="12">
        <f>'[8]Dia 15 (a)'!$S10</f>
        <v>19.3</v>
      </c>
      <c r="Q4" s="12">
        <f>'[8]Dia 16 (a)'!$S10</f>
        <v>19.899999999999999</v>
      </c>
      <c r="R4" s="12">
        <f>'[8]Dia 17 (a)'!$S10</f>
        <v>19.8</v>
      </c>
      <c r="S4" s="12">
        <f>'[8]Dia 18 (a)'!$S10</f>
        <v>19.399999999999999</v>
      </c>
      <c r="T4" s="12">
        <f>'[8]Dia 19 (a)'!$S10</f>
        <v>19.399999999999999</v>
      </c>
      <c r="U4" s="12">
        <f>'[8]Dia 20 (a)'!$S10</f>
        <v>17</v>
      </c>
      <c r="V4" s="12">
        <f>'[8]Dia 21 (a)'!$S10</f>
        <v>16.600000000000001</v>
      </c>
      <c r="W4" s="12">
        <f>'[8]Dia 22 (a)'!$S10</f>
        <v>17</v>
      </c>
      <c r="X4" s="12">
        <f>'[8]Dia 23 (a)'!$S10</f>
        <v>18.399999999999999</v>
      </c>
      <c r="Y4" s="12">
        <f>'[8]Dia 24 (a)'!$S10</f>
        <v>19.399999999999999</v>
      </c>
      <c r="Z4" s="12">
        <f>'[8]Dia 25 (a)'!$S10</f>
        <v>20.2</v>
      </c>
      <c r="AA4" s="12">
        <f>'[8]Dia 26 (a)'!$S10</f>
        <v>20.6</v>
      </c>
      <c r="AB4" s="12">
        <f>'[8]Dia 27 (a)'!$S10</f>
        <v>20.5</v>
      </c>
      <c r="AC4" s="12">
        <f>'[8]Dia 28 (a)'!$S10</f>
        <v>21.2</v>
      </c>
      <c r="AD4" s="12">
        <f>'[8]Dia 29 (a)'!$S10</f>
        <v>20.8</v>
      </c>
      <c r="AE4" s="12">
        <f>'[8]Dia 30 (a)'!$S10</f>
        <v>18.7</v>
      </c>
      <c r="AF4" s="13">
        <f>'[8]Dia 31 (a)'!$S10</f>
        <v>17.8</v>
      </c>
      <c r="AG4" s="14"/>
    </row>
    <row r="5" spans="1:33" ht="20.100000000000001" customHeight="1">
      <c r="A5" s="11">
        <v>8</v>
      </c>
      <c r="B5" s="12">
        <f>'[8]Dia 1 (a)'!$S11</f>
        <v>18.8</v>
      </c>
      <c r="C5" s="12">
        <f>'[8]Dia 2 (a)'!$S11</f>
        <v>19.399999999999999</v>
      </c>
      <c r="D5" s="12">
        <f>'[8]Dia 3 (a)'!$S11</f>
        <v>19.600000000000001</v>
      </c>
      <c r="E5" s="12">
        <f>'[8]Dia 4 (a)'!$S11</f>
        <v>20.100000000000001</v>
      </c>
      <c r="F5" s="12">
        <f>'[8]Dia 5 (a)'!$S11</f>
        <v>20.6</v>
      </c>
      <c r="G5" s="12">
        <f>'[8]Dia 6 (a)'!$S11</f>
        <v>19.899999999999999</v>
      </c>
      <c r="H5" s="12">
        <f>'[8]Dia 7 (a)'!$S11</f>
        <v>18.899999999999999</v>
      </c>
      <c r="I5" s="12">
        <f>'[8]Dia 8 (a)'!$S11</f>
        <v>18.5</v>
      </c>
      <c r="J5" s="12">
        <f>'[8]Dia 9 (a)'!$S11</f>
        <v>18.7</v>
      </c>
      <c r="K5" s="12">
        <f>'[8]Dia 10 (a)'!$S11</f>
        <v>18.600000000000001</v>
      </c>
      <c r="L5" s="12">
        <f>'[8]Dia 11 (a)'!$S11</f>
        <v>17.600000000000001</v>
      </c>
      <c r="M5" s="12">
        <f>'[8]Dia 12 (a)'!$S11</f>
        <v>17.5</v>
      </c>
      <c r="N5" s="12">
        <f>'[8]Dia 13 (a)'!$S11</f>
        <v>17.600000000000001</v>
      </c>
      <c r="O5" s="12">
        <f>'[8]Dia 14 (a)'!$S11</f>
        <v>18.2</v>
      </c>
      <c r="P5" s="12">
        <f>'[8]Dia 15 (a)'!$S11</f>
        <v>19.3</v>
      </c>
      <c r="Q5" s="12">
        <f>'[8]Dia 16 (a)'!$S11</f>
        <v>19.8</v>
      </c>
      <c r="R5" s="12">
        <f>'[8]Dia 17 (a)'!$S11</f>
        <v>19.8</v>
      </c>
      <c r="S5" s="12">
        <f>'[8]Dia 18 (a)'!$S11</f>
        <v>19.399999999999999</v>
      </c>
      <c r="T5" s="12">
        <f>'[8]Dia 19 (a)'!$S11</f>
        <v>19</v>
      </c>
      <c r="U5" s="12">
        <f>'[8]Dia 20 (a)'!$S11</f>
        <v>17</v>
      </c>
      <c r="V5" s="12">
        <f>'[8]Dia 21 (a)'!$S11</f>
        <v>16.7</v>
      </c>
      <c r="W5" s="12">
        <f>'[8]Dia 22 (a)'!$S11</f>
        <v>17</v>
      </c>
      <c r="X5" s="12">
        <f>'[8]Dia 23 (a)'!$S11</f>
        <v>18.3</v>
      </c>
      <c r="Y5" s="12">
        <f>'[8]Dia 24 (a)'!$S11</f>
        <v>19.3</v>
      </c>
      <c r="Z5" s="12">
        <f>'[8]Dia 25 (a)'!$S11</f>
        <v>20.100000000000001</v>
      </c>
      <c r="AA5" s="12">
        <f>'[8]Dia 26 (a)'!$S11</f>
        <v>20.399999999999999</v>
      </c>
      <c r="AB5" s="12">
        <f>'[8]Dia 27 (a)'!$S11</f>
        <v>20.5</v>
      </c>
      <c r="AC5" s="12">
        <f>'[8]Dia 28 (a)'!$S11</f>
        <v>21.2</v>
      </c>
      <c r="AD5" s="12">
        <f>'[8]Dia 29 (a)'!$S11</f>
        <v>20.7</v>
      </c>
      <c r="AE5" s="12">
        <f>'[8]Dia 30 (a)'!$S11</f>
        <v>18.600000000000001</v>
      </c>
      <c r="AF5" s="13">
        <f>'[8]Dia 31 (a)'!$S11</f>
        <v>17.8</v>
      </c>
      <c r="AG5" s="14"/>
    </row>
    <row r="6" spans="1:33" ht="20.100000000000001" customHeight="1">
      <c r="A6" s="11">
        <v>9</v>
      </c>
      <c r="B6" s="12">
        <f>'[8]Dia 1 (a)'!$S12</f>
        <v>18.8</v>
      </c>
      <c r="C6" s="12">
        <f>'[8]Dia 2 (a)'!$S12</f>
        <v>19.5</v>
      </c>
      <c r="D6" s="12">
        <f>'[8]Dia 3 (a)'!$S12</f>
        <v>19.600000000000001</v>
      </c>
      <c r="E6" s="12">
        <f>'[8]Dia 4 (a)'!$S12</f>
        <v>20.100000000000001</v>
      </c>
      <c r="F6" s="12">
        <f>'[8]Dia 5 (a)'!$S12</f>
        <v>20.6</v>
      </c>
      <c r="G6" s="12">
        <f>'[8]Dia 6 (a)'!$S12</f>
        <v>19.7</v>
      </c>
      <c r="H6" s="12">
        <f>'[8]Dia 7 (a)'!$S12</f>
        <v>18.7</v>
      </c>
      <c r="I6" s="12">
        <f>'[8]Dia 8 (a)'!$S12</f>
        <v>18.7</v>
      </c>
      <c r="J6" s="12">
        <f>'[8]Dia 9 (a)'!$S12</f>
        <v>18.7</v>
      </c>
      <c r="K6" s="12">
        <f>'[8]Dia 10 (a)'!$S12</f>
        <v>18.600000000000001</v>
      </c>
      <c r="L6" s="12">
        <f>'[8]Dia 11 (a)'!$S12</f>
        <v>17.5</v>
      </c>
      <c r="M6" s="12">
        <f>'[8]Dia 12 (a)'!$S12</f>
        <v>17.5</v>
      </c>
      <c r="N6" s="12">
        <f>'[8]Dia 13 (a)'!$S12</f>
        <v>17.600000000000001</v>
      </c>
      <c r="O6" s="12">
        <f>'[8]Dia 14 (a)'!$S12</f>
        <v>18.600000000000001</v>
      </c>
      <c r="P6" s="12">
        <f>'[8]Dia 15 (a)'!$S12</f>
        <v>19.2</v>
      </c>
      <c r="Q6" s="12">
        <f>'[8]Dia 16 (a)'!$S12</f>
        <v>19.8</v>
      </c>
      <c r="R6" s="12">
        <f>'[8]Dia 17 (a)'!$S12</f>
        <v>19.600000000000001</v>
      </c>
      <c r="S6" s="12">
        <f>'[8]Dia 18 (a)'!$S12</f>
        <v>19.399999999999999</v>
      </c>
      <c r="T6" s="12">
        <f>'[8]Dia 19 (a)'!$S12</f>
        <v>19.399999999999999</v>
      </c>
      <c r="U6" s="12">
        <f>'[8]Dia 20 (a)'!$S12</f>
        <v>16.899999999999999</v>
      </c>
      <c r="V6" s="12">
        <f>'[8]Dia 21 (a)'!$S12</f>
        <v>16.7</v>
      </c>
      <c r="W6" s="12">
        <f>'[8]Dia 22 (a)'!$S12</f>
        <v>17</v>
      </c>
      <c r="X6" s="12">
        <f>'[8]Dia 23 (a)'!$S12</f>
        <v>18.399999999999999</v>
      </c>
      <c r="Y6" s="12">
        <f>'[8]Dia 24 (a)'!$S12</f>
        <v>19.3</v>
      </c>
      <c r="Z6" s="12">
        <f>'[8]Dia 25 (a)'!$S12</f>
        <v>20.100000000000001</v>
      </c>
      <c r="AA6" s="12">
        <f>'[8]Dia 26 (a)'!$S12</f>
        <v>20.2</v>
      </c>
      <c r="AB6" s="12">
        <f>'[8]Dia 27 (a)'!$S12</f>
        <v>20.399999999999999</v>
      </c>
      <c r="AC6" s="12">
        <f>'[8]Dia 28 (a)'!$S12</f>
        <v>21.2</v>
      </c>
      <c r="AD6" s="12">
        <f>'[8]Dia 29 (a)'!$S12</f>
        <v>20.6</v>
      </c>
      <c r="AE6" s="12">
        <f>'[8]Dia 30 (a)'!$S12</f>
        <v>18.5</v>
      </c>
      <c r="AF6" s="13">
        <f>'[8]Dia 31 (a)'!$S12</f>
        <v>17.8</v>
      </c>
      <c r="AG6" s="14"/>
    </row>
    <row r="7" spans="1:33" ht="20.100000000000001" customHeight="1">
      <c r="A7" s="11">
        <v>10</v>
      </c>
      <c r="B7" s="12">
        <f>'[8]Dia 1 (a)'!$S13</f>
        <v>18.8</v>
      </c>
      <c r="C7" s="12">
        <f>'[8]Dia 2 (a)'!$S13</f>
        <v>19.5</v>
      </c>
      <c r="D7" s="12">
        <f>'[8]Dia 3 (a)'!$S13</f>
        <v>19.600000000000001</v>
      </c>
      <c r="E7" s="12">
        <f>'[8]Dia 4 (a)'!$S13</f>
        <v>20</v>
      </c>
      <c r="F7" s="12">
        <f>'[8]Dia 5 (a)'!$S13</f>
        <v>20.6</v>
      </c>
      <c r="G7" s="12">
        <f>'[8]Dia 6 (a)'!$S13</f>
        <v>19.7</v>
      </c>
      <c r="H7" s="12">
        <f>'[8]Dia 7 (a)'!$S13</f>
        <v>18.8</v>
      </c>
      <c r="I7" s="12">
        <f>'[8]Dia 8 (a)'!$S13</f>
        <v>18.7</v>
      </c>
      <c r="J7" s="12">
        <f>'[8]Dia 9 (a)'!$S13</f>
        <v>18.7</v>
      </c>
      <c r="K7" s="12">
        <f>'[8]Dia 10 (a)'!$S13</f>
        <v>18.600000000000001</v>
      </c>
      <c r="L7" s="12">
        <f>'[8]Dia 11 (a)'!$S13</f>
        <v>17.5</v>
      </c>
      <c r="M7" s="12">
        <f>'[8]Dia 12 (a)'!$S13</f>
        <v>17.399999999999999</v>
      </c>
      <c r="N7" s="12">
        <f>'[8]Dia 13 (a)'!$S13</f>
        <v>17.399999999999999</v>
      </c>
      <c r="O7" s="12">
        <f>'[8]Dia 14 (a)'!$S13</f>
        <v>18.2</v>
      </c>
      <c r="P7" s="12">
        <f>'[8]Dia 15 (a)'!$S13</f>
        <v>19.2</v>
      </c>
      <c r="Q7" s="12">
        <f>'[8]Dia 16 (a)'!$S13</f>
        <v>19.7</v>
      </c>
      <c r="R7" s="12">
        <f>'[8]Dia 17 (a)'!$S13</f>
        <v>19.600000000000001</v>
      </c>
      <c r="S7" s="12">
        <f>'[8]Dia 18 (a)'!$S13</f>
        <v>19.399999999999999</v>
      </c>
      <c r="T7" s="12">
        <f>'[8]Dia 19 (a)'!$S13</f>
        <v>19</v>
      </c>
      <c r="U7" s="12">
        <f>'[8]Dia 20 (a)'!$S13</f>
        <v>16.8</v>
      </c>
      <c r="V7" s="12">
        <f>'[8]Dia 21 (a)'!$S13</f>
        <v>16.7</v>
      </c>
      <c r="W7" s="12">
        <f>'[8]Dia 22 (a)'!$S13</f>
        <v>17</v>
      </c>
      <c r="X7" s="12">
        <f>'[8]Dia 23 (a)'!$S13</f>
        <v>18.399999999999999</v>
      </c>
      <c r="Y7" s="12">
        <f>'[8]Dia 24 (a)'!$S13</f>
        <v>19.3</v>
      </c>
      <c r="Z7" s="12">
        <f>'[8]Dia 25 (a)'!$S13</f>
        <v>20.100000000000001</v>
      </c>
      <c r="AA7" s="12">
        <f>'[8]Dia 26 (a)'!$S13</f>
        <v>20.2</v>
      </c>
      <c r="AB7" s="12">
        <f>'[8]Dia 27 (a)'!$S13</f>
        <v>20.399999999999999</v>
      </c>
      <c r="AC7" s="12">
        <f>'[8]Dia 28 (a)'!$S13</f>
        <v>21.1</v>
      </c>
      <c r="AD7" s="12">
        <f>'[8]Dia 29 (a)'!$S13</f>
        <v>20.6</v>
      </c>
      <c r="AE7" s="12">
        <f>'[8]Dia 30 (a)'!$S13</f>
        <v>18.5</v>
      </c>
      <c r="AF7" s="13">
        <f>'[8]Dia 31 (a)'!$S13</f>
        <v>17.8</v>
      </c>
      <c r="AG7" s="14"/>
    </row>
    <row r="8" spans="1:33" ht="20.100000000000001" customHeight="1">
      <c r="A8" s="11">
        <v>11</v>
      </c>
      <c r="B8" s="12">
        <f>'[8]Dia 1 (a)'!$S14</f>
        <v>18.8</v>
      </c>
      <c r="C8" s="12">
        <f>'[8]Dia 2 (a)'!$S14</f>
        <v>19.5</v>
      </c>
      <c r="D8" s="12">
        <f>'[8]Dia 3 (a)'!$S14</f>
        <v>19.399999999999999</v>
      </c>
      <c r="E8" s="12">
        <f>'[8]Dia 4 (a)'!$S14</f>
        <v>20</v>
      </c>
      <c r="F8" s="12">
        <f>'[8]Dia 5 (a)'!$S14</f>
        <v>20.399999999999999</v>
      </c>
      <c r="G8" s="12">
        <f>'[8]Dia 6 (a)'!$S14</f>
        <v>19.5</v>
      </c>
      <c r="H8" s="12">
        <f>'[8]Dia 7 (a)'!$S14</f>
        <v>18.8</v>
      </c>
      <c r="I8" s="12">
        <f>'[8]Dia 8 (a)'!$S14</f>
        <v>18.600000000000001</v>
      </c>
      <c r="J8" s="12">
        <f>'[8]Dia 9 (a)'!$S14</f>
        <v>18.7</v>
      </c>
      <c r="K8" s="12">
        <f>'[8]Dia 10 (a)'!$S14</f>
        <v>18.5</v>
      </c>
      <c r="L8" s="12">
        <f>'[8]Dia 11 (a)'!$S14</f>
        <v>17.5</v>
      </c>
      <c r="M8" s="12">
        <f>'[8]Dia 12 (a)'!$S14</f>
        <v>17.5</v>
      </c>
      <c r="N8" s="12">
        <f>'[8]Dia 13 (a)'!$S14</f>
        <v>17.600000000000001</v>
      </c>
      <c r="O8" s="12">
        <f>'[8]Dia 14 (a)'!$S14</f>
        <v>18.2</v>
      </c>
      <c r="P8" s="12">
        <f>'[8]Dia 15 (a)'!$S14</f>
        <v>19.100000000000001</v>
      </c>
      <c r="Q8" s="12">
        <f>'[8]Dia 16 (a)'!$S14</f>
        <v>19.600000000000001</v>
      </c>
      <c r="R8" s="12">
        <f>'[8]Dia 17 (a)'!$S14</f>
        <v>19.7</v>
      </c>
      <c r="S8" s="12">
        <f>'[8]Dia 18 (a)'!$S14</f>
        <v>19.399999999999999</v>
      </c>
      <c r="T8" s="12">
        <f>'[8]Dia 19 (a)'!$S14</f>
        <v>18.8</v>
      </c>
      <c r="U8" s="12">
        <f>'[8]Dia 20 (a)'!$S14</f>
        <v>16.8</v>
      </c>
      <c r="V8" s="12">
        <f>'[8]Dia 21 (a)'!$S14</f>
        <v>16.600000000000001</v>
      </c>
      <c r="W8" s="12">
        <f>'[8]Dia 22 (a)'!$S14</f>
        <v>17</v>
      </c>
      <c r="X8" s="12">
        <f>'[8]Dia 23 (a)'!$S14</f>
        <v>18.3</v>
      </c>
      <c r="Y8" s="12">
        <f>'[8]Dia 24 (a)'!$S14</f>
        <v>19.399999999999999</v>
      </c>
      <c r="Z8" s="12">
        <f>'[8]Dia 25 (a)'!$S14</f>
        <v>20.100000000000001</v>
      </c>
      <c r="AA8" s="12">
        <f>'[8]Dia 26 (a)'!$S14</f>
        <v>20.399999999999999</v>
      </c>
      <c r="AB8" s="12">
        <f>'[8]Dia 27 (a)'!$S14</f>
        <v>20.399999999999999</v>
      </c>
      <c r="AC8" s="12">
        <f>'[8]Dia 28 (a)'!$S14</f>
        <v>21.1</v>
      </c>
      <c r="AD8" s="12">
        <f>'[8]Dia 29 (a)'!$S14</f>
        <v>20.399999999999999</v>
      </c>
      <c r="AE8" s="12">
        <f>'[8]Dia 30 (a)'!$S14</f>
        <v>18.399999999999999</v>
      </c>
      <c r="AF8" s="13">
        <f>'[8]Dia 31 (a)'!$S14</f>
        <v>17.7</v>
      </c>
      <c r="AG8" s="14"/>
    </row>
    <row r="9" spans="1:33" ht="20.100000000000001" customHeight="1">
      <c r="A9" s="11">
        <v>12</v>
      </c>
      <c r="B9" s="12">
        <f>'[8]Dia 1 (a)'!$S15</f>
        <v>18.8</v>
      </c>
      <c r="C9" s="12">
        <f>'[8]Dia 2 (a)'!$S15</f>
        <v>19.399999999999999</v>
      </c>
      <c r="D9" s="12">
        <f>'[8]Dia 3 (a)'!$S15</f>
        <v>19.600000000000001</v>
      </c>
      <c r="E9" s="12">
        <f>'[8]Dia 4 (a)'!$S15</f>
        <v>20</v>
      </c>
      <c r="F9" s="12">
        <f>'[8]Dia 5 (a)'!$S15</f>
        <v>20.399999999999999</v>
      </c>
      <c r="G9" s="12">
        <f>'[8]Dia 6 (a)'!$S15</f>
        <v>19.5</v>
      </c>
      <c r="H9" s="12">
        <f>'[8]Dia 7 (a)'!$S15</f>
        <v>18.8</v>
      </c>
      <c r="I9" s="12">
        <f>'[8]Dia 8 (a)'!$S15</f>
        <v>18.7</v>
      </c>
      <c r="J9" s="12">
        <f>'[8]Dia 9 (a)'!$S15</f>
        <v>18.600000000000001</v>
      </c>
      <c r="K9" s="12">
        <f>'[8]Dia 10 (a)'!$S15</f>
        <v>18.7</v>
      </c>
      <c r="L9" s="12">
        <f>'[8]Dia 11 (a)'!$S15</f>
        <v>17.5</v>
      </c>
      <c r="M9" s="12">
        <f>'[8]Dia 12 (a)'!$S15</f>
        <v>17.399999999999999</v>
      </c>
      <c r="N9" s="12">
        <f>'[8]Dia 13 (a)'!$S15</f>
        <v>17.600000000000001</v>
      </c>
      <c r="O9" s="12">
        <f>'[8]Dia 14 (a)'!$S15</f>
        <v>18.2</v>
      </c>
      <c r="P9" s="12">
        <f>'[8]Dia 15 (a)'!$S15</f>
        <v>19.3</v>
      </c>
      <c r="Q9" s="12">
        <f>'[8]Dia 16 (a)'!$S15</f>
        <v>19.600000000000001</v>
      </c>
      <c r="R9" s="12">
        <f>'[8]Dia 17 (a)'!$S15</f>
        <v>19.5</v>
      </c>
      <c r="S9" s="12">
        <f>'[8]Dia 18 (a)'!$S15</f>
        <v>19.399999999999999</v>
      </c>
      <c r="T9" s="12">
        <f>'[8]Dia 19 (a)'!$S15</f>
        <v>18.600000000000001</v>
      </c>
      <c r="U9" s="12">
        <f>'[8]Dia 20 (a)'!$S15</f>
        <v>16.8</v>
      </c>
      <c r="V9" s="12">
        <f>'[8]Dia 21 (a)'!$S15</f>
        <v>16.600000000000001</v>
      </c>
      <c r="W9" s="12">
        <f>'[8]Dia 22 (a)'!$S15</f>
        <v>17</v>
      </c>
      <c r="X9" s="12">
        <f>'[8]Dia 23 (a)'!$S15</f>
        <v>18.2</v>
      </c>
      <c r="Y9" s="12">
        <f>'[8]Dia 24 (a)'!$S15</f>
        <v>19.3</v>
      </c>
      <c r="Z9" s="12">
        <f>'[8]Dia 25 (a)'!$S15</f>
        <v>20.100000000000001</v>
      </c>
      <c r="AA9" s="12">
        <f>'[8]Dia 26 (a)'!$S15</f>
        <v>20.399999999999999</v>
      </c>
      <c r="AB9" s="12">
        <f>'[8]Dia 27 (a)'!$S15</f>
        <v>20.399999999999999</v>
      </c>
      <c r="AC9" s="12">
        <f>'[8]Dia 28 (a)'!$S15</f>
        <v>21</v>
      </c>
      <c r="AD9" s="12">
        <f>'[8]Dia 29 (a)'!$S15</f>
        <v>20.399999999999999</v>
      </c>
      <c r="AE9" s="12">
        <f>'[8]Dia 30 (a)'!$S15</f>
        <v>18.3</v>
      </c>
      <c r="AF9" s="13">
        <f>'[8]Dia 31 (a)'!$S15</f>
        <v>17.8</v>
      </c>
      <c r="AG9" s="14"/>
    </row>
    <row r="10" spans="1:33" ht="20.100000000000001" customHeight="1">
      <c r="A10" s="11">
        <v>13</v>
      </c>
      <c r="B10" s="12">
        <f>'[8]Dia 1 (a)'!$S16</f>
        <v>18.8</v>
      </c>
      <c r="C10" s="12">
        <f>'[8]Dia 2 (a)'!$S16</f>
        <v>19.399999999999999</v>
      </c>
      <c r="D10" s="12">
        <f>'[8]Dia 3 (a)'!$S16</f>
        <v>19.399999999999999</v>
      </c>
      <c r="E10" s="12">
        <f>'[8]Dia 4 (a)'!$S16</f>
        <v>20.100000000000001</v>
      </c>
      <c r="F10" s="12">
        <f>'[8]Dia 5 (a)'!$S16</f>
        <v>20.399999999999999</v>
      </c>
      <c r="G10" s="12">
        <f>'[8]Dia 6 (a)'!$S16</f>
        <v>19.5</v>
      </c>
      <c r="H10" s="12">
        <f>'[8]Dia 7 (a)'!$S16</f>
        <v>18.8</v>
      </c>
      <c r="I10" s="12">
        <f>'[8]Dia 8 (a)'!$S16</f>
        <v>18.600000000000001</v>
      </c>
      <c r="J10" s="12">
        <f>'[8]Dia 9 (a)'!$S16</f>
        <v>18.600000000000001</v>
      </c>
      <c r="K10" s="12">
        <f>'[8]Dia 10 (a)'!$S16</f>
        <v>18.600000000000001</v>
      </c>
      <c r="L10" s="12">
        <f>'[8]Dia 11 (a)'!$S16</f>
        <v>17.399999999999999</v>
      </c>
      <c r="M10" s="12">
        <f>'[8]Dia 12 (a)'!$S16</f>
        <v>17.5</v>
      </c>
      <c r="N10" s="12">
        <f>'[8]Dia 13 (a)'!$S16</f>
        <v>17.600000000000001</v>
      </c>
      <c r="O10" s="12">
        <f>'[8]Dia 14 (a)'!$S16</f>
        <v>18.2</v>
      </c>
      <c r="P10" s="12">
        <f>'[8]Dia 15 (a)'!$S16</f>
        <v>19.2</v>
      </c>
      <c r="Q10" s="12">
        <f>'[8]Dia 16 (a)'!$S16</f>
        <v>19.600000000000001</v>
      </c>
      <c r="R10" s="12">
        <f>'[8]Dia 17 (a)'!$S16</f>
        <v>19.600000000000001</v>
      </c>
      <c r="S10" s="12">
        <f>'[8]Dia 18 (a)'!$S16</f>
        <v>19.399999999999999</v>
      </c>
      <c r="T10" s="12">
        <f>'[8]Dia 19 (a)'!$S16</f>
        <v>18.600000000000001</v>
      </c>
      <c r="U10" s="12">
        <f>'[8]Dia 20 (a)'!$S16</f>
        <v>16.8</v>
      </c>
      <c r="V10" s="12">
        <f>'[8]Dia 21 (a)'!$S16</f>
        <v>16.600000000000001</v>
      </c>
      <c r="W10" s="12">
        <f>'[8]Dia 22 (a)'!$S16</f>
        <v>17.2</v>
      </c>
      <c r="X10" s="12">
        <f>'[8]Dia 23 (a)'!$S16</f>
        <v>18.2</v>
      </c>
      <c r="Y10" s="12">
        <f>'[8]Dia 24 (a)'!$S16</f>
        <v>19.399999999999999</v>
      </c>
      <c r="Z10" s="12">
        <f>'[8]Dia 25 (a)'!$S16</f>
        <v>20.2</v>
      </c>
      <c r="AA10" s="12">
        <f>'[8]Dia 26 (a)'!$S16</f>
        <v>20.3</v>
      </c>
      <c r="AB10" s="12">
        <f>'[8]Dia 27 (a)'!$S16</f>
        <v>20.399999999999999</v>
      </c>
      <c r="AC10" s="12">
        <f>'[8]Dia 28 (a)'!$S16</f>
        <v>20.9</v>
      </c>
      <c r="AD10" s="12">
        <f>'[8]Dia 29 (a)'!$S16</f>
        <v>20.2</v>
      </c>
      <c r="AE10" s="12">
        <f>'[8]Dia 30 (a)'!$S16</f>
        <v>18.3</v>
      </c>
      <c r="AF10" s="13">
        <f>'[8]Dia 31 (a)'!$S16</f>
        <v>17.8</v>
      </c>
      <c r="AG10" s="14"/>
    </row>
    <row r="11" spans="1:33" ht="20.100000000000001" customHeight="1">
      <c r="A11" s="11">
        <v>14</v>
      </c>
      <c r="B11" s="12">
        <f>'[8]Dia 1 (a)'!$S17</f>
        <v>18.899999999999999</v>
      </c>
      <c r="C11" s="12">
        <f>'[8]Dia 2 (a)'!$S17</f>
        <v>19.5</v>
      </c>
      <c r="D11" s="12">
        <f>'[8]Dia 3 (a)'!$S17</f>
        <v>19.7</v>
      </c>
      <c r="E11" s="12">
        <f>'[8]Dia 4 (a)'!$S17</f>
        <v>20.100000000000001</v>
      </c>
      <c r="F11" s="12">
        <f>'[8]Dia 5 (a)'!$S17</f>
        <v>20.5</v>
      </c>
      <c r="G11" s="12">
        <f>'[8]Dia 6 (a)'!$S17</f>
        <v>19.399999999999999</v>
      </c>
      <c r="H11" s="12">
        <f>'[8]Dia 7 (a)'!$S17</f>
        <v>18.8</v>
      </c>
      <c r="I11" s="12">
        <f>'[8]Dia 8 (a)'!$S17</f>
        <v>18.7</v>
      </c>
      <c r="J11" s="12">
        <f>'[8]Dia 9 (a)'!$S17</f>
        <v>18.600000000000001</v>
      </c>
      <c r="K11" s="12">
        <f>'[8]Dia 10 (a)'!$S17</f>
        <v>18.600000000000001</v>
      </c>
      <c r="L11" s="12">
        <f>'[8]Dia 11 (a)'!$S17</f>
        <v>17.399999999999999</v>
      </c>
      <c r="M11" s="12">
        <f>'[8]Dia 12 (a)'!$S17</f>
        <v>17.600000000000001</v>
      </c>
      <c r="N11" s="12">
        <f>'[8]Dia 13 (a)'!$S17</f>
        <v>18</v>
      </c>
      <c r="O11" s="12">
        <f>'[8]Dia 14 (a)'!$S17</f>
        <v>18.399999999999999</v>
      </c>
      <c r="P11" s="12">
        <f>'[8]Dia 15 (a)'!$S17</f>
        <v>19.3</v>
      </c>
      <c r="Q11" s="12">
        <f>'[8]Dia 16 (a)'!$S17</f>
        <v>19.7</v>
      </c>
      <c r="R11" s="12">
        <f>'[8]Dia 17 (a)'!$S17</f>
        <v>19.399999999999999</v>
      </c>
      <c r="S11" s="12">
        <f>'[8]Dia 18 (a)'!$S17</f>
        <v>19.399999999999999</v>
      </c>
      <c r="T11" s="12">
        <f>'[8]Dia 19 (a)'!$S17</f>
        <v>18.399999999999999</v>
      </c>
      <c r="U11" s="12">
        <f>'[8]Dia 20 (a)'!$S17</f>
        <v>16.8</v>
      </c>
      <c r="V11" s="12">
        <f>'[8]Dia 21 (a)'!$S17</f>
        <v>16.600000000000001</v>
      </c>
      <c r="W11" s="12">
        <f>'[8]Dia 22 (a)'!$S17</f>
        <v>17</v>
      </c>
      <c r="X11" s="12">
        <f>'[8]Dia 23 (a)'!$S17</f>
        <v>18.3</v>
      </c>
      <c r="Y11" s="12">
        <f>'[8]Dia 24 (a)'!$S17</f>
        <v>19.399999999999999</v>
      </c>
      <c r="Z11" s="12">
        <f>'[8]Dia 25 (a)'!$S17</f>
        <v>20.2</v>
      </c>
      <c r="AA11" s="12">
        <f>'[8]Dia 26 (a)'!$S17</f>
        <v>20.3</v>
      </c>
      <c r="AB11" s="12">
        <f>'[8]Dia 27 (a)'!$S17</f>
        <v>20.6</v>
      </c>
      <c r="AC11" s="12">
        <f>'[8]Dia 28 (a)'!$S17</f>
        <v>21</v>
      </c>
      <c r="AD11" s="12">
        <f>'[8]Dia 29 (a)'!$S17</f>
        <v>20.2</v>
      </c>
      <c r="AE11" s="12">
        <f>'[8]Dia 30 (a)'!$S17</f>
        <v>18.399999999999999</v>
      </c>
      <c r="AF11" s="13">
        <f>'[8]Dia 31 (a)'!$S17</f>
        <v>17.899999999999999</v>
      </c>
      <c r="AG11" s="14"/>
    </row>
    <row r="12" spans="1:33" ht="20.100000000000001" customHeight="1">
      <c r="A12" s="11">
        <v>15</v>
      </c>
      <c r="B12" s="12">
        <f>'[8]Dia 1 (a)'!$S18</f>
        <v>19.100000000000001</v>
      </c>
      <c r="C12" s="12">
        <f>'[8]Dia 2 (a)'!$S18</f>
        <v>19.600000000000001</v>
      </c>
      <c r="D12" s="12">
        <f>'[8]Dia 3 (a)'!$S18</f>
        <v>19.8</v>
      </c>
      <c r="E12" s="12">
        <f>'[8]Dia 4 (a)'!$S18</f>
        <v>20.2</v>
      </c>
      <c r="F12" s="12">
        <f>'[8]Dia 5 (a)'!$S18</f>
        <v>20.399999999999999</v>
      </c>
      <c r="G12" s="12">
        <f>'[8]Dia 6 (a)'!$S18</f>
        <v>19.399999999999999</v>
      </c>
      <c r="H12" s="12">
        <f>'[8]Dia 7 (a)'!$S18</f>
        <v>18.899999999999999</v>
      </c>
      <c r="I12" s="12">
        <f>'[8]Dia 8 (a)'!$S18</f>
        <v>18.7</v>
      </c>
      <c r="J12" s="12">
        <f>'[8]Dia 9 (a)'!$S18</f>
        <v>18.600000000000001</v>
      </c>
      <c r="K12" s="12">
        <f>'[8]Dia 10 (a)'!$S18</f>
        <v>18.8</v>
      </c>
      <c r="L12" s="12">
        <f>'[8]Dia 11 (a)'!$S18</f>
        <v>17.399999999999999</v>
      </c>
      <c r="M12" s="12">
        <f>'[8]Dia 12 (a)'!$S18</f>
        <v>17.600000000000001</v>
      </c>
      <c r="N12" s="12">
        <f>'[8]Dia 13 (a)'!$S18</f>
        <v>17.8</v>
      </c>
      <c r="O12" s="12">
        <f>'[8]Dia 14 (a)'!$S18</f>
        <v>18.399999999999999</v>
      </c>
      <c r="P12" s="12">
        <f>'[8]Dia 15 (a)'!$S18</f>
        <v>19.5</v>
      </c>
      <c r="Q12" s="12">
        <f>'[8]Dia 16 (a)'!$S18</f>
        <v>19.8</v>
      </c>
      <c r="R12" s="12">
        <f>'[8]Dia 17 (a)'!$S18</f>
        <v>19.399999999999999</v>
      </c>
      <c r="S12" s="12">
        <f>'[8]Dia 18 (a)'!$S18</f>
        <v>19.5</v>
      </c>
      <c r="T12" s="12">
        <f>'[8]Dia 19 (a)'!$S18</f>
        <v>18.399999999999999</v>
      </c>
      <c r="U12" s="12">
        <f>'[8]Dia 20 (a)'!$S18</f>
        <v>16.8</v>
      </c>
      <c r="V12" s="12">
        <f>'[8]Dia 21 (a)'!$S18</f>
        <v>16.8</v>
      </c>
      <c r="W12" s="12">
        <f>'[8]Dia 22 (a)'!$S18</f>
        <v>17.3</v>
      </c>
      <c r="X12" s="12">
        <f>'[8]Dia 23 (a)'!$S18</f>
        <v>18.399999999999999</v>
      </c>
      <c r="Y12" s="12">
        <f>'[8]Dia 24 (a)'!$S18</f>
        <v>19.5</v>
      </c>
      <c r="Z12" s="12">
        <f>'[8]Dia 25 (a)'!$S18</f>
        <v>20.2</v>
      </c>
      <c r="AA12" s="12">
        <f>'[8]Dia 26 (a)'!$S18</f>
        <v>20.6</v>
      </c>
      <c r="AB12" s="12">
        <f>'[8]Dia 27 (a)'!$S18</f>
        <v>20.7</v>
      </c>
      <c r="AC12" s="12">
        <f>'[8]Dia 28 (a)'!$S18</f>
        <v>21.1</v>
      </c>
      <c r="AD12" s="12">
        <f>'[8]Dia 29 (a)'!$S18</f>
        <v>20.2</v>
      </c>
      <c r="AE12" s="12">
        <f>'[8]Dia 30 (a)'!$S18</f>
        <v>18.399999999999999</v>
      </c>
      <c r="AF12" s="13">
        <f>'[8]Dia 31 (a)'!$S18</f>
        <v>18.100000000000001</v>
      </c>
      <c r="AG12" s="14"/>
    </row>
    <row r="13" spans="1:33" ht="20.100000000000001" customHeight="1">
      <c r="A13" s="11">
        <v>16</v>
      </c>
      <c r="B13" s="12">
        <f>'[8]Dia 1 (a)'!$S19</f>
        <v>19.100000000000001</v>
      </c>
      <c r="C13" s="12">
        <f>'[8]Dia 2 (a)'!$S19</f>
        <v>19.7</v>
      </c>
      <c r="D13" s="12">
        <f>'[8]Dia 3 (a)'!$S19</f>
        <v>20.100000000000001</v>
      </c>
      <c r="E13" s="12">
        <f>'[8]Dia 4 (a)'!$S19</f>
        <v>20.399999999999999</v>
      </c>
      <c r="F13" s="12">
        <f>'[8]Dia 5 (a)'!$S19</f>
        <v>20.399999999999999</v>
      </c>
      <c r="G13" s="12">
        <f>'[8]Dia 6 (a)'!$S19</f>
        <v>19.399999999999999</v>
      </c>
      <c r="H13" s="12">
        <f>'[8]Dia 7 (a)'!$S19</f>
        <v>18.8</v>
      </c>
      <c r="I13" s="12">
        <f>'[8]Dia 8 (a)'!$S19</f>
        <v>18.7</v>
      </c>
      <c r="J13" s="12">
        <f>'[8]Dia 9 (a)'!$S19</f>
        <v>18.600000000000001</v>
      </c>
      <c r="K13" s="12">
        <f>'[8]Dia 10 (a)'!$S19</f>
        <v>18.399999999999999</v>
      </c>
      <c r="L13" s="12">
        <f>'[8]Dia 11 (a)'!$S19</f>
        <v>17.600000000000001</v>
      </c>
      <c r="M13" s="12">
        <f>'[8]Dia 12 (a)'!$S19</f>
        <v>17.8</v>
      </c>
      <c r="N13" s="12">
        <f>'[8]Dia 13 (a)'!$S19</f>
        <v>18.2</v>
      </c>
      <c r="O13" s="12">
        <f>'[8]Dia 14 (a)'!$S19</f>
        <v>18.8</v>
      </c>
      <c r="P13" s="12">
        <f>'[8]Dia 15 (a)'!$S19</f>
        <v>19.600000000000001</v>
      </c>
      <c r="Q13" s="12">
        <f>'[8]Dia 16 (a)'!$S19</f>
        <v>20</v>
      </c>
      <c r="R13" s="12">
        <f>'[8]Dia 17 (a)'!$S19</f>
        <v>19.7</v>
      </c>
      <c r="S13" s="12">
        <f>'[8]Dia 18 (a)'!$S19</f>
        <v>19.5</v>
      </c>
      <c r="T13" s="12">
        <f>'[8]Dia 19 (a)'!$S19</f>
        <v>18.399999999999999</v>
      </c>
      <c r="U13" s="12">
        <f>'[8]Dia 20 (a)'!$S19</f>
        <v>16.8</v>
      </c>
      <c r="V13" s="12">
        <f>'[8]Dia 21 (a)'!$S19</f>
        <v>16.899999999999999</v>
      </c>
      <c r="W13" s="12">
        <f>'[8]Dia 22 (a)'!$S19</f>
        <v>17.600000000000001</v>
      </c>
      <c r="X13" s="12">
        <f>'[8]Dia 23 (a)'!$S19</f>
        <v>18.600000000000001</v>
      </c>
      <c r="Y13" s="12">
        <f>'[8]Dia 24 (a)'!$S19</f>
        <v>19.2</v>
      </c>
      <c r="Z13" s="12">
        <f>'[8]Dia 25 (a)'!$S19</f>
        <v>20.399999999999999</v>
      </c>
      <c r="AA13" s="12">
        <f>'[8]Dia 26 (a)'!$S19</f>
        <v>20.7</v>
      </c>
      <c r="AB13" s="12">
        <f>'[8]Dia 27 (a)'!$S19</f>
        <v>21</v>
      </c>
      <c r="AC13" s="12">
        <f>'[8]Dia 28 (a)'!$S19</f>
        <v>21</v>
      </c>
      <c r="AD13" s="12">
        <f>'[8]Dia 29 (a)'!$S19</f>
        <v>20.100000000000001</v>
      </c>
      <c r="AE13" s="12">
        <f>'[8]Dia 30 (a)'!$S19</f>
        <v>18.399999999999999</v>
      </c>
      <c r="AF13" s="13">
        <f>'[8]Dia 31 (a)'!$S19</f>
        <v>18.600000000000001</v>
      </c>
      <c r="AG13" s="14"/>
    </row>
    <row r="14" spans="1:33" ht="20.100000000000001" customHeight="1">
      <c r="A14" s="11">
        <v>17</v>
      </c>
      <c r="B14" s="12">
        <f>'[8]Dia 1 (a)'!$S20</f>
        <v>19.3</v>
      </c>
      <c r="C14" s="12">
        <f>'[8]Dia 2 (a)'!$S20</f>
        <v>20</v>
      </c>
      <c r="D14" s="12">
        <f>'[8]Dia 3 (a)'!$S20</f>
        <v>20.3</v>
      </c>
      <c r="E14" s="12">
        <f>'[8]Dia 4 (a)'!$S20</f>
        <v>20.5</v>
      </c>
      <c r="F14" s="12">
        <f>'[8]Dia 5 (a)'!$S20</f>
        <v>20.399999999999999</v>
      </c>
      <c r="G14" s="12">
        <f>'[8]Dia 6 (a)'!$S20</f>
        <v>19.399999999999999</v>
      </c>
      <c r="H14" s="12">
        <f>'[8]Dia 7 (a)'!$S20</f>
        <v>18.8</v>
      </c>
      <c r="I14" s="12">
        <f>'[8]Dia 8 (a)'!$S20</f>
        <v>18.8</v>
      </c>
      <c r="J14" s="12">
        <f>'[8]Dia 9 (a)'!$S20</f>
        <v>18.600000000000001</v>
      </c>
      <c r="K14" s="12">
        <f>'[8]Dia 10 (a)'!$S20</f>
        <v>18.399999999999999</v>
      </c>
      <c r="L14" s="12">
        <f>'[8]Dia 11 (a)'!$S20</f>
        <v>17.600000000000001</v>
      </c>
      <c r="M14" s="12">
        <f>'[8]Dia 12 (a)'!$S20</f>
        <v>18</v>
      </c>
      <c r="N14" s="12">
        <f>'[8]Dia 13 (a)'!$S20</f>
        <v>18.399999999999999</v>
      </c>
      <c r="O14" s="12">
        <f>'[8]Dia 14 (a)'!$S20</f>
        <v>18.899999999999999</v>
      </c>
      <c r="P14" s="12">
        <f>'[8]Dia 15 (a)'!$S20</f>
        <v>19.8</v>
      </c>
      <c r="Q14" s="12">
        <f>'[8]Dia 16 (a)'!$S20</f>
        <v>20</v>
      </c>
      <c r="R14" s="12">
        <f>'[8]Dia 17 (a)'!$S20</f>
        <v>19.7</v>
      </c>
      <c r="S14" s="12">
        <f>'[8]Dia 18 (a)'!$S20</f>
        <v>19.5</v>
      </c>
      <c r="T14" s="12">
        <f>'[8]Dia 19 (a)'!$S20</f>
        <v>18.3</v>
      </c>
      <c r="U14" s="12">
        <f>'[8]Dia 20 (a)'!$S20</f>
        <v>16.8</v>
      </c>
      <c r="V14" s="12">
        <f>'[8]Dia 21 (a)'!$S20</f>
        <v>17</v>
      </c>
      <c r="W14" s="12">
        <f>'[8]Dia 22 (a)'!$S20</f>
        <v>17.8</v>
      </c>
      <c r="X14" s="12">
        <f>'[8]Dia 23 (a)'!$S20</f>
        <v>18.8</v>
      </c>
      <c r="Y14" s="12">
        <f>'[8]Dia 24 (a)'!$S20</f>
        <v>19.2</v>
      </c>
      <c r="Z14" s="12">
        <f>'[8]Dia 25 (a)'!$S20</f>
        <v>20.6</v>
      </c>
      <c r="AA14" s="12">
        <f>'[8]Dia 26 (a)'!$S20</f>
        <v>20.7</v>
      </c>
      <c r="AB14" s="12">
        <f>'[8]Dia 27 (a)'!$S20</f>
        <v>21.2</v>
      </c>
      <c r="AC14" s="12">
        <f>'[8]Dia 28 (a)'!$S20</f>
        <v>21</v>
      </c>
      <c r="AD14" s="12">
        <f>'[8]Dia 29 (a)'!$S20</f>
        <v>20.100000000000001</v>
      </c>
      <c r="AE14" s="12">
        <f>'[8]Dia 30 (a)'!$S20</f>
        <v>18.399999999999999</v>
      </c>
      <c r="AF14" s="13">
        <f>'[8]Dia 31 (a)'!$S20</f>
        <v>18.399999999999999</v>
      </c>
      <c r="AG14" s="14"/>
    </row>
    <row r="15" spans="1:33" ht="20.100000000000001" customHeight="1">
      <c r="A15" s="11">
        <v>18</v>
      </c>
      <c r="B15" s="12">
        <f>'[8]Dia 1 (a)'!$S21</f>
        <v>19.5</v>
      </c>
      <c r="C15" s="12">
        <f>'[8]Dia 2 (a)'!$S21</f>
        <v>20.2</v>
      </c>
      <c r="D15" s="12">
        <f>'[8]Dia 3 (a)'!$S21</f>
        <v>20.399999999999999</v>
      </c>
      <c r="E15" s="12">
        <f>'[8]Dia 4 (a)'!$S21</f>
        <v>20.7</v>
      </c>
      <c r="F15" s="12">
        <f>'[8]Dia 5 (a)'!$S21</f>
        <v>20.399999999999999</v>
      </c>
      <c r="G15" s="12">
        <f>'[8]Dia 6 (a)'!$S21</f>
        <v>19.399999999999999</v>
      </c>
      <c r="H15" s="12">
        <f>'[8]Dia 7 (a)'!$S21</f>
        <v>18.8</v>
      </c>
      <c r="I15" s="12">
        <f>'[8]Dia 8 (a)'!$S21</f>
        <v>18.8</v>
      </c>
      <c r="J15" s="12">
        <f>'[8]Dia 9 (a)'!$S21</f>
        <v>18.600000000000001</v>
      </c>
      <c r="K15" s="12">
        <f>'[8]Dia 10 (a)'!$S21</f>
        <v>18.399999999999999</v>
      </c>
      <c r="L15" s="12">
        <f>'[8]Dia 11 (a)'!$S21</f>
        <v>17.8</v>
      </c>
      <c r="M15" s="12">
        <f>'[8]Dia 12 (a)'!$S21</f>
        <v>18</v>
      </c>
      <c r="N15" s="12">
        <f>'[8]Dia 13 (a)'!$S21</f>
        <v>18.600000000000001</v>
      </c>
      <c r="O15" s="12">
        <f>'[8]Dia 14 (a)'!$S21</f>
        <v>19.2</v>
      </c>
      <c r="P15" s="12">
        <f>'[8]Dia 15 (a)'!$S21</f>
        <v>20</v>
      </c>
      <c r="Q15" s="12">
        <f>'[8]Dia 16 (a)'!$S21</f>
        <v>20.100000000000001</v>
      </c>
      <c r="R15" s="12">
        <f>'[8]Dia 17 (a)'!$S21</f>
        <v>19.899999999999999</v>
      </c>
      <c r="S15" s="12">
        <f>'[8]Dia 18 (a)'!$S21</f>
        <v>19.600000000000001</v>
      </c>
      <c r="T15" s="12">
        <f>'[8]Dia 19 (a)'!$S21</f>
        <v>18.2</v>
      </c>
      <c r="U15" s="12">
        <f>'[8]Dia 20 (a)'!$S21</f>
        <v>16.7</v>
      </c>
      <c r="V15" s="12">
        <f>'[8]Dia 21 (a)'!$S21</f>
        <v>17.2</v>
      </c>
      <c r="W15" s="12">
        <f>'[8]Dia 22 (a)'!$S21</f>
        <v>18</v>
      </c>
      <c r="X15" s="12">
        <f>'[8]Dia 23 (a)'!$S21</f>
        <v>19</v>
      </c>
      <c r="Y15" s="12">
        <f>'[8]Dia 24 (a)'!$S21</f>
        <v>19.2</v>
      </c>
      <c r="Z15" s="12">
        <f>'[8]Dia 25 (a)'!$S21</f>
        <v>20.8</v>
      </c>
      <c r="AA15" s="12">
        <f>'[8]Dia 26 (a)'!$S21</f>
        <v>20.8</v>
      </c>
      <c r="AB15" s="12">
        <f>'[8]Dia 27 (a)'!$S21</f>
        <v>21.6</v>
      </c>
      <c r="AC15" s="12">
        <f>'[8]Dia 28 (a)'!$S21</f>
        <v>21</v>
      </c>
      <c r="AD15" s="12">
        <f>'[8]Dia 29 (a)'!$S21</f>
        <v>20</v>
      </c>
      <c r="AE15" s="12">
        <f>'[8]Dia 30 (a)'!$S21</f>
        <v>18.399999999999999</v>
      </c>
      <c r="AF15" s="13">
        <f>'[8]Dia 31 (a)'!$S21</f>
        <v>18.399999999999999</v>
      </c>
      <c r="AG15" s="14"/>
    </row>
    <row r="16" spans="1:33" ht="20.100000000000001" customHeight="1">
      <c r="A16" s="11">
        <v>19</v>
      </c>
      <c r="B16" s="12">
        <f>'[8]Dia 1 (a)'!$S22</f>
        <v>19.7</v>
      </c>
      <c r="C16" s="12">
        <f>'[8]Dia 2 (a)'!$S22</f>
        <v>20.399999999999999</v>
      </c>
      <c r="D16" s="12">
        <f>'[8]Dia 3 (a)'!$S22</f>
        <v>20.6</v>
      </c>
      <c r="E16" s="12">
        <f>'[8]Dia 4 (a)'!$S22</f>
        <v>20.9</v>
      </c>
      <c r="F16" s="12">
        <f>'[8]Dia 5 (a)'!$S22</f>
        <v>20.5</v>
      </c>
      <c r="G16" s="12">
        <f>'[8]Dia 6 (a)'!$S22</f>
        <v>19.399999999999999</v>
      </c>
      <c r="H16" s="12">
        <f>'[8]Dia 7 (a)'!$S22</f>
        <v>18.8</v>
      </c>
      <c r="I16" s="12">
        <f>'[8]Dia 8 (a)'!$S22</f>
        <v>18.8</v>
      </c>
      <c r="J16" s="12">
        <f>'[8]Dia 9 (a)'!$S22</f>
        <v>18.600000000000001</v>
      </c>
      <c r="K16" s="12">
        <f>'[8]Dia 10 (a)'!$S22</f>
        <v>18.600000000000001</v>
      </c>
      <c r="L16" s="12">
        <f>'[8]Dia 11 (a)'!$S22</f>
        <v>17.8</v>
      </c>
      <c r="M16" s="12">
        <f>'[8]Dia 12 (a)'!$S22</f>
        <v>18.2</v>
      </c>
      <c r="N16" s="12">
        <f>'[8]Dia 13 (a)'!$S22</f>
        <v>18.8</v>
      </c>
      <c r="O16" s="12">
        <f>'[8]Dia 14 (a)'!$S22</f>
        <v>19.399999999999999</v>
      </c>
      <c r="P16" s="12">
        <f>'[8]Dia 15 (a)'!$S22</f>
        <v>20.2</v>
      </c>
      <c r="Q16" s="12">
        <f>'[8]Dia 16 (a)'!$S22</f>
        <v>20.3</v>
      </c>
      <c r="R16" s="12">
        <f>'[8]Dia 17 (a)'!$S22</f>
        <v>19.899999999999999</v>
      </c>
      <c r="S16" s="12">
        <f>'[8]Dia 18 (a)'!$S22</f>
        <v>19.7</v>
      </c>
      <c r="T16" s="12">
        <f>'[8]Dia 19 (a)'!$S22</f>
        <v>18.100000000000001</v>
      </c>
      <c r="U16" s="12">
        <f>'[8]Dia 20 (a)'!$S22</f>
        <v>16.7</v>
      </c>
      <c r="V16" s="12">
        <f>'[8]Dia 21 (a)'!$S22</f>
        <v>17.3</v>
      </c>
      <c r="W16" s="12">
        <f>'[8]Dia 22 (a)'!$S22</f>
        <v>18.2</v>
      </c>
      <c r="X16" s="12">
        <f>'[8]Dia 23 (a)'!$S22</f>
        <v>19.3</v>
      </c>
      <c r="Y16" s="12">
        <f>'[8]Dia 24 (a)'!$S22</f>
        <v>19.2</v>
      </c>
      <c r="Z16" s="12">
        <f>'[8]Dia 25 (a)'!$S22</f>
        <v>20.8</v>
      </c>
      <c r="AA16" s="12">
        <f>'[8]Dia 26 (a)'!$S22</f>
        <v>21</v>
      </c>
      <c r="AB16" s="12">
        <f>'[8]Dia 27 (a)'!$S22</f>
        <v>21.6</v>
      </c>
      <c r="AC16" s="12">
        <f>'[8]Dia 28 (a)'!$S22</f>
        <v>21.2</v>
      </c>
      <c r="AD16" s="12">
        <f>'[8]Dia 29 (a)'!$S22</f>
        <v>20</v>
      </c>
      <c r="AE16" s="12">
        <f>'[8]Dia 30 (a)'!$S22</f>
        <v>18.5</v>
      </c>
      <c r="AF16" s="13">
        <f>'[8]Dia 31 (a)'!$S22</f>
        <v>18.600000000000001</v>
      </c>
      <c r="AG16" s="14"/>
    </row>
    <row r="17" spans="1:33" ht="20.100000000000001" customHeight="1">
      <c r="A17" s="11">
        <v>20</v>
      </c>
      <c r="B17" s="12">
        <f>'[8]Dia 1 (a)'!$S23</f>
        <v>19.8</v>
      </c>
      <c r="C17" s="12">
        <f>'[8]Dia 2 (a)'!$S23</f>
        <v>20.5</v>
      </c>
      <c r="D17" s="12">
        <f>'[8]Dia 3 (a)'!$S23</f>
        <v>20.7</v>
      </c>
      <c r="E17" s="12">
        <f>'[8]Dia 4 (a)'!$S23</f>
        <v>21.1</v>
      </c>
      <c r="F17" s="12">
        <f>'[8]Dia 5 (a)'!$S23</f>
        <v>20.399999999999999</v>
      </c>
      <c r="G17" s="12">
        <f>'[8]Dia 6 (a)'!$S23</f>
        <v>19.399999999999999</v>
      </c>
      <c r="H17" s="12">
        <f>'[8]Dia 7 (a)'!$S23</f>
        <v>18.8</v>
      </c>
      <c r="I17" s="12">
        <f>'[8]Dia 8 (a)'!$S23</f>
        <v>18.899999999999999</v>
      </c>
      <c r="J17" s="12">
        <f>'[8]Dia 9 (a)'!$S23</f>
        <v>18.600000000000001</v>
      </c>
      <c r="K17" s="12">
        <f>'[8]Dia 10 (a)'!$S23</f>
        <v>18.399999999999999</v>
      </c>
      <c r="L17" s="12">
        <f>'[8]Dia 11 (a)'!$S23</f>
        <v>17.8</v>
      </c>
      <c r="M17" s="12">
        <f>'[8]Dia 12 (a)'!$S23</f>
        <v>18.399999999999999</v>
      </c>
      <c r="N17" s="12">
        <f>'[8]Dia 13 (a)'!$S23</f>
        <v>19</v>
      </c>
      <c r="O17" s="12">
        <f>'[8]Dia 14 (a)'!$S23</f>
        <v>19.600000000000001</v>
      </c>
      <c r="P17" s="12">
        <f>'[8]Dia 15 (a)'!$S23</f>
        <v>20.399999999999999</v>
      </c>
      <c r="Q17" s="12">
        <f>'[8]Dia 16 (a)'!$S23</f>
        <v>20.399999999999999</v>
      </c>
      <c r="R17" s="12">
        <f>'[8]Dia 17 (a)'!$S23</f>
        <v>19.899999999999999</v>
      </c>
      <c r="S17" s="12">
        <f>'[8]Dia 18 (a)'!$S23</f>
        <v>19.7</v>
      </c>
      <c r="T17" s="12">
        <f>'[8]Dia 19 (a)'!$S23</f>
        <v>18</v>
      </c>
      <c r="U17" s="12">
        <f>'[8]Dia 20 (a)'!$S23</f>
        <v>16.899999999999999</v>
      </c>
      <c r="V17" s="12">
        <f>'[8]Dia 21 (a)'!$S23</f>
        <v>17.3</v>
      </c>
      <c r="W17" s="12">
        <f>'[8]Dia 22 (a)'!$S23</f>
        <v>18.5</v>
      </c>
      <c r="X17" s="12">
        <f>'[8]Dia 23 (a)'!$S23</f>
        <v>19.5</v>
      </c>
      <c r="Y17" s="12">
        <f>'[8]Dia 24 (a)'!$S23</f>
        <v>19.2</v>
      </c>
      <c r="Z17" s="12">
        <f>'[8]Dia 25 (a)'!$S23</f>
        <v>21.1</v>
      </c>
      <c r="AA17" s="12">
        <f>'[8]Dia 26 (a)'!$S23</f>
        <v>21.2</v>
      </c>
      <c r="AB17" s="12">
        <f>'[8]Dia 27 (a)'!$S23</f>
        <v>21.8</v>
      </c>
      <c r="AC17" s="12">
        <f>'[8]Dia 28 (a)'!$S23</f>
        <v>21.2</v>
      </c>
      <c r="AD17" s="12">
        <f>'[8]Dia 29 (a)'!$S23</f>
        <v>19.899999999999999</v>
      </c>
      <c r="AE17" s="12">
        <f>'[8]Dia 30 (a)'!$S23</f>
        <v>18.5</v>
      </c>
      <c r="AF17" s="13">
        <f>'[8]Dia 31 (a)'!$S23</f>
        <v>18.8</v>
      </c>
      <c r="AG17" s="14"/>
    </row>
    <row r="18" spans="1:33" ht="20.100000000000001" customHeight="1">
      <c r="A18" s="11">
        <v>21</v>
      </c>
      <c r="B18" s="12">
        <f>'[8]Dia 1 (a)'!$S24</f>
        <v>21</v>
      </c>
      <c r="C18" s="12">
        <f>'[8]Dia 2 (a)'!$S24</f>
        <v>20.6</v>
      </c>
      <c r="D18" s="12">
        <f>'[8]Dia 3 (a)'!$S24</f>
        <v>20.7</v>
      </c>
      <c r="E18" s="12">
        <f>'[8]Dia 4 (a)'!$S24</f>
        <v>21.2</v>
      </c>
      <c r="F18" s="12">
        <f>'[8]Dia 5 (a)'!$S24</f>
        <v>20.399999999999999</v>
      </c>
      <c r="G18" s="12">
        <f>'[8]Dia 6 (a)'!$S24</f>
        <v>19.3</v>
      </c>
      <c r="H18" s="12">
        <f>'[8]Dia 7 (a)'!$S24</f>
        <v>18.8</v>
      </c>
      <c r="I18" s="12">
        <f>'[8]Dia 8 (a)'!$S24</f>
        <v>18.899999999999999</v>
      </c>
      <c r="J18" s="12">
        <f>'[8]Dia 9 (a)'!$S24</f>
        <v>18.600000000000001</v>
      </c>
      <c r="K18" s="12">
        <f>'[8]Dia 10 (a)'!$S24</f>
        <v>18.399999999999999</v>
      </c>
      <c r="L18" s="12">
        <f>'[8]Dia 11 (a)'!$S24</f>
        <v>17.8</v>
      </c>
      <c r="M18" s="12">
        <f>'[8]Dia 12 (a)'!$S24</f>
        <v>18.399999999999999</v>
      </c>
      <c r="N18" s="12">
        <f>'[8]Dia 13 (a)'!$S24</f>
        <v>19</v>
      </c>
      <c r="O18" s="12">
        <f>'[8]Dia 14 (a)'!$S24</f>
        <v>19.7</v>
      </c>
      <c r="P18" s="12">
        <f>'[8]Dia 15 (a)'!$S24</f>
        <v>20.399999999999999</v>
      </c>
      <c r="Q18" s="12">
        <f>'[8]Dia 16 (a)'!$S24</f>
        <v>20.5</v>
      </c>
      <c r="R18" s="12">
        <f>'[8]Dia 17 (a)'!$S24</f>
        <v>19.899999999999999</v>
      </c>
      <c r="S18" s="12">
        <f>'[8]Dia 18 (a)'!$S24</f>
        <v>19.899999999999999</v>
      </c>
      <c r="T18" s="12">
        <f>'[8]Dia 19 (a)'!$S24</f>
        <v>17.899999999999999</v>
      </c>
      <c r="U18" s="12">
        <f>'[8]Dia 20 (a)'!$S24</f>
        <v>16.899999999999999</v>
      </c>
      <c r="V18" s="12">
        <f>'[8]Dia 21 (a)'!$S24</f>
        <v>17.5</v>
      </c>
      <c r="W18" s="12">
        <f>'[8]Dia 22 (a)'!$S24</f>
        <v>18.600000000000001</v>
      </c>
      <c r="X18" s="12">
        <f>'[8]Dia 23 (a)'!$S24</f>
        <v>19.600000000000001</v>
      </c>
      <c r="Y18" s="12">
        <f>'[8]Dia 24 (a)'!$S24</f>
        <v>19.2</v>
      </c>
      <c r="Z18" s="12">
        <f>'[8]Dia 25 (a)'!$S24</f>
        <v>21.2</v>
      </c>
      <c r="AA18" s="12">
        <f>'[8]Dia 26 (a)'!$S24</f>
        <v>21.2</v>
      </c>
      <c r="AB18" s="12">
        <f>'[8]Dia 27 (a)'!$S24</f>
        <v>22</v>
      </c>
      <c r="AC18" s="12">
        <f>'[8]Dia 28 (a)'!$S24</f>
        <v>21.6</v>
      </c>
      <c r="AD18" s="12">
        <f>'[8]Dia 29 (a)'!$S24</f>
        <v>19.8</v>
      </c>
      <c r="AE18" s="12">
        <f>'[8]Dia 30 (a)'!$S24</f>
        <v>18.5</v>
      </c>
      <c r="AF18" s="13">
        <f>'[8]Dia 31 (a)'!$S24</f>
        <v>18.8</v>
      </c>
      <c r="AG18" s="14"/>
    </row>
    <row r="19" spans="1:33" ht="20.100000000000001" customHeight="1">
      <c r="A19" s="11">
        <v>22</v>
      </c>
      <c r="B19" s="12">
        <f>'[8]Dia 1 (a)'!$S25</f>
        <v>21</v>
      </c>
      <c r="C19" s="12">
        <f>'[8]Dia 2 (a)'!$S25</f>
        <v>20.6</v>
      </c>
      <c r="D19" s="12">
        <f>'[8]Dia 3 (a)'!$S25</f>
        <v>20.9</v>
      </c>
      <c r="E19" s="12">
        <f>'[8]Dia 4 (a)'!$S25</f>
        <v>21.3</v>
      </c>
      <c r="F19" s="12">
        <f>'[8]Dia 5 (a)'!$S25</f>
        <v>20.399999999999999</v>
      </c>
      <c r="G19" s="12">
        <f>'[8]Dia 6 (a)'!$S25</f>
        <v>19.2</v>
      </c>
      <c r="H19" s="12">
        <f>'[8]Dia 7 (a)'!$S25</f>
        <v>18.899999999999999</v>
      </c>
      <c r="I19" s="12">
        <f>'[8]Dia 8 (a)'!$S25</f>
        <v>18.899999999999999</v>
      </c>
      <c r="J19" s="12">
        <f>'[8]Dia 9 (a)'!$S25</f>
        <v>18.600000000000001</v>
      </c>
      <c r="K19" s="12">
        <f>'[8]Dia 10 (a)'!$S25</f>
        <v>18.399999999999999</v>
      </c>
      <c r="L19" s="12">
        <f>'[8]Dia 11 (a)'!$S25</f>
        <v>17.8</v>
      </c>
      <c r="M19" s="12">
        <f>'[8]Dia 12 (a)'!$S25</f>
        <v>18.399999999999999</v>
      </c>
      <c r="N19" s="12">
        <f>'[8]Dia 13 (a)'!$S25</f>
        <v>19.2</v>
      </c>
      <c r="O19" s="12">
        <f>'[8]Dia 14 (a)'!$S25</f>
        <v>19.8</v>
      </c>
      <c r="P19" s="12">
        <f>'[8]Dia 15 (a)'!$S25</f>
        <v>20.6</v>
      </c>
      <c r="Q19" s="12">
        <f>'[8]Dia 16 (a)'!$S25</f>
        <v>20.6</v>
      </c>
      <c r="R19" s="12">
        <f>'[8]Dia 17 (a)'!$S25</f>
        <v>19.899999999999999</v>
      </c>
      <c r="S19" s="12">
        <f>'[8]Dia 18 (a)'!$S25</f>
        <v>19.899999999999999</v>
      </c>
      <c r="T19" s="12">
        <f>'[8]Dia 19 (a)'!$S25</f>
        <v>17.8</v>
      </c>
      <c r="U19" s="12">
        <f>'[8]Dia 20 (a)'!$S25</f>
        <v>16.899999999999999</v>
      </c>
      <c r="V19" s="12">
        <f>'[8]Dia 21 (a)'!$S25</f>
        <v>17.5</v>
      </c>
      <c r="W19" s="12">
        <f>'[8]Dia 22 (a)'!$S25</f>
        <v>18.600000000000001</v>
      </c>
      <c r="X19" s="12">
        <f>'[8]Dia 23 (a)'!$S25</f>
        <v>19.7</v>
      </c>
      <c r="Y19" s="12">
        <f>'[8]Dia 24 (a)'!$S25</f>
        <v>19.2</v>
      </c>
      <c r="Z19" s="12">
        <f>'[8]Dia 25 (a)'!$S25</f>
        <v>21.2</v>
      </c>
      <c r="AA19" s="12">
        <f>'[8]Dia 26 (a)'!$S25</f>
        <v>21.2</v>
      </c>
      <c r="AB19" s="12">
        <f>'[8]Dia 27 (a)'!$S25</f>
        <v>22</v>
      </c>
      <c r="AC19" s="12">
        <f>'[8]Dia 28 (a)'!$S25</f>
        <v>21.8</v>
      </c>
      <c r="AD19" s="12">
        <f>'[8]Dia 29 (a)'!$S25</f>
        <v>19.8</v>
      </c>
      <c r="AE19" s="12">
        <f>'[8]Dia 30 (a)'!$S25</f>
        <v>18.7</v>
      </c>
      <c r="AF19" s="13">
        <f>'[8]Dia 31 (a)'!$S25</f>
        <v>19.2</v>
      </c>
      <c r="AG19" s="14"/>
    </row>
    <row r="20" spans="1:33" ht="20.100000000000001" customHeight="1">
      <c r="A20" s="11">
        <v>23</v>
      </c>
      <c r="B20" s="12">
        <f>'[8]Dia 1 (a)'!$S26</f>
        <v>20</v>
      </c>
      <c r="C20" s="12">
        <f>'[8]Dia 2 (a)'!$S26</f>
        <v>20.7</v>
      </c>
      <c r="D20" s="12">
        <f>'[8]Dia 3 (a)'!$S26</f>
        <v>20.9</v>
      </c>
      <c r="E20" s="12">
        <f>'[8]Dia 4 (a)'!$S26</f>
        <v>21.3</v>
      </c>
      <c r="F20" s="12">
        <f>'[8]Dia 5 (a)'!$S26</f>
        <v>20.2</v>
      </c>
      <c r="G20" s="12">
        <f>'[8]Dia 6 (a)'!$S26</f>
        <v>19.2</v>
      </c>
      <c r="H20" s="12">
        <f>'[8]Dia 7 (a)'!$S26</f>
        <v>18.8</v>
      </c>
      <c r="I20" s="12">
        <f>'[8]Dia 8 (a)'!$S26</f>
        <v>18.899999999999999</v>
      </c>
      <c r="J20" s="12">
        <f>'[8]Dia 9 (a)'!$S26</f>
        <v>18.399999999999999</v>
      </c>
      <c r="K20" s="12">
        <f>'[8]Dia 10 (a)'!$S26</f>
        <v>18.2</v>
      </c>
      <c r="L20" s="12">
        <f>'[8]Dia 11 (a)'!$S26</f>
        <v>17.8</v>
      </c>
      <c r="M20" s="12">
        <f>'[8]Dia 12 (a)'!$S26</f>
        <v>18.399999999999999</v>
      </c>
      <c r="N20" s="12">
        <f>'[8]Dia 13 (a)'!$S26</f>
        <v>19.100000000000001</v>
      </c>
      <c r="O20" s="12">
        <f>'[8]Dia 14 (a)'!$S26</f>
        <v>19.899999999999999</v>
      </c>
      <c r="P20" s="12">
        <f>'[8]Dia 15 (a)'!$S26</f>
        <v>20.6</v>
      </c>
      <c r="Q20" s="12">
        <f>'[8]Dia 16 (a)'!$S26</f>
        <v>20.6</v>
      </c>
      <c r="R20" s="12">
        <f>'[8]Dia 17 (a)'!$S26</f>
        <v>19.899999999999999</v>
      </c>
      <c r="S20" s="12">
        <f>'[8]Dia 18 (a)'!$S26</f>
        <v>19.899999999999999</v>
      </c>
      <c r="T20" s="12">
        <f>'[8]Dia 19 (a)'!$S26</f>
        <v>17.7</v>
      </c>
      <c r="U20" s="12">
        <f>'[8]Dia 20 (a)'!$S26</f>
        <v>16.7</v>
      </c>
      <c r="V20" s="12">
        <f>'[8]Dia 21 (a)'!$S26</f>
        <v>17.600000000000001</v>
      </c>
      <c r="W20" s="12">
        <f>'[8]Dia 22 (a)'!$S26</f>
        <v>18.7</v>
      </c>
      <c r="X20" s="12">
        <f>'[8]Dia 23 (a)'!$S26</f>
        <v>19.7</v>
      </c>
      <c r="Y20" s="12">
        <f>'[8]Dia 24 (a)'!$S26</f>
        <v>19</v>
      </c>
      <c r="Z20" s="12">
        <f>'[8]Dia 25 (a)'!$S26</f>
        <v>21.2</v>
      </c>
      <c r="AA20" s="12">
        <f>'[8]Dia 26 (a)'!$S26</f>
        <v>21.2</v>
      </c>
      <c r="AB20" s="12">
        <f>'[8]Dia 27 (a)'!$S26</f>
        <v>22</v>
      </c>
      <c r="AC20" s="12">
        <f>'[8]Dia 28 (a)'!$S26</f>
        <v>21.8</v>
      </c>
      <c r="AD20" s="12">
        <f>'[8]Dia 29 (a)'!$S26</f>
        <v>19.7</v>
      </c>
      <c r="AE20" s="12">
        <f>'[8]Dia 30 (a)'!$S26</f>
        <v>18.5</v>
      </c>
      <c r="AF20" s="13">
        <f>'[8]Dia 31 (a)'!$S26</f>
        <v>19.399999999999999</v>
      </c>
      <c r="AG20" s="14"/>
    </row>
    <row r="21" spans="1:33" ht="20.100000000000001" customHeight="1" thickBot="1">
      <c r="A21" s="16">
        <v>24</v>
      </c>
      <c r="B21" s="17">
        <f>'[8]Dia 1 (a)'!$S27</f>
        <v>20</v>
      </c>
      <c r="C21" s="17">
        <f>'[8]Dia 2 (a)'!$S27</f>
        <v>20.7</v>
      </c>
      <c r="D21" s="17">
        <f>'[8]Dia 3 (a)'!$S27</f>
        <v>20.9</v>
      </c>
      <c r="E21" s="17">
        <f>'[8]Dia 4 (a)'!$S27</f>
        <v>21.3</v>
      </c>
      <c r="F21" s="17">
        <f>'[8]Dia 5 (a)'!$S27</f>
        <v>20.3</v>
      </c>
      <c r="G21" s="17">
        <f>'[8]Dia 6 (a)'!$S27</f>
        <v>19.2</v>
      </c>
      <c r="H21" s="17">
        <f>'[8]Dia 7 (a)'!$S27</f>
        <v>18.8</v>
      </c>
      <c r="I21" s="17">
        <f>'[8]Dia 8 (a)'!$S27</f>
        <v>18.899999999999999</v>
      </c>
      <c r="J21" s="17">
        <f>'[8]Dia 9 (a)'!$S27</f>
        <v>18.2</v>
      </c>
      <c r="K21" s="17">
        <f>'[8]Dia 10 (a)'!$S27</f>
        <v>18</v>
      </c>
      <c r="L21" s="17">
        <f>'[8]Dia 11 (a)'!$S27</f>
        <v>17.8</v>
      </c>
      <c r="M21" s="17">
        <f>'[8]Dia 12 (a)'!$S27</f>
        <v>18.399999999999999</v>
      </c>
      <c r="N21" s="17">
        <f>'[8]Dia 13 (a)'!$S27</f>
        <v>19.100000000000001</v>
      </c>
      <c r="O21" s="17">
        <f>'[8]Dia 14 (a)'!$S27</f>
        <v>19.899999999999999</v>
      </c>
      <c r="P21" s="17">
        <f>'[8]Dia 15 (a)'!$S27</f>
        <v>20.5</v>
      </c>
      <c r="Q21" s="17">
        <f>'[8]Dia 16 (a)'!$S27</f>
        <v>20.6</v>
      </c>
      <c r="R21" s="17">
        <f>'[8]Dia 17 (a)'!$S27</f>
        <v>19.899999999999999</v>
      </c>
      <c r="S21" s="17">
        <f>'[8]Dia 18 (a)'!$S27</f>
        <v>19.899999999999999</v>
      </c>
      <c r="T21" s="17">
        <f>'[8]Dia 19 (a)'!$S27</f>
        <v>17.600000000000001</v>
      </c>
      <c r="U21" s="17">
        <f>'[8]Dia 20 (a)'!$S27</f>
        <v>16.899999999999999</v>
      </c>
      <c r="V21" s="17">
        <f>'[8]Dia 21 (a)'!$S27</f>
        <v>17.5</v>
      </c>
      <c r="W21" s="17">
        <f>'[8]Dia 22 (a)'!$S27</f>
        <v>18.7</v>
      </c>
      <c r="X21" s="17">
        <f>'[8]Dia 23 (a)'!$S27</f>
        <v>19.7</v>
      </c>
      <c r="Y21" s="17">
        <f>'[8]Dia 24 (a)'!$S27</f>
        <v>20.2</v>
      </c>
      <c r="Z21" s="17">
        <f>'[8]Dia 25 (a)'!$S27</f>
        <v>21.2</v>
      </c>
      <c r="AA21" s="17">
        <f>'[8]Dia 26 (a)'!$S27</f>
        <v>21.2</v>
      </c>
      <c r="AB21" s="17">
        <f>'[8]Dia 27 (a)'!$S27</f>
        <v>22</v>
      </c>
      <c r="AC21" s="17">
        <f>'[8]Dia 28 (a)'!$S27</f>
        <v>21.8</v>
      </c>
      <c r="AD21" s="17">
        <f>'[8]Dia 29 (a)'!$S27</f>
        <v>19.5</v>
      </c>
      <c r="AE21" s="17">
        <f>'[8]Dia 30 (a)'!$S27</f>
        <v>18.5</v>
      </c>
      <c r="AF21" s="18">
        <f>'[8]Dia 31 (a)'!$S27</f>
        <v>19.2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19.399999999999999</v>
      </c>
      <c r="C25" s="28">
        <f t="shared" ref="C25:AF25" si="0">AVERAGE(C4:C21)</f>
        <v>19.927777777777781</v>
      </c>
      <c r="D25" s="28">
        <f t="shared" si="0"/>
        <v>20.099999999999998</v>
      </c>
      <c r="E25" s="28">
        <f t="shared" si="0"/>
        <v>20.527777777777779</v>
      </c>
      <c r="F25" s="28">
        <f t="shared" si="0"/>
        <v>20.438888888888886</v>
      </c>
      <c r="G25" s="28">
        <f t="shared" si="0"/>
        <v>19.466666666666665</v>
      </c>
      <c r="H25" s="28">
        <f t="shared" si="0"/>
        <v>18.81666666666667</v>
      </c>
      <c r="I25" s="28">
        <f t="shared" si="0"/>
        <v>18.749999999999996</v>
      </c>
      <c r="J25" s="28">
        <f t="shared" si="0"/>
        <v>18.594444444444445</v>
      </c>
      <c r="K25" s="28">
        <f t="shared" si="0"/>
        <v>18.494444444444444</v>
      </c>
      <c r="L25" s="28">
        <f t="shared" si="0"/>
        <v>17.62777777777778</v>
      </c>
      <c r="M25" s="28">
        <f t="shared" si="0"/>
        <v>17.861111111111107</v>
      </c>
      <c r="N25" s="28">
        <f t="shared" si="0"/>
        <v>18.233333333333334</v>
      </c>
      <c r="O25" s="28">
        <f t="shared" si="0"/>
        <v>18.87777777777778</v>
      </c>
      <c r="P25" s="28">
        <f t="shared" si="0"/>
        <v>19.75</v>
      </c>
      <c r="Q25" s="28">
        <f t="shared" si="0"/>
        <v>20.033333333333335</v>
      </c>
      <c r="R25" s="28">
        <f t="shared" si="0"/>
        <v>19.727777777777774</v>
      </c>
      <c r="S25" s="28">
        <f t="shared" si="0"/>
        <v>19.572222222222216</v>
      </c>
      <c r="T25" s="28">
        <f t="shared" si="0"/>
        <v>18.422222222222224</v>
      </c>
      <c r="U25" s="28">
        <f t="shared" si="0"/>
        <v>16.833333333333332</v>
      </c>
      <c r="V25" s="28">
        <f t="shared" si="0"/>
        <v>16.983333333333334</v>
      </c>
      <c r="W25" s="28">
        <f t="shared" si="0"/>
        <v>17.677777777777777</v>
      </c>
      <c r="X25" s="28">
        <f t="shared" si="0"/>
        <v>18.822222222222223</v>
      </c>
      <c r="Y25" s="28">
        <f t="shared" si="0"/>
        <v>19.327777777777772</v>
      </c>
      <c r="Z25" s="28">
        <f t="shared" si="0"/>
        <v>20.544444444444441</v>
      </c>
      <c r="AA25" s="28">
        <f t="shared" si="0"/>
        <v>20.7</v>
      </c>
      <c r="AB25" s="28">
        <f t="shared" si="0"/>
        <v>21.083333333333332</v>
      </c>
      <c r="AC25" s="28">
        <f t="shared" si="0"/>
        <v>21.233333333333334</v>
      </c>
      <c r="AD25" s="28">
        <f t="shared" si="0"/>
        <v>20.166666666666664</v>
      </c>
      <c r="AE25" s="28">
        <f t="shared" si="0"/>
        <v>18.472222222222221</v>
      </c>
      <c r="AF25" s="28">
        <f t="shared" si="0"/>
        <v>18.327777777777776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21</v>
      </c>
      <c r="C29" s="28">
        <f t="shared" ref="C29:AF29" si="1">MAX(C4:C21)</f>
        <v>20.7</v>
      </c>
      <c r="D29" s="28">
        <f t="shared" si="1"/>
        <v>20.9</v>
      </c>
      <c r="E29" s="28">
        <f t="shared" si="1"/>
        <v>21.3</v>
      </c>
      <c r="F29" s="28">
        <f t="shared" si="1"/>
        <v>20.6</v>
      </c>
      <c r="G29" s="28">
        <f t="shared" si="1"/>
        <v>19.899999999999999</v>
      </c>
      <c r="H29" s="28">
        <f t="shared" si="1"/>
        <v>18.899999999999999</v>
      </c>
      <c r="I29" s="28">
        <f t="shared" si="1"/>
        <v>18.899999999999999</v>
      </c>
      <c r="J29" s="28">
        <f t="shared" si="1"/>
        <v>18.7</v>
      </c>
      <c r="K29" s="28">
        <f t="shared" si="1"/>
        <v>18.8</v>
      </c>
      <c r="L29" s="28">
        <f t="shared" si="1"/>
        <v>17.8</v>
      </c>
      <c r="M29" s="28">
        <f t="shared" si="1"/>
        <v>18.399999999999999</v>
      </c>
      <c r="N29" s="28">
        <f t="shared" si="1"/>
        <v>19.2</v>
      </c>
      <c r="O29" s="28">
        <f t="shared" si="1"/>
        <v>19.899999999999999</v>
      </c>
      <c r="P29" s="28">
        <f t="shared" si="1"/>
        <v>20.6</v>
      </c>
      <c r="Q29" s="28">
        <f t="shared" si="1"/>
        <v>20.6</v>
      </c>
      <c r="R29" s="28">
        <f t="shared" si="1"/>
        <v>19.899999999999999</v>
      </c>
      <c r="S29" s="28">
        <f t="shared" si="1"/>
        <v>19.899999999999999</v>
      </c>
      <c r="T29" s="28">
        <f t="shared" si="1"/>
        <v>19.399999999999999</v>
      </c>
      <c r="U29" s="28">
        <f t="shared" si="1"/>
        <v>17</v>
      </c>
      <c r="V29" s="28">
        <f t="shared" si="1"/>
        <v>17.600000000000001</v>
      </c>
      <c r="W29" s="28">
        <f t="shared" si="1"/>
        <v>18.7</v>
      </c>
      <c r="X29" s="28">
        <f t="shared" si="1"/>
        <v>19.7</v>
      </c>
      <c r="Y29" s="28">
        <f t="shared" si="1"/>
        <v>20.2</v>
      </c>
      <c r="Z29" s="28">
        <f t="shared" si="1"/>
        <v>21.2</v>
      </c>
      <c r="AA29" s="28">
        <f t="shared" si="1"/>
        <v>21.2</v>
      </c>
      <c r="AB29" s="28">
        <f t="shared" si="1"/>
        <v>22</v>
      </c>
      <c r="AC29" s="28">
        <f t="shared" si="1"/>
        <v>21.8</v>
      </c>
      <c r="AD29" s="28">
        <f t="shared" si="1"/>
        <v>20.8</v>
      </c>
      <c r="AE29" s="28">
        <f t="shared" si="1"/>
        <v>18.7</v>
      </c>
      <c r="AF29" s="28">
        <f t="shared" si="1"/>
        <v>19.399999999999999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18.8</v>
      </c>
      <c r="C33" s="28">
        <f t="shared" ref="C33:AF33" si="2">MIN(C4:C21)</f>
        <v>19.399999999999999</v>
      </c>
      <c r="D33" s="28">
        <f t="shared" si="2"/>
        <v>19.399999999999999</v>
      </c>
      <c r="E33" s="28">
        <f t="shared" si="2"/>
        <v>20</v>
      </c>
      <c r="F33" s="28">
        <f t="shared" si="2"/>
        <v>20.2</v>
      </c>
      <c r="G33" s="28">
        <f t="shared" si="2"/>
        <v>19.2</v>
      </c>
      <c r="H33" s="28">
        <f t="shared" si="2"/>
        <v>18.7</v>
      </c>
      <c r="I33" s="28">
        <f t="shared" si="2"/>
        <v>18.5</v>
      </c>
      <c r="J33" s="28">
        <f t="shared" si="2"/>
        <v>18.2</v>
      </c>
      <c r="K33" s="28">
        <f t="shared" si="2"/>
        <v>18</v>
      </c>
      <c r="L33" s="28">
        <f t="shared" si="2"/>
        <v>17.399999999999999</v>
      </c>
      <c r="M33" s="28">
        <f t="shared" si="2"/>
        <v>17.399999999999999</v>
      </c>
      <c r="N33" s="28">
        <f t="shared" si="2"/>
        <v>17.399999999999999</v>
      </c>
      <c r="O33" s="28">
        <f t="shared" si="2"/>
        <v>18.2</v>
      </c>
      <c r="P33" s="28">
        <f t="shared" si="2"/>
        <v>19.100000000000001</v>
      </c>
      <c r="Q33" s="28">
        <f t="shared" si="2"/>
        <v>19.600000000000001</v>
      </c>
      <c r="R33" s="28">
        <f t="shared" si="2"/>
        <v>19.399999999999999</v>
      </c>
      <c r="S33" s="28">
        <f t="shared" si="2"/>
        <v>19.399999999999999</v>
      </c>
      <c r="T33" s="28">
        <f t="shared" si="2"/>
        <v>17.600000000000001</v>
      </c>
      <c r="U33" s="28">
        <f t="shared" si="2"/>
        <v>16.7</v>
      </c>
      <c r="V33" s="28">
        <f t="shared" si="2"/>
        <v>16.600000000000001</v>
      </c>
      <c r="W33" s="28">
        <f t="shared" si="2"/>
        <v>17</v>
      </c>
      <c r="X33" s="28">
        <f t="shared" si="2"/>
        <v>18.2</v>
      </c>
      <c r="Y33" s="28">
        <f t="shared" si="2"/>
        <v>19</v>
      </c>
      <c r="Z33" s="28">
        <f t="shared" si="2"/>
        <v>20.100000000000001</v>
      </c>
      <c r="AA33" s="28">
        <f t="shared" si="2"/>
        <v>20.2</v>
      </c>
      <c r="AB33" s="28">
        <f t="shared" si="2"/>
        <v>20.399999999999999</v>
      </c>
      <c r="AC33" s="28">
        <f t="shared" si="2"/>
        <v>20.9</v>
      </c>
      <c r="AD33" s="28">
        <f t="shared" si="2"/>
        <v>19.5</v>
      </c>
      <c r="AE33" s="28">
        <f t="shared" si="2"/>
        <v>18.3</v>
      </c>
      <c r="AF33" s="28">
        <f t="shared" si="2"/>
        <v>17.7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2.1999999999999993</v>
      </c>
      <c r="C37" s="28">
        <f t="shared" ref="C37:AF37" si="3">C29-C33</f>
        <v>1.3000000000000007</v>
      </c>
      <c r="D37" s="28">
        <f t="shared" si="3"/>
        <v>1.5</v>
      </c>
      <c r="E37" s="28">
        <f t="shared" si="3"/>
        <v>1.3000000000000007</v>
      </c>
      <c r="F37" s="28">
        <f t="shared" si="3"/>
        <v>0.40000000000000213</v>
      </c>
      <c r="G37" s="28">
        <f t="shared" si="3"/>
        <v>0.69999999999999929</v>
      </c>
      <c r="H37" s="28">
        <f t="shared" si="3"/>
        <v>0.19999999999999929</v>
      </c>
      <c r="I37" s="28">
        <f t="shared" si="3"/>
        <v>0.39999999999999858</v>
      </c>
      <c r="J37" s="28">
        <f t="shared" si="3"/>
        <v>0.5</v>
      </c>
      <c r="K37" s="28">
        <f t="shared" si="3"/>
        <v>0.80000000000000071</v>
      </c>
      <c r="L37" s="28">
        <f t="shared" si="3"/>
        <v>0.40000000000000213</v>
      </c>
      <c r="M37" s="28">
        <f t="shared" si="3"/>
        <v>1</v>
      </c>
      <c r="N37" s="28">
        <f t="shared" si="3"/>
        <v>1.8000000000000007</v>
      </c>
      <c r="O37" s="28">
        <f t="shared" si="3"/>
        <v>1.6999999999999993</v>
      </c>
      <c r="P37" s="28">
        <f t="shared" si="3"/>
        <v>1.5</v>
      </c>
      <c r="Q37" s="28">
        <f t="shared" si="3"/>
        <v>1</v>
      </c>
      <c r="R37" s="28">
        <f t="shared" si="3"/>
        <v>0.5</v>
      </c>
      <c r="S37" s="28">
        <f t="shared" si="3"/>
        <v>0.5</v>
      </c>
      <c r="T37" s="28">
        <f t="shared" si="3"/>
        <v>1.7999999999999972</v>
      </c>
      <c r="U37" s="28">
        <f t="shared" si="3"/>
        <v>0.30000000000000071</v>
      </c>
      <c r="V37" s="28">
        <f t="shared" si="3"/>
        <v>1</v>
      </c>
      <c r="W37" s="28">
        <f t="shared" si="3"/>
        <v>1.6999999999999993</v>
      </c>
      <c r="X37" s="28">
        <f t="shared" si="3"/>
        <v>1.5</v>
      </c>
      <c r="Y37" s="28">
        <f t="shared" si="3"/>
        <v>1.1999999999999993</v>
      </c>
      <c r="Z37" s="28">
        <f t="shared" si="3"/>
        <v>1.0999999999999979</v>
      </c>
      <c r="AA37" s="28">
        <f t="shared" si="3"/>
        <v>1</v>
      </c>
      <c r="AB37" s="28">
        <f t="shared" si="3"/>
        <v>1.6000000000000014</v>
      </c>
      <c r="AC37" s="28">
        <f t="shared" si="3"/>
        <v>0.90000000000000213</v>
      </c>
      <c r="AD37" s="28">
        <f t="shared" si="3"/>
        <v>1.3000000000000007</v>
      </c>
      <c r="AE37" s="28">
        <f t="shared" si="3"/>
        <v>0.39999999999999858</v>
      </c>
      <c r="AF37" s="28">
        <f t="shared" si="3"/>
        <v>1.6999999999999993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19.186917562724012</v>
      </c>
      <c r="I43" s="40"/>
      <c r="J43" s="42"/>
      <c r="K43" s="41">
        <f>MAX(B29:AF29)</f>
        <v>22</v>
      </c>
      <c r="L43" s="42"/>
      <c r="M43" s="42"/>
      <c r="N43" s="41">
        <f>MIN(B33:AF33)</f>
        <v>16.600000000000001</v>
      </c>
      <c r="O43" s="42"/>
      <c r="P43" s="42"/>
      <c r="Q43" s="41">
        <f>K43-N43</f>
        <v>5.3999999999999986</v>
      </c>
      <c r="R43" s="40"/>
      <c r="S43" s="41"/>
      <c r="T43" s="41">
        <f>AVERAGE(B29:AF29)</f>
        <v>19.796774193548384</v>
      </c>
      <c r="U43" s="41"/>
      <c r="V43" s="41">
        <f>AVERAGE(B33:AF33)</f>
        <v>18.725806451612904</v>
      </c>
      <c r="W43" s="41"/>
      <c r="X43" s="41">
        <f>T43-V43</f>
        <v>1.0709677419354797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(a)'!$S10</f>
        <v>18.600000000000001</v>
      </c>
      <c r="C4" s="12">
        <f>'[9]Dia 2 (a)'!$S10</f>
        <v>19.5</v>
      </c>
      <c r="D4" s="12">
        <f>'[9]Dia 3 (a)'!$S10</f>
        <v>20.6</v>
      </c>
      <c r="E4" s="12">
        <f>'[9]Dia 4 (a)'!$S10</f>
        <v>19.600000000000001</v>
      </c>
      <c r="F4" s="12">
        <f>'[9]Dia 5 (a)'!$S10</f>
        <v>17.600000000000001</v>
      </c>
      <c r="G4" s="12">
        <f>'[9]Dia 6 (a)'!$S10</f>
        <v>17</v>
      </c>
      <c r="H4" s="12">
        <f>'[9]Dia 7 (a)'!$S10</f>
        <v>18.100000000000001</v>
      </c>
      <c r="I4" s="12">
        <f>'[9]Dia 8 (a)'!$S10</f>
        <v>17.600000000000001</v>
      </c>
      <c r="J4" s="12">
        <f>'[9]Dia 9 (a)'!$S10</f>
        <v>18.600000000000001</v>
      </c>
      <c r="K4" s="12">
        <f>'[9]Dia 10 (a)'!$S10</f>
        <v>20.2</v>
      </c>
      <c r="L4" s="12">
        <f>'[9]Dia 11 (a)'!$S10</f>
        <v>20.2</v>
      </c>
      <c r="M4" s="12">
        <f>'[9]Dia 12 (a)'!$S10</f>
        <v>18.600000000000001</v>
      </c>
      <c r="N4" s="12">
        <f>'[9]Dia 13 (a)'!$S10</f>
        <v>18.3</v>
      </c>
      <c r="O4" s="12">
        <f>'[9]Dia 14 (a)'!$S10</f>
        <v>19.100000000000001</v>
      </c>
      <c r="P4" s="12">
        <f>'[9]Dia 15 (a)'!$S10</f>
        <v>18.2</v>
      </c>
      <c r="Q4" s="12">
        <f>'[9]Dia 16 (a)'!$S10</f>
        <v>17.600000000000001</v>
      </c>
      <c r="R4" s="12">
        <f>'[9]Dia 17 (a)'!$S10</f>
        <v>17.2</v>
      </c>
      <c r="S4" s="12">
        <f>'[9]Dia 18 (a)'!$S10</f>
        <v>17.2</v>
      </c>
      <c r="T4" s="12">
        <f>'[9]Dia 19 (a)'!$S10</f>
        <v>18.399999999999999</v>
      </c>
      <c r="U4" s="12">
        <f>'[9]Dia 20 (a)'!$S10</f>
        <v>19.7</v>
      </c>
      <c r="V4" s="12">
        <f>'[9]Dia 21 (a)'!$S10</f>
        <v>20.100000000000001</v>
      </c>
      <c r="W4" s="12">
        <f>'[9]Dia 22 (a)'!$S10</f>
        <v>19.399999999999999</v>
      </c>
      <c r="X4" s="12">
        <f>'[9]Dia 23 (a)'!$S10</f>
        <v>19.399999999999999</v>
      </c>
      <c r="Y4" s="12">
        <f>'[9]Dia 24 (a)'!$S10</f>
        <v>19.2</v>
      </c>
      <c r="Z4" s="12">
        <f>'[9]Dia 25 (a)'!$S10</f>
        <v>19.8</v>
      </c>
      <c r="AA4" s="12">
        <f>'[9]Dia 26 (a)'!$S10</f>
        <v>19.8</v>
      </c>
      <c r="AB4" s="12">
        <f>'[9]Dia 27 (a)'!$S10</f>
        <v>18.8</v>
      </c>
      <c r="AC4" s="12">
        <f>'[9]Dia 28 (a)'!$S10</f>
        <v>19.2</v>
      </c>
      <c r="AD4" s="12">
        <f>'[9]Dia 29 (a)'!$S10</f>
        <v>17.899999999999999</v>
      </c>
      <c r="AE4" s="12">
        <f>'[9]Dia 30 (a)'!$S10</f>
        <v>17.5</v>
      </c>
      <c r="AF4" s="13"/>
      <c r="AG4" s="14"/>
    </row>
    <row r="5" spans="1:33" ht="20.100000000000001" customHeight="1">
      <c r="A5" s="11">
        <v>8</v>
      </c>
      <c r="B5" s="12">
        <f>'[9]Dia 1 (a)'!$S11</f>
        <v>18.600000000000001</v>
      </c>
      <c r="C5" s="12">
        <f>'[9]Dia 2 (a)'!$S11</f>
        <v>19.600000000000001</v>
      </c>
      <c r="D5" s="12">
        <f>'[9]Dia 3 (a)'!$S11</f>
        <v>20.6</v>
      </c>
      <c r="E5" s="12">
        <f>'[9]Dia 4 (a)'!$S11</f>
        <v>19.5</v>
      </c>
      <c r="F5" s="12">
        <f>'[9]Dia 5 (a)'!$S11</f>
        <v>17.600000000000001</v>
      </c>
      <c r="G5" s="12">
        <f>'[9]Dia 6 (a)'!$S11</f>
        <v>17</v>
      </c>
      <c r="H5" s="12">
        <f>'[9]Dia 7 (a)'!$S11</f>
        <v>18.100000000000001</v>
      </c>
      <c r="I5" s="12">
        <f>'[9]Dia 8 (a)'!$S11</f>
        <v>17.600000000000001</v>
      </c>
      <c r="J5" s="12">
        <f>'[9]Dia 9 (a)'!$S11</f>
        <v>18.600000000000001</v>
      </c>
      <c r="K5" s="12">
        <f>'[9]Dia 10 (a)'!$S11</f>
        <v>20.2</v>
      </c>
      <c r="L5" s="12">
        <f>'[9]Dia 11 (a)'!$S11</f>
        <v>20.2</v>
      </c>
      <c r="M5" s="12">
        <f>'[9]Dia 12 (a)'!$S11</f>
        <v>18.5</v>
      </c>
      <c r="N5" s="12">
        <f>'[9]Dia 13 (a)'!$S11</f>
        <v>18.100000000000001</v>
      </c>
      <c r="O5" s="12">
        <f>'[9]Dia 14 (a)'!$S11</f>
        <v>19.100000000000001</v>
      </c>
      <c r="P5" s="12">
        <f>'[9]Dia 15 (a)'!$S11</f>
        <v>18.2</v>
      </c>
      <c r="Q5" s="12">
        <f>'[9]Dia 16 (a)'!$S11</f>
        <v>17.600000000000001</v>
      </c>
      <c r="R5" s="12">
        <f>'[9]Dia 17 (a)'!$S11</f>
        <v>17.2</v>
      </c>
      <c r="S5" s="12">
        <f>'[9]Dia 18 (a)'!$S11</f>
        <v>17.2</v>
      </c>
      <c r="T5" s="12">
        <f>'[9]Dia 19 (a)'!$S11</f>
        <v>18.399999999999999</v>
      </c>
      <c r="U5" s="12">
        <f>'[9]Dia 20 (a)'!$S11</f>
        <v>19.7</v>
      </c>
      <c r="V5" s="12">
        <f>'[9]Dia 21 (a)'!$S11</f>
        <v>20.100000000000001</v>
      </c>
      <c r="W5" s="12">
        <f>'[9]Dia 22 (a)'!$S11</f>
        <v>19.399999999999999</v>
      </c>
      <c r="X5" s="12">
        <f>'[9]Dia 23 (a)'!$S11</f>
        <v>19.399999999999999</v>
      </c>
      <c r="Y5" s="12">
        <f>'[9]Dia 24 (a)'!$S11</f>
        <v>19.2</v>
      </c>
      <c r="Z5" s="12">
        <f>'[9]Dia 25 (a)'!$S11</f>
        <v>19.8</v>
      </c>
      <c r="AA5" s="12">
        <f>'[9]Dia 26 (a)'!$S11</f>
        <v>19.7</v>
      </c>
      <c r="AB5" s="12">
        <f>'[9]Dia 27 (a)'!$S11</f>
        <v>18.8</v>
      </c>
      <c r="AC5" s="12">
        <f>'[9]Dia 28 (a)'!$S11</f>
        <v>19.100000000000001</v>
      </c>
      <c r="AD5" s="12">
        <f>'[9]Dia 29 (a)'!$S11</f>
        <v>17.8</v>
      </c>
      <c r="AE5" s="12">
        <f>'[9]Dia 30 (a)'!$S11</f>
        <v>17.5</v>
      </c>
      <c r="AF5" s="13"/>
      <c r="AG5" s="14"/>
    </row>
    <row r="6" spans="1:33" ht="20.100000000000001" customHeight="1">
      <c r="A6" s="11">
        <v>9</v>
      </c>
      <c r="B6" s="12">
        <f>'[9]Dia 1 (a)'!$S12</f>
        <v>18.600000000000001</v>
      </c>
      <c r="C6" s="12">
        <f>'[9]Dia 2 (a)'!$S12</f>
        <v>19.600000000000001</v>
      </c>
      <c r="D6" s="12">
        <f>'[9]Dia 3 (a)'!$S12</f>
        <v>20.5</v>
      </c>
      <c r="E6" s="12">
        <f>'[9]Dia 4 (a)'!$S12</f>
        <v>19.3</v>
      </c>
      <c r="F6" s="12">
        <f>'[9]Dia 5 (a)'!$S12</f>
        <v>17.8</v>
      </c>
      <c r="G6" s="12">
        <f>'[9]Dia 6 (a)'!$S12</f>
        <v>17.2</v>
      </c>
      <c r="H6" s="12">
        <f>'[9]Dia 7 (a)'!$S12</f>
        <v>18.100000000000001</v>
      </c>
      <c r="I6" s="12">
        <f>'[9]Dia 8 (a)'!$S12</f>
        <v>17.5</v>
      </c>
      <c r="J6" s="12">
        <f>'[9]Dia 9 (a)'!$S12</f>
        <v>18.7</v>
      </c>
      <c r="K6" s="12">
        <f>'[9]Dia 10 (a)'!$S12</f>
        <v>20.2</v>
      </c>
      <c r="L6" s="12">
        <f>'[9]Dia 11 (a)'!$S12</f>
        <v>20.100000000000001</v>
      </c>
      <c r="M6" s="12">
        <f>'[9]Dia 12 (a)'!$S12</f>
        <v>18.5</v>
      </c>
      <c r="N6" s="12">
        <f>'[9]Dia 13 (a)'!$S12</f>
        <v>18.2</v>
      </c>
      <c r="O6" s="12">
        <f>'[9]Dia 14 (a)'!$S12</f>
        <v>19</v>
      </c>
      <c r="P6" s="12">
        <f>'[9]Dia 15 (a)'!$S12</f>
        <v>18.2</v>
      </c>
      <c r="Q6" s="12">
        <f>'[9]Dia 16 (a)'!$S12</f>
        <v>17.600000000000001</v>
      </c>
      <c r="R6" s="12">
        <f>'[9]Dia 17 (a)'!$S12</f>
        <v>17.2</v>
      </c>
      <c r="S6" s="12">
        <f>'[9]Dia 18 (a)'!$S12</f>
        <v>17.2</v>
      </c>
      <c r="T6" s="12">
        <f>'[9]Dia 19 (a)'!$S12</f>
        <v>18.399999999999999</v>
      </c>
      <c r="U6" s="12">
        <f>'[9]Dia 20 (a)'!$S12</f>
        <v>19.600000000000001</v>
      </c>
      <c r="V6" s="12">
        <f>'[9]Dia 21 (a)'!$S12</f>
        <v>20</v>
      </c>
      <c r="W6" s="12">
        <f>'[9]Dia 22 (a)'!$S12</f>
        <v>19.399999999999999</v>
      </c>
      <c r="X6" s="12">
        <f>'[9]Dia 23 (a)'!$S12</f>
        <v>19.399999999999999</v>
      </c>
      <c r="Y6" s="12">
        <f>'[9]Dia 24 (a)'!$S12</f>
        <v>19.399999999999999</v>
      </c>
      <c r="Z6" s="12">
        <f>'[9]Dia 25 (a)'!$S12</f>
        <v>19.600000000000001</v>
      </c>
      <c r="AA6" s="12">
        <f>'[9]Dia 26 (a)'!$S12</f>
        <v>19.600000000000001</v>
      </c>
      <c r="AB6" s="12">
        <f>'[9]Dia 27 (a)'!$S12</f>
        <v>18.399999999999999</v>
      </c>
      <c r="AC6" s="12">
        <f>'[9]Dia 28 (a)'!$S12</f>
        <v>19</v>
      </c>
      <c r="AD6" s="12">
        <f>'[9]Dia 29 (a)'!$S12</f>
        <v>17.8</v>
      </c>
      <c r="AE6" s="12">
        <f>'[9]Dia 30 (a)'!$S12</f>
        <v>17.399999999999999</v>
      </c>
      <c r="AF6" s="13"/>
      <c r="AG6" s="14"/>
    </row>
    <row r="7" spans="1:33" ht="20.100000000000001" customHeight="1">
      <c r="A7" s="11">
        <v>10</v>
      </c>
      <c r="B7" s="12">
        <f>'[9]Dia 1 (a)'!$S13</f>
        <v>18.399999999999999</v>
      </c>
      <c r="C7" s="12">
        <f>'[9]Dia 2 (a)'!$S13</f>
        <v>19.5</v>
      </c>
      <c r="D7" s="12">
        <f>'[9]Dia 3 (a)'!$S13</f>
        <v>20.399999999999999</v>
      </c>
      <c r="E7" s="12">
        <f>'[9]Dia 4 (a)'!$S13</f>
        <v>19.3</v>
      </c>
      <c r="F7" s="12">
        <f>'[9]Dia 5 (a)'!$S13</f>
        <v>17.8</v>
      </c>
      <c r="G7" s="12">
        <f>'[9]Dia 6 (a)'!$S13</f>
        <v>17.399999999999999</v>
      </c>
      <c r="H7" s="12">
        <f>'[9]Dia 7 (a)'!$S13</f>
        <v>18.100000000000001</v>
      </c>
      <c r="I7" s="12">
        <f>'[9]Dia 8 (a)'!$S13</f>
        <v>17.5</v>
      </c>
      <c r="J7" s="12">
        <f>'[9]Dia 9 (a)'!$S13</f>
        <v>18.7</v>
      </c>
      <c r="K7" s="12">
        <f>'[9]Dia 10 (a)'!$S13</f>
        <v>20.2</v>
      </c>
      <c r="L7" s="12">
        <f>'[9]Dia 11 (a)'!$S13</f>
        <v>20.100000000000001</v>
      </c>
      <c r="M7" s="12">
        <f>'[9]Dia 12 (a)'!$S13</f>
        <v>18.399999999999999</v>
      </c>
      <c r="N7" s="12">
        <f>'[9]Dia 13 (a)'!$S13</f>
        <v>18.2</v>
      </c>
      <c r="O7" s="12">
        <f>'[9]Dia 14 (a)'!$S13</f>
        <v>19</v>
      </c>
      <c r="P7" s="12">
        <f>'[9]Dia 15 (a)'!$S13</f>
        <v>18.2</v>
      </c>
      <c r="Q7" s="12">
        <f>'[9]Dia 16 (a)'!$S13</f>
        <v>17.600000000000001</v>
      </c>
      <c r="R7" s="12">
        <f>'[9]Dia 17 (a)'!$S13</f>
        <v>17.2</v>
      </c>
      <c r="S7" s="12">
        <f>'[9]Dia 18 (a)'!$S13</f>
        <v>17.100000000000001</v>
      </c>
      <c r="T7" s="12">
        <f>'[9]Dia 19 (a)'!$S13</f>
        <v>18.399999999999999</v>
      </c>
      <c r="U7" s="12">
        <f>'[9]Dia 20 (a)'!$S13</f>
        <v>19.600000000000001</v>
      </c>
      <c r="V7" s="12">
        <f>'[9]Dia 21 (a)'!$S13</f>
        <v>20</v>
      </c>
      <c r="W7" s="12">
        <f>'[9]Dia 22 (a)'!$S13</f>
        <v>19.399999999999999</v>
      </c>
      <c r="X7" s="12">
        <f>'[9]Dia 23 (a)'!$S13</f>
        <v>19.399999999999999</v>
      </c>
      <c r="Y7" s="12">
        <f>'[9]Dia 24 (a)'!$S13</f>
        <v>19</v>
      </c>
      <c r="Z7" s="12">
        <f>'[9]Dia 25 (a)'!$S13</f>
        <v>19.399999999999999</v>
      </c>
      <c r="AA7" s="12">
        <f>'[9]Dia 26 (a)'!$S13</f>
        <v>19.600000000000001</v>
      </c>
      <c r="AB7" s="12">
        <f>'[9]Dia 27 (a)'!$S13</f>
        <v>18.399999999999999</v>
      </c>
      <c r="AC7" s="12">
        <f>'[9]Dia 28 (a)'!$S13</f>
        <v>19</v>
      </c>
      <c r="AD7" s="12">
        <f>'[9]Dia 29 (a)'!$S13</f>
        <v>17.8</v>
      </c>
      <c r="AE7" s="12">
        <f>'[9]Dia 30 (a)'!$S13</f>
        <v>17.5</v>
      </c>
      <c r="AF7" s="13"/>
      <c r="AG7" s="14"/>
    </row>
    <row r="8" spans="1:33" ht="20.100000000000001" customHeight="1">
      <c r="A8" s="11">
        <v>11</v>
      </c>
      <c r="B8" s="12">
        <f>'[9]Dia 1 (a)'!$S14</f>
        <v>18.399999999999999</v>
      </c>
      <c r="C8" s="12">
        <f>'[9]Dia 2 (a)'!$S14</f>
        <v>19.5</v>
      </c>
      <c r="D8" s="12">
        <f>'[9]Dia 3 (a)'!$S14</f>
        <v>20.399999999999999</v>
      </c>
      <c r="E8" s="12">
        <f>'[9]Dia 4 (a)'!$S14</f>
        <v>19.2</v>
      </c>
      <c r="F8" s="12">
        <f>'[9]Dia 5 (a)'!$S14</f>
        <v>17.600000000000001</v>
      </c>
      <c r="G8" s="12">
        <f>'[9]Dia 6 (a)'!$S14</f>
        <v>17.399999999999999</v>
      </c>
      <c r="H8" s="12">
        <f>'[9]Dia 7 (a)'!$S14</f>
        <v>18</v>
      </c>
      <c r="I8" s="12">
        <f>'[9]Dia 8 (a)'!$S14</f>
        <v>17.600000000000001</v>
      </c>
      <c r="J8" s="12">
        <f>'[9]Dia 9 (a)'!$S14</f>
        <v>18.8</v>
      </c>
      <c r="K8" s="12">
        <f>'[9]Dia 10 (a)'!$S14</f>
        <v>20</v>
      </c>
      <c r="L8" s="12">
        <f>'[9]Dia 11 (a)'!$S14</f>
        <v>20</v>
      </c>
      <c r="M8" s="12">
        <f>'[9]Dia 12 (a)'!$S14</f>
        <v>18.399999999999999</v>
      </c>
      <c r="N8" s="12">
        <f>'[9]Dia 13 (a)'!$S14</f>
        <v>18.2</v>
      </c>
      <c r="O8" s="12">
        <f>'[9]Dia 14 (a)'!$S14</f>
        <v>19</v>
      </c>
      <c r="P8" s="12">
        <f>'[9]Dia 15 (a)'!$S14</f>
        <v>18.2</v>
      </c>
      <c r="Q8" s="12">
        <f>'[9]Dia 16 (a)'!$S14</f>
        <v>17.399999999999999</v>
      </c>
      <c r="R8" s="12">
        <f>'[9]Dia 17 (a)'!$S14</f>
        <v>17.100000000000001</v>
      </c>
      <c r="S8" s="12">
        <f>'[9]Dia 18 (a)'!$S14</f>
        <v>17</v>
      </c>
      <c r="T8" s="12">
        <f>'[9]Dia 19 (a)'!$S14</f>
        <v>18.399999999999999</v>
      </c>
      <c r="U8" s="12">
        <f>'[9]Dia 20 (a)'!$S14</f>
        <v>19.600000000000001</v>
      </c>
      <c r="V8" s="12">
        <f>'[9]Dia 21 (a)'!$S14</f>
        <v>20</v>
      </c>
      <c r="W8" s="12">
        <f>'[9]Dia 22 (a)'!$S14</f>
        <v>19.399999999999999</v>
      </c>
      <c r="X8" s="12">
        <f>'[9]Dia 23 (a)'!$S14</f>
        <v>19.399999999999999</v>
      </c>
      <c r="Y8" s="12">
        <f>'[9]Dia 24 (a)'!$S14</f>
        <v>18.8</v>
      </c>
      <c r="Z8" s="12">
        <f>'[9]Dia 25 (a)'!$S14</f>
        <v>19.399999999999999</v>
      </c>
      <c r="AA8" s="12">
        <f>'[9]Dia 26 (a)'!$S14</f>
        <v>19.600000000000001</v>
      </c>
      <c r="AB8" s="12">
        <f>'[9]Dia 27 (a)'!$S14</f>
        <v>18.600000000000001</v>
      </c>
      <c r="AC8" s="12">
        <f>'[9]Dia 28 (a)'!$S14</f>
        <v>19</v>
      </c>
      <c r="AD8" s="12">
        <f>'[9]Dia 29 (a)'!$S14</f>
        <v>17.8</v>
      </c>
      <c r="AE8" s="12">
        <f>'[9]Dia 30 (a)'!$S14</f>
        <v>17.399999999999999</v>
      </c>
      <c r="AF8" s="13"/>
      <c r="AG8" s="14"/>
    </row>
    <row r="9" spans="1:33" ht="20.100000000000001" customHeight="1">
      <c r="A9" s="11">
        <v>12</v>
      </c>
      <c r="B9" s="12">
        <f>'[9]Dia 1 (a)'!$S15</f>
        <v>18.5</v>
      </c>
      <c r="C9" s="12">
        <f>'[9]Dia 2 (a)'!$S15</f>
        <v>19.5</v>
      </c>
      <c r="D9" s="12">
        <f>'[9]Dia 3 (a)'!$S15</f>
        <v>20.2</v>
      </c>
      <c r="E9" s="12">
        <f>'[9]Dia 4 (a)'!$S15</f>
        <v>19.100000000000001</v>
      </c>
      <c r="F9" s="12">
        <f>'[9]Dia 5 (a)'!$S15</f>
        <v>17.600000000000001</v>
      </c>
      <c r="G9" s="12">
        <f>'[9]Dia 6 (a)'!$S15</f>
        <v>17.399999999999999</v>
      </c>
      <c r="H9" s="12">
        <f>'[9]Dia 7 (a)'!$S15</f>
        <v>17.899999999999999</v>
      </c>
      <c r="I9" s="12">
        <f>'[9]Dia 8 (a)'!$S15</f>
        <v>17.5</v>
      </c>
      <c r="J9" s="12">
        <f>'[9]Dia 9 (a)'!$S15</f>
        <v>18.8</v>
      </c>
      <c r="K9" s="12">
        <f>'[9]Dia 10 (a)'!$S15</f>
        <v>20</v>
      </c>
      <c r="L9" s="12">
        <f>'[9]Dia 11 (a)'!$S15</f>
        <v>19.8</v>
      </c>
      <c r="M9" s="12">
        <f>'[9]Dia 12 (a)'!$S15</f>
        <v>18.399999999999999</v>
      </c>
      <c r="N9" s="12">
        <f>'[9]Dia 13 (a)'!$S15</f>
        <v>18.3</v>
      </c>
      <c r="O9" s="12">
        <f>'[9]Dia 14 (a)'!$S15</f>
        <v>18.899999999999999</v>
      </c>
      <c r="P9" s="12">
        <f>'[9]Dia 15 (a)'!$S15</f>
        <v>18.2</v>
      </c>
      <c r="Q9" s="12">
        <f>'[9]Dia 16 (a)'!$S15</f>
        <v>17.399999999999999</v>
      </c>
      <c r="R9" s="12">
        <f>'[9]Dia 17 (a)'!$S15</f>
        <v>17.100000000000001</v>
      </c>
      <c r="S9" s="12">
        <f>'[9]Dia 18 (a)'!$S15</f>
        <v>17</v>
      </c>
      <c r="T9" s="12">
        <f>'[9]Dia 19 (a)'!$S15</f>
        <v>18.399999999999999</v>
      </c>
      <c r="U9" s="12">
        <f>'[9]Dia 20 (a)'!$S15</f>
        <v>19.600000000000001</v>
      </c>
      <c r="V9" s="12">
        <f>'[9]Dia 21 (a)'!$S15</f>
        <v>20</v>
      </c>
      <c r="W9" s="12">
        <f>'[9]Dia 22 (a)'!$S15</f>
        <v>19.2</v>
      </c>
      <c r="X9" s="12">
        <f>'[9]Dia 23 (a)'!$S15</f>
        <v>19.399999999999999</v>
      </c>
      <c r="Y9" s="12">
        <f>'[9]Dia 24 (a)'!$S15</f>
        <v>18.8</v>
      </c>
      <c r="Z9" s="12">
        <f>'[9]Dia 25 (a)'!$S15</f>
        <v>19.399999999999999</v>
      </c>
      <c r="AA9" s="12">
        <f>'[9]Dia 26 (a)'!$S15</f>
        <v>19.600000000000001</v>
      </c>
      <c r="AB9" s="12">
        <f>'[9]Dia 27 (a)'!$S15</f>
        <v>18.600000000000001</v>
      </c>
      <c r="AC9" s="12">
        <f>'[9]Dia 28 (a)'!$S15</f>
        <v>18.899999999999999</v>
      </c>
      <c r="AD9" s="12">
        <f>'[9]Dia 29 (a)'!$S15</f>
        <v>17.7</v>
      </c>
      <c r="AE9" s="12">
        <f>'[9]Dia 30 (a)'!$S15</f>
        <v>17.399999999999999</v>
      </c>
      <c r="AF9" s="13"/>
      <c r="AG9" s="14"/>
    </row>
    <row r="10" spans="1:33" ht="20.100000000000001" customHeight="1">
      <c r="A10" s="11">
        <v>13</v>
      </c>
      <c r="B10" s="12">
        <f>'[9]Dia 1 (a)'!$S16</f>
        <v>18.5</v>
      </c>
      <c r="C10" s="12">
        <f>'[9]Dia 2 (a)'!$S16</f>
        <v>19.5</v>
      </c>
      <c r="D10" s="12">
        <f>'[9]Dia 3 (a)'!$S16</f>
        <v>20.2</v>
      </c>
      <c r="E10" s="12">
        <f>'[9]Dia 4 (a)'!$S16</f>
        <v>19</v>
      </c>
      <c r="F10" s="12">
        <f>'[9]Dia 5 (a)'!$S16</f>
        <v>17.600000000000001</v>
      </c>
      <c r="G10" s="12">
        <f>'[9]Dia 6 (a)'!$S16</f>
        <v>17.399999999999999</v>
      </c>
      <c r="H10" s="12">
        <f>'[9]Dia 7 (a)'!$S16</f>
        <v>17.899999999999999</v>
      </c>
      <c r="I10" s="12">
        <f>'[9]Dia 8 (a)'!$S16</f>
        <v>17.8</v>
      </c>
      <c r="J10" s="12">
        <f>'[9]Dia 9 (a)'!$S16</f>
        <v>19</v>
      </c>
      <c r="K10" s="12">
        <f>'[9]Dia 10 (a)'!$S16</f>
        <v>20</v>
      </c>
      <c r="L10" s="12">
        <f>'[9]Dia 11 (a)'!$S16</f>
        <v>19.600000000000001</v>
      </c>
      <c r="M10" s="12">
        <f>'[9]Dia 12 (a)'!$S16</f>
        <v>18.399999999999999</v>
      </c>
      <c r="N10" s="12">
        <f>'[9]Dia 13 (a)'!$S16</f>
        <v>18.3</v>
      </c>
      <c r="O10" s="12">
        <f>'[9]Dia 14 (a)'!$S16</f>
        <v>18.899999999999999</v>
      </c>
      <c r="P10" s="12">
        <f>'[9]Dia 15 (a)'!$S16</f>
        <v>18.100000000000001</v>
      </c>
      <c r="Q10" s="12">
        <f>'[9]Dia 16 (a)'!$S16</f>
        <v>17.5</v>
      </c>
      <c r="R10" s="12">
        <f>'[9]Dia 17 (a)'!$S16</f>
        <v>17.2</v>
      </c>
      <c r="S10" s="12">
        <f>'[9]Dia 18 (a)'!$S16</f>
        <v>17.2</v>
      </c>
      <c r="T10" s="12">
        <f>'[9]Dia 19 (a)'!$S16</f>
        <v>18.5</v>
      </c>
      <c r="U10" s="12">
        <f>'[9]Dia 20 (a)'!$S16</f>
        <v>19.600000000000001</v>
      </c>
      <c r="V10" s="12">
        <f>'[9]Dia 21 (a)'!$S16</f>
        <v>19.899999999999999</v>
      </c>
      <c r="W10" s="12">
        <f>'[9]Dia 22 (a)'!$S16</f>
        <v>19.399999999999999</v>
      </c>
      <c r="X10" s="12">
        <f>'[9]Dia 23 (a)'!$S16</f>
        <v>19.5</v>
      </c>
      <c r="Y10" s="12">
        <f>'[9]Dia 24 (a)'!$S16</f>
        <v>18.8</v>
      </c>
      <c r="Z10" s="12">
        <f>'[9]Dia 25 (a)'!$S16</f>
        <v>19.600000000000001</v>
      </c>
      <c r="AA10" s="12">
        <f>'[9]Dia 26 (a)'!$S16</f>
        <v>19.399999999999999</v>
      </c>
      <c r="AB10" s="12">
        <f>'[9]Dia 27 (a)'!$S16</f>
        <v>18.399999999999999</v>
      </c>
      <c r="AC10" s="12">
        <f>'[9]Dia 28 (a)'!$S16</f>
        <v>18.8</v>
      </c>
      <c r="AD10" s="12">
        <f>'[9]Dia 29 (a)'!$S16</f>
        <v>17.7</v>
      </c>
      <c r="AE10" s="12">
        <f>'[9]Dia 30 (a)'!$S16</f>
        <v>17.399999999999999</v>
      </c>
      <c r="AF10" s="13"/>
      <c r="AG10" s="14"/>
    </row>
    <row r="11" spans="1:33" ht="20.100000000000001" customHeight="1">
      <c r="A11" s="11">
        <v>14</v>
      </c>
      <c r="B11" s="12">
        <f>'[9]Dia 1 (a)'!$S17</f>
        <v>18.600000000000001</v>
      </c>
      <c r="C11" s="12">
        <f>'[9]Dia 2 (a)'!$S17</f>
        <v>19.600000000000001</v>
      </c>
      <c r="D11" s="12">
        <f>'[9]Dia 3 (a)'!$S17</f>
        <v>20.2</v>
      </c>
      <c r="E11" s="12">
        <f>'[9]Dia 4 (a)'!$S17</f>
        <v>18.899999999999999</v>
      </c>
      <c r="F11" s="12">
        <f>'[9]Dia 5 (a)'!$S17</f>
        <v>17.600000000000001</v>
      </c>
      <c r="G11" s="12">
        <f>'[9]Dia 6 (a)'!$S17</f>
        <v>17.399999999999999</v>
      </c>
      <c r="H11" s="12">
        <f>'[9]Dia 7 (a)'!$S17</f>
        <v>17.899999999999999</v>
      </c>
      <c r="I11" s="12">
        <f>'[9]Dia 8 (a)'!$S17</f>
        <v>17.8</v>
      </c>
      <c r="J11" s="12">
        <f>'[9]Dia 9 (a)'!$S17</f>
        <v>19.2</v>
      </c>
      <c r="K11" s="12">
        <f>'[9]Dia 10 (a)'!$S17</f>
        <v>20.2</v>
      </c>
      <c r="L11" s="12">
        <f>'[9]Dia 11 (a)'!$S17</f>
        <v>19.600000000000001</v>
      </c>
      <c r="M11" s="12">
        <f>'[9]Dia 12 (a)'!$S17</f>
        <v>18.399999999999999</v>
      </c>
      <c r="N11" s="12">
        <f>'[9]Dia 13 (a)'!$S17</f>
        <v>18.399999999999999</v>
      </c>
      <c r="O11" s="12">
        <f>'[9]Dia 14 (a)'!$S17</f>
        <v>18.899999999999999</v>
      </c>
      <c r="P11" s="12">
        <f>'[9]Dia 15 (a)'!$S17</f>
        <v>18</v>
      </c>
      <c r="Q11" s="12">
        <f>'[9]Dia 16 (a)'!$S17</f>
        <v>17.399999999999999</v>
      </c>
      <c r="R11" s="12">
        <f>'[9]Dia 17 (a)'!$S17</f>
        <v>17.2</v>
      </c>
      <c r="S11" s="12">
        <f>'[9]Dia 18 (a)'!$S17</f>
        <v>17.3</v>
      </c>
      <c r="T11" s="12">
        <f>'[9]Dia 19 (a)'!$S17</f>
        <v>18.600000000000001</v>
      </c>
      <c r="U11" s="12">
        <f>'[9]Dia 20 (a)'!$S17</f>
        <v>19.7</v>
      </c>
      <c r="V11" s="12">
        <f>'[9]Dia 21 (a)'!$S17</f>
        <v>19.8</v>
      </c>
      <c r="W11" s="12">
        <f>'[9]Dia 22 (a)'!$S17</f>
        <v>19.2</v>
      </c>
      <c r="X11" s="12">
        <f>'[9]Dia 23 (a)'!$S17</f>
        <v>19.600000000000001</v>
      </c>
      <c r="Y11" s="12">
        <f>'[9]Dia 24 (a)'!$S17</f>
        <v>19.2</v>
      </c>
      <c r="Z11" s="12">
        <f>'[9]Dia 25 (a)'!$S17</f>
        <v>19.2</v>
      </c>
      <c r="AA11" s="12">
        <f>'[9]Dia 26 (a)'!$S17</f>
        <v>19.399999999999999</v>
      </c>
      <c r="AB11" s="12">
        <f>'[9]Dia 27 (a)'!$S17</f>
        <v>18.600000000000001</v>
      </c>
      <c r="AC11" s="12">
        <f>'[9]Dia 28 (a)'!$S17</f>
        <v>18.8</v>
      </c>
      <c r="AD11" s="12">
        <f>'[9]Dia 29 (a)'!$S17</f>
        <v>17.7</v>
      </c>
      <c r="AE11" s="12">
        <f>'[9]Dia 30 (a)'!$S17</f>
        <v>17.399999999999999</v>
      </c>
      <c r="AF11" s="13"/>
      <c r="AG11" s="14"/>
    </row>
    <row r="12" spans="1:33" ht="20.100000000000001" customHeight="1">
      <c r="A12" s="11">
        <v>15</v>
      </c>
      <c r="B12" s="12">
        <f>'[9]Dia 1 (a)'!$S18</f>
        <v>18.899999999999999</v>
      </c>
      <c r="C12" s="12">
        <f>'[9]Dia 2 (a)'!$S18</f>
        <v>19.8</v>
      </c>
      <c r="D12" s="12">
        <f>'[9]Dia 3 (a)'!$S18</f>
        <v>20.2</v>
      </c>
      <c r="E12" s="12">
        <f>'[9]Dia 4 (a)'!$S18</f>
        <v>18.8</v>
      </c>
      <c r="F12" s="12">
        <f>'[9]Dia 5 (a)'!$S18</f>
        <v>17.8</v>
      </c>
      <c r="G12" s="12">
        <f>'[9]Dia 6 (a)'!$S18</f>
        <v>17.399999999999999</v>
      </c>
      <c r="H12" s="12">
        <f>'[9]Dia 7 (a)'!$S18</f>
        <v>17.8</v>
      </c>
      <c r="I12" s="12">
        <f>'[9]Dia 8 (a)'!$S18</f>
        <v>18</v>
      </c>
      <c r="J12" s="12">
        <f>'[9]Dia 9 (a)'!$S18</f>
        <v>19.399999999999999</v>
      </c>
      <c r="K12" s="12">
        <f>'[9]Dia 10 (a)'!$S18</f>
        <v>20.2</v>
      </c>
      <c r="L12" s="12">
        <f>'[9]Dia 11 (a)'!$S18</f>
        <v>19.600000000000001</v>
      </c>
      <c r="M12" s="12">
        <f>'[9]Dia 12 (a)'!$S18</f>
        <v>18.399999999999999</v>
      </c>
      <c r="N12" s="12">
        <f>'[9]Dia 13 (a)'!$S18</f>
        <v>18.5</v>
      </c>
      <c r="O12" s="12">
        <f>'[9]Dia 14 (a)'!$S18</f>
        <v>18.899999999999999</v>
      </c>
      <c r="P12" s="12">
        <f>'[9]Dia 15 (a)'!$S18</f>
        <v>18</v>
      </c>
      <c r="Q12" s="12">
        <f>'[9]Dia 16 (a)'!$S18</f>
        <v>17.399999999999999</v>
      </c>
      <c r="R12" s="12">
        <f>'[9]Dia 17 (a)'!$S18</f>
        <v>17.2</v>
      </c>
      <c r="S12" s="12">
        <f>'[9]Dia 18 (a)'!$S18</f>
        <v>17.600000000000001</v>
      </c>
      <c r="T12" s="12">
        <f>'[9]Dia 19 (a)'!$S18</f>
        <v>18.8</v>
      </c>
      <c r="U12" s="12">
        <f>'[9]Dia 20 (a)'!$S18</f>
        <v>20</v>
      </c>
      <c r="V12" s="12">
        <f>'[9]Dia 21 (a)'!$S18</f>
        <v>19.8</v>
      </c>
      <c r="W12" s="12">
        <f>'[9]Dia 22 (a)'!$S18</f>
        <v>19.399999999999999</v>
      </c>
      <c r="X12" s="12">
        <f>'[9]Dia 23 (a)'!$S18</f>
        <v>19.8</v>
      </c>
      <c r="Y12" s="12">
        <f>'[9]Dia 24 (a)'!$S18</f>
        <v>19</v>
      </c>
      <c r="Z12" s="12">
        <f>'[9]Dia 25 (a)'!$S18</f>
        <v>19.2</v>
      </c>
      <c r="AA12" s="12">
        <f>'[9]Dia 26 (a)'!$S18</f>
        <v>19.399999999999999</v>
      </c>
      <c r="AB12" s="12">
        <f>'[9]Dia 27 (a)'!$S18</f>
        <v>18.8</v>
      </c>
      <c r="AC12" s="12">
        <f>'[9]Dia 28 (a)'!$S18</f>
        <v>18.8</v>
      </c>
      <c r="AD12" s="12">
        <f>'[9]Dia 29 (a)'!$S18</f>
        <v>17.7</v>
      </c>
      <c r="AE12" s="12">
        <f>'[9]Dia 30 (a)'!$S18</f>
        <v>17.399999999999999</v>
      </c>
      <c r="AF12" s="13"/>
      <c r="AG12" s="14"/>
    </row>
    <row r="13" spans="1:33" ht="20.100000000000001" customHeight="1">
      <c r="A13" s="11">
        <v>16</v>
      </c>
      <c r="B13" s="12">
        <f>'[9]Dia 1 (a)'!$S19</f>
        <v>18</v>
      </c>
      <c r="C13" s="12">
        <f>'[9]Dia 2 (a)'!$S19</f>
        <v>20</v>
      </c>
      <c r="D13" s="12">
        <f>'[9]Dia 3 (a)'!$S19</f>
        <v>20.2</v>
      </c>
      <c r="E13" s="12">
        <f>'[9]Dia 4 (a)'!$S19</f>
        <v>18.8</v>
      </c>
      <c r="F13" s="12">
        <f>'[9]Dia 5 (a)'!$S19</f>
        <v>17.7</v>
      </c>
      <c r="G13" s="12">
        <f>'[9]Dia 6 (a)'!$S19</f>
        <v>17.8</v>
      </c>
      <c r="H13" s="12">
        <f>'[9]Dia 7 (a)'!$S19</f>
        <v>17.7</v>
      </c>
      <c r="I13" s="12">
        <f>'[9]Dia 8 (a)'!$S19</f>
        <v>18.3</v>
      </c>
      <c r="J13" s="12">
        <f>'[9]Dia 9 (a)'!$S19</f>
        <v>19.3</v>
      </c>
      <c r="K13" s="12">
        <f>'[9]Dia 10 (a)'!$S19</f>
        <v>20.8</v>
      </c>
      <c r="L13" s="12">
        <f>'[9]Dia 11 (a)'!$S19</f>
        <v>19.600000000000001</v>
      </c>
      <c r="M13" s="12">
        <f>'[9]Dia 12 (a)'!$S19</f>
        <v>18.2</v>
      </c>
      <c r="N13" s="12">
        <f>'[9]Dia 13 (a)'!$S19</f>
        <v>18.399999999999999</v>
      </c>
      <c r="O13" s="12">
        <f>'[9]Dia 14 (a)'!$S19</f>
        <v>18.899999999999999</v>
      </c>
      <c r="P13" s="12">
        <f>'[9]Dia 15 (a)'!$S19</f>
        <v>18.100000000000001</v>
      </c>
      <c r="Q13" s="12">
        <f>'[9]Dia 16 (a)'!$S19</f>
        <v>17.600000000000001</v>
      </c>
      <c r="R13" s="12">
        <f>'[9]Dia 17 (a)'!$S19</f>
        <v>17.399999999999999</v>
      </c>
      <c r="S13" s="12">
        <f>'[9]Dia 18 (a)'!$S19</f>
        <v>17.8</v>
      </c>
      <c r="T13" s="12">
        <f>'[9]Dia 19 (a)'!$S19</f>
        <v>19.100000000000001</v>
      </c>
      <c r="U13" s="12">
        <f>'[9]Dia 20 (a)'!$S19</f>
        <v>20.2</v>
      </c>
      <c r="V13" s="12">
        <f>'[9]Dia 21 (a)'!$S19</f>
        <v>20</v>
      </c>
      <c r="W13" s="12">
        <f>'[9]Dia 22 (a)'!$S19</f>
        <v>19.8</v>
      </c>
      <c r="X13" s="12">
        <f>'[9]Dia 23 (a)'!$S19</f>
        <v>20</v>
      </c>
      <c r="Y13" s="12">
        <f>'[9]Dia 24 (a)'!$S19</f>
        <v>19.600000000000001</v>
      </c>
      <c r="Z13" s="12">
        <f>'[9]Dia 25 (a)'!$S19</f>
        <v>19.7</v>
      </c>
      <c r="AA13" s="12">
        <f>'[9]Dia 26 (a)'!$S19</f>
        <v>19.3</v>
      </c>
      <c r="AB13" s="12">
        <f>'[9]Dia 27 (a)'!$S19</f>
        <v>19</v>
      </c>
      <c r="AC13" s="12">
        <f>'[9]Dia 28 (a)'!$S19</f>
        <v>18.8</v>
      </c>
      <c r="AD13" s="12">
        <f>'[9]Dia 29 (a)'!$S19</f>
        <v>17.8</v>
      </c>
      <c r="AE13" s="12">
        <f>'[9]Dia 30 (a)'!$S19</f>
        <v>17.5</v>
      </c>
      <c r="AF13" s="13"/>
      <c r="AG13" s="14"/>
    </row>
    <row r="14" spans="1:33" ht="20.100000000000001" customHeight="1">
      <c r="A14" s="11">
        <v>17</v>
      </c>
      <c r="B14" s="12">
        <f>'[9]Dia 1 (a)'!$S20</f>
        <v>18.600000000000001</v>
      </c>
      <c r="C14" s="12">
        <f>'[9]Dia 2 (a)'!$S20</f>
        <v>20.2</v>
      </c>
      <c r="D14" s="12">
        <f>'[9]Dia 3 (a)'!$S20</f>
        <v>20.399999999999999</v>
      </c>
      <c r="E14" s="12">
        <f>'[9]Dia 4 (a)'!$S20</f>
        <v>18.8</v>
      </c>
      <c r="F14" s="12">
        <f>'[9]Dia 5 (a)'!$S20</f>
        <v>17.8</v>
      </c>
      <c r="G14" s="12">
        <f>'[9]Dia 6 (a)'!$S20</f>
        <v>18</v>
      </c>
      <c r="H14" s="12">
        <f>'[9]Dia 7 (a)'!$S20</f>
        <v>17.899999999999999</v>
      </c>
      <c r="I14" s="12">
        <f>'[9]Dia 8 (a)'!$S20</f>
        <v>18.3</v>
      </c>
      <c r="J14" s="12">
        <f>'[9]Dia 9 (a)'!$S20</f>
        <v>20</v>
      </c>
      <c r="K14" s="12">
        <f>'[9]Dia 10 (a)'!$S20</f>
        <v>21.1</v>
      </c>
      <c r="L14" s="12">
        <f>'[9]Dia 11 (a)'!$S20</f>
        <v>19.600000000000001</v>
      </c>
      <c r="M14" s="12">
        <f>'[9]Dia 12 (a)'!$S20</f>
        <v>18</v>
      </c>
      <c r="N14" s="12">
        <f>'[9]Dia 13 (a)'!$S20</f>
        <v>18.399999999999999</v>
      </c>
      <c r="O14" s="12">
        <f>'[9]Dia 14 (a)'!$S20</f>
        <v>18.8</v>
      </c>
      <c r="P14" s="12">
        <f>'[9]Dia 15 (a)'!$S20</f>
        <v>18.100000000000001</v>
      </c>
      <c r="Q14" s="12">
        <f>'[9]Dia 16 (a)'!$S20</f>
        <v>17.600000000000001</v>
      </c>
      <c r="R14" s="12">
        <f>'[9]Dia 17 (a)'!$S20</f>
        <v>17.5</v>
      </c>
      <c r="S14" s="12">
        <f>'[9]Dia 18 (a)'!$S20</f>
        <v>18</v>
      </c>
      <c r="T14" s="12">
        <f>'[9]Dia 19 (a)'!$S20</f>
        <v>19.399999999999999</v>
      </c>
      <c r="U14" s="12">
        <f>'[9]Dia 20 (a)'!$S20</f>
        <v>20</v>
      </c>
      <c r="V14" s="12">
        <f>'[9]Dia 21 (a)'!$S20</f>
        <v>20</v>
      </c>
      <c r="W14" s="12">
        <f>'[9]Dia 22 (a)'!$S20</f>
        <v>19.899999999999999</v>
      </c>
      <c r="X14" s="12">
        <f>'[9]Dia 23 (a)'!$S20</f>
        <v>20.2</v>
      </c>
      <c r="Y14" s="12">
        <f>'[9]Dia 24 (a)'!$S20</f>
        <v>19.7</v>
      </c>
      <c r="Z14" s="12">
        <f>'[9]Dia 25 (a)'!$S20</f>
        <v>19.899999999999999</v>
      </c>
      <c r="AA14" s="12">
        <f>'[9]Dia 26 (a)'!$S20</f>
        <v>19.3</v>
      </c>
      <c r="AB14" s="12">
        <f>'[9]Dia 27 (a)'!$S20</f>
        <v>19.2</v>
      </c>
      <c r="AC14" s="12">
        <f>'[9]Dia 28 (a)'!$S20</f>
        <v>18.8</v>
      </c>
      <c r="AD14" s="12">
        <f>'[9]Dia 29 (a)'!$S20</f>
        <v>17.8</v>
      </c>
      <c r="AE14" s="12">
        <f>'[9]Dia 30 (a)'!$S20</f>
        <v>17.5</v>
      </c>
      <c r="AF14" s="13"/>
      <c r="AG14" s="14"/>
    </row>
    <row r="15" spans="1:33" ht="20.100000000000001" customHeight="1">
      <c r="A15" s="11">
        <v>18</v>
      </c>
      <c r="B15" s="12">
        <f>'[9]Dia 1 (a)'!$S21</f>
        <v>19.2</v>
      </c>
      <c r="C15" s="12">
        <f>'[9]Dia 2 (a)'!$S21</f>
        <v>20.5</v>
      </c>
      <c r="D15" s="12">
        <f>'[9]Dia 3 (a)'!$S21</f>
        <v>20.5</v>
      </c>
      <c r="E15" s="12">
        <f>'[9]Dia 4 (a)'!$S21</f>
        <v>18.7</v>
      </c>
      <c r="F15" s="12">
        <f>'[9]Dia 5 (a)'!$S21</f>
        <v>17.8</v>
      </c>
      <c r="G15" s="12">
        <f>'[9]Dia 6 (a)'!$S21</f>
        <v>18</v>
      </c>
      <c r="H15" s="12">
        <f>'[9]Dia 7 (a)'!$S21</f>
        <v>17.899999999999999</v>
      </c>
      <c r="I15" s="12">
        <f>'[9]Dia 8 (a)'!$S21</f>
        <v>18.3</v>
      </c>
      <c r="J15" s="12">
        <f>'[9]Dia 9 (a)'!$S21</f>
        <v>20.3</v>
      </c>
      <c r="K15" s="12">
        <f>'[9]Dia 10 (a)'!$S21</f>
        <v>21.2</v>
      </c>
      <c r="L15" s="12">
        <f>'[9]Dia 11 (a)'!$S21</f>
        <v>19.5</v>
      </c>
      <c r="M15" s="12">
        <f>'[9]Dia 12 (a)'!$S21</f>
        <v>18</v>
      </c>
      <c r="N15" s="12">
        <f>'[9]Dia 13 (a)'!$S21</f>
        <v>18.600000000000001</v>
      </c>
      <c r="O15" s="12">
        <f>'[9]Dia 14 (a)'!$S21</f>
        <v>18.8</v>
      </c>
      <c r="P15" s="12">
        <f>'[9]Dia 15 (a)'!$S21</f>
        <v>18.100000000000001</v>
      </c>
      <c r="Q15" s="12">
        <f>'[9]Dia 16 (a)'!$S21</f>
        <v>17.600000000000001</v>
      </c>
      <c r="R15" s="12">
        <f>'[9]Dia 17 (a)'!$S21</f>
        <v>17.600000000000001</v>
      </c>
      <c r="S15" s="12">
        <f>'[9]Dia 18 (a)'!$S21</f>
        <v>18.399999999999999</v>
      </c>
      <c r="T15" s="12">
        <f>'[9]Dia 19 (a)'!$S21</f>
        <v>19.7</v>
      </c>
      <c r="U15" s="12">
        <f>'[9]Dia 20 (a)'!$S21</f>
        <v>20</v>
      </c>
      <c r="V15" s="12">
        <f>'[9]Dia 21 (a)'!$S21</f>
        <v>20</v>
      </c>
      <c r="W15" s="12">
        <f>'[9]Dia 22 (a)'!$S21</f>
        <v>20</v>
      </c>
      <c r="X15" s="12">
        <f>'[9]Dia 23 (a)'!$S21</f>
        <v>20.399999999999999</v>
      </c>
      <c r="Y15" s="12">
        <f>'[9]Dia 24 (a)'!$S21</f>
        <v>20</v>
      </c>
      <c r="Z15" s="12">
        <f>'[9]Dia 25 (a)'!$S21</f>
        <v>20</v>
      </c>
      <c r="AA15" s="12">
        <f>'[9]Dia 26 (a)'!$S21</f>
        <v>19.2</v>
      </c>
      <c r="AB15" s="12">
        <f>'[9]Dia 27 (a)'!$S21</f>
        <v>19.3</v>
      </c>
      <c r="AC15" s="12">
        <f>'[9]Dia 28 (a)'!$S21</f>
        <v>18.7</v>
      </c>
      <c r="AD15" s="12">
        <f>'[9]Dia 29 (a)'!$S21</f>
        <v>17.8</v>
      </c>
      <c r="AE15" s="12">
        <f>'[9]Dia 30 (a)'!$S21</f>
        <v>17.600000000000001</v>
      </c>
      <c r="AF15" s="13"/>
      <c r="AG15" s="14"/>
    </row>
    <row r="16" spans="1:33" ht="20.100000000000001" customHeight="1">
      <c r="A16" s="11">
        <v>19</v>
      </c>
      <c r="B16" s="12">
        <f>'[9]Dia 1 (a)'!$S22</f>
        <v>19.399999999999999</v>
      </c>
      <c r="C16" s="12">
        <f>'[9]Dia 2 (a)'!$S22</f>
        <v>20.6</v>
      </c>
      <c r="D16" s="12">
        <f>'[9]Dia 3 (a)'!$S22</f>
        <v>20.5</v>
      </c>
      <c r="E16" s="12">
        <f>'[9]Dia 4 (a)'!$S22</f>
        <v>18.600000000000001</v>
      </c>
      <c r="F16" s="12">
        <f>'[9]Dia 5 (a)'!$S22</f>
        <v>17.8</v>
      </c>
      <c r="G16" s="12">
        <f>'[9]Dia 6 (a)'!$S22</f>
        <v>18.2</v>
      </c>
      <c r="H16" s="12">
        <f>'[9]Dia 7 (a)'!$S22</f>
        <v>17.899999999999999</v>
      </c>
      <c r="I16" s="12">
        <f>'[9]Dia 8 (a)'!$S22</f>
        <v>18.600000000000001</v>
      </c>
      <c r="J16" s="12">
        <f>'[9]Dia 9 (a)'!$S22</f>
        <v>20.6</v>
      </c>
      <c r="K16" s="12">
        <f>'[9]Dia 10 (a)'!$S22</f>
        <v>21.4</v>
      </c>
      <c r="L16" s="12">
        <f>'[9]Dia 11 (a)'!$S22</f>
        <v>19.399999999999999</v>
      </c>
      <c r="M16" s="12">
        <f>'[9]Dia 12 (a)'!$S22</f>
        <v>18.2</v>
      </c>
      <c r="N16" s="12">
        <f>'[9]Dia 13 (a)'!$S22</f>
        <v>18.600000000000001</v>
      </c>
      <c r="O16" s="12">
        <f>'[9]Dia 14 (a)'!$S22</f>
        <v>18.8</v>
      </c>
      <c r="P16" s="12">
        <f>'[9]Dia 15 (a)'!$S22</f>
        <v>18.100000000000001</v>
      </c>
      <c r="Q16" s="12">
        <f>'[9]Dia 16 (a)'!$S22</f>
        <v>17.600000000000001</v>
      </c>
      <c r="R16" s="12">
        <f>'[9]Dia 17 (a)'!$S22</f>
        <v>17.7</v>
      </c>
      <c r="S16" s="12">
        <f>'[9]Dia 18 (a)'!$S22</f>
        <v>18.600000000000001</v>
      </c>
      <c r="T16" s="12">
        <f>'[9]Dia 19 (a)'!$S22</f>
        <v>19.899999999999999</v>
      </c>
      <c r="U16" s="12">
        <f>'[9]Dia 20 (a)'!$S22</f>
        <v>20.2</v>
      </c>
      <c r="V16" s="12">
        <f>'[9]Dia 21 (a)'!$S22</f>
        <v>20.100000000000001</v>
      </c>
      <c r="W16" s="12">
        <f>'[9]Dia 22 (a)'!$S22</f>
        <v>20.100000000000001</v>
      </c>
      <c r="X16" s="12">
        <f>'[9]Dia 23 (a)'!$S22</f>
        <v>20.6</v>
      </c>
      <c r="Y16" s="12">
        <f>'[9]Dia 24 (a)'!$S22</f>
        <v>20.2</v>
      </c>
      <c r="Z16" s="12">
        <f>'[9]Dia 25 (a)'!$S22</f>
        <v>20.2</v>
      </c>
      <c r="AA16" s="12">
        <f>'[9]Dia 26 (a)'!$S22</f>
        <v>19.3</v>
      </c>
      <c r="AB16" s="12">
        <f>'[9]Dia 27 (a)'!$S22</f>
        <v>19.399999999999999</v>
      </c>
      <c r="AC16" s="12">
        <f>'[9]Dia 28 (a)'!$S22</f>
        <v>18.7</v>
      </c>
      <c r="AD16" s="12">
        <f>'[9]Dia 29 (a)'!$S22</f>
        <v>17.8</v>
      </c>
      <c r="AE16" s="12">
        <f>'[9]Dia 30 (a)'!$S22</f>
        <v>17.600000000000001</v>
      </c>
      <c r="AF16" s="13"/>
      <c r="AG16" s="14"/>
    </row>
    <row r="17" spans="1:33" ht="20.100000000000001" customHeight="1">
      <c r="A17" s="11">
        <v>20</v>
      </c>
      <c r="B17" s="12">
        <f>'[9]Dia 1 (a)'!$S23</f>
        <v>19.600000000000001</v>
      </c>
      <c r="C17" s="12">
        <f>'[9]Dia 2 (a)'!$S23</f>
        <v>21</v>
      </c>
      <c r="D17" s="12">
        <f>'[9]Dia 3 (a)'!$S23</f>
        <v>20.5</v>
      </c>
      <c r="E17" s="12">
        <f>'[9]Dia 4 (a)'!$S23</f>
        <v>18.600000000000001</v>
      </c>
      <c r="F17" s="12">
        <f>'[9]Dia 5 (a)'!$S23</f>
        <v>17.8</v>
      </c>
      <c r="G17" s="12">
        <f>'[9]Dia 6 (a)'!$S23</f>
        <v>18.2</v>
      </c>
      <c r="H17" s="12">
        <f>'[9]Dia 7 (a)'!$S23</f>
        <v>18</v>
      </c>
      <c r="I17" s="12">
        <f>'[9]Dia 8 (a)'!$S23</f>
        <v>18.7</v>
      </c>
      <c r="J17" s="12">
        <f>'[9]Dia 9 (a)'!$S23</f>
        <v>20.7</v>
      </c>
      <c r="K17" s="12">
        <f>'[9]Dia 10 (a)'!$S23</f>
        <v>21.5</v>
      </c>
      <c r="L17" s="12">
        <f>'[9]Dia 11 (a)'!$S23</f>
        <v>19.399999999999999</v>
      </c>
      <c r="M17" s="12">
        <f>'[9]Dia 12 (a)'!$S23</f>
        <v>18.2</v>
      </c>
      <c r="N17" s="12">
        <f>'[9]Dia 13 (a)'!$S23</f>
        <v>18.600000000000001</v>
      </c>
      <c r="O17" s="12">
        <f>'[9]Dia 14 (a)'!$S23</f>
        <v>18.8</v>
      </c>
      <c r="P17" s="12">
        <f>'[9]Dia 15 (a)'!$S23</f>
        <v>18.100000000000001</v>
      </c>
      <c r="Q17" s="12">
        <f>'[9]Dia 16 (a)'!$S23</f>
        <v>17.7</v>
      </c>
      <c r="R17" s="12">
        <f>'[9]Dia 17 (a)'!$S23</f>
        <v>17.7</v>
      </c>
      <c r="S17" s="12">
        <f>'[9]Dia 18 (a)'!$S23</f>
        <v>18.8</v>
      </c>
      <c r="T17" s="12">
        <f>'[9]Dia 19 (a)'!$S23</f>
        <v>20.100000000000001</v>
      </c>
      <c r="U17" s="12">
        <f>'[9]Dia 20 (a)'!$S23</f>
        <v>20.2</v>
      </c>
      <c r="V17" s="12">
        <f>'[9]Dia 21 (a)'!$S23</f>
        <v>20.100000000000001</v>
      </c>
      <c r="W17" s="12">
        <f>'[9]Dia 22 (a)'!$S23</f>
        <v>20.100000000000001</v>
      </c>
      <c r="X17" s="12">
        <f>'[9]Dia 23 (a)'!$S23</f>
        <v>20.8</v>
      </c>
      <c r="Y17" s="12">
        <f>'[9]Dia 24 (a)'!$S23</f>
        <v>20.399999999999999</v>
      </c>
      <c r="Z17" s="12">
        <f>'[9]Dia 25 (a)'!$S23</f>
        <v>20.2</v>
      </c>
      <c r="AA17" s="12">
        <f>'[9]Dia 26 (a)'!$S23</f>
        <v>19.2</v>
      </c>
      <c r="AB17" s="12">
        <f>'[9]Dia 27 (a)'!$S23</f>
        <v>19.5</v>
      </c>
      <c r="AC17" s="12">
        <f>'[9]Dia 28 (a)'!$S23</f>
        <v>18.7</v>
      </c>
      <c r="AD17" s="12">
        <f>'[9]Dia 29 (a)'!$S23</f>
        <v>17.600000000000001</v>
      </c>
      <c r="AE17" s="12">
        <f>'[9]Dia 30 (a)'!$S23</f>
        <v>17.600000000000001</v>
      </c>
      <c r="AF17" s="13"/>
      <c r="AG17" s="14"/>
    </row>
    <row r="18" spans="1:33" ht="20.100000000000001" customHeight="1">
      <c r="A18" s="11">
        <v>21</v>
      </c>
      <c r="B18" s="12">
        <f>'[9]Dia 1 (a)'!$S24</f>
        <v>20</v>
      </c>
      <c r="C18" s="12">
        <f>'[9]Dia 2 (a)'!$S24</f>
        <v>21.1</v>
      </c>
      <c r="D18" s="12">
        <f>'[9]Dia 3 (a)'!$S24</f>
        <v>20.5</v>
      </c>
      <c r="E18" s="12">
        <f>'[9]Dia 4 (a)'!$S24</f>
        <v>18.600000000000001</v>
      </c>
      <c r="F18" s="12">
        <f>'[9]Dia 5 (a)'!$S24</f>
        <v>17.8</v>
      </c>
      <c r="G18" s="12">
        <f>'[9]Dia 6 (a)'!$S24</f>
        <v>18.3</v>
      </c>
      <c r="H18" s="12">
        <f>'[9]Dia 7 (a)'!$S24</f>
        <v>17.899999999999999</v>
      </c>
      <c r="I18" s="12">
        <f>'[9]Dia 8 (a)'!$S24</f>
        <v>18.8</v>
      </c>
      <c r="J18" s="12">
        <f>'[9]Dia 9 (a)'!$S24</f>
        <v>20.9</v>
      </c>
      <c r="K18" s="12">
        <f>'[9]Dia 10 (a)'!$S24</f>
        <v>21.6</v>
      </c>
      <c r="L18" s="12">
        <f>'[9]Dia 11 (a)'!$S24</f>
        <v>19.3</v>
      </c>
      <c r="M18" s="12">
        <f>'[9]Dia 12 (a)'!$S24</f>
        <v>18.2</v>
      </c>
      <c r="N18" s="12">
        <f>'[9]Dia 13 (a)'!$S24</f>
        <v>18.8</v>
      </c>
      <c r="O18" s="12">
        <f>'[9]Dia 14 (a)'!$S24</f>
        <v>19</v>
      </c>
      <c r="P18" s="12">
        <f>'[9]Dia 15 (a)'!$S24</f>
        <v>18.100000000000001</v>
      </c>
      <c r="Q18" s="12">
        <f>'[9]Dia 16 (a)'!$S24</f>
        <v>17.7</v>
      </c>
      <c r="R18" s="12">
        <f>'[9]Dia 17 (a)'!$S24</f>
        <v>17.899999999999999</v>
      </c>
      <c r="S18" s="12">
        <f>'[9]Dia 18 (a)'!$S24</f>
        <v>18.899999999999999</v>
      </c>
      <c r="T18" s="12">
        <f>'[9]Dia 19 (a)'!$S24</f>
        <v>20.2</v>
      </c>
      <c r="U18" s="12">
        <f>'[9]Dia 20 (a)'!$S24</f>
        <v>20.399999999999999</v>
      </c>
      <c r="V18" s="12">
        <f>'[9]Dia 21 (a)'!$S24</f>
        <v>20.100000000000001</v>
      </c>
      <c r="W18" s="12">
        <f>'[9]Dia 22 (a)'!$S24</f>
        <v>20.100000000000001</v>
      </c>
      <c r="X18" s="12">
        <f>'[9]Dia 23 (a)'!$S24</f>
        <v>20.8</v>
      </c>
      <c r="Y18" s="12">
        <f>'[9]Dia 24 (a)'!$S24</f>
        <v>20.5</v>
      </c>
      <c r="Z18" s="12">
        <f>'[9]Dia 25 (a)'!$S24</f>
        <v>20.3</v>
      </c>
      <c r="AA18" s="12">
        <f>'[9]Dia 26 (a)'!$S24</f>
        <v>19.2</v>
      </c>
      <c r="AB18" s="12">
        <f>'[9]Dia 27 (a)'!$S24</f>
        <v>19.5</v>
      </c>
      <c r="AC18" s="12">
        <f>'[9]Dia 28 (a)'!$S24</f>
        <v>18.7</v>
      </c>
      <c r="AD18" s="12">
        <f>'[9]Dia 29 (a)'!$S24</f>
        <v>17.8</v>
      </c>
      <c r="AE18" s="12">
        <f>'[9]Dia 30 (a)'!$S24</f>
        <v>17.600000000000001</v>
      </c>
      <c r="AF18" s="13"/>
      <c r="AG18" s="14"/>
    </row>
    <row r="19" spans="1:33" ht="20.100000000000001" customHeight="1">
      <c r="A19" s="11">
        <v>22</v>
      </c>
      <c r="B19" s="12">
        <f>'[9]Dia 1 (a)'!$S25</f>
        <v>20.2</v>
      </c>
      <c r="C19" s="12">
        <f>'[9]Dia 2 (a)'!$S25</f>
        <v>21.2</v>
      </c>
      <c r="D19" s="12">
        <f>'[9]Dia 3 (a)'!$S25</f>
        <v>20.7</v>
      </c>
      <c r="E19" s="12">
        <f>'[9]Dia 4 (a)'!$S25</f>
        <v>18.7</v>
      </c>
      <c r="F19" s="12">
        <f>'[9]Dia 5 (a)'!$S25</f>
        <v>17.899999999999999</v>
      </c>
      <c r="G19" s="12">
        <f>'[9]Dia 6 (a)'!$S25</f>
        <v>18.3</v>
      </c>
      <c r="H19" s="12">
        <f>'[9]Dia 7 (a)'!$S25</f>
        <v>17.899999999999999</v>
      </c>
      <c r="I19" s="12">
        <f>'[9]Dia 8 (a)'!$S25</f>
        <v>18.899999999999999</v>
      </c>
      <c r="J19" s="12">
        <f>'[9]Dia 9 (a)'!$S25</f>
        <v>21</v>
      </c>
      <c r="K19" s="12">
        <f>'[9]Dia 10 (a)'!$S25</f>
        <v>21.6</v>
      </c>
      <c r="L19" s="12">
        <f>'[9]Dia 11 (a)'!$S25</f>
        <v>19.2</v>
      </c>
      <c r="M19" s="12">
        <f>'[9]Dia 12 (a)'!$S25</f>
        <v>18.399999999999999</v>
      </c>
      <c r="N19" s="12">
        <f>'[9]Dia 13 (a)'!$S25</f>
        <v>18.600000000000001</v>
      </c>
      <c r="O19" s="12">
        <f>'[9]Dia 14 (a)'!$S25</f>
        <v>18.899999999999999</v>
      </c>
      <c r="P19" s="12">
        <f>'[9]Dia 15 (a)'!$S25</f>
        <v>18.100000000000001</v>
      </c>
      <c r="Q19" s="12">
        <f>'[9]Dia 16 (a)'!$S25</f>
        <v>17.7</v>
      </c>
      <c r="R19" s="12">
        <f>'[9]Dia 17 (a)'!$S25</f>
        <v>17.899999999999999</v>
      </c>
      <c r="S19" s="12">
        <f>'[9]Dia 18 (a)'!$S25</f>
        <v>19</v>
      </c>
      <c r="T19" s="12">
        <f>'[9]Dia 19 (a)'!$S25</f>
        <v>20.2</v>
      </c>
      <c r="U19" s="12">
        <f>'[9]Dia 20 (a)'!$S25</f>
        <v>20.399999999999999</v>
      </c>
      <c r="V19" s="12">
        <f>'[9]Dia 21 (a)'!$S25</f>
        <v>20.2</v>
      </c>
      <c r="W19" s="12">
        <f>'[9]Dia 22 (a)'!$S25</f>
        <v>20.100000000000001</v>
      </c>
      <c r="X19" s="12">
        <f>'[9]Dia 23 (a)'!$S25</f>
        <v>20.8</v>
      </c>
      <c r="Y19" s="12">
        <f>'[9]Dia 24 (a)'!$S25</f>
        <v>20.6</v>
      </c>
      <c r="Z19" s="12">
        <f>'[9]Dia 25 (a)'!$S25</f>
        <v>20.3</v>
      </c>
      <c r="AA19" s="12">
        <f>'[9]Dia 26 (a)'!$S25</f>
        <v>19.2</v>
      </c>
      <c r="AB19" s="12">
        <f>'[9]Dia 27 (a)'!$S25</f>
        <v>19.5</v>
      </c>
      <c r="AC19" s="12">
        <f>'[9]Dia 28 (a)'!$S25</f>
        <v>18.5</v>
      </c>
      <c r="AD19" s="12">
        <f>'[9]Dia 29 (a)'!$S25</f>
        <v>17.8</v>
      </c>
      <c r="AE19" s="12">
        <f>'[9]Dia 30 (a)'!$S25</f>
        <v>17.600000000000001</v>
      </c>
      <c r="AF19" s="13"/>
      <c r="AG19" s="14"/>
    </row>
    <row r="20" spans="1:33" ht="20.100000000000001" customHeight="1">
      <c r="A20" s="11">
        <v>23</v>
      </c>
      <c r="B20" s="12">
        <f>'[9]Dia 1 (a)'!$S26</f>
        <v>20.2</v>
      </c>
      <c r="C20" s="12">
        <f>'[9]Dia 2 (a)'!$S26</f>
        <v>21.2</v>
      </c>
      <c r="D20" s="12">
        <f>'[9]Dia 3 (a)'!$S26</f>
        <v>20.8</v>
      </c>
      <c r="E20" s="12">
        <f>'[9]Dia 4 (a)'!$S26</f>
        <v>18.7</v>
      </c>
      <c r="F20" s="12">
        <f>'[9]Dia 5 (a)'!$S26</f>
        <v>17.8</v>
      </c>
      <c r="G20" s="12">
        <f>'[9]Dia 6 (a)'!$S26</f>
        <v>18.3</v>
      </c>
      <c r="H20" s="12">
        <f>'[9]Dia 7 (a)'!$S26</f>
        <v>18</v>
      </c>
      <c r="I20" s="12">
        <f>'[9]Dia 8 (a)'!$S26</f>
        <v>19</v>
      </c>
      <c r="J20" s="12">
        <f>'[9]Dia 9 (a)'!$S26</f>
        <v>21.1</v>
      </c>
      <c r="K20" s="12">
        <f>'[9]Dia 10 (a)'!$S26</f>
        <v>21.5</v>
      </c>
      <c r="L20" s="12">
        <f>'[9]Dia 11 (a)'!$S26</f>
        <v>19.2</v>
      </c>
      <c r="M20" s="12">
        <f>'[9]Dia 12 (a)'!$S26</f>
        <v>18.399999999999999</v>
      </c>
      <c r="N20" s="12">
        <f>'[9]Dia 13 (a)'!$S26</f>
        <v>18.8</v>
      </c>
      <c r="O20" s="12">
        <f>'[9]Dia 14 (a)'!$S26</f>
        <v>18.7</v>
      </c>
      <c r="P20" s="12">
        <f>'[9]Dia 15 (a)'!$S26</f>
        <v>18</v>
      </c>
      <c r="Q20" s="12">
        <f>'[9]Dia 16 (a)'!$S26</f>
        <v>17.600000000000001</v>
      </c>
      <c r="R20" s="12">
        <f>'[9]Dia 17 (a)'!$S26</f>
        <v>17.899999999999999</v>
      </c>
      <c r="S20" s="12">
        <f>'[9]Dia 18 (a)'!$S26</f>
        <v>19</v>
      </c>
      <c r="T20" s="12">
        <f>'[9]Dia 19 (a)'!$S26</f>
        <v>20.2</v>
      </c>
      <c r="U20" s="12">
        <f>'[9]Dia 20 (a)'!$S26</f>
        <v>20.2</v>
      </c>
      <c r="V20" s="12">
        <f>'[9]Dia 21 (a)'!$S26</f>
        <v>20.100000000000001</v>
      </c>
      <c r="W20" s="12">
        <f>'[9]Dia 22 (a)'!$S26</f>
        <v>20.100000000000001</v>
      </c>
      <c r="X20" s="12">
        <f>'[9]Dia 23 (a)'!$S26</f>
        <v>20.8</v>
      </c>
      <c r="Y20" s="12">
        <f>'[9]Dia 24 (a)'!$S26</f>
        <v>20.6</v>
      </c>
      <c r="Z20" s="12">
        <f>'[9]Dia 25 (a)'!$S26</f>
        <v>20.3</v>
      </c>
      <c r="AA20" s="12">
        <f>'[9]Dia 26 (a)'!$S26</f>
        <v>19.2</v>
      </c>
      <c r="AB20" s="12">
        <f>'[9]Dia 27 (a)'!$S26</f>
        <v>19.5</v>
      </c>
      <c r="AC20" s="12">
        <f>'[9]Dia 28 (a)'!$S26</f>
        <v>18.5</v>
      </c>
      <c r="AD20" s="12">
        <f>'[9]Dia 29 (a)'!$S26</f>
        <v>17.8</v>
      </c>
      <c r="AE20" s="12">
        <f>'[9]Dia 30 (a)'!$S26</f>
        <v>17.600000000000001</v>
      </c>
      <c r="AF20" s="13"/>
      <c r="AG20" s="14"/>
    </row>
    <row r="21" spans="1:33" ht="20.100000000000001" customHeight="1" thickBot="1">
      <c r="A21" s="16">
        <v>24</v>
      </c>
      <c r="B21" s="17">
        <f>'[9]Dia 1 (a)'!$S27</f>
        <v>20</v>
      </c>
      <c r="C21" s="17">
        <f>'[9]Dia 2 (a)'!$S27</f>
        <v>21.2</v>
      </c>
      <c r="D21" s="17">
        <f>'[9]Dia 3 (a)'!$S27</f>
        <v>20.8</v>
      </c>
      <c r="E21" s="17">
        <f>'[9]Dia 4 (a)'!$S27</f>
        <v>18.600000000000001</v>
      </c>
      <c r="F21" s="17">
        <f>'[9]Dia 5 (a)'!$S27</f>
        <v>17.8</v>
      </c>
      <c r="G21" s="17">
        <f>'[9]Dia 6 (a)'!$S27</f>
        <v>18.3</v>
      </c>
      <c r="H21" s="17">
        <f>'[9]Dia 7 (a)'!$S27</f>
        <v>18</v>
      </c>
      <c r="I21" s="17">
        <f>'[9]Dia 8 (a)'!$S27</f>
        <v>19</v>
      </c>
      <c r="J21" s="17">
        <f>'[9]Dia 9 (a)'!$S27</f>
        <v>21.1</v>
      </c>
      <c r="K21" s="17">
        <f>'[9]Dia 10 (a)'!$S27</f>
        <v>21.4</v>
      </c>
      <c r="L21" s="17">
        <f>'[9]Dia 11 (a)'!$S27</f>
        <v>19.100000000000001</v>
      </c>
      <c r="M21" s="17">
        <f>'[9]Dia 12 (a)'!$S27</f>
        <v>18.399999999999999</v>
      </c>
      <c r="N21" s="17">
        <f>'[9]Dia 13 (a)'!$S27</f>
        <v>18.8</v>
      </c>
      <c r="O21" s="17">
        <f>'[9]Dia 14 (a)'!$S27</f>
        <v>18.7</v>
      </c>
      <c r="P21" s="17">
        <f>'[9]Dia 15 (a)'!$S27</f>
        <v>18</v>
      </c>
      <c r="Q21" s="17">
        <f>'[9]Dia 16 (a)'!$S27</f>
        <v>17.600000000000001</v>
      </c>
      <c r="R21" s="17">
        <f>'[9]Dia 17 (a)'!$S27</f>
        <v>17.8</v>
      </c>
      <c r="S21" s="17">
        <f>'[9]Dia 18 (a)'!$S27</f>
        <v>19</v>
      </c>
      <c r="T21" s="17">
        <f>'[9]Dia 19 (a)'!$S27</f>
        <v>20.3</v>
      </c>
      <c r="U21" s="17">
        <f>'[9]Dia 20 (a)'!$S27</f>
        <v>20.2</v>
      </c>
      <c r="V21" s="17">
        <f>'[9]Dia 21 (a)'!$S27</f>
        <v>20</v>
      </c>
      <c r="W21" s="17">
        <f>'[9]Dia 22 (a)'!$S27</f>
        <v>20.100000000000001</v>
      </c>
      <c r="X21" s="17">
        <f>'[9]Dia 23 (a)'!$S27</f>
        <v>20.7</v>
      </c>
      <c r="Y21" s="17">
        <f>'[9]Dia 24 (a)'!$S27</f>
        <v>20.6</v>
      </c>
      <c r="Z21" s="17">
        <f>'[9]Dia 25 (a)'!$S27</f>
        <v>20.2</v>
      </c>
      <c r="AA21" s="17">
        <f>'[9]Dia 26 (a)'!$S27</f>
        <v>19.100000000000001</v>
      </c>
      <c r="AB21" s="17">
        <f>'[9]Dia 27 (a)'!$S27</f>
        <v>19.399999999999999</v>
      </c>
      <c r="AC21" s="17">
        <f>'[9]Dia 28 (a)'!$S27</f>
        <v>18.5</v>
      </c>
      <c r="AD21" s="17">
        <f>'[9]Dia 29 (a)'!$S27</f>
        <v>17.600000000000001</v>
      </c>
      <c r="AE21" s="17">
        <f>'[9]Dia 30 (a)'!$S27</f>
        <v>17.600000000000001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19.016666666666666</v>
      </c>
      <c r="C25" s="28">
        <f t="shared" ref="C25:AE25" si="0">AVERAGE(C4:C21)</f>
        <v>20.172222222222221</v>
      </c>
      <c r="D25" s="28">
        <f t="shared" si="0"/>
        <v>20.455555555555556</v>
      </c>
      <c r="E25" s="28">
        <f t="shared" si="0"/>
        <v>18.933333333333337</v>
      </c>
      <c r="F25" s="28">
        <f t="shared" si="0"/>
        <v>17.733333333333334</v>
      </c>
      <c r="G25" s="28">
        <f t="shared" si="0"/>
        <v>17.722222222222225</v>
      </c>
      <c r="H25" s="28">
        <f t="shared" si="0"/>
        <v>17.950000000000003</v>
      </c>
      <c r="I25" s="28">
        <f t="shared" si="0"/>
        <v>18.155555555555555</v>
      </c>
      <c r="J25" s="28">
        <f t="shared" si="0"/>
        <v>19.711111111111112</v>
      </c>
      <c r="K25" s="28">
        <f t="shared" si="0"/>
        <v>20.738888888888891</v>
      </c>
      <c r="L25" s="28">
        <f t="shared" si="0"/>
        <v>19.638888888888886</v>
      </c>
      <c r="M25" s="28">
        <f t="shared" si="0"/>
        <v>18.333333333333329</v>
      </c>
      <c r="N25" s="28">
        <f t="shared" si="0"/>
        <v>18.450000000000003</v>
      </c>
      <c r="O25" s="28">
        <f t="shared" si="0"/>
        <v>18.899999999999999</v>
      </c>
      <c r="P25" s="28">
        <f t="shared" si="0"/>
        <v>18.111111111111111</v>
      </c>
      <c r="Q25" s="28">
        <f t="shared" si="0"/>
        <v>17.56666666666667</v>
      </c>
      <c r="R25" s="28">
        <f t="shared" si="0"/>
        <v>17.444444444444443</v>
      </c>
      <c r="S25" s="28">
        <f t="shared" si="0"/>
        <v>17.905555555555555</v>
      </c>
      <c r="T25" s="28">
        <f t="shared" si="0"/>
        <v>19.188888888888886</v>
      </c>
      <c r="U25" s="28">
        <f t="shared" si="0"/>
        <v>19.938888888888883</v>
      </c>
      <c r="V25" s="28">
        <f t="shared" si="0"/>
        <v>20.016666666666669</v>
      </c>
      <c r="W25" s="28">
        <f t="shared" si="0"/>
        <v>19.69444444444445</v>
      </c>
      <c r="X25" s="28">
        <f t="shared" si="0"/>
        <v>20.022222222222226</v>
      </c>
      <c r="Y25" s="28">
        <f t="shared" si="0"/>
        <v>19.644444444444446</v>
      </c>
      <c r="Z25" s="28">
        <f t="shared" si="0"/>
        <v>19.805555555555557</v>
      </c>
      <c r="AA25" s="28">
        <f t="shared" si="0"/>
        <v>19.394444444444446</v>
      </c>
      <c r="AB25" s="28">
        <f t="shared" si="0"/>
        <v>18.983333333333334</v>
      </c>
      <c r="AC25" s="28">
        <f t="shared" si="0"/>
        <v>18.805555555555557</v>
      </c>
      <c r="AD25" s="28">
        <f t="shared" si="0"/>
        <v>17.761111111111113</v>
      </c>
      <c r="AE25" s="28">
        <f t="shared" si="0"/>
        <v>17.50555555555556</v>
      </c>
      <c r="AF25" s="28"/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20.2</v>
      </c>
      <c r="C29" s="28">
        <f t="shared" ref="C29:AE29" si="1">MAX(C4:C21)</f>
        <v>21.2</v>
      </c>
      <c r="D29" s="28">
        <f t="shared" si="1"/>
        <v>20.8</v>
      </c>
      <c r="E29" s="28">
        <f t="shared" si="1"/>
        <v>19.600000000000001</v>
      </c>
      <c r="F29" s="28">
        <f t="shared" si="1"/>
        <v>17.899999999999999</v>
      </c>
      <c r="G29" s="28">
        <f t="shared" si="1"/>
        <v>18.3</v>
      </c>
      <c r="H29" s="28">
        <f t="shared" si="1"/>
        <v>18.100000000000001</v>
      </c>
      <c r="I29" s="28">
        <f t="shared" si="1"/>
        <v>19</v>
      </c>
      <c r="J29" s="28">
        <f t="shared" si="1"/>
        <v>21.1</v>
      </c>
      <c r="K29" s="28">
        <f t="shared" si="1"/>
        <v>21.6</v>
      </c>
      <c r="L29" s="28">
        <f t="shared" si="1"/>
        <v>20.2</v>
      </c>
      <c r="M29" s="28">
        <f t="shared" si="1"/>
        <v>18.600000000000001</v>
      </c>
      <c r="N29" s="28">
        <f t="shared" si="1"/>
        <v>18.8</v>
      </c>
      <c r="O29" s="28">
        <f t="shared" si="1"/>
        <v>19.100000000000001</v>
      </c>
      <c r="P29" s="28">
        <f t="shared" si="1"/>
        <v>18.2</v>
      </c>
      <c r="Q29" s="28">
        <f t="shared" si="1"/>
        <v>17.7</v>
      </c>
      <c r="R29" s="28">
        <f t="shared" si="1"/>
        <v>17.899999999999999</v>
      </c>
      <c r="S29" s="28">
        <f t="shared" si="1"/>
        <v>19</v>
      </c>
      <c r="T29" s="28">
        <f t="shared" si="1"/>
        <v>20.3</v>
      </c>
      <c r="U29" s="28">
        <f t="shared" si="1"/>
        <v>20.399999999999999</v>
      </c>
      <c r="V29" s="28">
        <f t="shared" si="1"/>
        <v>20.2</v>
      </c>
      <c r="W29" s="28">
        <f t="shared" si="1"/>
        <v>20.100000000000001</v>
      </c>
      <c r="X29" s="28">
        <f t="shared" si="1"/>
        <v>20.8</v>
      </c>
      <c r="Y29" s="28">
        <f t="shared" si="1"/>
        <v>20.6</v>
      </c>
      <c r="Z29" s="28">
        <f t="shared" si="1"/>
        <v>20.3</v>
      </c>
      <c r="AA29" s="28">
        <f t="shared" si="1"/>
        <v>19.8</v>
      </c>
      <c r="AB29" s="28">
        <f t="shared" si="1"/>
        <v>19.5</v>
      </c>
      <c r="AC29" s="28">
        <f t="shared" si="1"/>
        <v>19.2</v>
      </c>
      <c r="AD29" s="28">
        <f t="shared" si="1"/>
        <v>17.899999999999999</v>
      </c>
      <c r="AE29" s="28">
        <f t="shared" si="1"/>
        <v>17.600000000000001</v>
      </c>
      <c r="AF29" s="28"/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18</v>
      </c>
      <c r="C33" s="28">
        <f t="shared" ref="C33:AE33" si="2">MIN(C4:C21)</f>
        <v>19.5</v>
      </c>
      <c r="D33" s="28">
        <f t="shared" si="2"/>
        <v>20.2</v>
      </c>
      <c r="E33" s="28">
        <f t="shared" si="2"/>
        <v>18.600000000000001</v>
      </c>
      <c r="F33" s="28">
        <f t="shared" si="2"/>
        <v>17.600000000000001</v>
      </c>
      <c r="G33" s="28">
        <f t="shared" si="2"/>
        <v>17</v>
      </c>
      <c r="H33" s="28">
        <f t="shared" si="2"/>
        <v>17.7</v>
      </c>
      <c r="I33" s="28">
        <f t="shared" si="2"/>
        <v>17.5</v>
      </c>
      <c r="J33" s="28">
        <f t="shared" si="2"/>
        <v>18.600000000000001</v>
      </c>
      <c r="K33" s="28">
        <f t="shared" si="2"/>
        <v>20</v>
      </c>
      <c r="L33" s="28">
        <f t="shared" si="2"/>
        <v>19.100000000000001</v>
      </c>
      <c r="M33" s="28">
        <f t="shared" si="2"/>
        <v>18</v>
      </c>
      <c r="N33" s="28">
        <f t="shared" si="2"/>
        <v>18.100000000000001</v>
      </c>
      <c r="O33" s="28">
        <f t="shared" si="2"/>
        <v>18.7</v>
      </c>
      <c r="P33" s="28">
        <f t="shared" si="2"/>
        <v>18</v>
      </c>
      <c r="Q33" s="28">
        <f t="shared" si="2"/>
        <v>17.399999999999999</v>
      </c>
      <c r="R33" s="28">
        <f t="shared" si="2"/>
        <v>17.100000000000001</v>
      </c>
      <c r="S33" s="28">
        <f t="shared" si="2"/>
        <v>17</v>
      </c>
      <c r="T33" s="28">
        <f t="shared" si="2"/>
        <v>18.399999999999999</v>
      </c>
      <c r="U33" s="28">
        <f t="shared" si="2"/>
        <v>19.600000000000001</v>
      </c>
      <c r="V33" s="28">
        <f t="shared" si="2"/>
        <v>19.8</v>
      </c>
      <c r="W33" s="28">
        <f t="shared" si="2"/>
        <v>19.2</v>
      </c>
      <c r="X33" s="28">
        <f t="shared" si="2"/>
        <v>19.399999999999999</v>
      </c>
      <c r="Y33" s="28">
        <f t="shared" si="2"/>
        <v>18.8</v>
      </c>
      <c r="Z33" s="28">
        <f t="shared" si="2"/>
        <v>19.2</v>
      </c>
      <c r="AA33" s="28">
        <f t="shared" si="2"/>
        <v>19.100000000000001</v>
      </c>
      <c r="AB33" s="28">
        <f t="shared" si="2"/>
        <v>18.399999999999999</v>
      </c>
      <c r="AC33" s="28">
        <f t="shared" si="2"/>
        <v>18.5</v>
      </c>
      <c r="AD33" s="28">
        <f t="shared" si="2"/>
        <v>17.600000000000001</v>
      </c>
      <c r="AE33" s="28">
        <f t="shared" si="2"/>
        <v>17.399999999999999</v>
      </c>
      <c r="AF33" s="28"/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2.1999999999999993</v>
      </c>
      <c r="C37" s="28">
        <f t="shared" ref="C37:AE37" si="3">C29-C33</f>
        <v>1.6999999999999993</v>
      </c>
      <c r="D37" s="28">
        <f t="shared" si="3"/>
        <v>0.60000000000000142</v>
      </c>
      <c r="E37" s="28">
        <f t="shared" si="3"/>
        <v>1</v>
      </c>
      <c r="F37" s="28">
        <f t="shared" si="3"/>
        <v>0.29999999999999716</v>
      </c>
      <c r="G37" s="28">
        <f t="shared" si="3"/>
        <v>1.3000000000000007</v>
      </c>
      <c r="H37" s="28">
        <f t="shared" si="3"/>
        <v>0.40000000000000213</v>
      </c>
      <c r="I37" s="28">
        <f t="shared" si="3"/>
        <v>1.5</v>
      </c>
      <c r="J37" s="28">
        <f t="shared" si="3"/>
        <v>2.5</v>
      </c>
      <c r="K37" s="28">
        <f t="shared" si="3"/>
        <v>1.6000000000000014</v>
      </c>
      <c r="L37" s="28">
        <f t="shared" si="3"/>
        <v>1.0999999999999979</v>
      </c>
      <c r="M37" s="28">
        <f t="shared" si="3"/>
        <v>0.60000000000000142</v>
      </c>
      <c r="N37" s="28">
        <f t="shared" si="3"/>
        <v>0.69999999999999929</v>
      </c>
      <c r="O37" s="28">
        <f t="shared" si="3"/>
        <v>0.40000000000000213</v>
      </c>
      <c r="P37" s="28">
        <f t="shared" si="3"/>
        <v>0.19999999999999929</v>
      </c>
      <c r="Q37" s="28">
        <f t="shared" si="3"/>
        <v>0.30000000000000071</v>
      </c>
      <c r="R37" s="28">
        <f t="shared" si="3"/>
        <v>0.79999999999999716</v>
      </c>
      <c r="S37" s="28">
        <f t="shared" si="3"/>
        <v>2</v>
      </c>
      <c r="T37" s="28">
        <f t="shared" si="3"/>
        <v>1.9000000000000021</v>
      </c>
      <c r="U37" s="28">
        <f t="shared" si="3"/>
        <v>0.79999999999999716</v>
      </c>
      <c r="V37" s="28">
        <f t="shared" si="3"/>
        <v>0.39999999999999858</v>
      </c>
      <c r="W37" s="28">
        <f t="shared" si="3"/>
        <v>0.90000000000000213</v>
      </c>
      <c r="X37" s="28">
        <f t="shared" si="3"/>
        <v>1.4000000000000021</v>
      </c>
      <c r="Y37" s="28">
        <f t="shared" si="3"/>
        <v>1.8000000000000007</v>
      </c>
      <c r="Z37" s="28">
        <f t="shared" si="3"/>
        <v>1.1000000000000014</v>
      </c>
      <c r="AA37" s="28">
        <f t="shared" si="3"/>
        <v>0.69999999999999929</v>
      </c>
      <c r="AB37" s="28">
        <f t="shared" si="3"/>
        <v>1.1000000000000014</v>
      </c>
      <c r="AC37" s="28">
        <f t="shared" si="3"/>
        <v>0.69999999999999929</v>
      </c>
      <c r="AD37" s="28">
        <f t="shared" si="3"/>
        <v>0.29999999999999716</v>
      </c>
      <c r="AE37" s="28">
        <f t="shared" si="3"/>
        <v>0.20000000000000284</v>
      </c>
      <c r="AF37" s="28"/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18.923333333333332</v>
      </c>
      <c r="I43" s="40"/>
      <c r="J43" s="42"/>
      <c r="K43" s="41">
        <f>MAX(B29:AF29)</f>
        <v>21.6</v>
      </c>
      <c r="L43" s="42"/>
      <c r="M43" s="42"/>
      <c r="N43" s="41">
        <f>MIN(B33:AF33)</f>
        <v>17</v>
      </c>
      <c r="O43" s="42"/>
      <c r="P43" s="42"/>
      <c r="Q43" s="41">
        <f>K43-N43</f>
        <v>4.6000000000000014</v>
      </c>
      <c r="R43" s="40"/>
      <c r="S43" s="41"/>
      <c r="T43" s="41">
        <f>AVERAGE(B29:AF29)</f>
        <v>19.466666666666665</v>
      </c>
      <c r="U43" s="41"/>
      <c r="V43" s="41">
        <f>AVERAGE(B33:AF33)</f>
        <v>18.45</v>
      </c>
      <c r="W43" s="41"/>
      <c r="X43" s="41">
        <f>T43-V43</f>
        <v>1.0166666666666657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(a)'!$S10</f>
        <v>17.5</v>
      </c>
      <c r="C4" s="12">
        <f>'[10]Dia 2 (a)'!$S10</f>
        <v>18.5</v>
      </c>
      <c r="D4" s="12">
        <f>'[10]Dia 3 (a)'!$S10</f>
        <v>19.2</v>
      </c>
      <c r="E4" s="12">
        <f>'[10]Dia 4 (a)'!$S10</f>
        <v>19.2</v>
      </c>
      <c r="F4" s="12">
        <f>'[10]Dia 5 (a)'!$S10</f>
        <v>19</v>
      </c>
      <c r="G4" s="12">
        <f>'[10]Dia 6 (a)'!$S10</f>
        <v>20.5</v>
      </c>
      <c r="H4" s="12">
        <f>'[10]Dia 7 (a)'!$S10</f>
        <v>21.8</v>
      </c>
      <c r="I4" s="12">
        <f>'[10]Dia 8 (a)'!$S10</f>
        <v>20.6</v>
      </c>
      <c r="J4" s="12">
        <f>'[10]Dia 9 (a)'!$S10</f>
        <v>21.2</v>
      </c>
      <c r="K4" s="12">
        <f>'[10]Dia 10 (a)'!$S10</f>
        <v>20.8</v>
      </c>
      <c r="L4" s="12">
        <f>'[10]Dia 11 (a)'!$S10</f>
        <v>20</v>
      </c>
      <c r="M4" s="12">
        <f>'[10]Dia 12 (a)'!$S10</f>
        <v>20.6</v>
      </c>
      <c r="N4" s="12">
        <f>'[10]Dia 13 (a)'!$S10</f>
        <v>21.3</v>
      </c>
      <c r="O4" s="12">
        <f>'[10]Dia 14 (a)'!$S10</f>
        <v>21.6</v>
      </c>
      <c r="P4" s="12">
        <f>'[10]Dia 15 (a)'!$S10</f>
        <v>21.3</v>
      </c>
      <c r="Q4" s="12">
        <f>'[10]Dia 16 (a)'!$S10</f>
        <v>20.7</v>
      </c>
      <c r="R4" s="12">
        <f>'[10]Dia 17 (a)'!$S10</f>
        <v>21</v>
      </c>
      <c r="S4" s="12">
        <f>'[10]Dia 18 (a)'!$S10</f>
        <v>22</v>
      </c>
      <c r="T4" s="12">
        <f>'[10]Dia 19 (a)'!$S10</f>
        <v>20.9</v>
      </c>
      <c r="U4" s="12">
        <f>'[10]Dia 20 (a)'!$S10</f>
        <v>20.6</v>
      </c>
      <c r="V4" s="12">
        <f>'[10]Dia 21 (a)'!$S10</f>
        <v>21.8</v>
      </c>
      <c r="W4" s="12">
        <f>'[10]Dia 22 (a)'!$S10</f>
        <v>21</v>
      </c>
      <c r="X4" s="12">
        <f>'[10]Dia 23 (a)'!$S10</f>
        <v>21.6</v>
      </c>
      <c r="Y4" s="12">
        <f>'[10]Dia 24 (a)'!$S10</f>
        <v>22.9</v>
      </c>
      <c r="Z4" s="12">
        <f>'[10]Dia 25 (a)'!$S10</f>
        <v>22.4</v>
      </c>
      <c r="AA4" s="12">
        <f>'[10]Dia 26 (a)'!$S10</f>
        <v>23.3</v>
      </c>
      <c r="AB4" s="12">
        <f>'[10]Dia 27 (a)'!$S10</f>
        <v>24.4</v>
      </c>
      <c r="AC4" s="12">
        <f>'[10]Dia 28 (a)'!$S10</f>
        <v>25</v>
      </c>
      <c r="AD4" s="12">
        <f>'[10]Dia 29 (a)'!$S10</f>
        <v>25.4</v>
      </c>
      <c r="AE4" s="12">
        <f>'[10]Dia 30 (a)'!$S10</f>
        <v>25.4</v>
      </c>
      <c r="AF4" s="13">
        <f>'[10]Dia 31 (a)'!$S10</f>
        <v>24.6</v>
      </c>
      <c r="AG4" s="14"/>
    </row>
    <row r="5" spans="1:33" ht="20.100000000000001" customHeight="1">
      <c r="A5" s="11">
        <v>8</v>
      </c>
      <c r="B5" s="12">
        <f>'[10]Dia 1 (a)'!$S11</f>
        <v>17.600000000000001</v>
      </c>
      <c r="C5" s="12">
        <f>'[10]Dia 2 (a)'!$S11</f>
        <v>18.399999999999999</v>
      </c>
      <c r="D5" s="12">
        <f>'[10]Dia 3 (a)'!$S11</f>
        <v>19.2</v>
      </c>
      <c r="E5" s="12">
        <f>'[10]Dia 4 (a)'!$S11</f>
        <v>19.2</v>
      </c>
      <c r="F5" s="12">
        <f>'[10]Dia 5 (a)'!$S11</f>
        <v>18.899999999999999</v>
      </c>
      <c r="G5" s="12">
        <f>'[10]Dia 6 (a)'!$S11</f>
        <v>20.399999999999999</v>
      </c>
      <c r="H5" s="12">
        <f>'[10]Dia 7 (a)'!$S11</f>
        <v>21.7</v>
      </c>
      <c r="I5" s="12">
        <f>'[10]Dia 8 (a)'!$S11</f>
        <v>20.6</v>
      </c>
      <c r="J5" s="12">
        <f>'[10]Dia 9 (a)'!$S11</f>
        <v>21.2</v>
      </c>
      <c r="K5" s="12">
        <f>'[10]Dia 10 (a)'!$S11</f>
        <v>20.8</v>
      </c>
      <c r="L5" s="12">
        <f>'[10]Dia 11 (a)'!$S11</f>
        <v>20</v>
      </c>
      <c r="M5" s="12">
        <f>'[10]Dia 12 (a)'!$S11</f>
        <v>20.6</v>
      </c>
      <c r="N5" s="12">
        <f>'[10]Dia 13 (a)'!$S11</f>
        <v>21.2</v>
      </c>
      <c r="O5" s="12">
        <f>'[10]Dia 14 (a)'!$S11</f>
        <v>21.6</v>
      </c>
      <c r="P5" s="12">
        <f>'[10]Dia 15 (a)'!$S11</f>
        <v>21.3</v>
      </c>
      <c r="Q5" s="12">
        <f>'[10]Dia 16 (a)'!$S11</f>
        <v>20.7</v>
      </c>
      <c r="R5" s="12">
        <f>'[10]Dia 17 (a)'!$S11</f>
        <v>21</v>
      </c>
      <c r="S5" s="12">
        <f>'[10]Dia 18 (a)'!$S11</f>
        <v>22</v>
      </c>
      <c r="T5" s="12">
        <f>'[10]Dia 19 (a)'!$S11</f>
        <v>20.7</v>
      </c>
      <c r="U5" s="12">
        <f>'[10]Dia 20 (a)'!$S11</f>
        <v>20.6</v>
      </c>
      <c r="V5" s="12">
        <f>'[10]Dia 21 (a)'!$S11</f>
        <v>21.7</v>
      </c>
      <c r="W5" s="12">
        <f>'[10]Dia 22 (a)'!$S11</f>
        <v>21</v>
      </c>
      <c r="X5" s="12">
        <f>'[10]Dia 23 (a)'!$S11</f>
        <v>21.6</v>
      </c>
      <c r="Y5" s="12">
        <f>'[10]Dia 24 (a)'!$S11</f>
        <v>22.7</v>
      </c>
      <c r="Z5" s="12">
        <f>'[10]Dia 25 (a)'!$S11</f>
        <v>22.4</v>
      </c>
      <c r="AA5" s="12">
        <f>'[10]Dia 26 (a)'!$S11</f>
        <v>23.4</v>
      </c>
      <c r="AB5" s="12">
        <f>'[10]Dia 27 (a)'!$S11</f>
        <v>24.3</v>
      </c>
      <c r="AC5" s="12">
        <f>'[10]Dia 28 (a)'!$S11</f>
        <v>25</v>
      </c>
      <c r="AD5" s="12">
        <f>'[10]Dia 29 (a)'!$S11</f>
        <v>25.4</v>
      </c>
      <c r="AE5" s="12">
        <f>'[10]Dia 30 (a)'!$S11</f>
        <v>25.4</v>
      </c>
      <c r="AF5" s="13">
        <f>'[10]Dia 31 (a)'!$S11</f>
        <v>24.4</v>
      </c>
      <c r="AG5" s="14"/>
    </row>
    <row r="6" spans="1:33" ht="20.100000000000001" customHeight="1">
      <c r="A6" s="11">
        <v>9</v>
      </c>
      <c r="B6" s="12">
        <f>'[10]Dia 1 (a)'!$S12</f>
        <v>17.600000000000001</v>
      </c>
      <c r="C6" s="12">
        <f>'[10]Dia 2 (a)'!$S12</f>
        <v>18.5</v>
      </c>
      <c r="D6" s="12">
        <f>'[10]Dia 3 (a)'!$S12</f>
        <v>19.100000000000001</v>
      </c>
      <c r="E6" s="12">
        <f>'[10]Dia 4 (a)'!$S12</f>
        <v>19.2</v>
      </c>
      <c r="F6" s="12">
        <f>'[10]Dia 5 (a)'!$S12</f>
        <v>18.899999999999999</v>
      </c>
      <c r="G6" s="12">
        <f>'[10]Dia 6 (a)'!$S12</f>
        <v>20.399999999999999</v>
      </c>
      <c r="H6" s="12">
        <f>'[10]Dia 7 (a)'!$S12</f>
        <v>21.6</v>
      </c>
      <c r="I6" s="12">
        <f>'[10]Dia 8 (a)'!$S12</f>
        <v>20.6</v>
      </c>
      <c r="J6" s="12">
        <f>'[10]Dia 9 (a)'!$S12</f>
        <v>21.1</v>
      </c>
      <c r="K6" s="12">
        <f>'[10]Dia 10 (a)'!$S12</f>
        <v>20.7</v>
      </c>
      <c r="L6" s="12">
        <f>'[10]Dia 11 (a)'!$S12</f>
        <v>20</v>
      </c>
      <c r="M6" s="12">
        <f>'[10]Dia 12 (a)'!$S12</f>
        <v>20.6</v>
      </c>
      <c r="N6" s="12">
        <f>'[10]Dia 13 (a)'!$S12</f>
        <v>21.2</v>
      </c>
      <c r="O6" s="12">
        <f>'[10]Dia 14 (a)'!$S12</f>
        <v>21.6</v>
      </c>
      <c r="P6" s="12">
        <f>'[10]Dia 15 (a)'!$S12</f>
        <v>21.4</v>
      </c>
      <c r="Q6" s="12">
        <f>'[10]Dia 16 (a)'!$S12</f>
        <v>20.7</v>
      </c>
      <c r="R6" s="12">
        <f>'[10]Dia 17 (a)'!$S12</f>
        <v>21</v>
      </c>
      <c r="S6" s="12">
        <f>'[10]Dia 18 (a)'!$S12</f>
        <v>22</v>
      </c>
      <c r="T6" s="12">
        <f>'[10]Dia 19 (a)'!$S12</f>
        <v>20.7</v>
      </c>
      <c r="U6" s="12">
        <f>'[10]Dia 20 (a)'!$S12</f>
        <v>20.6</v>
      </c>
      <c r="V6" s="12">
        <f>'[10]Dia 21 (a)'!$S12</f>
        <v>21.6</v>
      </c>
      <c r="W6" s="12">
        <f>'[10]Dia 22 (a)'!$S12</f>
        <v>21</v>
      </c>
      <c r="X6" s="12">
        <f>'[10]Dia 23 (a)'!$S12</f>
        <v>21.6</v>
      </c>
      <c r="Y6" s="12">
        <f>'[10]Dia 24 (a)'!$S12</f>
        <v>22.6</v>
      </c>
      <c r="Z6" s="12">
        <f>'[10]Dia 25 (a)'!$S12</f>
        <v>22.4</v>
      </c>
      <c r="AA6" s="12">
        <f>'[10]Dia 26 (a)'!$S12</f>
        <v>23.4</v>
      </c>
      <c r="AB6" s="12">
        <f>'[10]Dia 27 (a)'!$S12</f>
        <v>24.3</v>
      </c>
      <c r="AC6" s="12">
        <f>'[10]Dia 28 (a)'!$S12</f>
        <v>25</v>
      </c>
      <c r="AD6" s="12">
        <f>'[10]Dia 29 (a)'!$S12</f>
        <v>25.3</v>
      </c>
      <c r="AE6" s="12">
        <f>'[10]Dia 30 (a)'!$S12</f>
        <v>25.2</v>
      </c>
      <c r="AF6" s="13">
        <f>'[10]Dia 31 (a)'!$S12</f>
        <v>24.4</v>
      </c>
      <c r="AG6" s="14"/>
    </row>
    <row r="7" spans="1:33" ht="20.100000000000001" customHeight="1">
      <c r="A7" s="11">
        <v>10</v>
      </c>
      <c r="B7" s="12">
        <f>'[10]Dia 1 (a)'!$S13</f>
        <v>17.600000000000001</v>
      </c>
      <c r="C7" s="12">
        <f>'[10]Dia 2 (a)'!$S13</f>
        <v>18.5</v>
      </c>
      <c r="D7" s="12">
        <f>'[10]Dia 3 (a)'!$S13</f>
        <v>19.2</v>
      </c>
      <c r="E7" s="12">
        <f>'[10]Dia 4 (a)'!$S13</f>
        <v>19.2</v>
      </c>
      <c r="F7" s="12">
        <f>'[10]Dia 5 (a)'!$S13</f>
        <v>18.899999999999999</v>
      </c>
      <c r="G7" s="12">
        <f>'[10]Dia 6 (a)'!$S13</f>
        <v>20.399999999999999</v>
      </c>
      <c r="H7" s="12">
        <f>'[10]Dia 7 (a)'!$S13</f>
        <v>21.5</v>
      </c>
      <c r="I7" s="12">
        <f>'[10]Dia 8 (a)'!$S13</f>
        <v>20.5</v>
      </c>
      <c r="J7" s="12">
        <f>'[10]Dia 9 (a)'!$S13</f>
        <v>21</v>
      </c>
      <c r="K7" s="12">
        <f>'[10]Dia 10 (a)'!$S13</f>
        <v>20.7</v>
      </c>
      <c r="L7" s="12">
        <f>'[10]Dia 11 (a)'!$S13</f>
        <v>20</v>
      </c>
      <c r="M7" s="12">
        <f>'[10]Dia 12 (a)'!$S13</f>
        <v>20.6</v>
      </c>
      <c r="N7" s="12">
        <f>'[10]Dia 13 (a)'!$S13</f>
        <v>21.1</v>
      </c>
      <c r="O7" s="12">
        <f>'[10]Dia 14 (a)'!$S13</f>
        <v>21.6</v>
      </c>
      <c r="P7" s="12">
        <f>'[10]Dia 15 (a)'!$S13</f>
        <v>21.3</v>
      </c>
      <c r="Q7" s="12">
        <f>'[10]Dia 16 (a)'!$S13</f>
        <v>20.7</v>
      </c>
      <c r="R7" s="12">
        <f>'[10]Dia 17 (a)'!$S13</f>
        <v>21</v>
      </c>
      <c r="S7" s="12">
        <f>'[10]Dia 18 (a)'!$S13</f>
        <v>22</v>
      </c>
      <c r="T7" s="12">
        <f>'[10]Dia 19 (a)'!$S13</f>
        <v>20.7</v>
      </c>
      <c r="U7" s="12">
        <f>'[10]Dia 20 (a)'!$S13</f>
        <v>20.6</v>
      </c>
      <c r="V7" s="12">
        <f>'[10]Dia 21 (a)'!$S13</f>
        <v>21.6</v>
      </c>
      <c r="W7" s="12">
        <f>'[10]Dia 22 (a)'!$S13</f>
        <v>21</v>
      </c>
      <c r="X7" s="12">
        <f>'[10]Dia 23 (a)'!$S13</f>
        <v>21.6</v>
      </c>
      <c r="Y7" s="12">
        <f>'[10]Dia 24 (a)'!$S13</f>
        <v>22.5</v>
      </c>
      <c r="Z7" s="12">
        <f>'[10]Dia 25 (a)'!$S13</f>
        <v>22.3</v>
      </c>
      <c r="AA7" s="12">
        <f>'[10]Dia 26 (a)'!$S13</f>
        <v>23.2</v>
      </c>
      <c r="AB7" s="12">
        <f>'[10]Dia 27 (a)'!$S13</f>
        <v>24.2</v>
      </c>
      <c r="AC7" s="12">
        <f>'[10]Dia 28 (a)'!$S13</f>
        <v>24.8</v>
      </c>
      <c r="AD7" s="12">
        <f>'[10]Dia 29 (a)'!$S13</f>
        <v>25.2</v>
      </c>
      <c r="AE7" s="12">
        <f>'[10]Dia 30 (a)'!$S13</f>
        <v>25.1</v>
      </c>
      <c r="AF7" s="13">
        <f>'[10]Dia 31 (a)'!$S13</f>
        <v>24.4</v>
      </c>
      <c r="AG7" s="14"/>
    </row>
    <row r="8" spans="1:33" ht="20.100000000000001" customHeight="1">
      <c r="A8" s="11">
        <v>11</v>
      </c>
      <c r="B8" s="12">
        <f>'[10]Dia 1 (a)'!$S14</f>
        <v>17.600000000000001</v>
      </c>
      <c r="C8" s="12">
        <f>'[10]Dia 2 (a)'!$S14</f>
        <v>18.5</v>
      </c>
      <c r="D8" s="12">
        <f>'[10]Dia 3 (a)'!$S14</f>
        <v>19.2</v>
      </c>
      <c r="E8" s="12">
        <f>'[10]Dia 4 (a)'!$S14</f>
        <v>19.2</v>
      </c>
      <c r="F8" s="12">
        <f>'[10]Dia 5 (a)'!$S14</f>
        <v>19</v>
      </c>
      <c r="G8" s="12">
        <f>'[10]Dia 6 (a)'!$S14</f>
        <v>20.5</v>
      </c>
      <c r="H8" s="12">
        <f>'[10]Dia 7 (a)'!$S14</f>
        <v>21.5</v>
      </c>
      <c r="I8" s="12">
        <f>'[10]Dia 8 (a)'!$S14</f>
        <v>20.5</v>
      </c>
      <c r="J8" s="12">
        <f>'[10]Dia 9 (a)'!$S14</f>
        <v>21</v>
      </c>
      <c r="K8" s="12">
        <f>'[10]Dia 10 (a)'!$S14</f>
        <v>20.6</v>
      </c>
      <c r="L8" s="12">
        <f>'[10]Dia 11 (a)'!$S14</f>
        <v>20.100000000000001</v>
      </c>
      <c r="M8" s="12">
        <f>'[10]Dia 12 (a)'!$S14</f>
        <v>20.6</v>
      </c>
      <c r="N8" s="12">
        <f>'[10]Dia 13 (a)'!$S14</f>
        <v>21.2</v>
      </c>
      <c r="O8" s="12">
        <f>'[10]Dia 14 (a)'!$S14</f>
        <v>21.4</v>
      </c>
      <c r="P8" s="12">
        <f>'[10]Dia 15 (a)'!$S14</f>
        <v>21.2</v>
      </c>
      <c r="Q8" s="12">
        <f>'[10]Dia 16 (a)'!$S14</f>
        <v>20.7</v>
      </c>
      <c r="R8" s="12">
        <f>'[10]Dia 17 (a)'!$S14</f>
        <v>21</v>
      </c>
      <c r="S8" s="12">
        <f>'[10]Dia 18 (a)'!$S14</f>
        <v>21.8</v>
      </c>
      <c r="T8" s="12">
        <f>'[10]Dia 19 (a)'!$S14</f>
        <v>20.7</v>
      </c>
      <c r="U8" s="12">
        <f>'[10]Dia 20 (a)'!$S14</f>
        <v>20.6</v>
      </c>
      <c r="V8" s="12">
        <f>'[10]Dia 21 (a)'!$S14</f>
        <v>21.5</v>
      </c>
      <c r="W8" s="12">
        <f>'[10]Dia 22 (a)'!$S14</f>
        <v>21.4</v>
      </c>
      <c r="X8" s="12">
        <f>'[10]Dia 23 (a)'!$S14</f>
        <v>21.6</v>
      </c>
      <c r="Y8" s="12">
        <f>'[10]Dia 24 (a)'!$S14</f>
        <v>22.5</v>
      </c>
      <c r="Z8" s="12">
        <f>'[10]Dia 25 (a)'!$S14</f>
        <v>22.3</v>
      </c>
      <c r="AA8" s="12">
        <f>'[10]Dia 26 (a)'!$S14</f>
        <v>23.1</v>
      </c>
      <c r="AB8" s="12">
        <f>'[10]Dia 27 (a)'!$S14</f>
        <v>24.2</v>
      </c>
      <c r="AC8" s="12">
        <f>'[10]Dia 28 (a)'!$S14</f>
        <v>24.8</v>
      </c>
      <c r="AD8" s="12">
        <f>'[10]Dia 29 (a)'!$S14</f>
        <v>25.3</v>
      </c>
      <c r="AE8" s="12">
        <f>'[10]Dia 30 (a)'!$S14</f>
        <v>25</v>
      </c>
      <c r="AF8" s="13">
        <f>'[10]Dia 31 (a)'!$S14</f>
        <v>24.2</v>
      </c>
      <c r="AG8" s="14"/>
    </row>
    <row r="9" spans="1:33" ht="20.100000000000001" customHeight="1">
      <c r="A9" s="11">
        <v>12</v>
      </c>
      <c r="B9" s="12">
        <f>'[10]Dia 1 (a)'!$S15</f>
        <v>17.600000000000001</v>
      </c>
      <c r="C9" s="12">
        <f>'[10]Dia 2 (a)'!$S15</f>
        <v>18.5</v>
      </c>
      <c r="D9" s="12">
        <f>'[10]Dia 3 (a)'!$S15</f>
        <v>19.2</v>
      </c>
      <c r="E9" s="12">
        <f>'[10]Dia 4 (a)'!$S15</f>
        <v>19.2</v>
      </c>
      <c r="F9" s="12">
        <f>'[10]Dia 5 (a)'!$S15</f>
        <v>19.100000000000001</v>
      </c>
      <c r="G9" s="12">
        <f>'[10]Dia 6 (a)'!$S15</f>
        <v>20.399999999999999</v>
      </c>
      <c r="H9" s="12">
        <f>'[10]Dia 7 (a)'!$S15</f>
        <v>21.4</v>
      </c>
      <c r="I9" s="12">
        <f>'[10]Dia 8 (a)'!$S15</f>
        <v>20.6</v>
      </c>
      <c r="J9" s="12">
        <f>'[10]Dia 9 (a)'!$S15</f>
        <v>21</v>
      </c>
      <c r="K9" s="12">
        <f>'[10]Dia 10 (a)'!$S15</f>
        <v>20.6</v>
      </c>
      <c r="L9" s="12">
        <f>'[10]Dia 11 (a)'!$S15</f>
        <v>20</v>
      </c>
      <c r="M9" s="12">
        <f>'[10]Dia 12 (a)'!$S15</f>
        <v>20.6</v>
      </c>
      <c r="N9" s="12">
        <f>'[10]Dia 13 (a)'!$S15</f>
        <v>21.1</v>
      </c>
      <c r="O9" s="12">
        <f>'[10]Dia 14 (a)'!$S15</f>
        <v>21.4</v>
      </c>
      <c r="P9" s="12">
        <f>'[10]Dia 15 (a)'!$S15</f>
        <v>21.1</v>
      </c>
      <c r="Q9" s="12">
        <f>'[10]Dia 16 (a)'!$S15</f>
        <v>20.7</v>
      </c>
      <c r="R9" s="12">
        <f>'[10]Dia 17 (a)'!$S15</f>
        <v>21</v>
      </c>
      <c r="S9" s="12">
        <f>'[10]Dia 18 (a)'!$S15</f>
        <v>21.6</v>
      </c>
      <c r="T9" s="12">
        <f>'[10]Dia 19 (a)'!$S15</f>
        <v>20.6</v>
      </c>
      <c r="U9" s="12">
        <f>'[10]Dia 20 (a)'!$S15</f>
        <v>20.5</v>
      </c>
      <c r="V9" s="12">
        <f>'[10]Dia 21 (a)'!$S15</f>
        <v>21.4</v>
      </c>
      <c r="W9" s="12">
        <f>'[10]Dia 22 (a)'!$S15</f>
        <v>21.6</v>
      </c>
      <c r="X9" s="12">
        <f>'[10]Dia 23 (a)'!$S15</f>
        <v>21.6</v>
      </c>
      <c r="Y9" s="12">
        <f>'[10]Dia 24 (a)'!$S15</f>
        <v>22.5</v>
      </c>
      <c r="Z9" s="12">
        <f>'[10]Dia 25 (a)'!$S15</f>
        <v>22.3</v>
      </c>
      <c r="AA9" s="12">
        <f>'[10]Dia 26 (a)'!$S15</f>
        <v>23.1</v>
      </c>
      <c r="AB9" s="12">
        <f>'[10]Dia 27 (a)'!$S15</f>
        <v>24.1</v>
      </c>
      <c r="AC9" s="12">
        <f>'[10]Dia 28 (a)'!$S15</f>
        <v>24.8</v>
      </c>
      <c r="AD9" s="12">
        <f>'[10]Dia 29 (a)'!$S15</f>
        <v>25.2</v>
      </c>
      <c r="AE9" s="12">
        <f>'[10]Dia 30 (a)'!$S15</f>
        <v>25</v>
      </c>
      <c r="AF9" s="13">
        <f>'[10]Dia 31 (a)'!$S15</f>
        <v>24.4</v>
      </c>
      <c r="AG9" s="14"/>
    </row>
    <row r="10" spans="1:33" ht="20.100000000000001" customHeight="1">
      <c r="A10" s="11">
        <v>13</v>
      </c>
      <c r="B10" s="12">
        <f>'[10]Dia 1 (a)'!$S16</f>
        <v>17.7</v>
      </c>
      <c r="C10" s="12">
        <f>'[10]Dia 2 (a)'!$S16</f>
        <v>18.600000000000001</v>
      </c>
      <c r="D10" s="12">
        <f>'[10]Dia 3 (a)'!$S16</f>
        <v>19.2</v>
      </c>
      <c r="E10" s="12">
        <f>'[10]Dia 4 (a)'!$S16</f>
        <v>19.2</v>
      </c>
      <c r="F10" s="12">
        <f>'[10]Dia 5 (a)'!$S16</f>
        <v>19.2</v>
      </c>
      <c r="G10" s="12">
        <f>'[10]Dia 6 (a)'!$S16</f>
        <v>20.6</v>
      </c>
      <c r="H10" s="12">
        <f>'[10]Dia 7 (a)'!$S16</f>
        <v>21.4</v>
      </c>
      <c r="I10" s="12">
        <f>'[10]Dia 8 (a)'!$S16</f>
        <v>20.6</v>
      </c>
      <c r="J10" s="12">
        <f>'[10]Dia 9 (a)'!$S16</f>
        <v>21.1</v>
      </c>
      <c r="K10" s="12">
        <f>'[10]Dia 10 (a)'!$S16</f>
        <v>20.6</v>
      </c>
      <c r="L10" s="12">
        <f>'[10]Dia 11 (a)'!$S16</f>
        <v>20</v>
      </c>
      <c r="M10" s="12">
        <f>'[10]Dia 12 (a)'!$S16</f>
        <v>20.6</v>
      </c>
      <c r="N10" s="12">
        <f>'[10]Dia 13 (a)'!$S16</f>
        <v>21.3</v>
      </c>
      <c r="O10" s="12">
        <f>'[10]Dia 14 (a)'!$S16</f>
        <v>21.5</v>
      </c>
      <c r="P10" s="12">
        <f>'[10]Dia 15 (a)'!$S16</f>
        <v>21.1</v>
      </c>
      <c r="Q10" s="12">
        <f>'[10]Dia 16 (a)'!$S16</f>
        <v>20.8</v>
      </c>
      <c r="R10" s="12">
        <f>'[10]Dia 17 (a)'!$S16</f>
        <v>21</v>
      </c>
      <c r="S10" s="12">
        <f>'[10]Dia 18 (a)'!$S16</f>
        <v>21.8</v>
      </c>
      <c r="T10" s="12">
        <f>'[10]Dia 19 (a)'!$S16</f>
        <v>20.6</v>
      </c>
      <c r="U10" s="12">
        <f>'[10]Dia 20 (a)'!$S16</f>
        <v>20.399999999999999</v>
      </c>
      <c r="V10" s="12">
        <f>'[10]Dia 21 (a)'!$S16</f>
        <v>21.6</v>
      </c>
      <c r="W10" s="12">
        <f>'[10]Dia 22 (a)'!$S16</f>
        <v>21.6</v>
      </c>
      <c r="X10" s="12">
        <f>'[10]Dia 23 (a)'!$S16</f>
        <v>21.8</v>
      </c>
      <c r="Y10" s="12">
        <f>'[10]Dia 24 (a)'!$S16</f>
        <v>22.6</v>
      </c>
      <c r="Z10" s="12">
        <f>'[10]Dia 25 (a)'!$S16</f>
        <v>22.4</v>
      </c>
      <c r="AA10" s="12">
        <f>'[10]Dia 26 (a)'!$S16</f>
        <v>23.3</v>
      </c>
      <c r="AB10" s="12">
        <f>'[10]Dia 27 (a)'!$S16</f>
        <v>24.2</v>
      </c>
      <c r="AC10" s="12">
        <f>'[10]Dia 28 (a)'!$S16</f>
        <v>25</v>
      </c>
      <c r="AD10" s="12">
        <f>'[10]Dia 29 (a)'!$S16</f>
        <v>25.3</v>
      </c>
      <c r="AE10" s="12">
        <f>'[10]Dia 30 (a)'!$S16</f>
        <v>25.1</v>
      </c>
      <c r="AF10" s="13">
        <f>'[10]Dia 31 (a)'!$S16</f>
        <v>24</v>
      </c>
      <c r="AG10" s="14"/>
    </row>
    <row r="11" spans="1:33" ht="20.100000000000001" customHeight="1">
      <c r="A11" s="11">
        <v>14</v>
      </c>
      <c r="B11" s="12">
        <f>'[10]Dia 1 (a)'!$S17</f>
        <v>17.7</v>
      </c>
      <c r="C11" s="12">
        <f>'[10]Dia 2 (a)'!$S17</f>
        <v>18.600000000000001</v>
      </c>
      <c r="D11" s="12">
        <f>'[10]Dia 3 (a)'!$S17</f>
        <v>19.2</v>
      </c>
      <c r="E11" s="12">
        <f>'[10]Dia 4 (a)'!$S17</f>
        <v>19.2</v>
      </c>
      <c r="F11" s="12">
        <f>'[10]Dia 5 (a)'!$S17</f>
        <v>19.3</v>
      </c>
      <c r="G11" s="12">
        <f>'[10]Dia 6 (a)'!$S17</f>
        <v>20.8</v>
      </c>
      <c r="H11" s="12">
        <f>'[10]Dia 7 (a)'!$S17</f>
        <v>21.5</v>
      </c>
      <c r="I11" s="12">
        <f>'[10]Dia 8 (a)'!$S17</f>
        <v>20.8</v>
      </c>
      <c r="J11" s="12">
        <f>'[10]Dia 9 (a)'!$S17</f>
        <v>21.1</v>
      </c>
      <c r="K11" s="12">
        <f>'[10]Dia 10 (a)'!$S17</f>
        <v>20.5</v>
      </c>
      <c r="L11" s="12">
        <f>'[10]Dia 11 (a)'!$S17</f>
        <v>20.2</v>
      </c>
      <c r="M11" s="12">
        <f>'[10]Dia 12 (a)'!$S17</f>
        <v>20.6</v>
      </c>
      <c r="N11" s="12">
        <f>'[10]Dia 13 (a)'!$S17</f>
        <v>21.4</v>
      </c>
      <c r="O11" s="12">
        <f>'[10]Dia 14 (a)'!$S17</f>
        <v>21.6</v>
      </c>
      <c r="P11" s="12">
        <f>'[10]Dia 15 (a)'!$S17</f>
        <v>21.1</v>
      </c>
      <c r="Q11" s="12">
        <f>'[10]Dia 16 (a)'!$S17</f>
        <v>20.9</v>
      </c>
      <c r="R11" s="12">
        <f>'[10]Dia 17 (a)'!$S17</f>
        <v>21.2</v>
      </c>
      <c r="S11" s="12">
        <f>'[10]Dia 18 (a)'!$S17</f>
        <v>21.6</v>
      </c>
      <c r="T11" s="12">
        <f>'[10]Dia 19 (a)'!$S17</f>
        <v>20.7</v>
      </c>
      <c r="U11" s="12">
        <f>'[10]Dia 20 (a)'!$S17</f>
        <v>20.2</v>
      </c>
      <c r="V11" s="12">
        <f>'[10]Dia 21 (a)'!$S17</f>
        <v>21.4</v>
      </c>
      <c r="W11" s="12">
        <f>'[10]Dia 22 (a)'!$S17</f>
        <v>21.6</v>
      </c>
      <c r="X11" s="12">
        <f>'[10]Dia 23 (a)'!$S17</f>
        <v>22</v>
      </c>
      <c r="Y11" s="12">
        <f>'[10]Dia 24 (a)'!$S17</f>
        <v>22.4</v>
      </c>
      <c r="Z11" s="12">
        <f>'[10]Dia 25 (a)'!$S17</f>
        <v>22.6</v>
      </c>
      <c r="AA11" s="12">
        <f>'[10]Dia 26 (a)'!$S17</f>
        <v>23.4</v>
      </c>
      <c r="AB11" s="12">
        <f>'[10]Dia 27 (a)'!$S17</f>
        <v>24.5</v>
      </c>
      <c r="AC11" s="12">
        <f>'[10]Dia 28 (a)'!$S17</f>
        <v>25</v>
      </c>
      <c r="AD11" s="12">
        <f>'[10]Dia 29 (a)'!$S17</f>
        <v>25.5</v>
      </c>
      <c r="AE11" s="12">
        <f>'[10]Dia 30 (a)'!$S17</f>
        <v>25.2</v>
      </c>
      <c r="AF11" s="13">
        <f>'[10]Dia 31 (a)'!$S17</f>
        <v>24</v>
      </c>
      <c r="AG11" s="14"/>
    </row>
    <row r="12" spans="1:33" ht="20.100000000000001" customHeight="1">
      <c r="A12" s="11">
        <v>15</v>
      </c>
      <c r="B12" s="12">
        <f>'[10]Dia 1 (a)'!$S18</f>
        <v>18</v>
      </c>
      <c r="C12" s="12">
        <f>'[10]Dia 2 (a)'!$S18</f>
        <v>19</v>
      </c>
      <c r="D12" s="12">
        <f>'[10]Dia 3 (a)'!$S18</f>
        <v>19.399999999999999</v>
      </c>
      <c r="E12" s="12">
        <f>'[10]Dia 4 (a)'!$S18</f>
        <v>19.2</v>
      </c>
      <c r="F12" s="12">
        <f>'[10]Dia 5 (a)'!$S18</f>
        <v>19.399999999999999</v>
      </c>
      <c r="G12" s="12">
        <f>'[10]Dia 6 (a)'!$S18</f>
        <v>20.9</v>
      </c>
      <c r="H12" s="12">
        <f>'[10]Dia 7 (a)'!$S18</f>
        <v>21.7</v>
      </c>
      <c r="I12" s="12">
        <f>'[10]Dia 8 (a)'!$S18</f>
        <v>20.9</v>
      </c>
      <c r="J12" s="12">
        <f>'[10]Dia 9 (a)'!$S18</f>
        <v>21.2</v>
      </c>
      <c r="K12" s="12">
        <f>'[10]Dia 10 (a)'!$S18</f>
        <v>20.5</v>
      </c>
      <c r="L12" s="12">
        <f>'[10]Dia 11 (a)'!$S18</f>
        <v>20.2</v>
      </c>
      <c r="M12" s="12">
        <f>'[10]Dia 12 (a)'!$S18</f>
        <v>20.6</v>
      </c>
      <c r="N12" s="12">
        <f>'[10]Dia 13 (a)'!$S18</f>
        <v>21.5</v>
      </c>
      <c r="O12" s="12">
        <f>'[10]Dia 14 (a)'!$S18</f>
        <v>21.7</v>
      </c>
      <c r="P12" s="12">
        <f>'[10]Dia 15 (a)'!$S18</f>
        <v>21.2</v>
      </c>
      <c r="Q12" s="12">
        <f>'[10]Dia 16 (a)'!$S18</f>
        <v>21</v>
      </c>
      <c r="R12" s="12">
        <f>'[10]Dia 17 (a)'!$S18</f>
        <v>21.2</v>
      </c>
      <c r="S12" s="12">
        <f>'[10]Dia 18 (a)'!$S18</f>
        <v>21.6</v>
      </c>
      <c r="T12" s="12">
        <f>'[10]Dia 19 (a)'!$S18</f>
        <v>20.7</v>
      </c>
      <c r="U12" s="12">
        <f>'[10]Dia 20 (a)'!$S18</f>
        <v>20.2</v>
      </c>
      <c r="V12" s="12">
        <f>'[10]Dia 21 (a)'!$S18</f>
        <v>21.5</v>
      </c>
      <c r="W12" s="12">
        <f>'[10]Dia 22 (a)'!$S18</f>
        <v>21.6</v>
      </c>
      <c r="X12" s="12">
        <f>'[10]Dia 23 (a)'!$S18</f>
        <v>22</v>
      </c>
      <c r="Y12" s="12">
        <f>'[10]Dia 24 (a)'!$S18</f>
        <v>22.4</v>
      </c>
      <c r="Z12" s="12">
        <f>'[10]Dia 25 (a)'!$S18</f>
        <v>23</v>
      </c>
      <c r="AA12" s="12">
        <f>'[10]Dia 26 (a)'!$S18</f>
        <v>23.7</v>
      </c>
      <c r="AB12" s="12">
        <f>'[10]Dia 27 (a)'!$S18</f>
        <v>24.7</v>
      </c>
      <c r="AC12" s="12">
        <f>'[10]Dia 28 (a)'!$S18</f>
        <v>25</v>
      </c>
      <c r="AD12" s="12">
        <f>'[10]Dia 29 (a)'!$S18</f>
        <v>25.7</v>
      </c>
      <c r="AE12" s="12">
        <f>'[10]Dia 30 (a)'!$S18</f>
        <v>25.2</v>
      </c>
      <c r="AF12" s="13">
        <f>'[10]Dia 31 (a)'!$S18</f>
        <v>24</v>
      </c>
      <c r="AG12" s="14"/>
    </row>
    <row r="13" spans="1:33" ht="20.100000000000001" customHeight="1">
      <c r="A13" s="11">
        <v>16</v>
      </c>
      <c r="B13" s="12">
        <f>'[10]Dia 1 (a)'!$S19</f>
        <v>18.2</v>
      </c>
      <c r="C13" s="12">
        <f>'[10]Dia 2 (a)'!$S19</f>
        <v>18.899999999999999</v>
      </c>
      <c r="D13" s="12">
        <f>'[10]Dia 3 (a)'!$S19</f>
        <v>18.8</v>
      </c>
      <c r="E13" s="12">
        <f>'[10]Dia 4 (a)'!$S19</f>
        <v>19.2</v>
      </c>
      <c r="F13" s="12">
        <f>'[10]Dia 5 (a)'!$S19</f>
        <v>19.600000000000001</v>
      </c>
      <c r="G13" s="12">
        <f>'[10]Dia 6 (a)'!$S19</f>
        <v>21.2</v>
      </c>
      <c r="H13" s="12">
        <f>'[10]Dia 7 (a)'!$S19</f>
        <v>21.4</v>
      </c>
      <c r="I13" s="12">
        <f>'[10]Dia 8 (a)'!$S19</f>
        <v>20.9</v>
      </c>
      <c r="J13" s="12">
        <f>'[10]Dia 9 (a)'!$S19</f>
        <v>21.2</v>
      </c>
      <c r="K13" s="12">
        <f>'[10]Dia 10 (a)'!$S19</f>
        <v>20.5</v>
      </c>
      <c r="L13" s="12">
        <f>'[10]Dia 11 (a)'!$S19</f>
        <v>20.399999999999999</v>
      </c>
      <c r="M13" s="12">
        <f>'[10]Dia 12 (a)'!$S19</f>
        <v>21.2</v>
      </c>
      <c r="N13" s="12">
        <f>'[10]Dia 13 (a)'!$S19</f>
        <v>21.8</v>
      </c>
      <c r="O13" s="12">
        <f>'[10]Dia 14 (a)'!$S19</f>
        <v>21</v>
      </c>
      <c r="P13" s="12">
        <f>'[10]Dia 15 (a)'!$S19</f>
        <v>21.2</v>
      </c>
      <c r="Q13" s="12">
        <f>'[10]Dia 16 (a)'!$S19</f>
        <v>21.4</v>
      </c>
      <c r="R13" s="12">
        <f>'[10]Dia 17 (a)'!$S19</f>
        <v>21.9</v>
      </c>
      <c r="S13" s="12">
        <f>'[10]Dia 18 (a)'!$S19</f>
        <v>21.6</v>
      </c>
      <c r="T13" s="12">
        <f>'[10]Dia 19 (a)'!$S19</f>
        <v>20.7</v>
      </c>
      <c r="U13" s="12">
        <f>'[10]Dia 20 (a)'!$S19</f>
        <v>21.3</v>
      </c>
      <c r="V13" s="12">
        <f>'[10]Dia 21 (a)'!$S19</f>
        <v>21.6</v>
      </c>
      <c r="W13" s="12">
        <f>'[10]Dia 22 (a)'!$S19</f>
        <v>21.9</v>
      </c>
      <c r="X13" s="12">
        <f>'[10]Dia 23 (a)'!$S19</f>
        <v>22.4</v>
      </c>
      <c r="Y13" s="12">
        <f>'[10]Dia 24 (a)'!$S19</f>
        <v>22.6</v>
      </c>
      <c r="Z13" s="12">
        <f>'[10]Dia 25 (a)'!$S19</f>
        <v>23</v>
      </c>
      <c r="AA13" s="12">
        <f>'[10]Dia 26 (a)'!$S19</f>
        <v>23.8</v>
      </c>
      <c r="AB13" s="12">
        <f>'[10]Dia 27 (a)'!$S19</f>
        <v>25.1</v>
      </c>
      <c r="AC13" s="12">
        <f>'[10]Dia 28 (a)'!$S19</f>
        <v>25.4</v>
      </c>
      <c r="AD13" s="12">
        <f>'[10]Dia 29 (a)'!$S19</f>
        <v>26.1</v>
      </c>
      <c r="AE13" s="12">
        <f>'[10]Dia 30 (a)'!$S19</f>
        <v>25.4</v>
      </c>
      <c r="AF13" s="13">
        <f>'[10]Dia 31 (a)'!$S19</f>
        <v>24.2</v>
      </c>
      <c r="AG13" s="14"/>
    </row>
    <row r="14" spans="1:33" ht="20.100000000000001" customHeight="1">
      <c r="A14" s="11">
        <v>17</v>
      </c>
      <c r="B14" s="12">
        <f>'[10]Dia 1 (a)'!$S20</f>
        <v>18.3</v>
      </c>
      <c r="C14" s="12">
        <f>'[10]Dia 2 (a)'!$S20</f>
        <v>19</v>
      </c>
      <c r="D14" s="12">
        <f>'[10]Dia 3 (a)'!$S20</f>
        <v>18.8</v>
      </c>
      <c r="E14" s="12">
        <f>'[10]Dia 4 (a)'!$S20</f>
        <v>19.2</v>
      </c>
      <c r="F14" s="12">
        <f>'[10]Dia 5 (a)'!$S20</f>
        <v>19.899999999999999</v>
      </c>
      <c r="G14" s="12">
        <f>'[10]Dia 6 (a)'!$S20</f>
        <v>21.5</v>
      </c>
      <c r="H14" s="12">
        <f>'[10]Dia 7 (a)'!$S20</f>
        <v>21.5</v>
      </c>
      <c r="I14" s="12">
        <f>'[10]Dia 8 (a)'!$S20</f>
        <v>20.9</v>
      </c>
      <c r="J14" s="12">
        <f>'[10]Dia 9 (a)'!$S20</f>
        <v>21.2</v>
      </c>
      <c r="K14" s="12">
        <f>'[10]Dia 10 (a)'!$S20</f>
        <v>20.6</v>
      </c>
      <c r="L14" s="12">
        <f>'[10]Dia 11 (a)'!$S20</f>
        <v>20.7</v>
      </c>
      <c r="M14" s="12">
        <f>'[10]Dia 12 (a)'!$S20</f>
        <v>21.4</v>
      </c>
      <c r="N14" s="12">
        <f>'[10]Dia 13 (a)'!$S20</f>
        <v>21.8</v>
      </c>
      <c r="O14" s="12">
        <f>'[10]Dia 14 (a)'!$S20</f>
        <v>21.2</v>
      </c>
      <c r="P14" s="12">
        <f>'[10]Dia 15 (a)'!$S20</f>
        <v>21.2</v>
      </c>
      <c r="Q14" s="12">
        <f>'[10]Dia 16 (a)'!$S20</f>
        <v>21.6</v>
      </c>
      <c r="R14" s="12">
        <f>'[10]Dia 17 (a)'!$S20</f>
        <v>22.1</v>
      </c>
      <c r="S14" s="12">
        <f>'[10]Dia 18 (a)'!$S20</f>
        <v>21.6</v>
      </c>
      <c r="T14" s="12">
        <f>'[10]Dia 19 (a)'!$S20</f>
        <v>20.7</v>
      </c>
      <c r="U14" s="12">
        <f>'[10]Dia 20 (a)'!$S20</f>
        <v>21.6</v>
      </c>
      <c r="V14" s="12">
        <f>'[10]Dia 21 (a)'!$S20</f>
        <v>21.6</v>
      </c>
      <c r="W14" s="12">
        <f>'[10]Dia 22 (a)'!$S20</f>
        <v>22.1</v>
      </c>
      <c r="X14" s="12">
        <f>'[10]Dia 23 (a)'!$S20</f>
        <v>22.8</v>
      </c>
      <c r="Y14" s="12">
        <f>'[10]Dia 24 (a)'!$S20</f>
        <v>22.8</v>
      </c>
      <c r="Z14" s="12">
        <f>'[10]Dia 25 (a)'!$S20</f>
        <v>23</v>
      </c>
      <c r="AA14" s="12">
        <f>'[10]Dia 26 (a)'!$S20</f>
        <v>24</v>
      </c>
      <c r="AB14" s="12">
        <f>'[10]Dia 27 (a)'!$S20</f>
        <v>25.4</v>
      </c>
      <c r="AC14" s="12">
        <f>'[10]Dia 28 (a)'!$S20</f>
        <v>25.5</v>
      </c>
      <c r="AD14" s="12">
        <f>'[10]Dia 29 (a)'!$S20</f>
        <v>26.2</v>
      </c>
      <c r="AE14" s="12">
        <f>'[10]Dia 30 (a)'!$S20</f>
        <v>25.6</v>
      </c>
      <c r="AF14" s="13">
        <f>'[10]Dia 31 (a)'!$S20</f>
        <v>24.2</v>
      </c>
      <c r="AG14" s="14"/>
    </row>
    <row r="15" spans="1:33" ht="20.100000000000001" customHeight="1">
      <c r="A15" s="11">
        <v>18</v>
      </c>
      <c r="B15" s="12">
        <f>'[10]Dia 1 (a)'!$S21</f>
        <v>18.399999999999999</v>
      </c>
      <c r="C15" s="12">
        <f>'[10]Dia 2 (a)'!$S21</f>
        <v>19.100000000000001</v>
      </c>
      <c r="D15" s="12">
        <f>'[10]Dia 3 (a)'!$S21</f>
        <v>19.399999999999999</v>
      </c>
      <c r="E15" s="12">
        <f>'[10]Dia 4 (a)'!$S21</f>
        <v>19.2</v>
      </c>
      <c r="F15" s="12">
        <f>'[10]Dia 5 (a)'!$S21</f>
        <v>20.100000000000001</v>
      </c>
      <c r="G15" s="12">
        <f>'[10]Dia 6 (a)'!$S21</f>
        <v>21.8</v>
      </c>
      <c r="H15" s="12">
        <f>'[10]Dia 7 (a)'!$S21</f>
        <v>21.5</v>
      </c>
      <c r="I15" s="12">
        <f>'[10]Dia 8 (a)'!$S21</f>
        <v>21</v>
      </c>
      <c r="J15" s="12">
        <f>'[10]Dia 9 (a)'!$S21</f>
        <v>21.2</v>
      </c>
      <c r="K15" s="12">
        <f>'[10]Dia 10 (a)'!$S21</f>
        <v>20.5</v>
      </c>
      <c r="L15" s="12">
        <f>'[10]Dia 11 (a)'!$S21</f>
        <v>20.9</v>
      </c>
      <c r="M15" s="12">
        <f>'[10]Dia 12 (a)'!$S21</f>
        <v>21.6</v>
      </c>
      <c r="N15" s="12">
        <f>'[10]Dia 13 (a)'!$S21</f>
        <v>21.8</v>
      </c>
      <c r="O15" s="12">
        <f>'[10]Dia 14 (a)'!$S21</f>
        <v>22</v>
      </c>
      <c r="P15" s="12">
        <f>'[10]Dia 15 (a)'!$S21</f>
        <v>21.2</v>
      </c>
      <c r="Q15" s="12">
        <f>'[10]Dia 16 (a)'!$S21</f>
        <v>21.6</v>
      </c>
      <c r="R15" s="12">
        <f>'[10]Dia 17 (a)'!$S21</f>
        <v>22.3</v>
      </c>
      <c r="S15" s="12">
        <f>'[10]Dia 18 (a)'!$S21</f>
        <v>21.5</v>
      </c>
      <c r="T15" s="12">
        <f>'[10]Dia 19 (a)'!$S21</f>
        <v>20.7</v>
      </c>
      <c r="U15" s="12">
        <f>'[10]Dia 20 (a)'!$S21</f>
        <v>21.7</v>
      </c>
      <c r="V15" s="12">
        <f>'[10]Dia 21 (a)'!$S21</f>
        <v>21.7</v>
      </c>
      <c r="W15" s="12">
        <f>'[10]Dia 22 (a)'!$S21</f>
        <v>22.2</v>
      </c>
      <c r="X15" s="12">
        <f>'[10]Dia 23 (a)'!$S21</f>
        <v>23.1</v>
      </c>
      <c r="Y15" s="12">
        <f>'[10]Dia 24 (a)'!$S21</f>
        <v>22.9</v>
      </c>
      <c r="Z15" s="12">
        <f>'[10]Dia 25 (a)'!$S21</f>
        <v>23.2</v>
      </c>
      <c r="AA15" s="12">
        <f>'[10]Dia 26 (a)'!$S21</f>
        <v>24.2</v>
      </c>
      <c r="AB15" s="12">
        <f>'[10]Dia 27 (a)'!$S21</f>
        <v>25.6</v>
      </c>
      <c r="AC15" s="12">
        <f>'[10]Dia 28 (a)'!$S21</f>
        <v>25.6</v>
      </c>
      <c r="AD15" s="12">
        <f>'[10]Dia 29 (a)'!$S21</f>
        <v>26.4</v>
      </c>
      <c r="AE15" s="12">
        <f>'[10]Dia 30 (a)'!$S21</f>
        <v>25.8</v>
      </c>
      <c r="AF15" s="13">
        <f>'[10]Dia 31 (a)'!$S21</f>
        <v>24.2</v>
      </c>
      <c r="AG15" s="14"/>
    </row>
    <row r="16" spans="1:33" ht="20.100000000000001" customHeight="1">
      <c r="A16" s="11">
        <v>19</v>
      </c>
      <c r="B16" s="12">
        <f>'[10]Dia 1 (a)'!$S22</f>
        <v>18.5</v>
      </c>
      <c r="C16" s="12">
        <f>'[10]Dia 2 (a)'!$S22</f>
        <v>19.399999999999999</v>
      </c>
      <c r="D16" s="12">
        <f>'[10]Dia 3 (a)'!$S22</f>
        <v>19.399999999999999</v>
      </c>
      <c r="E16" s="12">
        <f>'[10]Dia 4 (a)'!$S22</f>
        <v>19.2</v>
      </c>
      <c r="F16" s="12">
        <f>'[10]Dia 5 (a)'!$S22</f>
        <v>20.2</v>
      </c>
      <c r="G16" s="12">
        <f>'[10]Dia 6 (a)'!$S22</f>
        <v>21.9</v>
      </c>
      <c r="H16" s="12">
        <f>'[10]Dia 7 (a)'!$S22</f>
        <v>21.6</v>
      </c>
      <c r="I16" s="12">
        <f>'[10]Dia 8 (a)'!$S22</f>
        <v>21</v>
      </c>
      <c r="J16" s="12">
        <f>'[10]Dia 9 (a)'!$S22</f>
        <v>21.2</v>
      </c>
      <c r="K16" s="12">
        <f>'[10]Dia 10 (a)'!$S22</f>
        <v>20.5</v>
      </c>
      <c r="L16" s="12">
        <f>'[10]Dia 11 (a)'!$S22</f>
        <v>21</v>
      </c>
      <c r="M16" s="12">
        <f>'[10]Dia 12 (a)'!$S22</f>
        <v>21.7</v>
      </c>
      <c r="N16" s="12">
        <f>'[10]Dia 13 (a)'!$S22</f>
        <v>21.8</v>
      </c>
      <c r="O16" s="12">
        <f>'[10]Dia 14 (a)'!$S22</f>
        <v>22</v>
      </c>
      <c r="P16" s="12">
        <f>'[10]Dia 15 (a)'!$S22</f>
        <v>21.2</v>
      </c>
      <c r="Q16" s="12">
        <f>'[10]Dia 16 (a)'!$S22</f>
        <v>21.8</v>
      </c>
      <c r="R16" s="12">
        <f>'[10]Dia 17 (a)'!$S22</f>
        <v>22.5</v>
      </c>
      <c r="S16" s="12">
        <f>'[10]Dia 18 (a)'!$S22</f>
        <v>21.4</v>
      </c>
      <c r="T16" s="12">
        <f>'[10]Dia 19 (a)'!$S22</f>
        <v>20.7</v>
      </c>
      <c r="U16" s="12">
        <f>'[10]Dia 20 (a)'!$S22</f>
        <v>22</v>
      </c>
      <c r="V16" s="12">
        <f>'[10]Dia 21 (a)'!$S22</f>
        <v>21.7</v>
      </c>
      <c r="W16" s="12">
        <f>'[10]Dia 22 (a)'!$S22</f>
        <v>22.3</v>
      </c>
      <c r="X16" s="12">
        <f>'[10]Dia 23 (a)'!$S22</f>
        <v>23.3</v>
      </c>
      <c r="Y16" s="12">
        <f>'[10]Dia 24 (a)'!$S22</f>
        <v>23</v>
      </c>
      <c r="Z16" s="12">
        <f>'[10]Dia 25 (a)'!$S22</f>
        <v>23.6</v>
      </c>
      <c r="AA16" s="12">
        <f>'[10]Dia 26 (a)'!$S22</f>
        <v>24.4</v>
      </c>
      <c r="AB16" s="12">
        <f>'[10]Dia 27 (a)'!$S22</f>
        <v>25.8</v>
      </c>
      <c r="AC16" s="12">
        <f>'[10]Dia 28 (a)'!$S22</f>
        <v>25.8</v>
      </c>
      <c r="AD16" s="12">
        <f>'[10]Dia 29 (a)'!$S22</f>
        <v>26.5</v>
      </c>
      <c r="AE16" s="12">
        <f>'[10]Dia 30 (a)'!$S22</f>
        <v>25.8</v>
      </c>
      <c r="AF16" s="13">
        <f>'[10]Dia 31 (a)'!$S22</f>
        <v>24.2</v>
      </c>
      <c r="AG16" s="14"/>
    </row>
    <row r="17" spans="1:33" ht="20.100000000000001" customHeight="1">
      <c r="A17" s="11">
        <v>20</v>
      </c>
      <c r="B17" s="12">
        <f>'[10]Dia 1 (a)'!$S23</f>
        <v>18.5</v>
      </c>
      <c r="C17" s="12">
        <f>'[10]Dia 2 (a)'!$S23</f>
        <v>19.5</v>
      </c>
      <c r="D17" s="12">
        <f>'[10]Dia 3 (a)'!$S23</f>
        <v>19.600000000000001</v>
      </c>
      <c r="E17" s="12">
        <f>'[10]Dia 4 (a)'!$S23</f>
        <v>19.600000000000001</v>
      </c>
      <c r="F17" s="12">
        <f>'[10]Dia 5 (a)'!$S23</f>
        <v>20.6</v>
      </c>
      <c r="G17" s="12">
        <f>'[10]Dia 6 (a)'!$S23</f>
        <v>21.9</v>
      </c>
      <c r="H17" s="12">
        <f>'[10]Dia 7 (a)'!$S23</f>
        <v>21.6</v>
      </c>
      <c r="I17" s="12">
        <f>'[10]Dia 8 (a)'!$S23</f>
        <v>21.8</v>
      </c>
      <c r="J17" s="12">
        <f>'[10]Dia 9 (a)'!$S23</f>
        <v>21.2</v>
      </c>
      <c r="K17" s="12">
        <f>'[10]Dia 10 (a)'!$S23</f>
        <v>20.5</v>
      </c>
      <c r="L17" s="12">
        <f>'[10]Dia 11 (a)'!$S23</f>
        <v>21.1</v>
      </c>
      <c r="M17" s="12">
        <f>'[10]Dia 12 (a)'!$S23</f>
        <v>21.8</v>
      </c>
      <c r="N17" s="12">
        <f>'[10]Dia 13 (a)'!$S23</f>
        <v>22.1</v>
      </c>
      <c r="O17" s="12">
        <f>'[10]Dia 14 (a)'!$S23</f>
        <v>22</v>
      </c>
      <c r="P17" s="12">
        <f>'[10]Dia 15 (a)'!$S23</f>
        <v>21.2</v>
      </c>
      <c r="Q17" s="12">
        <f>'[10]Dia 16 (a)'!$S23</f>
        <v>21.9</v>
      </c>
      <c r="R17" s="12">
        <f>'[10]Dia 17 (a)'!$S23</f>
        <v>22.5</v>
      </c>
      <c r="S17" s="12">
        <f>'[10]Dia 18 (a)'!$S23</f>
        <v>21.4</v>
      </c>
      <c r="T17" s="12">
        <f>'[10]Dia 19 (a)'!$S23</f>
        <v>20.8</v>
      </c>
      <c r="U17" s="12">
        <f>'[10]Dia 20 (a)'!$S23</f>
        <v>22.1</v>
      </c>
      <c r="V17" s="12">
        <f>'[10]Dia 21 (a)'!$S23</f>
        <v>21.7</v>
      </c>
      <c r="W17" s="12">
        <f>'[10]Dia 22 (a)'!$S23</f>
        <v>22.4</v>
      </c>
      <c r="X17" s="12">
        <f>'[10]Dia 23 (a)'!$S23</f>
        <v>23.5</v>
      </c>
      <c r="Y17" s="12">
        <f>'[10]Dia 24 (a)'!$S23</f>
        <v>23.1</v>
      </c>
      <c r="Z17" s="12">
        <f>'[10]Dia 25 (a)'!$S23</f>
        <v>24</v>
      </c>
      <c r="AA17" s="12">
        <f>'[10]Dia 26 (a)'!$S23</f>
        <v>24.6</v>
      </c>
      <c r="AB17" s="12">
        <f>'[10]Dia 27 (a)'!$S23</f>
        <v>26</v>
      </c>
      <c r="AC17" s="12">
        <f>'[10]Dia 28 (a)'!$S23</f>
        <v>26</v>
      </c>
      <c r="AD17" s="12">
        <f>'[10]Dia 29 (a)'!$S23</f>
        <v>26.6</v>
      </c>
      <c r="AE17" s="12">
        <f>'[10]Dia 30 (a)'!$S23</f>
        <v>26</v>
      </c>
      <c r="AF17" s="13">
        <f>'[10]Dia 31 (a)'!$S23</f>
        <v>24.2</v>
      </c>
      <c r="AG17" s="14"/>
    </row>
    <row r="18" spans="1:33" ht="20.100000000000001" customHeight="1">
      <c r="A18" s="11">
        <v>21</v>
      </c>
      <c r="B18" s="12">
        <f>'[10]Dia 1 (a)'!$S24</f>
        <v>18.600000000000001</v>
      </c>
      <c r="C18" s="12">
        <f>'[10]Dia 2 (a)'!$S24</f>
        <v>19.600000000000001</v>
      </c>
      <c r="D18" s="12">
        <f>'[10]Dia 3 (a)'!$S24</f>
        <v>19.600000000000001</v>
      </c>
      <c r="E18" s="12">
        <f>'[10]Dia 4 (a)'!$S24</f>
        <v>19.600000000000001</v>
      </c>
      <c r="F18" s="12">
        <f>'[10]Dia 5 (a)'!$S24</f>
        <v>20.6</v>
      </c>
      <c r="G18" s="12">
        <f>'[10]Dia 6 (a)'!$S24</f>
        <v>21.9</v>
      </c>
      <c r="H18" s="12">
        <f>'[10]Dia 7 (a)'!$S24</f>
        <v>21.6</v>
      </c>
      <c r="I18" s="12">
        <f>'[10]Dia 8 (a)'!$S24</f>
        <v>22</v>
      </c>
      <c r="J18" s="12">
        <f>'[10]Dia 9 (a)'!$S24</f>
        <v>21</v>
      </c>
      <c r="K18" s="12">
        <f>'[10]Dia 10 (a)'!$S24</f>
        <v>20.5</v>
      </c>
      <c r="L18" s="12">
        <f>'[10]Dia 11 (a)'!$S24</f>
        <v>21.1</v>
      </c>
      <c r="M18" s="12">
        <f>'[10]Dia 12 (a)'!$S24</f>
        <v>21.8</v>
      </c>
      <c r="N18" s="12">
        <f>'[10]Dia 13 (a)'!$S24</f>
        <v>22.2</v>
      </c>
      <c r="O18" s="12">
        <f>'[10]Dia 14 (a)'!$S24</f>
        <v>22</v>
      </c>
      <c r="P18" s="12">
        <f>'[10]Dia 15 (a)'!$S24</f>
        <v>21.2</v>
      </c>
      <c r="Q18" s="12">
        <f>'[10]Dia 16 (a)'!$S24</f>
        <v>22</v>
      </c>
      <c r="R18" s="12">
        <f>'[10]Dia 17 (a)'!$S24</f>
        <v>22.8</v>
      </c>
      <c r="S18" s="12">
        <f>'[10]Dia 18 (a)'!$S24</f>
        <v>21.4</v>
      </c>
      <c r="T18" s="12">
        <f>'[10]Dia 19 (a)'!$S24</f>
        <v>20.8</v>
      </c>
      <c r="U18" s="12">
        <f>'[10]Dia 20 (a)'!$S24</f>
        <v>22.4</v>
      </c>
      <c r="V18" s="12">
        <f>'[10]Dia 21 (a)'!$S24</f>
        <v>21.8</v>
      </c>
      <c r="W18" s="12">
        <f>'[10]Dia 22 (a)'!$S24</f>
        <v>22.3</v>
      </c>
      <c r="X18" s="12">
        <f>'[10]Dia 23 (a)'!$S24</f>
        <v>23.6</v>
      </c>
      <c r="Y18" s="12">
        <f>'[10]Dia 24 (a)'!$S24</f>
        <v>23.1</v>
      </c>
      <c r="Z18" s="12">
        <f>'[10]Dia 25 (a)'!$S24</f>
        <v>24</v>
      </c>
      <c r="AA18" s="12">
        <f>'[10]Dia 26 (a)'!$S24</f>
        <v>25</v>
      </c>
      <c r="AB18" s="12">
        <f>'[10]Dia 27 (a)'!$S24</f>
        <v>26.2</v>
      </c>
      <c r="AC18" s="12">
        <f>'[10]Dia 28 (a)'!$S24</f>
        <v>26</v>
      </c>
      <c r="AD18" s="12">
        <f>'[10]Dia 29 (a)'!$S24</f>
        <v>26.8</v>
      </c>
      <c r="AE18" s="12">
        <f>'[10]Dia 30 (a)'!$S24</f>
        <v>26</v>
      </c>
      <c r="AF18" s="13">
        <f>'[10]Dia 31 (a)'!$S24</f>
        <v>24.2</v>
      </c>
      <c r="AG18" s="14"/>
    </row>
    <row r="19" spans="1:33" ht="20.100000000000001" customHeight="1">
      <c r="A19" s="11">
        <v>22</v>
      </c>
      <c r="B19" s="12">
        <f>'[10]Dia 1 (a)'!$S25</f>
        <v>18.7</v>
      </c>
      <c r="C19" s="12">
        <f>'[10]Dia 2 (a)'!$S25</f>
        <v>19.600000000000001</v>
      </c>
      <c r="D19" s="12">
        <f>'[10]Dia 3 (a)'!$S25</f>
        <v>19.600000000000001</v>
      </c>
      <c r="E19" s="12">
        <f>'[10]Dia 4 (a)'!$S25</f>
        <v>19.600000000000001</v>
      </c>
      <c r="F19" s="12">
        <f>'[10]Dia 5 (a)'!$S25</f>
        <v>20.6</v>
      </c>
      <c r="G19" s="12">
        <f>'[10]Dia 6 (a)'!$S25</f>
        <v>21.9</v>
      </c>
      <c r="H19" s="12">
        <f>'[10]Dia 7 (a)'!$S25</f>
        <v>21.6</v>
      </c>
      <c r="I19" s="12">
        <f>'[10]Dia 8 (a)'!$S25</f>
        <v>21</v>
      </c>
      <c r="J19" s="12">
        <f>'[10]Dia 9 (a)'!$S25</f>
        <v>20.8</v>
      </c>
      <c r="K19" s="12">
        <f>'[10]Dia 10 (a)'!$S25</f>
        <v>20.5</v>
      </c>
      <c r="L19" s="12">
        <f>'[10]Dia 11 (a)'!$S25</f>
        <v>21.1</v>
      </c>
      <c r="M19" s="12">
        <f>'[10]Dia 12 (a)'!$S25</f>
        <v>21.8</v>
      </c>
      <c r="N19" s="12">
        <f>'[10]Dia 13 (a)'!$S25</f>
        <v>22.4</v>
      </c>
      <c r="O19" s="12">
        <f>'[10]Dia 14 (a)'!$S25</f>
        <v>22</v>
      </c>
      <c r="P19" s="12">
        <f>'[10]Dia 15 (a)'!$S25</f>
        <v>21.2</v>
      </c>
      <c r="Q19" s="12">
        <f>'[10]Dia 16 (a)'!$S25</f>
        <v>22</v>
      </c>
      <c r="R19" s="12">
        <f>'[10]Dia 17 (a)'!$S25</f>
        <v>23</v>
      </c>
      <c r="S19" s="12">
        <f>'[10]Dia 18 (a)'!$S25</f>
        <v>21.3</v>
      </c>
      <c r="T19" s="12">
        <f>'[10]Dia 19 (a)'!$S25</f>
        <v>20.9</v>
      </c>
      <c r="U19" s="12">
        <f>'[10]Dia 20 (a)'!$S25</f>
        <v>22.3</v>
      </c>
      <c r="V19" s="12">
        <f>'[10]Dia 21 (a)'!$S25</f>
        <v>21.7</v>
      </c>
      <c r="W19" s="12">
        <f>'[10]Dia 22 (a)'!$S25</f>
        <v>22.3</v>
      </c>
      <c r="X19" s="12">
        <f>'[10]Dia 23 (a)'!$S25</f>
        <v>23.6</v>
      </c>
      <c r="Y19" s="12">
        <f>'[10]Dia 24 (a)'!$S25</f>
        <v>23.1</v>
      </c>
      <c r="Z19" s="12">
        <f>'[10]Dia 25 (a)'!$S25</f>
        <v>23.8</v>
      </c>
      <c r="AA19" s="12">
        <f>'[10]Dia 26 (a)'!$S25</f>
        <v>24.8</v>
      </c>
      <c r="AB19" s="12">
        <f>'[10]Dia 27 (a)'!$S25</f>
        <v>26.2</v>
      </c>
      <c r="AC19" s="12">
        <f>'[10]Dia 28 (a)'!$S25</f>
        <v>26</v>
      </c>
      <c r="AD19" s="12">
        <f>'[10]Dia 29 (a)'!$S25</f>
        <v>26.8</v>
      </c>
      <c r="AE19" s="12">
        <f>'[10]Dia 30 (a)'!$S25</f>
        <v>26</v>
      </c>
      <c r="AF19" s="13">
        <f>'[10]Dia 31 (a)'!$S25</f>
        <v>24.1</v>
      </c>
      <c r="AG19" s="14"/>
    </row>
    <row r="20" spans="1:33" ht="20.100000000000001" customHeight="1">
      <c r="A20" s="11">
        <v>23</v>
      </c>
      <c r="B20" s="12">
        <f>'[10]Dia 1 (a)'!$S26</f>
        <v>18.7</v>
      </c>
      <c r="C20" s="12">
        <f>'[10]Dia 2 (a)'!$S26</f>
        <v>19.7</v>
      </c>
      <c r="D20" s="12">
        <f>'[10]Dia 3 (a)'!$S26</f>
        <v>19.600000000000001</v>
      </c>
      <c r="E20" s="12">
        <f>'[10]Dia 4 (a)'!$S26</f>
        <v>19.399999999999999</v>
      </c>
      <c r="F20" s="12">
        <f>'[10]Dia 5 (a)'!$S26</f>
        <v>20.7</v>
      </c>
      <c r="G20" s="12">
        <f>'[10]Dia 6 (a)'!$S26</f>
        <v>22</v>
      </c>
      <c r="H20" s="12">
        <f>'[10]Dia 7 (a)'!$S26</f>
        <v>21.5</v>
      </c>
      <c r="I20" s="12">
        <f>'[10]Dia 8 (a)'!$S26</f>
        <v>21</v>
      </c>
      <c r="J20" s="12">
        <f>'[10]Dia 9 (a)'!$S26</f>
        <v>20.8</v>
      </c>
      <c r="K20" s="12">
        <f>'[10]Dia 10 (a)'!$S26</f>
        <v>20.5</v>
      </c>
      <c r="L20" s="12">
        <f>'[10]Dia 11 (a)'!$S26</f>
        <v>21.2</v>
      </c>
      <c r="M20" s="12">
        <f>'[10]Dia 12 (a)'!$S26</f>
        <v>21.8</v>
      </c>
      <c r="N20" s="12">
        <f>'[10]Dia 13 (a)'!$S26</f>
        <v>22.2</v>
      </c>
      <c r="O20" s="12">
        <f>'[10]Dia 14 (a)'!$S26</f>
        <v>21.8</v>
      </c>
      <c r="P20" s="12">
        <f>'[10]Dia 15 (a)'!$S26</f>
        <v>21.2</v>
      </c>
      <c r="Q20" s="12">
        <f>'[10]Dia 16 (a)'!$S26</f>
        <v>22</v>
      </c>
      <c r="R20" s="12">
        <f>'[10]Dia 17 (a)'!$S26</f>
        <v>22.9</v>
      </c>
      <c r="S20" s="12">
        <f>'[10]Dia 18 (a)'!$S26</f>
        <v>21.2</v>
      </c>
      <c r="T20" s="12">
        <f>'[10]Dia 19 (a)'!$S26</f>
        <v>20.9</v>
      </c>
      <c r="U20" s="12">
        <f>'[10]Dia 20 (a)'!$S26</f>
        <v>22.3</v>
      </c>
      <c r="V20" s="12">
        <f>'[10]Dia 21 (a)'!$S26</f>
        <v>21.5</v>
      </c>
      <c r="W20" s="12">
        <f>'[10]Dia 22 (a)'!$S26</f>
        <v>22.3</v>
      </c>
      <c r="X20" s="12">
        <f>'[10]Dia 23 (a)'!$S26</f>
        <v>23.6</v>
      </c>
      <c r="Y20" s="12">
        <f>'[10]Dia 24 (a)'!$S26</f>
        <v>23.1</v>
      </c>
      <c r="Z20" s="12">
        <f>'[10]Dia 25 (a)'!$S26</f>
        <v>24</v>
      </c>
      <c r="AA20" s="12">
        <f>'[10]Dia 26 (a)'!$S26</f>
        <v>24.8</v>
      </c>
      <c r="AB20" s="12">
        <f>'[10]Dia 27 (a)'!$S26</f>
        <v>26.2</v>
      </c>
      <c r="AC20" s="12">
        <f>'[10]Dia 28 (a)'!$S26</f>
        <v>26</v>
      </c>
      <c r="AD20" s="12">
        <f>'[10]Dia 29 (a)'!$S26</f>
        <v>26.8</v>
      </c>
      <c r="AE20" s="12">
        <f>'[10]Dia 30 (a)'!$S26</f>
        <v>26</v>
      </c>
      <c r="AF20" s="13">
        <f>'[10]Dia 31 (a)'!$S26</f>
        <v>24</v>
      </c>
      <c r="AG20" s="14"/>
    </row>
    <row r="21" spans="1:33" ht="20.100000000000001" customHeight="1" thickBot="1">
      <c r="A21" s="16">
        <v>24</v>
      </c>
      <c r="B21" s="17">
        <f>'[10]Dia 1 (a)'!$S27</f>
        <v>18.7</v>
      </c>
      <c r="C21" s="17">
        <f>'[10]Dia 2 (a)'!$S27</f>
        <v>19.600000000000001</v>
      </c>
      <c r="D21" s="17">
        <f>'[10]Dia 3 (a)'!$S27</f>
        <v>19.600000000000001</v>
      </c>
      <c r="E21" s="17">
        <f>'[10]Dia 4 (a)'!$S27</f>
        <v>18.8</v>
      </c>
      <c r="F21" s="17">
        <f>'[10]Dia 5 (a)'!$S27</f>
        <v>20.9</v>
      </c>
      <c r="G21" s="17">
        <f>'[10]Dia 6 (a)'!$S27</f>
        <v>22.3</v>
      </c>
      <c r="H21" s="17">
        <f>'[10]Dia 7 (a)'!$S27</f>
        <v>21.4</v>
      </c>
      <c r="I21" s="17">
        <f>'[10]Dia 8 (a)'!$S27</f>
        <v>21</v>
      </c>
      <c r="J21" s="17">
        <f>'[10]Dia 9 (a)'!$S27</f>
        <v>21</v>
      </c>
      <c r="K21" s="17">
        <f>'[10]Dia 10 (a)'!$S27</f>
        <v>20.5</v>
      </c>
      <c r="L21" s="17">
        <f>'[10]Dia 11 (a)'!$S27</f>
        <v>21.1</v>
      </c>
      <c r="M21" s="17">
        <f>'[10]Dia 12 (a)'!$S27</f>
        <v>21.8</v>
      </c>
      <c r="N21" s="17">
        <f>'[10]Dia 13 (a)'!$S27</f>
        <v>22</v>
      </c>
      <c r="O21" s="17">
        <f>'[10]Dia 14 (a)'!$S27</f>
        <v>21.4</v>
      </c>
      <c r="P21" s="17">
        <f>'[10]Dia 15 (a)'!$S27</f>
        <v>21.2</v>
      </c>
      <c r="Q21" s="17">
        <f>'[10]Dia 16 (a)'!$S27</f>
        <v>22</v>
      </c>
      <c r="R21" s="17">
        <f>'[10]Dia 17 (a)'!$S27</f>
        <v>22.8</v>
      </c>
      <c r="S21" s="17">
        <f>'[10]Dia 18 (a)'!$S27</f>
        <v>21.2</v>
      </c>
      <c r="T21" s="17">
        <f>'[10]Dia 19 (a)'!$S27</f>
        <v>20.9</v>
      </c>
      <c r="U21" s="17">
        <f>'[10]Dia 20 (a)'!$S27</f>
        <v>22.3</v>
      </c>
      <c r="V21" s="17">
        <f>'[10]Dia 21 (a)'!$S27</f>
        <v>21.7</v>
      </c>
      <c r="W21" s="17">
        <f>'[10]Dia 22 (a)'!$S27</f>
        <v>22.2</v>
      </c>
      <c r="X21" s="17">
        <f>'[10]Dia 23 (a)'!$S27</f>
        <v>23.6</v>
      </c>
      <c r="Y21" s="17">
        <f>'[10]Dia 24 (a)'!$S27</f>
        <v>23</v>
      </c>
      <c r="Z21" s="17">
        <f>'[10]Dia 25 (a)'!$S27</f>
        <v>24</v>
      </c>
      <c r="AA21" s="17">
        <f>'[10]Dia 26 (a)'!$S27</f>
        <v>24.8</v>
      </c>
      <c r="AB21" s="17">
        <f>'[10]Dia 27 (a)'!$S27</f>
        <v>26.2</v>
      </c>
      <c r="AC21" s="17">
        <f>'[10]Dia 28 (a)'!$S27</f>
        <v>26</v>
      </c>
      <c r="AD21" s="17">
        <f>'[10]Dia 29 (a)'!$S27</f>
        <v>26.8</v>
      </c>
      <c r="AE21" s="17">
        <f>'[10]Dia 30 (a)'!$S27</f>
        <v>26</v>
      </c>
      <c r="AF21" s="18">
        <f>'[10]Dia 31 (a)'!$S27</f>
        <v>24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18.083333333333332</v>
      </c>
      <c r="C25" s="28">
        <f t="shared" ref="C25:AF25" si="0">AVERAGE(C4:C21)</f>
        <v>18.972222222222225</v>
      </c>
      <c r="D25" s="28">
        <f t="shared" si="0"/>
        <v>19.294444444444451</v>
      </c>
      <c r="E25" s="28">
        <f t="shared" si="0"/>
        <v>19.255555555555553</v>
      </c>
      <c r="F25" s="28">
        <f t="shared" si="0"/>
        <v>19.716666666666665</v>
      </c>
      <c r="G25" s="28">
        <f t="shared" si="0"/>
        <v>21.18333333333333</v>
      </c>
      <c r="H25" s="28">
        <f t="shared" si="0"/>
        <v>21.544444444444448</v>
      </c>
      <c r="I25" s="28">
        <f t="shared" si="0"/>
        <v>20.905555555555555</v>
      </c>
      <c r="J25" s="28">
        <f t="shared" si="0"/>
        <v>21.083333333333329</v>
      </c>
      <c r="K25" s="28">
        <f t="shared" si="0"/>
        <v>20.577777777777776</v>
      </c>
      <c r="L25" s="28">
        <f t="shared" si="0"/>
        <v>20.50555555555556</v>
      </c>
      <c r="M25" s="28">
        <f t="shared" si="0"/>
        <v>21.12777777777778</v>
      </c>
      <c r="N25" s="28">
        <f t="shared" si="0"/>
        <v>21.633333333333336</v>
      </c>
      <c r="O25" s="28">
        <f t="shared" si="0"/>
        <v>21.633333333333333</v>
      </c>
      <c r="P25" s="28">
        <f t="shared" si="0"/>
        <v>21.211111111111105</v>
      </c>
      <c r="Q25" s="28">
        <f t="shared" si="0"/>
        <v>21.288888888888888</v>
      </c>
      <c r="R25" s="28">
        <f t="shared" si="0"/>
        <v>21.788888888888888</v>
      </c>
      <c r="S25" s="28">
        <f t="shared" si="0"/>
        <v>21.611111111111107</v>
      </c>
      <c r="T25" s="28">
        <f t="shared" si="0"/>
        <v>20.74444444444444</v>
      </c>
      <c r="U25" s="28">
        <f t="shared" si="0"/>
        <v>21.238888888888891</v>
      </c>
      <c r="V25" s="28">
        <f t="shared" si="0"/>
        <v>21.616666666666664</v>
      </c>
      <c r="W25" s="28">
        <f t="shared" si="0"/>
        <v>21.766666666666666</v>
      </c>
      <c r="X25" s="28">
        <f t="shared" si="0"/>
        <v>22.494444444444454</v>
      </c>
      <c r="Y25" s="28">
        <f t="shared" si="0"/>
        <v>22.766666666666669</v>
      </c>
      <c r="Z25" s="28">
        <f t="shared" si="0"/>
        <v>23.038888888888891</v>
      </c>
      <c r="AA25" s="28">
        <f t="shared" si="0"/>
        <v>23.905555555555559</v>
      </c>
      <c r="AB25" s="28">
        <f t="shared" si="0"/>
        <v>25.088888888888889</v>
      </c>
      <c r="AC25" s="28">
        <f t="shared" si="0"/>
        <v>25.372222222222224</v>
      </c>
      <c r="AD25" s="28">
        <f t="shared" si="0"/>
        <v>25.961111111111112</v>
      </c>
      <c r="AE25" s="28">
        <f t="shared" si="0"/>
        <v>25.511111111111109</v>
      </c>
      <c r="AF25" s="28">
        <f t="shared" si="0"/>
        <v>24.205555555555556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18.7</v>
      </c>
      <c r="C29" s="28">
        <f t="shared" ref="C29:AF29" si="1">MAX(C4:C21)</f>
        <v>19.7</v>
      </c>
      <c r="D29" s="28">
        <f t="shared" si="1"/>
        <v>19.600000000000001</v>
      </c>
      <c r="E29" s="28">
        <f t="shared" si="1"/>
        <v>19.600000000000001</v>
      </c>
      <c r="F29" s="28">
        <f t="shared" si="1"/>
        <v>20.9</v>
      </c>
      <c r="G29" s="28">
        <f t="shared" si="1"/>
        <v>22.3</v>
      </c>
      <c r="H29" s="28">
        <f t="shared" si="1"/>
        <v>21.8</v>
      </c>
      <c r="I29" s="28">
        <f t="shared" si="1"/>
        <v>22</v>
      </c>
      <c r="J29" s="28">
        <f t="shared" si="1"/>
        <v>21.2</v>
      </c>
      <c r="K29" s="28">
        <f t="shared" si="1"/>
        <v>20.8</v>
      </c>
      <c r="L29" s="28">
        <f t="shared" si="1"/>
        <v>21.2</v>
      </c>
      <c r="M29" s="28">
        <f t="shared" si="1"/>
        <v>21.8</v>
      </c>
      <c r="N29" s="28">
        <f t="shared" si="1"/>
        <v>22.4</v>
      </c>
      <c r="O29" s="28">
        <f t="shared" si="1"/>
        <v>22</v>
      </c>
      <c r="P29" s="28">
        <f t="shared" si="1"/>
        <v>21.4</v>
      </c>
      <c r="Q29" s="28">
        <f t="shared" si="1"/>
        <v>22</v>
      </c>
      <c r="R29" s="28">
        <f t="shared" si="1"/>
        <v>23</v>
      </c>
      <c r="S29" s="28">
        <f t="shared" si="1"/>
        <v>22</v>
      </c>
      <c r="T29" s="28">
        <f t="shared" si="1"/>
        <v>20.9</v>
      </c>
      <c r="U29" s="28">
        <f t="shared" si="1"/>
        <v>22.4</v>
      </c>
      <c r="V29" s="28">
        <f t="shared" si="1"/>
        <v>21.8</v>
      </c>
      <c r="W29" s="28">
        <f t="shared" si="1"/>
        <v>22.4</v>
      </c>
      <c r="X29" s="28">
        <f t="shared" si="1"/>
        <v>23.6</v>
      </c>
      <c r="Y29" s="28">
        <f t="shared" si="1"/>
        <v>23.1</v>
      </c>
      <c r="Z29" s="28">
        <f t="shared" si="1"/>
        <v>24</v>
      </c>
      <c r="AA29" s="28">
        <f t="shared" si="1"/>
        <v>25</v>
      </c>
      <c r="AB29" s="28">
        <f t="shared" si="1"/>
        <v>26.2</v>
      </c>
      <c r="AC29" s="28">
        <f t="shared" si="1"/>
        <v>26</v>
      </c>
      <c r="AD29" s="28">
        <f t="shared" si="1"/>
        <v>26.8</v>
      </c>
      <c r="AE29" s="28">
        <f t="shared" si="1"/>
        <v>26</v>
      </c>
      <c r="AF29" s="28">
        <f t="shared" si="1"/>
        <v>24.6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17.5</v>
      </c>
      <c r="C33" s="28">
        <f t="shared" ref="C33:AF33" si="2">MIN(C4:C21)</f>
        <v>18.399999999999999</v>
      </c>
      <c r="D33" s="28">
        <f t="shared" si="2"/>
        <v>18.8</v>
      </c>
      <c r="E33" s="28">
        <f t="shared" si="2"/>
        <v>18.8</v>
      </c>
      <c r="F33" s="28">
        <f t="shared" si="2"/>
        <v>18.899999999999999</v>
      </c>
      <c r="G33" s="28">
        <f t="shared" si="2"/>
        <v>20.399999999999999</v>
      </c>
      <c r="H33" s="28">
        <f t="shared" si="2"/>
        <v>21.4</v>
      </c>
      <c r="I33" s="28">
        <f t="shared" si="2"/>
        <v>20.5</v>
      </c>
      <c r="J33" s="28">
        <f t="shared" si="2"/>
        <v>20.8</v>
      </c>
      <c r="K33" s="28">
        <f t="shared" si="2"/>
        <v>20.5</v>
      </c>
      <c r="L33" s="28">
        <f t="shared" si="2"/>
        <v>20</v>
      </c>
      <c r="M33" s="28">
        <f t="shared" si="2"/>
        <v>20.6</v>
      </c>
      <c r="N33" s="28">
        <f t="shared" si="2"/>
        <v>21.1</v>
      </c>
      <c r="O33" s="28">
        <f t="shared" si="2"/>
        <v>21</v>
      </c>
      <c r="P33" s="28">
        <f t="shared" si="2"/>
        <v>21.1</v>
      </c>
      <c r="Q33" s="28">
        <f t="shared" si="2"/>
        <v>20.7</v>
      </c>
      <c r="R33" s="28">
        <f t="shared" si="2"/>
        <v>21</v>
      </c>
      <c r="S33" s="28">
        <f t="shared" si="2"/>
        <v>21.2</v>
      </c>
      <c r="T33" s="28">
        <f t="shared" si="2"/>
        <v>20.6</v>
      </c>
      <c r="U33" s="28">
        <f t="shared" si="2"/>
        <v>20.2</v>
      </c>
      <c r="V33" s="28">
        <f t="shared" si="2"/>
        <v>21.4</v>
      </c>
      <c r="W33" s="28">
        <f t="shared" si="2"/>
        <v>21</v>
      </c>
      <c r="X33" s="28">
        <f t="shared" si="2"/>
        <v>21.6</v>
      </c>
      <c r="Y33" s="28">
        <f t="shared" si="2"/>
        <v>22.4</v>
      </c>
      <c r="Z33" s="28">
        <f t="shared" si="2"/>
        <v>22.3</v>
      </c>
      <c r="AA33" s="28">
        <f t="shared" si="2"/>
        <v>23.1</v>
      </c>
      <c r="AB33" s="28">
        <f t="shared" si="2"/>
        <v>24.1</v>
      </c>
      <c r="AC33" s="28">
        <f t="shared" si="2"/>
        <v>24.8</v>
      </c>
      <c r="AD33" s="28">
        <f t="shared" si="2"/>
        <v>25.2</v>
      </c>
      <c r="AE33" s="28">
        <f t="shared" si="2"/>
        <v>25</v>
      </c>
      <c r="AF33" s="28">
        <f t="shared" si="2"/>
        <v>24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1.1999999999999993</v>
      </c>
      <c r="C37" s="28">
        <f t="shared" ref="C37:AF37" si="3">C29-C33</f>
        <v>1.3000000000000007</v>
      </c>
      <c r="D37" s="28">
        <f t="shared" si="3"/>
        <v>0.80000000000000071</v>
      </c>
      <c r="E37" s="28">
        <f t="shared" si="3"/>
        <v>0.80000000000000071</v>
      </c>
      <c r="F37" s="28">
        <f t="shared" si="3"/>
        <v>2</v>
      </c>
      <c r="G37" s="28">
        <f t="shared" si="3"/>
        <v>1.9000000000000021</v>
      </c>
      <c r="H37" s="28">
        <f t="shared" si="3"/>
        <v>0.40000000000000213</v>
      </c>
      <c r="I37" s="28">
        <f t="shared" si="3"/>
        <v>1.5</v>
      </c>
      <c r="J37" s="28">
        <f t="shared" si="3"/>
        <v>0.39999999999999858</v>
      </c>
      <c r="K37" s="28">
        <f t="shared" si="3"/>
        <v>0.30000000000000071</v>
      </c>
      <c r="L37" s="28">
        <f t="shared" si="3"/>
        <v>1.1999999999999993</v>
      </c>
      <c r="M37" s="28">
        <f t="shared" si="3"/>
        <v>1.1999999999999993</v>
      </c>
      <c r="N37" s="28">
        <f t="shared" si="3"/>
        <v>1.2999999999999972</v>
      </c>
      <c r="O37" s="28">
        <f t="shared" si="3"/>
        <v>1</v>
      </c>
      <c r="P37" s="28">
        <f t="shared" si="3"/>
        <v>0.29999999999999716</v>
      </c>
      <c r="Q37" s="28">
        <f t="shared" si="3"/>
        <v>1.3000000000000007</v>
      </c>
      <c r="R37" s="28">
        <f t="shared" si="3"/>
        <v>2</v>
      </c>
      <c r="S37" s="28">
        <f t="shared" si="3"/>
        <v>0.80000000000000071</v>
      </c>
      <c r="T37" s="28">
        <f t="shared" si="3"/>
        <v>0.29999999999999716</v>
      </c>
      <c r="U37" s="28">
        <f t="shared" si="3"/>
        <v>2.1999999999999993</v>
      </c>
      <c r="V37" s="28">
        <f t="shared" si="3"/>
        <v>0.40000000000000213</v>
      </c>
      <c r="W37" s="28">
        <f t="shared" si="3"/>
        <v>1.3999999999999986</v>
      </c>
      <c r="X37" s="28">
        <f t="shared" si="3"/>
        <v>2</v>
      </c>
      <c r="Y37" s="28">
        <f t="shared" si="3"/>
        <v>0.70000000000000284</v>
      </c>
      <c r="Z37" s="28">
        <f t="shared" si="3"/>
        <v>1.6999999999999993</v>
      </c>
      <c r="AA37" s="28">
        <f t="shared" si="3"/>
        <v>1.8999999999999986</v>
      </c>
      <c r="AB37" s="28">
        <f t="shared" si="3"/>
        <v>2.0999999999999979</v>
      </c>
      <c r="AC37" s="28">
        <f t="shared" si="3"/>
        <v>1.1999999999999993</v>
      </c>
      <c r="AD37" s="28">
        <f t="shared" si="3"/>
        <v>1.6000000000000014</v>
      </c>
      <c r="AE37" s="28">
        <f t="shared" si="3"/>
        <v>1</v>
      </c>
      <c r="AF37" s="28">
        <f t="shared" si="3"/>
        <v>0.60000000000000142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21.778315412186377</v>
      </c>
      <c r="I43" s="40"/>
      <c r="J43" s="42"/>
      <c r="K43" s="41">
        <f>MAX(B29:AF29)</f>
        <v>26.8</v>
      </c>
      <c r="L43" s="42"/>
      <c r="M43" s="42"/>
      <c r="N43" s="41">
        <f>MIN(B33:AF33)</f>
        <v>17.5</v>
      </c>
      <c r="O43" s="42"/>
      <c r="P43" s="42"/>
      <c r="Q43" s="41">
        <f>K43-N43</f>
        <v>9.3000000000000007</v>
      </c>
      <c r="R43" s="40"/>
      <c r="S43" s="41"/>
      <c r="T43" s="41">
        <f>AVERAGE(B29:AF29)</f>
        <v>22.4258064516129</v>
      </c>
      <c r="U43" s="41"/>
      <c r="V43" s="41">
        <f>AVERAGE(B33:AF33)</f>
        <v>21.238709677419358</v>
      </c>
      <c r="W43" s="41"/>
      <c r="X43" s="41">
        <f>T43-V43</f>
        <v>1.1870967741935416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(a)'!$S10</f>
        <v>23.2</v>
      </c>
      <c r="C4" s="12">
        <f>'[11]Dia 2 (a)'!$S10</f>
        <v>21.5</v>
      </c>
      <c r="D4" s="12">
        <f>'[11]Dia 3 (a)'!$S10</f>
        <v>19.399999999999999</v>
      </c>
      <c r="E4" s="12">
        <f>'[11]Dia 4 (a)'!$S10</f>
        <v>19.3</v>
      </c>
      <c r="F4" s="12">
        <f>'[11]Dia 5 (a)'!$S10</f>
        <v>19.399999999999999</v>
      </c>
      <c r="G4" s="12">
        <f>'[11]Dia 6 (a)'!$S10</f>
        <v>19.600000000000001</v>
      </c>
      <c r="H4" s="12">
        <f>'[11]Dia 7 (a)'!$S10</f>
        <v>20.100000000000001</v>
      </c>
      <c r="I4" s="12">
        <f>'[11]Dia 8 (a)'!$S10</f>
        <v>19.8</v>
      </c>
      <c r="J4" s="12">
        <f>'[11]Dia 9 (a)'!$S10</f>
        <v>21</v>
      </c>
      <c r="K4" s="12">
        <f>'[11]Dia 10 (a)'!$S10</f>
        <v>21.8</v>
      </c>
      <c r="L4" s="12">
        <f>'[11]Dia 11 (a)'!$S10</f>
        <v>22.6</v>
      </c>
      <c r="M4" s="12">
        <f>'[11]Dia 12 (a)'!$S10</f>
        <v>22.6</v>
      </c>
      <c r="N4" s="12">
        <f>'[11]Dia 13 (a)'!$S10</f>
        <v>22.6</v>
      </c>
      <c r="O4" s="12">
        <f>'[11]Dia 14 (a)'!$S10</f>
        <v>24</v>
      </c>
      <c r="P4" s="12">
        <f>'[11]Dia 15 (a)'!$S10</f>
        <v>23.3</v>
      </c>
      <c r="Q4" s="12">
        <f>'[11]Dia 16 (a)'!$S10</f>
        <v>23.6</v>
      </c>
      <c r="R4" s="12">
        <f>'[11]Dia 17 (a)'!$S10</f>
        <v>23.1</v>
      </c>
      <c r="S4" s="12">
        <f>'[11]Dia 18 (a)'!$S10</f>
        <v>23.6</v>
      </c>
      <c r="T4" s="12">
        <f>'[11]Dia 19 (a)'!$S10</f>
        <v>24.2</v>
      </c>
      <c r="U4" s="12">
        <f>'[11]Dia 20 (a)'!$S10</f>
        <v>25</v>
      </c>
      <c r="V4" s="12">
        <f>'[11]Dia 21 (a)'!$S10</f>
        <v>24.7</v>
      </c>
      <c r="W4" s="12">
        <f>'[11]Dia 22 (a)'!$S10</f>
        <v>25</v>
      </c>
      <c r="X4" s="12">
        <f>'[11]Dia 23 (a)'!$S10</f>
        <v>24.7</v>
      </c>
      <c r="Y4" s="12">
        <f>'[11]Dia 24 (a)'!$S10</f>
        <v>23.8</v>
      </c>
      <c r="Z4" s="12">
        <f>'[11]Dia 25 (a)'!$S10</f>
        <v>23.4</v>
      </c>
      <c r="AA4" s="12">
        <f>'[11]Dia 26 (a)'!$S10</f>
        <v>22</v>
      </c>
      <c r="AB4" s="12">
        <f>'[11]Dia 27 (a)'!$S10</f>
        <v>22.2</v>
      </c>
      <c r="AC4" s="12">
        <f>'[11]Dia 28 (a)'!$S10</f>
        <v>22.6</v>
      </c>
      <c r="AD4" s="12">
        <f>'[11]Dia 29 (a)'!$S10</f>
        <v>22.4</v>
      </c>
      <c r="AE4" s="12">
        <f>'[11]Dia 30 (a)'!$S10</f>
        <v>22.1</v>
      </c>
      <c r="AF4" s="13"/>
      <c r="AG4" s="14"/>
    </row>
    <row r="5" spans="1:33" ht="20.100000000000001" customHeight="1">
      <c r="A5" s="11">
        <v>8</v>
      </c>
      <c r="B5" s="12">
        <f>'[11]Dia 1 (a)'!$S11</f>
        <v>23.2</v>
      </c>
      <c r="C5" s="12">
        <f>'[11]Dia 2 (a)'!$S11</f>
        <v>21.4</v>
      </c>
      <c r="D5" s="12">
        <f>'[11]Dia 3 (a)'!$S11</f>
        <v>19.399999999999999</v>
      </c>
      <c r="E5" s="12">
        <f>'[11]Dia 4 (a)'!$S11</f>
        <v>19.100000000000001</v>
      </c>
      <c r="F5" s="12">
        <f>'[11]Dia 5 (a)'!$S11</f>
        <v>19.3</v>
      </c>
      <c r="G5" s="12">
        <f>'[11]Dia 6 (a)'!$S11</f>
        <v>19.7</v>
      </c>
      <c r="H5" s="12">
        <f>'[11]Dia 7 (a)'!$S11</f>
        <v>20</v>
      </c>
      <c r="I5" s="12">
        <f>'[11]Dia 8 (a)'!$S11</f>
        <v>19.8</v>
      </c>
      <c r="J5" s="12">
        <f>'[11]Dia 9 (a)'!$S11</f>
        <v>21</v>
      </c>
      <c r="K5" s="12">
        <f>'[11]Dia 10 (a)'!$S11</f>
        <v>21.7</v>
      </c>
      <c r="L5" s="12">
        <f>'[11]Dia 11 (a)'!$S11</f>
        <v>22.4</v>
      </c>
      <c r="M5" s="12">
        <f>'[11]Dia 12 (a)'!$S11</f>
        <v>22.5</v>
      </c>
      <c r="N5" s="12">
        <f>'[11]Dia 13 (a)'!$S11</f>
        <v>22.4</v>
      </c>
      <c r="O5" s="12">
        <f>'[11]Dia 14 (a)'!$S11</f>
        <v>23.9</v>
      </c>
      <c r="P5" s="12">
        <f>'[11]Dia 15 (a)'!$S11</f>
        <v>23.3</v>
      </c>
      <c r="Q5" s="12">
        <f>'[11]Dia 16 (a)'!$S11</f>
        <v>23.4</v>
      </c>
      <c r="R5" s="12">
        <f>'[11]Dia 17 (a)'!$S11</f>
        <v>23</v>
      </c>
      <c r="S5" s="12">
        <f>'[11]Dia 18 (a)'!$S11</f>
        <v>23.6</v>
      </c>
      <c r="T5" s="12">
        <f>'[11]Dia 19 (a)'!$S11</f>
        <v>24.2</v>
      </c>
      <c r="U5" s="12">
        <f>'[11]Dia 20 (a)'!$S11</f>
        <v>25</v>
      </c>
      <c r="V5" s="12">
        <f>'[11]Dia 21 (a)'!$S11</f>
        <v>24.7</v>
      </c>
      <c r="W5" s="12">
        <f>'[11]Dia 22 (a)'!$S11</f>
        <v>25</v>
      </c>
      <c r="X5" s="12">
        <f>'[11]Dia 23 (a)'!$S11</f>
        <v>24.7</v>
      </c>
      <c r="Y5" s="12">
        <f>'[11]Dia 24 (a)'!$S11</f>
        <v>23.7</v>
      </c>
      <c r="Z5" s="12">
        <f>'[11]Dia 25 (a)'!$S11</f>
        <v>23.4</v>
      </c>
      <c r="AA5" s="12">
        <f>'[11]Dia 26 (a)'!$S11</f>
        <v>21.9</v>
      </c>
      <c r="AB5" s="12">
        <f>'[11]Dia 27 (a)'!$S11</f>
        <v>22.4</v>
      </c>
      <c r="AC5" s="12">
        <f>'[11]Dia 28 (a)'!$S11</f>
        <v>22.7</v>
      </c>
      <c r="AD5" s="12">
        <f>'[11]Dia 29 (a)'!$S11</f>
        <v>22.3</v>
      </c>
      <c r="AE5" s="12">
        <f>'[11]Dia 30 (a)'!$S11</f>
        <v>22</v>
      </c>
      <c r="AF5" s="13"/>
      <c r="AG5" s="14"/>
    </row>
    <row r="6" spans="1:33" ht="20.100000000000001" customHeight="1">
      <c r="A6" s="11">
        <v>9</v>
      </c>
      <c r="B6" s="12">
        <f>'[11]Dia 1 (a)'!$S12</f>
        <v>23.1</v>
      </c>
      <c r="C6" s="12">
        <f>'[11]Dia 2 (a)'!$S12</f>
        <v>21.3</v>
      </c>
      <c r="D6" s="12">
        <f>'[11]Dia 3 (a)'!$S12</f>
        <v>19.3</v>
      </c>
      <c r="E6" s="12">
        <f>'[11]Dia 4 (a)'!$S12</f>
        <v>19</v>
      </c>
      <c r="F6" s="12">
        <f>'[11]Dia 5 (a)'!$S12</f>
        <v>19.3</v>
      </c>
      <c r="G6" s="12">
        <f>'[11]Dia 6 (a)'!$S12</f>
        <v>19.5</v>
      </c>
      <c r="H6" s="12">
        <f>'[11]Dia 7 (a)'!$S12</f>
        <v>19.899999999999999</v>
      </c>
      <c r="I6" s="12">
        <f>'[11]Dia 8 (a)'!$S12</f>
        <v>19.7</v>
      </c>
      <c r="J6" s="12">
        <f>'[11]Dia 9 (a)'!$S12</f>
        <v>21</v>
      </c>
      <c r="K6" s="12">
        <f>'[11]Dia 10 (a)'!$S12</f>
        <v>21.6</v>
      </c>
      <c r="L6" s="12">
        <f>'[11]Dia 11 (a)'!$S12</f>
        <v>22.4</v>
      </c>
      <c r="M6" s="12">
        <f>'[11]Dia 12 (a)'!$S12</f>
        <v>22.5</v>
      </c>
      <c r="N6" s="12">
        <f>'[11]Dia 13 (a)'!$S12</f>
        <v>22.4</v>
      </c>
      <c r="O6" s="12">
        <f>'[11]Dia 14 (a)'!$S12</f>
        <v>23.8</v>
      </c>
      <c r="P6" s="12">
        <f>'[11]Dia 15 (a)'!$S12</f>
        <v>23.2</v>
      </c>
      <c r="Q6" s="12">
        <f>'[11]Dia 16 (a)'!$S12</f>
        <v>23.4</v>
      </c>
      <c r="R6" s="12">
        <f>'[11]Dia 17 (a)'!$S12</f>
        <v>22.9</v>
      </c>
      <c r="S6" s="12">
        <f>'[11]Dia 18 (a)'!$S12</f>
        <v>23.4</v>
      </c>
      <c r="T6" s="12">
        <f>'[11]Dia 19 (a)'!$S12</f>
        <v>24.2</v>
      </c>
      <c r="U6" s="12">
        <f>'[11]Dia 20 (a)'!$S12</f>
        <v>25</v>
      </c>
      <c r="V6" s="12">
        <f>'[11]Dia 21 (a)'!$S12</f>
        <v>24.6</v>
      </c>
      <c r="W6" s="12">
        <f>'[11]Dia 22 (a)'!$S12</f>
        <v>24.8</v>
      </c>
      <c r="X6" s="12">
        <f>'[11]Dia 23 (a)'!$S12</f>
        <v>24.6</v>
      </c>
      <c r="Y6" s="12">
        <f>'[11]Dia 24 (a)'!$S12</f>
        <v>23.6</v>
      </c>
      <c r="Z6" s="12">
        <f>'[11]Dia 25 (a)'!$S12</f>
        <v>23</v>
      </c>
      <c r="AA6" s="12">
        <f>'[11]Dia 26 (a)'!$S12</f>
        <v>21.9</v>
      </c>
      <c r="AB6" s="12">
        <f>'[11]Dia 27 (a)'!$S12</f>
        <v>22.2</v>
      </c>
      <c r="AC6" s="12">
        <f>'[11]Dia 28 (a)'!$S12</f>
        <v>22.74</v>
      </c>
      <c r="AD6" s="12">
        <f>'[11]Dia 29 (a)'!$S12</f>
        <v>22.3</v>
      </c>
      <c r="AE6" s="12">
        <f>'[11]Dia 30 (a)'!$S12</f>
        <v>22</v>
      </c>
      <c r="AF6" s="13"/>
      <c r="AG6" s="14"/>
    </row>
    <row r="7" spans="1:33" ht="20.100000000000001" customHeight="1">
      <c r="A7" s="11">
        <v>10</v>
      </c>
      <c r="B7" s="12">
        <f>'[11]Dia 1 (a)'!$S13</f>
        <v>23.1</v>
      </c>
      <c r="C7" s="12">
        <f>'[11]Dia 2 (a)'!$S13</f>
        <v>21.2</v>
      </c>
      <c r="D7" s="12">
        <f>'[11]Dia 3 (a)'!$S13</f>
        <v>19.3</v>
      </c>
      <c r="E7" s="12">
        <f>'[11]Dia 4 (a)'!$S13</f>
        <v>18.8</v>
      </c>
      <c r="F7" s="12">
        <f>'[11]Dia 5 (a)'!$S13</f>
        <v>19.2</v>
      </c>
      <c r="G7" s="12">
        <f>'[11]Dia 6 (a)'!$S13</f>
        <v>19.5</v>
      </c>
      <c r="H7" s="12">
        <f>'[11]Dia 7 (a)'!$S13</f>
        <v>19.899999999999999</v>
      </c>
      <c r="I7" s="12">
        <f>'[11]Dia 8 (a)'!$S13</f>
        <v>19.7</v>
      </c>
      <c r="J7" s="12">
        <f>'[11]Dia 9 (a)'!$S13</f>
        <v>20.6</v>
      </c>
      <c r="K7" s="12">
        <f>'[11]Dia 10 (a)'!$S13</f>
        <v>21.6</v>
      </c>
      <c r="L7" s="12">
        <f>'[11]Dia 11 (a)'!$S13</f>
        <v>22.4</v>
      </c>
      <c r="M7" s="12">
        <f>'[11]Dia 12 (a)'!$S13</f>
        <v>22.5</v>
      </c>
      <c r="N7" s="12">
        <f>'[11]Dia 13 (a)'!$S13</f>
        <v>22.5</v>
      </c>
      <c r="O7" s="12">
        <f>'[11]Dia 14 (a)'!$S13</f>
        <v>23.8</v>
      </c>
      <c r="P7" s="12">
        <f>'[11]Dia 15 (a)'!$S13</f>
        <v>23.2</v>
      </c>
      <c r="Q7" s="12">
        <f>'[11]Dia 16 (a)'!$S13</f>
        <v>23.3</v>
      </c>
      <c r="R7" s="12">
        <f>'[11]Dia 17 (a)'!$S13</f>
        <v>22.8</v>
      </c>
      <c r="S7" s="12">
        <f>'[11]Dia 18 (a)'!$S13</f>
        <v>23.4</v>
      </c>
      <c r="T7" s="12">
        <f>'[11]Dia 19 (a)'!$S13</f>
        <v>24.2</v>
      </c>
      <c r="U7" s="12">
        <f>'[11]Dia 20 (a)'!$S13</f>
        <v>24.9</v>
      </c>
      <c r="V7" s="12">
        <f>'[11]Dia 21 (a)'!$S13</f>
        <v>24.5</v>
      </c>
      <c r="W7" s="12">
        <f>'[11]Dia 22 (a)'!$S13</f>
        <v>24.6</v>
      </c>
      <c r="X7" s="12">
        <f>'[11]Dia 23 (a)'!$S13</f>
        <v>24.6</v>
      </c>
      <c r="Y7" s="12">
        <f>'[11]Dia 24 (a)'!$S13</f>
        <v>23.7</v>
      </c>
      <c r="Z7" s="12">
        <f>'[11]Dia 25 (a)'!$S13</f>
        <v>22.8</v>
      </c>
      <c r="AA7" s="12">
        <f>'[11]Dia 26 (a)'!$S13</f>
        <v>21.8</v>
      </c>
      <c r="AB7" s="12">
        <f>'[11]Dia 27 (a)'!$S13</f>
        <v>22.2</v>
      </c>
      <c r="AC7" s="12">
        <f>'[11]Dia 28 (a)'!$S13</f>
        <v>22.8</v>
      </c>
      <c r="AD7" s="12">
        <f>'[11]Dia 29 (a)'!$S13</f>
        <v>22.3</v>
      </c>
      <c r="AE7" s="12">
        <f>'[11]Dia 30 (a)'!$S13</f>
        <v>22</v>
      </c>
      <c r="AF7" s="13"/>
      <c r="AG7" s="14"/>
    </row>
    <row r="8" spans="1:33" ht="20.100000000000001" customHeight="1">
      <c r="A8" s="11">
        <v>11</v>
      </c>
      <c r="B8" s="12">
        <f>'[11]Dia 1 (a)'!$S14</f>
        <v>22.9</v>
      </c>
      <c r="C8" s="12">
        <f>'[11]Dia 2 (a)'!$S14</f>
        <v>21</v>
      </c>
      <c r="D8" s="12">
        <f>'[11]Dia 3 (a)'!$S14</f>
        <v>19.2</v>
      </c>
      <c r="E8" s="12">
        <f>'[11]Dia 4 (a)'!$S14</f>
        <v>18.8</v>
      </c>
      <c r="F8" s="12">
        <f>'[11]Dia 5 (a)'!$S14</f>
        <v>19.2</v>
      </c>
      <c r="G8" s="12">
        <f>'[11]Dia 6 (a)'!$S14</f>
        <v>19.399999999999999</v>
      </c>
      <c r="H8" s="12">
        <f>'[11]Dia 7 (a)'!$S14</f>
        <v>19.8</v>
      </c>
      <c r="I8" s="12">
        <f>'[11]Dia 8 (a)'!$S14</f>
        <v>19.600000000000001</v>
      </c>
      <c r="J8" s="12">
        <f>'[11]Dia 9 (a)'!$S14</f>
        <v>20.6</v>
      </c>
      <c r="K8" s="12">
        <f>'[11]Dia 10 (a)'!$S14</f>
        <v>21.6</v>
      </c>
      <c r="L8" s="12">
        <f>'[11]Dia 11 (a)'!$S14</f>
        <v>22.4</v>
      </c>
      <c r="M8" s="12">
        <f>'[11]Dia 12 (a)'!$S14</f>
        <v>22.4</v>
      </c>
      <c r="N8" s="12">
        <f>'[11]Dia 13 (a)'!$S14</f>
        <v>22.6</v>
      </c>
      <c r="O8" s="12">
        <f>'[11]Dia 14 (a)'!$S14</f>
        <v>23.8</v>
      </c>
      <c r="P8" s="12">
        <f>'[11]Dia 15 (a)'!$S14</f>
        <v>23.2</v>
      </c>
      <c r="Q8" s="12">
        <f>'[11]Dia 16 (a)'!$S14</f>
        <v>23.2</v>
      </c>
      <c r="R8" s="12">
        <f>'[11]Dia 17 (a)'!$S14</f>
        <v>22.8</v>
      </c>
      <c r="S8" s="12">
        <f>'[11]Dia 18 (a)'!$S14</f>
        <v>23.4</v>
      </c>
      <c r="T8" s="12">
        <f>'[11]Dia 19 (a)'!$S14</f>
        <v>24.1</v>
      </c>
      <c r="U8" s="12">
        <f>'[11]Dia 20 (a)'!$S14</f>
        <v>24.8</v>
      </c>
      <c r="V8" s="12">
        <f>'[11]Dia 21 (a)'!$S14</f>
        <v>24.5</v>
      </c>
      <c r="W8" s="12">
        <f>'[11]Dia 22 (a)'!$S14</f>
        <v>24.6</v>
      </c>
      <c r="X8" s="12">
        <f>'[11]Dia 23 (a)'!$S14</f>
        <v>24.6</v>
      </c>
      <c r="Y8" s="12">
        <f>'[11]Dia 24 (a)'!$S14</f>
        <v>23.5</v>
      </c>
      <c r="Z8" s="12">
        <f>'[11]Dia 25 (a)'!$S14</f>
        <v>22.8</v>
      </c>
      <c r="AA8" s="12">
        <f>'[11]Dia 26 (a)'!$S14</f>
        <v>21.8</v>
      </c>
      <c r="AB8" s="12">
        <f>'[11]Dia 27 (a)'!$S14</f>
        <v>22.3</v>
      </c>
      <c r="AC8" s="12">
        <f>'[11]Dia 28 (a)'!$S14</f>
        <v>22.8</v>
      </c>
      <c r="AD8" s="12">
        <f>'[11]Dia 29 (a)'!$S14</f>
        <v>22.2</v>
      </c>
      <c r="AE8" s="12">
        <f>'[11]Dia 30 (a)'!$S14</f>
        <v>22</v>
      </c>
      <c r="AF8" s="13"/>
      <c r="AG8" s="14"/>
    </row>
    <row r="9" spans="1:33" ht="20.100000000000001" customHeight="1">
      <c r="A9" s="11">
        <v>12</v>
      </c>
      <c r="B9" s="12">
        <f>'[11]Dia 1 (a)'!$S15</f>
        <v>22.8</v>
      </c>
      <c r="C9" s="12">
        <f>'[11]Dia 2 (a)'!$S15</f>
        <v>21</v>
      </c>
      <c r="D9" s="12">
        <f>'[11]Dia 3 (a)'!$S15</f>
        <v>19.3</v>
      </c>
      <c r="E9" s="12">
        <f>'[11]Dia 4 (a)'!$S15</f>
        <v>18.899999999999999</v>
      </c>
      <c r="F9" s="12">
        <f>'[11]Dia 5 (a)'!$S15</f>
        <v>19.3</v>
      </c>
      <c r="G9" s="12">
        <f>'[11]Dia 6 (a)'!$S15</f>
        <v>19.600000000000001</v>
      </c>
      <c r="H9" s="12">
        <f>'[11]Dia 7 (a)'!$S15</f>
        <v>19.8</v>
      </c>
      <c r="I9" s="12">
        <f>'[11]Dia 8 (a)'!$S15</f>
        <v>19.7</v>
      </c>
      <c r="J9" s="12">
        <f>'[11]Dia 9 (a)'!$S15</f>
        <v>20.6</v>
      </c>
      <c r="K9" s="12">
        <f>'[11]Dia 10 (a)'!$S15</f>
        <v>21.6</v>
      </c>
      <c r="L9" s="12">
        <f>'[11]Dia 11 (a)'!$S15</f>
        <v>22.4</v>
      </c>
      <c r="M9" s="12">
        <f>'[11]Dia 12 (a)'!$S15</f>
        <v>22.4</v>
      </c>
      <c r="N9" s="12">
        <f>'[11]Dia 13 (a)'!$S15</f>
        <v>22.5</v>
      </c>
      <c r="O9" s="12">
        <f>'[11]Dia 14 (a)'!$S15</f>
        <v>23.7</v>
      </c>
      <c r="P9" s="12">
        <f>'[11]Dia 15 (a)'!$S15</f>
        <v>23.2</v>
      </c>
      <c r="Q9" s="12">
        <f>'[11]Dia 16 (a)'!$S15</f>
        <v>23.2</v>
      </c>
      <c r="R9" s="12">
        <f>'[11]Dia 17 (a)'!$S15</f>
        <v>23</v>
      </c>
      <c r="S9" s="12">
        <f>'[11]Dia 18 (a)'!$S15</f>
        <v>23.4</v>
      </c>
      <c r="T9" s="12">
        <f>'[11]Dia 19 (a)'!$S15</f>
        <v>24.2</v>
      </c>
      <c r="U9" s="12">
        <f>'[11]Dia 20 (a)'!$S15</f>
        <v>24.8</v>
      </c>
      <c r="V9" s="12">
        <f>'[11]Dia 21 (a)'!$S15</f>
        <v>24.4</v>
      </c>
      <c r="W9" s="12">
        <f>'[11]Dia 22 (a)'!$S15</f>
        <v>24.6</v>
      </c>
      <c r="X9" s="12">
        <f>'[11]Dia 23 (a)'!$S15</f>
        <v>24.5</v>
      </c>
      <c r="Y9" s="12">
        <f>'[11]Dia 24 (a)'!$S15</f>
        <v>23.5</v>
      </c>
      <c r="Z9" s="12">
        <f>'[11]Dia 25 (a)'!$S15</f>
        <v>22.8</v>
      </c>
      <c r="AA9" s="12">
        <f>'[11]Dia 26 (a)'!$S15</f>
        <v>21.9</v>
      </c>
      <c r="AB9" s="12">
        <f>'[11]Dia 27 (a)'!$S15</f>
        <v>22.3</v>
      </c>
      <c r="AC9" s="12">
        <f>'[11]Dia 28 (a)'!$S15</f>
        <v>22.8</v>
      </c>
      <c r="AD9" s="12">
        <f>'[11]Dia 29 (a)'!$S15</f>
        <v>22.4</v>
      </c>
      <c r="AE9" s="12">
        <f>'[11]Dia 30 (a)'!$S15</f>
        <v>22</v>
      </c>
      <c r="AF9" s="13"/>
      <c r="AG9" s="14"/>
    </row>
    <row r="10" spans="1:33" ht="20.100000000000001" customHeight="1">
      <c r="A10" s="11">
        <v>13</v>
      </c>
      <c r="B10" s="12">
        <f>'[11]Dia 1 (a)'!$S16</f>
        <v>22.8</v>
      </c>
      <c r="C10" s="12">
        <f>'[11]Dia 2 (a)'!$S16</f>
        <v>20.9</v>
      </c>
      <c r="D10" s="12">
        <f>'[11]Dia 3 (a)'!$S16</f>
        <v>19.2</v>
      </c>
      <c r="E10" s="12">
        <f>'[11]Dia 4 (a)'!$S16</f>
        <v>18.899999999999999</v>
      </c>
      <c r="F10" s="12">
        <f>'[11]Dia 5 (a)'!$S16</f>
        <v>19.399999999999999</v>
      </c>
      <c r="G10" s="12">
        <f>'[11]Dia 6 (a)'!$S16</f>
        <v>19.5</v>
      </c>
      <c r="H10" s="12">
        <f>'[11]Dia 7 (a)'!$S16</f>
        <v>19.899999999999999</v>
      </c>
      <c r="I10" s="12">
        <f>'[11]Dia 8 (a)'!$S16</f>
        <v>19.8</v>
      </c>
      <c r="J10" s="12">
        <f>'[11]Dia 9 (a)'!$S16</f>
        <v>20.6</v>
      </c>
      <c r="K10" s="12">
        <f>'[11]Dia 10 (a)'!$S16</f>
        <v>21.7</v>
      </c>
      <c r="L10" s="12">
        <f>'[11]Dia 11 (a)'!$S16</f>
        <v>22.4</v>
      </c>
      <c r="M10" s="12">
        <f>'[11]Dia 12 (a)'!$S16</f>
        <v>22.5</v>
      </c>
      <c r="N10" s="12">
        <f>'[11]Dia 13 (a)'!$S16</f>
        <v>22.6</v>
      </c>
      <c r="O10" s="12">
        <f>'[11]Dia 14 (a)'!$S16</f>
        <v>23.6</v>
      </c>
      <c r="P10" s="12">
        <f>'[11]Dia 15 (a)'!$S16</f>
        <v>23.3</v>
      </c>
      <c r="Q10" s="12">
        <f>'[11]Dia 16 (a)'!$S16</f>
        <v>23.2</v>
      </c>
      <c r="R10" s="12">
        <f>'[11]Dia 17 (a)'!$S16</f>
        <v>22.9</v>
      </c>
      <c r="S10" s="12">
        <f>'[11]Dia 18 (a)'!$S16</f>
        <v>23.6</v>
      </c>
      <c r="T10" s="12">
        <f>'[11]Dia 19 (a)'!$S16</f>
        <v>24.2</v>
      </c>
      <c r="U10" s="12">
        <f>'[11]Dia 20 (a)'!$S16</f>
        <v>25</v>
      </c>
      <c r="V10" s="12">
        <f>'[11]Dia 21 (a)'!$S16</f>
        <v>24.5</v>
      </c>
      <c r="W10" s="12">
        <f>'[11]Dia 22 (a)'!$S16</f>
        <v>24.6</v>
      </c>
      <c r="X10" s="12">
        <f>'[11]Dia 23 (a)'!$S16</f>
        <v>24.5</v>
      </c>
      <c r="Y10" s="12">
        <f>'[11]Dia 24 (a)'!$S16</f>
        <v>23.6</v>
      </c>
      <c r="Z10" s="12">
        <f>'[11]Dia 25 (a)'!$S16</f>
        <v>22.6</v>
      </c>
      <c r="AA10" s="12">
        <f>'[11]Dia 26 (a)'!$S16</f>
        <v>22</v>
      </c>
      <c r="AB10" s="12">
        <f>'[11]Dia 27 (a)'!$S16</f>
        <v>22.3</v>
      </c>
      <c r="AC10" s="12">
        <f>'[11]Dia 28 (a)'!$S16</f>
        <v>22.8</v>
      </c>
      <c r="AD10" s="12">
        <f>'[11]Dia 29 (a)'!$S16</f>
        <v>22.4</v>
      </c>
      <c r="AE10" s="12">
        <f>'[11]Dia 30 (a)'!$S16</f>
        <v>22.1</v>
      </c>
      <c r="AF10" s="13"/>
      <c r="AG10" s="14"/>
    </row>
    <row r="11" spans="1:33" ht="20.100000000000001" customHeight="1">
      <c r="A11" s="11">
        <v>14</v>
      </c>
      <c r="B11" s="12">
        <f>'[11]Dia 1 (a)'!$S17</f>
        <v>22.8</v>
      </c>
      <c r="C11" s="12">
        <f>'[11]Dia 2 (a)'!$S17</f>
        <v>20.9</v>
      </c>
      <c r="D11" s="12">
        <f>'[11]Dia 3 (a)'!$S17</f>
        <v>19.2</v>
      </c>
      <c r="E11" s="12">
        <f>'[11]Dia 4 (a)'!$S17</f>
        <v>19.100000000000001</v>
      </c>
      <c r="F11" s="12">
        <f>'[11]Dia 5 (a)'!$S17</f>
        <v>19.5</v>
      </c>
      <c r="G11" s="12">
        <f>'[11]Dia 6 (a)'!$S17</f>
        <v>19.600000000000001</v>
      </c>
      <c r="H11" s="12">
        <f>'[11]Dia 7 (a)'!$S17</f>
        <v>19.899999999999999</v>
      </c>
      <c r="I11" s="12">
        <f>'[11]Dia 8 (a)'!$S17</f>
        <v>20</v>
      </c>
      <c r="J11" s="12">
        <f>'[11]Dia 9 (a)'!$S17</f>
        <v>20.6</v>
      </c>
      <c r="K11" s="12">
        <f>'[11]Dia 10 (a)'!$S17</f>
        <v>21.8</v>
      </c>
      <c r="L11" s="12">
        <f>'[11]Dia 11 (a)'!$S17</f>
        <v>22.4</v>
      </c>
      <c r="M11" s="12">
        <f>'[11]Dia 12 (a)'!$S17</f>
        <v>22.5</v>
      </c>
      <c r="N11" s="12">
        <f>'[11]Dia 13 (a)'!$S17</f>
        <v>22.9</v>
      </c>
      <c r="O11" s="12">
        <f>'[11]Dia 14 (a)'!$S17</f>
        <v>23.6</v>
      </c>
      <c r="P11" s="12">
        <f>'[11]Dia 15 (a)'!$S17</f>
        <v>23.5</v>
      </c>
      <c r="Q11" s="12">
        <f>'[11]Dia 16 (a)'!$S17</f>
        <v>23.3</v>
      </c>
      <c r="R11" s="12">
        <f>'[11]Dia 17 (a)'!$S17</f>
        <v>23</v>
      </c>
      <c r="S11" s="12">
        <f>'[11]Dia 18 (a)'!$S17</f>
        <v>23.6</v>
      </c>
      <c r="T11" s="12">
        <f>'[11]Dia 19 (a)'!$S17</f>
        <v>24.4</v>
      </c>
      <c r="U11" s="12">
        <f>'[11]Dia 20 (a)'!$S17</f>
        <v>25.1</v>
      </c>
      <c r="V11" s="12">
        <f>'[11]Dia 21 (a)'!$S17</f>
        <v>24.7</v>
      </c>
      <c r="W11" s="12">
        <f>'[11]Dia 22 (a)'!$S17</f>
        <v>25</v>
      </c>
      <c r="X11" s="12">
        <f>'[11]Dia 23 (a)'!$S17</f>
        <v>24.6</v>
      </c>
      <c r="Y11" s="12">
        <f>'[11]Dia 24 (a)'!$S17</f>
        <v>23.7</v>
      </c>
      <c r="Z11" s="12">
        <f>'[11]Dia 25 (a)'!$S17</f>
        <v>22.6</v>
      </c>
      <c r="AA11" s="12">
        <f>'[11]Dia 26 (a)'!$S17</f>
        <v>22.1</v>
      </c>
      <c r="AB11" s="12">
        <f>'[11]Dia 27 (a)'!$S17</f>
        <v>22.8</v>
      </c>
      <c r="AC11" s="12">
        <f>'[11]Dia 28 (a)'!$S17</f>
        <v>22.8</v>
      </c>
      <c r="AD11" s="12">
        <f>'[11]Dia 29 (a)'!$S17</f>
        <v>22.4</v>
      </c>
      <c r="AE11" s="12">
        <f>'[11]Dia 30 (a)'!$S17</f>
        <v>22.2</v>
      </c>
      <c r="AF11" s="13"/>
      <c r="AG11" s="14"/>
    </row>
    <row r="12" spans="1:33" ht="20.100000000000001" customHeight="1">
      <c r="A12" s="11">
        <v>15</v>
      </c>
      <c r="B12" s="12">
        <f>'[11]Dia 1 (a)'!$S18</f>
        <v>22.8</v>
      </c>
      <c r="C12" s="12">
        <f>'[11]Dia 2 (a)'!$S18</f>
        <v>20.8</v>
      </c>
      <c r="D12" s="12">
        <f>'[11]Dia 3 (a)'!$S18</f>
        <v>19.3</v>
      </c>
      <c r="E12" s="12">
        <f>'[11]Dia 4 (a)'!$S18</f>
        <v>19.2</v>
      </c>
      <c r="F12" s="12">
        <f>'[11]Dia 5 (a)'!$S18</f>
        <v>19.600000000000001</v>
      </c>
      <c r="G12" s="12">
        <f>'[11]Dia 6 (a)'!$S18</f>
        <v>19.8</v>
      </c>
      <c r="H12" s="12">
        <f>'[11]Dia 7 (a)'!$S18</f>
        <v>20</v>
      </c>
      <c r="I12" s="12">
        <f>'[11]Dia 8 (a)'!$S18</f>
        <v>20.3</v>
      </c>
      <c r="J12" s="12">
        <f>'[11]Dia 9 (a)'!$S18</f>
        <v>20.6</v>
      </c>
      <c r="K12" s="12">
        <f>'[11]Dia 10 (a)'!$S18</f>
        <v>21.8</v>
      </c>
      <c r="L12" s="12">
        <f>'[11]Dia 11 (a)'!$S18</f>
        <v>22.2</v>
      </c>
      <c r="M12" s="12">
        <f>'[11]Dia 12 (a)'!$S18</f>
        <v>22.5</v>
      </c>
      <c r="N12" s="12">
        <f>'[11]Dia 13 (a)'!$S18</f>
        <v>23</v>
      </c>
      <c r="O12" s="12">
        <f>'[11]Dia 14 (a)'!$S18</f>
        <v>23.8</v>
      </c>
      <c r="P12" s="12">
        <f>'[11]Dia 15 (a)'!$S18</f>
        <v>23.6</v>
      </c>
      <c r="Q12" s="12">
        <f>'[11]Dia 16 (a)'!$S18</f>
        <v>23.4</v>
      </c>
      <c r="R12" s="12">
        <f>'[11]Dia 17 (a)'!$S18</f>
        <v>23.3</v>
      </c>
      <c r="S12" s="12">
        <f>'[11]Dia 18 (a)'!$S18</f>
        <v>23.8</v>
      </c>
      <c r="T12" s="12">
        <f>'[11]Dia 19 (a)'!$S18</f>
        <v>24.5</v>
      </c>
      <c r="U12" s="12">
        <f>'[11]Dia 20 (a)'!$S18</f>
        <v>25.2</v>
      </c>
      <c r="V12" s="12">
        <f>'[11]Dia 21 (a)'!$S18</f>
        <v>24.9</v>
      </c>
      <c r="W12" s="12">
        <f>'[11]Dia 22 (a)'!$S18</f>
        <v>25</v>
      </c>
      <c r="X12" s="12">
        <f>'[11]Dia 23 (a)'!$S18</f>
        <v>24.7</v>
      </c>
      <c r="Y12" s="12">
        <f>'[11]Dia 24 (a)'!$S18</f>
        <v>23.7</v>
      </c>
      <c r="Z12" s="12">
        <f>'[11]Dia 25 (a)'!$S18</f>
        <v>22.8</v>
      </c>
      <c r="AA12" s="12">
        <f>'[11]Dia 26 (a)'!$S18</f>
        <v>22.2</v>
      </c>
      <c r="AB12" s="12">
        <f>'[11]Dia 27 (a)'!$S18</f>
        <v>22.7</v>
      </c>
      <c r="AC12" s="12">
        <f>'[11]Dia 28 (a)'!$S18</f>
        <v>23</v>
      </c>
      <c r="AD12" s="12">
        <f>'[11]Dia 29 (a)'!$S18</f>
        <v>22.5</v>
      </c>
      <c r="AE12" s="12">
        <f>'[11]Dia 30 (a)'!$S18</f>
        <v>22.1</v>
      </c>
      <c r="AF12" s="13"/>
      <c r="AG12" s="14"/>
    </row>
    <row r="13" spans="1:33" ht="20.100000000000001" customHeight="1">
      <c r="A13" s="11">
        <v>16</v>
      </c>
      <c r="B13" s="12">
        <f>'[11]Dia 1 (a)'!$S19</f>
        <v>22.8</v>
      </c>
      <c r="C13" s="12">
        <f>'[11]Dia 2 (a)'!$S19</f>
        <v>20.7</v>
      </c>
      <c r="D13" s="12">
        <f>'[11]Dia 3 (a)'!$S19</f>
        <v>19.399999999999999</v>
      </c>
      <c r="E13" s="12">
        <f>'[11]Dia 4 (a)'!$S19</f>
        <v>19.399999999999999</v>
      </c>
      <c r="F13" s="12">
        <f>'[11]Dia 5 (a)'!$S19</f>
        <v>19.600000000000001</v>
      </c>
      <c r="G13" s="12">
        <f>'[11]Dia 6 (a)'!$S19</f>
        <v>19.8</v>
      </c>
      <c r="H13" s="12">
        <f>'[11]Dia 7 (a)'!$S19</f>
        <v>19.8</v>
      </c>
      <c r="I13" s="12">
        <f>'[11]Dia 8 (a)'!$S19</f>
        <v>20.3</v>
      </c>
      <c r="J13" s="12">
        <f>'[11]Dia 9 (a)'!$S19</f>
        <v>21.8</v>
      </c>
      <c r="K13" s="12">
        <f>'[11]Dia 10 (a)'!$S19</f>
        <v>22.2</v>
      </c>
      <c r="L13" s="12">
        <f>'[11]Dia 11 (a)'!$S19</f>
        <v>23.1</v>
      </c>
      <c r="M13" s="12">
        <f>'[11]Dia 12 (a)'!$S19</f>
        <v>22.5</v>
      </c>
      <c r="N13" s="12">
        <f>'[11]Dia 13 (a)'!$S19</f>
        <v>23.3</v>
      </c>
      <c r="O13" s="12">
        <f>'[11]Dia 14 (a)'!$S19</f>
        <v>23.7</v>
      </c>
      <c r="P13" s="12">
        <f>'[11]Dia 15 (a)'!$S19</f>
        <v>23.8</v>
      </c>
      <c r="Q13" s="12">
        <f>'[11]Dia 16 (a)'!$S19</f>
        <v>23.7</v>
      </c>
      <c r="R13" s="12">
        <f>'[11]Dia 17 (a)'!$S19</f>
        <v>23.5</v>
      </c>
      <c r="S13" s="12">
        <f>'[11]Dia 18 (a)'!$S19</f>
        <v>24.2</v>
      </c>
      <c r="T13" s="12">
        <f>'[11]Dia 19 (a)'!$S19</f>
        <v>24.6</v>
      </c>
      <c r="U13" s="12">
        <f>'[11]Dia 20 (a)'!$S19</f>
        <v>25.2</v>
      </c>
      <c r="V13" s="12">
        <f>'[11]Dia 21 (a)'!$S19</f>
        <v>25.2</v>
      </c>
      <c r="W13" s="12">
        <f>'[11]Dia 22 (a)'!$S19</f>
        <v>25</v>
      </c>
      <c r="X13" s="12">
        <f>'[11]Dia 23 (a)'!$S19</f>
        <v>24.7</v>
      </c>
      <c r="Y13" s="12">
        <f>'[11]Dia 24 (a)'!$S19</f>
        <v>23.9</v>
      </c>
      <c r="Z13" s="12">
        <f>'[11]Dia 25 (a)'!$S19</f>
        <v>22.9</v>
      </c>
      <c r="AA13" s="12">
        <f>'[11]Dia 26 (a)'!$S19</f>
        <v>22.2</v>
      </c>
      <c r="AB13" s="12">
        <f>'[11]Dia 27 (a)'!$S19</f>
        <v>22.8</v>
      </c>
      <c r="AC13" s="12">
        <f>'[11]Dia 28 (a)'!$S19</f>
        <v>23</v>
      </c>
      <c r="AD13" s="12">
        <f>'[11]Dia 29 (a)'!$S19</f>
        <v>22.5</v>
      </c>
      <c r="AE13" s="12">
        <f>'[11]Dia 30 (a)'!$S19</f>
        <v>22.3</v>
      </c>
      <c r="AF13" s="13"/>
      <c r="AG13" s="14"/>
    </row>
    <row r="14" spans="1:33" ht="20.100000000000001" customHeight="1">
      <c r="A14" s="11">
        <v>17</v>
      </c>
      <c r="B14" s="12">
        <f>'[11]Dia 1 (a)'!$S20</f>
        <v>22.4</v>
      </c>
      <c r="C14" s="12">
        <f>'[11]Dia 2 (a)'!$S20</f>
        <v>20.7</v>
      </c>
      <c r="D14" s="12">
        <f>'[11]Dia 3 (a)'!$S20</f>
        <v>19.399999999999999</v>
      </c>
      <c r="E14" s="12">
        <f>'[11]Dia 4 (a)'!$S20</f>
        <v>19.5</v>
      </c>
      <c r="F14" s="12">
        <f>'[11]Dia 5 (a)'!$S20</f>
        <v>19.399999999999999</v>
      </c>
      <c r="G14" s="12">
        <f>'[11]Dia 6 (a)'!$S20</f>
        <v>19.8</v>
      </c>
      <c r="H14" s="12">
        <f>'[11]Dia 7 (a)'!$S20</f>
        <v>19.8</v>
      </c>
      <c r="I14" s="12">
        <f>'[11]Dia 8 (a)'!$S20</f>
        <v>20.8</v>
      </c>
      <c r="J14" s="12">
        <f>'[11]Dia 9 (a)'!$S20</f>
        <v>22</v>
      </c>
      <c r="K14" s="12">
        <f>'[11]Dia 10 (a)'!$S20</f>
        <v>22.4</v>
      </c>
      <c r="L14" s="12">
        <f>'[11]Dia 11 (a)'!$S20</f>
        <v>23.2</v>
      </c>
      <c r="M14" s="12">
        <f>'[11]Dia 12 (a)'!$S20</f>
        <v>22.6</v>
      </c>
      <c r="N14" s="12">
        <f>'[11]Dia 13 (a)'!$S20</f>
        <v>23.6</v>
      </c>
      <c r="O14" s="12">
        <f>'[11]Dia 14 (a)'!$S20</f>
        <v>23.9</v>
      </c>
      <c r="P14" s="12">
        <f>'[11]Dia 15 (a)'!$S20</f>
        <v>24</v>
      </c>
      <c r="Q14" s="12">
        <f>'[11]Dia 16 (a)'!$S20</f>
        <v>23.9</v>
      </c>
      <c r="R14" s="12">
        <f>'[11]Dia 17 (a)'!$S20</f>
        <v>23.7</v>
      </c>
      <c r="S14" s="12">
        <f>'[11]Dia 18 (a)'!$S20</f>
        <v>24.4</v>
      </c>
      <c r="T14" s="12">
        <f>'[11]Dia 19 (a)'!$S20</f>
        <v>25.1</v>
      </c>
      <c r="U14" s="12">
        <f>'[11]Dia 20 (a)'!$S20</f>
        <v>25.2</v>
      </c>
      <c r="V14" s="12">
        <f>'[11]Dia 21 (a)'!$S20</f>
        <v>25.4</v>
      </c>
      <c r="W14" s="12">
        <f>'[11]Dia 22 (a)'!$S20</f>
        <v>25.2</v>
      </c>
      <c r="X14" s="12">
        <f>'[11]Dia 23 (a)'!$S20</f>
        <v>24.9</v>
      </c>
      <c r="Y14" s="12">
        <f>'[11]Dia 24 (a)'!$S20</f>
        <v>24</v>
      </c>
      <c r="Z14" s="12">
        <f>'[11]Dia 25 (a)'!$S20</f>
        <v>22.8</v>
      </c>
      <c r="AA14" s="12">
        <f>'[11]Dia 26 (a)'!$S20</f>
        <v>22.4</v>
      </c>
      <c r="AB14" s="12">
        <f>'[11]Dia 27 (a)'!$S20</f>
        <v>23</v>
      </c>
      <c r="AC14" s="12">
        <f>'[11]Dia 28 (a)'!$S20</f>
        <v>23</v>
      </c>
      <c r="AD14" s="12">
        <f>'[11]Dia 29 (a)'!$S20</f>
        <v>22.6</v>
      </c>
      <c r="AE14" s="12">
        <f>'[11]Dia 30 (a)'!$S20</f>
        <v>22.4</v>
      </c>
      <c r="AF14" s="13"/>
      <c r="AG14" s="14"/>
    </row>
    <row r="15" spans="1:33" ht="20.100000000000001" customHeight="1">
      <c r="A15" s="11">
        <v>18</v>
      </c>
      <c r="B15" s="12">
        <f>'[11]Dia 1 (a)'!$S21</f>
        <v>22</v>
      </c>
      <c r="C15" s="12">
        <f>'[11]Dia 2 (a)'!$S21</f>
        <v>20.5</v>
      </c>
      <c r="D15" s="12">
        <f>'[11]Dia 3 (a)'!$S21</f>
        <v>19.5</v>
      </c>
      <c r="E15" s="12">
        <f>'[11]Dia 4 (a)'!$S21</f>
        <v>19.5</v>
      </c>
      <c r="F15" s="12">
        <f>'[11]Dia 5 (a)'!$S21</f>
        <v>19.8</v>
      </c>
      <c r="G15" s="12">
        <f>'[11]Dia 6 (a)'!$S21</f>
        <v>20</v>
      </c>
      <c r="H15" s="12">
        <f>'[11]Dia 7 (a)'!$S21</f>
        <v>20</v>
      </c>
      <c r="I15" s="12">
        <f>'[11]Dia 8 (a)'!$S21</f>
        <v>21.1</v>
      </c>
      <c r="J15" s="12">
        <f>'[11]Dia 9 (a)'!$S21</f>
        <v>22.3</v>
      </c>
      <c r="K15" s="12">
        <f>'[11]Dia 10 (a)'!$S21</f>
        <v>22.8</v>
      </c>
      <c r="L15" s="12">
        <f>'[11]Dia 11 (a)'!$S21</f>
        <v>23.4</v>
      </c>
      <c r="M15" s="12">
        <f>'[11]Dia 12 (a)'!$S21</f>
        <v>22.7</v>
      </c>
      <c r="N15" s="12">
        <f>'[11]Dia 13 (a)'!$S21</f>
        <v>23.9</v>
      </c>
      <c r="O15" s="12">
        <f>'[11]Dia 14 (a)'!$S21</f>
        <v>24</v>
      </c>
      <c r="P15" s="12">
        <f>'[11]Dia 15 (a)'!$S21</f>
        <v>24</v>
      </c>
      <c r="Q15" s="12">
        <f>'[11]Dia 16 (a)'!$S21</f>
        <v>23.9</v>
      </c>
      <c r="R15" s="12">
        <f>'[11]Dia 17 (a)'!$S21</f>
        <v>24</v>
      </c>
      <c r="S15" s="12">
        <f>'[11]Dia 18 (a)'!$S21</f>
        <v>24.7</v>
      </c>
      <c r="T15" s="12">
        <f>'[11]Dia 19 (a)'!$S21</f>
        <v>25.4</v>
      </c>
      <c r="U15" s="12">
        <f>'[11]Dia 20 (a)'!$S21</f>
        <v>25.4</v>
      </c>
      <c r="V15" s="12">
        <f>'[11]Dia 21 (a)'!$S21</f>
        <v>25.6</v>
      </c>
      <c r="W15" s="12">
        <f>'[11]Dia 22 (a)'!$S21</f>
        <v>25.4</v>
      </c>
      <c r="X15" s="12">
        <f>'[11]Dia 23 (a)'!$S21</f>
        <v>25.1</v>
      </c>
      <c r="Y15" s="12">
        <f>'[11]Dia 24 (a)'!$S21</f>
        <v>24.2</v>
      </c>
      <c r="Z15" s="12">
        <f>'[11]Dia 25 (a)'!$S21</f>
        <v>22.8</v>
      </c>
      <c r="AA15" s="12">
        <f>'[11]Dia 26 (a)'!$S21</f>
        <v>22.5</v>
      </c>
      <c r="AB15" s="12">
        <f>'[11]Dia 27 (a)'!$S21</f>
        <v>23.1</v>
      </c>
      <c r="AC15" s="12">
        <f>'[11]Dia 28 (a)'!$S21</f>
        <v>23</v>
      </c>
      <c r="AD15" s="12">
        <f>'[11]Dia 29 (a)'!$S21</f>
        <v>22.6</v>
      </c>
      <c r="AE15" s="12">
        <f>'[11]Dia 30 (a)'!$S21</f>
        <v>22.5</v>
      </c>
      <c r="AF15" s="13"/>
      <c r="AG15" s="14"/>
    </row>
    <row r="16" spans="1:33" ht="20.100000000000001" customHeight="1">
      <c r="A16" s="11">
        <v>19</v>
      </c>
      <c r="B16" s="12">
        <f>'[11]Dia 1 (a)'!$S22</f>
        <v>22</v>
      </c>
      <c r="C16" s="12">
        <f>'[11]Dia 2 (a)'!$S22</f>
        <v>20.7</v>
      </c>
      <c r="D16" s="12">
        <f>'[11]Dia 3 (a)'!$S22</f>
        <v>19.5</v>
      </c>
      <c r="E16" s="12">
        <f>'[11]Dia 4 (a)'!$S22</f>
        <v>19.8</v>
      </c>
      <c r="F16" s="12">
        <f>'[11]Dia 5 (a)'!$S22</f>
        <v>20</v>
      </c>
      <c r="G16" s="12">
        <f>'[11]Dia 6 (a)'!$S22</f>
        <v>20</v>
      </c>
      <c r="H16" s="12">
        <f>'[11]Dia 7 (a)'!$S22</f>
        <v>20</v>
      </c>
      <c r="I16" s="12">
        <f>'[11]Dia 8 (a)'!$S22</f>
        <v>21.4</v>
      </c>
      <c r="J16" s="12">
        <f>'[11]Dia 9 (a)'!$S22</f>
        <v>22.4</v>
      </c>
      <c r="K16" s="12">
        <f>'[11]Dia 10 (a)'!$S22</f>
        <v>23</v>
      </c>
      <c r="L16" s="12">
        <f>'[11]Dia 11 (a)'!$S22</f>
        <v>23.5</v>
      </c>
      <c r="M16" s="12">
        <f>'[11]Dia 12 (a)'!$S22</f>
        <v>22.8</v>
      </c>
      <c r="N16" s="12">
        <f>'[11]Dia 13 (a)'!$S22</f>
        <v>24.2</v>
      </c>
      <c r="O16" s="12">
        <f>'[11]Dia 14 (a)'!$S22</f>
        <v>24</v>
      </c>
      <c r="P16" s="12">
        <f>'[11]Dia 15 (a)'!$S22</f>
        <v>24.4</v>
      </c>
      <c r="Q16" s="12">
        <f>'[11]Dia 16 (a)'!$S22</f>
        <v>24.1</v>
      </c>
      <c r="R16" s="12">
        <f>'[11]Dia 17 (a)'!$S22</f>
        <v>24.3</v>
      </c>
      <c r="S16" s="12">
        <f>'[11]Dia 18 (a)'!$S22</f>
        <v>25</v>
      </c>
      <c r="T16" s="12">
        <f>'[11]Dia 19 (a)'!$S22</f>
        <v>25.6</v>
      </c>
      <c r="U16" s="12">
        <f>'[11]Dia 20 (a)'!$S22</f>
        <v>25.6</v>
      </c>
      <c r="V16" s="12">
        <f>'[11]Dia 21 (a)'!$S22</f>
        <v>25.8</v>
      </c>
      <c r="W16" s="12">
        <f>'[11]Dia 22 (a)'!$S22</f>
        <v>25.5</v>
      </c>
      <c r="X16" s="12">
        <f>'[11]Dia 23 (a)'!$S22</f>
        <v>25.1</v>
      </c>
      <c r="Y16" s="12">
        <f>'[11]Dia 24 (a)'!$S22</f>
        <v>24.3</v>
      </c>
      <c r="Z16" s="12">
        <f>'[11]Dia 25 (a)'!$S22</f>
        <v>22.8</v>
      </c>
      <c r="AA16" s="12">
        <f>'[11]Dia 26 (a)'!$S22</f>
        <v>22.6</v>
      </c>
      <c r="AB16" s="12">
        <f>'[11]Dia 27 (a)'!$S22</f>
        <v>23.2</v>
      </c>
      <c r="AC16" s="12">
        <f>'[11]Dia 28 (a)'!$S22</f>
        <v>23</v>
      </c>
      <c r="AD16" s="12">
        <f>'[11]Dia 29 (a)'!$S22</f>
        <v>22.6</v>
      </c>
      <c r="AE16" s="12">
        <f>'[11]Dia 30 (a)'!$S22</f>
        <v>22.6</v>
      </c>
      <c r="AF16" s="13"/>
      <c r="AG16" s="14"/>
    </row>
    <row r="17" spans="1:33" ht="20.100000000000001" customHeight="1">
      <c r="A17" s="11">
        <v>20</v>
      </c>
      <c r="B17" s="12">
        <f>'[11]Dia 1 (a)'!$S23</f>
        <v>21.6</v>
      </c>
      <c r="C17" s="12">
        <f>'[11]Dia 2 (a)'!$S23</f>
        <v>20.5</v>
      </c>
      <c r="D17" s="12">
        <f>'[11]Dia 3 (a)'!$S23</f>
        <v>19.8</v>
      </c>
      <c r="E17" s="12">
        <f>'[11]Dia 4 (a)'!$S23</f>
        <v>19.8</v>
      </c>
      <c r="F17" s="12">
        <f>'[11]Dia 5 (a)'!$S23</f>
        <v>20</v>
      </c>
      <c r="G17" s="12">
        <f>'[11]Dia 6 (a)'!$S23</f>
        <v>20.2</v>
      </c>
      <c r="H17" s="12">
        <f>'[11]Dia 7 (a)'!$S23</f>
        <v>20</v>
      </c>
      <c r="I17" s="12">
        <f>'[11]Dia 8 (a)'!$S23</f>
        <v>21.6</v>
      </c>
      <c r="J17" s="12">
        <f>'[11]Dia 9 (a)'!$S23</f>
        <v>22.5</v>
      </c>
      <c r="K17" s="12">
        <f>'[11]Dia 10 (a)'!$S23</f>
        <v>23.2</v>
      </c>
      <c r="L17" s="12">
        <f>'[11]Dia 11 (a)'!$S23</f>
        <v>23.6</v>
      </c>
      <c r="M17" s="12">
        <f>'[11]Dia 12 (a)'!$S23</f>
        <v>22.8</v>
      </c>
      <c r="N17" s="12">
        <f>'[11]Dia 13 (a)'!$S23</f>
        <v>24.4</v>
      </c>
      <c r="O17" s="12">
        <f>'[11]Dia 14 (a)'!$S23</f>
        <v>24.1</v>
      </c>
      <c r="P17" s="12">
        <f>'[11]Dia 15 (a)'!$S23</f>
        <v>24.6</v>
      </c>
      <c r="Q17" s="12">
        <f>'[11]Dia 16 (a)'!$S23</f>
        <v>24.2</v>
      </c>
      <c r="R17" s="12">
        <f>'[11]Dia 17 (a)'!$S23</f>
        <v>24.5</v>
      </c>
      <c r="S17" s="12">
        <f>'[11]Dia 18 (a)'!$S23</f>
        <v>25.3</v>
      </c>
      <c r="T17" s="12">
        <f>'[11]Dia 19 (a)'!$S23</f>
        <v>25.8</v>
      </c>
      <c r="U17" s="12">
        <f>'[11]Dia 20 (a)'!$S23</f>
        <v>25.6</v>
      </c>
      <c r="V17" s="12">
        <f>'[11]Dia 21 (a)'!$S23</f>
        <v>26</v>
      </c>
      <c r="W17" s="12">
        <f>'[11]Dia 22 (a)'!$S23</f>
        <v>25.6</v>
      </c>
      <c r="X17" s="12">
        <f>'[11]Dia 23 (a)'!$S23</f>
        <v>25.2</v>
      </c>
      <c r="Y17" s="12">
        <f>'[11]Dia 24 (a)'!$S23</f>
        <v>24.3</v>
      </c>
      <c r="Z17" s="12">
        <f>'[11]Dia 25 (a)'!$S23</f>
        <v>22.8</v>
      </c>
      <c r="AA17" s="12">
        <f>'[11]Dia 26 (a)'!$S23</f>
        <v>22.7</v>
      </c>
      <c r="AB17" s="12">
        <f>'[11]Dia 27 (a)'!$S23</f>
        <v>23.3</v>
      </c>
      <c r="AC17" s="12">
        <f>'[11]Dia 28 (a)'!$S23</f>
        <v>23</v>
      </c>
      <c r="AD17" s="12">
        <f>'[11]Dia 29 (a)'!$S23</f>
        <v>22.6</v>
      </c>
      <c r="AE17" s="12">
        <f>'[11]Dia 30 (a)'!$S23</f>
        <v>22.6</v>
      </c>
      <c r="AF17" s="13"/>
      <c r="AG17" s="14"/>
    </row>
    <row r="18" spans="1:33" ht="20.100000000000001" customHeight="1">
      <c r="A18" s="11">
        <v>21</v>
      </c>
      <c r="B18" s="12">
        <f>'[11]Dia 1 (a)'!$S24</f>
        <v>22.4</v>
      </c>
      <c r="C18" s="12">
        <f>'[11]Dia 2 (a)'!$S24</f>
        <v>20.399999999999999</v>
      </c>
      <c r="D18" s="12">
        <f>'[11]Dia 3 (a)'!$S24</f>
        <v>19.8</v>
      </c>
      <c r="E18" s="12">
        <f>'[11]Dia 4 (a)'!$S24</f>
        <v>19.899999999999999</v>
      </c>
      <c r="F18" s="12">
        <f>'[11]Dia 5 (a)'!$S24</f>
        <v>20</v>
      </c>
      <c r="G18" s="12">
        <f>'[11]Dia 6 (a)'!$S24</f>
        <v>20.3</v>
      </c>
      <c r="H18" s="12">
        <f>'[11]Dia 7 (a)'!$S24</f>
        <v>20.399999999999999</v>
      </c>
      <c r="I18" s="12">
        <f>'[11]Dia 8 (a)'!$S24</f>
        <v>21.7</v>
      </c>
      <c r="J18" s="12">
        <f>'[11]Dia 9 (a)'!$S24</f>
        <v>22.6</v>
      </c>
      <c r="K18" s="12">
        <f>'[11]Dia 10 (a)'!$S24</f>
        <v>23.2</v>
      </c>
      <c r="L18" s="12">
        <f>'[11]Dia 11 (a)'!$S24</f>
        <v>23.6</v>
      </c>
      <c r="M18" s="12">
        <f>'[11]Dia 12 (a)'!$S24</f>
        <v>22.9</v>
      </c>
      <c r="N18" s="12">
        <f>'[11]Dia 13 (a)'!$S24</f>
        <v>24.6</v>
      </c>
      <c r="O18" s="12">
        <f>'[11]Dia 14 (a)'!$S24</f>
        <v>24.1</v>
      </c>
      <c r="P18" s="12">
        <f>'[11]Dia 15 (a)'!$S24</f>
        <v>24.4</v>
      </c>
      <c r="Q18" s="12">
        <f>'[11]Dia 16 (a)'!$S24</f>
        <v>24.3</v>
      </c>
      <c r="R18" s="12">
        <f>'[11]Dia 17 (a)'!$S24</f>
        <v>24.7</v>
      </c>
      <c r="S18" s="12">
        <f>'[11]Dia 18 (a)'!$S24</f>
        <v>25.3</v>
      </c>
      <c r="T18" s="12">
        <f>'[11]Dia 19 (a)'!$S24</f>
        <v>25.9</v>
      </c>
      <c r="U18" s="12">
        <f>'[11]Dia 20 (a)'!$S24</f>
        <v>25.6</v>
      </c>
      <c r="V18" s="12">
        <f>'[11]Dia 21 (a)'!$S24</f>
        <v>26</v>
      </c>
      <c r="W18" s="12">
        <f>'[11]Dia 22 (a)'!$S24</f>
        <v>25.6</v>
      </c>
      <c r="X18" s="12">
        <f>'[11]Dia 23 (a)'!$S24</f>
        <v>25.1</v>
      </c>
      <c r="Y18" s="12">
        <f>'[11]Dia 24 (a)'!$S24</f>
        <v>24.4</v>
      </c>
      <c r="Z18" s="12">
        <f>'[11]Dia 25 (a)'!$S24</f>
        <v>22.8</v>
      </c>
      <c r="AA18" s="12">
        <f>'[11]Dia 26 (a)'!$S24</f>
        <v>22.8</v>
      </c>
      <c r="AB18" s="12">
        <f>'[11]Dia 27 (a)'!$S24</f>
        <v>23.2</v>
      </c>
      <c r="AC18" s="12">
        <f>'[11]Dia 28 (a)'!$S24</f>
        <v>23</v>
      </c>
      <c r="AD18" s="12">
        <f>'[11]Dia 29 (a)'!$S24</f>
        <v>22.6</v>
      </c>
      <c r="AE18" s="12">
        <f>'[11]Dia 30 (a)'!$S24</f>
        <v>22.6</v>
      </c>
      <c r="AF18" s="13"/>
      <c r="AG18" s="14"/>
    </row>
    <row r="19" spans="1:33" ht="20.100000000000001" customHeight="1">
      <c r="A19" s="11">
        <v>22</v>
      </c>
      <c r="B19" s="12">
        <f>'[11]Dia 1 (a)'!$S25</f>
        <v>22.6</v>
      </c>
      <c r="C19" s="12">
        <f>'[11]Dia 2 (a)'!$S25</f>
        <v>20.5</v>
      </c>
      <c r="D19" s="12">
        <f>'[11]Dia 3 (a)'!$S25</f>
        <v>19.600000000000001</v>
      </c>
      <c r="E19" s="12">
        <f>'[11]Dia 4 (a)'!$S25</f>
        <v>20</v>
      </c>
      <c r="F19" s="12">
        <f>'[11]Dia 5 (a)'!$S25</f>
        <v>20</v>
      </c>
      <c r="G19" s="12">
        <f>'[11]Dia 6 (a)'!$S25</f>
        <v>20.3</v>
      </c>
      <c r="H19" s="12">
        <f>'[11]Dia 7 (a)'!$S25</f>
        <v>20.399999999999999</v>
      </c>
      <c r="I19" s="12">
        <f>'[11]Dia 8 (a)'!$S25</f>
        <v>21.8</v>
      </c>
      <c r="J19" s="12">
        <f>'[11]Dia 9 (a)'!$S25</f>
        <v>22.6</v>
      </c>
      <c r="K19" s="12">
        <f>'[11]Dia 10 (a)'!$S25</f>
        <v>23.3</v>
      </c>
      <c r="L19" s="12">
        <f>'[11]Dia 11 (a)'!$S25</f>
        <v>23.6</v>
      </c>
      <c r="M19" s="12">
        <f>'[11]Dia 12 (a)'!$S25</f>
        <v>22.9</v>
      </c>
      <c r="N19" s="12">
        <f>'[11]Dia 13 (a)'!$S25</f>
        <v>24.6</v>
      </c>
      <c r="O19" s="12">
        <f>'[11]Dia 14 (a)'!$S25</f>
        <v>24.1</v>
      </c>
      <c r="P19" s="12">
        <f>'[11]Dia 15 (a)'!$S25</f>
        <v>24.6</v>
      </c>
      <c r="Q19" s="12">
        <f>'[11]Dia 16 (a)'!$S25</f>
        <v>24.3</v>
      </c>
      <c r="R19" s="12">
        <f>'[11]Dia 17 (a)'!$S25</f>
        <v>24.7</v>
      </c>
      <c r="S19" s="12">
        <f>'[11]Dia 18 (a)'!$S25</f>
        <v>25.3</v>
      </c>
      <c r="T19" s="12">
        <f>'[11]Dia 19 (a)'!$S25</f>
        <v>25.7</v>
      </c>
      <c r="U19" s="12">
        <f>'[11]Dia 20 (a)'!$S25</f>
        <v>25.5</v>
      </c>
      <c r="V19" s="12">
        <f>'[11]Dia 21 (a)'!$S25</f>
        <v>26.2</v>
      </c>
      <c r="W19" s="12">
        <f>'[11]Dia 22 (a)'!$S25</f>
        <v>25.6</v>
      </c>
      <c r="X19" s="12">
        <f>'[11]Dia 23 (a)'!$S25</f>
        <v>25.2</v>
      </c>
      <c r="Y19" s="12">
        <f>'[11]Dia 24 (a)'!$S25</f>
        <v>24.3</v>
      </c>
      <c r="Z19" s="12">
        <f>'[11]Dia 25 (a)'!$S25</f>
        <v>22.8</v>
      </c>
      <c r="AA19" s="12">
        <f>'[11]Dia 26 (a)'!$S25</f>
        <v>22.8</v>
      </c>
      <c r="AB19" s="12">
        <f>'[11]Dia 27 (a)'!$S25</f>
        <v>23.3</v>
      </c>
      <c r="AC19" s="12">
        <f>'[11]Dia 28 (a)'!$S25</f>
        <v>23</v>
      </c>
      <c r="AD19" s="12">
        <f>'[11]Dia 29 (a)'!$S25</f>
        <v>22.6</v>
      </c>
      <c r="AE19" s="12">
        <f>'[11]Dia 30 (a)'!$S25</f>
        <v>22.6</v>
      </c>
      <c r="AF19" s="13"/>
      <c r="AG19" s="14"/>
    </row>
    <row r="20" spans="1:33" ht="20.100000000000001" customHeight="1">
      <c r="A20" s="11">
        <v>23</v>
      </c>
      <c r="B20" s="12">
        <f>'[11]Dia 1 (a)'!$S26</f>
        <v>22.6</v>
      </c>
      <c r="C20" s="12">
        <f>'[11]Dia 2 (a)'!$S26</f>
        <v>20.3</v>
      </c>
      <c r="D20" s="12">
        <f>'[11]Dia 3 (a)'!$S26</f>
        <v>19.5</v>
      </c>
      <c r="E20" s="12">
        <f>'[11]Dia 4 (a)'!$S26</f>
        <v>19.899999999999999</v>
      </c>
      <c r="F20" s="12">
        <f>'[11]Dia 5 (a)'!$S26</f>
        <v>20</v>
      </c>
      <c r="G20" s="12">
        <f>'[11]Dia 6 (a)'!$S26</f>
        <v>20.399999999999999</v>
      </c>
      <c r="H20" s="12">
        <f>'[11]Dia 7 (a)'!$S26</f>
        <v>20.2</v>
      </c>
      <c r="I20" s="12">
        <f>'[11]Dia 8 (a)'!$S26</f>
        <v>21.8</v>
      </c>
      <c r="J20" s="12">
        <f>'[11]Dia 9 (a)'!$S26</f>
        <v>22.6</v>
      </c>
      <c r="K20" s="12">
        <f>'[11]Dia 10 (a)'!$S26</f>
        <v>23.3</v>
      </c>
      <c r="L20" s="12">
        <f>'[11]Dia 11 (a)'!$S26</f>
        <v>23.4</v>
      </c>
      <c r="M20" s="12">
        <f>'[11]Dia 12 (a)'!$S26</f>
        <v>22.9</v>
      </c>
      <c r="N20" s="12">
        <f>'[11]Dia 13 (a)'!$S26</f>
        <v>24.6</v>
      </c>
      <c r="O20" s="12">
        <f>'[11]Dia 14 (a)'!$S26</f>
        <v>24.1</v>
      </c>
      <c r="P20" s="12">
        <f>'[11]Dia 15 (a)'!$S26</f>
        <v>24.6</v>
      </c>
      <c r="Q20" s="12">
        <f>'[11]Dia 16 (a)'!$S26</f>
        <v>24.1</v>
      </c>
      <c r="R20" s="12">
        <f>'[11]Dia 17 (a)'!$S26</f>
        <v>24.7</v>
      </c>
      <c r="S20" s="12">
        <f>'[11]Dia 18 (a)'!$S26</f>
        <v>25.3</v>
      </c>
      <c r="T20" s="12">
        <f>'[11]Dia 19 (a)'!$S26</f>
        <v>25.7</v>
      </c>
      <c r="U20" s="12">
        <f>'[11]Dia 20 (a)'!$S26</f>
        <v>25.6</v>
      </c>
      <c r="V20" s="12">
        <f>'[11]Dia 21 (a)'!$S26</f>
        <v>26.1</v>
      </c>
      <c r="W20" s="12">
        <f>'[11]Dia 22 (a)'!$S26</f>
        <v>25.6</v>
      </c>
      <c r="X20" s="12">
        <f>'[11]Dia 23 (a)'!$S26</f>
        <v>25</v>
      </c>
      <c r="Y20" s="12">
        <f>'[11]Dia 24 (a)'!$S26</f>
        <v>24.2</v>
      </c>
      <c r="Z20" s="12">
        <f>'[11]Dia 25 (a)'!$S26</f>
        <v>22.6</v>
      </c>
      <c r="AA20" s="12">
        <f>'[11]Dia 26 (a)'!$S26</f>
        <v>22.8</v>
      </c>
      <c r="AB20" s="12">
        <f>'[11]Dia 27 (a)'!$S26</f>
        <v>23.2</v>
      </c>
      <c r="AC20" s="12">
        <f>'[11]Dia 28 (a)'!$S26</f>
        <v>23</v>
      </c>
      <c r="AD20" s="12">
        <f>'[11]Dia 29 (a)'!$S26</f>
        <v>22.6</v>
      </c>
      <c r="AE20" s="12">
        <f>'[11]Dia 30 (a)'!$S26</f>
        <v>22.6</v>
      </c>
      <c r="AF20" s="13"/>
      <c r="AG20" s="14"/>
    </row>
    <row r="21" spans="1:33" ht="20.100000000000001" customHeight="1" thickBot="1">
      <c r="A21" s="16">
        <v>24</v>
      </c>
      <c r="B21" s="17">
        <f>'[11]Dia 1 (a)'!$S27</f>
        <v>22.6</v>
      </c>
      <c r="C21" s="17">
        <f>'[11]Dia 2 (a)'!$S27</f>
        <v>20.2</v>
      </c>
      <c r="D21" s="17">
        <f>'[11]Dia 3 (a)'!$S27</f>
        <v>19.5</v>
      </c>
      <c r="E21" s="17">
        <f>'[11]Dia 4 (a)'!$S27</f>
        <v>19.8</v>
      </c>
      <c r="F21" s="17">
        <f>'[11]Dia 5 (a)'!$S27</f>
        <v>20</v>
      </c>
      <c r="G21" s="17">
        <f>'[11]Dia 6 (a)'!$S27</f>
        <v>20.2</v>
      </c>
      <c r="H21" s="17">
        <f>'[11]Dia 7 (a)'!$S27</f>
        <v>20</v>
      </c>
      <c r="I21" s="17">
        <f>'[11]Dia 8 (a)'!$S27</f>
        <v>21.8</v>
      </c>
      <c r="J21" s="17">
        <f>'[11]Dia 9 (a)'!$S27</f>
        <v>22.6</v>
      </c>
      <c r="K21" s="17">
        <f>'[11]Dia 10 (a)'!$S27</f>
        <v>23.3</v>
      </c>
      <c r="L21" s="17">
        <f>'[11]Dia 11 (a)'!$S27</f>
        <v>23.4</v>
      </c>
      <c r="M21" s="17">
        <f>'[11]Dia 12 (a)'!$S27</f>
        <v>22.8</v>
      </c>
      <c r="N21" s="17">
        <f>'[11]Dia 13 (a)'!$S27</f>
        <v>24.6</v>
      </c>
      <c r="O21" s="17">
        <f>'[11]Dia 14 (a)'!$S27</f>
        <v>24</v>
      </c>
      <c r="P21" s="17">
        <f>'[11]Dia 15 (a)'!$S27</f>
        <v>24.6</v>
      </c>
      <c r="Q21" s="17">
        <f>'[11]Dia 16 (a)'!$S27</f>
        <v>24.1</v>
      </c>
      <c r="R21" s="17">
        <f>'[11]Dia 17 (a)'!$S27</f>
        <v>24.7</v>
      </c>
      <c r="S21" s="17">
        <f>'[11]Dia 18 (a)'!$S27</f>
        <v>25.3</v>
      </c>
      <c r="T21" s="17">
        <f>'[11]Dia 19 (a)'!$S27</f>
        <v>25.7</v>
      </c>
      <c r="U21" s="17">
        <f>'[11]Dia 20 (a)'!$S27</f>
        <v>25.4</v>
      </c>
      <c r="V21" s="17">
        <f>'[11]Dia 21 (a)'!$S27</f>
        <v>26</v>
      </c>
      <c r="W21" s="17">
        <f>'[11]Dia 22 (a)'!$S27</f>
        <v>25.5</v>
      </c>
      <c r="X21" s="17">
        <f>'[11]Dia 23 (a)'!$S27</f>
        <v>24.9</v>
      </c>
      <c r="Y21" s="17">
        <f>'[11]Dia 24 (a)'!$S27</f>
        <v>24.3</v>
      </c>
      <c r="Z21" s="17">
        <f>'[11]Dia 25 (a)'!$S27</f>
        <v>22.6</v>
      </c>
      <c r="AA21" s="17">
        <f>'[11]Dia 26 (a)'!$S27</f>
        <v>22.7</v>
      </c>
      <c r="AB21" s="17">
        <f>'[11]Dia 27 (a)'!$S27</f>
        <v>23.2</v>
      </c>
      <c r="AC21" s="17">
        <f>'[11]Dia 28 (a)'!$S27</f>
        <v>23</v>
      </c>
      <c r="AD21" s="17">
        <f>'[11]Dia 29 (a)'!$S27</f>
        <v>22.6</v>
      </c>
      <c r="AE21" s="17">
        <f>'[11]Dia 30 (a)'!$S27</f>
        <v>22.6</v>
      </c>
      <c r="AF21" s="18"/>
      <c r="AG21" s="14"/>
    </row>
    <row r="22" spans="1:33" ht="15.75" thickTop="1">
      <c r="A22" s="19"/>
      <c r="B22" s="20"/>
      <c r="C22" s="20"/>
      <c r="D22" s="20"/>
      <c r="E22" s="21"/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22.650000000000009</v>
      </c>
      <c r="C25" s="28">
        <f t="shared" ref="C25:AE25" si="0">AVERAGE(C4:C21)</f>
        <v>20.805555555555557</v>
      </c>
      <c r="D25" s="28">
        <f t="shared" si="0"/>
        <v>19.422222222222224</v>
      </c>
      <c r="E25" s="28">
        <f>AVERAGE(E4:E21)</f>
        <v>19.37222222222222</v>
      </c>
      <c r="F25" s="28">
        <f t="shared" si="0"/>
        <v>19.611111111111111</v>
      </c>
      <c r="G25" s="28">
        <f t="shared" si="0"/>
        <v>19.844444444444445</v>
      </c>
      <c r="H25" s="28">
        <f t="shared" si="0"/>
        <v>19.994444444444444</v>
      </c>
      <c r="I25" s="28">
        <f t="shared" si="0"/>
        <v>20.594444444444449</v>
      </c>
      <c r="J25" s="28">
        <f t="shared" si="0"/>
        <v>21.555555555555557</v>
      </c>
      <c r="K25" s="28">
        <f t="shared" si="0"/>
        <v>22.327777777777776</v>
      </c>
      <c r="L25" s="28">
        <f t="shared" si="0"/>
        <v>22.911111111111111</v>
      </c>
      <c r="M25" s="28">
        <f t="shared" si="0"/>
        <v>22.627777777777776</v>
      </c>
      <c r="N25" s="28">
        <f t="shared" si="0"/>
        <v>23.405555555555559</v>
      </c>
      <c r="O25" s="28">
        <f t="shared" si="0"/>
        <v>23.888888888888893</v>
      </c>
      <c r="P25" s="28">
        <f t="shared" si="0"/>
        <v>23.822222222222226</v>
      </c>
      <c r="Q25" s="28">
        <f t="shared" si="0"/>
        <v>23.700000000000003</v>
      </c>
      <c r="R25" s="28">
        <f t="shared" si="0"/>
        <v>23.644444444444442</v>
      </c>
      <c r="S25" s="28">
        <f t="shared" si="0"/>
        <v>24.255555555555556</v>
      </c>
      <c r="T25" s="28">
        <f t="shared" si="0"/>
        <v>24.87222222222222</v>
      </c>
      <c r="U25" s="28">
        <f t="shared" si="0"/>
        <v>25.216666666666669</v>
      </c>
      <c r="V25" s="28">
        <f t="shared" si="0"/>
        <v>25.211111111111112</v>
      </c>
      <c r="W25" s="28">
        <f t="shared" si="0"/>
        <v>25.122222222222224</v>
      </c>
      <c r="X25" s="28">
        <f t="shared" si="0"/>
        <v>24.816666666666666</v>
      </c>
      <c r="Y25" s="28">
        <f t="shared" si="0"/>
        <v>23.927777777777777</v>
      </c>
      <c r="Z25" s="28">
        <f t="shared" si="0"/>
        <v>22.838888888888892</v>
      </c>
      <c r="AA25" s="28">
        <f t="shared" si="0"/>
        <v>22.283333333333331</v>
      </c>
      <c r="AB25" s="28">
        <f t="shared" si="0"/>
        <v>22.761111111111109</v>
      </c>
      <c r="AC25" s="28">
        <f t="shared" si="0"/>
        <v>22.891111111111112</v>
      </c>
      <c r="AD25" s="28">
        <f t="shared" si="0"/>
        <v>22.472222222222232</v>
      </c>
      <c r="AE25" s="28">
        <f t="shared" si="0"/>
        <v>22.294444444444451</v>
      </c>
      <c r="AF25" s="28"/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23.2</v>
      </c>
      <c r="C29" s="28">
        <f t="shared" ref="C29:AE29" si="1">MAX(C4:C21)</f>
        <v>21.5</v>
      </c>
      <c r="D29" s="28">
        <f t="shared" si="1"/>
        <v>19.8</v>
      </c>
      <c r="E29" s="28">
        <f>MAX(E4:E21)</f>
        <v>20</v>
      </c>
      <c r="F29" s="28">
        <f t="shared" si="1"/>
        <v>20</v>
      </c>
      <c r="G29" s="28">
        <f t="shared" si="1"/>
        <v>20.399999999999999</v>
      </c>
      <c r="H29" s="28">
        <f t="shared" si="1"/>
        <v>20.399999999999999</v>
      </c>
      <c r="I29" s="28">
        <f t="shared" si="1"/>
        <v>21.8</v>
      </c>
      <c r="J29" s="28">
        <f t="shared" si="1"/>
        <v>22.6</v>
      </c>
      <c r="K29" s="28">
        <f t="shared" si="1"/>
        <v>23.3</v>
      </c>
      <c r="L29" s="28">
        <f t="shared" si="1"/>
        <v>23.6</v>
      </c>
      <c r="M29" s="28">
        <f t="shared" si="1"/>
        <v>22.9</v>
      </c>
      <c r="N29" s="28">
        <f t="shared" si="1"/>
        <v>24.6</v>
      </c>
      <c r="O29" s="28">
        <f t="shared" si="1"/>
        <v>24.1</v>
      </c>
      <c r="P29" s="28">
        <f t="shared" si="1"/>
        <v>24.6</v>
      </c>
      <c r="Q29" s="28">
        <f t="shared" si="1"/>
        <v>24.3</v>
      </c>
      <c r="R29" s="28">
        <f t="shared" si="1"/>
        <v>24.7</v>
      </c>
      <c r="S29" s="28">
        <f t="shared" si="1"/>
        <v>25.3</v>
      </c>
      <c r="T29" s="28">
        <f t="shared" si="1"/>
        <v>25.9</v>
      </c>
      <c r="U29" s="28">
        <f t="shared" si="1"/>
        <v>25.6</v>
      </c>
      <c r="V29" s="28">
        <f t="shared" si="1"/>
        <v>26.2</v>
      </c>
      <c r="W29" s="28">
        <f t="shared" si="1"/>
        <v>25.6</v>
      </c>
      <c r="X29" s="28">
        <f t="shared" si="1"/>
        <v>25.2</v>
      </c>
      <c r="Y29" s="28">
        <f t="shared" si="1"/>
        <v>24.4</v>
      </c>
      <c r="Z29" s="28">
        <f t="shared" si="1"/>
        <v>23.4</v>
      </c>
      <c r="AA29" s="28">
        <f t="shared" si="1"/>
        <v>22.8</v>
      </c>
      <c r="AB29" s="28">
        <f t="shared" si="1"/>
        <v>23.3</v>
      </c>
      <c r="AC29" s="28">
        <f t="shared" si="1"/>
        <v>23</v>
      </c>
      <c r="AD29" s="28">
        <f t="shared" si="1"/>
        <v>22.6</v>
      </c>
      <c r="AE29" s="28">
        <f t="shared" si="1"/>
        <v>22.6</v>
      </c>
      <c r="AF29" s="28"/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21.6</v>
      </c>
      <c r="C33" s="28">
        <f t="shared" ref="C33:AE33" si="2">MIN(C4:C21)</f>
        <v>20.2</v>
      </c>
      <c r="D33" s="28">
        <f t="shared" si="2"/>
        <v>19.2</v>
      </c>
      <c r="E33" s="28">
        <f>MIN(E4:E21)</f>
        <v>18.8</v>
      </c>
      <c r="F33" s="28">
        <f t="shared" si="2"/>
        <v>19.2</v>
      </c>
      <c r="G33" s="28">
        <f t="shared" si="2"/>
        <v>19.399999999999999</v>
      </c>
      <c r="H33" s="28">
        <f t="shared" si="2"/>
        <v>19.8</v>
      </c>
      <c r="I33" s="28">
        <f t="shared" si="2"/>
        <v>19.600000000000001</v>
      </c>
      <c r="J33" s="28">
        <f t="shared" si="2"/>
        <v>20.6</v>
      </c>
      <c r="K33" s="28">
        <f t="shared" si="2"/>
        <v>21.6</v>
      </c>
      <c r="L33" s="28">
        <f t="shared" si="2"/>
        <v>22.2</v>
      </c>
      <c r="M33" s="28">
        <f t="shared" si="2"/>
        <v>22.4</v>
      </c>
      <c r="N33" s="28">
        <f t="shared" si="2"/>
        <v>22.4</v>
      </c>
      <c r="O33" s="28">
        <f t="shared" si="2"/>
        <v>23.6</v>
      </c>
      <c r="P33" s="28">
        <f t="shared" si="2"/>
        <v>23.2</v>
      </c>
      <c r="Q33" s="28">
        <f t="shared" si="2"/>
        <v>23.2</v>
      </c>
      <c r="R33" s="28">
        <f t="shared" si="2"/>
        <v>22.8</v>
      </c>
      <c r="S33" s="28">
        <f t="shared" si="2"/>
        <v>23.4</v>
      </c>
      <c r="T33" s="28">
        <f t="shared" si="2"/>
        <v>24.1</v>
      </c>
      <c r="U33" s="28">
        <f t="shared" si="2"/>
        <v>24.8</v>
      </c>
      <c r="V33" s="28">
        <f t="shared" si="2"/>
        <v>24.4</v>
      </c>
      <c r="W33" s="28">
        <f t="shared" si="2"/>
        <v>24.6</v>
      </c>
      <c r="X33" s="28">
        <f t="shared" si="2"/>
        <v>24.5</v>
      </c>
      <c r="Y33" s="28">
        <f t="shared" si="2"/>
        <v>23.5</v>
      </c>
      <c r="Z33" s="28">
        <f t="shared" si="2"/>
        <v>22.6</v>
      </c>
      <c r="AA33" s="28">
        <f t="shared" si="2"/>
        <v>21.8</v>
      </c>
      <c r="AB33" s="28">
        <f t="shared" si="2"/>
        <v>22.2</v>
      </c>
      <c r="AC33" s="28">
        <f t="shared" si="2"/>
        <v>22.6</v>
      </c>
      <c r="AD33" s="28">
        <f t="shared" si="2"/>
        <v>22.2</v>
      </c>
      <c r="AE33" s="28">
        <f t="shared" si="2"/>
        <v>22</v>
      </c>
      <c r="AF33" s="28"/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1.5999999999999979</v>
      </c>
      <c r="C37" s="28">
        <f t="shared" ref="C37:AE37" si="3">C29-C33</f>
        <v>1.3000000000000007</v>
      </c>
      <c r="D37" s="28">
        <f t="shared" si="3"/>
        <v>0.60000000000000142</v>
      </c>
      <c r="E37" s="28">
        <f t="shared" si="3"/>
        <v>1.1999999999999993</v>
      </c>
      <c r="F37" s="28">
        <f t="shared" si="3"/>
        <v>0.80000000000000071</v>
      </c>
      <c r="G37" s="28">
        <f t="shared" si="3"/>
        <v>1</v>
      </c>
      <c r="H37" s="28">
        <f t="shared" si="3"/>
        <v>0.59999999999999787</v>
      </c>
      <c r="I37" s="28">
        <f t="shared" si="3"/>
        <v>2.1999999999999993</v>
      </c>
      <c r="J37" s="28">
        <f t="shared" si="3"/>
        <v>2</v>
      </c>
      <c r="K37" s="28">
        <f t="shared" si="3"/>
        <v>1.6999999999999993</v>
      </c>
      <c r="L37" s="28">
        <f t="shared" si="3"/>
        <v>1.4000000000000021</v>
      </c>
      <c r="M37" s="28">
        <f t="shared" si="3"/>
        <v>0.5</v>
      </c>
      <c r="N37" s="28">
        <f t="shared" si="3"/>
        <v>2.2000000000000028</v>
      </c>
      <c r="O37" s="28">
        <f t="shared" si="3"/>
        <v>0.5</v>
      </c>
      <c r="P37" s="28">
        <f t="shared" si="3"/>
        <v>1.4000000000000021</v>
      </c>
      <c r="Q37" s="28">
        <f t="shared" si="3"/>
        <v>1.1000000000000014</v>
      </c>
      <c r="R37" s="28">
        <f t="shared" si="3"/>
        <v>1.8999999999999986</v>
      </c>
      <c r="S37" s="28">
        <f t="shared" si="3"/>
        <v>1.9000000000000021</v>
      </c>
      <c r="T37" s="28">
        <f t="shared" si="3"/>
        <v>1.7999999999999972</v>
      </c>
      <c r="U37" s="28">
        <f t="shared" si="3"/>
        <v>0.80000000000000071</v>
      </c>
      <c r="V37" s="28">
        <f t="shared" si="3"/>
        <v>1.8000000000000007</v>
      </c>
      <c r="W37" s="28">
        <f t="shared" si="3"/>
        <v>1</v>
      </c>
      <c r="X37" s="28">
        <f t="shared" si="3"/>
        <v>0.69999999999999929</v>
      </c>
      <c r="Y37" s="28">
        <f t="shared" si="3"/>
        <v>0.89999999999999858</v>
      </c>
      <c r="Z37" s="28">
        <f t="shared" si="3"/>
        <v>0.79999999999999716</v>
      </c>
      <c r="AA37" s="28">
        <f t="shared" si="3"/>
        <v>1</v>
      </c>
      <c r="AB37" s="28">
        <f t="shared" si="3"/>
        <v>1.1000000000000014</v>
      </c>
      <c r="AC37" s="28">
        <f t="shared" si="3"/>
        <v>0.39999999999999858</v>
      </c>
      <c r="AD37" s="28">
        <f t="shared" si="3"/>
        <v>0.40000000000000213</v>
      </c>
      <c r="AE37" s="28">
        <f t="shared" si="3"/>
        <v>0.60000000000000142</v>
      </c>
      <c r="AF37" s="28"/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22.638037037037034</v>
      </c>
      <c r="I43" s="40"/>
      <c r="J43" s="42"/>
      <c r="K43" s="41">
        <f>MAX(B29:AF29)</f>
        <v>26.2</v>
      </c>
      <c r="L43" s="42"/>
      <c r="M43" s="42"/>
      <c r="N43" s="41">
        <f>MIN(B33:AF33)</f>
        <v>18.8</v>
      </c>
      <c r="O43" s="42"/>
      <c r="P43" s="42"/>
      <c r="Q43" s="41">
        <f>K43-N43</f>
        <v>7.3999999999999986</v>
      </c>
      <c r="R43" s="40"/>
      <c r="S43" s="41"/>
      <c r="T43" s="41">
        <f>AVERAGE(B29:AF29)</f>
        <v>23.256666666666668</v>
      </c>
      <c r="U43" s="41"/>
      <c r="V43" s="41">
        <f>AVERAGE(B33:AF33)</f>
        <v>22.083333333333336</v>
      </c>
      <c r="W43" s="41"/>
      <c r="X43" s="41">
        <f>T43-V43</f>
        <v>1.173333333333332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(a)'!$S10</f>
        <v>22</v>
      </c>
      <c r="C4" s="12">
        <f>'[12]Dia 2 (a)'!$S10</f>
        <v>22.4</v>
      </c>
      <c r="D4" s="12">
        <f>'[12]Dia 3 (a)'!$S10</f>
        <v>23</v>
      </c>
      <c r="E4" s="12">
        <f>'[12]Dia 4 (a)'!$S10</f>
        <v>22.9</v>
      </c>
      <c r="F4" s="12">
        <f>'[12]Dia 5 (a)'!$S10</f>
        <v>23.1</v>
      </c>
      <c r="G4" s="12">
        <f>'[12]Dia 6 (a)'!$S10</f>
        <v>22.9</v>
      </c>
      <c r="H4" s="12">
        <f>'[12]Dia 7 (a)'!$S10</f>
        <v>22.4</v>
      </c>
      <c r="I4" s="12">
        <f>'[12]Dia 8 (a)'!$S10</f>
        <v>22.8</v>
      </c>
      <c r="J4" s="12">
        <f>'[12]Dia 9 (a)'!$S10</f>
        <v>23.4</v>
      </c>
      <c r="K4" s="12">
        <f>'[12]Dia 10 (a)'!$S10</f>
        <v>24.4</v>
      </c>
      <c r="L4" s="12">
        <f>'[12]Dia 11 (a)'!$S10</f>
        <v>25.2</v>
      </c>
      <c r="M4" s="12">
        <f>'[12]Dia 12 (a)'!$S10</f>
        <v>26</v>
      </c>
      <c r="N4" s="12">
        <f>'[12]Dia 13 (a)'!$S10</f>
        <v>24.9</v>
      </c>
      <c r="O4" s="12">
        <f>'[12]Dia 14 (a)'!$S10</f>
        <v>23</v>
      </c>
      <c r="P4" s="12">
        <f>'[12]Dia 15 (a)'!$S10</f>
        <v>22.6</v>
      </c>
      <c r="Q4" s="12">
        <f>'[12]Dia 16 (a)'!$S10</f>
        <v>23</v>
      </c>
      <c r="R4" s="12">
        <f>'[12]Dia 17 (a)'!$S10</f>
        <v>23</v>
      </c>
      <c r="S4" s="12">
        <f>'[12]Dia 18 (a)'!$S10</f>
        <v>23</v>
      </c>
      <c r="T4" s="12">
        <f>'[12]Dia 19 (a)'!$S10</f>
        <v>22.9</v>
      </c>
      <c r="U4" s="12">
        <f>'[12]Dia 20 (a)'!$S10</f>
        <v>22.1</v>
      </c>
      <c r="V4" s="12">
        <f>'[12]Dia 21 (a)'!$S10</f>
        <v>21.7</v>
      </c>
      <c r="W4" s="12">
        <f>'[12]Dia 22 (a)'!$S10</f>
        <v>21.6</v>
      </c>
      <c r="X4" s="12">
        <f>'[12]Dia 23 (a)'!$S10</f>
        <v>21.2</v>
      </c>
      <c r="Y4" s="12">
        <f>'[12]Dia 24 (a)'!$S10</f>
        <v>21.8</v>
      </c>
      <c r="Z4" s="12">
        <f>'[12]Dia 25 (a)'!$S10</f>
        <v>23</v>
      </c>
      <c r="AA4" s="12">
        <f>'[12]Dia 26 (a)'!$S10</f>
        <v>24</v>
      </c>
      <c r="AB4" s="12">
        <f>'[12]Dia 27 (a)'!$S10</f>
        <v>23.6</v>
      </c>
      <c r="AC4" s="12">
        <f>'[12]Dia 28 (a)'!$S10</f>
        <v>24</v>
      </c>
      <c r="AD4" s="12">
        <f>'[12]Dia 29 (a)'!$S10</f>
        <v>23.2</v>
      </c>
      <c r="AE4" s="12">
        <f>'[12]Dia 30 (a)'!$S10</f>
        <v>23.3</v>
      </c>
      <c r="AF4" s="13">
        <f>'[12]Dia 31 (a)'!$S10</f>
        <v>23</v>
      </c>
      <c r="AG4" s="14"/>
    </row>
    <row r="5" spans="1:33" ht="20.100000000000001" customHeight="1">
      <c r="A5" s="11">
        <v>8</v>
      </c>
      <c r="B5" s="12">
        <f>'[12]Dia 1 (a)'!$S11</f>
        <v>22</v>
      </c>
      <c r="C5" s="12">
        <f>'[12]Dia 2 (a)'!$S11</f>
        <v>22.4</v>
      </c>
      <c r="D5" s="12">
        <f>'[12]Dia 3 (a)'!$S11</f>
        <v>23</v>
      </c>
      <c r="E5" s="12">
        <f>'[12]Dia 4 (a)'!$S11</f>
        <v>22.9</v>
      </c>
      <c r="F5" s="12">
        <f>'[12]Dia 5 (a)'!$S11</f>
        <v>23.1</v>
      </c>
      <c r="G5" s="12">
        <f>'[12]Dia 6 (a)'!$S11</f>
        <v>22.8</v>
      </c>
      <c r="H5" s="12">
        <f>'[12]Dia 7 (a)'!$S11</f>
        <v>22.2</v>
      </c>
      <c r="I5" s="12">
        <f>'[12]Dia 8 (a)'!$S11</f>
        <v>22.8</v>
      </c>
      <c r="J5" s="12">
        <f>'[12]Dia 9 (a)'!$S11</f>
        <v>23.4</v>
      </c>
      <c r="K5" s="12">
        <f>'[12]Dia 10 (a)'!$S11</f>
        <v>24.4</v>
      </c>
      <c r="L5" s="12">
        <f>'[12]Dia 11 (a)'!$S11</f>
        <v>25.2</v>
      </c>
      <c r="M5" s="12">
        <f>'[12]Dia 12 (a)'!$S11</f>
        <v>26</v>
      </c>
      <c r="N5" s="12">
        <f>'[12]Dia 13 (a)'!$S11</f>
        <v>24.7</v>
      </c>
      <c r="O5" s="12">
        <f>'[12]Dia 14 (a)'!$S11</f>
        <v>22.9</v>
      </c>
      <c r="P5" s="12">
        <f>'[12]Dia 15 (a)'!$S11</f>
        <v>22.6</v>
      </c>
      <c r="Q5" s="12">
        <f>'[12]Dia 16 (a)'!$S11</f>
        <v>23</v>
      </c>
      <c r="R5" s="12">
        <f>'[12]Dia 17 (a)'!$S11</f>
        <v>22.8</v>
      </c>
      <c r="S5" s="12">
        <f>'[12]Dia 18 (a)'!$S11</f>
        <v>23</v>
      </c>
      <c r="T5" s="12">
        <f>'[12]Dia 19 (a)'!$S11</f>
        <v>22.9</v>
      </c>
      <c r="U5" s="12">
        <f>'[12]Dia 20 (a)'!$S11</f>
        <v>22</v>
      </c>
      <c r="V5" s="12">
        <f>'[12]Dia 21 (a)'!$S11</f>
        <v>21.7</v>
      </c>
      <c r="W5" s="12">
        <f>'[12]Dia 22 (a)'!$S11</f>
        <v>21.6</v>
      </c>
      <c r="X5" s="12">
        <f>'[12]Dia 23 (a)'!$S11</f>
        <v>21.2</v>
      </c>
      <c r="Y5" s="12">
        <f>'[12]Dia 24 (a)'!$S11</f>
        <v>21.8</v>
      </c>
      <c r="Z5" s="12">
        <f>'[12]Dia 25 (a)'!$S11</f>
        <v>23</v>
      </c>
      <c r="AA5" s="12">
        <f>'[12]Dia 26 (a)'!$S11</f>
        <v>23.9</v>
      </c>
      <c r="AB5" s="12">
        <f>'[12]Dia 27 (a)'!$S11</f>
        <v>23.6</v>
      </c>
      <c r="AC5" s="12">
        <f>'[12]Dia 28 (a)'!$S11</f>
        <v>24</v>
      </c>
      <c r="AD5" s="12">
        <f>'[12]Dia 29 (a)'!$S11</f>
        <v>23.2</v>
      </c>
      <c r="AE5" s="12">
        <f>'[12]Dia 30 (a)'!$S11</f>
        <v>23.2</v>
      </c>
      <c r="AF5" s="13">
        <f>'[12]Dia 31 (a)'!$S11</f>
        <v>23</v>
      </c>
      <c r="AG5" s="14"/>
    </row>
    <row r="6" spans="1:33" ht="20.100000000000001" customHeight="1">
      <c r="A6" s="11">
        <v>9</v>
      </c>
      <c r="B6" s="12">
        <f>'[12]Dia 1 (a)'!$S12</f>
        <v>22</v>
      </c>
      <c r="C6" s="12">
        <f>'[12]Dia 2 (a)'!$S12</f>
        <v>22.4</v>
      </c>
      <c r="D6" s="12">
        <f>'[12]Dia 3 (a)'!$S12</f>
        <v>23</v>
      </c>
      <c r="E6" s="12">
        <f>'[12]Dia 4 (a)'!$S12</f>
        <v>22.8</v>
      </c>
      <c r="F6" s="12">
        <f>'[12]Dia 5 (a)'!$S12</f>
        <v>23.1</v>
      </c>
      <c r="G6" s="12">
        <f>'[12]Dia 6 (a)'!$S12</f>
        <v>22.9</v>
      </c>
      <c r="H6" s="12">
        <f>'[12]Dia 7 (a)'!$S12</f>
        <v>22.2</v>
      </c>
      <c r="I6" s="12">
        <f>'[12]Dia 8 (a)'!$S12</f>
        <v>22.8</v>
      </c>
      <c r="J6" s="12">
        <f>'[12]Dia 9 (a)'!$S12</f>
        <v>23.4</v>
      </c>
      <c r="K6" s="12">
        <f>'[12]Dia 10 (a)'!$S12</f>
        <v>24.3</v>
      </c>
      <c r="L6" s="12">
        <f>'[12]Dia 11 (a)'!$S12</f>
        <v>25.2</v>
      </c>
      <c r="M6" s="12">
        <f>'[12]Dia 12 (a)'!$S12</f>
        <v>26</v>
      </c>
      <c r="N6" s="12">
        <f>'[12]Dia 13 (a)'!$S12</f>
        <v>24.7</v>
      </c>
      <c r="O6" s="12">
        <f>'[12]Dia 14 (a)'!$S12</f>
        <v>22.8</v>
      </c>
      <c r="P6" s="12">
        <f>'[12]Dia 15 (a)'!$S12</f>
        <v>22.6</v>
      </c>
      <c r="Q6" s="12">
        <f>'[12]Dia 16 (a)'!$S12</f>
        <v>23.4</v>
      </c>
      <c r="R6" s="12">
        <f>'[12]Dia 17 (a)'!$S12</f>
        <v>22.8</v>
      </c>
      <c r="S6" s="12">
        <f>'[12]Dia 18 (a)'!$S12</f>
        <v>23</v>
      </c>
      <c r="T6" s="12">
        <f>'[12]Dia 19 (a)'!$S12</f>
        <v>22.8</v>
      </c>
      <c r="U6" s="12">
        <f>'[12]Dia 20 (a)'!$S12</f>
        <v>22</v>
      </c>
      <c r="V6" s="12">
        <f>'[12]Dia 21 (a)'!$S12</f>
        <v>21.8</v>
      </c>
      <c r="W6" s="12">
        <f>'[12]Dia 22 (a)'!$S12</f>
        <v>21.6</v>
      </c>
      <c r="X6" s="12">
        <f>'[12]Dia 23 (a)'!$S12</f>
        <v>21.2</v>
      </c>
      <c r="Y6" s="12">
        <f>'[12]Dia 24 (a)'!$S12</f>
        <v>21.8</v>
      </c>
      <c r="Z6" s="12">
        <f>'[12]Dia 25 (a)'!$S12</f>
        <v>23</v>
      </c>
      <c r="AA6" s="12">
        <f>'[12]Dia 26 (a)'!$S12</f>
        <v>23.7</v>
      </c>
      <c r="AB6" s="12">
        <f>'[12]Dia 27 (a)'!$S12</f>
        <v>23.6</v>
      </c>
      <c r="AC6" s="12">
        <f>'[12]Dia 28 (a)'!$S12</f>
        <v>23.9</v>
      </c>
      <c r="AD6" s="12">
        <f>'[12]Dia 29 (a)'!$S12</f>
        <v>23.2</v>
      </c>
      <c r="AE6" s="12">
        <f>'[12]Dia 30 (a)'!$S12</f>
        <v>23.2</v>
      </c>
      <c r="AF6" s="13">
        <f>'[12]Dia 31 (a)'!$S12</f>
        <v>23</v>
      </c>
      <c r="AG6" s="14"/>
    </row>
    <row r="7" spans="1:33" ht="20.100000000000001" customHeight="1">
      <c r="A7" s="11">
        <v>10</v>
      </c>
      <c r="B7" s="12">
        <f>'[12]Dia 1 (a)'!$S13</f>
        <v>22</v>
      </c>
      <c r="C7" s="12">
        <f>'[12]Dia 2 (a)'!$S13</f>
        <v>22.4</v>
      </c>
      <c r="D7" s="12">
        <f>'[12]Dia 3 (a)'!$S13</f>
        <v>22.9</v>
      </c>
      <c r="E7" s="12">
        <f>'[12]Dia 4 (a)'!$S13</f>
        <v>22.8</v>
      </c>
      <c r="F7" s="12">
        <f>'[12]Dia 5 (a)'!$S13</f>
        <v>23.1</v>
      </c>
      <c r="G7" s="12">
        <f>'[12]Dia 6 (a)'!$S13</f>
        <v>22.8</v>
      </c>
      <c r="H7" s="12">
        <f>'[12]Dia 7 (a)'!$S13</f>
        <v>22.4</v>
      </c>
      <c r="I7" s="12">
        <f>'[12]Dia 8 (a)'!$S13</f>
        <v>22.8</v>
      </c>
      <c r="J7" s="12">
        <f>'[12]Dia 9 (a)'!$S13</f>
        <v>23.4</v>
      </c>
      <c r="K7" s="12">
        <f>'[12]Dia 10 (a)'!$S13</f>
        <v>24.2</v>
      </c>
      <c r="L7" s="12">
        <f>'[12]Dia 11 (a)'!$S13</f>
        <v>25.2</v>
      </c>
      <c r="M7" s="12">
        <f>'[12]Dia 12 (a)'!$S13</f>
        <v>26</v>
      </c>
      <c r="N7" s="12">
        <f>'[12]Dia 13 (a)'!$S13</f>
        <v>24.6</v>
      </c>
      <c r="O7" s="12">
        <f>'[12]Dia 14 (a)'!$S13</f>
        <v>22.7</v>
      </c>
      <c r="P7" s="12">
        <f>'[12]Dia 15 (a)'!$S13</f>
        <v>22.5</v>
      </c>
      <c r="Q7" s="12">
        <f>'[12]Dia 16 (a)'!$S13</f>
        <v>23.4</v>
      </c>
      <c r="R7" s="12">
        <f>'[12]Dia 17 (a)'!$S13</f>
        <v>22.8</v>
      </c>
      <c r="S7" s="12">
        <f>'[12]Dia 18 (a)'!$S13</f>
        <v>23</v>
      </c>
      <c r="T7" s="12">
        <f>'[12]Dia 19 (a)'!$S13</f>
        <v>22.8</v>
      </c>
      <c r="U7" s="12">
        <f>'[12]Dia 20 (a)'!$S13</f>
        <v>21.9</v>
      </c>
      <c r="V7" s="12">
        <f>'[12]Dia 21 (a)'!$S13</f>
        <v>21.6</v>
      </c>
      <c r="W7" s="12">
        <f>'[12]Dia 22 (a)'!$S13</f>
        <v>21.4</v>
      </c>
      <c r="X7" s="12">
        <f>'[12]Dia 23 (a)'!$S13</f>
        <v>21.1</v>
      </c>
      <c r="Y7" s="12">
        <f>'[12]Dia 24 (a)'!$S13</f>
        <v>21.8</v>
      </c>
      <c r="Z7" s="12">
        <f>'[12]Dia 25 (a)'!$S13</f>
        <v>22.9</v>
      </c>
      <c r="AA7" s="12">
        <f>'[12]Dia 26 (a)'!$S13</f>
        <v>23.8</v>
      </c>
      <c r="AB7" s="12">
        <f>'[12]Dia 27 (a)'!$S13</f>
        <v>23.6</v>
      </c>
      <c r="AC7" s="12">
        <f>'[12]Dia 28 (a)'!$S13</f>
        <v>23.8</v>
      </c>
      <c r="AD7" s="12">
        <f>'[12]Dia 29 (a)'!$S13</f>
        <v>23.2</v>
      </c>
      <c r="AE7" s="12">
        <f>'[12]Dia 30 (a)'!$S13</f>
        <v>23.2</v>
      </c>
      <c r="AF7" s="13">
        <f>'[12]Dia 31 (a)'!$S13</f>
        <v>23</v>
      </c>
      <c r="AG7" s="14"/>
    </row>
    <row r="8" spans="1:33" ht="20.100000000000001" customHeight="1">
      <c r="A8" s="11">
        <v>11</v>
      </c>
      <c r="B8" s="12">
        <f>'[12]Dia 1 (a)'!$S14</f>
        <v>22</v>
      </c>
      <c r="C8" s="12">
        <f>'[12]Dia 2 (a)'!$S14</f>
        <v>22.4</v>
      </c>
      <c r="D8" s="12">
        <f>'[12]Dia 3 (a)'!$S14</f>
        <v>22.9</v>
      </c>
      <c r="E8" s="12">
        <f>'[12]Dia 4 (a)'!$S14</f>
        <v>22.9</v>
      </c>
      <c r="F8" s="12">
        <f>'[12]Dia 5 (a)'!$S14</f>
        <v>23</v>
      </c>
      <c r="G8" s="12">
        <f>'[12]Dia 6 (a)'!$S14</f>
        <v>22.9</v>
      </c>
      <c r="H8" s="12">
        <f>'[12]Dia 7 (a)'!$S14</f>
        <v>22.4</v>
      </c>
      <c r="I8" s="12">
        <f>'[12]Dia 8 (a)'!$S14</f>
        <v>22.8</v>
      </c>
      <c r="J8" s="12">
        <f>'[12]Dia 9 (a)'!$S14</f>
        <v>23.3</v>
      </c>
      <c r="K8" s="12">
        <f>'[12]Dia 10 (a)'!$S14</f>
        <v>24.2</v>
      </c>
      <c r="L8" s="12">
        <f>'[12]Dia 11 (a)'!$S14</f>
        <v>25.1</v>
      </c>
      <c r="M8" s="12">
        <f>'[12]Dia 12 (a)'!$S14</f>
        <v>25.9</v>
      </c>
      <c r="N8" s="12">
        <f>'[12]Dia 13 (a)'!$S14</f>
        <v>24.5</v>
      </c>
      <c r="O8" s="12">
        <f>'[12]Dia 14 (a)'!$S14</f>
        <v>22.8</v>
      </c>
      <c r="P8" s="12">
        <f>'[12]Dia 15 (a)'!$S14</f>
        <v>22.5</v>
      </c>
      <c r="Q8" s="12">
        <f>'[12]Dia 16 (a)'!$S14</f>
        <v>23.4</v>
      </c>
      <c r="R8" s="12">
        <f>'[12]Dia 17 (a)'!$S14</f>
        <v>22.7</v>
      </c>
      <c r="S8" s="12">
        <f>'[12]Dia 18 (a)'!$S14</f>
        <v>22.8</v>
      </c>
      <c r="T8" s="12">
        <f>'[12]Dia 19 (a)'!$S14</f>
        <v>22.7</v>
      </c>
      <c r="U8" s="12">
        <f>'[12]Dia 20 (a)'!$S14</f>
        <v>21.9</v>
      </c>
      <c r="V8" s="12">
        <f>'[12]Dia 21 (a)'!$S14</f>
        <v>21.7</v>
      </c>
      <c r="W8" s="12">
        <f>'[12]Dia 22 (a)'!$S14</f>
        <v>21.4</v>
      </c>
      <c r="X8" s="12">
        <f>'[12]Dia 23 (a)'!$S14</f>
        <v>21</v>
      </c>
      <c r="Y8" s="12">
        <f>'[12]Dia 24 (a)'!$S14</f>
        <v>21.9</v>
      </c>
      <c r="Z8" s="12">
        <f>'[12]Dia 25 (a)'!$S14</f>
        <v>22.9</v>
      </c>
      <c r="AA8" s="12">
        <f>'[12]Dia 26 (a)'!$S14</f>
        <v>23.8</v>
      </c>
      <c r="AB8" s="12">
        <f>'[12]Dia 27 (a)'!$S14</f>
        <v>23.6</v>
      </c>
      <c r="AC8" s="12">
        <f>'[12]Dia 28 (a)'!$S14</f>
        <v>23.8</v>
      </c>
      <c r="AD8" s="12">
        <f>'[12]Dia 29 (a)'!$S14</f>
        <v>23.1</v>
      </c>
      <c r="AE8" s="12">
        <f>'[12]Dia 30 (a)'!$S14</f>
        <v>23.1</v>
      </c>
      <c r="AF8" s="13">
        <f>'[12]Dia 31 (a)'!$S14</f>
        <v>23</v>
      </c>
      <c r="AG8" s="14"/>
    </row>
    <row r="9" spans="1:33" ht="20.100000000000001" customHeight="1">
      <c r="A9" s="11">
        <v>12</v>
      </c>
      <c r="B9" s="12">
        <f>'[12]Dia 1 (a)'!$S15</f>
        <v>22</v>
      </c>
      <c r="C9" s="12">
        <f>'[12]Dia 2 (a)'!$S15</f>
        <v>22.4</v>
      </c>
      <c r="D9" s="12">
        <f>'[12]Dia 3 (a)'!$S15</f>
        <v>23</v>
      </c>
      <c r="E9" s="12">
        <f>'[12]Dia 4 (a)'!$S15</f>
        <v>23</v>
      </c>
      <c r="F9" s="12">
        <f>'[12]Dia 5 (a)'!$S15</f>
        <v>23.1</v>
      </c>
      <c r="G9" s="12">
        <f>'[12]Dia 6 (a)'!$S15</f>
        <v>22.8</v>
      </c>
      <c r="H9" s="12">
        <f>'[12]Dia 7 (a)'!$S15</f>
        <v>22.4</v>
      </c>
      <c r="I9" s="12">
        <f>'[12]Dia 8 (a)'!$S15</f>
        <v>22.7</v>
      </c>
      <c r="J9" s="12">
        <f>'[12]Dia 9 (a)'!$S15</f>
        <v>23.4</v>
      </c>
      <c r="K9" s="12">
        <f>'[12]Dia 10 (a)'!$S15</f>
        <v>24.2</v>
      </c>
      <c r="L9" s="12">
        <f>'[12]Dia 11 (a)'!$S15</f>
        <v>25.1</v>
      </c>
      <c r="M9" s="12">
        <f>'[12]Dia 12 (a)'!$S15</f>
        <v>25.9</v>
      </c>
      <c r="N9" s="12">
        <f>'[12]Dia 13 (a)'!$S15</f>
        <v>24.4</v>
      </c>
      <c r="O9" s="12">
        <f>'[12]Dia 14 (a)'!$S15</f>
        <v>22.8</v>
      </c>
      <c r="P9" s="12">
        <f>'[12]Dia 15 (a)'!$S15</f>
        <v>22.5</v>
      </c>
      <c r="Q9" s="12">
        <f>'[12]Dia 16 (a)'!$S15</f>
        <v>23.4</v>
      </c>
      <c r="R9" s="12">
        <f>'[12]Dia 17 (a)'!$S15</f>
        <v>22.6</v>
      </c>
      <c r="S9" s="12">
        <f>'[12]Dia 18 (a)'!$S15</f>
        <v>22.8</v>
      </c>
      <c r="T9" s="12">
        <f>'[12]Dia 19 (a)'!$S15</f>
        <v>22.7</v>
      </c>
      <c r="U9" s="12">
        <f>'[12]Dia 20 (a)'!$S15</f>
        <v>21.9</v>
      </c>
      <c r="V9" s="12">
        <f>'[12]Dia 21 (a)'!$S15</f>
        <v>21.6</v>
      </c>
      <c r="W9" s="12">
        <f>'[12]Dia 22 (a)'!$S15</f>
        <v>21.4</v>
      </c>
      <c r="X9" s="12">
        <f>'[12]Dia 23 (a)'!$S15</f>
        <v>21.1</v>
      </c>
      <c r="Y9" s="12">
        <f>'[12]Dia 24 (a)'!$S15</f>
        <v>21.9</v>
      </c>
      <c r="Z9" s="12">
        <f>'[12]Dia 25 (a)'!$S15</f>
        <v>23</v>
      </c>
      <c r="AA9" s="12">
        <f>'[12]Dia 26 (a)'!$S15</f>
        <v>23.8</v>
      </c>
      <c r="AB9" s="12">
        <f>'[12]Dia 27 (a)'!$S15</f>
        <v>23.6</v>
      </c>
      <c r="AC9" s="12">
        <f>'[12]Dia 28 (a)'!$S15</f>
        <v>23.8</v>
      </c>
      <c r="AD9" s="12">
        <f>'[12]Dia 29 (a)'!$S15</f>
        <v>23.2</v>
      </c>
      <c r="AE9" s="12">
        <f>'[12]Dia 30 (a)'!$S15</f>
        <v>23.2</v>
      </c>
      <c r="AF9" s="13">
        <f>'[12]Dia 31 (a)'!$S15</f>
        <v>23</v>
      </c>
      <c r="AG9" s="14"/>
    </row>
    <row r="10" spans="1:33" ht="20.100000000000001" customHeight="1">
      <c r="A10" s="11">
        <v>13</v>
      </c>
      <c r="B10" s="12">
        <f>'[12]Dia 1 (a)'!$S16</f>
        <v>22</v>
      </c>
      <c r="C10" s="12">
        <f>'[12]Dia 2 (a)'!$S16</f>
        <v>22.5</v>
      </c>
      <c r="D10" s="12">
        <f>'[12]Dia 3 (a)'!$S16</f>
        <v>23</v>
      </c>
      <c r="E10" s="12">
        <f>'[12]Dia 4 (a)'!$S16</f>
        <v>23</v>
      </c>
      <c r="F10" s="12">
        <f>'[12]Dia 5 (a)'!$S16</f>
        <v>23.1</v>
      </c>
      <c r="G10" s="12">
        <f>'[12]Dia 6 (a)'!$S16</f>
        <v>22.8</v>
      </c>
      <c r="H10" s="12">
        <f>'[12]Dia 7 (a)'!$S16</f>
        <v>22.6</v>
      </c>
      <c r="I10" s="12">
        <f>'[12]Dia 8 (a)'!$S16</f>
        <v>22.8</v>
      </c>
      <c r="J10" s="12">
        <f>'[12]Dia 9 (a)'!$S16</f>
        <v>23.5</v>
      </c>
      <c r="K10" s="12">
        <f>'[12]Dia 10 (a)'!$S16</f>
        <v>24.4</v>
      </c>
      <c r="L10" s="12">
        <f>'[12]Dia 11 (a)'!$S16</f>
        <v>25.3</v>
      </c>
      <c r="M10" s="12">
        <f>'[12]Dia 12 (a)'!$S16</f>
        <v>25.8</v>
      </c>
      <c r="N10" s="12">
        <f>'[12]Dia 13 (a)'!$S16</f>
        <v>24.4</v>
      </c>
      <c r="O10" s="12">
        <f>'[12]Dia 14 (a)'!$S16</f>
        <v>22.7</v>
      </c>
      <c r="P10" s="12">
        <f>'[12]Dia 15 (a)'!$S16</f>
        <v>22.6</v>
      </c>
      <c r="Q10" s="12">
        <f>'[12]Dia 16 (a)'!$S16</f>
        <v>23.2</v>
      </c>
      <c r="R10" s="12">
        <f>'[12]Dia 17 (a)'!$S16</f>
        <v>22.8</v>
      </c>
      <c r="S10" s="12">
        <f>'[12]Dia 18 (a)'!$S16</f>
        <v>23</v>
      </c>
      <c r="T10" s="12">
        <f>'[12]Dia 19 (a)'!$S16</f>
        <v>22.8</v>
      </c>
      <c r="U10" s="12">
        <f>'[12]Dia 20 (a)'!$S16</f>
        <v>21.9</v>
      </c>
      <c r="V10" s="12">
        <f>'[12]Dia 21 (a)'!$S16</f>
        <v>21.6</v>
      </c>
      <c r="W10" s="12">
        <f>'[12]Dia 22 (a)'!$S16</f>
        <v>21.4</v>
      </c>
      <c r="X10" s="12">
        <f>'[12]Dia 23 (a)'!$S16</f>
        <v>21.2</v>
      </c>
      <c r="Y10" s="12">
        <f>'[12]Dia 24 (a)'!$S16</f>
        <v>22</v>
      </c>
      <c r="Z10" s="12">
        <f>'[12]Dia 25 (a)'!$S16</f>
        <v>23.1</v>
      </c>
      <c r="AA10" s="12">
        <f>'[12]Dia 26 (a)'!$S16</f>
        <v>23.9</v>
      </c>
      <c r="AB10" s="12">
        <f>'[12]Dia 27 (a)'!$S16</f>
        <v>23.5</v>
      </c>
      <c r="AC10" s="12">
        <f>'[12]Dia 28 (a)'!$S16</f>
        <v>23.7</v>
      </c>
      <c r="AD10" s="12">
        <f>'[12]Dia 29 (a)'!$S16</f>
        <v>23.2</v>
      </c>
      <c r="AE10" s="12">
        <f>'[12]Dia 30 (a)'!$S16</f>
        <v>23.2</v>
      </c>
      <c r="AF10" s="13">
        <f>'[12]Dia 31 (a)'!$S16</f>
        <v>23</v>
      </c>
      <c r="AG10" s="14"/>
    </row>
    <row r="11" spans="1:33" ht="20.100000000000001" customHeight="1">
      <c r="A11" s="11">
        <v>14</v>
      </c>
      <c r="B11" s="12">
        <f>'[12]Dia 1 (a)'!$S17</f>
        <v>22</v>
      </c>
      <c r="C11" s="12">
        <f>'[12]Dia 2 (a)'!$S17</f>
        <v>22.6</v>
      </c>
      <c r="D11" s="12">
        <f>'[12]Dia 3 (a)'!$S17</f>
        <v>23</v>
      </c>
      <c r="E11" s="12">
        <f>'[12]Dia 4 (a)'!$S17</f>
        <v>23</v>
      </c>
      <c r="F11" s="12">
        <f>'[12]Dia 5 (a)'!$S17</f>
        <v>23.1</v>
      </c>
      <c r="G11" s="12">
        <f>'[12]Dia 6 (a)'!$S17</f>
        <v>22.8</v>
      </c>
      <c r="H11" s="12">
        <f>'[12]Dia 7 (a)'!$S17</f>
        <v>22.6</v>
      </c>
      <c r="I11" s="12">
        <f>'[12]Dia 8 (a)'!$S17</f>
        <v>23</v>
      </c>
      <c r="J11" s="12">
        <f>'[12]Dia 9 (a)'!$S17</f>
        <v>23.7</v>
      </c>
      <c r="K11" s="12">
        <f>'[12]Dia 10 (a)'!$S17</f>
        <v>24.4</v>
      </c>
      <c r="L11" s="12">
        <f>'[12]Dia 11 (a)'!$S17</f>
        <v>25.4</v>
      </c>
      <c r="M11" s="12">
        <f>'[12]Dia 12 (a)'!$S17</f>
        <v>25.8</v>
      </c>
      <c r="N11" s="12">
        <f>'[12]Dia 13 (a)'!$S17</f>
        <v>24.2</v>
      </c>
      <c r="O11" s="12">
        <f>'[12]Dia 14 (a)'!$S17</f>
        <v>22.7</v>
      </c>
      <c r="P11" s="12">
        <f>'[12]Dia 15 (a)'!$S17</f>
        <v>22.7</v>
      </c>
      <c r="Q11" s="12">
        <f>'[12]Dia 16 (a)'!$S17</f>
        <v>23.2</v>
      </c>
      <c r="R11" s="12">
        <f>'[12]Dia 17 (a)'!$S17</f>
        <v>22.8</v>
      </c>
      <c r="S11" s="12">
        <f>'[12]Dia 18 (a)'!$S17</f>
        <v>23</v>
      </c>
      <c r="T11" s="12">
        <f>'[12]Dia 19 (a)'!$S17</f>
        <v>22.7</v>
      </c>
      <c r="U11" s="12">
        <f>'[12]Dia 20 (a)'!$S17</f>
        <v>22</v>
      </c>
      <c r="V11" s="12">
        <f>'[12]Dia 21 (a)'!$S17</f>
        <v>21.7</v>
      </c>
      <c r="W11" s="12">
        <f>'[12]Dia 22 (a)'!$S17</f>
        <v>21.3</v>
      </c>
      <c r="X11" s="12">
        <f>'[12]Dia 23 (a)'!$S17</f>
        <v>21.3</v>
      </c>
      <c r="Y11" s="12">
        <f>'[12]Dia 24 (a)'!$S17</f>
        <v>22.2</v>
      </c>
      <c r="Z11" s="12">
        <f>'[12]Dia 25 (a)'!$S17</f>
        <v>23.2</v>
      </c>
      <c r="AA11" s="12">
        <f>'[12]Dia 26 (a)'!$S17</f>
        <v>23.8</v>
      </c>
      <c r="AB11" s="12">
        <f>'[12]Dia 27 (a)'!$S17</f>
        <v>23.8</v>
      </c>
      <c r="AC11" s="12">
        <f>'[12]Dia 28 (a)'!$S17</f>
        <v>23.6</v>
      </c>
      <c r="AD11" s="12">
        <f>'[12]Dia 29 (a)'!$S17</f>
        <v>23.2</v>
      </c>
      <c r="AE11" s="12">
        <f>'[12]Dia 30 (a)'!$S17</f>
        <v>23.2</v>
      </c>
      <c r="AF11" s="13">
        <f>'[12]Dia 31 (a)'!$S17</f>
        <v>23</v>
      </c>
      <c r="AG11" s="14"/>
    </row>
    <row r="12" spans="1:33" ht="20.100000000000001" customHeight="1">
      <c r="A12" s="11">
        <v>15</v>
      </c>
      <c r="B12" s="12">
        <f>'[12]Dia 1 (a)'!$S18</f>
        <v>22</v>
      </c>
      <c r="C12" s="12">
        <f>'[12]Dia 2 (a)'!$S18</f>
        <v>22.7</v>
      </c>
      <c r="D12" s="12">
        <f>'[12]Dia 3 (a)'!$S18</f>
        <v>23.1</v>
      </c>
      <c r="E12" s="12">
        <f>'[12]Dia 4 (a)'!$S18</f>
        <v>23.1</v>
      </c>
      <c r="F12" s="12">
        <f>'[12]Dia 5 (a)'!$S18</f>
        <v>23</v>
      </c>
      <c r="G12" s="12">
        <f>'[12]Dia 6 (a)'!$S18</f>
        <v>22.7</v>
      </c>
      <c r="H12" s="12">
        <f>'[12]Dia 7 (a)'!$S18</f>
        <v>22.6</v>
      </c>
      <c r="I12" s="12">
        <f>'[12]Dia 8 (a)'!$S18</f>
        <v>23.3</v>
      </c>
      <c r="J12" s="12">
        <f>'[12]Dia 9 (a)'!$S18</f>
        <v>23.9</v>
      </c>
      <c r="K12" s="12">
        <f>'[12]Dia 10 (a)'!$S18</f>
        <v>24.7</v>
      </c>
      <c r="L12" s="12">
        <f>'[12]Dia 11 (a)'!$S18</f>
        <v>25.6</v>
      </c>
      <c r="M12" s="12">
        <f>'[12]Dia 12 (a)'!$S18</f>
        <v>25.8</v>
      </c>
      <c r="N12" s="12">
        <f>'[12]Dia 13 (a)'!$S18</f>
        <v>24.2</v>
      </c>
      <c r="O12" s="12">
        <f>'[12]Dia 14 (a)'!$S18</f>
        <v>23</v>
      </c>
      <c r="P12" s="12">
        <f>'[12]Dia 15 (a)'!$S18</f>
        <v>22.9</v>
      </c>
      <c r="Q12" s="12">
        <f>'[12]Dia 16 (a)'!$S18</f>
        <v>23</v>
      </c>
      <c r="R12" s="12">
        <f>'[12]Dia 17 (a)'!$S18</f>
        <v>23</v>
      </c>
      <c r="S12" s="12">
        <f>'[12]Dia 18 (a)'!$S18</f>
        <v>23</v>
      </c>
      <c r="T12" s="12">
        <f>'[12]Dia 19 (a)'!$S18</f>
        <v>22.7</v>
      </c>
      <c r="U12" s="12">
        <f>'[12]Dia 20 (a)'!$S18</f>
        <v>22</v>
      </c>
      <c r="V12" s="12">
        <f>'[12]Dia 21 (a)'!$S18</f>
        <v>21.8</v>
      </c>
      <c r="W12" s="12">
        <f>'[12]Dia 22 (a)'!$S18</f>
        <v>21.2</v>
      </c>
      <c r="X12" s="12">
        <f>'[12]Dia 23 (a)'!$S18</f>
        <v>21.5</v>
      </c>
      <c r="Y12" s="12">
        <f>'[12]Dia 24 (a)'!$S18</f>
        <v>22.4</v>
      </c>
      <c r="Z12" s="12">
        <f>'[12]Dia 25 (a)'!$S18</f>
        <v>23.4</v>
      </c>
      <c r="AA12" s="12">
        <f>'[12]Dia 26 (a)'!$S18</f>
        <v>23.9</v>
      </c>
      <c r="AB12" s="12">
        <f>'[12]Dia 27 (a)'!$S18</f>
        <v>23.8</v>
      </c>
      <c r="AC12" s="12">
        <f>'[12]Dia 28 (a)'!$S18</f>
        <v>23.8</v>
      </c>
      <c r="AD12" s="12">
        <f>'[12]Dia 29 (a)'!$S18</f>
        <v>23.3</v>
      </c>
      <c r="AE12" s="12">
        <f>'[12]Dia 30 (a)'!$S18</f>
        <v>23.2</v>
      </c>
      <c r="AF12" s="13">
        <f>'[12]Dia 31 (a)'!$S18</f>
        <v>23</v>
      </c>
      <c r="AG12" s="14"/>
    </row>
    <row r="13" spans="1:33" ht="20.100000000000001" customHeight="1">
      <c r="A13" s="11">
        <v>16</v>
      </c>
      <c r="B13" s="12">
        <f>'[12]Dia 1 (a)'!$S19</f>
        <v>22.3</v>
      </c>
      <c r="C13" s="12">
        <f>'[12]Dia 2 (a)'!$S19</f>
        <v>22.9</v>
      </c>
      <c r="D13" s="12">
        <f>'[12]Dia 3 (a)'!$S19</f>
        <v>23</v>
      </c>
      <c r="E13" s="12">
        <f>'[12]Dia 4 (a)'!$S19</f>
        <v>23.2</v>
      </c>
      <c r="F13" s="12">
        <f>'[12]Dia 5 (a)'!$S19</f>
        <v>23.1</v>
      </c>
      <c r="G13" s="12">
        <f>'[12]Dia 6 (a)'!$S19</f>
        <v>22.8</v>
      </c>
      <c r="H13" s="12">
        <f>'[12]Dia 7 (a)'!$S19</f>
        <v>22.8</v>
      </c>
      <c r="I13" s="12">
        <f>'[12]Dia 8 (a)'!$S19</f>
        <v>23.4</v>
      </c>
      <c r="J13" s="12">
        <f>'[12]Dia 9 (a)'!$S19</f>
        <v>24</v>
      </c>
      <c r="K13" s="12">
        <f>'[12]Dia 10 (a)'!$S19</f>
        <v>25.1</v>
      </c>
      <c r="L13" s="12">
        <f>'[12]Dia 11 (a)'!$S19</f>
        <v>25.7</v>
      </c>
      <c r="M13" s="12">
        <f>'[12]Dia 12 (a)'!$S19</f>
        <v>25.6</v>
      </c>
      <c r="N13" s="12">
        <f>'[12]Dia 13 (a)'!$S19</f>
        <v>23.8</v>
      </c>
      <c r="O13" s="12">
        <f>'[12]Dia 14 (a)'!$S19</f>
        <v>23</v>
      </c>
      <c r="P13" s="12">
        <f>'[12]Dia 15 (a)'!$S19</f>
        <v>23.1</v>
      </c>
      <c r="Q13" s="12">
        <f>'[12]Dia 16 (a)'!$S19</f>
        <v>23.5</v>
      </c>
      <c r="R13" s="12">
        <f>'[12]Dia 17 (a)'!$S19</f>
        <v>23.2</v>
      </c>
      <c r="S13" s="12">
        <f>'[12]Dia 18 (a)'!$S19</f>
        <v>23.3</v>
      </c>
      <c r="T13" s="12">
        <f>'[12]Dia 19 (a)'!$S19</f>
        <v>22.7</v>
      </c>
      <c r="U13" s="12">
        <f>'[12]Dia 20 (a)'!$S19</f>
        <v>22</v>
      </c>
      <c r="V13" s="12">
        <f>'[12]Dia 21 (a)'!$S19</f>
        <v>21.9</v>
      </c>
      <c r="W13" s="12">
        <f>'[12]Dia 22 (a)'!$S19</f>
        <v>21.6</v>
      </c>
      <c r="X13" s="12">
        <f>'[12]Dia 23 (a)'!$S19</f>
        <v>21.6</v>
      </c>
      <c r="Y13" s="12">
        <f>'[12]Dia 24 (a)'!$S19</f>
        <v>22.8</v>
      </c>
      <c r="Z13" s="12">
        <f>'[12]Dia 25 (a)'!$S19</f>
        <v>23.6</v>
      </c>
      <c r="AA13" s="12">
        <f>'[12]Dia 26 (a)'!$S19</f>
        <v>23.6</v>
      </c>
      <c r="AB13" s="12">
        <f>'[12]Dia 27 (a)'!$S19</f>
        <v>23.6</v>
      </c>
      <c r="AC13" s="12">
        <f>'[12]Dia 28 (a)'!$S19</f>
        <v>23.9</v>
      </c>
      <c r="AD13" s="12">
        <f>'[12]Dia 29 (a)'!$S19</f>
        <v>23.5</v>
      </c>
      <c r="AE13" s="12">
        <f>'[12]Dia 30 (a)'!$S19</f>
        <v>23.5</v>
      </c>
      <c r="AF13" s="13">
        <f>'[12]Dia 31 (a)'!$S19</f>
        <v>23.6</v>
      </c>
      <c r="AG13" s="14"/>
    </row>
    <row r="14" spans="1:33" ht="20.100000000000001" customHeight="1">
      <c r="A14" s="11">
        <v>17</v>
      </c>
      <c r="B14" s="12">
        <f>'[12]Dia 1 (a)'!$S20</f>
        <v>22.4</v>
      </c>
      <c r="C14" s="12">
        <f>'[12]Dia 2 (a)'!$S20</f>
        <v>23</v>
      </c>
      <c r="D14" s="12">
        <f>'[12]Dia 3 (a)'!$S20</f>
        <v>23</v>
      </c>
      <c r="E14" s="12">
        <f>'[12]Dia 4 (a)'!$S20</f>
        <v>23.4</v>
      </c>
      <c r="F14" s="12">
        <f>'[12]Dia 5 (a)'!$S20</f>
        <v>23.1</v>
      </c>
      <c r="G14" s="12">
        <f>'[12]Dia 6 (a)'!$S20</f>
        <v>22.8</v>
      </c>
      <c r="H14" s="12">
        <f>'[12]Dia 7 (a)'!$S20</f>
        <v>23</v>
      </c>
      <c r="I14" s="12">
        <f>'[12]Dia 8 (a)'!$S20</f>
        <v>23.7</v>
      </c>
      <c r="J14" s="12">
        <f>'[12]Dia 9 (a)'!$S20</f>
        <v>24.4</v>
      </c>
      <c r="K14" s="12">
        <f>'[12]Dia 10 (a)'!$S20</f>
        <v>25.4</v>
      </c>
      <c r="L14" s="12">
        <f>'[12]Dia 11 (a)'!$S20</f>
        <v>26.1</v>
      </c>
      <c r="M14" s="12">
        <f>'[12]Dia 12 (a)'!$S20</f>
        <v>25.6</v>
      </c>
      <c r="N14" s="12">
        <f>'[12]Dia 13 (a)'!$S20</f>
        <v>24</v>
      </c>
      <c r="O14" s="12">
        <f>'[12]Dia 14 (a)'!$S20</f>
        <v>22.8</v>
      </c>
      <c r="P14" s="12">
        <f>'[12]Dia 15 (a)'!$S20</f>
        <v>23.3</v>
      </c>
      <c r="Q14" s="12">
        <f>'[12]Dia 16 (a)'!$S20</f>
        <v>23.8</v>
      </c>
      <c r="R14" s="12">
        <f>'[12]Dia 17 (a)'!$S20</f>
        <v>23.4</v>
      </c>
      <c r="S14" s="12">
        <f>'[12]Dia 18 (a)'!$S20</f>
        <v>23.2</v>
      </c>
      <c r="T14" s="12">
        <f>'[12]Dia 19 (a)'!$S20</f>
        <v>22.7</v>
      </c>
      <c r="U14" s="12">
        <f>'[12]Dia 20 (a)'!$S20</f>
        <v>22.1</v>
      </c>
      <c r="V14" s="12">
        <f>'[12]Dia 21 (a)'!$S20</f>
        <v>21.9</v>
      </c>
      <c r="W14" s="12">
        <f>'[12]Dia 22 (a)'!$S20</f>
        <v>21.6</v>
      </c>
      <c r="X14" s="12">
        <f>'[12]Dia 23 (a)'!$S20</f>
        <v>21.8</v>
      </c>
      <c r="Y14" s="12">
        <f>'[12]Dia 24 (a)'!$S20</f>
        <v>22.9</v>
      </c>
      <c r="Z14" s="12">
        <f>'[12]Dia 25 (a)'!$S20</f>
        <v>24</v>
      </c>
      <c r="AA14" s="12">
        <f>'[12]Dia 26 (a)'!$S20</f>
        <v>23.6</v>
      </c>
      <c r="AB14" s="12">
        <f>'[12]Dia 27 (a)'!$S20</f>
        <v>24</v>
      </c>
      <c r="AC14" s="12">
        <f>'[12]Dia 28 (a)'!$S20</f>
        <v>24</v>
      </c>
      <c r="AD14" s="12">
        <f>'[12]Dia 29 (a)'!$S20</f>
        <v>23.5</v>
      </c>
      <c r="AE14" s="12">
        <f>'[12]Dia 30 (a)'!$S20</f>
        <v>23.6</v>
      </c>
      <c r="AF14" s="13">
        <f>'[12]Dia 31 (a)'!$S20</f>
        <v>23.7</v>
      </c>
      <c r="AG14" s="14"/>
    </row>
    <row r="15" spans="1:33" ht="20.100000000000001" customHeight="1">
      <c r="A15" s="11">
        <v>18</v>
      </c>
      <c r="B15" s="12">
        <f>'[12]Dia 1 (a)'!$S21</f>
        <v>22.5</v>
      </c>
      <c r="C15" s="12">
        <f>'[12]Dia 2 (a)'!$S21</f>
        <v>23.1</v>
      </c>
      <c r="D15" s="12">
        <f>'[12]Dia 3 (a)'!$S21</f>
        <v>23</v>
      </c>
      <c r="E15" s="12">
        <f>'[12]Dia 4 (a)'!$S21</f>
        <v>23.6</v>
      </c>
      <c r="F15" s="12">
        <f>'[12]Dia 5 (a)'!$S21</f>
        <v>23.2</v>
      </c>
      <c r="G15" s="12">
        <f>'[12]Dia 6 (a)'!$S21</f>
        <v>22.8</v>
      </c>
      <c r="H15" s="12">
        <f>'[12]Dia 7 (a)'!$S21</f>
        <v>23.1</v>
      </c>
      <c r="I15" s="12">
        <f>'[12]Dia 8 (a)'!$S21</f>
        <v>24</v>
      </c>
      <c r="J15" s="12">
        <f>'[12]Dia 9 (a)'!$S21</f>
        <v>24.6</v>
      </c>
      <c r="K15" s="12">
        <f>'[12]Dia 10 (a)'!$S21</f>
        <v>25.5</v>
      </c>
      <c r="L15" s="12">
        <f>'[12]Dia 11 (a)'!$S21</f>
        <v>26.3</v>
      </c>
      <c r="M15" s="12">
        <f>'[12]Dia 12 (a)'!$S21</f>
        <v>25.4</v>
      </c>
      <c r="N15" s="12">
        <f>'[12]Dia 13 (a)'!$S21</f>
        <v>24.2</v>
      </c>
      <c r="O15" s="12">
        <f>'[12]Dia 14 (a)'!$S21</f>
        <v>23</v>
      </c>
      <c r="P15" s="12">
        <f>'[12]Dia 15 (a)'!$S21</f>
        <v>23.4</v>
      </c>
      <c r="Q15" s="12">
        <f>'[12]Dia 16 (a)'!$S21</f>
        <v>23.9</v>
      </c>
      <c r="R15" s="12">
        <f>'[12]Dia 17 (a)'!$S21</f>
        <v>23.6</v>
      </c>
      <c r="S15" s="12">
        <f>'[12]Dia 18 (a)'!$S21</f>
        <v>23.4</v>
      </c>
      <c r="T15" s="12">
        <f>'[12]Dia 19 (a)'!$S21</f>
        <v>22.7</v>
      </c>
      <c r="U15" s="12">
        <f>'[12]Dia 20 (a)'!$S21</f>
        <v>22.1</v>
      </c>
      <c r="V15" s="12">
        <f>'[12]Dia 21 (a)'!$S21</f>
        <v>22</v>
      </c>
      <c r="W15" s="12">
        <f>'[12]Dia 22 (a)'!$S21</f>
        <v>21.6</v>
      </c>
      <c r="X15" s="12">
        <f>'[12]Dia 23 (a)'!$S21</f>
        <v>22</v>
      </c>
      <c r="Y15" s="12">
        <f>'[12]Dia 24 (a)'!$S21</f>
        <v>23.2</v>
      </c>
      <c r="Z15" s="12">
        <f>'[12]Dia 25 (a)'!$S21</f>
        <v>24.2</v>
      </c>
      <c r="AA15" s="12">
        <f>'[12]Dia 26 (a)'!$S21</f>
        <v>23.6</v>
      </c>
      <c r="AB15" s="12">
        <f>'[12]Dia 27 (a)'!$S21</f>
        <v>24.4</v>
      </c>
      <c r="AC15" s="12">
        <f>'[12]Dia 28 (a)'!$S21</f>
        <v>24.1</v>
      </c>
      <c r="AD15" s="12">
        <f>'[12]Dia 29 (a)'!$S21</f>
        <v>23.5</v>
      </c>
      <c r="AE15" s="12">
        <f>'[12]Dia 30 (a)'!$S21</f>
        <v>23.6</v>
      </c>
      <c r="AF15" s="13">
        <f>'[12]Dia 31 (a)'!$S21</f>
        <v>23.9</v>
      </c>
      <c r="AG15" s="14"/>
    </row>
    <row r="16" spans="1:33" ht="20.100000000000001" customHeight="1">
      <c r="A16" s="11">
        <v>19</v>
      </c>
      <c r="B16" s="12">
        <f>'[12]Dia 1 (a)'!$S22</f>
        <v>22.7</v>
      </c>
      <c r="C16" s="12">
        <f>'[12]Dia 2 (a)'!$S22</f>
        <v>23.2</v>
      </c>
      <c r="D16" s="12">
        <f>'[12]Dia 3 (a)'!$S22</f>
        <v>23</v>
      </c>
      <c r="E16" s="12">
        <f>'[12]Dia 4 (a)'!$S22</f>
        <v>23.6</v>
      </c>
      <c r="F16" s="12">
        <f>'[12]Dia 5 (a)'!$S22</f>
        <v>23.2</v>
      </c>
      <c r="G16" s="12">
        <f>'[12]Dia 6 (a)'!$S22</f>
        <v>22.9</v>
      </c>
      <c r="H16" s="12">
        <f>'[12]Dia 7 (a)'!$S22</f>
        <v>23.2</v>
      </c>
      <c r="I16" s="12">
        <f>'[12]Dia 8 (a)'!$S22</f>
        <v>24.1</v>
      </c>
      <c r="J16" s="12">
        <f>'[12]Dia 9 (a)'!$S22</f>
        <v>24.8</v>
      </c>
      <c r="K16" s="12">
        <f>'[12]Dia 10 (a)'!$S22</f>
        <v>25.8</v>
      </c>
      <c r="L16" s="12">
        <f>'[12]Dia 11 (a)'!$S22</f>
        <v>26.4</v>
      </c>
      <c r="M16" s="12">
        <f>'[12]Dia 12 (a)'!$S22</f>
        <v>25</v>
      </c>
      <c r="N16" s="12">
        <f>'[12]Dia 13 (a)'!$S22</f>
        <v>24.4</v>
      </c>
      <c r="O16" s="12">
        <f>'[12]Dia 14 (a)'!$S22</f>
        <v>23</v>
      </c>
      <c r="P16" s="12">
        <f>'[12]Dia 15 (a)'!$S22</f>
        <v>23.6</v>
      </c>
      <c r="Q16" s="12">
        <f>'[12]Dia 16 (a)'!$S22</f>
        <v>24</v>
      </c>
      <c r="R16" s="12">
        <f>'[12]Dia 17 (a)'!$S22</f>
        <v>23.6</v>
      </c>
      <c r="S16" s="12">
        <f>'[12]Dia 18 (a)'!$S22</f>
        <v>23.4</v>
      </c>
      <c r="T16" s="12">
        <f>'[12]Dia 19 (a)'!$S22</f>
        <v>22.7</v>
      </c>
      <c r="U16" s="12">
        <f>'[12]Dia 20 (a)'!$S22</f>
        <v>22.1</v>
      </c>
      <c r="V16" s="12">
        <f>'[12]Dia 21 (a)'!$S22</f>
        <v>22</v>
      </c>
      <c r="W16" s="12">
        <f>'[12]Dia 22 (a)'!$S22</f>
        <v>21.8</v>
      </c>
      <c r="X16" s="12">
        <f>'[12]Dia 23 (a)'!$S22</f>
        <v>22</v>
      </c>
      <c r="Y16" s="12">
        <f>'[12]Dia 24 (a)'!$S22</f>
        <v>23.4</v>
      </c>
      <c r="Z16" s="12">
        <f>'[12]Dia 25 (a)'!$S22</f>
        <v>24.4</v>
      </c>
      <c r="AA16" s="12">
        <f>'[12]Dia 26 (a)'!$S22</f>
        <v>23.8</v>
      </c>
      <c r="AB16" s="12">
        <f>'[12]Dia 27 (a)'!$S22</f>
        <v>24.6</v>
      </c>
      <c r="AC16" s="12">
        <f>'[12]Dia 28 (a)'!$S22</f>
        <v>24.1</v>
      </c>
      <c r="AD16" s="12">
        <f>'[12]Dia 29 (a)'!$S22</f>
        <v>23.7</v>
      </c>
      <c r="AE16" s="12">
        <f>'[12]Dia 30 (a)'!$S22</f>
        <v>23.6</v>
      </c>
      <c r="AF16" s="13">
        <f>'[12]Dia 31 (a)'!$S22</f>
        <v>23.9</v>
      </c>
      <c r="AG16" s="14"/>
    </row>
    <row r="17" spans="1:33" ht="20.100000000000001" customHeight="1">
      <c r="A17" s="11">
        <v>20</v>
      </c>
      <c r="B17" s="12">
        <f>'[12]Dia 1 (a)'!$S23</f>
        <v>22.5</v>
      </c>
      <c r="C17" s="12">
        <f>'[12]Dia 2 (a)'!$S23</f>
        <v>23.2</v>
      </c>
      <c r="D17" s="12">
        <f>'[12]Dia 3 (a)'!$S23</f>
        <v>23</v>
      </c>
      <c r="E17" s="12">
        <f>'[12]Dia 4 (a)'!$S23</f>
        <v>23.6</v>
      </c>
      <c r="F17" s="12">
        <f>'[12]Dia 5 (a)'!$S23</f>
        <v>23.3</v>
      </c>
      <c r="G17" s="12">
        <f>'[12]Dia 6 (a)'!$S23</f>
        <v>22.9</v>
      </c>
      <c r="H17" s="12">
        <f>'[12]Dia 7 (a)'!$S23</f>
        <v>23.3</v>
      </c>
      <c r="I17" s="12">
        <f>'[12]Dia 8 (a)'!$S23</f>
        <v>24.3</v>
      </c>
      <c r="J17" s="12">
        <f>'[12]Dia 9 (a)'!$S23</f>
        <v>25</v>
      </c>
      <c r="K17" s="12">
        <f>'[12]Dia 10 (a)'!$S23</f>
        <v>26.1</v>
      </c>
      <c r="L17" s="12">
        <f>'[12]Dia 11 (a)'!$S23</f>
        <v>26.7</v>
      </c>
      <c r="M17" s="12">
        <f>'[12]Dia 12 (a)'!$S23</f>
        <v>25</v>
      </c>
      <c r="N17" s="12">
        <f>'[12]Dia 13 (a)'!$S23</f>
        <v>24.6</v>
      </c>
      <c r="O17" s="12">
        <f>'[12]Dia 14 (a)'!$S23</f>
        <v>23</v>
      </c>
      <c r="P17" s="12">
        <f>'[12]Dia 15 (a)'!$S23</f>
        <v>23.7</v>
      </c>
      <c r="Q17" s="12">
        <f>'[12]Dia 16 (a)'!$S23</f>
        <v>24</v>
      </c>
      <c r="R17" s="12">
        <f>'[12]Dia 17 (a)'!$S23</f>
        <v>23.6</v>
      </c>
      <c r="S17" s="12">
        <f>'[12]Dia 18 (a)'!$S23</f>
        <v>23.5</v>
      </c>
      <c r="T17" s="12">
        <f>'[12]Dia 19 (a)'!$S23</f>
        <v>22.6</v>
      </c>
      <c r="U17" s="12">
        <f>'[12]Dia 20 (a)'!$S23</f>
        <v>22.2</v>
      </c>
      <c r="V17" s="12">
        <f>'[12]Dia 21 (a)'!$S23</f>
        <v>22.1</v>
      </c>
      <c r="W17" s="12">
        <f>'[12]Dia 22 (a)'!$S23</f>
        <v>21.8</v>
      </c>
      <c r="X17" s="12">
        <f>'[12]Dia 23 (a)'!$S23</f>
        <v>22.2</v>
      </c>
      <c r="Y17" s="12">
        <f>'[12]Dia 24 (a)'!$S23</f>
        <v>23.6</v>
      </c>
      <c r="Z17" s="12">
        <f>'[12]Dia 25 (a)'!$S23</f>
        <v>24.6</v>
      </c>
      <c r="AA17" s="12">
        <f>'[12]Dia 26 (a)'!$S23</f>
        <v>24</v>
      </c>
      <c r="AB17" s="12">
        <f>'[12]Dia 27 (a)'!$S23</f>
        <v>24.6</v>
      </c>
      <c r="AC17" s="12">
        <f>'[12]Dia 28 (a)'!$S23</f>
        <v>24.1</v>
      </c>
      <c r="AD17" s="12">
        <f>'[12]Dia 29 (a)'!$S23</f>
        <v>23.9</v>
      </c>
      <c r="AE17" s="12">
        <f>'[12]Dia 30 (a)'!$S23</f>
        <v>23.6</v>
      </c>
      <c r="AF17" s="13">
        <f>'[12]Dia 31 (a)'!$S23</f>
        <v>24</v>
      </c>
      <c r="AG17" s="14"/>
    </row>
    <row r="18" spans="1:33" ht="20.100000000000001" customHeight="1">
      <c r="A18" s="11">
        <v>21</v>
      </c>
      <c r="B18" s="12">
        <f>'[12]Dia 1 (a)'!$S24</f>
        <v>22.9</v>
      </c>
      <c r="C18" s="12">
        <f>'[12]Dia 2 (a)'!$S24</f>
        <v>23.3</v>
      </c>
      <c r="D18" s="12">
        <f>'[12]Dia 3 (a)'!$S24</f>
        <v>23.2</v>
      </c>
      <c r="E18" s="12">
        <f>'[12]Dia 4 (a)'!$S24</f>
        <v>23.6</v>
      </c>
      <c r="F18" s="12">
        <f>'[12]Dia 5 (a)'!$S24</f>
        <v>23.3</v>
      </c>
      <c r="G18" s="12">
        <f>'[12]Dia 6 (a)'!$S24</f>
        <v>23</v>
      </c>
      <c r="H18" s="12">
        <f>'[12]Dia 7 (a)'!$S24</f>
        <v>23.3</v>
      </c>
      <c r="I18" s="12">
        <f>'[12]Dia 8 (a)'!$S24</f>
        <v>24.3</v>
      </c>
      <c r="J18" s="12">
        <f>'[12]Dia 9 (a)'!$S24</f>
        <v>25</v>
      </c>
      <c r="K18" s="12">
        <f>'[12]Dia 10 (a)'!$S24</f>
        <v>26.1</v>
      </c>
      <c r="L18" s="12">
        <f>'[12]Dia 11 (a)'!$S24</f>
        <v>26.8</v>
      </c>
      <c r="M18" s="12">
        <f>'[12]Dia 12 (a)'!$S24</f>
        <v>26</v>
      </c>
      <c r="N18" s="12">
        <f>'[12]Dia 13 (a)'!$S24</f>
        <v>23.8</v>
      </c>
      <c r="O18" s="12">
        <f>'[12]Dia 14 (a)'!$S24</f>
        <v>23.4</v>
      </c>
      <c r="P18" s="12">
        <f>'[12]Dia 15 (a)'!$S24</f>
        <v>23.8</v>
      </c>
      <c r="Q18" s="12">
        <f>'[12]Dia 16 (a)'!$S24</f>
        <v>24</v>
      </c>
      <c r="R18" s="12">
        <f>'[12]Dia 17 (a)'!$S24</f>
        <v>23.7</v>
      </c>
      <c r="S18" s="12">
        <f>'[12]Dia 18 (a)'!$S24</f>
        <v>23.9</v>
      </c>
      <c r="T18" s="12">
        <f>'[12]Dia 19 (a)'!$S24</f>
        <v>22.6</v>
      </c>
      <c r="U18" s="12">
        <f>'[12]Dia 20 (a)'!$S24</f>
        <v>22.2</v>
      </c>
      <c r="V18" s="12">
        <f>'[12]Dia 21 (a)'!$S24</f>
        <v>22.1</v>
      </c>
      <c r="W18" s="12">
        <f>'[12]Dia 22 (a)'!$S24</f>
        <v>21.8</v>
      </c>
      <c r="X18" s="12">
        <f>'[12]Dia 23 (a)'!$S24</f>
        <v>22.2</v>
      </c>
      <c r="Y18" s="12">
        <f>'[12]Dia 24 (a)'!$S24</f>
        <v>23.6</v>
      </c>
      <c r="Z18" s="12">
        <f>'[12]Dia 25 (a)'!$S24</f>
        <v>24.6</v>
      </c>
      <c r="AA18" s="12">
        <f>'[12]Dia 26 (a)'!$S24</f>
        <v>24.2</v>
      </c>
      <c r="AB18" s="12">
        <f>'[12]Dia 27 (a)'!$S24</f>
        <v>24.4</v>
      </c>
      <c r="AC18" s="12">
        <f>'[12]Dia 28 (a)'!$S24</f>
        <v>24.1</v>
      </c>
      <c r="AD18" s="12">
        <f>'[12]Dia 29 (a)'!$S24</f>
        <v>23.9</v>
      </c>
      <c r="AE18" s="12">
        <f>'[12]Dia 30 (a)'!$S24</f>
        <v>23.7</v>
      </c>
      <c r="AF18" s="13">
        <f>'[12]Dia 31 (a)'!$S24</f>
        <v>24</v>
      </c>
      <c r="AG18" s="14"/>
    </row>
    <row r="19" spans="1:33" ht="20.100000000000001" customHeight="1">
      <c r="A19" s="11">
        <v>22</v>
      </c>
      <c r="B19" s="12">
        <f>'[12]Dia 1 (a)'!$S25</f>
        <v>22.7</v>
      </c>
      <c r="C19" s="12">
        <f>'[12]Dia 2 (a)'!$S25</f>
        <v>23.3</v>
      </c>
      <c r="D19" s="12">
        <f>'[12]Dia 3 (a)'!$S25</f>
        <v>23</v>
      </c>
      <c r="E19" s="12">
        <f>'[12]Dia 4 (a)'!$S25</f>
        <v>23.6</v>
      </c>
      <c r="F19" s="12">
        <f>'[12]Dia 5 (a)'!$S25</f>
        <v>23.2</v>
      </c>
      <c r="G19" s="12">
        <f>'[12]Dia 6 (a)'!$S25</f>
        <v>23</v>
      </c>
      <c r="H19" s="12">
        <f>'[12]Dia 7 (a)'!$S25</f>
        <v>23.3</v>
      </c>
      <c r="I19" s="12">
        <f>'[12]Dia 8 (a)'!$S25</f>
        <v>24.3</v>
      </c>
      <c r="J19" s="12">
        <f>'[12]Dia 9 (a)'!$S25</f>
        <v>25</v>
      </c>
      <c r="K19" s="12">
        <f>'[12]Dia 10 (a)'!$S25</f>
        <v>26.2</v>
      </c>
      <c r="L19" s="12">
        <f>'[12]Dia 11 (a)'!$S25</f>
        <v>26.9</v>
      </c>
      <c r="M19" s="12">
        <f>'[12]Dia 12 (a)'!$S25</f>
        <v>25.4</v>
      </c>
      <c r="N19" s="12">
        <f>'[12]Dia 13 (a)'!$S25</f>
        <v>23.6</v>
      </c>
      <c r="O19" s="12">
        <f>'[12]Dia 14 (a)'!$S25</f>
        <v>23.2</v>
      </c>
      <c r="P19" s="12">
        <f>'[12]Dia 15 (a)'!$S25</f>
        <v>23.8</v>
      </c>
      <c r="Q19" s="12">
        <f>'[12]Dia 16 (a)'!$S25</f>
        <v>23.9</v>
      </c>
      <c r="R19" s="12">
        <f>'[12]Dia 17 (a)'!$S25</f>
        <v>23.8</v>
      </c>
      <c r="S19" s="12">
        <f>'[12]Dia 18 (a)'!$S25</f>
        <v>23.6</v>
      </c>
      <c r="T19" s="12">
        <f>'[12]Dia 19 (a)'!$S25</f>
        <v>22.6</v>
      </c>
      <c r="U19" s="12">
        <f>'[12]Dia 20 (a)'!$S25</f>
        <v>22.2</v>
      </c>
      <c r="V19" s="12">
        <f>'[12]Dia 21 (a)'!$S25</f>
        <v>22.2</v>
      </c>
      <c r="W19" s="12">
        <f>'[12]Dia 22 (a)'!$S25</f>
        <v>20.6</v>
      </c>
      <c r="X19" s="12">
        <f>'[12]Dia 23 (a)'!$S25</f>
        <v>22.2</v>
      </c>
      <c r="Y19" s="12">
        <f>'[12]Dia 24 (a)'!$S25</f>
        <v>23.6</v>
      </c>
      <c r="Z19" s="12">
        <f>'[12]Dia 25 (a)'!$S25</f>
        <v>24.6</v>
      </c>
      <c r="AA19" s="12">
        <f>'[12]Dia 26 (a)'!$S25</f>
        <v>24</v>
      </c>
      <c r="AB19" s="12">
        <f>'[12]Dia 27 (a)'!$S25</f>
        <v>24.4</v>
      </c>
      <c r="AC19" s="12">
        <f>'[12]Dia 28 (a)'!$S25</f>
        <v>24</v>
      </c>
      <c r="AD19" s="12">
        <f>'[12]Dia 29 (a)'!$S25</f>
        <v>23.8</v>
      </c>
      <c r="AE19" s="12">
        <f>'[12]Dia 30 (a)'!$S25</f>
        <v>23.7</v>
      </c>
      <c r="AF19" s="13">
        <f>'[12]Dia 31 (a)'!$S25</f>
        <v>24</v>
      </c>
      <c r="AG19" s="14"/>
    </row>
    <row r="20" spans="1:33" ht="20.100000000000001" customHeight="1">
      <c r="A20" s="11">
        <v>23</v>
      </c>
      <c r="B20" s="12">
        <f>'[12]Dia 1 (a)'!$S26</f>
        <v>22.7</v>
      </c>
      <c r="C20" s="12">
        <f>'[12]Dia 2 (a)'!$S26</f>
        <v>23.3</v>
      </c>
      <c r="D20" s="12">
        <f>'[12]Dia 3 (a)'!$S26</f>
        <v>23</v>
      </c>
      <c r="E20" s="12">
        <f>'[12]Dia 4 (a)'!$S26</f>
        <v>23</v>
      </c>
      <c r="F20" s="12">
        <f>'[12]Dia 5 (a)'!$S26</f>
        <v>23.2</v>
      </c>
      <c r="G20" s="12">
        <f>'[12]Dia 6 (a)'!$S26</f>
        <v>23</v>
      </c>
      <c r="H20" s="12">
        <f>'[12]Dia 7 (a)'!$S26</f>
        <v>23.3</v>
      </c>
      <c r="I20" s="12">
        <f>'[12]Dia 8 (a)'!$S26</f>
        <v>24.3</v>
      </c>
      <c r="J20" s="12">
        <f>'[12]Dia 9 (a)'!$S26</f>
        <v>25</v>
      </c>
      <c r="K20" s="12">
        <f>'[12]Dia 10 (a)'!$S26</f>
        <v>26.1</v>
      </c>
      <c r="L20" s="12">
        <f>'[12]Dia 11 (a)'!$S26</f>
        <v>26.9</v>
      </c>
      <c r="M20" s="12">
        <f>'[12]Dia 12 (a)'!$S26</f>
        <v>25.4</v>
      </c>
      <c r="N20" s="12">
        <f>'[12]Dia 13 (a)'!$S26</f>
        <v>23.6</v>
      </c>
      <c r="O20" s="12">
        <f>'[12]Dia 14 (a)'!$S26</f>
        <v>23.2</v>
      </c>
      <c r="P20" s="12">
        <f>'[12]Dia 15 (a)'!$S26</f>
        <v>23.7</v>
      </c>
      <c r="Q20" s="12">
        <f>'[12]Dia 16 (a)'!$S26</f>
        <v>23.9</v>
      </c>
      <c r="R20" s="12">
        <f>'[12]Dia 17 (a)'!$S26</f>
        <v>23.8</v>
      </c>
      <c r="S20" s="12">
        <f>'[12]Dia 18 (a)'!$S26</f>
        <v>23.5</v>
      </c>
      <c r="T20" s="12">
        <f>'[12]Dia 19 (a)'!$S26</f>
        <v>22.5</v>
      </c>
      <c r="U20" s="12">
        <f>'[12]Dia 20 (a)'!$S26</f>
        <v>22.2</v>
      </c>
      <c r="V20" s="12">
        <f>'[12]Dia 21 (a)'!$S26</f>
        <v>22.1</v>
      </c>
      <c r="W20" s="12">
        <f>'[12]Dia 22 (a)'!$S26</f>
        <v>20.6</v>
      </c>
      <c r="X20" s="12">
        <f>'[12]Dia 23 (a)'!$S26</f>
        <v>22.2</v>
      </c>
      <c r="Y20" s="12">
        <f>'[12]Dia 24 (a)'!$S26</f>
        <v>23.6</v>
      </c>
      <c r="Z20" s="12">
        <f>'[12]Dia 25 (a)'!$S26</f>
        <v>24.6</v>
      </c>
      <c r="AA20" s="12">
        <f>'[12]Dia 26 (a)'!$S26</f>
        <v>24</v>
      </c>
      <c r="AB20" s="12">
        <f>'[12]Dia 27 (a)'!$S26</f>
        <v>24.2</v>
      </c>
      <c r="AC20" s="12">
        <f>'[12]Dia 28 (a)'!$S26</f>
        <v>23.9</v>
      </c>
      <c r="AD20" s="12">
        <f>'[12]Dia 29 (a)'!$S26</f>
        <v>23.9</v>
      </c>
      <c r="AE20" s="12">
        <f>'[12]Dia 30 (a)'!$S26</f>
        <v>23.7</v>
      </c>
      <c r="AF20" s="13">
        <f>'[12]Dia 31 (a)'!$S26</f>
        <v>24.1</v>
      </c>
      <c r="AG20" s="14"/>
    </row>
    <row r="21" spans="1:33" ht="20.100000000000001" customHeight="1" thickBot="1">
      <c r="A21" s="16">
        <v>24</v>
      </c>
      <c r="B21" s="17">
        <f>'[12]Dia 1 (a)'!$S27</f>
        <v>22.7</v>
      </c>
      <c r="C21" s="17">
        <f>'[12]Dia 2 (a)'!$S27</f>
        <v>23.2</v>
      </c>
      <c r="D21" s="17">
        <f>'[12]Dia 3 (a)'!$S27</f>
        <v>23</v>
      </c>
      <c r="E21" s="17">
        <f>'[12]Dia 4 (a)'!$S27</f>
        <v>23</v>
      </c>
      <c r="F21" s="17">
        <f>'[12]Dia 5 (a)'!$S27</f>
        <v>23.2</v>
      </c>
      <c r="G21" s="17">
        <f>'[12]Dia 6 (a)'!$S27</f>
        <v>23</v>
      </c>
      <c r="H21" s="17">
        <f>'[12]Dia 7 (a)'!$S27</f>
        <v>23.3</v>
      </c>
      <c r="I21" s="17">
        <f>'[12]Dia 8 (a)'!$S27</f>
        <v>24.3</v>
      </c>
      <c r="J21" s="17">
        <f>'[12]Dia 9 (a)'!$S27</f>
        <v>25</v>
      </c>
      <c r="K21" s="17">
        <f>'[12]Dia 10 (a)'!$S27</f>
        <v>26.1</v>
      </c>
      <c r="L21" s="17">
        <f>'[12]Dia 11 (a)'!$S27</f>
        <v>26.7</v>
      </c>
      <c r="M21" s="17">
        <f>'[12]Dia 12 (a)'!$S27</f>
        <v>25.4</v>
      </c>
      <c r="N21" s="17">
        <f>'[12]Dia 13 (a)'!$S27</f>
        <v>23.6</v>
      </c>
      <c r="O21" s="17">
        <f>'[12]Dia 14 (a)'!$S27</f>
        <v>23.2</v>
      </c>
      <c r="P21" s="17">
        <f>'[12]Dia 15 (a)'!$S27</f>
        <v>23.7</v>
      </c>
      <c r="Q21" s="17">
        <f>'[12]Dia 16 (a)'!$S27</f>
        <v>23.8</v>
      </c>
      <c r="R21" s="17">
        <f>'[12]Dia 17 (a)'!$S27</f>
        <v>23.8</v>
      </c>
      <c r="S21" s="17">
        <f>'[12]Dia 18 (a)'!$S27</f>
        <v>23.5</v>
      </c>
      <c r="T21" s="17">
        <f>'[12]Dia 19 (a)'!$S27</f>
        <v>22.5</v>
      </c>
      <c r="U21" s="17">
        <f>'[12]Dia 20 (a)'!$S27</f>
        <v>22.2</v>
      </c>
      <c r="V21" s="17">
        <f>'[12]Dia 21 (a)'!$S27</f>
        <v>22.1</v>
      </c>
      <c r="W21" s="17">
        <f>'[12]Dia 22 (a)'!$S27</f>
        <v>20.6</v>
      </c>
      <c r="X21" s="17">
        <f>'[12]Dia 23 (a)'!$S27</f>
        <v>22</v>
      </c>
      <c r="Y21" s="17">
        <f>'[12]Dia 24 (a)'!$S27</f>
        <v>23.6</v>
      </c>
      <c r="Z21" s="17">
        <f>'[12]Dia 25 (a)'!$S27</f>
        <v>24.6</v>
      </c>
      <c r="AA21" s="17">
        <f>'[12]Dia 26 (a)'!$S27</f>
        <v>24</v>
      </c>
      <c r="AB21" s="17">
        <f>'[12]Dia 27 (a)'!$S27</f>
        <v>24.2</v>
      </c>
      <c r="AC21" s="17">
        <f>'[12]Dia 28 (a)'!$S27</f>
        <v>23.9</v>
      </c>
      <c r="AD21" s="17">
        <f>'[12]Dia 29 (a)'!$S27</f>
        <v>23.7</v>
      </c>
      <c r="AE21" s="17">
        <f>'[12]Dia 30 (a)'!$S27</f>
        <v>23.6</v>
      </c>
      <c r="AF21" s="18">
        <f>'[12]Dia 31 (a)'!$S27</f>
        <v>23.9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  <c r="AG24" s="27"/>
    </row>
    <row r="25" spans="1:33" ht="15.75">
      <c r="A25" s="25" t="s">
        <v>4</v>
      </c>
      <c r="B25" s="28">
        <f>AVERAGE(B4:B21)</f>
        <v>22.299999999999997</v>
      </c>
      <c r="C25" s="28">
        <f t="shared" ref="C25:AF25" si="0">AVERAGE(C4:C21)</f>
        <v>22.816666666666666</v>
      </c>
      <c r="D25" s="28">
        <f t="shared" si="0"/>
        <v>23.005555555555553</v>
      </c>
      <c r="E25" s="28">
        <f t="shared" si="0"/>
        <v>23.166666666666671</v>
      </c>
      <c r="F25" s="28">
        <f t="shared" si="0"/>
        <v>23.138888888888886</v>
      </c>
      <c r="G25" s="28">
        <f t="shared" si="0"/>
        <v>22.866666666666664</v>
      </c>
      <c r="H25" s="28">
        <f t="shared" si="0"/>
        <v>22.8</v>
      </c>
      <c r="I25" s="28">
        <f t="shared" si="0"/>
        <v>23.472222222222225</v>
      </c>
      <c r="J25" s="28">
        <f t="shared" si="0"/>
        <v>24.12222222222222</v>
      </c>
      <c r="K25" s="28">
        <f t="shared" si="0"/>
        <v>25.088888888888892</v>
      </c>
      <c r="L25" s="28">
        <f t="shared" si="0"/>
        <v>25.877777777777776</v>
      </c>
      <c r="M25" s="28">
        <f t="shared" si="0"/>
        <v>25.666666666666668</v>
      </c>
      <c r="N25" s="28">
        <f t="shared" si="0"/>
        <v>24.233333333333334</v>
      </c>
      <c r="O25" s="28">
        <f t="shared" si="0"/>
        <v>22.955555555555552</v>
      </c>
      <c r="P25" s="28">
        <f t="shared" si="0"/>
        <v>23.088888888888889</v>
      </c>
      <c r="Q25" s="28">
        <f t="shared" si="0"/>
        <v>23.544444444444441</v>
      </c>
      <c r="R25" s="28">
        <f t="shared" si="0"/>
        <v>23.211111111111116</v>
      </c>
      <c r="S25" s="28">
        <f t="shared" si="0"/>
        <v>23.216666666666665</v>
      </c>
      <c r="T25" s="28">
        <f t="shared" si="0"/>
        <v>22.700000000000003</v>
      </c>
      <c r="U25" s="28">
        <f t="shared" si="0"/>
        <v>22.055555555555557</v>
      </c>
      <c r="V25" s="28">
        <f t="shared" si="0"/>
        <v>21.866666666666671</v>
      </c>
      <c r="W25" s="28">
        <f t="shared" si="0"/>
        <v>21.38333333333334</v>
      </c>
      <c r="X25" s="28">
        <f t="shared" si="0"/>
        <v>21.611111111111107</v>
      </c>
      <c r="Y25" s="28">
        <f t="shared" si="0"/>
        <v>22.661111111111115</v>
      </c>
      <c r="Z25" s="28">
        <f t="shared" si="0"/>
        <v>23.705555555555563</v>
      </c>
      <c r="AA25" s="28">
        <f t="shared" si="0"/>
        <v>23.855555555555558</v>
      </c>
      <c r="AB25" s="28">
        <f t="shared" si="0"/>
        <v>23.95</v>
      </c>
      <c r="AC25" s="28">
        <f t="shared" si="0"/>
        <v>23.916666666666671</v>
      </c>
      <c r="AD25" s="28">
        <f t="shared" si="0"/>
        <v>23.455555555555549</v>
      </c>
      <c r="AE25" s="28">
        <f t="shared" si="0"/>
        <v>23.411111111111111</v>
      </c>
      <c r="AF25" s="28">
        <f t="shared" si="0"/>
        <v>23.45</v>
      </c>
      <c r="AG25" s="27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27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27"/>
    </row>
    <row r="28" spans="1:33" ht="15.75">
      <c r="A28" s="25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27"/>
    </row>
    <row r="29" spans="1:33" ht="15.75">
      <c r="A29" s="25" t="s">
        <v>4</v>
      </c>
      <c r="B29" s="28">
        <f>MAX(B4:B21)</f>
        <v>22.9</v>
      </c>
      <c r="C29" s="28">
        <f t="shared" ref="C29:AF29" si="1">MAX(C4:C21)</f>
        <v>23.3</v>
      </c>
      <c r="D29" s="28">
        <f t="shared" si="1"/>
        <v>23.2</v>
      </c>
      <c r="E29" s="28">
        <f t="shared" si="1"/>
        <v>23.6</v>
      </c>
      <c r="F29" s="28">
        <f t="shared" si="1"/>
        <v>23.3</v>
      </c>
      <c r="G29" s="28">
        <f t="shared" si="1"/>
        <v>23</v>
      </c>
      <c r="H29" s="28">
        <f t="shared" si="1"/>
        <v>23.3</v>
      </c>
      <c r="I29" s="28">
        <f t="shared" si="1"/>
        <v>24.3</v>
      </c>
      <c r="J29" s="28">
        <f t="shared" si="1"/>
        <v>25</v>
      </c>
      <c r="K29" s="28">
        <f t="shared" si="1"/>
        <v>26.2</v>
      </c>
      <c r="L29" s="28">
        <f t="shared" si="1"/>
        <v>26.9</v>
      </c>
      <c r="M29" s="28">
        <f t="shared" si="1"/>
        <v>26</v>
      </c>
      <c r="N29" s="28">
        <f t="shared" si="1"/>
        <v>24.9</v>
      </c>
      <c r="O29" s="28">
        <f t="shared" si="1"/>
        <v>23.4</v>
      </c>
      <c r="P29" s="28">
        <f t="shared" si="1"/>
        <v>23.8</v>
      </c>
      <c r="Q29" s="28">
        <f t="shared" si="1"/>
        <v>24</v>
      </c>
      <c r="R29" s="28">
        <f t="shared" si="1"/>
        <v>23.8</v>
      </c>
      <c r="S29" s="28">
        <f t="shared" si="1"/>
        <v>23.9</v>
      </c>
      <c r="T29" s="28">
        <f t="shared" si="1"/>
        <v>22.9</v>
      </c>
      <c r="U29" s="28">
        <f t="shared" si="1"/>
        <v>22.2</v>
      </c>
      <c r="V29" s="28">
        <f t="shared" si="1"/>
        <v>22.2</v>
      </c>
      <c r="W29" s="28">
        <f t="shared" si="1"/>
        <v>21.8</v>
      </c>
      <c r="X29" s="28">
        <f t="shared" si="1"/>
        <v>22.2</v>
      </c>
      <c r="Y29" s="28">
        <f t="shared" si="1"/>
        <v>23.6</v>
      </c>
      <c r="Z29" s="28">
        <f t="shared" si="1"/>
        <v>24.6</v>
      </c>
      <c r="AA29" s="28">
        <f t="shared" si="1"/>
        <v>24.2</v>
      </c>
      <c r="AB29" s="28">
        <f t="shared" si="1"/>
        <v>24.6</v>
      </c>
      <c r="AC29" s="28">
        <f t="shared" si="1"/>
        <v>24.1</v>
      </c>
      <c r="AD29" s="28">
        <f t="shared" si="1"/>
        <v>23.9</v>
      </c>
      <c r="AE29" s="28">
        <f t="shared" si="1"/>
        <v>23.7</v>
      </c>
      <c r="AF29" s="28">
        <f t="shared" si="1"/>
        <v>24.1</v>
      </c>
      <c r="AG29" s="27"/>
    </row>
    <row r="30" spans="1:33" ht="15.75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7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7"/>
    </row>
    <row r="32" spans="1:33" ht="15.75">
      <c r="A32" s="25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27"/>
    </row>
    <row r="33" spans="1:33" ht="15.75">
      <c r="A33" s="25" t="s">
        <v>4</v>
      </c>
      <c r="B33" s="28">
        <f>MIN(B4:B21)</f>
        <v>22</v>
      </c>
      <c r="C33" s="28">
        <f t="shared" ref="C33:AF33" si="2">MIN(C4:C21)</f>
        <v>22.4</v>
      </c>
      <c r="D33" s="28">
        <f t="shared" si="2"/>
        <v>22.9</v>
      </c>
      <c r="E33" s="28">
        <f t="shared" si="2"/>
        <v>22.8</v>
      </c>
      <c r="F33" s="28">
        <f t="shared" si="2"/>
        <v>23</v>
      </c>
      <c r="G33" s="28">
        <f t="shared" si="2"/>
        <v>22.7</v>
      </c>
      <c r="H33" s="28">
        <f t="shared" si="2"/>
        <v>22.2</v>
      </c>
      <c r="I33" s="28">
        <f t="shared" si="2"/>
        <v>22.7</v>
      </c>
      <c r="J33" s="28">
        <f t="shared" si="2"/>
        <v>23.3</v>
      </c>
      <c r="K33" s="28">
        <f t="shared" si="2"/>
        <v>24.2</v>
      </c>
      <c r="L33" s="28">
        <f t="shared" si="2"/>
        <v>25.1</v>
      </c>
      <c r="M33" s="28">
        <f t="shared" si="2"/>
        <v>25</v>
      </c>
      <c r="N33" s="28">
        <f t="shared" si="2"/>
        <v>23.6</v>
      </c>
      <c r="O33" s="28">
        <f t="shared" si="2"/>
        <v>22.7</v>
      </c>
      <c r="P33" s="28">
        <f t="shared" si="2"/>
        <v>22.5</v>
      </c>
      <c r="Q33" s="28">
        <f t="shared" si="2"/>
        <v>23</v>
      </c>
      <c r="R33" s="28">
        <f t="shared" si="2"/>
        <v>22.6</v>
      </c>
      <c r="S33" s="28">
        <f t="shared" si="2"/>
        <v>22.8</v>
      </c>
      <c r="T33" s="28">
        <f t="shared" si="2"/>
        <v>22.5</v>
      </c>
      <c r="U33" s="28">
        <f t="shared" si="2"/>
        <v>21.9</v>
      </c>
      <c r="V33" s="28">
        <f t="shared" si="2"/>
        <v>21.6</v>
      </c>
      <c r="W33" s="28">
        <f t="shared" si="2"/>
        <v>20.6</v>
      </c>
      <c r="X33" s="28">
        <f t="shared" si="2"/>
        <v>21</v>
      </c>
      <c r="Y33" s="28">
        <f t="shared" si="2"/>
        <v>21.8</v>
      </c>
      <c r="Z33" s="28">
        <f t="shared" si="2"/>
        <v>22.9</v>
      </c>
      <c r="AA33" s="28">
        <f t="shared" si="2"/>
        <v>23.6</v>
      </c>
      <c r="AB33" s="28">
        <f t="shared" si="2"/>
        <v>23.5</v>
      </c>
      <c r="AC33" s="28">
        <f t="shared" si="2"/>
        <v>23.6</v>
      </c>
      <c r="AD33" s="28">
        <f t="shared" si="2"/>
        <v>23.1</v>
      </c>
      <c r="AE33" s="28">
        <f t="shared" si="2"/>
        <v>23.1</v>
      </c>
      <c r="AF33" s="28">
        <f t="shared" si="2"/>
        <v>23</v>
      </c>
      <c r="AG33" s="27"/>
    </row>
    <row r="34" spans="1:33" ht="15.75">
      <c r="A34" s="25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7"/>
    </row>
    <row r="35" spans="1:33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7"/>
    </row>
    <row r="36" spans="1:33" ht="15.75">
      <c r="A36" s="25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7"/>
    </row>
    <row r="37" spans="1:33" ht="15.75">
      <c r="A37" s="25" t="s">
        <v>4</v>
      </c>
      <c r="B37" s="28">
        <f>B29-B33</f>
        <v>0.89999999999999858</v>
      </c>
      <c r="C37" s="28">
        <f t="shared" ref="C37:AF37" si="3">C29-C33</f>
        <v>0.90000000000000213</v>
      </c>
      <c r="D37" s="28">
        <f t="shared" si="3"/>
        <v>0.30000000000000071</v>
      </c>
      <c r="E37" s="28">
        <f t="shared" si="3"/>
        <v>0.80000000000000071</v>
      </c>
      <c r="F37" s="28">
        <f t="shared" si="3"/>
        <v>0.30000000000000071</v>
      </c>
      <c r="G37" s="28">
        <f t="shared" si="3"/>
        <v>0.30000000000000071</v>
      </c>
      <c r="H37" s="28">
        <f t="shared" si="3"/>
        <v>1.1000000000000014</v>
      </c>
      <c r="I37" s="28">
        <f t="shared" si="3"/>
        <v>1.6000000000000014</v>
      </c>
      <c r="J37" s="28">
        <f t="shared" si="3"/>
        <v>1.6999999999999993</v>
      </c>
      <c r="K37" s="28">
        <f t="shared" si="3"/>
        <v>2</v>
      </c>
      <c r="L37" s="28">
        <f t="shared" si="3"/>
        <v>1.7999999999999972</v>
      </c>
      <c r="M37" s="28">
        <f t="shared" si="3"/>
        <v>1</v>
      </c>
      <c r="N37" s="28">
        <f t="shared" si="3"/>
        <v>1.2999999999999972</v>
      </c>
      <c r="O37" s="28">
        <f t="shared" si="3"/>
        <v>0.69999999999999929</v>
      </c>
      <c r="P37" s="28">
        <f t="shared" si="3"/>
        <v>1.3000000000000007</v>
      </c>
      <c r="Q37" s="28">
        <f t="shared" si="3"/>
        <v>1</v>
      </c>
      <c r="R37" s="28">
        <f t="shared" si="3"/>
        <v>1.1999999999999993</v>
      </c>
      <c r="S37" s="28">
        <f t="shared" si="3"/>
        <v>1.0999999999999979</v>
      </c>
      <c r="T37" s="28">
        <f t="shared" si="3"/>
        <v>0.39999999999999858</v>
      </c>
      <c r="U37" s="28">
        <f t="shared" si="3"/>
        <v>0.30000000000000071</v>
      </c>
      <c r="V37" s="28">
        <f t="shared" si="3"/>
        <v>0.59999999999999787</v>
      </c>
      <c r="W37" s="28">
        <f t="shared" si="3"/>
        <v>1.1999999999999993</v>
      </c>
      <c r="X37" s="28">
        <f t="shared" si="3"/>
        <v>1.1999999999999993</v>
      </c>
      <c r="Y37" s="28">
        <f t="shared" si="3"/>
        <v>1.8000000000000007</v>
      </c>
      <c r="Z37" s="28">
        <f t="shared" si="3"/>
        <v>1.7000000000000028</v>
      </c>
      <c r="AA37" s="28">
        <f t="shared" si="3"/>
        <v>0.59999999999999787</v>
      </c>
      <c r="AB37" s="28">
        <f t="shared" si="3"/>
        <v>1.1000000000000014</v>
      </c>
      <c r="AC37" s="28">
        <f t="shared" si="3"/>
        <v>0.5</v>
      </c>
      <c r="AD37" s="28">
        <f t="shared" si="3"/>
        <v>0.79999999999999716</v>
      </c>
      <c r="AE37" s="28">
        <f t="shared" si="3"/>
        <v>0.59999999999999787</v>
      </c>
      <c r="AF37" s="28">
        <f t="shared" si="3"/>
        <v>1.1000000000000014</v>
      </c>
      <c r="AG37" s="27"/>
    </row>
    <row r="38" spans="1:33" ht="15.75">
      <c r="A38" s="25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1"/>
    </row>
    <row r="39" spans="1:33" ht="15">
      <c r="A39" s="23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3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3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3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3" ht="15.75" thickBot="1">
      <c r="A43" s="38"/>
      <c r="B43" s="39"/>
      <c r="C43" s="40"/>
      <c r="D43" s="40"/>
      <c r="E43" s="40"/>
      <c r="F43" s="40"/>
      <c r="G43" s="40"/>
      <c r="H43" s="41">
        <f>AVERAGE(B25:AF25)</f>
        <v>23.309498207885309</v>
      </c>
      <c r="I43" s="40"/>
      <c r="J43" s="42"/>
      <c r="K43" s="41">
        <f>MAX(B29:AF29)</f>
        <v>26.9</v>
      </c>
      <c r="L43" s="42"/>
      <c r="M43" s="42"/>
      <c r="N43" s="41">
        <f>MIN(B33:AF33)</f>
        <v>20.6</v>
      </c>
      <c r="O43" s="42"/>
      <c r="P43" s="42"/>
      <c r="Q43" s="41">
        <f>K43-N43</f>
        <v>6.2999999999999972</v>
      </c>
      <c r="R43" s="40"/>
      <c r="S43" s="41"/>
      <c r="T43" s="41">
        <f>AVERAGE(B29:AF29)</f>
        <v>23.835483870967746</v>
      </c>
      <c r="U43" s="41"/>
      <c r="V43" s="41">
        <f>AVERAGE(B33:AF33)</f>
        <v>22.829032258064519</v>
      </c>
      <c r="W43" s="41"/>
      <c r="X43" s="41">
        <f>T43-V43</f>
        <v>1.006451612903227</v>
      </c>
      <c r="Y43" s="40"/>
      <c r="Z43" s="40"/>
      <c r="AA43" s="40"/>
      <c r="AB43" s="40"/>
      <c r="AC43" s="40"/>
      <c r="AD43" s="40"/>
      <c r="AE43" s="40"/>
      <c r="AF43" s="43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2026-03-11T22:24:18Z</dcterms:created>
  <dcterms:modified xsi:type="dcterms:W3CDTF">2026-03-11T22:24:31Z</dcterms:modified>
</cp:coreProperties>
</file>