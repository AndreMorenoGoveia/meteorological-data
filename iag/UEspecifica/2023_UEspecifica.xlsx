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worksheets/sheet9.xml" ContentType="application/vnd.openxmlformats-officedocument.spreadsheetml.worksheet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10.xml" ContentType="application/vnd.openxmlformats-officedocument.spreadsheetml.worksheet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calcChain.xml" ContentType="application/vnd.openxmlformats-officedocument.spreadsheetml.calcChain+xml"/>
  <Override PartName="/xl/externalLinks/externalLink10.xml" ContentType="application/vnd.openxmlformats-officedocument.spreadsheetml.externalLink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480" yWindow="90" windowWidth="21075" windowHeight="8775"/>
  </bookViews>
  <sheets>
    <sheet name="Jan" sheetId="1" r:id="rId1"/>
    <sheet name="Fev" sheetId="2" r:id="rId2"/>
    <sheet name="Mar" sheetId="3" r:id="rId3"/>
    <sheet name="Abr" sheetId="4" r:id="rId4"/>
    <sheet name="Mai" sheetId="5" r:id="rId5"/>
    <sheet name="Jun" sheetId="6" r:id="rId6"/>
    <sheet name="Jul" sheetId="7" r:id="rId7"/>
    <sheet name="Ago" sheetId="8" r:id="rId8"/>
    <sheet name="Set" sheetId="9" r:id="rId9"/>
    <sheet name="Out" sheetId="10" r:id="rId10"/>
    <sheet name="Nov" sheetId="11" r:id="rId11"/>
    <sheet name="Dez" sheetId="12" r:id="rId12"/>
  </sheets>
  <externalReferences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</externalReferences>
  <calcPr calcId="125725"/>
</workbook>
</file>

<file path=xl/calcChain.xml><?xml version="1.0" encoding="utf-8"?>
<calcChain xmlns="http://schemas.openxmlformats.org/spreadsheetml/2006/main">
  <c r="AF18" i="12"/>
  <c r="AE18"/>
  <c r="AD18"/>
  <c r="AC18"/>
  <c r="AB18"/>
  <c r="AA18"/>
  <c r="Z18"/>
  <c r="Y18"/>
  <c r="X18"/>
  <c r="W18"/>
  <c r="V18"/>
  <c r="U18"/>
  <c r="T18"/>
  <c r="S18"/>
  <c r="R18"/>
  <c r="Q18"/>
  <c r="P18"/>
  <c r="O18"/>
  <c r="N18"/>
  <c r="M18"/>
  <c r="L18"/>
  <c r="K18"/>
  <c r="J18"/>
  <c r="I18"/>
  <c r="H18"/>
  <c r="G18"/>
  <c r="F18"/>
  <c r="E18"/>
  <c r="D18"/>
  <c r="C18"/>
  <c r="B18"/>
  <c r="AF17"/>
  <c r="AE17"/>
  <c r="AD17"/>
  <c r="AC17"/>
  <c r="AB17"/>
  <c r="AA17"/>
  <c r="Z17"/>
  <c r="Y17"/>
  <c r="X17"/>
  <c r="W17"/>
  <c r="V17"/>
  <c r="U17"/>
  <c r="T17"/>
  <c r="S17"/>
  <c r="R17"/>
  <c r="Q17"/>
  <c r="P17"/>
  <c r="O17"/>
  <c r="N17"/>
  <c r="M17"/>
  <c r="L17"/>
  <c r="K17"/>
  <c r="J17"/>
  <c r="I17"/>
  <c r="H17"/>
  <c r="G17"/>
  <c r="F17"/>
  <c r="E17"/>
  <c r="D17"/>
  <c r="C17"/>
  <c r="B17"/>
  <c r="AF16"/>
  <c r="AE16"/>
  <c r="AD16"/>
  <c r="AC16"/>
  <c r="AB16"/>
  <c r="AA16"/>
  <c r="Z16"/>
  <c r="Y16"/>
  <c r="X16"/>
  <c r="W16"/>
  <c r="V16"/>
  <c r="U16"/>
  <c r="T16"/>
  <c r="S16"/>
  <c r="R16"/>
  <c r="Q16"/>
  <c r="P16"/>
  <c r="O16"/>
  <c r="N16"/>
  <c r="M16"/>
  <c r="L16"/>
  <c r="K16"/>
  <c r="J16"/>
  <c r="I16"/>
  <c r="H16"/>
  <c r="G16"/>
  <c r="F16"/>
  <c r="E16"/>
  <c r="D16"/>
  <c r="C16"/>
  <c r="B16"/>
  <c r="AF15"/>
  <c r="AE15"/>
  <c r="AD15"/>
  <c r="AC15"/>
  <c r="AB15"/>
  <c r="AA15"/>
  <c r="Z15"/>
  <c r="Y15"/>
  <c r="X15"/>
  <c r="W15"/>
  <c r="V15"/>
  <c r="U15"/>
  <c r="T15"/>
  <c r="S15"/>
  <c r="R15"/>
  <c r="Q15"/>
  <c r="P15"/>
  <c r="O15"/>
  <c r="N15"/>
  <c r="M15"/>
  <c r="L15"/>
  <c r="K15"/>
  <c r="J15"/>
  <c r="I15"/>
  <c r="H15"/>
  <c r="G15"/>
  <c r="F15"/>
  <c r="E15"/>
  <c r="D15"/>
  <c r="C15"/>
  <c r="B15"/>
  <c r="AF14"/>
  <c r="AE14"/>
  <c r="AD14"/>
  <c r="AC14"/>
  <c r="AB14"/>
  <c r="AA14"/>
  <c r="Z14"/>
  <c r="Y14"/>
  <c r="X14"/>
  <c r="W14"/>
  <c r="V14"/>
  <c r="U14"/>
  <c r="T14"/>
  <c r="S14"/>
  <c r="R14"/>
  <c r="Q14"/>
  <c r="P14"/>
  <c r="O14"/>
  <c r="N14"/>
  <c r="M14"/>
  <c r="L14"/>
  <c r="K14"/>
  <c r="J14"/>
  <c r="I14"/>
  <c r="H14"/>
  <c r="G14"/>
  <c r="F14"/>
  <c r="E14"/>
  <c r="D14"/>
  <c r="C14"/>
  <c r="B14"/>
  <c r="AF13"/>
  <c r="AE13"/>
  <c r="AD13"/>
  <c r="AC13"/>
  <c r="AB13"/>
  <c r="AA13"/>
  <c r="Z13"/>
  <c r="Y13"/>
  <c r="X13"/>
  <c r="W13"/>
  <c r="V13"/>
  <c r="U13"/>
  <c r="T13"/>
  <c r="S13"/>
  <c r="R13"/>
  <c r="Q13"/>
  <c r="P13"/>
  <c r="O13"/>
  <c r="N13"/>
  <c r="M13"/>
  <c r="L13"/>
  <c r="K13"/>
  <c r="J13"/>
  <c r="I13"/>
  <c r="H13"/>
  <c r="G13"/>
  <c r="F13"/>
  <c r="E13"/>
  <c r="D13"/>
  <c r="C13"/>
  <c r="B13"/>
  <c r="AF12"/>
  <c r="AE12"/>
  <c r="AD12"/>
  <c r="AC12"/>
  <c r="AB12"/>
  <c r="AA12"/>
  <c r="Z12"/>
  <c r="Y12"/>
  <c r="X12"/>
  <c r="W12"/>
  <c r="V12"/>
  <c r="U12"/>
  <c r="T12"/>
  <c r="S12"/>
  <c r="R12"/>
  <c r="Q12"/>
  <c r="P12"/>
  <c r="O12"/>
  <c r="N12"/>
  <c r="M12"/>
  <c r="L12"/>
  <c r="K12"/>
  <c r="J12"/>
  <c r="I12"/>
  <c r="H12"/>
  <c r="G12"/>
  <c r="F12"/>
  <c r="E12"/>
  <c r="D12"/>
  <c r="C12"/>
  <c r="B12"/>
  <c r="AF11"/>
  <c r="AE11"/>
  <c r="AD11"/>
  <c r="AC11"/>
  <c r="AB11"/>
  <c r="AA11"/>
  <c r="Z11"/>
  <c r="Y11"/>
  <c r="X11"/>
  <c r="W11"/>
  <c r="V11"/>
  <c r="U11"/>
  <c r="T11"/>
  <c r="S11"/>
  <c r="R11"/>
  <c r="Q11"/>
  <c r="P11"/>
  <c r="O11"/>
  <c r="N11"/>
  <c r="M11"/>
  <c r="L11"/>
  <c r="K11"/>
  <c r="J11"/>
  <c r="I11"/>
  <c r="H11"/>
  <c r="G11"/>
  <c r="F11"/>
  <c r="E11"/>
  <c r="D11"/>
  <c r="C11"/>
  <c r="B11"/>
  <c r="AF10"/>
  <c r="AE10"/>
  <c r="AD10"/>
  <c r="AC10"/>
  <c r="AB10"/>
  <c r="AA10"/>
  <c r="Z10"/>
  <c r="Y10"/>
  <c r="X10"/>
  <c r="W10"/>
  <c r="V10"/>
  <c r="U10"/>
  <c r="T10"/>
  <c r="S10"/>
  <c r="R10"/>
  <c r="Q10"/>
  <c r="P10"/>
  <c r="O10"/>
  <c r="N10"/>
  <c r="M10"/>
  <c r="L10"/>
  <c r="K10"/>
  <c r="J10"/>
  <c r="I10"/>
  <c r="H10"/>
  <c r="G10"/>
  <c r="F10"/>
  <c r="E10"/>
  <c r="D10"/>
  <c r="C10"/>
  <c r="B10"/>
  <c r="B1"/>
  <c r="AE18" i="11"/>
  <c r="AD18"/>
  <c r="AC18"/>
  <c r="AB18"/>
  <c r="AA18"/>
  <c r="Z18"/>
  <c r="Y18"/>
  <c r="X18"/>
  <c r="W18"/>
  <c r="V18"/>
  <c r="U18"/>
  <c r="T18"/>
  <c r="S18"/>
  <c r="R18"/>
  <c r="Q18"/>
  <c r="P18"/>
  <c r="O18"/>
  <c r="N18"/>
  <c r="M18"/>
  <c r="L18"/>
  <c r="K18"/>
  <c r="J18"/>
  <c r="I18"/>
  <c r="H18"/>
  <c r="G18"/>
  <c r="F18"/>
  <c r="E18"/>
  <c r="D18"/>
  <c r="C18"/>
  <c r="B18"/>
  <c r="AE17"/>
  <c r="AD17"/>
  <c r="AC17"/>
  <c r="AB17"/>
  <c r="AA17"/>
  <c r="Z17"/>
  <c r="Y17"/>
  <c r="X17"/>
  <c r="W17"/>
  <c r="V17"/>
  <c r="U17"/>
  <c r="T17"/>
  <c r="S17"/>
  <c r="R17"/>
  <c r="Q17"/>
  <c r="P17"/>
  <c r="O17"/>
  <c r="N17"/>
  <c r="M17"/>
  <c r="L17"/>
  <c r="K17"/>
  <c r="J17"/>
  <c r="I17"/>
  <c r="H17"/>
  <c r="G17"/>
  <c r="F17"/>
  <c r="E17"/>
  <c r="D17"/>
  <c r="C17"/>
  <c r="B17"/>
  <c r="AE16"/>
  <c r="AD16"/>
  <c r="AC16"/>
  <c r="AB16"/>
  <c r="AA16"/>
  <c r="Z16"/>
  <c r="Y16"/>
  <c r="X16"/>
  <c r="W16"/>
  <c r="V16"/>
  <c r="U16"/>
  <c r="T16"/>
  <c r="S16"/>
  <c r="R16"/>
  <c r="Q16"/>
  <c r="P16"/>
  <c r="O16"/>
  <c r="N16"/>
  <c r="M16"/>
  <c r="L16"/>
  <c r="K16"/>
  <c r="J16"/>
  <c r="I16"/>
  <c r="H16"/>
  <c r="G16"/>
  <c r="F16"/>
  <c r="E16"/>
  <c r="D16"/>
  <c r="C16"/>
  <c r="B16"/>
  <c r="AE15"/>
  <c r="AD15"/>
  <c r="AC15"/>
  <c r="AB15"/>
  <c r="AA15"/>
  <c r="Z15"/>
  <c r="Y15"/>
  <c r="X15"/>
  <c r="W15"/>
  <c r="V15"/>
  <c r="U15"/>
  <c r="T15"/>
  <c r="S15"/>
  <c r="R15"/>
  <c r="Q15"/>
  <c r="P15"/>
  <c r="O15"/>
  <c r="N15"/>
  <c r="M15"/>
  <c r="L15"/>
  <c r="K15"/>
  <c r="J15"/>
  <c r="I15"/>
  <c r="H15"/>
  <c r="G15"/>
  <c r="F15"/>
  <c r="E15"/>
  <c r="D15"/>
  <c r="C15"/>
  <c r="B15"/>
  <c r="AE14"/>
  <c r="AD14"/>
  <c r="AC14"/>
  <c r="AB14"/>
  <c r="AA14"/>
  <c r="Z14"/>
  <c r="Y14"/>
  <c r="X14"/>
  <c r="W14"/>
  <c r="V14"/>
  <c r="U14"/>
  <c r="T14"/>
  <c r="S14"/>
  <c r="R14"/>
  <c r="Q14"/>
  <c r="P14"/>
  <c r="O14"/>
  <c r="N14"/>
  <c r="M14"/>
  <c r="L14"/>
  <c r="K14"/>
  <c r="J14"/>
  <c r="I14"/>
  <c r="H14"/>
  <c r="G14"/>
  <c r="F14"/>
  <c r="E14"/>
  <c r="D14"/>
  <c r="C14"/>
  <c r="B14"/>
  <c r="AE13"/>
  <c r="AD13"/>
  <c r="AC13"/>
  <c r="AB13"/>
  <c r="AA13"/>
  <c r="Z13"/>
  <c r="Y13"/>
  <c r="X13"/>
  <c r="W13"/>
  <c r="V13"/>
  <c r="U13"/>
  <c r="T13"/>
  <c r="S13"/>
  <c r="R13"/>
  <c r="Q13"/>
  <c r="P13"/>
  <c r="O13"/>
  <c r="N13"/>
  <c r="M13"/>
  <c r="L13"/>
  <c r="K13"/>
  <c r="J13"/>
  <c r="I13"/>
  <c r="H13"/>
  <c r="G13"/>
  <c r="F13"/>
  <c r="E13"/>
  <c r="D13"/>
  <c r="C13"/>
  <c r="B13"/>
  <c r="AE12"/>
  <c r="AD12"/>
  <c r="AC12"/>
  <c r="AB12"/>
  <c r="AA12"/>
  <c r="Z12"/>
  <c r="Y12"/>
  <c r="X12"/>
  <c r="W12"/>
  <c r="V12"/>
  <c r="U12"/>
  <c r="T12"/>
  <c r="S12"/>
  <c r="R12"/>
  <c r="Q12"/>
  <c r="P12"/>
  <c r="O12"/>
  <c r="N12"/>
  <c r="M12"/>
  <c r="L12"/>
  <c r="K12"/>
  <c r="J12"/>
  <c r="I12"/>
  <c r="H12"/>
  <c r="G12"/>
  <c r="F12"/>
  <c r="E12"/>
  <c r="D12"/>
  <c r="C12"/>
  <c r="B12"/>
  <c r="AE11"/>
  <c r="AD11"/>
  <c r="AC11"/>
  <c r="AB11"/>
  <c r="AA11"/>
  <c r="Z11"/>
  <c r="Y11"/>
  <c r="X11"/>
  <c r="W11"/>
  <c r="V11"/>
  <c r="U11"/>
  <c r="T11"/>
  <c r="S11"/>
  <c r="R11"/>
  <c r="Q11"/>
  <c r="P11"/>
  <c r="O11"/>
  <c r="N11"/>
  <c r="M11"/>
  <c r="L11"/>
  <c r="K11"/>
  <c r="J11"/>
  <c r="I11"/>
  <c r="H11"/>
  <c r="G11"/>
  <c r="F11"/>
  <c r="E11"/>
  <c r="D11"/>
  <c r="C11"/>
  <c r="B11"/>
  <c r="AE10"/>
  <c r="AD10"/>
  <c r="AC10"/>
  <c r="AB10"/>
  <c r="AA10"/>
  <c r="Z10"/>
  <c r="Y10"/>
  <c r="X10"/>
  <c r="W10"/>
  <c r="V10"/>
  <c r="U10"/>
  <c r="T10"/>
  <c r="S10"/>
  <c r="R10"/>
  <c r="Q10"/>
  <c r="P10"/>
  <c r="O10"/>
  <c r="N10"/>
  <c r="M10"/>
  <c r="L10"/>
  <c r="K10"/>
  <c r="J10"/>
  <c r="I10"/>
  <c r="H10"/>
  <c r="G10"/>
  <c r="F10"/>
  <c r="E10"/>
  <c r="D10"/>
  <c r="C10"/>
  <c r="B10"/>
  <c r="B1"/>
  <c r="AF18" i="10"/>
  <c r="AE18"/>
  <c r="AD18"/>
  <c r="AC18"/>
  <c r="AB18"/>
  <c r="AA18"/>
  <c r="Z18"/>
  <c r="Y18"/>
  <c r="X18"/>
  <c r="W18"/>
  <c r="V18"/>
  <c r="U18"/>
  <c r="T18"/>
  <c r="S18"/>
  <c r="R18"/>
  <c r="Q18"/>
  <c r="P18"/>
  <c r="O18"/>
  <c r="N18"/>
  <c r="M18"/>
  <c r="L18"/>
  <c r="K18"/>
  <c r="J18"/>
  <c r="I18"/>
  <c r="H18"/>
  <c r="G18"/>
  <c r="F18"/>
  <c r="E18"/>
  <c r="D18"/>
  <c r="C18"/>
  <c r="B18"/>
  <c r="AF17"/>
  <c r="AE17"/>
  <c r="AD17"/>
  <c r="AC17"/>
  <c r="AB17"/>
  <c r="AA17"/>
  <c r="Z17"/>
  <c r="Y17"/>
  <c r="X17"/>
  <c r="W17"/>
  <c r="V17"/>
  <c r="U17"/>
  <c r="T17"/>
  <c r="S17"/>
  <c r="R17"/>
  <c r="Q17"/>
  <c r="P17"/>
  <c r="O17"/>
  <c r="N17"/>
  <c r="M17"/>
  <c r="L17"/>
  <c r="K17"/>
  <c r="J17"/>
  <c r="I17"/>
  <c r="H17"/>
  <c r="G17"/>
  <c r="F17"/>
  <c r="E17"/>
  <c r="D17"/>
  <c r="C17"/>
  <c r="B17"/>
  <c r="AF16"/>
  <c r="AE16"/>
  <c r="AD16"/>
  <c r="AC16"/>
  <c r="AB16"/>
  <c r="AA16"/>
  <c r="Z16"/>
  <c r="Y16"/>
  <c r="X16"/>
  <c r="W16"/>
  <c r="V16"/>
  <c r="U16"/>
  <c r="T16"/>
  <c r="S16"/>
  <c r="R16"/>
  <c r="Q16"/>
  <c r="P16"/>
  <c r="O16"/>
  <c r="N16"/>
  <c r="M16"/>
  <c r="L16"/>
  <c r="K16"/>
  <c r="J16"/>
  <c r="I16"/>
  <c r="H16"/>
  <c r="G16"/>
  <c r="F16"/>
  <c r="E16"/>
  <c r="D16"/>
  <c r="C16"/>
  <c r="B16"/>
  <c r="AF15"/>
  <c r="AE15"/>
  <c r="AD15"/>
  <c r="AC15"/>
  <c r="AB15"/>
  <c r="AA15"/>
  <c r="Z15"/>
  <c r="Y15"/>
  <c r="X15"/>
  <c r="W15"/>
  <c r="V15"/>
  <c r="U15"/>
  <c r="T15"/>
  <c r="S15"/>
  <c r="R15"/>
  <c r="Q15"/>
  <c r="P15"/>
  <c r="O15"/>
  <c r="N15"/>
  <c r="M15"/>
  <c r="L15"/>
  <c r="K15"/>
  <c r="J15"/>
  <c r="I15"/>
  <c r="H15"/>
  <c r="G15"/>
  <c r="F15"/>
  <c r="E15"/>
  <c r="D15"/>
  <c r="C15"/>
  <c r="B15"/>
  <c r="AF14"/>
  <c r="AE14"/>
  <c r="AD14"/>
  <c r="AC14"/>
  <c r="AB14"/>
  <c r="AA14"/>
  <c r="Z14"/>
  <c r="Y14"/>
  <c r="X14"/>
  <c r="W14"/>
  <c r="V14"/>
  <c r="U14"/>
  <c r="T14"/>
  <c r="S14"/>
  <c r="R14"/>
  <c r="Q14"/>
  <c r="P14"/>
  <c r="O14"/>
  <c r="N14"/>
  <c r="M14"/>
  <c r="L14"/>
  <c r="K14"/>
  <c r="J14"/>
  <c r="I14"/>
  <c r="H14"/>
  <c r="G14"/>
  <c r="F14"/>
  <c r="E14"/>
  <c r="D14"/>
  <c r="C14"/>
  <c r="B14"/>
  <c r="AF13"/>
  <c r="AE13"/>
  <c r="AD13"/>
  <c r="AC13"/>
  <c r="AB13"/>
  <c r="AA13"/>
  <c r="Z13"/>
  <c r="Y13"/>
  <c r="X13"/>
  <c r="W13"/>
  <c r="V13"/>
  <c r="U13"/>
  <c r="T13"/>
  <c r="S13"/>
  <c r="R13"/>
  <c r="Q13"/>
  <c r="P13"/>
  <c r="O13"/>
  <c r="N13"/>
  <c r="M13"/>
  <c r="L13"/>
  <c r="K13"/>
  <c r="J13"/>
  <c r="I13"/>
  <c r="H13"/>
  <c r="G13"/>
  <c r="F13"/>
  <c r="E13"/>
  <c r="D13"/>
  <c r="C13"/>
  <c r="B13"/>
  <c r="AF12"/>
  <c r="AE12"/>
  <c r="AD12"/>
  <c r="AC12"/>
  <c r="AB12"/>
  <c r="AA12"/>
  <c r="Z12"/>
  <c r="Y12"/>
  <c r="X12"/>
  <c r="W12"/>
  <c r="V12"/>
  <c r="U12"/>
  <c r="T12"/>
  <c r="S12"/>
  <c r="R12"/>
  <c r="Q12"/>
  <c r="P12"/>
  <c r="O12"/>
  <c r="N12"/>
  <c r="M12"/>
  <c r="L12"/>
  <c r="K12"/>
  <c r="J12"/>
  <c r="I12"/>
  <c r="H12"/>
  <c r="G12"/>
  <c r="F12"/>
  <c r="E12"/>
  <c r="D12"/>
  <c r="C12"/>
  <c r="B12"/>
  <c r="AF11"/>
  <c r="AE11"/>
  <c r="AD11"/>
  <c r="AC11"/>
  <c r="AB11"/>
  <c r="AA11"/>
  <c r="Z11"/>
  <c r="Y11"/>
  <c r="X11"/>
  <c r="W11"/>
  <c r="V11"/>
  <c r="U11"/>
  <c r="T11"/>
  <c r="S11"/>
  <c r="R11"/>
  <c r="Q11"/>
  <c r="P11"/>
  <c r="O11"/>
  <c r="N11"/>
  <c r="M11"/>
  <c r="L11"/>
  <c r="K11"/>
  <c r="J11"/>
  <c r="I11"/>
  <c r="H11"/>
  <c r="G11"/>
  <c r="F11"/>
  <c r="E11"/>
  <c r="D11"/>
  <c r="C11"/>
  <c r="B11"/>
  <c r="AF10"/>
  <c r="AE10"/>
  <c r="AD10"/>
  <c r="AC10"/>
  <c r="AB10"/>
  <c r="AA10"/>
  <c r="Z10"/>
  <c r="Y10"/>
  <c r="X10"/>
  <c r="W10"/>
  <c r="V10"/>
  <c r="U10"/>
  <c r="T10"/>
  <c r="S10"/>
  <c r="R10"/>
  <c r="Q10"/>
  <c r="P10"/>
  <c r="O10"/>
  <c r="N10"/>
  <c r="M10"/>
  <c r="L10"/>
  <c r="K10"/>
  <c r="J10"/>
  <c r="I10"/>
  <c r="H10"/>
  <c r="G10"/>
  <c r="F10"/>
  <c r="E10"/>
  <c r="D10"/>
  <c r="C10"/>
  <c r="B10"/>
  <c r="B1"/>
  <c r="AE18" i="9"/>
  <c r="AD18"/>
  <c r="AC18"/>
  <c r="AB18"/>
  <c r="AA18"/>
  <c r="Z18"/>
  <c r="Y18"/>
  <c r="X18"/>
  <c r="W18"/>
  <c r="V18"/>
  <c r="U18"/>
  <c r="T18"/>
  <c r="S18"/>
  <c r="R18"/>
  <c r="Q18"/>
  <c r="P18"/>
  <c r="O18"/>
  <c r="N18"/>
  <c r="M18"/>
  <c r="L18"/>
  <c r="K18"/>
  <c r="J18"/>
  <c r="I18"/>
  <c r="H18"/>
  <c r="G18"/>
  <c r="F18"/>
  <c r="E18"/>
  <c r="D18"/>
  <c r="C18"/>
  <c r="B18"/>
  <c r="AE17"/>
  <c r="AD17"/>
  <c r="AC17"/>
  <c r="AB17"/>
  <c r="AA17"/>
  <c r="Z17"/>
  <c r="Y17"/>
  <c r="X17"/>
  <c r="W17"/>
  <c r="V17"/>
  <c r="U17"/>
  <c r="T17"/>
  <c r="S17"/>
  <c r="R17"/>
  <c r="Q17"/>
  <c r="P17"/>
  <c r="O17"/>
  <c r="N17"/>
  <c r="M17"/>
  <c r="L17"/>
  <c r="K17"/>
  <c r="J17"/>
  <c r="I17"/>
  <c r="H17"/>
  <c r="G17"/>
  <c r="F17"/>
  <c r="E17"/>
  <c r="D17"/>
  <c r="C17"/>
  <c r="B17"/>
  <c r="AE16"/>
  <c r="AD16"/>
  <c r="AC16"/>
  <c r="AB16"/>
  <c r="AA16"/>
  <c r="Z16"/>
  <c r="Y16"/>
  <c r="X16"/>
  <c r="W16"/>
  <c r="V16"/>
  <c r="U16"/>
  <c r="T16"/>
  <c r="S16"/>
  <c r="R16"/>
  <c r="Q16"/>
  <c r="P16"/>
  <c r="O16"/>
  <c r="N16"/>
  <c r="M16"/>
  <c r="L16"/>
  <c r="K16"/>
  <c r="J16"/>
  <c r="I16"/>
  <c r="H16"/>
  <c r="G16"/>
  <c r="F16"/>
  <c r="E16"/>
  <c r="D16"/>
  <c r="C16"/>
  <c r="B16"/>
  <c r="AE15"/>
  <c r="AD15"/>
  <c r="AC15"/>
  <c r="AB15"/>
  <c r="AA15"/>
  <c r="Z15"/>
  <c r="Y15"/>
  <c r="X15"/>
  <c r="W15"/>
  <c r="V15"/>
  <c r="U15"/>
  <c r="T15"/>
  <c r="S15"/>
  <c r="R15"/>
  <c r="Q15"/>
  <c r="P15"/>
  <c r="O15"/>
  <c r="N15"/>
  <c r="M15"/>
  <c r="L15"/>
  <c r="K15"/>
  <c r="J15"/>
  <c r="I15"/>
  <c r="H15"/>
  <c r="G15"/>
  <c r="F15"/>
  <c r="E15"/>
  <c r="D15"/>
  <c r="C15"/>
  <c r="B15"/>
  <c r="AE14"/>
  <c r="AD14"/>
  <c r="AC14"/>
  <c r="AB14"/>
  <c r="AA14"/>
  <c r="Z14"/>
  <c r="Y14"/>
  <c r="X14"/>
  <c r="W14"/>
  <c r="V14"/>
  <c r="U14"/>
  <c r="T14"/>
  <c r="S14"/>
  <c r="R14"/>
  <c r="Q14"/>
  <c r="P14"/>
  <c r="O14"/>
  <c r="N14"/>
  <c r="M14"/>
  <c r="L14"/>
  <c r="K14"/>
  <c r="J14"/>
  <c r="I14"/>
  <c r="H14"/>
  <c r="G14"/>
  <c r="F14"/>
  <c r="E14"/>
  <c r="D14"/>
  <c r="C14"/>
  <c r="B14"/>
  <c r="AE13"/>
  <c r="AD13"/>
  <c r="AC13"/>
  <c r="AB13"/>
  <c r="AA13"/>
  <c r="Z13"/>
  <c r="Y13"/>
  <c r="X13"/>
  <c r="W13"/>
  <c r="V13"/>
  <c r="U13"/>
  <c r="T13"/>
  <c r="S13"/>
  <c r="R13"/>
  <c r="Q13"/>
  <c r="P13"/>
  <c r="O13"/>
  <c r="N13"/>
  <c r="M13"/>
  <c r="L13"/>
  <c r="K13"/>
  <c r="J13"/>
  <c r="I13"/>
  <c r="H13"/>
  <c r="G13"/>
  <c r="F13"/>
  <c r="E13"/>
  <c r="D13"/>
  <c r="C13"/>
  <c r="B13"/>
  <c r="AE12"/>
  <c r="AD12"/>
  <c r="AC12"/>
  <c r="AB12"/>
  <c r="AA12"/>
  <c r="Z12"/>
  <c r="Y12"/>
  <c r="X12"/>
  <c r="W12"/>
  <c r="V12"/>
  <c r="U12"/>
  <c r="T12"/>
  <c r="S12"/>
  <c r="R12"/>
  <c r="Q12"/>
  <c r="P12"/>
  <c r="O12"/>
  <c r="N12"/>
  <c r="M12"/>
  <c r="L12"/>
  <c r="K12"/>
  <c r="J12"/>
  <c r="I12"/>
  <c r="H12"/>
  <c r="G12"/>
  <c r="F12"/>
  <c r="E12"/>
  <c r="D12"/>
  <c r="C12"/>
  <c r="B12"/>
  <c r="AE11"/>
  <c r="AD11"/>
  <c r="AC11"/>
  <c r="AB11"/>
  <c r="AA11"/>
  <c r="Z11"/>
  <c r="Y11"/>
  <c r="X11"/>
  <c r="W11"/>
  <c r="V11"/>
  <c r="U11"/>
  <c r="T11"/>
  <c r="S11"/>
  <c r="R11"/>
  <c r="Q11"/>
  <c r="P11"/>
  <c r="O11"/>
  <c r="N11"/>
  <c r="M11"/>
  <c r="L11"/>
  <c r="K11"/>
  <c r="J11"/>
  <c r="I11"/>
  <c r="H11"/>
  <c r="G11"/>
  <c r="F11"/>
  <c r="E11"/>
  <c r="D11"/>
  <c r="C11"/>
  <c r="B11"/>
  <c r="AE10"/>
  <c r="AD10"/>
  <c r="AC10"/>
  <c r="AB10"/>
  <c r="AA10"/>
  <c r="Z10"/>
  <c r="Y10"/>
  <c r="X10"/>
  <c r="W10"/>
  <c r="V10"/>
  <c r="U10"/>
  <c r="T10"/>
  <c r="S10"/>
  <c r="R10"/>
  <c r="Q10"/>
  <c r="P10"/>
  <c r="O10"/>
  <c r="N10"/>
  <c r="M10"/>
  <c r="L10"/>
  <c r="K10"/>
  <c r="J10"/>
  <c r="I10"/>
  <c r="H10"/>
  <c r="G10"/>
  <c r="F10"/>
  <c r="E10"/>
  <c r="D10"/>
  <c r="C10"/>
  <c r="B10"/>
  <c r="B1"/>
  <c r="AF18" i="8"/>
  <c r="AE18"/>
  <c r="AD18"/>
  <c r="AC18"/>
  <c r="AB18"/>
  <c r="AA18"/>
  <c r="Z18"/>
  <c r="Y18"/>
  <c r="X18"/>
  <c r="W18"/>
  <c r="V18"/>
  <c r="U18"/>
  <c r="T18"/>
  <c r="S18"/>
  <c r="R18"/>
  <c r="Q18"/>
  <c r="P18"/>
  <c r="O18"/>
  <c r="N18"/>
  <c r="M18"/>
  <c r="L18"/>
  <c r="K18"/>
  <c r="J18"/>
  <c r="I18"/>
  <c r="H18"/>
  <c r="G18"/>
  <c r="F18"/>
  <c r="E18"/>
  <c r="D18"/>
  <c r="C18"/>
  <c r="B18"/>
  <c r="AF17"/>
  <c r="AE17"/>
  <c r="AD17"/>
  <c r="AC17"/>
  <c r="AB17"/>
  <c r="AA17"/>
  <c r="Z17"/>
  <c r="Y17"/>
  <c r="X17"/>
  <c r="W17"/>
  <c r="V17"/>
  <c r="U17"/>
  <c r="T17"/>
  <c r="S17"/>
  <c r="R17"/>
  <c r="Q17"/>
  <c r="P17"/>
  <c r="O17"/>
  <c r="N17"/>
  <c r="M17"/>
  <c r="L17"/>
  <c r="K17"/>
  <c r="J17"/>
  <c r="I17"/>
  <c r="H17"/>
  <c r="G17"/>
  <c r="F17"/>
  <c r="E17"/>
  <c r="D17"/>
  <c r="C17"/>
  <c r="B17"/>
  <c r="AF16"/>
  <c r="AE16"/>
  <c r="AD16"/>
  <c r="AC16"/>
  <c r="AB16"/>
  <c r="AA16"/>
  <c r="Z16"/>
  <c r="Y16"/>
  <c r="X16"/>
  <c r="W16"/>
  <c r="V16"/>
  <c r="U16"/>
  <c r="T16"/>
  <c r="S16"/>
  <c r="R16"/>
  <c r="Q16"/>
  <c r="P16"/>
  <c r="O16"/>
  <c r="N16"/>
  <c r="M16"/>
  <c r="L16"/>
  <c r="K16"/>
  <c r="J16"/>
  <c r="I16"/>
  <c r="H16"/>
  <c r="G16"/>
  <c r="F16"/>
  <c r="E16"/>
  <c r="D16"/>
  <c r="C16"/>
  <c r="B16"/>
  <c r="AF15"/>
  <c r="AE15"/>
  <c r="AD15"/>
  <c r="AC15"/>
  <c r="AB15"/>
  <c r="AA15"/>
  <c r="Z15"/>
  <c r="Y15"/>
  <c r="X15"/>
  <c r="W15"/>
  <c r="V15"/>
  <c r="U15"/>
  <c r="T15"/>
  <c r="S15"/>
  <c r="R15"/>
  <c r="Q15"/>
  <c r="P15"/>
  <c r="O15"/>
  <c r="N15"/>
  <c r="M15"/>
  <c r="L15"/>
  <c r="K15"/>
  <c r="J15"/>
  <c r="I15"/>
  <c r="H15"/>
  <c r="G15"/>
  <c r="F15"/>
  <c r="E15"/>
  <c r="D15"/>
  <c r="C15"/>
  <c r="B15"/>
  <c r="AF14"/>
  <c r="AE14"/>
  <c r="AD14"/>
  <c r="AC14"/>
  <c r="AB14"/>
  <c r="AA14"/>
  <c r="Z14"/>
  <c r="Y14"/>
  <c r="X14"/>
  <c r="W14"/>
  <c r="V14"/>
  <c r="U14"/>
  <c r="T14"/>
  <c r="S14"/>
  <c r="R14"/>
  <c r="Q14"/>
  <c r="P14"/>
  <c r="O14"/>
  <c r="N14"/>
  <c r="M14"/>
  <c r="L14"/>
  <c r="K14"/>
  <c r="J14"/>
  <c r="I14"/>
  <c r="H14"/>
  <c r="G14"/>
  <c r="F14"/>
  <c r="E14"/>
  <c r="D14"/>
  <c r="C14"/>
  <c r="B14"/>
  <c r="AF13"/>
  <c r="AE13"/>
  <c r="AD13"/>
  <c r="AC13"/>
  <c r="AB13"/>
  <c r="AA13"/>
  <c r="Z13"/>
  <c r="Y13"/>
  <c r="X13"/>
  <c r="W13"/>
  <c r="V13"/>
  <c r="U13"/>
  <c r="T13"/>
  <c r="S13"/>
  <c r="R13"/>
  <c r="Q13"/>
  <c r="P13"/>
  <c r="O13"/>
  <c r="N13"/>
  <c r="M13"/>
  <c r="L13"/>
  <c r="K13"/>
  <c r="J13"/>
  <c r="I13"/>
  <c r="H13"/>
  <c r="G13"/>
  <c r="F13"/>
  <c r="E13"/>
  <c r="D13"/>
  <c r="C13"/>
  <c r="B13"/>
  <c r="AF12"/>
  <c r="AE12"/>
  <c r="AD12"/>
  <c r="AC12"/>
  <c r="AB12"/>
  <c r="AA12"/>
  <c r="Z12"/>
  <c r="Y12"/>
  <c r="X12"/>
  <c r="W12"/>
  <c r="V12"/>
  <c r="U12"/>
  <c r="T12"/>
  <c r="S12"/>
  <c r="R12"/>
  <c r="Q12"/>
  <c r="P12"/>
  <c r="O12"/>
  <c r="N12"/>
  <c r="M12"/>
  <c r="L12"/>
  <c r="K12"/>
  <c r="J12"/>
  <c r="I12"/>
  <c r="H12"/>
  <c r="G12"/>
  <c r="F12"/>
  <c r="E12"/>
  <c r="D12"/>
  <c r="C12"/>
  <c r="B12"/>
  <c r="AF11"/>
  <c r="AE11"/>
  <c r="AD11"/>
  <c r="AC11"/>
  <c r="AB11"/>
  <c r="AA11"/>
  <c r="Z11"/>
  <c r="Y11"/>
  <c r="X11"/>
  <c r="W11"/>
  <c r="V11"/>
  <c r="U11"/>
  <c r="T11"/>
  <c r="S11"/>
  <c r="R11"/>
  <c r="Q11"/>
  <c r="P11"/>
  <c r="O11"/>
  <c r="N11"/>
  <c r="M11"/>
  <c r="L11"/>
  <c r="K11"/>
  <c r="J11"/>
  <c r="I11"/>
  <c r="H11"/>
  <c r="G11"/>
  <c r="F11"/>
  <c r="E11"/>
  <c r="D11"/>
  <c r="C11"/>
  <c r="B11"/>
  <c r="AF10"/>
  <c r="AE10"/>
  <c r="AD10"/>
  <c r="AC10"/>
  <c r="AB10"/>
  <c r="AA10"/>
  <c r="Z10"/>
  <c r="Y10"/>
  <c r="X10"/>
  <c r="W10"/>
  <c r="V10"/>
  <c r="U10"/>
  <c r="T10"/>
  <c r="S10"/>
  <c r="R10"/>
  <c r="Q10"/>
  <c r="P10"/>
  <c r="O10"/>
  <c r="N10"/>
  <c r="M10"/>
  <c r="L10"/>
  <c r="K10"/>
  <c r="J10"/>
  <c r="I10"/>
  <c r="H10"/>
  <c r="G10"/>
  <c r="F10"/>
  <c r="E10"/>
  <c r="D10"/>
  <c r="C10"/>
  <c r="B10"/>
  <c r="B1"/>
  <c r="AF18" i="7"/>
  <c r="AE18"/>
  <c r="AD18"/>
  <c r="AC18"/>
  <c r="AB18"/>
  <c r="AA18"/>
  <c r="Z18"/>
  <c r="Y18"/>
  <c r="X18"/>
  <c r="W18"/>
  <c r="V18"/>
  <c r="U18"/>
  <c r="T18"/>
  <c r="S18"/>
  <c r="R18"/>
  <c r="Q18"/>
  <c r="P18"/>
  <c r="O18"/>
  <c r="N18"/>
  <c r="M18"/>
  <c r="L18"/>
  <c r="K18"/>
  <c r="J18"/>
  <c r="I18"/>
  <c r="H18"/>
  <c r="G18"/>
  <c r="F18"/>
  <c r="E18"/>
  <c r="D18"/>
  <c r="C18"/>
  <c r="B18"/>
  <c r="AF17"/>
  <c r="AE17"/>
  <c r="AD17"/>
  <c r="AC17"/>
  <c r="AB17"/>
  <c r="AA17"/>
  <c r="Z17"/>
  <c r="Y17"/>
  <c r="X17"/>
  <c r="W17"/>
  <c r="V17"/>
  <c r="U17"/>
  <c r="T17"/>
  <c r="S17"/>
  <c r="R17"/>
  <c r="Q17"/>
  <c r="P17"/>
  <c r="O17"/>
  <c r="N17"/>
  <c r="M17"/>
  <c r="L17"/>
  <c r="K17"/>
  <c r="J17"/>
  <c r="I17"/>
  <c r="H17"/>
  <c r="G17"/>
  <c r="F17"/>
  <c r="E17"/>
  <c r="D17"/>
  <c r="C17"/>
  <c r="B17"/>
  <c r="AF16"/>
  <c r="AE16"/>
  <c r="AD16"/>
  <c r="AC16"/>
  <c r="AB16"/>
  <c r="AA16"/>
  <c r="Z16"/>
  <c r="Y16"/>
  <c r="X16"/>
  <c r="W16"/>
  <c r="V16"/>
  <c r="U16"/>
  <c r="T16"/>
  <c r="S16"/>
  <c r="R16"/>
  <c r="Q16"/>
  <c r="P16"/>
  <c r="O16"/>
  <c r="N16"/>
  <c r="M16"/>
  <c r="L16"/>
  <c r="K16"/>
  <c r="J16"/>
  <c r="I16"/>
  <c r="H16"/>
  <c r="G16"/>
  <c r="F16"/>
  <c r="E16"/>
  <c r="D16"/>
  <c r="C16"/>
  <c r="B16"/>
  <c r="AF15"/>
  <c r="AE15"/>
  <c r="AD15"/>
  <c r="AC15"/>
  <c r="AB15"/>
  <c r="AA15"/>
  <c r="Z15"/>
  <c r="Y15"/>
  <c r="X15"/>
  <c r="W15"/>
  <c r="V15"/>
  <c r="U15"/>
  <c r="T15"/>
  <c r="S15"/>
  <c r="R15"/>
  <c r="Q15"/>
  <c r="P15"/>
  <c r="O15"/>
  <c r="N15"/>
  <c r="M15"/>
  <c r="L15"/>
  <c r="K15"/>
  <c r="J15"/>
  <c r="I15"/>
  <c r="H15"/>
  <c r="G15"/>
  <c r="F15"/>
  <c r="E15"/>
  <c r="D15"/>
  <c r="C15"/>
  <c r="B15"/>
  <c r="AF14"/>
  <c r="AE14"/>
  <c r="AD14"/>
  <c r="AC14"/>
  <c r="AB14"/>
  <c r="AA14"/>
  <c r="Z14"/>
  <c r="Y14"/>
  <c r="X14"/>
  <c r="W14"/>
  <c r="V14"/>
  <c r="U14"/>
  <c r="T14"/>
  <c r="S14"/>
  <c r="R14"/>
  <c r="Q14"/>
  <c r="P14"/>
  <c r="O14"/>
  <c r="N14"/>
  <c r="M14"/>
  <c r="L14"/>
  <c r="K14"/>
  <c r="J14"/>
  <c r="I14"/>
  <c r="H14"/>
  <c r="G14"/>
  <c r="F14"/>
  <c r="E14"/>
  <c r="D14"/>
  <c r="C14"/>
  <c r="B14"/>
  <c r="AF13"/>
  <c r="AE13"/>
  <c r="AD13"/>
  <c r="AC13"/>
  <c r="AB13"/>
  <c r="AA13"/>
  <c r="Z13"/>
  <c r="Y13"/>
  <c r="X13"/>
  <c r="W13"/>
  <c r="V13"/>
  <c r="U13"/>
  <c r="T13"/>
  <c r="S13"/>
  <c r="R13"/>
  <c r="Q13"/>
  <c r="P13"/>
  <c r="O13"/>
  <c r="N13"/>
  <c r="M13"/>
  <c r="L13"/>
  <c r="K13"/>
  <c r="J13"/>
  <c r="I13"/>
  <c r="H13"/>
  <c r="G13"/>
  <c r="F13"/>
  <c r="E13"/>
  <c r="D13"/>
  <c r="C13"/>
  <c r="B13"/>
  <c r="AF12"/>
  <c r="AE12"/>
  <c r="AD12"/>
  <c r="AC12"/>
  <c r="AB12"/>
  <c r="AA12"/>
  <c r="Z12"/>
  <c r="Y12"/>
  <c r="X12"/>
  <c r="W12"/>
  <c r="V12"/>
  <c r="U12"/>
  <c r="T12"/>
  <c r="S12"/>
  <c r="R12"/>
  <c r="Q12"/>
  <c r="P12"/>
  <c r="O12"/>
  <c r="N12"/>
  <c r="M12"/>
  <c r="L12"/>
  <c r="K12"/>
  <c r="J12"/>
  <c r="I12"/>
  <c r="H12"/>
  <c r="G12"/>
  <c r="F12"/>
  <c r="E12"/>
  <c r="D12"/>
  <c r="C12"/>
  <c r="B12"/>
  <c r="AF11"/>
  <c r="AE11"/>
  <c r="AD11"/>
  <c r="AC11"/>
  <c r="AB11"/>
  <c r="AA11"/>
  <c r="Z11"/>
  <c r="Y11"/>
  <c r="X11"/>
  <c r="W11"/>
  <c r="V11"/>
  <c r="U11"/>
  <c r="T11"/>
  <c r="S11"/>
  <c r="R11"/>
  <c r="Q11"/>
  <c r="P11"/>
  <c r="O11"/>
  <c r="N11"/>
  <c r="M11"/>
  <c r="L11"/>
  <c r="K11"/>
  <c r="J11"/>
  <c r="I11"/>
  <c r="H11"/>
  <c r="G11"/>
  <c r="F11"/>
  <c r="E11"/>
  <c r="D11"/>
  <c r="C11"/>
  <c r="B11"/>
  <c r="AF10"/>
  <c r="AE10"/>
  <c r="AD10"/>
  <c r="AC10"/>
  <c r="AB10"/>
  <c r="AA10"/>
  <c r="Z10"/>
  <c r="Y10"/>
  <c r="X10"/>
  <c r="W10"/>
  <c r="V10"/>
  <c r="U10"/>
  <c r="T10"/>
  <c r="S10"/>
  <c r="R10"/>
  <c r="Q10"/>
  <c r="P10"/>
  <c r="O10"/>
  <c r="N10"/>
  <c r="M10"/>
  <c r="L10"/>
  <c r="K10"/>
  <c r="J10"/>
  <c r="I10"/>
  <c r="H10"/>
  <c r="G10"/>
  <c r="F10"/>
  <c r="E10"/>
  <c r="D10"/>
  <c r="C10"/>
  <c r="B10"/>
  <c r="B1"/>
  <c r="AE27" i="6"/>
  <c r="AD27"/>
  <c r="AC27"/>
  <c r="AB27"/>
  <c r="AA27"/>
  <c r="Z27"/>
  <c r="Y27"/>
  <c r="X27"/>
  <c r="W27"/>
  <c r="V27"/>
  <c r="U27"/>
  <c r="T27"/>
  <c r="S27"/>
  <c r="R27"/>
  <c r="Q27"/>
  <c r="P27"/>
  <c r="O27"/>
  <c r="N27"/>
  <c r="M27"/>
  <c r="L27"/>
  <c r="K27"/>
  <c r="J27"/>
  <c r="I27"/>
  <c r="H27"/>
  <c r="G27"/>
  <c r="F27"/>
  <c r="E27"/>
  <c r="D27"/>
  <c r="C27"/>
  <c r="B27"/>
  <c r="AE26"/>
  <c r="AD26"/>
  <c r="AC26"/>
  <c r="AB26"/>
  <c r="AA26"/>
  <c r="Z26"/>
  <c r="Y26"/>
  <c r="X26"/>
  <c r="W26"/>
  <c r="V26"/>
  <c r="U26"/>
  <c r="T26"/>
  <c r="S26"/>
  <c r="R26"/>
  <c r="Q26"/>
  <c r="P26"/>
  <c r="O26"/>
  <c r="N26"/>
  <c r="M26"/>
  <c r="L26"/>
  <c r="K26"/>
  <c r="J26"/>
  <c r="I26"/>
  <c r="H26"/>
  <c r="G26"/>
  <c r="F26"/>
  <c r="E26"/>
  <c r="D26"/>
  <c r="C26"/>
  <c r="B26"/>
  <c r="AE25"/>
  <c r="AD25"/>
  <c r="AC25"/>
  <c r="AB25"/>
  <c r="AA25"/>
  <c r="Z25"/>
  <c r="Y25"/>
  <c r="X25"/>
  <c r="W25"/>
  <c r="V25"/>
  <c r="U25"/>
  <c r="T25"/>
  <c r="S25"/>
  <c r="R25"/>
  <c r="Q25"/>
  <c r="P25"/>
  <c r="O25"/>
  <c r="N25"/>
  <c r="M25"/>
  <c r="L25"/>
  <c r="K25"/>
  <c r="J25"/>
  <c r="I25"/>
  <c r="H25"/>
  <c r="G25"/>
  <c r="F25"/>
  <c r="E25"/>
  <c r="D25"/>
  <c r="C25"/>
  <c r="B25"/>
  <c r="AE24"/>
  <c r="AD24"/>
  <c r="AC24"/>
  <c r="AB24"/>
  <c r="AA24"/>
  <c r="Z24"/>
  <c r="Y24"/>
  <c r="X24"/>
  <c r="W24"/>
  <c r="V24"/>
  <c r="U24"/>
  <c r="T24"/>
  <c r="S24"/>
  <c r="R24"/>
  <c r="Q24"/>
  <c r="P24"/>
  <c r="O24"/>
  <c r="N24"/>
  <c r="M24"/>
  <c r="L24"/>
  <c r="K24"/>
  <c r="J24"/>
  <c r="I24"/>
  <c r="H24"/>
  <c r="G24"/>
  <c r="F24"/>
  <c r="E24"/>
  <c r="D24"/>
  <c r="C24"/>
  <c r="B24"/>
  <c r="AE23"/>
  <c r="AD23"/>
  <c r="AC23"/>
  <c r="AB23"/>
  <c r="AA23"/>
  <c r="Z23"/>
  <c r="Y23"/>
  <c r="X23"/>
  <c r="W23"/>
  <c r="V23"/>
  <c r="U23"/>
  <c r="T23"/>
  <c r="S23"/>
  <c r="R23"/>
  <c r="Q23"/>
  <c r="P23"/>
  <c r="O23"/>
  <c r="N23"/>
  <c r="M23"/>
  <c r="L23"/>
  <c r="K23"/>
  <c r="J23"/>
  <c r="I23"/>
  <c r="H23"/>
  <c r="G23"/>
  <c r="F23"/>
  <c r="E23"/>
  <c r="D23"/>
  <c r="C23"/>
  <c r="B23"/>
  <c r="AE22"/>
  <c r="AD22"/>
  <c r="AC22"/>
  <c r="AB22"/>
  <c r="AA22"/>
  <c r="Z22"/>
  <c r="Y22"/>
  <c r="X22"/>
  <c r="W22"/>
  <c r="V22"/>
  <c r="U22"/>
  <c r="T22"/>
  <c r="S22"/>
  <c r="R22"/>
  <c r="Q22"/>
  <c r="P22"/>
  <c r="O22"/>
  <c r="N22"/>
  <c r="M22"/>
  <c r="L22"/>
  <c r="K22"/>
  <c r="J22"/>
  <c r="I22"/>
  <c r="H22"/>
  <c r="G22"/>
  <c r="F22"/>
  <c r="E22"/>
  <c r="D22"/>
  <c r="C22"/>
  <c r="B22"/>
  <c r="AE21"/>
  <c r="AD21"/>
  <c r="AC21"/>
  <c r="AB21"/>
  <c r="AA21"/>
  <c r="Z21"/>
  <c r="Y21"/>
  <c r="X21"/>
  <c r="W21"/>
  <c r="V21"/>
  <c r="U21"/>
  <c r="T21"/>
  <c r="S21"/>
  <c r="R21"/>
  <c r="Q21"/>
  <c r="P21"/>
  <c r="O21"/>
  <c r="N21"/>
  <c r="M21"/>
  <c r="L21"/>
  <c r="K21"/>
  <c r="J21"/>
  <c r="I21"/>
  <c r="H21"/>
  <c r="G21"/>
  <c r="F21"/>
  <c r="E21"/>
  <c r="D21"/>
  <c r="C21"/>
  <c r="B21"/>
  <c r="AE20"/>
  <c r="AD20"/>
  <c r="AC20"/>
  <c r="AB20"/>
  <c r="AA20"/>
  <c r="Z20"/>
  <c r="Y20"/>
  <c r="X20"/>
  <c r="W20"/>
  <c r="V20"/>
  <c r="U20"/>
  <c r="T20"/>
  <c r="S20"/>
  <c r="R20"/>
  <c r="Q20"/>
  <c r="P20"/>
  <c r="O20"/>
  <c r="N20"/>
  <c r="M20"/>
  <c r="L20"/>
  <c r="K20"/>
  <c r="J20"/>
  <c r="I20"/>
  <c r="H20"/>
  <c r="G20"/>
  <c r="F20"/>
  <c r="E20"/>
  <c r="D20"/>
  <c r="C20"/>
  <c r="B20"/>
  <c r="AE19"/>
  <c r="AD19"/>
  <c r="AC19"/>
  <c r="AB19"/>
  <c r="AA19"/>
  <c r="Z19"/>
  <c r="Y19"/>
  <c r="X19"/>
  <c r="W19"/>
  <c r="V19"/>
  <c r="U19"/>
  <c r="T19"/>
  <c r="S19"/>
  <c r="R19"/>
  <c r="Q19"/>
  <c r="P19"/>
  <c r="O19"/>
  <c r="N19"/>
  <c r="M19"/>
  <c r="L19"/>
  <c r="K19"/>
  <c r="J19"/>
  <c r="I19"/>
  <c r="H19"/>
  <c r="G19"/>
  <c r="F19"/>
  <c r="E19"/>
  <c r="D19"/>
  <c r="C19"/>
  <c r="B19"/>
  <c r="AE18"/>
  <c r="AD18"/>
  <c r="AC18"/>
  <c r="AB18"/>
  <c r="AA18"/>
  <c r="Z18"/>
  <c r="Y18"/>
  <c r="X18"/>
  <c r="W18"/>
  <c r="V18"/>
  <c r="U18"/>
  <c r="T18"/>
  <c r="S18"/>
  <c r="R18"/>
  <c r="Q18"/>
  <c r="P18"/>
  <c r="O18"/>
  <c r="N18"/>
  <c r="M18"/>
  <c r="L18"/>
  <c r="K18"/>
  <c r="J18"/>
  <c r="I18"/>
  <c r="H18"/>
  <c r="G18"/>
  <c r="F18"/>
  <c r="E18"/>
  <c r="D18"/>
  <c r="C18"/>
  <c r="B18"/>
  <c r="AE17"/>
  <c r="AD17"/>
  <c r="AC17"/>
  <c r="AB17"/>
  <c r="AA17"/>
  <c r="Z17"/>
  <c r="Y17"/>
  <c r="X17"/>
  <c r="W17"/>
  <c r="V17"/>
  <c r="U17"/>
  <c r="T17"/>
  <c r="S17"/>
  <c r="R17"/>
  <c r="Q17"/>
  <c r="P17"/>
  <c r="O17"/>
  <c r="N17"/>
  <c r="M17"/>
  <c r="L17"/>
  <c r="K17"/>
  <c r="J17"/>
  <c r="I17"/>
  <c r="H17"/>
  <c r="G17"/>
  <c r="F17"/>
  <c r="E17"/>
  <c r="D17"/>
  <c r="C17"/>
  <c r="B17"/>
  <c r="AE16"/>
  <c r="AD16"/>
  <c r="AC16"/>
  <c r="AB16"/>
  <c r="AA16"/>
  <c r="Z16"/>
  <c r="Y16"/>
  <c r="X16"/>
  <c r="W16"/>
  <c r="V16"/>
  <c r="U16"/>
  <c r="T16"/>
  <c r="S16"/>
  <c r="R16"/>
  <c r="Q16"/>
  <c r="P16"/>
  <c r="O16"/>
  <c r="N16"/>
  <c r="M16"/>
  <c r="L16"/>
  <c r="K16"/>
  <c r="J16"/>
  <c r="I16"/>
  <c r="H16"/>
  <c r="G16"/>
  <c r="F16"/>
  <c r="E16"/>
  <c r="D16"/>
  <c r="C16"/>
  <c r="B16"/>
  <c r="AE15"/>
  <c r="AD15"/>
  <c r="AC15"/>
  <c r="AB15"/>
  <c r="AA15"/>
  <c r="Z15"/>
  <c r="Y15"/>
  <c r="X15"/>
  <c r="W15"/>
  <c r="V15"/>
  <c r="U15"/>
  <c r="T15"/>
  <c r="S15"/>
  <c r="R15"/>
  <c r="Q15"/>
  <c r="P15"/>
  <c r="O15"/>
  <c r="N15"/>
  <c r="M15"/>
  <c r="L15"/>
  <c r="K15"/>
  <c r="J15"/>
  <c r="I15"/>
  <c r="H15"/>
  <c r="G15"/>
  <c r="F15"/>
  <c r="E15"/>
  <c r="D15"/>
  <c r="C15"/>
  <c r="B15"/>
  <c r="AE14"/>
  <c r="AD14"/>
  <c r="AC14"/>
  <c r="AB14"/>
  <c r="AA14"/>
  <c r="Z14"/>
  <c r="Y14"/>
  <c r="X14"/>
  <c r="W14"/>
  <c r="V14"/>
  <c r="U14"/>
  <c r="T14"/>
  <c r="S14"/>
  <c r="R14"/>
  <c r="Q14"/>
  <c r="P14"/>
  <c r="O14"/>
  <c r="N14"/>
  <c r="M14"/>
  <c r="L14"/>
  <c r="K14"/>
  <c r="J14"/>
  <c r="I14"/>
  <c r="H14"/>
  <c r="G14"/>
  <c r="F14"/>
  <c r="E14"/>
  <c r="D14"/>
  <c r="C14"/>
  <c r="B14"/>
  <c r="AE13"/>
  <c r="AD13"/>
  <c r="AC13"/>
  <c r="AB13"/>
  <c r="AA13"/>
  <c r="Z13"/>
  <c r="Y13"/>
  <c r="X13"/>
  <c r="W13"/>
  <c r="V13"/>
  <c r="U13"/>
  <c r="T13"/>
  <c r="S13"/>
  <c r="R13"/>
  <c r="Q13"/>
  <c r="P13"/>
  <c r="O13"/>
  <c r="N13"/>
  <c r="M13"/>
  <c r="L13"/>
  <c r="K13"/>
  <c r="J13"/>
  <c r="I13"/>
  <c r="H13"/>
  <c r="G13"/>
  <c r="F13"/>
  <c r="E13"/>
  <c r="D13"/>
  <c r="C13"/>
  <c r="B13"/>
  <c r="AE12"/>
  <c r="AD12"/>
  <c r="AC12"/>
  <c r="AB12"/>
  <c r="AA12"/>
  <c r="Z12"/>
  <c r="Y12"/>
  <c r="X12"/>
  <c r="W12"/>
  <c r="V12"/>
  <c r="U12"/>
  <c r="T12"/>
  <c r="S12"/>
  <c r="R12"/>
  <c r="Q12"/>
  <c r="P12"/>
  <c r="O12"/>
  <c r="N12"/>
  <c r="M12"/>
  <c r="L12"/>
  <c r="K12"/>
  <c r="J12"/>
  <c r="I12"/>
  <c r="H12"/>
  <c r="G12"/>
  <c r="F12"/>
  <c r="E12"/>
  <c r="D12"/>
  <c r="C12"/>
  <c r="B12"/>
  <c r="AE11"/>
  <c r="AD11"/>
  <c r="AC11"/>
  <c r="AB11"/>
  <c r="AA11"/>
  <c r="Z11"/>
  <c r="Y11"/>
  <c r="X11"/>
  <c r="W11"/>
  <c r="V11"/>
  <c r="U11"/>
  <c r="T11"/>
  <c r="S11"/>
  <c r="R11"/>
  <c r="Q11"/>
  <c r="P11"/>
  <c r="O11"/>
  <c r="N11"/>
  <c r="M11"/>
  <c r="L11"/>
  <c r="K11"/>
  <c r="J11"/>
  <c r="I11"/>
  <c r="H11"/>
  <c r="G11"/>
  <c r="F11"/>
  <c r="E11"/>
  <c r="D11"/>
  <c r="C11"/>
  <c r="B11"/>
  <c r="AE10"/>
  <c r="AD10"/>
  <c r="AC10"/>
  <c r="AB10"/>
  <c r="AA10"/>
  <c r="Z10"/>
  <c r="Y10"/>
  <c r="X10"/>
  <c r="W10"/>
  <c r="V10"/>
  <c r="U10"/>
  <c r="T10"/>
  <c r="S10"/>
  <c r="R10"/>
  <c r="Q10"/>
  <c r="P10"/>
  <c r="O10"/>
  <c r="N10"/>
  <c r="M10"/>
  <c r="L10"/>
  <c r="K10"/>
  <c r="J10"/>
  <c r="I10"/>
  <c r="H10"/>
  <c r="G10"/>
  <c r="F10"/>
  <c r="E10"/>
  <c r="D10"/>
  <c r="C10"/>
  <c r="B10"/>
  <c r="AE9"/>
  <c r="AD9"/>
  <c r="AC9"/>
  <c r="AB9"/>
  <c r="AA9"/>
  <c r="Z9"/>
  <c r="Y9"/>
  <c r="X9"/>
  <c r="W9"/>
  <c r="V9"/>
  <c r="U9"/>
  <c r="T9"/>
  <c r="S9"/>
  <c r="R9"/>
  <c r="Q9"/>
  <c r="P9"/>
  <c r="O9"/>
  <c r="N9"/>
  <c r="M9"/>
  <c r="L9"/>
  <c r="K9"/>
  <c r="J9"/>
  <c r="I9"/>
  <c r="H9"/>
  <c r="G9"/>
  <c r="F9"/>
  <c r="E9"/>
  <c r="D9"/>
  <c r="C9"/>
  <c r="B9"/>
  <c r="AE8"/>
  <c r="AD8"/>
  <c r="AC8"/>
  <c r="AB8"/>
  <c r="AA8"/>
  <c r="Z8"/>
  <c r="Y8"/>
  <c r="X8"/>
  <c r="W8"/>
  <c r="V8"/>
  <c r="U8"/>
  <c r="T8"/>
  <c r="S8"/>
  <c r="R8"/>
  <c r="Q8"/>
  <c r="P8"/>
  <c r="O8"/>
  <c r="N8"/>
  <c r="M8"/>
  <c r="L8"/>
  <c r="K8"/>
  <c r="J8"/>
  <c r="I8"/>
  <c r="H8"/>
  <c r="G8"/>
  <c r="F8"/>
  <c r="E8"/>
  <c r="D8"/>
  <c r="C8"/>
  <c r="B8"/>
  <c r="AE7"/>
  <c r="AD7"/>
  <c r="AC7"/>
  <c r="AB7"/>
  <c r="AA7"/>
  <c r="Z7"/>
  <c r="Y7"/>
  <c r="X7"/>
  <c r="W7"/>
  <c r="V7"/>
  <c r="U7"/>
  <c r="T7"/>
  <c r="S7"/>
  <c r="R7"/>
  <c r="Q7"/>
  <c r="P7"/>
  <c r="O7"/>
  <c r="N7"/>
  <c r="M7"/>
  <c r="L7"/>
  <c r="K7"/>
  <c r="J7"/>
  <c r="I7"/>
  <c r="H7"/>
  <c r="G7"/>
  <c r="F7"/>
  <c r="E7"/>
  <c r="D7"/>
  <c r="C7"/>
  <c r="B7"/>
  <c r="AE6"/>
  <c r="AD6"/>
  <c r="AC6"/>
  <c r="AB6"/>
  <c r="AA6"/>
  <c r="Z6"/>
  <c r="Y6"/>
  <c r="X6"/>
  <c r="W6"/>
  <c r="V6"/>
  <c r="U6"/>
  <c r="T6"/>
  <c r="S6"/>
  <c r="R6"/>
  <c r="R39" s="1"/>
  <c r="Q6"/>
  <c r="Q39" s="1"/>
  <c r="P6"/>
  <c r="O6"/>
  <c r="N6"/>
  <c r="M6"/>
  <c r="L6"/>
  <c r="K6"/>
  <c r="J6"/>
  <c r="I6"/>
  <c r="H6"/>
  <c r="G6"/>
  <c r="F6"/>
  <c r="E6"/>
  <c r="D6"/>
  <c r="C6"/>
  <c r="B6"/>
  <c r="B39" s="1"/>
  <c r="AE5"/>
  <c r="AE35" s="1"/>
  <c r="AD5"/>
  <c r="AC5"/>
  <c r="AB5"/>
  <c r="AA5"/>
  <c r="Z5"/>
  <c r="Y5"/>
  <c r="X5"/>
  <c r="W5"/>
  <c r="V5"/>
  <c r="U5"/>
  <c r="T5"/>
  <c r="S5"/>
  <c r="R5"/>
  <c r="Q5"/>
  <c r="P5"/>
  <c r="P39" s="1"/>
  <c r="O5"/>
  <c r="O35" s="1"/>
  <c r="N5"/>
  <c r="M5"/>
  <c r="L5"/>
  <c r="K5"/>
  <c r="J5"/>
  <c r="I5"/>
  <c r="H5"/>
  <c r="G5"/>
  <c r="F5"/>
  <c r="E5"/>
  <c r="D5"/>
  <c r="C5"/>
  <c r="B5"/>
  <c r="AE4"/>
  <c r="AE31" s="1"/>
  <c r="AD4"/>
  <c r="AD35" s="1"/>
  <c r="AC4"/>
  <c r="AC31" s="1"/>
  <c r="AB4"/>
  <c r="AB31" s="1"/>
  <c r="AA4"/>
  <c r="AA39" s="1"/>
  <c r="Z4"/>
  <c r="Z39" s="1"/>
  <c r="Y4"/>
  <c r="Y39" s="1"/>
  <c r="X4"/>
  <c r="X39" s="1"/>
  <c r="W4"/>
  <c r="W39" s="1"/>
  <c r="V4"/>
  <c r="V39" s="1"/>
  <c r="U4"/>
  <c r="U39" s="1"/>
  <c r="T4"/>
  <c r="T39" s="1"/>
  <c r="S4"/>
  <c r="S39" s="1"/>
  <c r="R4"/>
  <c r="R35" s="1"/>
  <c r="Q4"/>
  <c r="Q35" s="1"/>
  <c r="P4"/>
  <c r="P31" s="1"/>
  <c r="O4"/>
  <c r="O31" s="1"/>
  <c r="N4"/>
  <c r="N31" s="1"/>
  <c r="M4"/>
  <c r="M31" s="1"/>
  <c r="L4"/>
  <c r="L39" s="1"/>
  <c r="K4"/>
  <c r="K39" s="1"/>
  <c r="J4"/>
  <c r="J39" s="1"/>
  <c r="I4"/>
  <c r="I39" s="1"/>
  <c r="H4"/>
  <c r="H39" s="1"/>
  <c r="G4"/>
  <c r="G39" s="1"/>
  <c r="F4"/>
  <c r="F39" s="1"/>
  <c r="E4"/>
  <c r="E39" s="1"/>
  <c r="D4"/>
  <c r="D39" s="1"/>
  <c r="C4"/>
  <c r="C39" s="1"/>
  <c r="B4"/>
  <c r="B35" s="1"/>
  <c r="B1"/>
  <c r="AF27" i="5"/>
  <c r="AE27"/>
  <c r="AD27"/>
  <c r="AC27"/>
  <c r="AB27"/>
  <c r="AA27"/>
  <c r="Z27"/>
  <c r="Y27"/>
  <c r="X27"/>
  <c r="W27"/>
  <c r="V27"/>
  <c r="U27"/>
  <c r="T27"/>
  <c r="S27"/>
  <c r="R27"/>
  <c r="Q27"/>
  <c r="P27"/>
  <c r="O27"/>
  <c r="N27"/>
  <c r="M27"/>
  <c r="L27"/>
  <c r="K27"/>
  <c r="J27"/>
  <c r="I27"/>
  <c r="H27"/>
  <c r="G27"/>
  <c r="F27"/>
  <c r="E27"/>
  <c r="D27"/>
  <c r="C27"/>
  <c r="B27"/>
  <c r="AF26"/>
  <c r="AE26"/>
  <c r="AD26"/>
  <c r="AC26"/>
  <c r="AB26"/>
  <c r="AA26"/>
  <c r="Z26"/>
  <c r="Y26"/>
  <c r="X26"/>
  <c r="W26"/>
  <c r="V26"/>
  <c r="U26"/>
  <c r="T26"/>
  <c r="S26"/>
  <c r="R26"/>
  <c r="Q26"/>
  <c r="P26"/>
  <c r="O26"/>
  <c r="N26"/>
  <c r="M26"/>
  <c r="L26"/>
  <c r="K26"/>
  <c r="J26"/>
  <c r="I26"/>
  <c r="H26"/>
  <c r="G26"/>
  <c r="F26"/>
  <c r="E26"/>
  <c r="D26"/>
  <c r="C26"/>
  <c r="B26"/>
  <c r="AF25"/>
  <c r="AE25"/>
  <c r="AD25"/>
  <c r="AC25"/>
  <c r="AB25"/>
  <c r="AA25"/>
  <c r="Z25"/>
  <c r="Y25"/>
  <c r="X25"/>
  <c r="W25"/>
  <c r="V25"/>
  <c r="U25"/>
  <c r="T25"/>
  <c r="S25"/>
  <c r="R25"/>
  <c r="Q25"/>
  <c r="P25"/>
  <c r="O25"/>
  <c r="N25"/>
  <c r="M25"/>
  <c r="L25"/>
  <c r="K25"/>
  <c r="J25"/>
  <c r="I25"/>
  <c r="H25"/>
  <c r="G25"/>
  <c r="F25"/>
  <c r="E25"/>
  <c r="D25"/>
  <c r="C25"/>
  <c r="B25"/>
  <c r="AF24"/>
  <c r="AE24"/>
  <c r="AD24"/>
  <c r="AC24"/>
  <c r="AB24"/>
  <c r="AA24"/>
  <c r="Z24"/>
  <c r="Y24"/>
  <c r="X24"/>
  <c r="W24"/>
  <c r="V24"/>
  <c r="U24"/>
  <c r="T24"/>
  <c r="S24"/>
  <c r="R24"/>
  <c r="Q24"/>
  <c r="P24"/>
  <c r="O24"/>
  <c r="N24"/>
  <c r="M24"/>
  <c r="L24"/>
  <c r="K24"/>
  <c r="J24"/>
  <c r="I24"/>
  <c r="H24"/>
  <c r="G24"/>
  <c r="F24"/>
  <c r="E24"/>
  <c r="D24"/>
  <c r="C24"/>
  <c r="B24"/>
  <c r="AF23"/>
  <c r="AE23"/>
  <c r="AD23"/>
  <c r="AC23"/>
  <c r="AB23"/>
  <c r="AA23"/>
  <c r="Z23"/>
  <c r="Y23"/>
  <c r="X23"/>
  <c r="W23"/>
  <c r="V23"/>
  <c r="U23"/>
  <c r="T23"/>
  <c r="S23"/>
  <c r="R23"/>
  <c r="Q23"/>
  <c r="P23"/>
  <c r="O23"/>
  <c r="N23"/>
  <c r="M23"/>
  <c r="L23"/>
  <c r="K23"/>
  <c r="J23"/>
  <c r="I23"/>
  <c r="H23"/>
  <c r="G23"/>
  <c r="F23"/>
  <c r="E23"/>
  <c r="D23"/>
  <c r="C23"/>
  <c r="B23"/>
  <c r="AF22"/>
  <c r="AE22"/>
  <c r="AD22"/>
  <c r="AC22"/>
  <c r="AB22"/>
  <c r="AA22"/>
  <c r="Z22"/>
  <c r="Y22"/>
  <c r="X22"/>
  <c r="W22"/>
  <c r="V22"/>
  <c r="U22"/>
  <c r="T22"/>
  <c r="S22"/>
  <c r="R22"/>
  <c r="Q22"/>
  <c r="P22"/>
  <c r="O22"/>
  <c r="N22"/>
  <c r="M22"/>
  <c r="L22"/>
  <c r="K22"/>
  <c r="J22"/>
  <c r="I22"/>
  <c r="H22"/>
  <c r="G22"/>
  <c r="F22"/>
  <c r="E22"/>
  <c r="D22"/>
  <c r="C22"/>
  <c r="B22"/>
  <c r="AF21"/>
  <c r="AE21"/>
  <c r="AD21"/>
  <c r="AC21"/>
  <c r="AB21"/>
  <c r="AA21"/>
  <c r="Z21"/>
  <c r="Y21"/>
  <c r="X21"/>
  <c r="W21"/>
  <c r="V21"/>
  <c r="U21"/>
  <c r="T21"/>
  <c r="S21"/>
  <c r="R21"/>
  <c r="Q21"/>
  <c r="P21"/>
  <c r="O21"/>
  <c r="N21"/>
  <c r="M21"/>
  <c r="L21"/>
  <c r="K21"/>
  <c r="J21"/>
  <c r="I21"/>
  <c r="H21"/>
  <c r="G21"/>
  <c r="F21"/>
  <c r="E21"/>
  <c r="D21"/>
  <c r="C21"/>
  <c r="B21"/>
  <c r="AF20"/>
  <c r="AE20"/>
  <c r="AD20"/>
  <c r="AC20"/>
  <c r="AB20"/>
  <c r="AA20"/>
  <c r="Z20"/>
  <c r="Y20"/>
  <c r="X20"/>
  <c r="W20"/>
  <c r="V20"/>
  <c r="U20"/>
  <c r="T20"/>
  <c r="S20"/>
  <c r="R20"/>
  <c r="Q20"/>
  <c r="P20"/>
  <c r="O20"/>
  <c r="N20"/>
  <c r="M20"/>
  <c r="L20"/>
  <c r="K20"/>
  <c r="J20"/>
  <c r="I20"/>
  <c r="H20"/>
  <c r="G20"/>
  <c r="F20"/>
  <c r="E20"/>
  <c r="D20"/>
  <c r="C20"/>
  <c r="B20"/>
  <c r="AF19"/>
  <c r="AE19"/>
  <c r="AD19"/>
  <c r="AC19"/>
  <c r="AB19"/>
  <c r="AA19"/>
  <c r="Z19"/>
  <c r="Y19"/>
  <c r="X19"/>
  <c r="W19"/>
  <c r="V19"/>
  <c r="U19"/>
  <c r="T19"/>
  <c r="S19"/>
  <c r="R19"/>
  <c r="Q19"/>
  <c r="P19"/>
  <c r="O19"/>
  <c r="N19"/>
  <c r="M19"/>
  <c r="L19"/>
  <c r="K19"/>
  <c r="J19"/>
  <c r="I19"/>
  <c r="H19"/>
  <c r="G19"/>
  <c r="F19"/>
  <c r="E19"/>
  <c r="D19"/>
  <c r="C19"/>
  <c r="B19"/>
  <c r="AF18"/>
  <c r="AE18"/>
  <c r="AD18"/>
  <c r="AC18"/>
  <c r="AB18"/>
  <c r="AA18"/>
  <c r="Z18"/>
  <c r="Y18"/>
  <c r="X18"/>
  <c r="W18"/>
  <c r="V18"/>
  <c r="U18"/>
  <c r="T18"/>
  <c r="S18"/>
  <c r="R18"/>
  <c r="Q18"/>
  <c r="P18"/>
  <c r="O18"/>
  <c r="N18"/>
  <c r="M18"/>
  <c r="L18"/>
  <c r="K18"/>
  <c r="J18"/>
  <c r="I18"/>
  <c r="H18"/>
  <c r="G18"/>
  <c r="F18"/>
  <c r="E18"/>
  <c r="D18"/>
  <c r="C18"/>
  <c r="B18"/>
  <c r="AF17"/>
  <c r="AE17"/>
  <c r="AD17"/>
  <c r="AC17"/>
  <c r="AB17"/>
  <c r="AA17"/>
  <c r="Z17"/>
  <c r="Y17"/>
  <c r="X17"/>
  <c r="W17"/>
  <c r="V17"/>
  <c r="U17"/>
  <c r="T17"/>
  <c r="S17"/>
  <c r="R17"/>
  <c r="Q17"/>
  <c r="P17"/>
  <c r="O17"/>
  <c r="N17"/>
  <c r="M17"/>
  <c r="L17"/>
  <c r="K17"/>
  <c r="J17"/>
  <c r="I17"/>
  <c r="H17"/>
  <c r="G17"/>
  <c r="F17"/>
  <c r="E17"/>
  <c r="D17"/>
  <c r="C17"/>
  <c r="B17"/>
  <c r="AF16"/>
  <c r="AE16"/>
  <c r="AD16"/>
  <c r="AC16"/>
  <c r="AB16"/>
  <c r="AA16"/>
  <c r="Z16"/>
  <c r="Y16"/>
  <c r="X16"/>
  <c r="W16"/>
  <c r="V16"/>
  <c r="U16"/>
  <c r="T16"/>
  <c r="S16"/>
  <c r="R16"/>
  <c r="Q16"/>
  <c r="P16"/>
  <c r="O16"/>
  <c r="N16"/>
  <c r="M16"/>
  <c r="L16"/>
  <c r="K16"/>
  <c r="J16"/>
  <c r="I16"/>
  <c r="H16"/>
  <c r="G16"/>
  <c r="F16"/>
  <c r="E16"/>
  <c r="D16"/>
  <c r="C16"/>
  <c r="B16"/>
  <c r="AF15"/>
  <c r="AE15"/>
  <c r="AD15"/>
  <c r="AC15"/>
  <c r="AB15"/>
  <c r="AA15"/>
  <c r="Z15"/>
  <c r="Y15"/>
  <c r="X15"/>
  <c r="W15"/>
  <c r="V15"/>
  <c r="U15"/>
  <c r="T15"/>
  <c r="S15"/>
  <c r="R15"/>
  <c r="Q15"/>
  <c r="P15"/>
  <c r="O15"/>
  <c r="N15"/>
  <c r="M15"/>
  <c r="L15"/>
  <c r="K15"/>
  <c r="J15"/>
  <c r="I15"/>
  <c r="H15"/>
  <c r="G15"/>
  <c r="F15"/>
  <c r="E15"/>
  <c r="D15"/>
  <c r="C15"/>
  <c r="B15"/>
  <c r="AF14"/>
  <c r="AE14"/>
  <c r="AD14"/>
  <c r="AC14"/>
  <c r="AB14"/>
  <c r="AA14"/>
  <c r="Z14"/>
  <c r="Y14"/>
  <c r="X14"/>
  <c r="W14"/>
  <c r="V14"/>
  <c r="U14"/>
  <c r="T14"/>
  <c r="T39" s="1"/>
  <c r="S14"/>
  <c r="R14"/>
  <c r="Q14"/>
  <c r="P14"/>
  <c r="O14"/>
  <c r="N14"/>
  <c r="M14"/>
  <c r="L14"/>
  <c r="K14"/>
  <c r="J14"/>
  <c r="I14"/>
  <c r="H14"/>
  <c r="G14"/>
  <c r="F14"/>
  <c r="E14"/>
  <c r="D14"/>
  <c r="D39" s="1"/>
  <c r="C14"/>
  <c r="B14"/>
  <c r="AF13"/>
  <c r="AE13"/>
  <c r="AD13"/>
  <c r="AC13"/>
  <c r="AB13"/>
  <c r="AA13"/>
  <c r="Z13"/>
  <c r="Y13"/>
  <c r="X13"/>
  <c r="W13"/>
  <c r="V13"/>
  <c r="U13"/>
  <c r="T13"/>
  <c r="S13"/>
  <c r="S35" s="1"/>
  <c r="R13"/>
  <c r="Q13"/>
  <c r="P13"/>
  <c r="O13"/>
  <c r="N13"/>
  <c r="M13"/>
  <c r="L13"/>
  <c r="K13"/>
  <c r="J13"/>
  <c r="I13"/>
  <c r="H13"/>
  <c r="G13"/>
  <c r="F13"/>
  <c r="E13"/>
  <c r="D13"/>
  <c r="C13"/>
  <c r="C39" s="1"/>
  <c r="B13"/>
  <c r="AF12"/>
  <c r="AE12"/>
  <c r="AD12"/>
  <c r="AC12"/>
  <c r="AB12"/>
  <c r="AA12"/>
  <c r="Z12"/>
  <c r="Y12"/>
  <c r="X12"/>
  <c r="W12"/>
  <c r="V12"/>
  <c r="U12"/>
  <c r="T12"/>
  <c r="S12"/>
  <c r="R12"/>
  <c r="R39" s="1"/>
  <c r="Q12"/>
  <c r="P12"/>
  <c r="O12"/>
  <c r="N12"/>
  <c r="M12"/>
  <c r="L12"/>
  <c r="K12"/>
  <c r="J12"/>
  <c r="I12"/>
  <c r="H12"/>
  <c r="G12"/>
  <c r="F12"/>
  <c r="E12"/>
  <c r="D12"/>
  <c r="C12"/>
  <c r="B12"/>
  <c r="B39" s="1"/>
  <c r="AF11"/>
  <c r="AE11"/>
  <c r="AD11"/>
  <c r="AC11"/>
  <c r="AB11"/>
  <c r="AA11"/>
  <c r="Z11"/>
  <c r="Y11"/>
  <c r="X11"/>
  <c r="W11"/>
  <c r="V11"/>
  <c r="U11"/>
  <c r="T11"/>
  <c r="S11"/>
  <c r="R11"/>
  <c r="Q11"/>
  <c r="Q35" s="1"/>
  <c r="P11"/>
  <c r="O11"/>
  <c r="N11"/>
  <c r="M11"/>
  <c r="L11"/>
  <c r="K11"/>
  <c r="J11"/>
  <c r="I11"/>
  <c r="H11"/>
  <c r="G11"/>
  <c r="F11"/>
  <c r="E11"/>
  <c r="D11"/>
  <c r="C11"/>
  <c r="B11"/>
  <c r="AF10"/>
  <c r="AF31" s="1"/>
  <c r="AE10"/>
  <c r="AD10"/>
  <c r="AC10"/>
  <c r="AB10"/>
  <c r="AA10"/>
  <c r="Z10"/>
  <c r="Y10"/>
  <c r="X10"/>
  <c r="W10"/>
  <c r="V10"/>
  <c r="U10"/>
  <c r="T10"/>
  <c r="S10"/>
  <c r="R10"/>
  <c r="Q10"/>
  <c r="P10"/>
  <c r="P31" s="1"/>
  <c r="O10"/>
  <c r="N10"/>
  <c r="M10"/>
  <c r="L10"/>
  <c r="K10"/>
  <c r="J10"/>
  <c r="I10"/>
  <c r="H10"/>
  <c r="G10"/>
  <c r="F10"/>
  <c r="E10"/>
  <c r="D10"/>
  <c r="C10"/>
  <c r="B10"/>
  <c r="AF9"/>
  <c r="AE9"/>
  <c r="AD9"/>
  <c r="AC9"/>
  <c r="AB9"/>
  <c r="AA9"/>
  <c r="Z9"/>
  <c r="Y9"/>
  <c r="X9"/>
  <c r="W9"/>
  <c r="V9"/>
  <c r="U9"/>
  <c r="T9"/>
  <c r="S9"/>
  <c r="R9"/>
  <c r="Q9"/>
  <c r="P9"/>
  <c r="O9"/>
  <c r="N9"/>
  <c r="M9"/>
  <c r="L9"/>
  <c r="K9"/>
  <c r="J9"/>
  <c r="I9"/>
  <c r="H9"/>
  <c r="G9"/>
  <c r="F9"/>
  <c r="E9"/>
  <c r="D9"/>
  <c r="C9"/>
  <c r="B9"/>
  <c r="AF8"/>
  <c r="AE8"/>
  <c r="AD8"/>
  <c r="AC8"/>
  <c r="AB8"/>
  <c r="AA8"/>
  <c r="Z8"/>
  <c r="Y8"/>
  <c r="X8"/>
  <c r="W8"/>
  <c r="V8"/>
  <c r="U8"/>
  <c r="T8"/>
  <c r="S8"/>
  <c r="R8"/>
  <c r="Q8"/>
  <c r="P8"/>
  <c r="O8"/>
  <c r="N8"/>
  <c r="M8"/>
  <c r="L8"/>
  <c r="K8"/>
  <c r="J8"/>
  <c r="I8"/>
  <c r="H8"/>
  <c r="G8"/>
  <c r="F8"/>
  <c r="E8"/>
  <c r="D8"/>
  <c r="C8"/>
  <c r="B8"/>
  <c r="AF7"/>
  <c r="AE7"/>
  <c r="AD7"/>
  <c r="AC7"/>
  <c r="AB7"/>
  <c r="AA7"/>
  <c r="Z7"/>
  <c r="Y7"/>
  <c r="X7"/>
  <c r="W7"/>
  <c r="V7"/>
  <c r="U7"/>
  <c r="T7"/>
  <c r="S7"/>
  <c r="R7"/>
  <c r="Q7"/>
  <c r="P7"/>
  <c r="O7"/>
  <c r="N7"/>
  <c r="M7"/>
  <c r="L7"/>
  <c r="K7"/>
  <c r="J7"/>
  <c r="I7"/>
  <c r="H7"/>
  <c r="G7"/>
  <c r="F7"/>
  <c r="E7"/>
  <c r="D7"/>
  <c r="C7"/>
  <c r="B7"/>
  <c r="AF6"/>
  <c r="AE6"/>
  <c r="AD6"/>
  <c r="AC6"/>
  <c r="AB6"/>
  <c r="AA6"/>
  <c r="Z6"/>
  <c r="Y6"/>
  <c r="X6"/>
  <c r="W6"/>
  <c r="V6"/>
  <c r="U6"/>
  <c r="T6"/>
  <c r="S6"/>
  <c r="R6"/>
  <c r="Q6"/>
  <c r="P6"/>
  <c r="O6"/>
  <c r="N6"/>
  <c r="M6"/>
  <c r="L6"/>
  <c r="K6"/>
  <c r="J6"/>
  <c r="I6"/>
  <c r="H6"/>
  <c r="G6"/>
  <c r="F6"/>
  <c r="E6"/>
  <c r="D6"/>
  <c r="C6"/>
  <c r="B6"/>
  <c r="AF5"/>
  <c r="AE5"/>
  <c r="AD5"/>
  <c r="AC5"/>
  <c r="AB5"/>
  <c r="AA5"/>
  <c r="Z5"/>
  <c r="Y5"/>
  <c r="X5"/>
  <c r="W5"/>
  <c r="V5"/>
  <c r="U5"/>
  <c r="T5"/>
  <c r="S5"/>
  <c r="R5"/>
  <c r="Q5"/>
  <c r="P5"/>
  <c r="O5"/>
  <c r="N5"/>
  <c r="M5"/>
  <c r="L5"/>
  <c r="K5"/>
  <c r="J5"/>
  <c r="I5"/>
  <c r="H5"/>
  <c r="G5"/>
  <c r="F5"/>
  <c r="E5"/>
  <c r="D5"/>
  <c r="C5"/>
  <c r="B5"/>
  <c r="AF4"/>
  <c r="AF39" s="1"/>
  <c r="AE4"/>
  <c r="AE39" s="1"/>
  <c r="AD4"/>
  <c r="AD39" s="1"/>
  <c r="AC4"/>
  <c r="AC39" s="1"/>
  <c r="AB4"/>
  <c r="AB39" s="1"/>
  <c r="AA4"/>
  <c r="AA39" s="1"/>
  <c r="Z4"/>
  <c r="Z39" s="1"/>
  <c r="Y4"/>
  <c r="Y39" s="1"/>
  <c r="X4"/>
  <c r="X39" s="1"/>
  <c r="W4"/>
  <c r="W39" s="1"/>
  <c r="V4"/>
  <c r="V39" s="1"/>
  <c r="U4"/>
  <c r="U39" s="1"/>
  <c r="T4"/>
  <c r="T35" s="1"/>
  <c r="T43" s="1"/>
  <c r="S4"/>
  <c r="S31" s="1"/>
  <c r="R4"/>
  <c r="Q4"/>
  <c r="Q39" s="1"/>
  <c r="P4"/>
  <c r="P39" s="1"/>
  <c r="O4"/>
  <c r="O39" s="1"/>
  <c r="N4"/>
  <c r="N39" s="1"/>
  <c r="M4"/>
  <c r="M39" s="1"/>
  <c r="L4"/>
  <c r="L39" s="1"/>
  <c r="K4"/>
  <c r="K39" s="1"/>
  <c r="J4"/>
  <c r="J39" s="1"/>
  <c r="I4"/>
  <c r="I39" s="1"/>
  <c r="H4"/>
  <c r="H39" s="1"/>
  <c r="G4"/>
  <c r="G39" s="1"/>
  <c r="F4"/>
  <c r="F39" s="1"/>
  <c r="E4"/>
  <c r="E39" s="1"/>
  <c r="D4"/>
  <c r="D35" s="1"/>
  <c r="D43" s="1"/>
  <c r="C4"/>
  <c r="C31" s="1"/>
  <c r="B4"/>
  <c r="B1"/>
  <c r="AE27" i="4"/>
  <c r="AD27"/>
  <c r="AC27"/>
  <c r="AB27"/>
  <c r="AA27"/>
  <c r="Z27"/>
  <c r="Y27"/>
  <c r="X27"/>
  <c r="W27"/>
  <c r="V27"/>
  <c r="U27"/>
  <c r="T27"/>
  <c r="S27"/>
  <c r="R27"/>
  <c r="Q27"/>
  <c r="P27"/>
  <c r="O27"/>
  <c r="N27"/>
  <c r="M27"/>
  <c r="L27"/>
  <c r="K27"/>
  <c r="J27"/>
  <c r="I27"/>
  <c r="H27"/>
  <c r="G27"/>
  <c r="F27"/>
  <c r="E27"/>
  <c r="D27"/>
  <c r="C27"/>
  <c r="B27"/>
  <c r="AE26"/>
  <c r="AD26"/>
  <c r="AC26"/>
  <c r="AB26"/>
  <c r="AA26"/>
  <c r="Z26"/>
  <c r="Y26"/>
  <c r="X26"/>
  <c r="W26"/>
  <c r="V26"/>
  <c r="U26"/>
  <c r="T26"/>
  <c r="S26"/>
  <c r="R26"/>
  <c r="Q26"/>
  <c r="P26"/>
  <c r="O26"/>
  <c r="N26"/>
  <c r="M26"/>
  <c r="L26"/>
  <c r="K26"/>
  <c r="J26"/>
  <c r="I26"/>
  <c r="H26"/>
  <c r="G26"/>
  <c r="F26"/>
  <c r="E26"/>
  <c r="D26"/>
  <c r="C26"/>
  <c r="B26"/>
  <c r="AE25"/>
  <c r="AD25"/>
  <c r="AC25"/>
  <c r="AB25"/>
  <c r="AA25"/>
  <c r="Z25"/>
  <c r="Y25"/>
  <c r="X25"/>
  <c r="W25"/>
  <c r="V25"/>
  <c r="U25"/>
  <c r="T25"/>
  <c r="S25"/>
  <c r="R25"/>
  <c r="Q25"/>
  <c r="P25"/>
  <c r="O25"/>
  <c r="N25"/>
  <c r="M25"/>
  <c r="L25"/>
  <c r="K25"/>
  <c r="J25"/>
  <c r="I25"/>
  <c r="H25"/>
  <c r="G25"/>
  <c r="F25"/>
  <c r="E25"/>
  <c r="D25"/>
  <c r="C25"/>
  <c r="B25"/>
  <c r="AE24"/>
  <c r="AD24"/>
  <c r="AC24"/>
  <c r="AB24"/>
  <c r="AA24"/>
  <c r="Z24"/>
  <c r="Y24"/>
  <c r="X24"/>
  <c r="W24"/>
  <c r="V24"/>
  <c r="U24"/>
  <c r="T24"/>
  <c r="S24"/>
  <c r="R24"/>
  <c r="Q24"/>
  <c r="P24"/>
  <c r="O24"/>
  <c r="N24"/>
  <c r="M24"/>
  <c r="L24"/>
  <c r="K24"/>
  <c r="J24"/>
  <c r="I24"/>
  <c r="H24"/>
  <c r="G24"/>
  <c r="F24"/>
  <c r="E24"/>
  <c r="D24"/>
  <c r="C24"/>
  <c r="B24"/>
  <c r="AE23"/>
  <c r="AD23"/>
  <c r="AC23"/>
  <c r="AB23"/>
  <c r="AA23"/>
  <c r="Z23"/>
  <c r="Y23"/>
  <c r="X23"/>
  <c r="W23"/>
  <c r="V23"/>
  <c r="U23"/>
  <c r="T23"/>
  <c r="S23"/>
  <c r="R23"/>
  <c r="Q23"/>
  <c r="P23"/>
  <c r="O23"/>
  <c r="N23"/>
  <c r="M23"/>
  <c r="L23"/>
  <c r="K23"/>
  <c r="J23"/>
  <c r="I23"/>
  <c r="H23"/>
  <c r="G23"/>
  <c r="F23"/>
  <c r="E23"/>
  <c r="D23"/>
  <c r="C23"/>
  <c r="B23"/>
  <c r="AE22"/>
  <c r="AD22"/>
  <c r="AC22"/>
  <c r="AB22"/>
  <c r="AA22"/>
  <c r="Z22"/>
  <c r="Y22"/>
  <c r="X22"/>
  <c r="W22"/>
  <c r="V22"/>
  <c r="U22"/>
  <c r="T22"/>
  <c r="S22"/>
  <c r="R22"/>
  <c r="Q22"/>
  <c r="P22"/>
  <c r="O22"/>
  <c r="N22"/>
  <c r="M22"/>
  <c r="L22"/>
  <c r="K22"/>
  <c r="J22"/>
  <c r="I22"/>
  <c r="H22"/>
  <c r="G22"/>
  <c r="F22"/>
  <c r="E22"/>
  <c r="D22"/>
  <c r="C22"/>
  <c r="B22"/>
  <c r="AE21"/>
  <c r="AD21"/>
  <c r="AC21"/>
  <c r="AB21"/>
  <c r="AA21"/>
  <c r="Z21"/>
  <c r="Y21"/>
  <c r="X21"/>
  <c r="W21"/>
  <c r="V21"/>
  <c r="U21"/>
  <c r="T21"/>
  <c r="S21"/>
  <c r="R21"/>
  <c r="Q21"/>
  <c r="P21"/>
  <c r="O21"/>
  <c r="N21"/>
  <c r="M21"/>
  <c r="L21"/>
  <c r="K21"/>
  <c r="J21"/>
  <c r="I21"/>
  <c r="H21"/>
  <c r="G21"/>
  <c r="F21"/>
  <c r="E21"/>
  <c r="D21"/>
  <c r="C21"/>
  <c r="B21"/>
  <c r="AE20"/>
  <c r="AD20"/>
  <c r="AC20"/>
  <c r="AB20"/>
  <c r="AA20"/>
  <c r="Z20"/>
  <c r="Y20"/>
  <c r="X20"/>
  <c r="W20"/>
  <c r="V20"/>
  <c r="U20"/>
  <c r="T20"/>
  <c r="S20"/>
  <c r="R20"/>
  <c r="Q20"/>
  <c r="P20"/>
  <c r="O20"/>
  <c r="N20"/>
  <c r="M20"/>
  <c r="L20"/>
  <c r="K20"/>
  <c r="J20"/>
  <c r="I20"/>
  <c r="H20"/>
  <c r="G20"/>
  <c r="F20"/>
  <c r="E20"/>
  <c r="D20"/>
  <c r="C20"/>
  <c r="B20"/>
  <c r="AE19"/>
  <c r="AD19"/>
  <c r="AC19"/>
  <c r="AB19"/>
  <c r="AA19"/>
  <c r="Z19"/>
  <c r="Y19"/>
  <c r="X19"/>
  <c r="W19"/>
  <c r="V19"/>
  <c r="U19"/>
  <c r="T19"/>
  <c r="S19"/>
  <c r="R19"/>
  <c r="Q19"/>
  <c r="P19"/>
  <c r="O19"/>
  <c r="N19"/>
  <c r="M19"/>
  <c r="L19"/>
  <c r="K19"/>
  <c r="J19"/>
  <c r="I19"/>
  <c r="H19"/>
  <c r="G19"/>
  <c r="F19"/>
  <c r="E19"/>
  <c r="D19"/>
  <c r="C19"/>
  <c r="B19"/>
  <c r="AE18"/>
  <c r="AD18"/>
  <c r="AC18"/>
  <c r="AB18"/>
  <c r="AA18"/>
  <c r="Z18"/>
  <c r="Y18"/>
  <c r="X18"/>
  <c r="W18"/>
  <c r="V18"/>
  <c r="U18"/>
  <c r="T18"/>
  <c r="S18"/>
  <c r="R18"/>
  <c r="Q18"/>
  <c r="P18"/>
  <c r="O18"/>
  <c r="N18"/>
  <c r="M18"/>
  <c r="L18"/>
  <c r="K18"/>
  <c r="J18"/>
  <c r="I18"/>
  <c r="H18"/>
  <c r="G18"/>
  <c r="F18"/>
  <c r="E18"/>
  <c r="D18"/>
  <c r="C18"/>
  <c r="B18"/>
  <c r="AE17"/>
  <c r="AD17"/>
  <c r="AC17"/>
  <c r="AB17"/>
  <c r="AA17"/>
  <c r="Z17"/>
  <c r="Y17"/>
  <c r="X17"/>
  <c r="W17"/>
  <c r="V17"/>
  <c r="U17"/>
  <c r="T17"/>
  <c r="S17"/>
  <c r="R17"/>
  <c r="Q17"/>
  <c r="P17"/>
  <c r="O17"/>
  <c r="N17"/>
  <c r="M17"/>
  <c r="L17"/>
  <c r="K17"/>
  <c r="J17"/>
  <c r="I17"/>
  <c r="H17"/>
  <c r="G17"/>
  <c r="F17"/>
  <c r="E17"/>
  <c r="D17"/>
  <c r="C17"/>
  <c r="B17"/>
  <c r="AE16"/>
  <c r="AD16"/>
  <c r="AC16"/>
  <c r="AB16"/>
  <c r="AA16"/>
  <c r="Z16"/>
  <c r="Y16"/>
  <c r="X16"/>
  <c r="W16"/>
  <c r="V16"/>
  <c r="U16"/>
  <c r="T16"/>
  <c r="S16"/>
  <c r="R16"/>
  <c r="Q16"/>
  <c r="P16"/>
  <c r="O16"/>
  <c r="N16"/>
  <c r="M16"/>
  <c r="L16"/>
  <c r="K16"/>
  <c r="J16"/>
  <c r="I16"/>
  <c r="H16"/>
  <c r="G16"/>
  <c r="F16"/>
  <c r="E16"/>
  <c r="D16"/>
  <c r="C16"/>
  <c r="B16"/>
  <c r="AE15"/>
  <c r="AD15"/>
  <c r="AC15"/>
  <c r="AB15"/>
  <c r="AA15"/>
  <c r="Z15"/>
  <c r="Y15"/>
  <c r="X15"/>
  <c r="W15"/>
  <c r="V15"/>
  <c r="U15"/>
  <c r="T15"/>
  <c r="S15"/>
  <c r="R15"/>
  <c r="Q15"/>
  <c r="P15"/>
  <c r="O15"/>
  <c r="N15"/>
  <c r="M15"/>
  <c r="L15"/>
  <c r="K15"/>
  <c r="J15"/>
  <c r="I15"/>
  <c r="H15"/>
  <c r="G15"/>
  <c r="F15"/>
  <c r="E15"/>
  <c r="D15"/>
  <c r="C15"/>
  <c r="B15"/>
  <c r="AE14"/>
  <c r="AD14"/>
  <c r="AC14"/>
  <c r="AB14"/>
  <c r="AA14"/>
  <c r="Z14"/>
  <c r="Y14"/>
  <c r="X14"/>
  <c r="W14"/>
  <c r="V14"/>
  <c r="U14"/>
  <c r="T14"/>
  <c r="S14"/>
  <c r="R14"/>
  <c r="Q14"/>
  <c r="P14"/>
  <c r="O14"/>
  <c r="N14"/>
  <c r="M14"/>
  <c r="L14"/>
  <c r="K14"/>
  <c r="J14"/>
  <c r="I14"/>
  <c r="H14"/>
  <c r="G14"/>
  <c r="F14"/>
  <c r="E14"/>
  <c r="D14"/>
  <c r="C14"/>
  <c r="B14"/>
  <c r="AE13"/>
  <c r="AD13"/>
  <c r="AC13"/>
  <c r="AB13"/>
  <c r="AA13"/>
  <c r="Z13"/>
  <c r="Y13"/>
  <c r="X13"/>
  <c r="W13"/>
  <c r="V13"/>
  <c r="U13"/>
  <c r="T13"/>
  <c r="S13"/>
  <c r="R13"/>
  <c r="Q13"/>
  <c r="P13"/>
  <c r="O13"/>
  <c r="N13"/>
  <c r="M13"/>
  <c r="L13"/>
  <c r="K13"/>
  <c r="J13"/>
  <c r="I13"/>
  <c r="H13"/>
  <c r="G13"/>
  <c r="F13"/>
  <c r="E13"/>
  <c r="D13"/>
  <c r="C13"/>
  <c r="B13"/>
  <c r="AE12"/>
  <c r="AD12"/>
  <c r="AC12"/>
  <c r="AB12"/>
  <c r="AA12"/>
  <c r="Z12"/>
  <c r="Y12"/>
  <c r="X12"/>
  <c r="W12"/>
  <c r="V12"/>
  <c r="U12"/>
  <c r="T12"/>
  <c r="S12"/>
  <c r="R12"/>
  <c r="Q12"/>
  <c r="P12"/>
  <c r="O12"/>
  <c r="N12"/>
  <c r="M12"/>
  <c r="L12"/>
  <c r="K12"/>
  <c r="J12"/>
  <c r="I12"/>
  <c r="H12"/>
  <c r="G12"/>
  <c r="F12"/>
  <c r="E12"/>
  <c r="D12"/>
  <c r="C12"/>
  <c r="B12"/>
  <c r="AE11"/>
  <c r="AD11"/>
  <c r="AC11"/>
  <c r="AB11"/>
  <c r="AA11"/>
  <c r="Z11"/>
  <c r="Y11"/>
  <c r="X11"/>
  <c r="W11"/>
  <c r="V11"/>
  <c r="U11"/>
  <c r="T11"/>
  <c r="S11"/>
  <c r="R11"/>
  <c r="Q11"/>
  <c r="P11"/>
  <c r="O11"/>
  <c r="N11"/>
  <c r="M11"/>
  <c r="L11"/>
  <c r="K11"/>
  <c r="J11"/>
  <c r="I11"/>
  <c r="H11"/>
  <c r="G11"/>
  <c r="F11"/>
  <c r="E11"/>
  <c r="D11"/>
  <c r="C11"/>
  <c r="B11"/>
  <c r="AE10"/>
  <c r="AD10"/>
  <c r="AC10"/>
  <c r="AB10"/>
  <c r="AA10"/>
  <c r="Z10"/>
  <c r="Y10"/>
  <c r="X10"/>
  <c r="W10"/>
  <c r="V10"/>
  <c r="U10"/>
  <c r="T10"/>
  <c r="S10"/>
  <c r="R10"/>
  <c r="Q10"/>
  <c r="P10"/>
  <c r="O10"/>
  <c r="N10"/>
  <c r="M10"/>
  <c r="L10"/>
  <c r="K10"/>
  <c r="J10"/>
  <c r="I10"/>
  <c r="H10"/>
  <c r="G10"/>
  <c r="F10"/>
  <c r="E10"/>
  <c r="D10"/>
  <c r="C10"/>
  <c r="B10"/>
  <c r="AE9"/>
  <c r="AD9"/>
  <c r="AC9"/>
  <c r="AB9"/>
  <c r="AA9"/>
  <c r="Z9"/>
  <c r="Y9"/>
  <c r="X9"/>
  <c r="W9"/>
  <c r="V9"/>
  <c r="U9"/>
  <c r="T9"/>
  <c r="S9"/>
  <c r="R9"/>
  <c r="Q9"/>
  <c r="P9"/>
  <c r="O9"/>
  <c r="N9"/>
  <c r="M9"/>
  <c r="L9"/>
  <c r="K9"/>
  <c r="J9"/>
  <c r="I9"/>
  <c r="H9"/>
  <c r="G9"/>
  <c r="F9"/>
  <c r="E9"/>
  <c r="D9"/>
  <c r="C9"/>
  <c r="B9"/>
  <c r="AE8"/>
  <c r="AD8"/>
  <c r="AC8"/>
  <c r="AB8"/>
  <c r="AA8"/>
  <c r="Z8"/>
  <c r="Y8"/>
  <c r="X8"/>
  <c r="W8"/>
  <c r="V8"/>
  <c r="U8"/>
  <c r="T8"/>
  <c r="S8"/>
  <c r="R8"/>
  <c r="Q8"/>
  <c r="P8"/>
  <c r="O8"/>
  <c r="N8"/>
  <c r="M8"/>
  <c r="L8"/>
  <c r="K8"/>
  <c r="J8"/>
  <c r="I8"/>
  <c r="H8"/>
  <c r="G8"/>
  <c r="F8"/>
  <c r="E8"/>
  <c r="D8"/>
  <c r="C8"/>
  <c r="B8"/>
  <c r="AE7"/>
  <c r="AD7"/>
  <c r="AC7"/>
  <c r="AB7"/>
  <c r="AA7"/>
  <c r="Z7"/>
  <c r="Y7"/>
  <c r="X7"/>
  <c r="W7"/>
  <c r="V7"/>
  <c r="U7"/>
  <c r="T7"/>
  <c r="S7"/>
  <c r="R7"/>
  <c r="Q7"/>
  <c r="P7"/>
  <c r="O7"/>
  <c r="N7"/>
  <c r="M7"/>
  <c r="L7"/>
  <c r="K7"/>
  <c r="J7"/>
  <c r="I7"/>
  <c r="H7"/>
  <c r="G7"/>
  <c r="F7"/>
  <c r="E7"/>
  <c r="D7"/>
  <c r="C7"/>
  <c r="B7"/>
  <c r="AE6"/>
  <c r="AD6"/>
  <c r="AD39" s="1"/>
  <c r="AC6"/>
  <c r="AC39" s="1"/>
  <c r="AB6"/>
  <c r="AA6"/>
  <c r="Z6"/>
  <c r="Y6"/>
  <c r="X6"/>
  <c r="W6"/>
  <c r="V6"/>
  <c r="U6"/>
  <c r="T6"/>
  <c r="S6"/>
  <c r="R6"/>
  <c r="Q6"/>
  <c r="P6"/>
  <c r="O6"/>
  <c r="N6"/>
  <c r="N39" s="1"/>
  <c r="M6"/>
  <c r="M39" s="1"/>
  <c r="L6"/>
  <c r="K6"/>
  <c r="J6"/>
  <c r="I6"/>
  <c r="H6"/>
  <c r="G6"/>
  <c r="F6"/>
  <c r="E6"/>
  <c r="D6"/>
  <c r="C6"/>
  <c r="B6"/>
  <c r="AE5"/>
  <c r="AD5"/>
  <c r="AC5"/>
  <c r="AB5"/>
  <c r="AB39" s="1"/>
  <c r="AA5"/>
  <c r="AA35" s="1"/>
  <c r="Z5"/>
  <c r="Y5"/>
  <c r="X5"/>
  <c r="W5"/>
  <c r="V5"/>
  <c r="U5"/>
  <c r="T5"/>
  <c r="S5"/>
  <c r="R5"/>
  <c r="Q5"/>
  <c r="P5"/>
  <c r="O5"/>
  <c r="N5"/>
  <c r="M5"/>
  <c r="L5"/>
  <c r="L39" s="1"/>
  <c r="K5"/>
  <c r="K35" s="1"/>
  <c r="J5"/>
  <c r="I5"/>
  <c r="H5"/>
  <c r="G5"/>
  <c r="F5"/>
  <c r="E5"/>
  <c r="D5"/>
  <c r="C5"/>
  <c r="B5"/>
  <c r="AE4"/>
  <c r="AE39" s="1"/>
  <c r="AD4"/>
  <c r="AD35" s="1"/>
  <c r="AD43" s="1"/>
  <c r="AC4"/>
  <c r="AC35" s="1"/>
  <c r="AB4"/>
  <c r="AB31" s="1"/>
  <c r="AA4"/>
  <c r="AA31" s="1"/>
  <c r="Z4"/>
  <c r="Z35" s="1"/>
  <c r="Y4"/>
  <c r="Y39" s="1"/>
  <c r="X4"/>
  <c r="X39" s="1"/>
  <c r="W4"/>
  <c r="W39" s="1"/>
  <c r="V4"/>
  <c r="V39" s="1"/>
  <c r="U4"/>
  <c r="U39" s="1"/>
  <c r="T4"/>
  <c r="T39" s="1"/>
  <c r="S4"/>
  <c r="S39" s="1"/>
  <c r="R4"/>
  <c r="R39" s="1"/>
  <c r="Q4"/>
  <c r="Q39" s="1"/>
  <c r="P4"/>
  <c r="P39" s="1"/>
  <c r="O4"/>
  <c r="O39" s="1"/>
  <c r="N4"/>
  <c r="N35" s="1"/>
  <c r="N43" s="1"/>
  <c r="M4"/>
  <c r="M35" s="1"/>
  <c r="L4"/>
  <c r="L31" s="1"/>
  <c r="K4"/>
  <c r="K31" s="1"/>
  <c r="J4"/>
  <c r="J35" s="1"/>
  <c r="I4"/>
  <c r="I31" s="1"/>
  <c r="H4"/>
  <c r="H31" s="1"/>
  <c r="G4"/>
  <c r="G39" s="1"/>
  <c r="F4"/>
  <c r="F39" s="1"/>
  <c r="E4"/>
  <c r="E39" s="1"/>
  <c r="D4"/>
  <c r="D39" s="1"/>
  <c r="C4"/>
  <c r="C39" s="1"/>
  <c r="B4"/>
  <c r="B39" s="1"/>
  <c r="B1"/>
  <c r="AF27" i="3"/>
  <c r="AE27"/>
  <c r="AD27"/>
  <c r="AC27"/>
  <c r="AB27"/>
  <c r="AA27"/>
  <c r="Z27"/>
  <c r="Y27"/>
  <c r="X27"/>
  <c r="W27"/>
  <c r="V27"/>
  <c r="U27"/>
  <c r="T27"/>
  <c r="S27"/>
  <c r="R27"/>
  <c r="Q27"/>
  <c r="P27"/>
  <c r="O27"/>
  <c r="N27"/>
  <c r="M27"/>
  <c r="L27"/>
  <c r="K27"/>
  <c r="J27"/>
  <c r="I27"/>
  <c r="H27"/>
  <c r="G27"/>
  <c r="F27"/>
  <c r="E27"/>
  <c r="D27"/>
  <c r="C27"/>
  <c r="B27"/>
  <c r="AF26"/>
  <c r="AE26"/>
  <c r="AD26"/>
  <c r="AC26"/>
  <c r="AB26"/>
  <c r="AA26"/>
  <c r="Z26"/>
  <c r="Y26"/>
  <c r="X26"/>
  <c r="W26"/>
  <c r="V26"/>
  <c r="U26"/>
  <c r="T26"/>
  <c r="S26"/>
  <c r="R26"/>
  <c r="Q26"/>
  <c r="P26"/>
  <c r="O26"/>
  <c r="N26"/>
  <c r="M26"/>
  <c r="L26"/>
  <c r="K26"/>
  <c r="J26"/>
  <c r="I26"/>
  <c r="H26"/>
  <c r="G26"/>
  <c r="F26"/>
  <c r="E26"/>
  <c r="D26"/>
  <c r="C26"/>
  <c r="B26"/>
  <c r="AF25"/>
  <c r="AE25"/>
  <c r="AD25"/>
  <c r="AC25"/>
  <c r="AB25"/>
  <c r="AA25"/>
  <c r="Z25"/>
  <c r="Y25"/>
  <c r="X25"/>
  <c r="W25"/>
  <c r="V25"/>
  <c r="U25"/>
  <c r="T25"/>
  <c r="S25"/>
  <c r="R25"/>
  <c r="Q25"/>
  <c r="P25"/>
  <c r="O25"/>
  <c r="N25"/>
  <c r="M25"/>
  <c r="L25"/>
  <c r="K25"/>
  <c r="J25"/>
  <c r="I25"/>
  <c r="H25"/>
  <c r="G25"/>
  <c r="F25"/>
  <c r="E25"/>
  <c r="D25"/>
  <c r="C25"/>
  <c r="B25"/>
  <c r="AF24"/>
  <c r="AE24"/>
  <c r="AD24"/>
  <c r="AC24"/>
  <c r="AB24"/>
  <c r="AA24"/>
  <c r="Z24"/>
  <c r="Y24"/>
  <c r="X24"/>
  <c r="W24"/>
  <c r="V24"/>
  <c r="U24"/>
  <c r="T24"/>
  <c r="S24"/>
  <c r="R24"/>
  <c r="Q24"/>
  <c r="P24"/>
  <c r="O24"/>
  <c r="N24"/>
  <c r="M24"/>
  <c r="L24"/>
  <c r="K24"/>
  <c r="J24"/>
  <c r="I24"/>
  <c r="H24"/>
  <c r="G24"/>
  <c r="F24"/>
  <c r="E24"/>
  <c r="D24"/>
  <c r="C24"/>
  <c r="B24"/>
  <c r="AF23"/>
  <c r="AE23"/>
  <c r="AD23"/>
  <c r="AC23"/>
  <c r="AB23"/>
  <c r="AA23"/>
  <c r="Z23"/>
  <c r="Y23"/>
  <c r="X23"/>
  <c r="W23"/>
  <c r="V23"/>
  <c r="U23"/>
  <c r="T23"/>
  <c r="S23"/>
  <c r="R23"/>
  <c r="Q23"/>
  <c r="P23"/>
  <c r="O23"/>
  <c r="N23"/>
  <c r="M23"/>
  <c r="L23"/>
  <c r="K23"/>
  <c r="J23"/>
  <c r="I23"/>
  <c r="H23"/>
  <c r="G23"/>
  <c r="F23"/>
  <c r="E23"/>
  <c r="D23"/>
  <c r="C23"/>
  <c r="B23"/>
  <c r="AF22"/>
  <c r="AE22"/>
  <c r="AD22"/>
  <c r="AC22"/>
  <c r="AB22"/>
  <c r="AA22"/>
  <c r="Z22"/>
  <c r="Y22"/>
  <c r="X22"/>
  <c r="W22"/>
  <c r="V22"/>
  <c r="U22"/>
  <c r="T22"/>
  <c r="S22"/>
  <c r="R22"/>
  <c r="Q22"/>
  <c r="P22"/>
  <c r="O22"/>
  <c r="N22"/>
  <c r="M22"/>
  <c r="L22"/>
  <c r="K22"/>
  <c r="J22"/>
  <c r="I22"/>
  <c r="H22"/>
  <c r="G22"/>
  <c r="F22"/>
  <c r="E22"/>
  <c r="D22"/>
  <c r="C22"/>
  <c r="B22"/>
  <c r="AF21"/>
  <c r="AE21"/>
  <c r="AD21"/>
  <c r="AC21"/>
  <c r="AB21"/>
  <c r="AA21"/>
  <c r="Z21"/>
  <c r="Y21"/>
  <c r="X21"/>
  <c r="W21"/>
  <c r="V21"/>
  <c r="U21"/>
  <c r="T21"/>
  <c r="S21"/>
  <c r="R21"/>
  <c r="Q21"/>
  <c r="P21"/>
  <c r="O21"/>
  <c r="N21"/>
  <c r="M21"/>
  <c r="L21"/>
  <c r="K21"/>
  <c r="J21"/>
  <c r="I21"/>
  <c r="H21"/>
  <c r="G21"/>
  <c r="F21"/>
  <c r="E21"/>
  <c r="D21"/>
  <c r="C21"/>
  <c r="B21"/>
  <c r="AF20"/>
  <c r="AE20"/>
  <c r="AD20"/>
  <c r="AC20"/>
  <c r="AB20"/>
  <c r="AA20"/>
  <c r="Z20"/>
  <c r="Y20"/>
  <c r="X20"/>
  <c r="W20"/>
  <c r="V20"/>
  <c r="U20"/>
  <c r="T20"/>
  <c r="S20"/>
  <c r="R20"/>
  <c r="Q20"/>
  <c r="P20"/>
  <c r="O20"/>
  <c r="N20"/>
  <c r="M20"/>
  <c r="L20"/>
  <c r="K20"/>
  <c r="J20"/>
  <c r="I20"/>
  <c r="H20"/>
  <c r="G20"/>
  <c r="F20"/>
  <c r="E20"/>
  <c r="D20"/>
  <c r="C20"/>
  <c r="B20"/>
  <c r="AF19"/>
  <c r="AE19"/>
  <c r="AD19"/>
  <c r="AC19"/>
  <c r="AB19"/>
  <c r="AA19"/>
  <c r="Z19"/>
  <c r="Y19"/>
  <c r="X19"/>
  <c r="W19"/>
  <c r="V19"/>
  <c r="U19"/>
  <c r="T19"/>
  <c r="S19"/>
  <c r="R19"/>
  <c r="Q19"/>
  <c r="P19"/>
  <c r="O19"/>
  <c r="N19"/>
  <c r="M19"/>
  <c r="L19"/>
  <c r="K19"/>
  <c r="J19"/>
  <c r="I19"/>
  <c r="H19"/>
  <c r="G19"/>
  <c r="F19"/>
  <c r="E19"/>
  <c r="D19"/>
  <c r="C19"/>
  <c r="B19"/>
  <c r="AF18"/>
  <c r="AE18"/>
  <c r="AD18"/>
  <c r="AC18"/>
  <c r="AB18"/>
  <c r="AA18"/>
  <c r="Z18"/>
  <c r="Y18"/>
  <c r="X18"/>
  <c r="W18"/>
  <c r="V18"/>
  <c r="U18"/>
  <c r="T18"/>
  <c r="S18"/>
  <c r="R18"/>
  <c r="Q18"/>
  <c r="P18"/>
  <c r="O18"/>
  <c r="N18"/>
  <c r="M18"/>
  <c r="L18"/>
  <c r="K18"/>
  <c r="J18"/>
  <c r="I18"/>
  <c r="H18"/>
  <c r="G18"/>
  <c r="F18"/>
  <c r="E18"/>
  <c r="D18"/>
  <c r="C18"/>
  <c r="B18"/>
  <c r="AF17"/>
  <c r="AE17"/>
  <c r="AD17"/>
  <c r="AC17"/>
  <c r="AB17"/>
  <c r="AA17"/>
  <c r="Z17"/>
  <c r="Y17"/>
  <c r="X17"/>
  <c r="W17"/>
  <c r="V17"/>
  <c r="U17"/>
  <c r="T17"/>
  <c r="S17"/>
  <c r="R17"/>
  <c r="Q17"/>
  <c r="P17"/>
  <c r="O17"/>
  <c r="N17"/>
  <c r="M17"/>
  <c r="L17"/>
  <c r="K17"/>
  <c r="J17"/>
  <c r="I17"/>
  <c r="H17"/>
  <c r="G17"/>
  <c r="F17"/>
  <c r="E17"/>
  <c r="D17"/>
  <c r="C17"/>
  <c r="B17"/>
  <c r="AF16"/>
  <c r="AE16"/>
  <c r="AD16"/>
  <c r="AC16"/>
  <c r="AB16"/>
  <c r="AA16"/>
  <c r="Z16"/>
  <c r="Y16"/>
  <c r="X16"/>
  <c r="W16"/>
  <c r="V16"/>
  <c r="U16"/>
  <c r="T16"/>
  <c r="S16"/>
  <c r="R16"/>
  <c r="Q16"/>
  <c r="P16"/>
  <c r="O16"/>
  <c r="N16"/>
  <c r="M16"/>
  <c r="L16"/>
  <c r="K16"/>
  <c r="J16"/>
  <c r="I16"/>
  <c r="H16"/>
  <c r="G16"/>
  <c r="F16"/>
  <c r="E16"/>
  <c r="D16"/>
  <c r="C16"/>
  <c r="B16"/>
  <c r="AF15"/>
  <c r="AE15"/>
  <c r="AD15"/>
  <c r="AC15"/>
  <c r="AB15"/>
  <c r="AA15"/>
  <c r="Z15"/>
  <c r="Y15"/>
  <c r="X15"/>
  <c r="W15"/>
  <c r="V15"/>
  <c r="U15"/>
  <c r="T15"/>
  <c r="S15"/>
  <c r="R15"/>
  <c r="Q15"/>
  <c r="P15"/>
  <c r="O15"/>
  <c r="N15"/>
  <c r="M15"/>
  <c r="L15"/>
  <c r="K15"/>
  <c r="J15"/>
  <c r="I15"/>
  <c r="H15"/>
  <c r="G15"/>
  <c r="F15"/>
  <c r="E15"/>
  <c r="D15"/>
  <c r="C15"/>
  <c r="B15"/>
  <c r="AF14"/>
  <c r="AF39" s="1"/>
  <c r="AE14"/>
  <c r="AD14"/>
  <c r="AC14"/>
  <c r="AB14"/>
  <c r="AA14"/>
  <c r="Z14"/>
  <c r="Y14"/>
  <c r="X14"/>
  <c r="W14"/>
  <c r="V14"/>
  <c r="U14"/>
  <c r="T14"/>
  <c r="S14"/>
  <c r="R14"/>
  <c r="Q14"/>
  <c r="P14"/>
  <c r="P39" s="1"/>
  <c r="O14"/>
  <c r="N14"/>
  <c r="M14"/>
  <c r="L14"/>
  <c r="K14"/>
  <c r="J14"/>
  <c r="I14"/>
  <c r="H14"/>
  <c r="G14"/>
  <c r="F14"/>
  <c r="E14"/>
  <c r="D14"/>
  <c r="C14"/>
  <c r="B14"/>
  <c r="AF13"/>
  <c r="AE13"/>
  <c r="AE35" s="1"/>
  <c r="AD13"/>
  <c r="AC13"/>
  <c r="AB13"/>
  <c r="AA13"/>
  <c r="Z13"/>
  <c r="Y13"/>
  <c r="X13"/>
  <c r="W13"/>
  <c r="V13"/>
  <c r="U13"/>
  <c r="T13"/>
  <c r="S13"/>
  <c r="R13"/>
  <c r="Q13"/>
  <c r="P13"/>
  <c r="O13"/>
  <c r="O39" s="1"/>
  <c r="N13"/>
  <c r="M13"/>
  <c r="L13"/>
  <c r="K13"/>
  <c r="J13"/>
  <c r="I13"/>
  <c r="H13"/>
  <c r="G13"/>
  <c r="F13"/>
  <c r="E13"/>
  <c r="D13"/>
  <c r="C13"/>
  <c r="B13"/>
  <c r="AF12"/>
  <c r="AE12"/>
  <c r="AD12"/>
  <c r="AD35" s="1"/>
  <c r="AC12"/>
  <c r="AB12"/>
  <c r="AA12"/>
  <c r="Z12"/>
  <c r="Y12"/>
  <c r="X12"/>
  <c r="W12"/>
  <c r="V12"/>
  <c r="U12"/>
  <c r="T12"/>
  <c r="S12"/>
  <c r="R12"/>
  <c r="Q12"/>
  <c r="P12"/>
  <c r="O12"/>
  <c r="N12"/>
  <c r="N31" s="1"/>
  <c r="M12"/>
  <c r="L12"/>
  <c r="K12"/>
  <c r="J12"/>
  <c r="I12"/>
  <c r="H12"/>
  <c r="G12"/>
  <c r="F12"/>
  <c r="E12"/>
  <c r="D12"/>
  <c r="C12"/>
  <c r="B12"/>
  <c r="AF11"/>
  <c r="AE11"/>
  <c r="AD11"/>
  <c r="AC11"/>
  <c r="AC35" s="1"/>
  <c r="AC43" s="1"/>
  <c r="AB11"/>
  <c r="AA11"/>
  <c r="Z11"/>
  <c r="Y11"/>
  <c r="X11"/>
  <c r="W11"/>
  <c r="V11"/>
  <c r="U11"/>
  <c r="T11"/>
  <c r="S11"/>
  <c r="R11"/>
  <c r="Q11"/>
  <c r="P11"/>
  <c r="O11"/>
  <c r="N11"/>
  <c r="M11"/>
  <c r="M31" s="1"/>
  <c r="L11"/>
  <c r="K11"/>
  <c r="J11"/>
  <c r="I11"/>
  <c r="H11"/>
  <c r="G11"/>
  <c r="F11"/>
  <c r="E11"/>
  <c r="D11"/>
  <c r="C11"/>
  <c r="B11"/>
  <c r="AF10"/>
  <c r="AE10"/>
  <c r="AD10"/>
  <c r="AC10"/>
  <c r="AB10"/>
  <c r="AB31" s="1"/>
  <c r="AA10"/>
  <c r="Z10"/>
  <c r="Y10"/>
  <c r="X10"/>
  <c r="W10"/>
  <c r="V10"/>
  <c r="U10"/>
  <c r="T10"/>
  <c r="S10"/>
  <c r="R10"/>
  <c r="Q10"/>
  <c r="P10"/>
  <c r="O10"/>
  <c r="N10"/>
  <c r="M10"/>
  <c r="L10"/>
  <c r="L31" s="1"/>
  <c r="K10"/>
  <c r="J10"/>
  <c r="I10"/>
  <c r="H10"/>
  <c r="G10"/>
  <c r="F10"/>
  <c r="E10"/>
  <c r="D10"/>
  <c r="C10"/>
  <c r="B10"/>
  <c r="AF9"/>
  <c r="AE9"/>
  <c r="AD9"/>
  <c r="AC9"/>
  <c r="AB9"/>
  <c r="AA9"/>
  <c r="Z9"/>
  <c r="Y9"/>
  <c r="X9"/>
  <c r="W9"/>
  <c r="V9"/>
  <c r="U9"/>
  <c r="T9"/>
  <c r="S9"/>
  <c r="R9"/>
  <c r="Q9"/>
  <c r="P9"/>
  <c r="O9"/>
  <c r="N9"/>
  <c r="M9"/>
  <c r="L9"/>
  <c r="K9"/>
  <c r="J9"/>
  <c r="I9"/>
  <c r="H9"/>
  <c r="G9"/>
  <c r="F9"/>
  <c r="E9"/>
  <c r="D9"/>
  <c r="C9"/>
  <c r="B9"/>
  <c r="AF8"/>
  <c r="AE8"/>
  <c r="AD8"/>
  <c r="AC8"/>
  <c r="AB8"/>
  <c r="AA8"/>
  <c r="Z8"/>
  <c r="Y8"/>
  <c r="X8"/>
  <c r="W8"/>
  <c r="V8"/>
  <c r="U8"/>
  <c r="T8"/>
  <c r="S8"/>
  <c r="R8"/>
  <c r="Q8"/>
  <c r="P8"/>
  <c r="O8"/>
  <c r="N8"/>
  <c r="M8"/>
  <c r="L8"/>
  <c r="K8"/>
  <c r="J8"/>
  <c r="I8"/>
  <c r="H8"/>
  <c r="G8"/>
  <c r="F8"/>
  <c r="E8"/>
  <c r="D8"/>
  <c r="C8"/>
  <c r="B8"/>
  <c r="AF7"/>
  <c r="AE7"/>
  <c r="AD7"/>
  <c r="AC7"/>
  <c r="AB7"/>
  <c r="AA7"/>
  <c r="Z7"/>
  <c r="Y7"/>
  <c r="X7"/>
  <c r="W7"/>
  <c r="V7"/>
  <c r="U7"/>
  <c r="T7"/>
  <c r="S7"/>
  <c r="R7"/>
  <c r="Q7"/>
  <c r="P7"/>
  <c r="O7"/>
  <c r="N7"/>
  <c r="M7"/>
  <c r="L7"/>
  <c r="K7"/>
  <c r="J7"/>
  <c r="I7"/>
  <c r="H7"/>
  <c r="G7"/>
  <c r="F7"/>
  <c r="E7"/>
  <c r="D7"/>
  <c r="C7"/>
  <c r="B7"/>
  <c r="AF6"/>
  <c r="AE6"/>
  <c r="AD6"/>
  <c r="AC6"/>
  <c r="AB6"/>
  <c r="AA6"/>
  <c r="Z6"/>
  <c r="Y6"/>
  <c r="X6"/>
  <c r="W6"/>
  <c r="V6"/>
  <c r="U6"/>
  <c r="T6"/>
  <c r="S6"/>
  <c r="R6"/>
  <c r="Q6"/>
  <c r="P6"/>
  <c r="O6"/>
  <c r="N6"/>
  <c r="M6"/>
  <c r="L6"/>
  <c r="K6"/>
  <c r="J6"/>
  <c r="I6"/>
  <c r="H6"/>
  <c r="G6"/>
  <c r="F6"/>
  <c r="E6"/>
  <c r="D6"/>
  <c r="C6"/>
  <c r="B6"/>
  <c r="AF5"/>
  <c r="AE5"/>
  <c r="AD5"/>
  <c r="AC5"/>
  <c r="AB5"/>
  <c r="AA5"/>
  <c r="Z5"/>
  <c r="Y5"/>
  <c r="X5"/>
  <c r="W5"/>
  <c r="V5"/>
  <c r="U5"/>
  <c r="T5"/>
  <c r="S5"/>
  <c r="R5"/>
  <c r="Q5"/>
  <c r="P5"/>
  <c r="O5"/>
  <c r="N5"/>
  <c r="M5"/>
  <c r="L5"/>
  <c r="K5"/>
  <c r="J5"/>
  <c r="I5"/>
  <c r="H5"/>
  <c r="G5"/>
  <c r="F5"/>
  <c r="E5"/>
  <c r="D5"/>
  <c r="C5"/>
  <c r="B5"/>
  <c r="AF4"/>
  <c r="AF35" s="1"/>
  <c r="AF43" s="1"/>
  <c r="AE4"/>
  <c r="AE31" s="1"/>
  <c r="AD4"/>
  <c r="AC4"/>
  <c r="AC39" s="1"/>
  <c r="AB4"/>
  <c r="AB39" s="1"/>
  <c r="AA4"/>
  <c r="AA39" s="1"/>
  <c r="Z4"/>
  <c r="Z39" s="1"/>
  <c r="Y4"/>
  <c r="Y39" s="1"/>
  <c r="X4"/>
  <c r="X39" s="1"/>
  <c r="W4"/>
  <c r="W39" s="1"/>
  <c r="V4"/>
  <c r="V39" s="1"/>
  <c r="U4"/>
  <c r="U39" s="1"/>
  <c r="T4"/>
  <c r="T39" s="1"/>
  <c r="S4"/>
  <c r="S39" s="1"/>
  <c r="R4"/>
  <c r="R39" s="1"/>
  <c r="Q4"/>
  <c r="Q39" s="1"/>
  <c r="P4"/>
  <c r="P35" s="1"/>
  <c r="P43" s="1"/>
  <c r="O4"/>
  <c r="O31" s="1"/>
  <c r="N4"/>
  <c r="M4"/>
  <c r="M39" s="1"/>
  <c r="L4"/>
  <c r="L39" s="1"/>
  <c r="K4"/>
  <c r="K39" s="1"/>
  <c r="J4"/>
  <c r="J39" s="1"/>
  <c r="I4"/>
  <c r="I39" s="1"/>
  <c r="H4"/>
  <c r="H39" s="1"/>
  <c r="G4"/>
  <c r="G39" s="1"/>
  <c r="F4"/>
  <c r="F39" s="1"/>
  <c r="E4"/>
  <c r="E39" s="1"/>
  <c r="D4"/>
  <c r="D39" s="1"/>
  <c r="C4"/>
  <c r="C39" s="1"/>
  <c r="B4"/>
  <c r="B39" s="1"/>
  <c r="B1"/>
  <c r="AC27" i="2"/>
  <c r="AB27"/>
  <c r="AA27"/>
  <c r="Z27"/>
  <c r="Y27"/>
  <c r="X27"/>
  <c r="W27"/>
  <c r="V27"/>
  <c r="U27"/>
  <c r="T27"/>
  <c r="S27"/>
  <c r="R27"/>
  <c r="Q27"/>
  <c r="P27"/>
  <c r="O27"/>
  <c r="N27"/>
  <c r="M27"/>
  <c r="L27"/>
  <c r="K27"/>
  <c r="J27"/>
  <c r="I27"/>
  <c r="H27"/>
  <c r="G27"/>
  <c r="F27"/>
  <c r="E27"/>
  <c r="D27"/>
  <c r="C27"/>
  <c r="B27"/>
  <c r="AC26"/>
  <c r="AB26"/>
  <c r="AA26"/>
  <c r="Z26"/>
  <c r="Y26"/>
  <c r="X26"/>
  <c r="W26"/>
  <c r="V26"/>
  <c r="U26"/>
  <c r="T26"/>
  <c r="S26"/>
  <c r="R26"/>
  <c r="Q26"/>
  <c r="P26"/>
  <c r="O26"/>
  <c r="N26"/>
  <c r="M26"/>
  <c r="L26"/>
  <c r="K26"/>
  <c r="J26"/>
  <c r="I26"/>
  <c r="H26"/>
  <c r="G26"/>
  <c r="F26"/>
  <c r="E26"/>
  <c r="D26"/>
  <c r="C26"/>
  <c r="B26"/>
  <c r="AC25"/>
  <c r="AB25"/>
  <c r="AA25"/>
  <c r="Z25"/>
  <c r="Y25"/>
  <c r="X25"/>
  <c r="W25"/>
  <c r="V25"/>
  <c r="U25"/>
  <c r="T25"/>
  <c r="S25"/>
  <c r="R25"/>
  <c r="Q25"/>
  <c r="P25"/>
  <c r="O25"/>
  <c r="N25"/>
  <c r="M25"/>
  <c r="L25"/>
  <c r="K25"/>
  <c r="J25"/>
  <c r="I25"/>
  <c r="H25"/>
  <c r="G25"/>
  <c r="F25"/>
  <c r="E25"/>
  <c r="D25"/>
  <c r="C25"/>
  <c r="B25"/>
  <c r="AC24"/>
  <c r="AB24"/>
  <c r="AA24"/>
  <c r="Z24"/>
  <c r="Y24"/>
  <c r="X24"/>
  <c r="W24"/>
  <c r="V24"/>
  <c r="U24"/>
  <c r="T24"/>
  <c r="S24"/>
  <c r="R24"/>
  <c r="Q24"/>
  <c r="P24"/>
  <c r="O24"/>
  <c r="N24"/>
  <c r="M24"/>
  <c r="L24"/>
  <c r="K24"/>
  <c r="J24"/>
  <c r="I24"/>
  <c r="H24"/>
  <c r="G24"/>
  <c r="F24"/>
  <c r="E24"/>
  <c r="D24"/>
  <c r="C24"/>
  <c r="B24"/>
  <c r="AC23"/>
  <c r="AB23"/>
  <c r="AA23"/>
  <c r="Z23"/>
  <c r="Y23"/>
  <c r="X23"/>
  <c r="W23"/>
  <c r="V23"/>
  <c r="U23"/>
  <c r="T23"/>
  <c r="S23"/>
  <c r="R23"/>
  <c r="Q23"/>
  <c r="P23"/>
  <c r="O23"/>
  <c r="N23"/>
  <c r="M23"/>
  <c r="L23"/>
  <c r="K23"/>
  <c r="J23"/>
  <c r="I23"/>
  <c r="H23"/>
  <c r="G23"/>
  <c r="F23"/>
  <c r="E23"/>
  <c r="D23"/>
  <c r="C23"/>
  <c r="B23"/>
  <c r="AC22"/>
  <c r="AB22"/>
  <c r="AA22"/>
  <c r="Z22"/>
  <c r="Y22"/>
  <c r="X22"/>
  <c r="W22"/>
  <c r="V22"/>
  <c r="U22"/>
  <c r="T22"/>
  <c r="S22"/>
  <c r="R22"/>
  <c r="Q22"/>
  <c r="P22"/>
  <c r="O22"/>
  <c r="N22"/>
  <c r="M22"/>
  <c r="L22"/>
  <c r="K22"/>
  <c r="J22"/>
  <c r="I22"/>
  <c r="H22"/>
  <c r="G22"/>
  <c r="F22"/>
  <c r="E22"/>
  <c r="D22"/>
  <c r="C22"/>
  <c r="B22"/>
  <c r="AC21"/>
  <c r="AB21"/>
  <c r="AA21"/>
  <c r="Z21"/>
  <c r="Y21"/>
  <c r="X21"/>
  <c r="W21"/>
  <c r="V21"/>
  <c r="U21"/>
  <c r="T21"/>
  <c r="S21"/>
  <c r="R21"/>
  <c r="Q21"/>
  <c r="P21"/>
  <c r="O21"/>
  <c r="N21"/>
  <c r="M21"/>
  <c r="L21"/>
  <c r="K21"/>
  <c r="J21"/>
  <c r="I21"/>
  <c r="H21"/>
  <c r="G21"/>
  <c r="F21"/>
  <c r="E21"/>
  <c r="D21"/>
  <c r="C21"/>
  <c r="B21"/>
  <c r="AC20"/>
  <c r="AB20"/>
  <c r="AA20"/>
  <c r="Z20"/>
  <c r="Y20"/>
  <c r="X20"/>
  <c r="W20"/>
  <c r="V20"/>
  <c r="U20"/>
  <c r="T20"/>
  <c r="S20"/>
  <c r="R20"/>
  <c r="Q20"/>
  <c r="P20"/>
  <c r="O20"/>
  <c r="N20"/>
  <c r="M20"/>
  <c r="L20"/>
  <c r="K20"/>
  <c r="J20"/>
  <c r="I20"/>
  <c r="H20"/>
  <c r="G20"/>
  <c r="F20"/>
  <c r="E20"/>
  <c r="D20"/>
  <c r="C20"/>
  <c r="B20"/>
  <c r="AC19"/>
  <c r="AB19"/>
  <c r="AA19"/>
  <c r="Z19"/>
  <c r="Y19"/>
  <c r="X19"/>
  <c r="W19"/>
  <c r="V19"/>
  <c r="U19"/>
  <c r="T19"/>
  <c r="S19"/>
  <c r="R19"/>
  <c r="Q19"/>
  <c r="P19"/>
  <c r="O19"/>
  <c r="N19"/>
  <c r="M19"/>
  <c r="L19"/>
  <c r="K19"/>
  <c r="J19"/>
  <c r="I19"/>
  <c r="H19"/>
  <c r="G19"/>
  <c r="F19"/>
  <c r="E19"/>
  <c r="D19"/>
  <c r="C19"/>
  <c r="B19"/>
  <c r="AC18"/>
  <c r="AB18"/>
  <c r="AA18"/>
  <c r="Z18"/>
  <c r="Y18"/>
  <c r="X18"/>
  <c r="W18"/>
  <c r="V18"/>
  <c r="U18"/>
  <c r="T18"/>
  <c r="S18"/>
  <c r="R18"/>
  <c r="Q18"/>
  <c r="P18"/>
  <c r="O18"/>
  <c r="N18"/>
  <c r="M18"/>
  <c r="L18"/>
  <c r="K18"/>
  <c r="J18"/>
  <c r="I18"/>
  <c r="H18"/>
  <c r="G18"/>
  <c r="F18"/>
  <c r="E18"/>
  <c r="D18"/>
  <c r="C18"/>
  <c r="B18"/>
  <c r="AC17"/>
  <c r="AB17"/>
  <c r="AA17"/>
  <c r="Z17"/>
  <c r="Y17"/>
  <c r="X17"/>
  <c r="W17"/>
  <c r="V17"/>
  <c r="U17"/>
  <c r="T17"/>
  <c r="S17"/>
  <c r="R17"/>
  <c r="Q17"/>
  <c r="P17"/>
  <c r="O17"/>
  <c r="N17"/>
  <c r="M17"/>
  <c r="L17"/>
  <c r="K17"/>
  <c r="J17"/>
  <c r="I17"/>
  <c r="H17"/>
  <c r="G17"/>
  <c r="F17"/>
  <c r="E17"/>
  <c r="D17"/>
  <c r="C17"/>
  <c r="B17"/>
  <c r="AC16"/>
  <c r="AB16"/>
  <c r="AA16"/>
  <c r="Z16"/>
  <c r="Y16"/>
  <c r="X16"/>
  <c r="W16"/>
  <c r="V16"/>
  <c r="U16"/>
  <c r="T16"/>
  <c r="S16"/>
  <c r="R16"/>
  <c r="Q16"/>
  <c r="P16"/>
  <c r="O16"/>
  <c r="N16"/>
  <c r="M16"/>
  <c r="L16"/>
  <c r="K16"/>
  <c r="J16"/>
  <c r="I16"/>
  <c r="H16"/>
  <c r="G16"/>
  <c r="F16"/>
  <c r="E16"/>
  <c r="D16"/>
  <c r="C16"/>
  <c r="B16"/>
  <c r="AC15"/>
  <c r="AB15"/>
  <c r="AA15"/>
  <c r="Z15"/>
  <c r="Y15"/>
  <c r="X15"/>
  <c r="W15"/>
  <c r="V15"/>
  <c r="U15"/>
  <c r="T15"/>
  <c r="S15"/>
  <c r="R15"/>
  <c r="Q15"/>
  <c r="P15"/>
  <c r="O15"/>
  <c r="N15"/>
  <c r="M15"/>
  <c r="L15"/>
  <c r="K15"/>
  <c r="J15"/>
  <c r="I15"/>
  <c r="H15"/>
  <c r="G15"/>
  <c r="F15"/>
  <c r="E15"/>
  <c r="D15"/>
  <c r="C15"/>
  <c r="B15"/>
  <c r="AC14"/>
  <c r="AB14"/>
  <c r="AA14"/>
  <c r="Z14"/>
  <c r="Y14"/>
  <c r="X14"/>
  <c r="W14"/>
  <c r="V14"/>
  <c r="U14"/>
  <c r="T14"/>
  <c r="S14"/>
  <c r="R14"/>
  <c r="Q14"/>
  <c r="P14"/>
  <c r="O14"/>
  <c r="N14"/>
  <c r="M14"/>
  <c r="L14"/>
  <c r="K14"/>
  <c r="J14"/>
  <c r="I14"/>
  <c r="H14"/>
  <c r="G14"/>
  <c r="F14"/>
  <c r="E14"/>
  <c r="D14"/>
  <c r="C14"/>
  <c r="B14"/>
  <c r="AC13"/>
  <c r="AB13"/>
  <c r="AA13"/>
  <c r="Z13"/>
  <c r="Y13"/>
  <c r="X13"/>
  <c r="W13"/>
  <c r="V13"/>
  <c r="U13"/>
  <c r="T13"/>
  <c r="S13"/>
  <c r="R13"/>
  <c r="Q13"/>
  <c r="P13"/>
  <c r="O13"/>
  <c r="N13"/>
  <c r="M13"/>
  <c r="L13"/>
  <c r="K13"/>
  <c r="J13"/>
  <c r="I13"/>
  <c r="H13"/>
  <c r="G13"/>
  <c r="F13"/>
  <c r="E13"/>
  <c r="D13"/>
  <c r="C13"/>
  <c r="B13"/>
  <c r="AC12"/>
  <c r="AB12"/>
  <c r="AA12"/>
  <c r="Z12"/>
  <c r="Y12"/>
  <c r="X12"/>
  <c r="W12"/>
  <c r="V12"/>
  <c r="U12"/>
  <c r="T12"/>
  <c r="S12"/>
  <c r="R12"/>
  <c r="Q12"/>
  <c r="P12"/>
  <c r="O12"/>
  <c r="N12"/>
  <c r="M12"/>
  <c r="L12"/>
  <c r="K12"/>
  <c r="J12"/>
  <c r="I12"/>
  <c r="H12"/>
  <c r="G12"/>
  <c r="F12"/>
  <c r="E12"/>
  <c r="D12"/>
  <c r="C12"/>
  <c r="B12"/>
  <c r="AC11"/>
  <c r="AB11"/>
  <c r="AA11"/>
  <c r="Z11"/>
  <c r="Y11"/>
  <c r="X11"/>
  <c r="W11"/>
  <c r="V11"/>
  <c r="U11"/>
  <c r="T11"/>
  <c r="S11"/>
  <c r="R11"/>
  <c r="Q11"/>
  <c r="P11"/>
  <c r="O11"/>
  <c r="N11"/>
  <c r="M11"/>
  <c r="L11"/>
  <c r="K11"/>
  <c r="J11"/>
  <c r="I11"/>
  <c r="H11"/>
  <c r="G11"/>
  <c r="F11"/>
  <c r="E11"/>
  <c r="D11"/>
  <c r="C11"/>
  <c r="B11"/>
  <c r="AC10"/>
  <c r="AB10"/>
  <c r="AA10"/>
  <c r="Z10"/>
  <c r="Y10"/>
  <c r="X10"/>
  <c r="W10"/>
  <c r="V10"/>
  <c r="U10"/>
  <c r="T10"/>
  <c r="S10"/>
  <c r="R10"/>
  <c r="Q10"/>
  <c r="P10"/>
  <c r="O10"/>
  <c r="N10"/>
  <c r="M10"/>
  <c r="L10"/>
  <c r="K10"/>
  <c r="J10"/>
  <c r="I10"/>
  <c r="H10"/>
  <c r="G10"/>
  <c r="F10"/>
  <c r="E10"/>
  <c r="D10"/>
  <c r="C10"/>
  <c r="B10"/>
  <c r="AC9"/>
  <c r="AB9"/>
  <c r="AA9"/>
  <c r="Z9"/>
  <c r="Y9"/>
  <c r="X9"/>
  <c r="W9"/>
  <c r="V9"/>
  <c r="U9"/>
  <c r="T9"/>
  <c r="S9"/>
  <c r="R9"/>
  <c r="Q9"/>
  <c r="P9"/>
  <c r="O9"/>
  <c r="N9"/>
  <c r="M9"/>
  <c r="L9"/>
  <c r="K9"/>
  <c r="J9"/>
  <c r="I9"/>
  <c r="H9"/>
  <c r="G9"/>
  <c r="F9"/>
  <c r="E9"/>
  <c r="D9"/>
  <c r="C9"/>
  <c r="B9"/>
  <c r="AC8"/>
  <c r="AB8"/>
  <c r="AA8"/>
  <c r="Z8"/>
  <c r="Y8"/>
  <c r="X8"/>
  <c r="W8"/>
  <c r="V8"/>
  <c r="U8"/>
  <c r="T8"/>
  <c r="S8"/>
  <c r="R8"/>
  <c r="Q8"/>
  <c r="P8"/>
  <c r="O8"/>
  <c r="N8"/>
  <c r="M8"/>
  <c r="L8"/>
  <c r="K8"/>
  <c r="J8"/>
  <c r="I8"/>
  <c r="H8"/>
  <c r="G8"/>
  <c r="F8"/>
  <c r="E8"/>
  <c r="D8"/>
  <c r="C8"/>
  <c r="B8"/>
  <c r="AC7"/>
  <c r="AB7"/>
  <c r="AA7"/>
  <c r="Z7"/>
  <c r="Y7"/>
  <c r="X7"/>
  <c r="W7"/>
  <c r="V7"/>
  <c r="U7"/>
  <c r="T7"/>
  <c r="S7"/>
  <c r="R7"/>
  <c r="Q7"/>
  <c r="P7"/>
  <c r="O7"/>
  <c r="N7"/>
  <c r="M7"/>
  <c r="L7"/>
  <c r="K7"/>
  <c r="J7"/>
  <c r="I7"/>
  <c r="H7"/>
  <c r="G7"/>
  <c r="F7"/>
  <c r="E7"/>
  <c r="D7"/>
  <c r="C7"/>
  <c r="B7"/>
  <c r="AC6"/>
  <c r="AB6"/>
  <c r="AA6"/>
  <c r="Z6"/>
  <c r="Y6"/>
  <c r="X6"/>
  <c r="W6"/>
  <c r="V6"/>
  <c r="V39" s="1"/>
  <c r="U6"/>
  <c r="U39" s="1"/>
  <c r="T6"/>
  <c r="T39" s="1"/>
  <c r="S6"/>
  <c r="R6"/>
  <c r="Q6"/>
  <c r="P6"/>
  <c r="O6"/>
  <c r="N6"/>
  <c r="M6"/>
  <c r="L6"/>
  <c r="K6"/>
  <c r="J6"/>
  <c r="I6"/>
  <c r="H6"/>
  <c r="G6"/>
  <c r="F6"/>
  <c r="F39" s="1"/>
  <c r="E6"/>
  <c r="E39" s="1"/>
  <c r="D6"/>
  <c r="D39" s="1"/>
  <c r="C6"/>
  <c r="B6"/>
  <c r="AC5"/>
  <c r="AB5"/>
  <c r="AA5"/>
  <c r="Z5"/>
  <c r="Y5"/>
  <c r="X5"/>
  <c r="W5"/>
  <c r="V5"/>
  <c r="U5"/>
  <c r="T5"/>
  <c r="S5"/>
  <c r="R5"/>
  <c r="R35" s="1"/>
  <c r="Q5"/>
  <c r="Q35" s="1"/>
  <c r="P5"/>
  <c r="P35" s="1"/>
  <c r="O5"/>
  <c r="N5"/>
  <c r="M5"/>
  <c r="L5"/>
  <c r="K5"/>
  <c r="J5"/>
  <c r="I5"/>
  <c r="H5"/>
  <c r="G5"/>
  <c r="F5"/>
  <c r="E5"/>
  <c r="D5"/>
  <c r="C5"/>
  <c r="B5"/>
  <c r="B35" s="1"/>
  <c r="AC4"/>
  <c r="AC39" s="1"/>
  <c r="AB4"/>
  <c r="AB31" s="1"/>
  <c r="AA4"/>
  <c r="AA39" s="1"/>
  <c r="Z4"/>
  <c r="Z39" s="1"/>
  <c r="Y4"/>
  <c r="Y39" s="1"/>
  <c r="X4"/>
  <c r="X39" s="1"/>
  <c r="W4"/>
  <c r="W39" s="1"/>
  <c r="V4"/>
  <c r="V35" s="1"/>
  <c r="U4"/>
  <c r="U35" s="1"/>
  <c r="U43" s="1"/>
  <c r="T4"/>
  <c r="T35" s="1"/>
  <c r="T43" s="1"/>
  <c r="S4"/>
  <c r="S35" s="1"/>
  <c r="R4"/>
  <c r="R31" s="1"/>
  <c r="Q4"/>
  <c r="Q31" s="1"/>
  <c r="P4"/>
  <c r="P31" s="1"/>
  <c r="O4"/>
  <c r="O31" s="1"/>
  <c r="N4"/>
  <c r="N39" s="1"/>
  <c r="M4"/>
  <c r="M39" s="1"/>
  <c r="L4"/>
  <c r="L39" s="1"/>
  <c r="K4"/>
  <c r="K39" s="1"/>
  <c r="J4"/>
  <c r="J39" s="1"/>
  <c r="I4"/>
  <c r="I39" s="1"/>
  <c r="H4"/>
  <c r="H39" s="1"/>
  <c r="G4"/>
  <c r="G39" s="1"/>
  <c r="F4"/>
  <c r="F35" s="1"/>
  <c r="E4"/>
  <c r="E35" s="1"/>
  <c r="E43" s="1"/>
  <c r="D4"/>
  <c r="D35" s="1"/>
  <c r="D43" s="1"/>
  <c r="C4"/>
  <c r="C35" s="1"/>
  <c r="B4"/>
  <c r="B31" s="1"/>
  <c r="B1"/>
  <c r="AF27" i="1"/>
  <c r="AE27"/>
  <c r="AD27"/>
  <c r="AC27"/>
  <c r="AB27"/>
  <c r="AA27"/>
  <c r="Z27"/>
  <c r="Y27"/>
  <c r="X27"/>
  <c r="W27"/>
  <c r="V27"/>
  <c r="U27"/>
  <c r="T27"/>
  <c r="S27"/>
  <c r="R27"/>
  <c r="Q27"/>
  <c r="P27"/>
  <c r="O27"/>
  <c r="N27"/>
  <c r="M27"/>
  <c r="L27"/>
  <c r="K27"/>
  <c r="J27"/>
  <c r="I27"/>
  <c r="H27"/>
  <c r="G27"/>
  <c r="F27"/>
  <c r="E27"/>
  <c r="D27"/>
  <c r="C27"/>
  <c r="B27"/>
  <c r="AF26"/>
  <c r="AE26"/>
  <c r="AD26"/>
  <c r="AC26"/>
  <c r="AB26"/>
  <c r="AA26"/>
  <c r="Z26"/>
  <c r="Y26"/>
  <c r="X26"/>
  <c r="W26"/>
  <c r="V26"/>
  <c r="U26"/>
  <c r="T26"/>
  <c r="S26"/>
  <c r="R26"/>
  <c r="Q26"/>
  <c r="P26"/>
  <c r="O26"/>
  <c r="N26"/>
  <c r="M26"/>
  <c r="L26"/>
  <c r="K26"/>
  <c r="J26"/>
  <c r="I26"/>
  <c r="H26"/>
  <c r="G26"/>
  <c r="F26"/>
  <c r="E26"/>
  <c r="D26"/>
  <c r="C26"/>
  <c r="B26"/>
  <c r="AF25"/>
  <c r="AE25"/>
  <c r="AD25"/>
  <c r="AC25"/>
  <c r="AB25"/>
  <c r="AA25"/>
  <c r="Z25"/>
  <c r="Y25"/>
  <c r="X25"/>
  <c r="W25"/>
  <c r="V25"/>
  <c r="U25"/>
  <c r="T25"/>
  <c r="S25"/>
  <c r="R25"/>
  <c r="Q25"/>
  <c r="P25"/>
  <c r="O25"/>
  <c r="N25"/>
  <c r="M25"/>
  <c r="L25"/>
  <c r="K25"/>
  <c r="J25"/>
  <c r="I25"/>
  <c r="H25"/>
  <c r="G25"/>
  <c r="F25"/>
  <c r="E25"/>
  <c r="D25"/>
  <c r="C25"/>
  <c r="B25"/>
  <c r="AF24"/>
  <c r="AE24"/>
  <c r="AD24"/>
  <c r="AC24"/>
  <c r="AB24"/>
  <c r="AA24"/>
  <c r="Z24"/>
  <c r="Y24"/>
  <c r="X24"/>
  <c r="W24"/>
  <c r="V24"/>
  <c r="U24"/>
  <c r="T24"/>
  <c r="S24"/>
  <c r="R24"/>
  <c r="Q24"/>
  <c r="P24"/>
  <c r="O24"/>
  <c r="N24"/>
  <c r="M24"/>
  <c r="L24"/>
  <c r="K24"/>
  <c r="J24"/>
  <c r="I24"/>
  <c r="H24"/>
  <c r="G24"/>
  <c r="F24"/>
  <c r="E24"/>
  <c r="D24"/>
  <c r="C24"/>
  <c r="B24"/>
  <c r="AF23"/>
  <c r="AE23"/>
  <c r="AD23"/>
  <c r="AC23"/>
  <c r="AB23"/>
  <c r="AA23"/>
  <c r="Z23"/>
  <c r="Y23"/>
  <c r="X23"/>
  <c r="W23"/>
  <c r="V23"/>
  <c r="U23"/>
  <c r="T23"/>
  <c r="S23"/>
  <c r="R23"/>
  <c r="Q23"/>
  <c r="P23"/>
  <c r="O23"/>
  <c r="N23"/>
  <c r="M23"/>
  <c r="L23"/>
  <c r="K23"/>
  <c r="J23"/>
  <c r="I23"/>
  <c r="H23"/>
  <c r="G23"/>
  <c r="F23"/>
  <c r="E23"/>
  <c r="D23"/>
  <c r="C23"/>
  <c r="B23"/>
  <c r="AF22"/>
  <c r="AE22"/>
  <c r="AD22"/>
  <c r="AC22"/>
  <c r="AB22"/>
  <c r="AA22"/>
  <c r="Z22"/>
  <c r="Y22"/>
  <c r="X22"/>
  <c r="W22"/>
  <c r="V22"/>
  <c r="U22"/>
  <c r="T22"/>
  <c r="S22"/>
  <c r="R22"/>
  <c r="Q22"/>
  <c r="P22"/>
  <c r="O22"/>
  <c r="N22"/>
  <c r="M22"/>
  <c r="L22"/>
  <c r="K22"/>
  <c r="J22"/>
  <c r="I22"/>
  <c r="H22"/>
  <c r="G22"/>
  <c r="F22"/>
  <c r="E22"/>
  <c r="D22"/>
  <c r="C22"/>
  <c r="B22"/>
  <c r="AF21"/>
  <c r="AE21"/>
  <c r="AD21"/>
  <c r="AC21"/>
  <c r="AB21"/>
  <c r="AA21"/>
  <c r="Z21"/>
  <c r="Y21"/>
  <c r="X21"/>
  <c r="W21"/>
  <c r="V21"/>
  <c r="U21"/>
  <c r="T21"/>
  <c r="S21"/>
  <c r="R21"/>
  <c r="Q21"/>
  <c r="P21"/>
  <c r="O21"/>
  <c r="N21"/>
  <c r="M21"/>
  <c r="L21"/>
  <c r="K21"/>
  <c r="J21"/>
  <c r="I21"/>
  <c r="H21"/>
  <c r="G21"/>
  <c r="F21"/>
  <c r="E21"/>
  <c r="D21"/>
  <c r="C21"/>
  <c r="B21"/>
  <c r="AF20"/>
  <c r="AE20"/>
  <c r="AD20"/>
  <c r="AC20"/>
  <c r="AB20"/>
  <c r="AA20"/>
  <c r="Z20"/>
  <c r="Y20"/>
  <c r="X20"/>
  <c r="W20"/>
  <c r="V20"/>
  <c r="U20"/>
  <c r="T20"/>
  <c r="S20"/>
  <c r="R20"/>
  <c r="Q20"/>
  <c r="P20"/>
  <c r="O20"/>
  <c r="N20"/>
  <c r="M20"/>
  <c r="L20"/>
  <c r="K20"/>
  <c r="J20"/>
  <c r="I20"/>
  <c r="H20"/>
  <c r="G20"/>
  <c r="F20"/>
  <c r="E20"/>
  <c r="D20"/>
  <c r="C20"/>
  <c r="B20"/>
  <c r="AF19"/>
  <c r="AE19"/>
  <c r="AD19"/>
  <c r="AC19"/>
  <c r="AB19"/>
  <c r="AA19"/>
  <c r="Z19"/>
  <c r="Y19"/>
  <c r="X19"/>
  <c r="W19"/>
  <c r="V19"/>
  <c r="U19"/>
  <c r="T19"/>
  <c r="S19"/>
  <c r="R19"/>
  <c r="Q19"/>
  <c r="P19"/>
  <c r="O19"/>
  <c r="N19"/>
  <c r="M19"/>
  <c r="L19"/>
  <c r="K19"/>
  <c r="J19"/>
  <c r="I19"/>
  <c r="H19"/>
  <c r="G19"/>
  <c r="F19"/>
  <c r="E19"/>
  <c r="D19"/>
  <c r="C19"/>
  <c r="B19"/>
  <c r="AF18"/>
  <c r="AE18"/>
  <c r="AD18"/>
  <c r="AC18"/>
  <c r="AB18"/>
  <c r="AA18"/>
  <c r="Z18"/>
  <c r="Y18"/>
  <c r="X18"/>
  <c r="W18"/>
  <c r="V18"/>
  <c r="U18"/>
  <c r="T18"/>
  <c r="S18"/>
  <c r="R18"/>
  <c r="Q18"/>
  <c r="P18"/>
  <c r="O18"/>
  <c r="N18"/>
  <c r="M18"/>
  <c r="L18"/>
  <c r="K18"/>
  <c r="J18"/>
  <c r="I18"/>
  <c r="H18"/>
  <c r="G18"/>
  <c r="F18"/>
  <c r="E18"/>
  <c r="D18"/>
  <c r="C18"/>
  <c r="B18"/>
  <c r="AF17"/>
  <c r="AE17"/>
  <c r="AD17"/>
  <c r="AC17"/>
  <c r="AB17"/>
  <c r="AA17"/>
  <c r="Z17"/>
  <c r="Y17"/>
  <c r="X17"/>
  <c r="W17"/>
  <c r="V17"/>
  <c r="U17"/>
  <c r="T17"/>
  <c r="S17"/>
  <c r="R17"/>
  <c r="Q17"/>
  <c r="P17"/>
  <c r="O17"/>
  <c r="N17"/>
  <c r="M17"/>
  <c r="L17"/>
  <c r="K17"/>
  <c r="J17"/>
  <c r="I17"/>
  <c r="H17"/>
  <c r="G17"/>
  <c r="F17"/>
  <c r="E17"/>
  <c r="D17"/>
  <c r="C17"/>
  <c r="B17"/>
  <c r="AF16"/>
  <c r="AE16"/>
  <c r="AD16"/>
  <c r="AC16"/>
  <c r="AB16"/>
  <c r="AA16"/>
  <c r="Z16"/>
  <c r="Y16"/>
  <c r="X16"/>
  <c r="W16"/>
  <c r="V16"/>
  <c r="U16"/>
  <c r="T16"/>
  <c r="S16"/>
  <c r="R16"/>
  <c r="Q16"/>
  <c r="P16"/>
  <c r="O16"/>
  <c r="N16"/>
  <c r="M16"/>
  <c r="L16"/>
  <c r="K16"/>
  <c r="J16"/>
  <c r="I16"/>
  <c r="H16"/>
  <c r="G16"/>
  <c r="F16"/>
  <c r="E16"/>
  <c r="D16"/>
  <c r="C16"/>
  <c r="B16"/>
  <c r="AF15"/>
  <c r="AE15"/>
  <c r="AD15"/>
  <c r="AC15"/>
  <c r="AB15"/>
  <c r="AA15"/>
  <c r="Z15"/>
  <c r="Y15"/>
  <c r="X15"/>
  <c r="W15"/>
  <c r="V15"/>
  <c r="U15"/>
  <c r="T15"/>
  <c r="S15"/>
  <c r="R15"/>
  <c r="Q15"/>
  <c r="P15"/>
  <c r="O15"/>
  <c r="N15"/>
  <c r="M15"/>
  <c r="L15"/>
  <c r="K15"/>
  <c r="J15"/>
  <c r="I15"/>
  <c r="H15"/>
  <c r="G15"/>
  <c r="F15"/>
  <c r="E15"/>
  <c r="D15"/>
  <c r="C15"/>
  <c r="B15"/>
  <c r="AF14"/>
  <c r="AE14"/>
  <c r="AD14"/>
  <c r="AC14"/>
  <c r="AB14"/>
  <c r="AA14"/>
  <c r="Z14"/>
  <c r="Y14"/>
  <c r="X14"/>
  <c r="W14"/>
  <c r="V14"/>
  <c r="U14"/>
  <c r="T14"/>
  <c r="T39" s="1"/>
  <c r="S14"/>
  <c r="R14"/>
  <c r="Q14"/>
  <c r="P14"/>
  <c r="O14"/>
  <c r="N14"/>
  <c r="M14"/>
  <c r="L14"/>
  <c r="K14"/>
  <c r="J14"/>
  <c r="I14"/>
  <c r="H14"/>
  <c r="G14"/>
  <c r="F14"/>
  <c r="E14"/>
  <c r="D14"/>
  <c r="D39" s="1"/>
  <c r="C14"/>
  <c r="B14"/>
  <c r="AF13"/>
  <c r="AE13"/>
  <c r="AD13"/>
  <c r="AC13"/>
  <c r="AB13"/>
  <c r="AA13"/>
  <c r="Z13"/>
  <c r="Y13"/>
  <c r="X13"/>
  <c r="W13"/>
  <c r="V13"/>
  <c r="U13"/>
  <c r="T13"/>
  <c r="S13"/>
  <c r="S39" s="1"/>
  <c r="R13"/>
  <c r="Q13"/>
  <c r="P13"/>
  <c r="O13"/>
  <c r="N13"/>
  <c r="M13"/>
  <c r="L13"/>
  <c r="K13"/>
  <c r="J13"/>
  <c r="I13"/>
  <c r="H13"/>
  <c r="G13"/>
  <c r="F13"/>
  <c r="E13"/>
  <c r="D13"/>
  <c r="C13"/>
  <c r="C35" s="1"/>
  <c r="B13"/>
  <c r="AF12"/>
  <c r="AE12"/>
  <c r="AD12"/>
  <c r="AC12"/>
  <c r="AB12"/>
  <c r="AA12"/>
  <c r="Z12"/>
  <c r="Y12"/>
  <c r="X12"/>
  <c r="W12"/>
  <c r="V12"/>
  <c r="U12"/>
  <c r="T12"/>
  <c r="S12"/>
  <c r="R12"/>
  <c r="R35" s="1"/>
  <c r="Q12"/>
  <c r="P12"/>
  <c r="O12"/>
  <c r="N12"/>
  <c r="M12"/>
  <c r="L12"/>
  <c r="K12"/>
  <c r="J12"/>
  <c r="I12"/>
  <c r="H12"/>
  <c r="G12"/>
  <c r="F12"/>
  <c r="E12"/>
  <c r="D12"/>
  <c r="C12"/>
  <c r="B12"/>
  <c r="B39" s="1"/>
  <c r="AF11"/>
  <c r="AE11"/>
  <c r="AD11"/>
  <c r="AC11"/>
  <c r="AB11"/>
  <c r="AA11"/>
  <c r="Z11"/>
  <c r="Y11"/>
  <c r="X11"/>
  <c r="W11"/>
  <c r="V11"/>
  <c r="U11"/>
  <c r="T11"/>
  <c r="S11"/>
  <c r="R11"/>
  <c r="Q11"/>
  <c r="Q35" s="1"/>
  <c r="Q43" s="1"/>
  <c r="P11"/>
  <c r="O11"/>
  <c r="N11"/>
  <c r="M11"/>
  <c r="L11"/>
  <c r="K11"/>
  <c r="J11"/>
  <c r="I11"/>
  <c r="H11"/>
  <c r="G11"/>
  <c r="F11"/>
  <c r="E11"/>
  <c r="D11"/>
  <c r="C11"/>
  <c r="B11"/>
  <c r="AF10"/>
  <c r="AF31" s="1"/>
  <c r="AE10"/>
  <c r="AD10"/>
  <c r="AC10"/>
  <c r="AB10"/>
  <c r="AA10"/>
  <c r="Z10"/>
  <c r="Y10"/>
  <c r="X10"/>
  <c r="W10"/>
  <c r="V10"/>
  <c r="U10"/>
  <c r="T10"/>
  <c r="S10"/>
  <c r="R10"/>
  <c r="Q10"/>
  <c r="P10"/>
  <c r="P31" s="1"/>
  <c r="O10"/>
  <c r="N10"/>
  <c r="M10"/>
  <c r="L10"/>
  <c r="K10"/>
  <c r="J10"/>
  <c r="I10"/>
  <c r="H10"/>
  <c r="G10"/>
  <c r="F10"/>
  <c r="E10"/>
  <c r="D10"/>
  <c r="C10"/>
  <c r="B10"/>
  <c r="AF9"/>
  <c r="AE9"/>
  <c r="AD9"/>
  <c r="AC9"/>
  <c r="AB9"/>
  <c r="AA9"/>
  <c r="Z9"/>
  <c r="Y9"/>
  <c r="X9"/>
  <c r="W9"/>
  <c r="V9"/>
  <c r="U9"/>
  <c r="T9"/>
  <c r="S9"/>
  <c r="R9"/>
  <c r="Q9"/>
  <c r="P9"/>
  <c r="O9"/>
  <c r="N9"/>
  <c r="M9"/>
  <c r="L9"/>
  <c r="K9"/>
  <c r="J9"/>
  <c r="I9"/>
  <c r="H9"/>
  <c r="G9"/>
  <c r="F9"/>
  <c r="E9"/>
  <c r="D9"/>
  <c r="C9"/>
  <c r="B9"/>
  <c r="AF8"/>
  <c r="AE8"/>
  <c r="AD8"/>
  <c r="AC8"/>
  <c r="AB8"/>
  <c r="AA8"/>
  <c r="Z8"/>
  <c r="Y8"/>
  <c r="X8"/>
  <c r="W8"/>
  <c r="V8"/>
  <c r="U8"/>
  <c r="T8"/>
  <c r="S8"/>
  <c r="R8"/>
  <c r="Q8"/>
  <c r="P8"/>
  <c r="O8"/>
  <c r="N8"/>
  <c r="M8"/>
  <c r="L8"/>
  <c r="K8"/>
  <c r="J8"/>
  <c r="I8"/>
  <c r="H8"/>
  <c r="G8"/>
  <c r="F8"/>
  <c r="E8"/>
  <c r="D8"/>
  <c r="C8"/>
  <c r="B8"/>
  <c r="AF7"/>
  <c r="AE7"/>
  <c r="AD7"/>
  <c r="AC7"/>
  <c r="AB7"/>
  <c r="AA7"/>
  <c r="Z7"/>
  <c r="Y7"/>
  <c r="X7"/>
  <c r="W7"/>
  <c r="V7"/>
  <c r="U7"/>
  <c r="T7"/>
  <c r="S7"/>
  <c r="R7"/>
  <c r="Q7"/>
  <c r="P7"/>
  <c r="O7"/>
  <c r="N7"/>
  <c r="M7"/>
  <c r="L7"/>
  <c r="K7"/>
  <c r="J7"/>
  <c r="I7"/>
  <c r="H7"/>
  <c r="G7"/>
  <c r="F7"/>
  <c r="E7"/>
  <c r="D7"/>
  <c r="C7"/>
  <c r="B7"/>
  <c r="AF6"/>
  <c r="AE6"/>
  <c r="AD6"/>
  <c r="AC6"/>
  <c r="AB6"/>
  <c r="AA6"/>
  <c r="Z6"/>
  <c r="Y6"/>
  <c r="X6"/>
  <c r="W6"/>
  <c r="V6"/>
  <c r="U6"/>
  <c r="T6"/>
  <c r="S6"/>
  <c r="R6"/>
  <c r="Q6"/>
  <c r="P6"/>
  <c r="O6"/>
  <c r="N6"/>
  <c r="M6"/>
  <c r="L6"/>
  <c r="K6"/>
  <c r="J6"/>
  <c r="I6"/>
  <c r="H6"/>
  <c r="G6"/>
  <c r="F6"/>
  <c r="E6"/>
  <c r="D6"/>
  <c r="C6"/>
  <c r="B6"/>
  <c r="AF5"/>
  <c r="AE5"/>
  <c r="AD5"/>
  <c r="AC5"/>
  <c r="AB5"/>
  <c r="AA5"/>
  <c r="Z5"/>
  <c r="Y5"/>
  <c r="X5"/>
  <c r="W5"/>
  <c r="V5"/>
  <c r="U5"/>
  <c r="T5"/>
  <c r="S5"/>
  <c r="R5"/>
  <c r="Q5"/>
  <c r="P5"/>
  <c r="O5"/>
  <c r="N5"/>
  <c r="M5"/>
  <c r="L5"/>
  <c r="K5"/>
  <c r="J5"/>
  <c r="I5"/>
  <c r="H5"/>
  <c r="G5"/>
  <c r="F5"/>
  <c r="E5"/>
  <c r="D5"/>
  <c r="C5"/>
  <c r="B5"/>
  <c r="AF4"/>
  <c r="AF39" s="1"/>
  <c r="AE4"/>
  <c r="AE39" s="1"/>
  <c r="AD4"/>
  <c r="AD39" s="1"/>
  <c r="AC4"/>
  <c r="AC39" s="1"/>
  <c r="AB4"/>
  <c r="AB39" s="1"/>
  <c r="AA4"/>
  <c r="AA39" s="1"/>
  <c r="Z4"/>
  <c r="Z39" s="1"/>
  <c r="Y4"/>
  <c r="Y39" s="1"/>
  <c r="X4"/>
  <c r="X39" s="1"/>
  <c r="W4"/>
  <c r="W39" s="1"/>
  <c r="V4"/>
  <c r="V39" s="1"/>
  <c r="U4"/>
  <c r="U39" s="1"/>
  <c r="T4"/>
  <c r="T35" s="1"/>
  <c r="S4"/>
  <c r="S31" s="1"/>
  <c r="R4"/>
  <c r="Q4"/>
  <c r="Q39" s="1"/>
  <c r="P4"/>
  <c r="P39" s="1"/>
  <c r="O4"/>
  <c r="O39" s="1"/>
  <c r="N4"/>
  <c r="N39" s="1"/>
  <c r="M4"/>
  <c r="M39" s="1"/>
  <c r="L4"/>
  <c r="L39" s="1"/>
  <c r="K4"/>
  <c r="K39" s="1"/>
  <c r="J4"/>
  <c r="J39" s="1"/>
  <c r="I4"/>
  <c r="I39" s="1"/>
  <c r="H4"/>
  <c r="H39" s="1"/>
  <c r="G4"/>
  <c r="G39" s="1"/>
  <c r="F4"/>
  <c r="F39" s="1"/>
  <c r="E4"/>
  <c r="E39" s="1"/>
  <c r="D4"/>
  <c r="D35" s="1"/>
  <c r="C4"/>
  <c r="C31" s="1"/>
  <c r="B4"/>
  <c r="B1"/>
  <c r="AD43" i="6" l="1"/>
  <c r="O43"/>
  <c r="AE43"/>
  <c r="B43" i="2"/>
  <c r="Q43"/>
  <c r="R43"/>
  <c r="T43" i="1"/>
  <c r="S43" i="2"/>
  <c r="AA43" i="4"/>
  <c r="D43" i="1"/>
  <c r="M43" i="4"/>
  <c r="AC43"/>
  <c r="B43" i="6"/>
  <c r="F43" i="2"/>
  <c r="V43"/>
  <c r="R43" i="6"/>
  <c r="V49" i="5"/>
  <c r="N49"/>
  <c r="Q43"/>
  <c r="S43"/>
  <c r="Q43" i="6"/>
  <c r="Q31" i="5"/>
  <c r="AD39" i="3"/>
  <c r="AD43" s="1"/>
  <c r="O31" i="1"/>
  <c r="AE31"/>
  <c r="P35"/>
  <c r="P43" s="1"/>
  <c r="AF35"/>
  <c r="AF43" s="1"/>
  <c r="K31" i="2"/>
  <c r="AA31"/>
  <c r="O35"/>
  <c r="O43" s="1"/>
  <c r="C39"/>
  <c r="C43" s="1"/>
  <c r="S39"/>
  <c r="K31" i="3"/>
  <c r="AA31"/>
  <c r="L35"/>
  <c r="L43" s="1"/>
  <c r="AB35"/>
  <c r="AB43" s="1"/>
  <c r="G31" i="4"/>
  <c r="W31"/>
  <c r="I35"/>
  <c r="I43" s="1"/>
  <c r="Y35"/>
  <c r="Y43" s="1"/>
  <c r="K39"/>
  <c r="K43" s="1"/>
  <c r="AA39"/>
  <c r="O31" i="5"/>
  <c r="AE31"/>
  <c r="P35"/>
  <c r="P43" s="1"/>
  <c r="AF35"/>
  <c r="AF43" s="1"/>
  <c r="K31" i="6"/>
  <c r="AA31"/>
  <c r="M35"/>
  <c r="M43" s="1"/>
  <c r="AC35"/>
  <c r="O39"/>
  <c r="AE39"/>
  <c r="J31" i="4"/>
  <c r="AE39" i="3"/>
  <c r="AE43" s="1"/>
  <c r="Y31" i="4"/>
  <c r="S39" i="5"/>
  <c r="X31" i="4"/>
  <c r="L31" i="6"/>
  <c r="N31" i="1"/>
  <c r="AD31"/>
  <c r="O35"/>
  <c r="O43" s="1"/>
  <c r="AE35"/>
  <c r="AE43" s="1"/>
  <c r="J31" i="2"/>
  <c r="Z31"/>
  <c r="N35"/>
  <c r="N43" s="1"/>
  <c r="B39"/>
  <c r="R39"/>
  <c r="J31" i="3"/>
  <c r="Z31"/>
  <c r="K35"/>
  <c r="K43" s="1"/>
  <c r="AA35"/>
  <c r="AA43" s="1"/>
  <c r="F31" i="4"/>
  <c r="V31"/>
  <c r="H35"/>
  <c r="X35"/>
  <c r="X43" s="1"/>
  <c r="J39"/>
  <c r="N49" s="1"/>
  <c r="Z39"/>
  <c r="Z43" s="1"/>
  <c r="N31" i="5"/>
  <c r="AD31"/>
  <c r="O35"/>
  <c r="O43" s="1"/>
  <c r="AE35"/>
  <c r="AE43" s="1"/>
  <c r="J31" i="6"/>
  <c r="Z31"/>
  <c r="L35"/>
  <c r="L43" s="1"/>
  <c r="AB35"/>
  <c r="AB43" s="1"/>
  <c r="N39"/>
  <c r="N49" s="1"/>
  <c r="AD39"/>
  <c r="R31" i="1"/>
  <c r="Z31" i="4"/>
  <c r="B35" i="1"/>
  <c r="AC31" i="2"/>
  <c r="N35" i="3"/>
  <c r="N43" s="1"/>
  <c r="R35" i="5"/>
  <c r="R43" s="1"/>
  <c r="L31" i="2"/>
  <c r="N35" i="6"/>
  <c r="M31" i="1"/>
  <c r="AC31"/>
  <c r="N35"/>
  <c r="N43" s="1"/>
  <c r="AD35"/>
  <c r="AD43" s="1"/>
  <c r="I31" i="2"/>
  <c r="Y31"/>
  <c r="M35"/>
  <c r="M43" s="1"/>
  <c r="AC35"/>
  <c r="AC43" s="1"/>
  <c r="Q39"/>
  <c r="I31" i="3"/>
  <c r="Y31"/>
  <c r="J35"/>
  <c r="J43" s="1"/>
  <c r="Z35"/>
  <c r="Z43" s="1"/>
  <c r="E31" i="4"/>
  <c r="U31"/>
  <c r="G35"/>
  <c r="G43" s="1"/>
  <c r="W35"/>
  <c r="W43" s="1"/>
  <c r="I39"/>
  <c r="M31" i="5"/>
  <c r="AC31"/>
  <c r="N35"/>
  <c r="N43" s="1"/>
  <c r="AD35"/>
  <c r="AD43" s="1"/>
  <c r="I31" i="6"/>
  <c r="Y31"/>
  <c r="K35"/>
  <c r="K43" s="1"/>
  <c r="AA35"/>
  <c r="AA43" s="1"/>
  <c r="M39"/>
  <c r="AC39"/>
  <c r="S35" i="1"/>
  <c r="S43" s="1"/>
  <c r="N31" i="2"/>
  <c r="R31" i="5"/>
  <c r="C39" i="1"/>
  <c r="C43" s="1"/>
  <c r="L31"/>
  <c r="AB31"/>
  <c r="M35"/>
  <c r="M43" s="1"/>
  <c r="AC35"/>
  <c r="AC43" s="1"/>
  <c r="H31" i="2"/>
  <c r="X31"/>
  <c r="L35"/>
  <c r="L43" s="1"/>
  <c r="AB35"/>
  <c r="AB43" s="1"/>
  <c r="P39"/>
  <c r="P43" s="1"/>
  <c r="H31" i="3"/>
  <c r="X31"/>
  <c r="I35"/>
  <c r="I43" s="1"/>
  <c r="Y35"/>
  <c r="Y43" s="1"/>
  <c r="D31" i="4"/>
  <c r="T31"/>
  <c r="F35"/>
  <c r="F43" s="1"/>
  <c r="V35"/>
  <c r="V43" s="1"/>
  <c r="H39"/>
  <c r="V49" s="1"/>
  <c r="L31" i="5"/>
  <c r="AB31"/>
  <c r="M35"/>
  <c r="M43" s="1"/>
  <c r="AC35"/>
  <c r="AC43" s="1"/>
  <c r="H31" i="6"/>
  <c r="X31"/>
  <c r="J35"/>
  <c r="J43" s="1"/>
  <c r="Z35"/>
  <c r="Z43" s="1"/>
  <c r="AB39"/>
  <c r="AD31" i="3"/>
  <c r="L35" i="4"/>
  <c r="L43" s="1"/>
  <c r="AD31" i="6"/>
  <c r="M31" i="2"/>
  <c r="AC31" i="3"/>
  <c r="R39" i="1"/>
  <c r="R43" s="1"/>
  <c r="N39" i="3"/>
  <c r="V49" s="1"/>
  <c r="K31" i="1"/>
  <c r="AA31"/>
  <c r="L35"/>
  <c r="L43" s="1"/>
  <c r="AB35"/>
  <c r="AB43" s="1"/>
  <c r="G31" i="2"/>
  <c r="W31"/>
  <c r="K35"/>
  <c r="K43" s="1"/>
  <c r="AA35"/>
  <c r="AA43" s="1"/>
  <c r="O39"/>
  <c r="G31" i="3"/>
  <c r="W31"/>
  <c r="H35"/>
  <c r="H43" s="1"/>
  <c r="X35"/>
  <c r="X43" s="1"/>
  <c r="C31" i="4"/>
  <c r="S31"/>
  <c r="E35"/>
  <c r="E43" s="1"/>
  <c r="U35"/>
  <c r="U43" s="1"/>
  <c r="K31" i="5"/>
  <c r="AA31"/>
  <c r="L35"/>
  <c r="L43" s="1"/>
  <c r="AB35"/>
  <c r="AB43" s="1"/>
  <c r="G31" i="6"/>
  <c r="W31"/>
  <c r="I35"/>
  <c r="I43" s="1"/>
  <c r="Y35"/>
  <c r="Y43" s="1"/>
  <c r="Q31" i="1"/>
  <c r="M35" i="3"/>
  <c r="M43" s="1"/>
  <c r="J31" i="1"/>
  <c r="Z31"/>
  <c r="K35"/>
  <c r="K43" s="1"/>
  <c r="AA35"/>
  <c r="AA43" s="1"/>
  <c r="F31" i="2"/>
  <c r="V31"/>
  <c r="J35"/>
  <c r="J43" s="1"/>
  <c r="Z35"/>
  <c r="Z43" s="1"/>
  <c r="F31" i="3"/>
  <c r="V31"/>
  <c r="G35"/>
  <c r="G43" s="1"/>
  <c r="W35"/>
  <c r="W43" s="1"/>
  <c r="B31" i="4"/>
  <c r="R31"/>
  <c r="D35"/>
  <c r="D43" s="1"/>
  <c r="T35"/>
  <c r="T43" s="1"/>
  <c r="J31" i="5"/>
  <c r="Z31"/>
  <c r="K35"/>
  <c r="K43" s="1"/>
  <c r="AA35"/>
  <c r="AA43" s="1"/>
  <c r="F31" i="6"/>
  <c r="V31"/>
  <c r="H35"/>
  <c r="H43" s="1"/>
  <c r="X35"/>
  <c r="X43" s="1"/>
  <c r="C35" i="5"/>
  <c r="C43" s="1"/>
  <c r="I31" i="1"/>
  <c r="Y31"/>
  <c r="J35"/>
  <c r="J43" s="1"/>
  <c r="Z35"/>
  <c r="Z43" s="1"/>
  <c r="E31" i="2"/>
  <c r="U31"/>
  <c r="I35"/>
  <c r="I43" s="1"/>
  <c r="Y35"/>
  <c r="Y43" s="1"/>
  <c r="E31" i="3"/>
  <c r="U31"/>
  <c r="F35"/>
  <c r="F43" s="1"/>
  <c r="V35"/>
  <c r="V43" s="1"/>
  <c r="Q31" i="4"/>
  <c r="C35"/>
  <c r="C43" s="1"/>
  <c r="S35"/>
  <c r="S43" s="1"/>
  <c r="I31" i="5"/>
  <c r="Y31"/>
  <c r="J35"/>
  <c r="J43" s="1"/>
  <c r="Z35"/>
  <c r="Z43" s="1"/>
  <c r="E31" i="6"/>
  <c r="U31"/>
  <c r="G35"/>
  <c r="G43" s="1"/>
  <c r="W35"/>
  <c r="W43" s="1"/>
  <c r="H31" i="1"/>
  <c r="X31"/>
  <c r="I35"/>
  <c r="I43" s="1"/>
  <c r="Y35"/>
  <c r="Y43" s="1"/>
  <c r="D31" i="2"/>
  <c r="T31"/>
  <c r="H35"/>
  <c r="H43" s="1"/>
  <c r="X35"/>
  <c r="X43" s="1"/>
  <c r="AB39"/>
  <c r="D31" i="3"/>
  <c r="T31"/>
  <c r="E35"/>
  <c r="E43" s="1"/>
  <c r="U35"/>
  <c r="U43" s="1"/>
  <c r="P31" i="4"/>
  <c r="B35"/>
  <c r="R35"/>
  <c r="R43" s="1"/>
  <c r="H31" i="5"/>
  <c r="X31"/>
  <c r="I35"/>
  <c r="I43" s="1"/>
  <c r="Y35"/>
  <c r="Y43" s="1"/>
  <c r="D31" i="6"/>
  <c r="T31"/>
  <c r="F35"/>
  <c r="F43" s="1"/>
  <c r="V35"/>
  <c r="V43" s="1"/>
  <c r="AB35" i="4"/>
  <c r="AB43" s="1"/>
  <c r="B31" i="5"/>
  <c r="B35"/>
  <c r="G31" i="1"/>
  <c r="W31"/>
  <c r="H35"/>
  <c r="H43" s="1"/>
  <c r="X35"/>
  <c r="X43" s="1"/>
  <c r="C31" i="2"/>
  <c r="H49" s="1"/>
  <c r="S31"/>
  <c r="G35"/>
  <c r="G43" s="1"/>
  <c r="W35"/>
  <c r="W43" s="1"/>
  <c r="C31" i="3"/>
  <c r="S31"/>
  <c r="D35"/>
  <c r="D43" s="1"/>
  <c r="T35"/>
  <c r="T43" s="1"/>
  <c r="O31" i="4"/>
  <c r="AE31"/>
  <c r="Q35"/>
  <c r="Q43" s="1"/>
  <c r="G31" i="5"/>
  <c r="W31"/>
  <c r="H35"/>
  <c r="H43" s="1"/>
  <c r="X35"/>
  <c r="X43" s="1"/>
  <c r="C31" i="6"/>
  <c r="S31"/>
  <c r="E35"/>
  <c r="E43" s="1"/>
  <c r="U35"/>
  <c r="U43" s="1"/>
  <c r="B31" i="1"/>
  <c r="O35" i="3"/>
  <c r="O43" s="1"/>
  <c r="P35" i="6"/>
  <c r="P43" s="1"/>
  <c r="F31" i="1"/>
  <c r="V31"/>
  <c r="G35"/>
  <c r="G43" s="1"/>
  <c r="W35"/>
  <c r="W43" s="1"/>
  <c r="B31" i="3"/>
  <c r="R31"/>
  <c r="C35"/>
  <c r="C43" s="1"/>
  <c r="S35"/>
  <c r="S43" s="1"/>
  <c r="N31" i="4"/>
  <c r="AD31"/>
  <c r="P35"/>
  <c r="P43" s="1"/>
  <c r="F31" i="5"/>
  <c r="V31"/>
  <c r="G35"/>
  <c r="G43" s="1"/>
  <c r="W35"/>
  <c r="W43" s="1"/>
  <c r="B31" i="6"/>
  <c r="R31"/>
  <c r="D35"/>
  <c r="D43" s="1"/>
  <c r="T35"/>
  <c r="T43" s="1"/>
  <c r="E31" i="1"/>
  <c r="U31"/>
  <c r="F35"/>
  <c r="F43" s="1"/>
  <c r="V35"/>
  <c r="V43" s="1"/>
  <c r="Q31" i="3"/>
  <c r="B35"/>
  <c r="R35"/>
  <c r="R43" s="1"/>
  <c r="M31" i="4"/>
  <c r="AC31"/>
  <c r="O35"/>
  <c r="O43" s="1"/>
  <c r="AE35"/>
  <c r="AE43" s="1"/>
  <c r="E31" i="5"/>
  <c r="U31"/>
  <c r="F35"/>
  <c r="F43" s="1"/>
  <c r="V35"/>
  <c r="V43" s="1"/>
  <c r="Q31" i="6"/>
  <c r="C35"/>
  <c r="C43" s="1"/>
  <c r="S35"/>
  <c r="S43" s="1"/>
  <c r="D31" i="1"/>
  <c r="T31"/>
  <c r="E35"/>
  <c r="E43" s="1"/>
  <c r="U35"/>
  <c r="U43" s="1"/>
  <c r="P31" i="3"/>
  <c r="AF31"/>
  <c r="Q35"/>
  <c r="Q43" s="1"/>
  <c r="D31" i="5"/>
  <c r="T31"/>
  <c r="E35"/>
  <c r="E43" s="1"/>
  <c r="U35"/>
  <c r="U43" s="1"/>
  <c r="K49" i="4" l="1"/>
  <c r="Q49" s="1"/>
  <c r="B43"/>
  <c r="T49"/>
  <c r="X49" s="1"/>
  <c r="V49" i="1"/>
  <c r="N49"/>
  <c r="H49"/>
  <c r="N43" i="6"/>
  <c r="K49" i="2"/>
  <c r="Q49" s="1"/>
  <c r="T49"/>
  <c r="X49" s="1"/>
  <c r="H49" i="6"/>
  <c r="N49" i="2"/>
  <c r="V49"/>
  <c r="AC43" i="6"/>
  <c r="N49" i="3"/>
  <c r="J43" i="4"/>
  <c r="V49" i="6"/>
  <c r="H49" i="3"/>
  <c r="H49" i="5"/>
  <c r="T49" i="6"/>
  <c r="X49" s="1"/>
  <c r="T49" i="5"/>
  <c r="X49" s="1"/>
  <c r="K49"/>
  <c r="Q49" s="1"/>
  <c r="B43"/>
  <c r="H49" i="4"/>
  <c r="K49" i="6"/>
  <c r="Q49" s="1"/>
  <c r="K49" i="3"/>
  <c r="Q49" s="1"/>
  <c r="B43"/>
  <c r="T49"/>
  <c r="X49" s="1"/>
  <c r="T49" i="1"/>
  <c r="K49"/>
  <c r="B43"/>
  <c r="H43" i="4"/>
  <c r="Q49" i="1" l="1"/>
  <c r="X49"/>
</calcChain>
</file>

<file path=xl/sharedStrings.xml><?xml version="1.0" encoding="utf-8"?>
<sst xmlns="http://schemas.openxmlformats.org/spreadsheetml/2006/main" count="298" uniqueCount="15">
  <si>
    <t>Umid. Específica (g.kg-1)</t>
  </si>
  <si>
    <t>H/D</t>
  </si>
  <si>
    <t>DADOS INTERPOLADOS</t>
  </si>
  <si>
    <t>MÉDIA</t>
  </si>
  <si>
    <t>DIÁRIA</t>
  </si>
  <si>
    <t>MÁXIMA</t>
  </si>
  <si>
    <t>MÍNIMA</t>
  </si>
  <si>
    <t>AMPLITUDE</t>
  </si>
  <si>
    <t>DIF. DAS</t>
  </si>
  <si>
    <t>MENSAL</t>
  </si>
  <si>
    <t>DAS MÁX.</t>
  </si>
  <si>
    <t>DAS MÍN.</t>
  </si>
  <si>
    <t>MÉDIAS</t>
  </si>
  <si>
    <t>Dados interpolados</t>
  </si>
  <si>
    <t>Dados incorretos</t>
  </si>
</sst>
</file>

<file path=xl/styles.xml><?xml version="1.0" encoding="utf-8"?>
<styleSheet xmlns="http://schemas.openxmlformats.org/spreadsheetml/2006/main">
  <numFmts count="2">
    <numFmt numFmtId="164" formatCode="0.0"/>
    <numFmt numFmtId="165" formatCode="#,##0.0"/>
  </numFmts>
  <fonts count="9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4"/>
      <name val="Arial"/>
      <family val="2"/>
    </font>
    <font>
      <b/>
      <sz val="12"/>
      <name val="Arial"/>
      <family val="2"/>
    </font>
    <font>
      <sz val="12"/>
      <name val="Arial"/>
      <family val="2"/>
    </font>
    <font>
      <sz val="12"/>
      <color theme="4"/>
      <name val="Arial"/>
      <family val="2"/>
    </font>
    <font>
      <sz val="10"/>
      <color theme="4"/>
      <name val="Arial"/>
      <family val="2"/>
    </font>
    <font>
      <sz val="10"/>
      <color rgb="FFFF0000"/>
      <name val="Arial"/>
      <family val="2"/>
    </font>
    <font>
      <sz val="12"/>
      <color rgb="FFFF000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43"/>
        <bgColor indexed="26"/>
      </patternFill>
    </fill>
  </fills>
  <borders count="21">
    <border>
      <left/>
      <right/>
      <top/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double">
        <color indexed="64"/>
      </right>
      <top/>
      <bottom/>
      <diagonal/>
    </border>
    <border>
      <left style="medium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 style="thin">
        <color indexed="63"/>
      </left>
      <right style="medium">
        <color indexed="63"/>
      </right>
      <top style="medium">
        <color indexed="63"/>
      </top>
      <bottom style="medium">
        <color indexed="63"/>
      </bottom>
      <diagonal/>
    </border>
    <border>
      <left style="thin">
        <color indexed="63"/>
      </left>
      <right style="thin">
        <color indexed="63"/>
      </right>
      <top style="medium">
        <color indexed="63"/>
      </top>
      <bottom style="medium">
        <color indexed="63"/>
      </bottom>
      <diagonal/>
    </border>
    <border>
      <left/>
      <right style="thin">
        <color indexed="63"/>
      </right>
      <top style="medium">
        <color indexed="63"/>
      </top>
      <bottom style="medium">
        <color indexed="63"/>
      </bottom>
      <diagonal/>
    </border>
    <border>
      <left/>
      <right style="medium">
        <color indexed="63"/>
      </right>
      <top style="medium">
        <color indexed="63"/>
      </top>
      <bottom style="medium">
        <color indexed="63"/>
      </bottom>
      <diagonal/>
    </border>
    <border>
      <left style="thin">
        <color indexed="63"/>
      </left>
      <right style="medium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</borders>
  <cellStyleXfs count="1">
    <xf numFmtId="0" fontId="0" fillId="0" borderId="0"/>
  </cellStyleXfs>
  <cellXfs count="61">
    <xf numFmtId="0" fontId="0" fillId="0" borderId="0" xfId="0"/>
    <xf numFmtId="0" fontId="0" fillId="2" borderId="0" xfId="0" applyFill="1"/>
    <xf numFmtId="164" fontId="2" fillId="2" borderId="0" xfId="0" applyNumberFormat="1" applyFont="1" applyFill="1"/>
    <xf numFmtId="164" fontId="0" fillId="2" borderId="0" xfId="0" applyNumberFormat="1" applyFill="1"/>
    <xf numFmtId="164" fontId="2" fillId="2" borderId="0" xfId="0" applyNumberFormat="1" applyFont="1" applyFill="1" applyAlignment="1">
      <alignment horizontal="right"/>
    </xf>
    <xf numFmtId="164" fontId="2" fillId="2" borderId="0" xfId="0" applyNumberFormat="1" applyFont="1" applyFill="1" applyAlignment="1">
      <alignment horizontal="left"/>
    </xf>
    <xf numFmtId="164" fontId="2" fillId="2" borderId="0" xfId="0" quotePrefix="1" applyNumberFormat="1" applyFont="1" applyFill="1" applyAlignment="1">
      <alignment horizontal="left"/>
    </xf>
    <xf numFmtId="0" fontId="3" fillId="2" borderId="0" xfId="0" applyFont="1" applyFill="1"/>
    <xf numFmtId="0" fontId="3" fillId="2" borderId="0" xfId="0" quotePrefix="1" applyFont="1" applyFill="1" applyAlignment="1">
      <alignment horizontal="left"/>
    </xf>
    <xf numFmtId="164" fontId="3" fillId="2" borderId="0" xfId="0" applyNumberFormat="1" applyFont="1" applyFill="1"/>
    <xf numFmtId="0" fontId="3" fillId="2" borderId="1" xfId="0" applyFont="1" applyFill="1" applyBorder="1" applyAlignment="1">
      <alignment horizontal="center"/>
    </xf>
    <xf numFmtId="1" fontId="3" fillId="2" borderId="2" xfId="0" applyNumberFormat="1" applyFont="1" applyFill="1" applyBorder="1" applyAlignment="1">
      <alignment horizontal="center"/>
    </xf>
    <xf numFmtId="1" fontId="3" fillId="2" borderId="3" xfId="0" applyNumberFormat="1" applyFont="1" applyFill="1" applyBorder="1" applyAlignment="1">
      <alignment horizontal="center"/>
    </xf>
    <xf numFmtId="1" fontId="3" fillId="2" borderId="4" xfId="0" applyNumberFormat="1" applyFont="1" applyFill="1" applyBorder="1" applyAlignment="1">
      <alignment horizontal="center"/>
    </xf>
    <xf numFmtId="0" fontId="3" fillId="2" borderId="5" xfId="0" applyFont="1" applyFill="1" applyBorder="1" applyAlignment="1">
      <alignment horizontal="center"/>
    </xf>
    <xf numFmtId="165" fontId="4" fillId="2" borderId="6" xfId="0" applyNumberFormat="1" applyFont="1" applyFill="1" applyBorder="1" applyAlignment="1">
      <alignment horizontal="center"/>
    </xf>
    <xf numFmtId="165" fontId="5" fillId="2" borderId="6" xfId="0" applyNumberFormat="1" applyFont="1" applyFill="1" applyBorder="1" applyAlignment="1">
      <alignment horizontal="center"/>
    </xf>
    <xf numFmtId="0" fontId="4" fillId="2" borderId="7" xfId="0" applyFont="1" applyFill="1" applyBorder="1"/>
    <xf numFmtId="164" fontId="6" fillId="2" borderId="8" xfId="0" applyNumberFormat="1" applyFont="1" applyFill="1" applyBorder="1"/>
    <xf numFmtId="164" fontId="0" fillId="2" borderId="8" xfId="0" applyNumberFormat="1" applyFill="1" applyBorder="1"/>
    <xf numFmtId="164" fontId="7" fillId="2" borderId="8" xfId="0" applyNumberFormat="1" applyFont="1" applyFill="1" applyBorder="1"/>
    <xf numFmtId="164" fontId="0" fillId="2" borderId="9" xfId="0" applyNumberFormat="1" applyFill="1" applyBorder="1"/>
    <xf numFmtId="0" fontId="4" fillId="2" borderId="10" xfId="0" applyFont="1" applyFill="1" applyBorder="1"/>
    <xf numFmtId="164" fontId="0" fillId="2" borderId="11" xfId="0" applyNumberFormat="1" applyFill="1" applyBorder="1"/>
    <xf numFmtId="0" fontId="3" fillId="2" borderId="10" xfId="0" quotePrefix="1" applyFont="1" applyFill="1" applyBorder="1" applyAlignment="1">
      <alignment horizontal="left"/>
    </xf>
    <xf numFmtId="164" fontId="4" fillId="2" borderId="0" xfId="0" applyNumberFormat="1" applyFont="1" applyFill="1" applyAlignment="1">
      <alignment horizontal="center"/>
    </xf>
    <xf numFmtId="164" fontId="4" fillId="2" borderId="11" xfId="0" applyNumberFormat="1" applyFont="1" applyFill="1" applyBorder="1" applyAlignment="1">
      <alignment horizontal="center"/>
    </xf>
    <xf numFmtId="0" fontId="3" fillId="2" borderId="10" xfId="0" applyFont="1" applyFill="1" applyBorder="1"/>
    <xf numFmtId="164" fontId="4" fillId="2" borderId="0" xfId="0" applyNumberFormat="1" applyFont="1" applyFill="1"/>
    <xf numFmtId="164" fontId="4" fillId="2" borderId="11" xfId="0" applyNumberFormat="1" applyFont="1" applyFill="1" applyBorder="1"/>
    <xf numFmtId="164" fontId="0" fillId="2" borderId="0" xfId="0" applyNumberFormat="1" applyFill="1" applyAlignment="1">
      <alignment horizontal="center"/>
    </xf>
    <xf numFmtId="0" fontId="0" fillId="2" borderId="10" xfId="0" applyFill="1" applyBorder="1"/>
    <xf numFmtId="0" fontId="3" fillId="2" borderId="0" xfId="0" quotePrefix="1" applyFont="1" applyFill="1" applyAlignment="1">
      <alignment horizontal="center"/>
    </xf>
    <xf numFmtId="164" fontId="3" fillId="2" borderId="0" xfId="0" applyNumberFormat="1" applyFont="1" applyFill="1" applyAlignment="1">
      <alignment horizontal="center"/>
    </xf>
    <xf numFmtId="164" fontId="3" fillId="2" borderId="0" xfId="0" quotePrefix="1" applyNumberFormat="1" applyFont="1" applyFill="1" applyAlignment="1">
      <alignment horizontal="center"/>
    </xf>
    <xf numFmtId="0" fontId="3" fillId="2" borderId="0" xfId="0" applyFont="1" applyFill="1" applyAlignment="1">
      <alignment horizontal="center"/>
    </xf>
    <xf numFmtId="0" fontId="0" fillId="2" borderId="12" xfId="0" applyFill="1" applyBorder="1"/>
    <xf numFmtId="164" fontId="0" fillId="2" borderId="13" xfId="0" applyNumberFormat="1" applyFill="1" applyBorder="1" applyAlignment="1">
      <alignment horizontal="center"/>
    </xf>
    <xf numFmtId="164" fontId="0" fillId="2" borderId="13" xfId="0" applyNumberFormat="1" applyFill="1" applyBorder="1"/>
    <xf numFmtId="164" fontId="4" fillId="2" borderId="13" xfId="0" applyNumberFormat="1" applyFont="1" applyFill="1" applyBorder="1" applyAlignment="1">
      <alignment horizontal="center"/>
    </xf>
    <xf numFmtId="164" fontId="4" fillId="2" borderId="13" xfId="0" applyNumberFormat="1" applyFont="1" applyFill="1" applyBorder="1"/>
    <xf numFmtId="164" fontId="0" fillId="2" borderId="14" xfId="0" applyNumberFormat="1" applyFill="1" applyBorder="1"/>
    <xf numFmtId="164" fontId="0" fillId="0" borderId="0" xfId="0" applyNumberFormat="1" applyAlignment="1">
      <alignment horizontal="center"/>
    </xf>
    <xf numFmtId="164" fontId="0" fillId="0" borderId="0" xfId="0" applyNumberFormat="1"/>
    <xf numFmtId="0" fontId="0" fillId="3" borderId="0" xfId="0" applyFill="1"/>
    <xf numFmtId="164" fontId="2" fillId="3" borderId="0" xfId="0" applyNumberFormat="1" applyFont="1" applyFill="1"/>
    <xf numFmtId="164" fontId="0" fillId="3" borderId="0" xfId="0" applyNumberFormat="1" applyFill="1"/>
    <xf numFmtId="164" fontId="2" fillId="3" borderId="0" xfId="0" applyNumberFormat="1" applyFont="1" applyFill="1" applyAlignment="1">
      <alignment horizontal="right"/>
    </xf>
    <xf numFmtId="164" fontId="2" fillId="3" borderId="0" xfId="0" applyNumberFormat="1" applyFont="1" applyFill="1" applyAlignment="1">
      <alignment horizontal="left"/>
    </xf>
    <xf numFmtId="0" fontId="3" fillId="3" borderId="0" xfId="0" applyFont="1" applyFill="1"/>
    <xf numFmtId="0" fontId="3" fillId="3" borderId="0" xfId="0" applyFont="1" applyFill="1" applyAlignment="1">
      <alignment horizontal="left"/>
    </xf>
    <xf numFmtId="164" fontId="3" fillId="3" borderId="0" xfId="0" applyNumberFormat="1" applyFont="1" applyFill="1"/>
    <xf numFmtId="0" fontId="3" fillId="3" borderId="15" xfId="0" applyFont="1" applyFill="1" applyBorder="1" applyAlignment="1">
      <alignment horizontal="center"/>
    </xf>
    <xf numFmtId="1" fontId="3" fillId="3" borderId="16" xfId="0" applyNumberFormat="1" applyFont="1" applyFill="1" applyBorder="1" applyAlignment="1">
      <alignment horizontal="center"/>
    </xf>
    <xf numFmtId="1" fontId="3" fillId="3" borderId="17" xfId="0" applyNumberFormat="1" applyFont="1" applyFill="1" applyBorder="1" applyAlignment="1">
      <alignment horizontal="center"/>
    </xf>
    <xf numFmtId="1" fontId="3" fillId="3" borderId="18" xfId="0" applyNumberFormat="1" applyFont="1" applyFill="1" applyBorder="1" applyAlignment="1">
      <alignment horizontal="center"/>
    </xf>
    <xf numFmtId="0" fontId="3" fillId="3" borderId="19" xfId="0" applyFont="1" applyFill="1" applyBorder="1" applyAlignment="1">
      <alignment horizontal="center"/>
    </xf>
    <xf numFmtId="165" fontId="4" fillId="3" borderId="20" xfId="0" applyNumberFormat="1" applyFont="1" applyFill="1" applyBorder="1" applyAlignment="1">
      <alignment horizontal="center"/>
    </xf>
    <xf numFmtId="165" fontId="5" fillId="3" borderId="20" xfId="0" applyNumberFormat="1" applyFont="1" applyFill="1" applyBorder="1" applyAlignment="1">
      <alignment horizontal="center"/>
    </xf>
    <xf numFmtId="165" fontId="8" fillId="2" borderId="6" xfId="0" applyNumberFormat="1" applyFont="1" applyFill="1" applyBorder="1" applyAlignment="1">
      <alignment horizontal="center"/>
    </xf>
    <xf numFmtId="164" fontId="1" fillId="2" borderId="8" xfId="0" applyNumberFormat="1" applyFont="1" applyFill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externalLink" Target="externalLinks/externalLink1.xml"/><Relationship Id="rId18" Type="http://schemas.openxmlformats.org/officeDocument/2006/relationships/externalLink" Target="externalLinks/externalLink6.xml"/><Relationship Id="rId26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externalLink" Target="externalLinks/externalLink9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externalLink" Target="externalLinks/externalLink5.xml"/><Relationship Id="rId25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4.xml"/><Relationship Id="rId20" Type="http://schemas.openxmlformats.org/officeDocument/2006/relationships/externalLink" Target="externalLinks/externalLink8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externalLink" Target="externalLinks/externalLink12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3.xml"/><Relationship Id="rId23" Type="http://schemas.openxmlformats.org/officeDocument/2006/relationships/externalLink" Target="externalLinks/externalLink11.xml"/><Relationship Id="rId28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externalLink" Target="externalLinks/externalLink7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externalLink" Target="externalLinks/externalLink2.xml"/><Relationship Id="rId22" Type="http://schemas.openxmlformats.org/officeDocument/2006/relationships/externalLink" Target="externalLinks/externalLink10.xml"/><Relationship Id="rId27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dados\folhas\2023%20V-F%20S\01f2023c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dados\folhas\2023%20V-F%20S\02f2023c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dados\folhas\2023%20V-F%20S\03f2023c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dados\folhas\2023%20V-F%20S\04f2023c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dados\folhas\2023%20V-F%20S\05f2023c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dados\folhas\2023%20V-F%20S\06f2023c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dados\folhas\2023%20V-F%20S\07f2023c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dados\folhas\2023%20V-F%20S\08f2023c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dados\folhas\2023%20V-F%20S\09f2023c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dados\folhas\2023%20V-F%20S\10f2023c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dados\folhas\2023%20V-F%20S\11f2023c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dados\folhas\2023%20V-F%20S\12f2023c.xls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Ponto de Orvalho"/>
      <sheetName val="Bulbo Umido"/>
      <sheetName val="Verificações"/>
      <sheetName val="Dia 1 (a)"/>
      <sheetName val="Dia 1 (b)"/>
      <sheetName val="Dia 2 (a)"/>
      <sheetName val="Dia 2 (b)"/>
      <sheetName val="Dia 3 (a)"/>
      <sheetName val="Dia 3 (b)"/>
      <sheetName val="Dia 4 (a)"/>
      <sheetName val="Dia 4 (b)"/>
      <sheetName val="Dia 5 (a)"/>
      <sheetName val="Dia 5 (b)"/>
      <sheetName val="Dia 6 (a)"/>
      <sheetName val="Dia 6 (b)"/>
      <sheetName val="Dia 7 (a)"/>
      <sheetName val="Dia 7 (b)"/>
      <sheetName val="Dia 8 (a)"/>
      <sheetName val="Dia 8 (b)"/>
      <sheetName val="Dia 9 (a)"/>
      <sheetName val="Dia 9 (b)"/>
      <sheetName val="Dia 10 (a)"/>
      <sheetName val="Dia 10 (b)"/>
      <sheetName val="Dia 11 (a)"/>
      <sheetName val="Dia 11 (b)"/>
      <sheetName val="Dia 12 (a)"/>
      <sheetName val="Dia 12 (b)"/>
      <sheetName val="Dia 13 (a)"/>
      <sheetName val="Dia 13 (b)"/>
      <sheetName val="Dia 14 (a)"/>
      <sheetName val="Dia 14 (b)"/>
      <sheetName val="Dia 15 (a)"/>
      <sheetName val="Dia 15 (b)"/>
      <sheetName val="Dia 16 (a)"/>
      <sheetName val="Dia 16 (b)"/>
      <sheetName val="Dia 17 (a)"/>
      <sheetName val="Dia 17 (b)"/>
      <sheetName val="Dia 18 (a)"/>
      <sheetName val="Dia 18 (b)"/>
      <sheetName val="Dia 19 (a)"/>
      <sheetName val="Dia 19 (b)"/>
      <sheetName val="Dia 20 (a)"/>
      <sheetName val="Dia 20 (b)"/>
      <sheetName val="Dia 21 (a)"/>
      <sheetName val="Dia 21 (b)"/>
      <sheetName val="Dia 22 (a)"/>
      <sheetName val="Dia 22 (b)"/>
      <sheetName val="Dia 23 (a)"/>
      <sheetName val="Dia 23 (b)"/>
      <sheetName val="Dia 24 (a)"/>
      <sheetName val="Dia 24 (b)"/>
      <sheetName val="Dia 25 (a)"/>
      <sheetName val="Dia 25 (b)"/>
      <sheetName val="Dia 26 (a)"/>
      <sheetName val="Dia 26 (b)"/>
      <sheetName val="Dia 27 (a)"/>
      <sheetName val="Dia 27 (b)"/>
      <sheetName val="Dia 28 (a)"/>
      <sheetName val="Dia 28 (b)"/>
      <sheetName val="Dia 29 (a)"/>
      <sheetName val="Dia 29 (b)"/>
      <sheetName val="Dia 30 (a)"/>
      <sheetName val="Dia 30 (b)"/>
      <sheetName val="Dia 31 (a)"/>
      <sheetName val="Dia 31 (b)"/>
      <sheetName val="Visibilidade"/>
      <sheetName val="Tipo-Nuvens Baixas"/>
      <sheetName val="Quant.-Nuvens Baixas"/>
      <sheetName val="Tipo-Nuvens Médias"/>
      <sheetName val="Quant.-Nuvens Médias"/>
      <sheetName val="Tipo-Nuvens Altas"/>
      <sheetName val="Quant.-Nuvens Altas"/>
      <sheetName val="Cobertura Total"/>
      <sheetName val="Barôm. a Grav. Normal (hPa=mb)"/>
      <sheetName val="Term. Seco (C)"/>
      <sheetName val="Umid. Relat. (%)"/>
      <sheetName val="Umid. Específica (g.kg-1)"/>
      <sheetName val="Temp. Superf. (C)"/>
      <sheetName val="Temp. 5 cm (C)"/>
      <sheetName val="Temp. 10 cm (C)"/>
      <sheetName val="Temp. 20 cm (C)"/>
      <sheetName val="Temp. 30 cm (C)"/>
      <sheetName val="Temp. 40 cm (C)"/>
      <sheetName val="Temp. Máx. e Mín. (C)"/>
      <sheetName val="Precipitação e Evaporação (mm)"/>
      <sheetName val="INMET"/>
      <sheetName val="Fenomenos Diversos"/>
    </sheetNames>
    <sheetDataSet>
      <sheetData sheetId="0"/>
      <sheetData sheetId="1"/>
      <sheetData sheetId="2"/>
      <sheetData sheetId="3"/>
      <sheetData sheetId="4">
        <row r="1">
          <cell r="C1" t="str">
            <v>JANEIRO DE 2023</v>
          </cell>
        </row>
        <row r="10">
          <cell r="X10">
            <v>14.391045108037179</v>
          </cell>
        </row>
        <row r="11">
          <cell r="X11">
            <v>13.778933220337313</v>
          </cell>
        </row>
        <row r="12">
          <cell r="X12">
            <v>13.267953013880593</v>
          </cell>
        </row>
        <row r="13">
          <cell r="X13">
            <v>12.504396502195473</v>
          </cell>
        </row>
        <row r="14">
          <cell r="X14">
            <v>12.524966165524065</v>
          </cell>
        </row>
        <row r="15">
          <cell r="X15">
            <v>12.357994754302949</v>
          </cell>
        </row>
        <row r="16">
          <cell r="X16">
            <v>13.971105693959599</v>
          </cell>
        </row>
        <row r="17">
          <cell r="X17">
            <v>12.739355986836436</v>
          </cell>
        </row>
        <row r="18">
          <cell r="X18">
            <v>13.430034051615706</v>
          </cell>
        </row>
        <row r="19">
          <cell r="X19">
            <v>13.445898737115966</v>
          </cell>
        </row>
        <row r="20">
          <cell r="X20">
            <v>13.599796069132591</v>
          </cell>
        </row>
        <row r="21">
          <cell r="X21">
            <v>14.846936899647735</v>
          </cell>
        </row>
        <row r="22">
          <cell r="X22">
            <v>17.17879827081666</v>
          </cell>
        </row>
        <row r="23">
          <cell r="X23">
            <v>17.161198556297762</v>
          </cell>
        </row>
        <row r="24">
          <cell r="X24">
            <v>16.519213417951118</v>
          </cell>
        </row>
        <row r="25">
          <cell r="X25">
            <v>15.673842518934437</v>
          </cell>
        </row>
        <row r="26">
          <cell r="X26">
            <v>15.622567169614447</v>
          </cell>
        </row>
        <row r="27">
          <cell r="X27">
            <v>14.986594386707234</v>
          </cell>
        </row>
        <row r="28">
          <cell r="X28">
            <v>14.811959850600189</v>
          </cell>
        </row>
        <row r="29">
          <cell r="X29">
            <v>14.277008820050998</v>
          </cell>
        </row>
        <row r="30">
          <cell r="X30">
            <v>14.354128333508738</v>
          </cell>
        </row>
        <row r="31">
          <cell r="X31">
            <v>14.477912960588402</v>
          </cell>
        </row>
        <row r="32">
          <cell r="X32">
            <v>14.299707855927521</v>
          </cell>
        </row>
        <row r="33">
          <cell r="X33">
            <v>13.902967427654771</v>
          </cell>
        </row>
      </sheetData>
      <sheetData sheetId="5"/>
      <sheetData sheetId="6">
        <row r="10">
          <cell r="X10">
            <v>13.900866758690775</v>
          </cell>
        </row>
        <row r="11">
          <cell r="X11">
            <v>13.372717223480377</v>
          </cell>
        </row>
        <row r="12">
          <cell r="X12">
            <v>14.108956332239439</v>
          </cell>
        </row>
        <row r="13">
          <cell r="X13">
            <v>13.628065799068979</v>
          </cell>
        </row>
        <row r="14">
          <cell r="X14">
            <v>13.521855837477112</v>
          </cell>
        </row>
        <row r="15">
          <cell r="X15">
            <v>13.748397318210086</v>
          </cell>
        </row>
        <row r="16">
          <cell r="X16">
            <v>14.498140528970223</v>
          </cell>
        </row>
        <row r="17">
          <cell r="X17">
            <v>13.775753794167466</v>
          </cell>
        </row>
        <row r="18">
          <cell r="X18">
            <v>12.987297275633576</v>
          </cell>
        </row>
        <row r="19">
          <cell r="X19">
            <v>13.140844981588071</v>
          </cell>
        </row>
        <row r="20">
          <cell r="X20">
            <v>13.836208212571083</v>
          </cell>
        </row>
        <row r="21">
          <cell r="X21">
            <v>14.100278039681051</v>
          </cell>
        </row>
        <row r="22">
          <cell r="X22">
            <v>13.175289717250903</v>
          </cell>
        </row>
        <row r="23">
          <cell r="X23">
            <v>13.297068052584265</v>
          </cell>
        </row>
        <row r="24">
          <cell r="X24">
            <v>17.195215448522799</v>
          </cell>
        </row>
        <row r="25">
          <cell r="X25">
            <v>16.052654221585993</v>
          </cell>
        </row>
        <row r="26">
          <cell r="X26">
            <v>14.25527865586335</v>
          </cell>
        </row>
        <row r="27">
          <cell r="X27">
            <v>13.278245057998669</v>
          </cell>
        </row>
        <row r="28">
          <cell r="X28">
            <v>14.705118883441422</v>
          </cell>
        </row>
        <row r="29">
          <cell r="X29">
            <v>14.174771710786244</v>
          </cell>
        </row>
        <row r="30">
          <cell r="X30">
            <v>12.84709120532346</v>
          </cell>
        </row>
        <row r="31">
          <cell r="X31">
            <v>14.31877092894346</v>
          </cell>
        </row>
        <row r="32">
          <cell r="X32">
            <v>14.229924703957893</v>
          </cell>
        </row>
        <row r="33">
          <cell r="X33">
            <v>14.026532574214228</v>
          </cell>
        </row>
      </sheetData>
      <sheetData sheetId="7"/>
      <sheetData sheetId="8">
        <row r="10">
          <cell r="X10">
            <v>14.325722444718991</v>
          </cell>
        </row>
        <row r="11">
          <cell r="X11">
            <v>14.090663638626159</v>
          </cell>
        </row>
        <row r="12">
          <cell r="X12">
            <v>13.659456859136139</v>
          </cell>
        </row>
        <row r="13">
          <cell r="X13">
            <v>14.025697278432435</v>
          </cell>
        </row>
        <row r="14">
          <cell r="X14">
            <v>14.106026455007402</v>
          </cell>
        </row>
        <row r="15">
          <cell r="X15">
            <v>14.186722949993989</v>
          </cell>
        </row>
        <row r="16">
          <cell r="X16">
            <v>14.135697806230976</v>
          </cell>
        </row>
        <row r="17">
          <cell r="X17">
            <v>14.236093813862649</v>
          </cell>
        </row>
        <row r="18">
          <cell r="X18">
            <v>14.906430130054057</v>
          </cell>
        </row>
        <row r="19">
          <cell r="X19">
            <v>14.086459788391851</v>
          </cell>
        </row>
        <row r="20">
          <cell r="X20">
            <v>14.50006298842168</v>
          </cell>
        </row>
        <row r="21">
          <cell r="X21">
            <v>13.902523172791428</v>
          </cell>
        </row>
        <row r="22">
          <cell r="X22">
            <v>15.693836154040163</v>
          </cell>
        </row>
        <row r="23">
          <cell r="X23">
            <v>15.889711225536171</v>
          </cell>
        </row>
        <row r="24">
          <cell r="X24">
            <v>15.36046754286083</v>
          </cell>
        </row>
        <row r="25">
          <cell r="X25">
            <v>14.543382255281118</v>
          </cell>
        </row>
        <row r="26">
          <cell r="X26">
            <v>14.849821642806669</v>
          </cell>
        </row>
        <row r="27">
          <cell r="X27">
            <v>15.752637742248211</v>
          </cell>
        </row>
        <row r="28">
          <cell r="X28">
            <v>15.84317469134697</v>
          </cell>
        </row>
        <row r="29">
          <cell r="X29">
            <v>15.338305602472486</v>
          </cell>
        </row>
        <row r="30">
          <cell r="X30">
            <v>16.070670510275853</v>
          </cell>
        </row>
        <row r="31">
          <cell r="X31">
            <v>15.422035606442757</v>
          </cell>
        </row>
        <row r="32">
          <cell r="X32">
            <v>14.992199330226573</v>
          </cell>
        </row>
        <row r="33">
          <cell r="X33">
            <v>14.994460147858975</v>
          </cell>
        </row>
      </sheetData>
      <sheetData sheetId="9"/>
      <sheetData sheetId="10">
        <row r="10">
          <cell r="X10">
            <v>14.363811746305453</v>
          </cell>
        </row>
        <row r="11">
          <cell r="X11">
            <v>14.642425157451186</v>
          </cell>
        </row>
        <row r="12">
          <cell r="X12">
            <v>14.290133350595568</v>
          </cell>
        </row>
        <row r="13">
          <cell r="X13">
            <v>14.466044394655272</v>
          </cell>
        </row>
        <row r="14">
          <cell r="X14">
            <v>14.205690261802824</v>
          </cell>
        </row>
        <row r="15">
          <cell r="X15">
            <v>14.460509547526193</v>
          </cell>
        </row>
        <row r="16">
          <cell r="X16">
            <v>14.776480038093279</v>
          </cell>
        </row>
        <row r="17">
          <cell r="X17">
            <v>14.715794858573242</v>
          </cell>
        </row>
        <row r="18">
          <cell r="X18">
            <v>15.483422983006438</v>
          </cell>
        </row>
        <row r="19">
          <cell r="X19">
            <v>15.272649373786102</v>
          </cell>
        </row>
        <row r="20">
          <cell r="X20">
            <v>16.586698629599901</v>
          </cell>
        </row>
        <row r="21">
          <cell r="X21">
            <v>16.634972126487249</v>
          </cell>
        </row>
        <row r="22">
          <cell r="X22">
            <v>15.576060631376704</v>
          </cell>
        </row>
        <row r="23">
          <cell r="X23">
            <v>15.889538698051627</v>
          </cell>
        </row>
        <row r="24">
          <cell r="X24">
            <v>16.351517310381663</v>
          </cell>
        </row>
        <row r="25">
          <cell r="X25">
            <v>14.502831716707487</v>
          </cell>
        </row>
        <row r="26">
          <cell r="X26">
            <v>13.489446735013034</v>
          </cell>
        </row>
        <row r="27">
          <cell r="X27">
            <v>13.140568547459186</v>
          </cell>
        </row>
        <row r="28">
          <cell r="X28">
            <v>12.711693665160979</v>
          </cell>
        </row>
        <row r="29">
          <cell r="X29">
            <v>12.620760241474084</v>
          </cell>
        </row>
        <row r="30">
          <cell r="X30">
            <v>12.780843550019929</v>
          </cell>
        </row>
        <row r="31">
          <cell r="X31">
            <v>12.654764457501379</v>
          </cell>
        </row>
        <row r="32">
          <cell r="X32">
            <v>12.696222376324709</v>
          </cell>
        </row>
        <row r="33">
          <cell r="X33">
            <v>12.492318818039111</v>
          </cell>
        </row>
      </sheetData>
      <sheetData sheetId="11"/>
      <sheetData sheetId="12">
        <row r="10">
          <cell r="X10">
            <v>12.513025490480526</v>
          </cell>
        </row>
        <row r="11">
          <cell r="X11">
            <v>12.600441873409787</v>
          </cell>
        </row>
        <row r="12">
          <cell r="X12">
            <v>12.521960766904622</v>
          </cell>
        </row>
        <row r="13">
          <cell r="X13">
            <v>12.311526185786853</v>
          </cell>
        </row>
        <row r="14">
          <cell r="X14">
            <v>12.306078211716942</v>
          </cell>
        </row>
        <row r="15">
          <cell r="X15">
            <v>12.092616342033798</v>
          </cell>
        </row>
        <row r="16">
          <cell r="X16">
            <v>12.126319651432597</v>
          </cell>
        </row>
        <row r="17">
          <cell r="X17">
            <v>12.437600343932919</v>
          </cell>
        </row>
        <row r="18">
          <cell r="X18">
            <v>12.513575510675551</v>
          </cell>
        </row>
        <row r="19">
          <cell r="X19">
            <v>12.754733886392831</v>
          </cell>
        </row>
        <row r="20">
          <cell r="X20">
            <v>12.586239586886174</v>
          </cell>
        </row>
        <row r="21">
          <cell r="X21">
            <v>12.751404595985104</v>
          </cell>
        </row>
        <row r="22">
          <cell r="X22">
            <v>13.182215134016948</v>
          </cell>
        </row>
        <row r="23">
          <cell r="X23">
            <v>13.349984816525762</v>
          </cell>
        </row>
        <row r="24">
          <cell r="X24">
            <v>13.01127273351544</v>
          </cell>
        </row>
        <row r="25">
          <cell r="X25">
            <v>12.509910068199897</v>
          </cell>
        </row>
        <row r="26">
          <cell r="X26">
            <v>12.640475714102461</v>
          </cell>
        </row>
        <row r="27">
          <cell r="X27">
            <v>12.265264541400418</v>
          </cell>
        </row>
        <row r="28">
          <cell r="X28">
            <v>12.221243411704281</v>
          </cell>
        </row>
        <row r="29">
          <cell r="X29">
            <v>12.057226401638438</v>
          </cell>
        </row>
        <row r="30">
          <cell r="X30">
            <v>11.85314780779732</v>
          </cell>
        </row>
        <row r="31">
          <cell r="X31">
            <v>11.800679397746864</v>
          </cell>
        </row>
        <row r="32">
          <cell r="X32">
            <v>11.647196120811916</v>
          </cell>
        </row>
        <row r="33">
          <cell r="X33">
            <v>11.405054824698627</v>
          </cell>
        </row>
      </sheetData>
      <sheetData sheetId="13"/>
      <sheetData sheetId="14">
        <row r="10">
          <cell r="X10">
            <v>11.310772409640716</v>
          </cell>
        </row>
        <row r="11">
          <cell r="X11">
            <v>11.275270110768107</v>
          </cell>
        </row>
        <row r="12">
          <cell r="X12">
            <v>11.399963072332158</v>
          </cell>
        </row>
        <row r="13">
          <cell r="X13">
            <v>11.401249524959063</v>
          </cell>
        </row>
        <row r="14">
          <cell r="X14">
            <v>11.54498109289772</v>
          </cell>
        </row>
        <row r="15">
          <cell r="X15">
            <v>11.308970987315394</v>
          </cell>
        </row>
        <row r="16">
          <cell r="X16">
            <v>11.599805383397547</v>
          </cell>
        </row>
        <row r="17">
          <cell r="X17">
            <v>10.84082404333645</v>
          </cell>
        </row>
        <row r="18">
          <cell r="X18">
            <v>10.891867292669389</v>
          </cell>
        </row>
        <row r="19">
          <cell r="X19">
            <v>10.434558769801532</v>
          </cell>
        </row>
        <row r="20">
          <cell r="X20">
            <v>10.36816610002537</v>
          </cell>
        </row>
        <row r="21">
          <cell r="X21">
            <v>9.7723461850913598</v>
          </cell>
        </row>
        <row r="22">
          <cell r="X22">
            <v>10.42228609412207</v>
          </cell>
        </row>
        <row r="23">
          <cell r="X23">
            <v>10.549048105273881</v>
          </cell>
        </row>
        <row r="24">
          <cell r="X24">
            <v>11.153317158525315</v>
          </cell>
        </row>
        <row r="25">
          <cell r="X25">
            <v>12.181726079692382</v>
          </cell>
        </row>
        <row r="26">
          <cell r="X26">
            <v>11.781599771846501</v>
          </cell>
        </row>
        <row r="27">
          <cell r="X27">
            <v>11.746890662192303</v>
          </cell>
        </row>
        <row r="28">
          <cell r="X28">
            <v>11.787824834023954</v>
          </cell>
        </row>
        <row r="29">
          <cell r="X29">
            <v>11.901742629296548</v>
          </cell>
        </row>
        <row r="30">
          <cell r="X30">
            <v>11.974440255293558</v>
          </cell>
        </row>
        <row r="31">
          <cell r="X31">
            <v>11.969205237843475</v>
          </cell>
        </row>
        <row r="32">
          <cell r="X32">
            <v>11.615201732660742</v>
          </cell>
        </row>
        <row r="33">
          <cell r="X33">
            <v>11.575314710861456</v>
          </cell>
        </row>
      </sheetData>
      <sheetData sheetId="15"/>
      <sheetData sheetId="16">
        <row r="10">
          <cell r="X10">
            <v>11.505903917399317</v>
          </cell>
        </row>
        <row r="11">
          <cell r="X11">
            <v>11.790919559200089</v>
          </cell>
        </row>
        <row r="12">
          <cell r="X12">
            <v>11.619191225967739</v>
          </cell>
        </row>
        <row r="13">
          <cell r="X13">
            <v>11.164365190910518</v>
          </cell>
        </row>
        <row r="14">
          <cell r="X14">
            <v>10.910263264536603</v>
          </cell>
        </row>
        <row r="15">
          <cell r="X15">
            <v>10.977223877055401</v>
          </cell>
        </row>
        <row r="16">
          <cell r="X16">
            <v>10.939439630563434</v>
          </cell>
        </row>
        <row r="17">
          <cell r="X17">
            <v>11.387893923920508</v>
          </cell>
        </row>
        <row r="18">
          <cell r="X18">
            <v>11.293907380477007</v>
          </cell>
        </row>
        <row r="19">
          <cell r="X19">
            <v>11.163707276236975</v>
          </cell>
        </row>
        <row r="20">
          <cell r="X20">
            <v>10.602164693562051</v>
          </cell>
        </row>
        <row r="21">
          <cell r="X21">
            <v>11.849082055018878</v>
          </cell>
        </row>
        <row r="22">
          <cell r="X22">
            <v>11.210715171024727</v>
          </cell>
        </row>
        <row r="23">
          <cell r="X23">
            <v>11.335893576025748</v>
          </cell>
        </row>
        <row r="24">
          <cell r="X24">
            <v>11.340755279760881</v>
          </cell>
        </row>
        <row r="25">
          <cell r="X25">
            <v>11.499829691225056</v>
          </cell>
        </row>
        <row r="26">
          <cell r="X26">
            <v>11.955961054748666</v>
          </cell>
        </row>
        <row r="27">
          <cell r="X27">
            <v>11.835991814887</v>
          </cell>
        </row>
        <row r="28">
          <cell r="X28">
            <v>11.914238542665405</v>
          </cell>
        </row>
        <row r="29">
          <cell r="X29">
            <v>11.912216812670685</v>
          </cell>
        </row>
        <row r="30">
          <cell r="X30">
            <v>11.709853711496438</v>
          </cell>
        </row>
        <row r="31">
          <cell r="X31">
            <v>12.032134149061369</v>
          </cell>
        </row>
        <row r="32">
          <cell r="X32">
            <v>11.789741783836169</v>
          </cell>
        </row>
        <row r="33">
          <cell r="X33">
            <v>11.835088846182456</v>
          </cell>
        </row>
      </sheetData>
      <sheetData sheetId="17"/>
      <sheetData sheetId="18">
        <row r="10">
          <cell r="X10">
            <v>12.07945602163946</v>
          </cell>
        </row>
        <row r="11">
          <cell r="X11">
            <v>11.8814045945694</v>
          </cell>
        </row>
        <row r="12">
          <cell r="X12">
            <v>12.099393437050306</v>
          </cell>
        </row>
        <row r="13">
          <cell r="X13">
            <v>11.894150154133614</v>
          </cell>
        </row>
        <row r="14">
          <cell r="X14">
            <v>11.625799705516606</v>
          </cell>
        </row>
        <row r="15">
          <cell r="X15">
            <v>11.345047042057415</v>
          </cell>
        </row>
        <row r="16">
          <cell r="X16">
            <v>11.204195117791555</v>
          </cell>
        </row>
        <row r="17">
          <cell r="X17">
            <v>12.235965227110597</v>
          </cell>
        </row>
        <row r="18">
          <cell r="X18">
            <v>12.487096756042776</v>
          </cell>
        </row>
        <row r="19">
          <cell r="X19">
            <v>12.487203954175907</v>
          </cell>
        </row>
        <row r="20">
          <cell r="X20">
            <v>12.71360600483777</v>
          </cell>
        </row>
        <row r="21">
          <cell r="X21">
            <v>13.382062397479428</v>
          </cell>
        </row>
        <row r="22">
          <cell r="X22">
            <v>13.585058648896037</v>
          </cell>
        </row>
        <row r="23">
          <cell r="X23">
            <v>13.492849114313856</v>
          </cell>
        </row>
        <row r="24">
          <cell r="X24">
            <v>13.256813393349455</v>
          </cell>
        </row>
        <row r="25">
          <cell r="X25">
            <v>13.94964230791828</v>
          </cell>
        </row>
        <row r="26">
          <cell r="X26">
            <v>13.907859013856728</v>
          </cell>
        </row>
        <row r="27">
          <cell r="X27">
            <v>13.852772094436515</v>
          </cell>
        </row>
        <row r="28">
          <cell r="X28">
            <v>13.932689298536229</v>
          </cell>
        </row>
        <row r="29">
          <cell r="X29">
            <v>13.485525791278217</v>
          </cell>
        </row>
        <row r="30">
          <cell r="X30">
            <v>13.264382925355072</v>
          </cell>
        </row>
        <row r="31">
          <cell r="X31">
            <v>12.789735970021473</v>
          </cell>
        </row>
        <row r="32">
          <cell r="X32">
            <v>12.622866628697819</v>
          </cell>
        </row>
        <row r="33">
          <cell r="X33">
            <v>12.547770790012242</v>
          </cell>
        </row>
      </sheetData>
      <sheetData sheetId="19"/>
      <sheetData sheetId="20">
        <row r="10">
          <cell r="X10">
            <v>12.395132285111044</v>
          </cell>
        </row>
        <row r="11">
          <cell r="X11">
            <v>12.08763574433611</v>
          </cell>
        </row>
        <row r="12">
          <cell r="X12">
            <v>12.072750272434162</v>
          </cell>
        </row>
        <row r="13">
          <cell r="X13">
            <v>11.95140284489762</v>
          </cell>
        </row>
        <row r="14">
          <cell r="X14">
            <v>11.95043502238844</v>
          </cell>
        </row>
        <row r="15">
          <cell r="X15">
            <v>12.020782050910935</v>
          </cell>
        </row>
        <row r="16">
          <cell r="X16">
            <v>12.688620799051796</v>
          </cell>
        </row>
        <row r="17">
          <cell r="X17">
            <v>13.108344277541431</v>
          </cell>
        </row>
        <row r="18">
          <cell r="X18">
            <v>13.017853419464615</v>
          </cell>
        </row>
        <row r="19">
          <cell r="X19">
            <v>13.297387152830648</v>
          </cell>
        </row>
        <row r="20">
          <cell r="X20">
            <v>13.727867002277351</v>
          </cell>
        </row>
        <row r="21">
          <cell r="X21">
            <v>13.731770362721182</v>
          </cell>
        </row>
        <row r="22">
          <cell r="X22">
            <v>13.670078084526981</v>
          </cell>
        </row>
        <row r="23">
          <cell r="X23">
            <v>13.404585516834526</v>
          </cell>
        </row>
        <row r="24">
          <cell r="X24">
            <v>14.117901918190508</v>
          </cell>
        </row>
        <row r="25">
          <cell r="X25">
            <v>13.638307218463853</v>
          </cell>
        </row>
        <row r="26">
          <cell r="X26">
            <v>13.635754164379019</v>
          </cell>
        </row>
        <row r="27">
          <cell r="X27">
            <v>13.750610649181089</v>
          </cell>
        </row>
        <row r="28">
          <cell r="X28">
            <v>13.650251187325157</v>
          </cell>
        </row>
        <row r="29">
          <cell r="X29">
            <v>13.688167340808397</v>
          </cell>
        </row>
        <row r="30">
          <cell r="X30">
            <v>13.77356615445885</v>
          </cell>
        </row>
        <row r="31">
          <cell r="X31">
            <v>13.769470760136011</v>
          </cell>
        </row>
        <row r="32">
          <cell r="X32">
            <v>13.58837048895915</v>
          </cell>
        </row>
        <row r="33">
          <cell r="X33">
            <v>13.674590621465413</v>
          </cell>
        </row>
      </sheetData>
      <sheetData sheetId="21"/>
      <sheetData sheetId="22">
        <row r="10">
          <cell r="X10">
            <v>13.617473988468905</v>
          </cell>
        </row>
        <row r="11">
          <cell r="X11">
            <v>13.632102737971596</v>
          </cell>
        </row>
        <row r="12">
          <cell r="X12">
            <v>13.609992307315304</v>
          </cell>
        </row>
        <row r="13">
          <cell r="X13">
            <v>13.215893059377093</v>
          </cell>
        </row>
        <row r="14">
          <cell r="X14">
            <v>13.271843990868634</v>
          </cell>
        </row>
        <row r="15">
          <cell r="X15">
            <v>13.522830839951588</v>
          </cell>
        </row>
        <row r="16">
          <cell r="X16">
            <v>14.047729306599779</v>
          </cell>
        </row>
        <row r="17">
          <cell r="X17">
            <v>14.347812282475125</v>
          </cell>
        </row>
        <row r="18">
          <cell r="X18">
            <v>14.635681993802708</v>
          </cell>
        </row>
        <row r="19">
          <cell r="X19">
            <v>14.884548763444979</v>
          </cell>
        </row>
        <row r="20">
          <cell r="X20">
            <v>14.718880883076491</v>
          </cell>
        </row>
        <row r="21">
          <cell r="X21">
            <v>15.205271690335476</v>
          </cell>
        </row>
        <row r="22">
          <cell r="X22">
            <v>15.660302353818434</v>
          </cell>
        </row>
        <row r="23">
          <cell r="X23">
            <v>16.129376599720381</v>
          </cell>
        </row>
        <row r="24">
          <cell r="X24">
            <v>17.215517764129054</v>
          </cell>
        </row>
        <row r="25">
          <cell r="X25">
            <v>15.736320800606251</v>
          </cell>
        </row>
        <row r="26">
          <cell r="X26">
            <v>15.482897818750345</v>
          </cell>
        </row>
        <row r="27">
          <cell r="X27">
            <v>15.47301050905677</v>
          </cell>
        </row>
        <row r="28">
          <cell r="X28">
            <v>15.310583005456072</v>
          </cell>
        </row>
        <row r="29">
          <cell r="X29">
            <v>15.308082636989031</v>
          </cell>
        </row>
        <row r="30">
          <cell r="X30">
            <v>15.208942323628294</v>
          </cell>
        </row>
        <row r="31">
          <cell r="X31">
            <v>15.012108269514307</v>
          </cell>
        </row>
        <row r="32">
          <cell r="X32">
            <v>15.052014561842302</v>
          </cell>
        </row>
        <row r="33">
          <cell r="X33">
            <v>15.14780304549677</v>
          </cell>
        </row>
      </sheetData>
      <sheetData sheetId="23"/>
      <sheetData sheetId="24">
        <row r="10">
          <cell r="X10">
            <v>15.077937876775961</v>
          </cell>
        </row>
        <row r="11">
          <cell r="X11">
            <v>14.99298123950841</v>
          </cell>
        </row>
        <row r="12">
          <cell r="X12">
            <v>14.536988629905373</v>
          </cell>
        </row>
        <row r="13">
          <cell r="X13">
            <v>14.519274224025924</v>
          </cell>
        </row>
        <row r="14">
          <cell r="X14">
            <v>14.611221468478744</v>
          </cell>
        </row>
        <row r="15">
          <cell r="X15">
            <v>14.598858593132865</v>
          </cell>
        </row>
        <row r="16">
          <cell r="X16">
            <v>15.352715925376637</v>
          </cell>
        </row>
        <row r="17">
          <cell r="X17">
            <v>15.852085716159936</v>
          </cell>
        </row>
        <row r="18">
          <cell r="X18">
            <v>15.113178932971515</v>
          </cell>
        </row>
        <row r="19">
          <cell r="X19">
            <v>15.361458426647484</v>
          </cell>
        </row>
        <row r="20">
          <cell r="X20">
            <v>15.147502840542314</v>
          </cell>
        </row>
        <row r="21">
          <cell r="X21">
            <v>14.929042702378542</v>
          </cell>
        </row>
        <row r="22">
          <cell r="X22">
            <v>15.627996349083917</v>
          </cell>
        </row>
        <row r="23">
          <cell r="X23">
            <v>13.995172928564655</v>
          </cell>
        </row>
        <row r="24">
          <cell r="X24">
            <v>14.321889133692405</v>
          </cell>
        </row>
        <row r="25">
          <cell r="X25">
            <v>14.03349299489453</v>
          </cell>
        </row>
        <row r="26">
          <cell r="X26">
            <v>13.855540550774911</v>
          </cell>
        </row>
        <row r="27">
          <cell r="X27">
            <v>14.232310440414111</v>
          </cell>
        </row>
        <row r="28">
          <cell r="X28">
            <v>14.778241660039271</v>
          </cell>
        </row>
        <row r="29">
          <cell r="X29">
            <v>15.277131114833134</v>
          </cell>
        </row>
        <row r="30">
          <cell r="X30">
            <v>15.470824458967256</v>
          </cell>
        </row>
        <row r="31">
          <cell r="X31">
            <v>13.422088171261063</v>
          </cell>
        </row>
        <row r="32">
          <cell r="X32">
            <v>14.188113726087774</v>
          </cell>
        </row>
        <row r="33">
          <cell r="X33">
            <v>14.233617624272743</v>
          </cell>
        </row>
      </sheetData>
      <sheetData sheetId="25"/>
      <sheetData sheetId="26">
        <row r="10">
          <cell r="X10">
            <v>14.11849624135353</v>
          </cell>
        </row>
        <row r="11">
          <cell r="X11">
            <v>14.153155244619331</v>
          </cell>
        </row>
        <row r="12">
          <cell r="X12">
            <v>14.013059727342242</v>
          </cell>
        </row>
        <row r="13">
          <cell r="X13">
            <v>13.866702498550598</v>
          </cell>
        </row>
        <row r="14">
          <cell r="X14">
            <v>13.949548716142356</v>
          </cell>
        </row>
        <row r="15">
          <cell r="X15">
            <v>13.900385312784223</v>
          </cell>
        </row>
        <row r="16">
          <cell r="X16">
            <v>14.013180324985443</v>
          </cell>
        </row>
        <row r="17">
          <cell r="X17">
            <v>15.678324767234557</v>
          </cell>
        </row>
        <row r="18">
          <cell r="X18">
            <v>15.329501235365852</v>
          </cell>
        </row>
        <row r="19">
          <cell r="X19">
            <v>15.115862005056027</v>
          </cell>
        </row>
        <row r="20">
          <cell r="X20">
            <v>14.879925484764232</v>
          </cell>
        </row>
        <row r="21">
          <cell r="X21">
            <v>15.283196976032663</v>
          </cell>
        </row>
        <row r="22">
          <cell r="X22">
            <v>14.786629499424695</v>
          </cell>
        </row>
        <row r="23">
          <cell r="X23">
            <v>16.023210520148719</v>
          </cell>
        </row>
        <row r="24">
          <cell r="X24">
            <v>14.562757130696934</v>
          </cell>
        </row>
        <row r="25">
          <cell r="X25">
            <v>14.831314412758186</v>
          </cell>
        </row>
        <row r="26">
          <cell r="X26">
            <v>16.484066688575094</v>
          </cell>
        </row>
        <row r="27">
          <cell r="X27">
            <v>16.514775414925047</v>
          </cell>
        </row>
        <row r="28">
          <cell r="X28">
            <v>16.584986710993476</v>
          </cell>
        </row>
        <row r="29">
          <cell r="X29">
            <v>16.203105890270681</v>
          </cell>
        </row>
        <row r="30">
          <cell r="X30">
            <v>15.947438759916695</v>
          </cell>
        </row>
        <row r="31">
          <cell r="X31">
            <v>15.251407965214414</v>
          </cell>
        </row>
        <row r="32">
          <cell r="X32">
            <v>15.063289736930299</v>
          </cell>
        </row>
        <row r="33">
          <cell r="X33">
            <v>15.826467006415218</v>
          </cell>
        </row>
      </sheetData>
      <sheetData sheetId="27"/>
      <sheetData sheetId="28">
        <row r="10">
          <cell r="X10">
            <v>15.889761895442561</v>
          </cell>
        </row>
        <row r="11">
          <cell r="X11">
            <v>15.97109552607815</v>
          </cell>
        </row>
        <row r="12">
          <cell r="X12">
            <v>15.58718212752937</v>
          </cell>
        </row>
        <row r="13">
          <cell r="X13">
            <v>15.588234354951288</v>
          </cell>
        </row>
        <row r="14">
          <cell r="X14">
            <v>15.582470535286554</v>
          </cell>
        </row>
        <row r="15">
          <cell r="X15">
            <v>15.572173547457538</v>
          </cell>
        </row>
        <row r="16">
          <cell r="X16">
            <v>15.33490607325421</v>
          </cell>
        </row>
        <row r="17">
          <cell r="X17">
            <v>15.781018167071824</v>
          </cell>
        </row>
        <row r="18">
          <cell r="X18">
            <v>15.914348950195567</v>
          </cell>
        </row>
        <row r="19">
          <cell r="X19">
            <v>15.598071029535445</v>
          </cell>
        </row>
        <row r="20">
          <cell r="X20">
            <v>15.219951560815057</v>
          </cell>
        </row>
        <row r="21">
          <cell r="X21">
            <v>14.908864672039218</v>
          </cell>
        </row>
        <row r="22">
          <cell r="X22">
            <v>16.077352638817949</v>
          </cell>
        </row>
        <row r="23">
          <cell r="X23">
            <v>15.068812717940942</v>
          </cell>
        </row>
        <row r="24">
          <cell r="X24">
            <v>14.547655125606138</v>
          </cell>
        </row>
        <row r="25">
          <cell r="X25">
            <v>15.313815450859344</v>
          </cell>
        </row>
        <row r="26">
          <cell r="X26">
            <v>15.825576870531819</v>
          </cell>
        </row>
        <row r="27">
          <cell r="X27">
            <v>17.566157518739782</v>
          </cell>
        </row>
        <row r="28">
          <cell r="X28">
            <v>17.448970775497415</v>
          </cell>
        </row>
        <row r="29">
          <cell r="X29">
            <v>17.186425002433367</v>
          </cell>
        </row>
        <row r="30">
          <cell r="X30">
            <v>16.715683614450057</v>
          </cell>
        </row>
        <row r="31">
          <cell r="X31">
            <v>16.089669814985502</v>
          </cell>
        </row>
        <row r="32">
          <cell r="X32">
            <v>15.089084454646008</v>
          </cell>
        </row>
        <row r="33">
          <cell r="X33">
            <v>15.032743829104945</v>
          </cell>
        </row>
      </sheetData>
      <sheetData sheetId="29"/>
      <sheetData sheetId="30">
        <row r="10">
          <cell r="X10">
            <v>15.197940853626859</v>
          </cell>
        </row>
        <row r="11">
          <cell r="X11">
            <v>15.020777789172223</v>
          </cell>
        </row>
        <row r="12">
          <cell r="X12">
            <v>14.872371886206684</v>
          </cell>
        </row>
        <row r="13">
          <cell r="X13">
            <v>14.715235388248258</v>
          </cell>
        </row>
        <row r="14">
          <cell r="X14">
            <v>14.647317396118165</v>
          </cell>
        </row>
        <row r="15">
          <cell r="X15">
            <v>14.821530200691303</v>
          </cell>
        </row>
        <row r="16">
          <cell r="X16">
            <v>14.953552826638903</v>
          </cell>
        </row>
        <row r="17">
          <cell r="X17">
            <v>14.96181461316039</v>
          </cell>
        </row>
        <row r="18">
          <cell r="X18">
            <v>14.84948782703448</v>
          </cell>
        </row>
        <row r="19">
          <cell r="X19">
            <v>14.894932005537598</v>
          </cell>
        </row>
        <row r="20">
          <cell r="X20">
            <v>14.952262396298565</v>
          </cell>
        </row>
        <row r="21">
          <cell r="X21">
            <v>14.949009285543164</v>
          </cell>
        </row>
        <row r="22">
          <cell r="X22">
            <v>14.105552365349277</v>
          </cell>
        </row>
        <row r="23">
          <cell r="X23">
            <v>13.790172784926016</v>
          </cell>
        </row>
        <row r="24">
          <cell r="X24">
            <v>14.800340356889004</v>
          </cell>
        </row>
        <row r="25">
          <cell r="X25">
            <v>14.082359898638861</v>
          </cell>
        </row>
        <row r="26">
          <cell r="X26">
            <v>15.60252586132377</v>
          </cell>
        </row>
        <row r="27">
          <cell r="X27">
            <v>15.007997836138887</v>
          </cell>
        </row>
        <row r="28">
          <cell r="X28">
            <v>16.909575866121628</v>
          </cell>
        </row>
        <row r="29">
          <cell r="X29">
            <v>15.805107440501796</v>
          </cell>
        </row>
        <row r="30">
          <cell r="X30">
            <v>16.600937152936357</v>
          </cell>
        </row>
        <row r="31">
          <cell r="X31">
            <v>16.808123295987514</v>
          </cell>
        </row>
        <row r="32">
          <cell r="X32">
            <v>16.290452250861851</v>
          </cell>
        </row>
        <row r="33">
          <cell r="X33">
            <v>16.173065745548982</v>
          </cell>
        </row>
      </sheetData>
      <sheetData sheetId="31"/>
      <sheetData sheetId="32">
        <row r="10">
          <cell r="X10">
            <v>16.816428616852484</v>
          </cell>
        </row>
        <row r="11">
          <cell r="X11">
            <v>16.379245836679644</v>
          </cell>
        </row>
        <row r="12">
          <cell r="X12">
            <v>16.466903177156137</v>
          </cell>
        </row>
        <row r="13">
          <cell r="X13">
            <v>16.648055692956966</v>
          </cell>
        </row>
        <row r="14">
          <cell r="X14">
            <v>16.140172307367678</v>
          </cell>
        </row>
        <row r="15">
          <cell r="X15">
            <v>16.10343672253914</v>
          </cell>
        </row>
        <row r="16">
          <cell r="X16">
            <v>15.9523617329336</v>
          </cell>
        </row>
        <row r="17">
          <cell r="X17">
            <v>15.221774138652931</v>
          </cell>
        </row>
        <row r="18">
          <cell r="X18">
            <v>15.436166940169867</v>
          </cell>
        </row>
        <row r="19">
          <cell r="X19">
            <v>15.324144342945564</v>
          </cell>
        </row>
        <row r="20">
          <cell r="X20">
            <v>14.937483711199896</v>
          </cell>
        </row>
        <row r="21">
          <cell r="X21">
            <v>15.207210154199457</v>
          </cell>
        </row>
        <row r="22">
          <cell r="X22">
            <v>14.291907407359272</v>
          </cell>
        </row>
        <row r="23">
          <cell r="X23">
            <v>13.965557569933926</v>
          </cell>
        </row>
        <row r="24">
          <cell r="X24">
            <v>14.59160745387374</v>
          </cell>
        </row>
        <row r="25">
          <cell r="X25">
            <v>18.18425095020114</v>
          </cell>
        </row>
        <row r="26">
          <cell r="X26">
            <v>15.790957785770933</v>
          </cell>
        </row>
        <row r="27">
          <cell r="X27">
            <v>15.18161924174499</v>
          </cell>
        </row>
        <row r="28">
          <cell r="X28">
            <v>15.956150969869585</v>
          </cell>
        </row>
        <row r="29">
          <cell r="X29">
            <v>16.537618570384371</v>
          </cell>
        </row>
        <row r="30">
          <cell r="X30">
            <v>16.585686481070383</v>
          </cell>
        </row>
        <row r="31">
          <cell r="X31">
            <v>16.451533983721518</v>
          </cell>
        </row>
        <row r="32">
          <cell r="X32">
            <v>16.347049238988795</v>
          </cell>
        </row>
        <row r="33">
          <cell r="X33">
            <v>16.381830576053357</v>
          </cell>
        </row>
      </sheetData>
      <sheetData sheetId="33"/>
      <sheetData sheetId="34">
        <row r="10">
          <cell r="X10">
            <v>15.745950230026114</v>
          </cell>
        </row>
        <row r="11">
          <cell r="X11">
            <v>16.150052015741956</v>
          </cell>
        </row>
        <row r="12">
          <cell r="X12">
            <v>15.754946697203007</v>
          </cell>
        </row>
        <row r="13">
          <cell r="X13">
            <v>16.117467934738293</v>
          </cell>
        </row>
        <row r="14">
          <cell r="X14">
            <v>16.217454839701361</v>
          </cell>
        </row>
        <row r="15">
          <cell r="X15">
            <v>16.135658987636567</v>
          </cell>
        </row>
        <row r="16">
          <cell r="X16">
            <v>17.237848794562026</v>
          </cell>
        </row>
        <row r="17">
          <cell r="X17">
            <v>16.89495042961375</v>
          </cell>
        </row>
        <row r="18">
          <cell r="X18">
            <v>16.844437261309722</v>
          </cell>
        </row>
        <row r="19">
          <cell r="X19">
            <v>17.514043216921742</v>
          </cell>
        </row>
        <row r="20">
          <cell r="X20">
            <v>15.184545391266157</v>
          </cell>
        </row>
        <row r="21">
          <cell r="X21">
            <v>15.76615780188548</v>
          </cell>
        </row>
        <row r="22">
          <cell r="X22">
            <v>14.223437893017087</v>
          </cell>
        </row>
        <row r="23">
          <cell r="X23">
            <v>18.676637378297556</v>
          </cell>
        </row>
        <row r="24">
          <cell r="X24">
            <v>18.706275450522917</v>
          </cell>
        </row>
        <row r="25">
          <cell r="X25">
            <v>14.370457623183245</v>
          </cell>
        </row>
        <row r="26">
          <cell r="X26">
            <v>16.1165286305921</v>
          </cell>
        </row>
        <row r="27">
          <cell r="X27">
            <v>17.694234348371719</v>
          </cell>
        </row>
        <row r="28">
          <cell r="X28">
            <v>17.748580440256561</v>
          </cell>
        </row>
        <row r="29">
          <cell r="X29">
            <v>17.52536872375002</v>
          </cell>
        </row>
        <row r="30">
          <cell r="X30">
            <v>17.061014749017392</v>
          </cell>
        </row>
        <row r="31">
          <cell r="X31">
            <v>16.905984616047874</v>
          </cell>
        </row>
        <row r="32">
          <cell r="X32">
            <v>16.737381329056266</v>
          </cell>
        </row>
        <row r="33">
          <cell r="X33">
            <v>16.496018327106519</v>
          </cell>
        </row>
      </sheetData>
      <sheetData sheetId="35"/>
      <sheetData sheetId="36">
        <row r="10">
          <cell r="X10">
            <v>16.198427160520794</v>
          </cell>
        </row>
        <row r="11">
          <cell r="X11">
            <v>16.683376750007422</v>
          </cell>
        </row>
        <row r="12">
          <cell r="X12">
            <v>16.638032827519961</v>
          </cell>
        </row>
        <row r="13">
          <cell r="X13">
            <v>16.438539754842235</v>
          </cell>
        </row>
        <row r="14">
          <cell r="X14">
            <v>15.954264104420886</v>
          </cell>
        </row>
        <row r="15">
          <cell r="X15">
            <v>15.365128662108116</v>
          </cell>
        </row>
        <row r="16">
          <cell r="X16">
            <v>16.279916376134764</v>
          </cell>
        </row>
        <row r="17">
          <cell r="X17">
            <v>16.570574603885401</v>
          </cell>
        </row>
        <row r="18">
          <cell r="X18">
            <v>16.458454781606925</v>
          </cell>
        </row>
        <row r="19">
          <cell r="X19">
            <v>15.169192129045944</v>
          </cell>
        </row>
        <row r="20">
          <cell r="X20">
            <v>15.019311344394803</v>
          </cell>
        </row>
        <row r="21">
          <cell r="X21">
            <v>14.249761039868512</v>
          </cell>
        </row>
        <row r="22">
          <cell r="X22">
            <v>17.656004113420089</v>
          </cell>
        </row>
        <row r="23">
          <cell r="X23">
            <v>18.402995789526273</v>
          </cell>
        </row>
        <row r="24">
          <cell r="X24">
            <v>17.605217973346939</v>
          </cell>
        </row>
        <row r="25">
          <cell r="X25">
            <v>16.570934754036667</v>
          </cell>
        </row>
        <row r="26">
          <cell r="X26">
            <v>16.48076918640211</v>
          </cell>
        </row>
        <row r="27">
          <cell r="X27">
            <v>15.895850102456622</v>
          </cell>
        </row>
        <row r="28">
          <cell r="X28">
            <v>15.848842032907179</v>
          </cell>
        </row>
        <row r="29">
          <cell r="X29">
            <v>15.890935306097287</v>
          </cell>
        </row>
        <row r="30">
          <cell r="X30">
            <v>15.511250449151069</v>
          </cell>
        </row>
        <row r="31">
          <cell r="X31">
            <v>15.649657338354672</v>
          </cell>
        </row>
        <row r="32">
          <cell r="X32">
            <v>15.550040024797028</v>
          </cell>
        </row>
        <row r="33">
          <cell r="X33">
            <v>15.481009312412894</v>
          </cell>
        </row>
      </sheetData>
      <sheetData sheetId="37"/>
      <sheetData sheetId="38">
        <row r="10">
          <cell r="X10">
            <v>14.797250473035538</v>
          </cell>
        </row>
        <row r="11">
          <cell r="X11">
            <v>14.39881711071458</v>
          </cell>
        </row>
        <row r="12">
          <cell r="X12">
            <v>14.584162696288683</v>
          </cell>
        </row>
        <row r="13">
          <cell r="X13">
            <v>14.402636894682535</v>
          </cell>
        </row>
        <row r="14">
          <cell r="X14">
            <v>14.513943624601524</v>
          </cell>
        </row>
        <row r="15">
          <cell r="X15">
            <v>14.7816138001225</v>
          </cell>
        </row>
        <row r="16">
          <cell r="X16">
            <v>15.364673291210309</v>
          </cell>
        </row>
        <row r="17">
          <cell r="X17">
            <v>15.665393587450879</v>
          </cell>
        </row>
        <row r="18">
          <cell r="X18">
            <v>15.465991777255503</v>
          </cell>
        </row>
        <row r="19">
          <cell r="X19">
            <v>15.652495792584306</v>
          </cell>
        </row>
        <row r="20">
          <cell r="X20">
            <v>14.806937999537736</v>
          </cell>
        </row>
        <row r="21">
          <cell r="X21">
            <v>14.352864758786735</v>
          </cell>
        </row>
        <row r="22">
          <cell r="X22">
            <v>15.727295063035642</v>
          </cell>
        </row>
        <row r="23">
          <cell r="X23">
            <v>17.732728254628455</v>
          </cell>
        </row>
        <row r="24">
          <cell r="X24">
            <v>16.997422611301729</v>
          </cell>
        </row>
        <row r="25">
          <cell r="X25">
            <v>16.15957784764209</v>
          </cell>
        </row>
        <row r="26">
          <cell r="X26">
            <v>16.322231596614518</v>
          </cell>
        </row>
        <row r="27">
          <cell r="X27">
            <v>15.89251922236479</v>
          </cell>
        </row>
        <row r="28">
          <cell r="X28">
            <v>15.763254964614479</v>
          </cell>
        </row>
        <row r="29">
          <cell r="X29">
            <v>14.882287447826267</v>
          </cell>
        </row>
        <row r="30">
          <cell r="X30">
            <v>14.960780991103301</v>
          </cell>
        </row>
        <row r="31">
          <cell r="X31">
            <v>14.852477643860977</v>
          </cell>
        </row>
        <row r="32">
          <cell r="X32">
            <v>14.938883280181422</v>
          </cell>
        </row>
        <row r="33">
          <cell r="X33">
            <v>15.174558911199979</v>
          </cell>
        </row>
      </sheetData>
      <sheetData sheetId="39"/>
      <sheetData sheetId="40">
        <row r="10">
          <cell r="X10">
            <v>15.125589375461814</v>
          </cell>
        </row>
        <row r="11">
          <cell r="X11">
            <v>14.554372466261102</v>
          </cell>
        </row>
        <row r="12">
          <cell r="X12">
            <v>14.11225423664167</v>
          </cell>
        </row>
        <row r="13">
          <cell r="X13">
            <v>13.793484723829032</v>
          </cell>
        </row>
        <row r="14">
          <cell r="X14">
            <v>13.282450700373014</v>
          </cell>
        </row>
        <row r="15">
          <cell r="X15">
            <v>13.333234849389315</v>
          </cell>
        </row>
        <row r="16">
          <cell r="X16">
            <v>14.957196668433465</v>
          </cell>
        </row>
        <row r="17">
          <cell r="X17">
            <v>14.974854342550774</v>
          </cell>
        </row>
        <row r="18">
          <cell r="X18">
            <v>14.66302740467186</v>
          </cell>
        </row>
        <row r="19">
          <cell r="X19">
            <v>14.534775179935226</v>
          </cell>
        </row>
        <row r="20">
          <cell r="X20">
            <v>14.242843374869901</v>
          </cell>
        </row>
        <row r="21">
          <cell r="X21">
            <v>14.501706786958181</v>
          </cell>
        </row>
        <row r="22">
          <cell r="X22">
            <v>14.572580326125959</v>
          </cell>
        </row>
        <row r="23">
          <cell r="X23">
            <v>16.376543035425748</v>
          </cell>
        </row>
        <row r="24">
          <cell r="X24">
            <v>16.049710107389046</v>
          </cell>
        </row>
        <row r="25">
          <cell r="X25">
            <v>15.757227301891792</v>
          </cell>
        </row>
        <row r="26">
          <cell r="X26">
            <v>15.345615380349081</v>
          </cell>
        </row>
        <row r="27">
          <cell r="X27">
            <v>15.103764663469422</v>
          </cell>
        </row>
        <row r="28">
          <cell r="X28">
            <v>14.982571313910412</v>
          </cell>
        </row>
        <row r="29">
          <cell r="X29">
            <v>14.471245952521757</v>
          </cell>
        </row>
        <row r="30">
          <cell r="X30">
            <v>14.443930232782694</v>
          </cell>
        </row>
        <row r="31">
          <cell r="X31">
            <v>14.330079174269175</v>
          </cell>
        </row>
        <row r="32">
          <cell r="X32">
            <v>14.497593218256359</v>
          </cell>
        </row>
        <row r="33">
          <cell r="X33">
            <v>14.054725521109525</v>
          </cell>
        </row>
      </sheetData>
      <sheetData sheetId="41"/>
      <sheetData sheetId="42">
        <row r="10">
          <cell r="X10">
            <v>15.011797425771549</v>
          </cell>
        </row>
        <row r="11">
          <cell r="X11">
            <v>14.154130498743264</v>
          </cell>
        </row>
        <row r="12">
          <cell r="X12">
            <v>14.127021820519584</v>
          </cell>
        </row>
        <row r="13">
          <cell r="X13">
            <v>14.490201188297451</v>
          </cell>
        </row>
        <row r="14">
          <cell r="X14">
            <v>14.256864182460673</v>
          </cell>
        </row>
        <row r="15">
          <cell r="X15">
            <v>14.826664646912111</v>
          </cell>
        </row>
        <row r="16">
          <cell r="X16">
            <v>15.15020530495875</v>
          </cell>
        </row>
        <row r="17">
          <cell r="X17">
            <v>14.657483382909874</v>
          </cell>
        </row>
        <row r="18">
          <cell r="X18">
            <v>14.762204291160037</v>
          </cell>
        </row>
        <row r="19">
          <cell r="X19">
            <v>14.940903291844085</v>
          </cell>
        </row>
        <row r="20">
          <cell r="X20">
            <v>14.59210902689138</v>
          </cell>
        </row>
        <row r="21">
          <cell r="X21">
            <v>13.916731655205243</v>
          </cell>
        </row>
        <row r="22">
          <cell r="X22">
            <v>15.224946093416827</v>
          </cell>
        </row>
        <row r="23">
          <cell r="X23">
            <v>14.770797596197299</v>
          </cell>
        </row>
        <row r="24">
          <cell r="X24">
            <v>14.446985806988227</v>
          </cell>
        </row>
        <row r="25">
          <cell r="X25">
            <v>14.428780173796309</v>
          </cell>
        </row>
        <row r="26">
          <cell r="X26">
            <v>15.431714425170474</v>
          </cell>
        </row>
        <row r="27">
          <cell r="X27">
            <v>14.751206032962363</v>
          </cell>
        </row>
        <row r="28">
          <cell r="X28">
            <v>14.794732369769958</v>
          </cell>
        </row>
        <row r="29">
          <cell r="X29">
            <v>14.735251347506505</v>
          </cell>
        </row>
        <row r="30">
          <cell r="X30">
            <v>14.728490670588648</v>
          </cell>
        </row>
        <row r="31">
          <cell r="X31">
            <v>13.936070224861169</v>
          </cell>
        </row>
        <row r="32">
          <cell r="X32">
            <v>13.632647027696873</v>
          </cell>
        </row>
        <row r="33">
          <cell r="X33">
            <v>13.552335970359518</v>
          </cell>
        </row>
      </sheetData>
      <sheetData sheetId="43"/>
      <sheetData sheetId="44">
        <row r="10">
          <cell r="X10">
            <v>13.512736767355875</v>
          </cell>
        </row>
        <row r="11">
          <cell r="X11">
            <v>13.548549576294324</v>
          </cell>
        </row>
        <row r="12">
          <cell r="X12">
            <v>14.25121965900602</v>
          </cell>
        </row>
        <row r="13">
          <cell r="X13">
            <v>13.645392023595495</v>
          </cell>
        </row>
        <row r="14">
          <cell r="X14">
            <v>13.556914450654276</v>
          </cell>
        </row>
        <row r="15">
          <cell r="X15">
            <v>13.412550546072492</v>
          </cell>
        </row>
        <row r="16">
          <cell r="X16">
            <v>14.61722269811049</v>
          </cell>
        </row>
        <row r="17">
          <cell r="X17">
            <v>14.296414726650255</v>
          </cell>
        </row>
        <row r="18">
          <cell r="X18">
            <v>14.30805327118159</v>
          </cell>
        </row>
        <row r="19">
          <cell r="X19">
            <v>13.944564345801771</v>
          </cell>
        </row>
        <row r="20">
          <cell r="X20">
            <v>13.410453445711275</v>
          </cell>
        </row>
        <row r="21">
          <cell r="X21">
            <v>13.512483031572806</v>
          </cell>
        </row>
        <row r="22">
          <cell r="X22">
            <v>13.123001869095049</v>
          </cell>
        </row>
        <row r="23">
          <cell r="X23">
            <v>13.320561282869576</v>
          </cell>
        </row>
        <row r="24">
          <cell r="X24">
            <v>15.049810198921149</v>
          </cell>
        </row>
        <row r="25">
          <cell r="X25">
            <v>14.839365357984123</v>
          </cell>
        </row>
        <row r="26">
          <cell r="X26">
            <v>15.612691409831761</v>
          </cell>
        </row>
        <row r="27">
          <cell r="X27">
            <v>15.67172535840068</v>
          </cell>
        </row>
        <row r="28">
          <cell r="X28">
            <v>14.817591134472625</v>
          </cell>
        </row>
        <row r="29">
          <cell r="X29">
            <v>14.950312237586674</v>
          </cell>
        </row>
        <row r="30">
          <cell r="X30">
            <v>14.696086735547045</v>
          </cell>
        </row>
        <row r="31">
          <cell r="X31">
            <v>14.668789915934951</v>
          </cell>
        </row>
        <row r="32">
          <cell r="X32">
            <v>14.560005394928513</v>
          </cell>
        </row>
        <row r="33">
          <cell r="X33">
            <v>14.29440939955165</v>
          </cell>
        </row>
      </sheetData>
      <sheetData sheetId="45"/>
      <sheetData sheetId="46">
        <row r="10">
          <cell r="X10">
            <v>14.621946222606836</v>
          </cell>
        </row>
        <row r="11">
          <cell r="X11">
            <v>14.001889275725247</v>
          </cell>
        </row>
        <row r="12">
          <cell r="X12">
            <v>14.153921329513116</v>
          </cell>
        </row>
        <row r="13">
          <cell r="X13">
            <v>14.092993339613532</v>
          </cell>
        </row>
        <row r="14">
          <cell r="X14">
            <v>15.252793178147805</v>
          </cell>
        </row>
        <row r="15">
          <cell r="X15">
            <v>15.542520305978689</v>
          </cell>
        </row>
        <row r="16">
          <cell r="X16">
            <v>15.105535899684636</v>
          </cell>
        </row>
        <row r="17">
          <cell r="X17">
            <v>15.344178689347819</v>
          </cell>
        </row>
        <row r="18">
          <cell r="X18">
            <v>15.6340301626478</v>
          </cell>
        </row>
        <row r="19">
          <cell r="X19">
            <v>14.389135471292544</v>
          </cell>
        </row>
        <row r="20">
          <cell r="X20">
            <v>14.118657961043718</v>
          </cell>
        </row>
        <row r="21">
          <cell r="X21">
            <v>14.204244618033703</v>
          </cell>
        </row>
        <row r="22">
          <cell r="X22">
            <v>14.107746455078885</v>
          </cell>
        </row>
        <row r="23">
          <cell r="X23">
            <v>13.178338051000862</v>
          </cell>
        </row>
        <row r="24">
          <cell r="X24">
            <v>11.930687603343522</v>
          </cell>
        </row>
        <row r="25">
          <cell r="X25">
            <v>12.650397295025492</v>
          </cell>
        </row>
        <row r="26">
          <cell r="X26">
            <v>12.928536960719844</v>
          </cell>
        </row>
        <row r="27">
          <cell r="X27">
            <v>13.494131765171471</v>
          </cell>
        </row>
        <row r="28">
          <cell r="X28">
            <v>14.192084763044917</v>
          </cell>
        </row>
        <row r="29">
          <cell r="X29">
            <v>15.440903206319771</v>
          </cell>
        </row>
        <row r="30">
          <cell r="X30">
            <v>15.687431227978307</v>
          </cell>
        </row>
        <row r="31">
          <cell r="X31">
            <v>16.161821863438387</v>
          </cell>
        </row>
        <row r="32">
          <cell r="X32">
            <v>15.980608179112341</v>
          </cell>
        </row>
        <row r="33">
          <cell r="X33">
            <v>15.556775984022099</v>
          </cell>
        </row>
      </sheetData>
      <sheetData sheetId="47"/>
      <sheetData sheetId="48">
        <row r="10">
          <cell r="X10">
            <v>16.076271875892299</v>
          </cell>
        </row>
        <row r="11">
          <cell r="X11">
            <v>15.330910200811545</v>
          </cell>
        </row>
        <row r="12">
          <cell r="X12">
            <v>15.168870315293924</v>
          </cell>
        </row>
        <row r="13">
          <cell r="X13">
            <v>15.428613147321961</v>
          </cell>
        </row>
        <row r="14">
          <cell r="X14">
            <v>15.837509828056664</v>
          </cell>
        </row>
        <row r="15">
          <cell r="X15">
            <v>15.947595789736981</v>
          </cell>
        </row>
        <row r="16">
          <cell r="X16">
            <v>16.656691452917492</v>
          </cell>
        </row>
        <row r="17">
          <cell r="X17">
            <v>16.100878019587736</v>
          </cell>
        </row>
        <row r="18">
          <cell r="X18">
            <v>15.543698580603602</v>
          </cell>
        </row>
        <row r="19">
          <cell r="X19">
            <v>15.880682468110956</v>
          </cell>
        </row>
        <row r="20">
          <cell r="X20">
            <v>15.136849811052993</v>
          </cell>
        </row>
        <row r="21">
          <cell r="X21">
            <v>14.379452023088009</v>
          </cell>
        </row>
        <row r="22">
          <cell r="X22">
            <v>16.433242557112589</v>
          </cell>
        </row>
        <row r="23">
          <cell r="X23">
            <v>15.490095854643776</v>
          </cell>
        </row>
        <row r="24">
          <cell r="X24">
            <v>15.992663013105055</v>
          </cell>
        </row>
        <row r="25">
          <cell r="X25">
            <v>15.778852480218966</v>
          </cell>
        </row>
        <row r="26">
          <cell r="X26">
            <v>16.655679883226512</v>
          </cell>
        </row>
        <row r="27">
          <cell r="X27">
            <v>16.866711551445988</v>
          </cell>
        </row>
        <row r="28">
          <cell r="X28">
            <v>16.608259419178452</v>
          </cell>
        </row>
        <row r="29">
          <cell r="X29">
            <v>16.093995489719514</v>
          </cell>
        </row>
        <row r="30">
          <cell r="X30">
            <v>16.053943573874911</v>
          </cell>
        </row>
        <row r="31">
          <cell r="X31">
            <v>15.494507894607725</v>
          </cell>
        </row>
        <row r="32">
          <cell r="X32">
            <v>14.88073861547781</v>
          </cell>
        </row>
        <row r="33">
          <cell r="X33">
            <v>15.328082987600647</v>
          </cell>
        </row>
      </sheetData>
      <sheetData sheetId="49"/>
      <sheetData sheetId="50">
        <row r="10">
          <cell r="X10">
            <v>15.611620608878022</v>
          </cell>
        </row>
        <row r="11">
          <cell r="X11">
            <v>15.149651273906754</v>
          </cell>
        </row>
        <row r="12">
          <cell r="X12">
            <v>14.536785705388567</v>
          </cell>
        </row>
        <row r="13">
          <cell r="X13">
            <v>15.381128086478949</v>
          </cell>
        </row>
        <row r="14">
          <cell r="X14">
            <v>15.02697656957619</v>
          </cell>
        </row>
        <row r="15">
          <cell r="X15">
            <v>14.401843895642386</v>
          </cell>
        </row>
        <row r="16">
          <cell r="X16">
            <v>15.350234671665367</v>
          </cell>
        </row>
        <row r="17">
          <cell r="X17">
            <v>15.329735044037049</v>
          </cell>
        </row>
        <row r="18">
          <cell r="X18">
            <v>16.00106046537725</v>
          </cell>
        </row>
        <row r="19">
          <cell r="X19">
            <v>15.830425397533256</v>
          </cell>
        </row>
        <row r="20">
          <cell r="X20">
            <v>15.512178465561062</v>
          </cell>
        </row>
        <row r="21">
          <cell r="X21">
            <v>15.057489983032331</v>
          </cell>
        </row>
        <row r="22">
          <cell r="X22">
            <v>14.289902843689067</v>
          </cell>
        </row>
        <row r="23">
          <cell r="X23">
            <v>14.67941493312428</v>
          </cell>
        </row>
        <row r="24">
          <cell r="X24">
            <v>17.494587908343156</v>
          </cell>
        </row>
        <row r="25">
          <cell r="X25">
            <v>17.281705873065544</v>
          </cell>
        </row>
        <row r="26">
          <cell r="X26">
            <v>16.075957794772211</v>
          </cell>
        </row>
        <row r="27">
          <cell r="X27">
            <v>15.677749922533661</v>
          </cell>
        </row>
        <row r="28">
          <cell r="X28">
            <v>15.282874987264542</v>
          </cell>
        </row>
        <row r="29">
          <cell r="X29">
            <v>15.114186831074768</v>
          </cell>
        </row>
        <row r="30">
          <cell r="X30">
            <v>15.052483095053246</v>
          </cell>
        </row>
        <row r="31">
          <cell r="X31">
            <v>15.087468030224175</v>
          </cell>
        </row>
        <row r="32">
          <cell r="X32">
            <v>14.89974779097955</v>
          </cell>
        </row>
        <row r="33">
          <cell r="X33">
            <v>14.660128948788836</v>
          </cell>
        </row>
      </sheetData>
      <sheetData sheetId="51"/>
      <sheetData sheetId="52">
        <row r="10">
          <cell r="X10">
            <v>14.322798571208871</v>
          </cell>
        </row>
        <row r="11">
          <cell r="X11">
            <v>14.708540560527659</v>
          </cell>
        </row>
        <row r="12">
          <cell r="X12">
            <v>14.109441993329138</v>
          </cell>
        </row>
        <row r="13">
          <cell r="X13">
            <v>13.907684596593533</v>
          </cell>
        </row>
        <row r="14">
          <cell r="X14">
            <v>13.585687835320689</v>
          </cell>
        </row>
        <row r="15">
          <cell r="X15">
            <v>13.665123991444162</v>
          </cell>
        </row>
        <row r="16">
          <cell r="X16">
            <v>15.070373121719856</v>
          </cell>
        </row>
        <row r="17">
          <cell r="X17">
            <v>14.581134409741972</v>
          </cell>
        </row>
        <row r="18">
          <cell r="X18">
            <v>13.891488755155462</v>
          </cell>
        </row>
        <row r="19">
          <cell r="X19">
            <v>13.456918230157985</v>
          </cell>
        </row>
        <row r="20">
          <cell r="X20">
            <v>14.107767649366542</v>
          </cell>
        </row>
        <row r="21">
          <cell r="X21">
            <v>13.600186961775977</v>
          </cell>
        </row>
        <row r="22">
          <cell r="X22">
            <v>13.753804133438145</v>
          </cell>
        </row>
        <row r="23">
          <cell r="X23">
            <v>13.796674779079591</v>
          </cell>
        </row>
        <row r="24">
          <cell r="X24">
            <v>13.848959145678071</v>
          </cell>
        </row>
        <row r="25">
          <cell r="X25">
            <v>14.5241427443961</v>
          </cell>
        </row>
        <row r="26">
          <cell r="X26">
            <v>14.760057459731412</v>
          </cell>
        </row>
        <row r="27">
          <cell r="X27">
            <v>14.85497165504049</v>
          </cell>
        </row>
        <row r="28">
          <cell r="X28">
            <v>14.7080230784879</v>
          </cell>
        </row>
        <row r="29">
          <cell r="X29">
            <v>14.584496189615084</v>
          </cell>
        </row>
        <row r="30">
          <cell r="X30">
            <v>14.334939723404034</v>
          </cell>
        </row>
        <row r="31">
          <cell r="X31">
            <v>14.494132333400492</v>
          </cell>
        </row>
        <row r="32">
          <cell r="X32">
            <v>14.508344270953266</v>
          </cell>
        </row>
        <row r="33">
          <cell r="X33">
            <v>13.342833175996208</v>
          </cell>
        </row>
      </sheetData>
      <sheetData sheetId="53"/>
      <sheetData sheetId="54">
        <row r="10">
          <cell r="X10">
            <v>12.797120580349224</v>
          </cell>
        </row>
        <row r="11">
          <cell r="X11">
            <v>12.331985998958169</v>
          </cell>
        </row>
        <row r="12">
          <cell r="X12">
            <v>11.951742663453874</v>
          </cell>
        </row>
        <row r="13">
          <cell r="X13">
            <v>11.804660876007503</v>
          </cell>
        </row>
        <row r="14">
          <cell r="X14">
            <v>11.731878189273329</v>
          </cell>
        </row>
        <row r="15">
          <cell r="X15">
            <v>11.578691110877243</v>
          </cell>
        </row>
        <row r="16">
          <cell r="X16">
            <v>11.096212787872755</v>
          </cell>
        </row>
        <row r="17">
          <cell r="X17">
            <v>10.376869545211436</v>
          </cell>
        </row>
        <row r="18">
          <cell r="X18">
            <v>10.410859283839084</v>
          </cell>
        </row>
        <row r="19">
          <cell r="X19">
            <v>9.782107393827209</v>
          </cell>
        </row>
        <row r="20">
          <cell r="X20">
            <v>9.44956231756119</v>
          </cell>
        </row>
        <row r="21">
          <cell r="X21">
            <v>9.205860398033785</v>
          </cell>
        </row>
        <row r="22">
          <cell r="X22">
            <v>10.252014299453215</v>
          </cell>
        </row>
        <row r="23">
          <cell r="X23">
            <v>11.765289012301498</v>
          </cell>
        </row>
        <row r="24">
          <cell r="X24">
            <v>10.287023767738368</v>
          </cell>
        </row>
        <row r="25">
          <cell r="X25">
            <v>9.5193288428307437</v>
          </cell>
        </row>
        <row r="26">
          <cell r="X26">
            <v>9.6066121263014548</v>
          </cell>
        </row>
        <row r="27">
          <cell r="X27">
            <v>9.2887814314551456</v>
          </cell>
        </row>
        <row r="28">
          <cell r="X28">
            <v>10.767371170069989</v>
          </cell>
        </row>
        <row r="29">
          <cell r="X29">
            <v>10.561787777872887</v>
          </cell>
        </row>
        <row r="30">
          <cell r="X30">
            <v>9.6912320500462545</v>
          </cell>
        </row>
        <row r="31">
          <cell r="X31">
            <v>9.8394909678177296</v>
          </cell>
        </row>
        <row r="32">
          <cell r="X32">
            <v>10.4237203215849</v>
          </cell>
        </row>
        <row r="33">
          <cell r="X33">
            <v>10.752959352780433</v>
          </cell>
        </row>
      </sheetData>
      <sheetData sheetId="55"/>
      <sheetData sheetId="56">
        <row r="10">
          <cell r="X10">
            <v>11.208027559045826</v>
          </cell>
        </row>
        <row r="11">
          <cell r="X11">
            <v>11.39171370555181</v>
          </cell>
        </row>
        <row r="12">
          <cell r="X12">
            <v>11.647459719550183</v>
          </cell>
        </row>
        <row r="13">
          <cell r="X13">
            <v>11.83687853584577</v>
          </cell>
        </row>
        <row r="14">
          <cell r="X14">
            <v>11.92845700538941</v>
          </cell>
        </row>
        <row r="15">
          <cell r="X15">
            <v>12.343696401310659</v>
          </cell>
        </row>
        <row r="16">
          <cell r="X16">
            <v>12.749869610633167</v>
          </cell>
        </row>
        <row r="17">
          <cell r="X17">
            <v>12.839254552844773</v>
          </cell>
        </row>
        <row r="18">
          <cell r="X18">
            <v>12.767310283770748</v>
          </cell>
        </row>
        <row r="19">
          <cell r="X19">
            <v>13.160791139362324</v>
          </cell>
        </row>
        <row r="20">
          <cell r="X20">
            <v>13.075400012608268</v>
          </cell>
        </row>
        <row r="21">
          <cell r="X21">
            <v>14.875226110665468</v>
          </cell>
        </row>
        <row r="22">
          <cell r="X22">
            <v>15.090467548839241</v>
          </cell>
        </row>
        <row r="23">
          <cell r="X23">
            <v>15.276482225510566</v>
          </cell>
        </row>
        <row r="24">
          <cell r="X24">
            <v>15.187000635010063</v>
          </cell>
        </row>
        <row r="25">
          <cell r="X25">
            <v>14.811192571774782</v>
          </cell>
        </row>
        <row r="26">
          <cell r="X26">
            <v>14.36071815868848</v>
          </cell>
        </row>
        <row r="27">
          <cell r="X27">
            <v>14.331988728934986</v>
          </cell>
        </row>
        <row r="28">
          <cell r="X28">
            <v>14.30577917395043</v>
          </cell>
        </row>
        <row r="29">
          <cell r="X29">
            <v>14.180469482870111</v>
          </cell>
        </row>
        <row r="30">
          <cell r="X30">
            <v>14.203690565697547</v>
          </cell>
        </row>
        <row r="31">
          <cell r="X31">
            <v>13.954459007436704</v>
          </cell>
        </row>
        <row r="32">
          <cell r="X32">
            <v>13.604955409142088</v>
          </cell>
        </row>
        <row r="33">
          <cell r="X33">
            <v>13.603096450181855</v>
          </cell>
        </row>
      </sheetData>
      <sheetData sheetId="57"/>
      <sheetData sheetId="58">
        <row r="10">
          <cell r="X10">
            <v>13.774828550841644</v>
          </cell>
        </row>
        <row r="11">
          <cell r="X11">
            <v>14.012122399994132</v>
          </cell>
        </row>
        <row r="12">
          <cell r="X12">
            <v>14.368682061501939</v>
          </cell>
        </row>
        <row r="13">
          <cell r="X13">
            <v>14.257667474663997</v>
          </cell>
        </row>
        <row r="14">
          <cell r="X14">
            <v>14.317786565970133</v>
          </cell>
        </row>
        <row r="15">
          <cell r="X15">
            <v>14.798720832289584</v>
          </cell>
        </row>
        <row r="16">
          <cell r="X16">
            <v>15.079290199497624</v>
          </cell>
        </row>
        <row r="17">
          <cell r="X17">
            <v>15.269816229354907</v>
          </cell>
        </row>
        <row r="18">
          <cell r="X18">
            <v>14.429574079310903</v>
          </cell>
        </row>
        <row r="19">
          <cell r="X19">
            <v>14.839896434881705</v>
          </cell>
        </row>
        <row r="20">
          <cell r="X20">
            <v>15.180055503780963</v>
          </cell>
        </row>
        <row r="21">
          <cell r="X21">
            <v>14.888786423033514</v>
          </cell>
        </row>
        <row r="22">
          <cell r="X22">
            <v>14.090267776634448</v>
          </cell>
        </row>
        <row r="23">
          <cell r="X23">
            <v>17.399600606652015</v>
          </cell>
        </row>
        <row r="24">
          <cell r="X24">
            <v>16.909949645874455</v>
          </cell>
        </row>
        <row r="25">
          <cell r="X25">
            <v>16.923066824088956</v>
          </cell>
        </row>
        <row r="26">
          <cell r="X26">
            <v>17.138316118300935</v>
          </cell>
        </row>
        <row r="27">
          <cell r="X27">
            <v>17.237426563724348</v>
          </cell>
        </row>
        <row r="28">
          <cell r="X28">
            <v>17.498476198611016</v>
          </cell>
        </row>
        <row r="29">
          <cell r="X29">
            <v>17.181455819422126</v>
          </cell>
        </row>
        <row r="30">
          <cell r="X30">
            <v>17.322275107721634</v>
          </cell>
        </row>
        <row r="31">
          <cell r="X31">
            <v>17.205716701956568</v>
          </cell>
        </row>
        <row r="32">
          <cell r="X32">
            <v>17.097697190268338</v>
          </cell>
        </row>
        <row r="33">
          <cell r="X33">
            <v>16.737098732587832</v>
          </cell>
        </row>
      </sheetData>
      <sheetData sheetId="59"/>
      <sheetData sheetId="60">
        <row r="10">
          <cell r="X10">
            <v>16.545830948968</v>
          </cell>
        </row>
        <row r="11">
          <cell r="X11">
            <v>16.822276315890782</v>
          </cell>
        </row>
        <row r="12">
          <cell r="X12">
            <v>16.052462990931708</v>
          </cell>
        </row>
        <row r="13">
          <cell r="X13">
            <v>15.877993849640763</v>
          </cell>
        </row>
        <row r="14">
          <cell r="X14">
            <v>15.775261765109116</v>
          </cell>
        </row>
        <row r="15">
          <cell r="X15">
            <v>15.770485015390786</v>
          </cell>
        </row>
        <row r="16">
          <cell r="X16">
            <v>16.430053720448054</v>
          </cell>
        </row>
        <row r="17">
          <cell r="X17">
            <v>15.684707423917224</v>
          </cell>
        </row>
        <row r="18">
          <cell r="X18">
            <v>16.012914624389101</v>
          </cell>
        </row>
        <row r="19">
          <cell r="X19">
            <v>15.585696472862455</v>
          </cell>
        </row>
        <row r="20">
          <cell r="X20">
            <v>15.887190416121227</v>
          </cell>
        </row>
        <row r="21">
          <cell r="X21">
            <v>15.54762838069759</v>
          </cell>
        </row>
        <row r="22">
          <cell r="X22">
            <v>14.427140584889647</v>
          </cell>
        </row>
        <row r="23">
          <cell r="X23">
            <v>14.604574811483186</v>
          </cell>
        </row>
        <row r="24">
          <cell r="X24">
            <v>14.85873655934842</v>
          </cell>
        </row>
        <row r="25">
          <cell r="X25">
            <v>15.539675615374541</v>
          </cell>
        </row>
        <row r="26">
          <cell r="X26">
            <v>16.181153452537721</v>
          </cell>
        </row>
        <row r="27">
          <cell r="X27">
            <v>15.763446398267517</v>
          </cell>
        </row>
        <row r="28">
          <cell r="X28">
            <v>16.279396965975401</v>
          </cell>
        </row>
        <row r="29">
          <cell r="X29">
            <v>16.243794476201408</v>
          </cell>
        </row>
        <row r="30">
          <cell r="X30">
            <v>16.188579922693609</v>
          </cell>
        </row>
        <row r="31">
          <cell r="X31">
            <v>15.974887667067392</v>
          </cell>
        </row>
        <row r="32">
          <cell r="X32">
            <v>15.773239235916806</v>
          </cell>
        </row>
        <row r="33">
          <cell r="X33">
            <v>15.239462929994932</v>
          </cell>
        </row>
      </sheetData>
      <sheetData sheetId="61"/>
      <sheetData sheetId="62">
        <row r="10">
          <cell r="X10">
            <v>15.258666441614135</v>
          </cell>
        </row>
        <row r="11">
          <cell r="X11">
            <v>15.223309419515179</v>
          </cell>
        </row>
        <row r="12">
          <cell r="X12">
            <v>15.071112703442237</v>
          </cell>
        </row>
        <row r="13">
          <cell r="X13">
            <v>15.16902251985837</v>
          </cell>
        </row>
        <row r="14">
          <cell r="X14">
            <v>14.973138196597713</v>
          </cell>
        </row>
        <row r="15">
          <cell r="X15">
            <v>15.507230297831493</v>
          </cell>
        </row>
        <row r="16">
          <cell r="X16">
            <v>15.887675311695981</v>
          </cell>
        </row>
        <row r="17">
          <cell r="X17">
            <v>14.778503512643402</v>
          </cell>
        </row>
        <row r="18">
          <cell r="X18">
            <v>15.081943354504123</v>
          </cell>
        </row>
        <row r="19">
          <cell r="X19">
            <v>14.532580431869908</v>
          </cell>
        </row>
        <row r="20">
          <cell r="X20">
            <v>14.705150160829247</v>
          </cell>
        </row>
        <row r="21">
          <cell r="X21">
            <v>14.131248201781492</v>
          </cell>
        </row>
        <row r="22">
          <cell r="X22">
            <v>14.344128198194104</v>
          </cell>
        </row>
        <row r="23">
          <cell r="X23">
            <v>13.916304406184491</v>
          </cell>
        </row>
        <row r="24">
          <cell r="X24">
            <v>12.939412166092408</v>
          </cell>
        </row>
        <row r="25">
          <cell r="X25">
            <v>13.366679667911169</v>
          </cell>
        </row>
        <row r="26">
          <cell r="X26">
            <v>12.66714264834936</v>
          </cell>
        </row>
        <row r="27">
          <cell r="X27">
            <v>13.096039054965013</v>
          </cell>
        </row>
        <row r="28">
          <cell r="X28">
            <v>16.312753455199204</v>
          </cell>
        </row>
        <row r="29">
          <cell r="X29">
            <v>15.873439364025513</v>
          </cell>
        </row>
        <row r="30">
          <cell r="X30">
            <v>16.222283309639256</v>
          </cell>
        </row>
        <row r="31">
          <cell r="X31">
            <v>16.030219199542856</v>
          </cell>
        </row>
        <row r="32">
          <cell r="X32">
            <v>16.405271134284458</v>
          </cell>
        </row>
        <row r="33">
          <cell r="X33">
            <v>15.953670122655796</v>
          </cell>
        </row>
      </sheetData>
      <sheetData sheetId="63"/>
      <sheetData sheetId="64">
        <row r="10">
          <cell r="X10">
            <v>14.708593524641524</v>
          </cell>
        </row>
        <row r="11">
          <cell r="X11">
            <v>15.553486119813927</v>
          </cell>
        </row>
        <row r="12">
          <cell r="X12">
            <v>15.23447126831495</v>
          </cell>
        </row>
        <row r="13">
          <cell r="X13">
            <v>15.165157537136956</v>
          </cell>
        </row>
        <row r="14">
          <cell r="X14">
            <v>14.487953462330552</v>
          </cell>
        </row>
        <row r="15">
          <cell r="X15">
            <v>14.569162624522155</v>
          </cell>
        </row>
        <row r="16">
          <cell r="X16">
            <v>14.744348830371154</v>
          </cell>
        </row>
        <row r="17">
          <cell r="X17">
            <v>14.392637313284549</v>
          </cell>
        </row>
        <row r="18">
          <cell r="X18">
            <v>14.699199493707296</v>
          </cell>
        </row>
        <row r="19">
          <cell r="X19">
            <v>14.741295135058765</v>
          </cell>
        </row>
        <row r="20">
          <cell r="X20">
            <v>14.655641500508475</v>
          </cell>
        </row>
        <row r="21">
          <cell r="X21">
            <v>14.765082608201308</v>
          </cell>
        </row>
        <row r="22">
          <cell r="X22">
            <v>14.532771347709801</v>
          </cell>
        </row>
        <row r="23">
          <cell r="X23">
            <v>13.726230242609443</v>
          </cell>
        </row>
        <row r="24">
          <cell r="X24">
            <v>14.407993630121045</v>
          </cell>
        </row>
        <row r="25">
          <cell r="X25">
            <v>14.67132912261745</v>
          </cell>
        </row>
        <row r="26">
          <cell r="X26">
            <v>15.556790051352959</v>
          </cell>
        </row>
        <row r="27">
          <cell r="X27">
            <v>14.587417800253457</v>
          </cell>
        </row>
        <row r="28">
          <cell r="X28">
            <v>15.865886510022856</v>
          </cell>
        </row>
        <row r="29">
          <cell r="X29">
            <v>16.672508290557307</v>
          </cell>
        </row>
        <row r="30">
          <cell r="X30">
            <v>16.339747988094505</v>
          </cell>
        </row>
        <row r="31">
          <cell r="X31">
            <v>16.247606739101418</v>
          </cell>
        </row>
        <row r="32">
          <cell r="X32">
            <v>16.242568490106198</v>
          </cell>
        </row>
        <row r="33">
          <cell r="X33">
            <v>16.04326495506054</v>
          </cell>
        </row>
      </sheetData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Ponto de Orvalho"/>
      <sheetName val="Bulbo Umido"/>
      <sheetName val="Verificações"/>
      <sheetName val="Dia 1 (a)"/>
      <sheetName val="Dia 1 (b)"/>
      <sheetName val="Dia 2 (a)"/>
      <sheetName val="Dia 2 (b)"/>
      <sheetName val="Dia 3 (a)"/>
      <sheetName val="Dia 3 (b)"/>
      <sheetName val="Dia 4 (a)"/>
      <sheetName val="Dia 4 (b)"/>
      <sheetName val="Dia 5 (a)"/>
      <sheetName val="Dia 5 (b)"/>
      <sheetName val="Dia 6 (a)"/>
      <sheetName val="Dia 6 (b)"/>
      <sheetName val="Dia 7 (a)"/>
      <sheetName val="Dia 7 (b)"/>
      <sheetName val="Dia 8 (a)"/>
      <sheetName val="Dia 8 (b)"/>
      <sheetName val="Dia 9 (a)"/>
      <sheetName val="Dia 9 (b)"/>
      <sheetName val="Dia 10 (a)"/>
      <sheetName val="Dia 10 (b)"/>
      <sheetName val="Dia 11 (a)"/>
      <sheetName val="Dia 11 (b)"/>
      <sheetName val="Dia 12 (a)"/>
      <sheetName val="Dia 12 (b)"/>
      <sheetName val="Dia 13 (a)"/>
      <sheetName val="Dia 13 (b)"/>
      <sheetName val="Dia 14 (a)"/>
      <sheetName val="Dia 14 (b)"/>
      <sheetName val="Dia 15 (a)"/>
      <sheetName val="Dia 15 (b)"/>
      <sheetName val="Dia 16 (a)"/>
      <sheetName val="Dia 16 (b)"/>
      <sheetName val="Dia 17 (a)"/>
      <sheetName val="Dia 17 (b)"/>
      <sheetName val="Dia 18 (a)"/>
      <sheetName val="Dia 18 (b)"/>
      <sheetName val="Dia 19 (a)"/>
      <sheetName val="Dia 19 (b)"/>
      <sheetName val="Dia 20 (a)"/>
      <sheetName val="Dia 20 (b)"/>
      <sheetName val="Dia 21 (a)"/>
      <sheetName val="Dia 21 (b)"/>
      <sheetName val="Dia 22 (a)"/>
      <sheetName val="Dia 22 (b)"/>
      <sheetName val="Dia 23 (a)"/>
      <sheetName val="Dia 23 (b)"/>
      <sheetName val="Dia 24 (a)"/>
      <sheetName val="Dia 24 (b)"/>
      <sheetName val="Dia 25 (a)"/>
      <sheetName val="Dia 25 (b)"/>
      <sheetName val="Dia 26 (a)"/>
      <sheetName val="Dia 26 (b)"/>
      <sheetName val="Dia 27 (a)"/>
      <sheetName val="Dia 27 (b)"/>
      <sheetName val="Dia 28 (a)"/>
      <sheetName val="Dia 28 (b)"/>
      <sheetName val="Dia 29 (a)"/>
      <sheetName val="Dia 29 (b)"/>
      <sheetName val="Dia 30 (a)"/>
      <sheetName val="Dia 30 (b)"/>
      <sheetName val="Dia 31 (a)"/>
      <sheetName val="Dia 31 (b)"/>
      <sheetName val="Visibilidade"/>
      <sheetName val="Tipo-Nuvens Baixas"/>
      <sheetName val="Quant.-Nuvens Baixas"/>
      <sheetName val="Tipo-Nuvens Médias"/>
      <sheetName val="Quant.-Nuvens Médias"/>
      <sheetName val="Tipo-Nuvens Altas"/>
      <sheetName val="Quant.-Nuvens Altas"/>
      <sheetName val="Cobertura Total"/>
      <sheetName val="Barôm. a Grav. Normal (hPa=mb)"/>
      <sheetName val="Term. Seco (C)"/>
      <sheetName val="Umid. Relat. (%)"/>
      <sheetName val="Umid. Específica (g.kg-1)"/>
      <sheetName val="Temp. Superf. (C)"/>
      <sheetName val="Temp. 5 cm (C)"/>
      <sheetName val="Temp. 10 cm (C)"/>
      <sheetName val="Temp. 20 cm (C)"/>
      <sheetName val="Temp. 30 cm (C)"/>
      <sheetName val="Temp. 40 cm (C)"/>
      <sheetName val="Temp. Máx. e Mín. (C)"/>
      <sheetName val="Precipitação e Evaporação (mm)"/>
      <sheetName val="INMET"/>
      <sheetName val="Fenomenos Diversos"/>
    </sheetNames>
    <sheetDataSet>
      <sheetData sheetId="0"/>
      <sheetData sheetId="1"/>
      <sheetData sheetId="2"/>
      <sheetData sheetId="3"/>
      <sheetData sheetId="4">
        <row r="1">
          <cell r="C1" t="str">
            <v>FEVEREIRO DE 2023</v>
          </cell>
        </row>
        <row r="10">
          <cell r="X10">
            <v>15.799274090835315</v>
          </cell>
        </row>
        <row r="11">
          <cell r="X11">
            <v>15.885844540052778</v>
          </cell>
        </row>
        <row r="12">
          <cell r="X12">
            <v>15.53150383430105</v>
          </cell>
        </row>
        <row r="13">
          <cell r="X13">
            <v>14.899718078361378</v>
          </cell>
        </row>
        <row r="14">
          <cell r="X14">
            <v>14.643837891756085</v>
          </cell>
        </row>
        <row r="15">
          <cell r="X15">
            <v>14.229034470850447</v>
          </cell>
        </row>
        <row r="16">
          <cell r="X16">
            <v>14.921254012495218</v>
          </cell>
        </row>
        <row r="17">
          <cell r="X17">
            <v>14.844686084261694</v>
          </cell>
        </row>
        <row r="18">
          <cell r="X18">
            <v>15.360693983798935</v>
          </cell>
        </row>
        <row r="19">
          <cell r="X19">
            <v>15.193456169332794</v>
          </cell>
        </row>
        <row r="20">
          <cell r="X20">
            <v>14.990799950807741</v>
          </cell>
        </row>
        <row r="21">
          <cell r="X21">
            <v>14.653739622713948</v>
          </cell>
        </row>
        <row r="22">
          <cell r="X22">
            <v>13.971354592553611</v>
          </cell>
        </row>
        <row r="23">
          <cell r="X23">
            <v>14.022273383804379</v>
          </cell>
        </row>
        <row r="24">
          <cell r="X24">
            <v>13.784038612795118</v>
          </cell>
        </row>
        <row r="25">
          <cell r="X25">
            <v>13.609804429718304</v>
          </cell>
        </row>
        <row r="26">
          <cell r="X26">
            <v>14.465148334769902</v>
          </cell>
        </row>
        <row r="27">
          <cell r="X27">
            <v>16.057931343436472</v>
          </cell>
        </row>
        <row r="28">
          <cell r="X28">
            <v>16.426526687894238</v>
          </cell>
        </row>
        <row r="29">
          <cell r="X29">
            <v>16.393493335474396</v>
          </cell>
        </row>
        <row r="30">
          <cell r="X30">
            <v>15.982017649419197</v>
          </cell>
        </row>
        <row r="31">
          <cell r="X31">
            <v>15.361905351609996</v>
          </cell>
        </row>
        <row r="32">
          <cell r="X32">
            <v>15.600925318189738</v>
          </cell>
        </row>
        <row r="33">
          <cell r="X33">
            <v>15.812686551663012</v>
          </cell>
        </row>
      </sheetData>
      <sheetData sheetId="5"/>
      <sheetData sheetId="6">
        <row r="10">
          <cell r="X10">
            <v>15.814303604487263</v>
          </cell>
        </row>
        <row r="11">
          <cell r="X11">
            <v>15.745459610855697</v>
          </cell>
        </row>
        <row r="12">
          <cell r="X12">
            <v>15.584972311862547</v>
          </cell>
        </row>
        <row r="13">
          <cell r="X13">
            <v>15.855341881210327</v>
          </cell>
        </row>
        <row r="14">
          <cell r="X14">
            <v>15.852127690104538</v>
          </cell>
        </row>
        <row r="15">
          <cell r="X15">
            <v>15.839709243773315</v>
          </cell>
        </row>
        <row r="16">
          <cell r="X16">
            <v>16.027877899091266</v>
          </cell>
        </row>
        <row r="17">
          <cell r="X17">
            <v>15.779535162391635</v>
          </cell>
        </row>
        <row r="18">
          <cell r="X18">
            <v>15.713777131784202</v>
          </cell>
        </row>
        <row r="19">
          <cell r="X19">
            <v>15.296558851350841</v>
          </cell>
        </row>
        <row r="20">
          <cell r="X20">
            <v>14.704981565297402</v>
          </cell>
        </row>
        <row r="21">
          <cell r="X21">
            <v>15.930128687848988</v>
          </cell>
        </row>
        <row r="22">
          <cell r="X22">
            <v>14.223599645172763</v>
          </cell>
        </row>
        <row r="23">
          <cell r="X23">
            <v>14.983734221521559</v>
          </cell>
        </row>
        <row r="24">
          <cell r="X24">
            <v>14.231783496899384</v>
          </cell>
        </row>
        <row r="25">
          <cell r="X25">
            <v>14.897397806628788</v>
          </cell>
        </row>
        <row r="26">
          <cell r="X26">
            <v>13.879262944185255</v>
          </cell>
        </row>
        <row r="27">
          <cell r="X27">
            <v>13.696148479138206</v>
          </cell>
        </row>
        <row r="28">
          <cell r="X28">
            <v>15.270983502740473</v>
          </cell>
        </row>
        <row r="29">
          <cell r="X29">
            <v>16.828312239788247</v>
          </cell>
        </row>
        <row r="30">
          <cell r="X30">
            <v>15.581785197279162</v>
          </cell>
        </row>
        <row r="31">
          <cell r="X31">
            <v>15.493396727914101</v>
          </cell>
        </row>
        <row r="32">
          <cell r="X32">
            <v>15.339303160391607</v>
          </cell>
        </row>
        <row r="33">
          <cell r="X33">
            <v>14.854927772231216</v>
          </cell>
        </row>
      </sheetData>
      <sheetData sheetId="7"/>
      <sheetData sheetId="8">
        <row r="10">
          <cell r="X10">
            <v>15.077163065665406</v>
          </cell>
        </row>
        <row r="11">
          <cell r="X11">
            <v>14.657503318594335</v>
          </cell>
        </row>
        <row r="12">
          <cell r="X12">
            <v>14.23973262119725</v>
          </cell>
        </row>
        <row r="13">
          <cell r="X13">
            <v>14.332284262021204</v>
          </cell>
        </row>
        <row r="14">
          <cell r="X14">
            <v>14.072832122730752</v>
          </cell>
        </row>
        <row r="15">
          <cell r="X15">
            <v>14.495800194954482</v>
          </cell>
        </row>
        <row r="16">
          <cell r="X16">
            <v>14.832793043699464</v>
          </cell>
        </row>
        <row r="17">
          <cell r="X17">
            <v>14.812334387561892</v>
          </cell>
        </row>
        <row r="18">
          <cell r="X18">
            <v>14.495069303425442</v>
          </cell>
        </row>
        <row r="19">
          <cell r="X19">
            <v>14.608599615923358</v>
          </cell>
        </row>
        <row r="20">
          <cell r="X20">
            <v>14.322885971771179</v>
          </cell>
        </row>
        <row r="21">
          <cell r="X21">
            <v>14.895480800641012</v>
          </cell>
        </row>
        <row r="22">
          <cell r="X22">
            <v>14.264176180060227</v>
          </cell>
        </row>
        <row r="23">
          <cell r="X23">
            <v>14.567831152791653</v>
          </cell>
        </row>
        <row r="24">
          <cell r="X24">
            <v>13.721287878560625</v>
          </cell>
        </row>
        <row r="25">
          <cell r="X25">
            <v>13.426413998005247</v>
          </cell>
        </row>
        <row r="26">
          <cell r="X26">
            <v>14.898487977989962</v>
          </cell>
        </row>
        <row r="27">
          <cell r="X27">
            <v>14.999004402034172</v>
          </cell>
        </row>
        <row r="28">
          <cell r="X28">
            <v>14.750705270393773</v>
          </cell>
        </row>
        <row r="29">
          <cell r="X29">
            <v>14.852045131807719</v>
          </cell>
        </row>
        <row r="30">
          <cell r="X30">
            <v>15.133859044999479</v>
          </cell>
        </row>
        <row r="31">
          <cell r="X31">
            <v>13.962331776194793</v>
          </cell>
        </row>
        <row r="32">
          <cell r="X32">
            <v>14.177915178525893</v>
          </cell>
        </row>
        <row r="33">
          <cell r="X33">
            <v>14.263192349376906</v>
          </cell>
        </row>
      </sheetData>
      <sheetData sheetId="9"/>
      <sheetData sheetId="10">
        <row r="10">
          <cell r="X10">
            <v>13.788235418021845</v>
          </cell>
        </row>
        <row r="11">
          <cell r="X11">
            <v>14.126502467367381</v>
          </cell>
        </row>
        <row r="12">
          <cell r="X12">
            <v>14.148665108882097</v>
          </cell>
        </row>
        <row r="13">
          <cell r="X13">
            <v>14.229559203549918</v>
          </cell>
        </row>
        <row r="14">
          <cell r="X14">
            <v>14.062247747056633</v>
          </cell>
        </row>
        <row r="15">
          <cell r="X15">
            <v>13.729079285725826</v>
          </cell>
        </row>
        <row r="16">
          <cell r="X16">
            <v>13.775675267819851</v>
          </cell>
        </row>
        <row r="17">
          <cell r="X17">
            <v>13.948342393649842</v>
          </cell>
        </row>
        <row r="18">
          <cell r="X18">
            <v>14.395848549931982</v>
          </cell>
        </row>
        <row r="19">
          <cell r="X19">
            <v>14.678208458997295</v>
          </cell>
        </row>
        <row r="20">
          <cell r="X20">
            <v>14.564843525937665</v>
          </cell>
        </row>
        <row r="21">
          <cell r="X21">
            <v>14.926515516450234</v>
          </cell>
        </row>
        <row r="22">
          <cell r="X22">
            <v>15.05949664394309</v>
          </cell>
        </row>
        <row r="23">
          <cell r="X23">
            <v>14.555356007639006</v>
          </cell>
        </row>
        <row r="24">
          <cell r="X24">
            <v>14.301690696710562</v>
          </cell>
        </row>
        <row r="25">
          <cell r="X25">
            <v>15.032647931284997</v>
          </cell>
        </row>
        <row r="26">
          <cell r="X26">
            <v>14.884877739895796</v>
          </cell>
        </row>
        <row r="27">
          <cell r="X27">
            <v>14.878304640122243</v>
          </cell>
        </row>
        <row r="28">
          <cell r="X28">
            <v>14.788913368022648</v>
          </cell>
        </row>
        <row r="29">
          <cell r="X29">
            <v>15.974152669761965</v>
          </cell>
        </row>
        <row r="30">
          <cell r="X30">
            <v>17.382497575917846</v>
          </cell>
        </row>
        <row r="31">
          <cell r="X31">
            <v>16.426606364607263</v>
          </cell>
        </row>
        <row r="32">
          <cell r="X32">
            <v>16.51054683902219</v>
          </cell>
        </row>
        <row r="33">
          <cell r="X33">
            <v>16.142769814744685</v>
          </cell>
        </row>
      </sheetData>
      <sheetData sheetId="11"/>
      <sheetData sheetId="12">
        <row r="10">
          <cell r="X10">
            <v>16.286896387949838</v>
          </cell>
        </row>
        <row r="11">
          <cell r="X11">
            <v>15.995033473399809</v>
          </cell>
        </row>
        <row r="12">
          <cell r="X12">
            <v>16.098380720269898</v>
          </cell>
        </row>
        <row r="13">
          <cell r="X13">
            <v>16.102731163442279</v>
          </cell>
        </row>
        <row r="14">
          <cell r="X14">
            <v>16.276366382144126</v>
          </cell>
        </row>
        <row r="15">
          <cell r="X15">
            <v>15.989068862149198</v>
          </cell>
        </row>
        <row r="16">
          <cell r="X16">
            <v>16.157566521780659</v>
          </cell>
        </row>
        <row r="17">
          <cell r="X17">
            <v>16.718570869997503</v>
          </cell>
        </row>
        <row r="18">
          <cell r="X18">
            <v>16.509125265362666</v>
          </cell>
        </row>
        <row r="19">
          <cell r="X19">
            <v>15.868187487082634</v>
          </cell>
        </row>
        <row r="20">
          <cell r="X20">
            <v>15.350657610162084</v>
          </cell>
        </row>
        <row r="21">
          <cell r="X21">
            <v>15.735601076494934</v>
          </cell>
        </row>
        <row r="22">
          <cell r="X22">
            <v>15.014577761024233</v>
          </cell>
        </row>
        <row r="23">
          <cell r="X23">
            <v>13.969574497071706</v>
          </cell>
        </row>
        <row r="24">
          <cell r="X24">
            <v>13.498730709127328</v>
          </cell>
        </row>
        <row r="25">
          <cell r="X25">
            <v>13.957347559232243</v>
          </cell>
        </row>
        <row r="26">
          <cell r="X26">
            <v>13.451114292897479</v>
          </cell>
        </row>
        <row r="27">
          <cell r="X27">
            <v>14.718679047607448</v>
          </cell>
        </row>
        <row r="28">
          <cell r="X28">
            <v>15.786578632640703</v>
          </cell>
        </row>
        <row r="29">
          <cell r="X29">
            <v>16.557155669187356</v>
          </cell>
        </row>
        <row r="30">
          <cell r="X30">
            <v>15.749178598886296</v>
          </cell>
        </row>
        <row r="31">
          <cell r="X31">
            <v>16.371646550583993</v>
          </cell>
        </row>
        <row r="32">
          <cell r="X32">
            <v>16.269377583444552</v>
          </cell>
        </row>
        <row r="33">
          <cell r="X33">
            <v>15.818388497479777</v>
          </cell>
        </row>
      </sheetData>
      <sheetData sheetId="13"/>
      <sheetData sheetId="14">
        <row r="10">
          <cell r="X10">
            <v>15.606389756075787</v>
          </cell>
        </row>
        <row r="11">
          <cell r="X11">
            <v>15.403664288967786</v>
          </cell>
        </row>
        <row r="12">
          <cell r="X12">
            <v>15.342288653641599</v>
          </cell>
        </row>
        <row r="13">
          <cell r="X13">
            <v>15.608358964900358</v>
          </cell>
        </row>
        <row r="14">
          <cell r="X14">
            <v>15.504490314737216</v>
          </cell>
        </row>
        <row r="15">
          <cell r="X15">
            <v>14.836999655012381</v>
          </cell>
        </row>
        <row r="16">
          <cell r="X16">
            <v>16.0049364094445</v>
          </cell>
        </row>
        <row r="17">
          <cell r="X17">
            <v>15.635168232235637</v>
          </cell>
        </row>
        <row r="18">
          <cell r="X18">
            <v>16.218356876913607</v>
          </cell>
        </row>
        <row r="19">
          <cell r="X19">
            <v>15.348307193511072</v>
          </cell>
        </row>
        <row r="20">
          <cell r="X20">
            <v>14.301836022282176</v>
          </cell>
        </row>
        <row r="21">
          <cell r="X21">
            <v>15.232525425558514</v>
          </cell>
        </row>
        <row r="22">
          <cell r="X22">
            <v>16.052505117482458</v>
          </cell>
        </row>
        <row r="23">
          <cell r="X23">
            <v>18.091447410289835</v>
          </cell>
        </row>
        <row r="24">
          <cell r="X24">
            <v>16.92593203528093</v>
          </cell>
        </row>
        <row r="25">
          <cell r="X25">
            <v>17.194531041710622</v>
          </cell>
        </row>
        <row r="26">
          <cell r="X26">
            <v>17.195285152257743</v>
          </cell>
        </row>
        <row r="27">
          <cell r="X27">
            <v>16.191336474205794</v>
          </cell>
        </row>
        <row r="28">
          <cell r="X28">
            <v>16.197155759058138</v>
          </cell>
        </row>
        <row r="29">
          <cell r="X29">
            <v>15.502565645277333</v>
          </cell>
        </row>
        <row r="30">
          <cell r="X30">
            <v>15.61418650502072</v>
          </cell>
        </row>
        <row r="31">
          <cell r="X31">
            <v>15.607290687371876</v>
          </cell>
        </row>
        <row r="32">
          <cell r="X32">
            <v>15.846823701758488</v>
          </cell>
        </row>
        <row r="33">
          <cell r="X33">
            <v>15.540799617341548</v>
          </cell>
        </row>
      </sheetData>
      <sheetData sheetId="15"/>
      <sheetData sheetId="16">
        <row r="10">
          <cell r="X10">
            <v>15.177540910163414</v>
          </cell>
        </row>
        <row r="11">
          <cell r="X11">
            <v>15.156370045679807</v>
          </cell>
        </row>
        <row r="12">
          <cell r="X12">
            <v>15.190790851782777</v>
          </cell>
        </row>
        <row r="13">
          <cell r="X13">
            <v>15.099420029514272</v>
          </cell>
        </row>
        <row r="14">
          <cell r="X14">
            <v>14.382076878580236</v>
          </cell>
        </row>
        <row r="15">
          <cell r="X15">
            <v>14.2868374832921</v>
          </cell>
        </row>
        <row r="16">
          <cell r="X16">
            <v>15.364286530875889</v>
          </cell>
        </row>
        <row r="17">
          <cell r="X17">
            <v>15.284717230104281</v>
          </cell>
        </row>
        <row r="18">
          <cell r="X18">
            <v>16.118258892912483</v>
          </cell>
        </row>
        <row r="19">
          <cell r="X19">
            <v>15.984337502192828</v>
          </cell>
        </row>
        <row r="20">
          <cell r="X20">
            <v>15.611004601274331</v>
          </cell>
        </row>
        <row r="21">
          <cell r="X21">
            <v>15.158336037992109</v>
          </cell>
        </row>
        <row r="22">
          <cell r="X22">
            <v>15.380409050603763</v>
          </cell>
        </row>
        <row r="23">
          <cell r="X23">
            <v>15.191431802694504</v>
          </cell>
        </row>
        <row r="24">
          <cell r="X24">
            <v>15.079442244962385</v>
          </cell>
        </row>
        <row r="25">
          <cell r="X25">
            <v>15.759255103599175</v>
          </cell>
        </row>
        <row r="26">
          <cell r="X26">
            <v>16.215161286301193</v>
          </cell>
        </row>
        <row r="27">
          <cell r="X27">
            <v>16.082696248449455</v>
          </cell>
        </row>
        <row r="28">
          <cell r="X28">
            <v>15.773569590872599</v>
          </cell>
        </row>
        <row r="29">
          <cell r="X29">
            <v>15.458759614341178</v>
          </cell>
        </row>
        <row r="30">
          <cell r="X30">
            <v>15.60164784921156</v>
          </cell>
        </row>
        <row r="31">
          <cell r="X31">
            <v>14.921927971742591</v>
          </cell>
        </row>
        <row r="32">
          <cell r="X32">
            <v>14.591020894329969</v>
          </cell>
        </row>
        <row r="33">
          <cell r="X33">
            <v>14.139449607818927</v>
          </cell>
        </row>
      </sheetData>
      <sheetData sheetId="17"/>
      <sheetData sheetId="18">
        <row r="10">
          <cell r="X10">
            <v>14.32522654433826</v>
          </cell>
        </row>
        <row r="11">
          <cell r="X11">
            <v>14.397616618206293</v>
          </cell>
        </row>
        <row r="12">
          <cell r="X12">
            <v>14.227521609412479</v>
          </cell>
        </row>
        <row r="13">
          <cell r="X13">
            <v>14.291359593081644</v>
          </cell>
        </row>
        <row r="14">
          <cell r="X14">
            <v>14.382639924025741</v>
          </cell>
        </row>
        <row r="15">
          <cell r="X15">
            <v>14.652863563151856</v>
          </cell>
        </row>
        <row r="16">
          <cell r="X16">
            <v>15.074513488317081</v>
          </cell>
        </row>
        <row r="17">
          <cell r="X17">
            <v>16.178992590300311</v>
          </cell>
        </row>
        <row r="18">
          <cell r="X18">
            <v>15.406416834279149</v>
          </cell>
        </row>
        <row r="19">
          <cell r="X19">
            <v>13.402356040948739</v>
          </cell>
        </row>
        <row r="20">
          <cell r="X20">
            <v>16.078245633948885</v>
          </cell>
        </row>
        <row r="21">
          <cell r="X21">
            <v>15.197279768930374</v>
          </cell>
        </row>
        <row r="22">
          <cell r="X22">
            <v>14.515702378434838</v>
          </cell>
        </row>
        <row r="23">
          <cell r="X23">
            <v>14.986368123934819</v>
          </cell>
        </row>
        <row r="24">
          <cell r="X24">
            <v>14.953174398704004</v>
          </cell>
        </row>
        <row r="25">
          <cell r="X25">
            <v>13.667017488160143</v>
          </cell>
        </row>
        <row r="26">
          <cell r="X26">
            <v>13.078289406595447</v>
          </cell>
        </row>
        <row r="27">
          <cell r="X27">
            <v>12.538137300903223</v>
          </cell>
        </row>
        <row r="28">
          <cell r="X28">
            <v>13.318150061667676</v>
          </cell>
        </row>
        <row r="29">
          <cell r="X29">
            <v>13.606260224109123</v>
          </cell>
        </row>
        <row r="30">
          <cell r="X30">
            <v>13.45214969485569</v>
          </cell>
        </row>
        <row r="31">
          <cell r="X31">
            <v>13.474960036684855</v>
          </cell>
        </row>
        <row r="32">
          <cell r="X32">
            <v>13.974153894701358</v>
          </cell>
        </row>
        <row r="33">
          <cell r="X33">
            <v>13.610261604276079</v>
          </cell>
        </row>
      </sheetData>
      <sheetData sheetId="19"/>
      <sheetData sheetId="20">
        <row r="10">
          <cell r="X10">
            <v>13.771007157996014</v>
          </cell>
        </row>
        <row r="11">
          <cell r="X11">
            <v>13.562478182643369</v>
          </cell>
        </row>
        <row r="12">
          <cell r="X12">
            <v>13.710871916061219</v>
          </cell>
        </row>
        <row r="13">
          <cell r="X13">
            <v>13.286880646728095</v>
          </cell>
        </row>
        <row r="14">
          <cell r="X14">
            <v>13.347965578084963</v>
          </cell>
        </row>
        <row r="15">
          <cell r="X15">
            <v>13.574476527250956</v>
          </cell>
        </row>
        <row r="16">
          <cell r="X16">
            <v>14.456585360562348</v>
          </cell>
        </row>
        <row r="17">
          <cell r="X17">
            <v>14.831950965665317</v>
          </cell>
        </row>
        <row r="18">
          <cell r="X18">
            <v>15.14847441787917</v>
          </cell>
        </row>
        <row r="19">
          <cell r="X19">
            <v>15.506482589664783</v>
          </cell>
        </row>
        <row r="20">
          <cell r="X20">
            <v>14.099064107736645</v>
          </cell>
        </row>
        <row r="21">
          <cell r="X21">
            <v>13.521513462468787</v>
          </cell>
        </row>
        <row r="22">
          <cell r="X22">
            <v>13.008620274087074</v>
          </cell>
        </row>
        <row r="23">
          <cell r="X23">
            <v>15.862266752940778</v>
          </cell>
        </row>
        <row r="24">
          <cell r="X24">
            <v>16.503235720976949</v>
          </cell>
        </row>
        <row r="25">
          <cell r="X25">
            <v>15.837958615389999</v>
          </cell>
        </row>
        <row r="26">
          <cell r="X26">
            <v>15.509349466824268</v>
          </cell>
        </row>
        <row r="27">
          <cell r="X27">
            <v>15.261870138412943</v>
          </cell>
        </row>
        <row r="28">
          <cell r="X28">
            <v>14.664364142137307</v>
          </cell>
        </row>
        <row r="29">
          <cell r="X29">
            <v>14.643910128924645</v>
          </cell>
        </row>
        <row r="30">
          <cell r="X30">
            <v>14.81997696913019</v>
          </cell>
        </row>
        <row r="31">
          <cell r="X31">
            <v>14.768017877066232</v>
          </cell>
        </row>
        <row r="32">
          <cell r="X32">
            <v>14.82215285241997</v>
          </cell>
        </row>
        <row r="33">
          <cell r="X33">
            <v>14.512175557353483</v>
          </cell>
        </row>
      </sheetData>
      <sheetData sheetId="21"/>
      <sheetData sheetId="22">
        <row r="10">
          <cell r="X10">
            <v>14.509475672517842</v>
          </cell>
        </row>
        <row r="11">
          <cell r="X11">
            <v>14.181094381492072</v>
          </cell>
        </row>
        <row r="12">
          <cell r="X12">
            <v>14.701155183262779</v>
          </cell>
        </row>
        <row r="13">
          <cell r="X13">
            <v>14.656297064672508</v>
          </cell>
        </row>
        <row r="14">
          <cell r="X14">
            <v>14.565275828428282</v>
          </cell>
        </row>
        <row r="15">
          <cell r="X15">
            <v>14.206094016153651</v>
          </cell>
        </row>
        <row r="16">
          <cell r="X16">
            <v>15.096765784275494</v>
          </cell>
        </row>
        <row r="17">
          <cell r="X17">
            <v>14.628346123616394</v>
          </cell>
        </row>
        <row r="18">
          <cell r="X18">
            <v>14.808699875917675</v>
          </cell>
        </row>
        <row r="19">
          <cell r="X19">
            <v>14.473988129479798</v>
          </cell>
        </row>
        <row r="20">
          <cell r="X20">
            <v>14.68754465998976</v>
          </cell>
        </row>
        <row r="21">
          <cell r="X21">
            <v>14.819640681045936</v>
          </cell>
        </row>
        <row r="22">
          <cell r="X22">
            <v>14.965925684999952</v>
          </cell>
        </row>
        <row r="23">
          <cell r="X23">
            <v>17.024293713147966</v>
          </cell>
        </row>
        <row r="24">
          <cell r="X24">
            <v>16.751831302352109</v>
          </cell>
        </row>
        <row r="25">
          <cell r="X25">
            <v>16.713836202329503</v>
          </cell>
        </row>
        <row r="26">
          <cell r="X26">
            <v>15.59454737575653</v>
          </cell>
        </row>
        <row r="27">
          <cell r="X27">
            <v>15.51985614343349</v>
          </cell>
        </row>
        <row r="28">
          <cell r="X28">
            <v>15.253020611057094</v>
          </cell>
        </row>
        <row r="29">
          <cell r="X29">
            <v>15.466322828875024</v>
          </cell>
        </row>
        <row r="30">
          <cell r="X30">
            <v>14.628091010052373</v>
          </cell>
        </row>
        <row r="31">
          <cell r="X31">
            <v>14.441420353717794</v>
          </cell>
        </row>
        <row r="32">
          <cell r="X32">
            <v>14.117881352101479</v>
          </cell>
        </row>
        <row r="33">
          <cell r="X33">
            <v>13.540085940522543</v>
          </cell>
        </row>
      </sheetData>
      <sheetData sheetId="23"/>
      <sheetData sheetId="24">
        <row r="10">
          <cell r="X10">
            <v>13.113364085376379</v>
          </cell>
        </row>
        <row r="11">
          <cell r="X11">
            <v>14.156263656272483</v>
          </cell>
        </row>
        <row r="12">
          <cell r="X12">
            <v>13.926982290136856</v>
          </cell>
        </row>
        <row r="13">
          <cell r="X13">
            <v>14.166543782083743</v>
          </cell>
        </row>
        <row r="14">
          <cell r="X14">
            <v>14.318417180659935</v>
          </cell>
        </row>
        <row r="15">
          <cell r="X15">
            <v>14.561340136689124</v>
          </cell>
        </row>
        <row r="16">
          <cell r="X16">
            <v>14.689093577191986</v>
          </cell>
        </row>
        <row r="17">
          <cell r="X17">
            <v>15.088858554368773</v>
          </cell>
        </row>
        <row r="18">
          <cell r="X18">
            <v>15.827300427125868</v>
          </cell>
        </row>
        <row r="19">
          <cell r="X19">
            <v>15.186982054029285</v>
          </cell>
        </row>
        <row r="20">
          <cell r="X20">
            <v>14.898574751934472</v>
          </cell>
        </row>
        <row r="21">
          <cell r="X21">
            <v>14.906908322595644</v>
          </cell>
        </row>
        <row r="22">
          <cell r="X22">
            <v>15.159942915558723</v>
          </cell>
        </row>
        <row r="23">
          <cell r="X23">
            <v>16.259420267561133</v>
          </cell>
        </row>
        <row r="24">
          <cell r="X24">
            <v>16.353136173312485</v>
          </cell>
        </row>
        <row r="25">
          <cell r="X25">
            <v>16.334774711228967</v>
          </cell>
        </row>
        <row r="26">
          <cell r="X26">
            <v>16.175367985374848</v>
          </cell>
        </row>
        <row r="27">
          <cell r="X27">
            <v>15.803399651414523</v>
          </cell>
        </row>
        <row r="28">
          <cell r="X28">
            <v>16.133596666189288</v>
          </cell>
        </row>
        <row r="29">
          <cell r="X29">
            <v>15.840947000461219</v>
          </cell>
        </row>
        <row r="30">
          <cell r="X30">
            <v>15.775899187076844</v>
          </cell>
        </row>
        <row r="31">
          <cell r="X31">
            <v>15.329033314268148</v>
          </cell>
        </row>
        <row r="32">
          <cell r="X32">
            <v>15.410272064940463</v>
          </cell>
        </row>
        <row r="33">
          <cell r="X33">
            <v>15.122082933583046</v>
          </cell>
        </row>
      </sheetData>
      <sheetData sheetId="25"/>
      <sheetData sheetId="26">
        <row r="10">
          <cell r="X10">
            <v>14.954006940615351</v>
          </cell>
        </row>
        <row r="11">
          <cell r="X11">
            <v>14.805629610797833</v>
          </cell>
        </row>
        <row r="12">
          <cell r="X12">
            <v>14.472945050835575</v>
          </cell>
        </row>
        <row r="13">
          <cell r="X13">
            <v>14.884546114943292</v>
          </cell>
        </row>
        <row r="14">
          <cell r="X14">
            <v>14.721891981674659</v>
          </cell>
        </row>
        <row r="15">
          <cell r="X15">
            <v>14.714727152821682</v>
          </cell>
        </row>
        <row r="16">
          <cell r="X16">
            <v>14.884057221198209</v>
          </cell>
        </row>
        <row r="17">
          <cell r="X17">
            <v>15.349658777718775</v>
          </cell>
        </row>
        <row r="18">
          <cell r="X18">
            <v>16.04721205297836</v>
          </cell>
        </row>
        <row r="19">
          <cell r="X19">
            <v>15.241514216519018</v>
          </cell>
        </row>
        <row r="20">
          <cell r="X20">
            <v>14.994738418503704</v>
          </cell>
        </row>
        <row r="21">
          <cell r="X21">
            <v>15.196112800113704</v>
          </cell>
        </row>
        <row r="22">
          <cell r="X22">
            <v>15.020900419475327</v>
          </cell>
        </row>
        <row r="23">
          <cell r="X23">
            <v>14.080088639741129</v>
          </cell>
        </row>
        <row r="24">
          <cell r="X24">
            <v>16.712982434857107</v>
          </cell>
        </row>
        <row r="25">
          <cell r="X25">
            <v>16.261974573652992</v>
          </cell>
        </row>
        <row r="26">
          <cell r="X26">
            <v>15.215079173900973</v>
          </cell>
        </row>
        <row r="27">
          <cell r="X27">
            <v>15.851299091770462</v>
          </cell>
        </row>
        <row r="28">
          <cell r="X28">
            <v>15.403796163166707</v>
          </cell>
        </row>
        <row r="29">
          <cell r="X29">
            <v>15.273315845549964</v>
          </cell>
        </row>
        <row r="30">
          <cell r="X30">
            <v>15.077487908137305</v>
          </cell>
        </row>
        <row r="31">
          <cell r="X31">
            <v>15.273059789264023</v>
          </cell>
        </row>
        <row r="32">
          <cell r="X32">
            <v>15.417207972728791</v>
          </cell>
        </row>
        <row r="33">
          <cell r="X33">
            <v>15.022800091336721</v>
          </cell>
        </row>
      </sheetData>
      <sheetData sheetId="27"/>
      <sheetData sheetId="28">
        <row r="10">
          <cell r="X10">
            <v>14.818411339019445</v>
          </cell>
        </row>
        <row r="11">
          <cell r="X11">
            <v>14.761353299738966</v>
          </cell>
        </row>
        <row r="12">
          <cell r="X12">
            <v>14.52405172737866</v>
          </cell>
        </row>
        <row r="13">
          <cell r="X13">
            <v>14.431300473469379</v>
          </cell>
        </row>
        <row r="14">
          <cell r="X14">
            <v>14.63221660232095</v>
          </cell>
        </row>
        <row r="15">
          <cell r="X15">
            <v>14.375011528900011</v>
          </cell>
        </row>
        <row r="16">
          <cell r="X16">
            <v>15.01657404178723</v>
          </cell>
        </row>
        <row r="17">
          <cell r="X17">
            <v>15.415892003646348</v>
          </cell>
        </row>
        <row r="18">
          <cell r="X18">
            <v>15.1507096598662</v>
          </cell>
        </row>
        <row r="19">
          <cell r="X19">
            <v>15.375270997040531</v>
          </cell>
        </row>
        <row r="20">
          <cell r="X20">
            <v>15.653087596140562</v>
          </cell>
        </row>
        <row r="21">
          <cell r="X21">
            <v>15.577281174039205</v>
          </cell>
        </row>
        <row r="22">
          <cell r="X22">
            <v>15.92167627792192</v>
          </cell>
        </row>
        <row r="23">
          <cell r="X23">
            <v>15.275388206338111</v>
          </cell>
        </row>
        <row r="24">
          <cell r="X24">
            <v>14.64416426535667</v>
          </cell>
        </row>
        <row r="25">
          <cell r="X25">
            <v>14.567657134018031</v>
          </cell>
        </row>
        <row r="26">
          <cell r="X26">
            <v>16.690873907536538</v>
          </cell>
        </row>
        <row r="27">
          <cell r="X27">
            <v>17.236635452666945</v>
          </cell>
        </row>
        <row r="28">
          <cell r="X28">
            <v>17.813085281671722</v>
          </cell>
        </row>
        <row r="29">
          <cell r="X29">
            <v>15.844364430255306</v>
          </cell>
        </row>
        <row r="30">
          <cell r="X30">
            <v>15.898524335065423</v>
          </cell>
        </row>
        <row r="31">
          <cell r="X31">
            <v>15.893804457802768</v>
          </cell>
        </row>
        <row r="32">
          <cell r="X32">
            <v>15.489744614896065</v>
          </cell>
        </row>
        <row r="33">
          <cell r="X33">
            <v>15.587349387139968</v>
          </cell>
        </row>
      </sheetData>
      <sheetData sheetId="29"/>
      <sheetData sheetId="30">
        <row r="10">
          <cell r="X10">
            <v>15.739697538605011</v>
          </cell>
        </row>
        <row r="11">
          <cell r="X11">
            <v>15.336005789357484</v>
          </cell>
        </row>
        <row r="12">
          <cell r="X12">
            <v>15.246409475136016</v>
          </cell>
        </row>
        <row r="13">
          <cell r="X13">
            <v>15.501675455890158</v>
          </cell>
        </row>
        <row r="14">
          <cell r="X14">
            <v>14.959440076082144</v>
          </cell>
        </row>
        <row r="15">
          <cell r="X15">
            <v>14.827573328291852</v>
          </cell>
        </row>
        <row r="16">
          <cell r="X16">
            <v>15.82105327476094</v>
          </cell>
        </row>
        <row r="17">
          <cell r="X17">
            <v>16.529474671108996</v>
          </cell>
        </row>
        <row r="18">
          <cell r="X18">
            <v>15.089708677890927</v>
          </cell>
        </row>
        <row r="19">
          <cell r="X19">
            <v>15.40710169386298</v>
          </cell>
        </row>
        <row r="20">
          <cell r="X20">
            <v>15.630028177341933</v>
          </cell>
        </row>
        <row r="21">
          <cell r="X21">
            <v>15.200000733427615</v>
          </cell>
        </row>
        <row r="22">
          <cell r="X22">
            <v>14.516303263619765</v>
          </cell>
        </row>
        <row r="23">
          <cell r="X23">
            <v>14.687001533900942</v>
          </cell>
        </row>
        <row r="24">
          <cell r="X24">
            <v>15.145062799683965</v>
          </cell>
        </row>
        <row r="25">
          <cell r="X25">
            <v>14.259593641703919</v>
          </cell>
        </row>
        <row r="26">
          <cell r="X26">
            <v>17.742732386877176</v>
          </cell>
        </row>
        <row r="27">
          <cell r="X27">
            <v>17.241951459047907</v>
          </cell>
        </row>
        <row r="28">
          <cell r="X28">
            <v>17.476423356366428</v>
          </cell>
        </row>
        <row r="29">
          <cell r="X29">
            <v>17.161130561834135</v>
          </cell>
        </row>
        <row r="30">
          <cell r="X30">
            <v>16.219210360142608</v>
          </cell>
        </row>
        <row r="31">
          <cell r="X31">
            <v>15.516344770604725</v>
          </cell>
        </row>
        <row r="32">
          <cell r="X32">
            <v>15.147215595193888</v>
          </cell>
        </row>
        <row r="33">
          <cell r="X33">
            <v>15.415954108059788</v>
          </cell>
        </row>
      </sheetData>
      <sheetData sheetId="31"/>
      <sheetData sheetId="32">
        <row r="10">
          <cell r="X10">
            <v>14.828341067890646</v>
          </cell>
        </row>
        <row r="11">
          <cell r="X11">
            <v>15.498170085460131</v>
          </cell>
        </row>
        <row r="12">
          <cell r="X12">
            <v>15.499650816352668</v>
          </cell>
        </row>
        <row r="13">
          <cell r="X13">
            <v>15.154478352159376</v>
          </cell>
        </row>
        <row r="14">
          <cell r="X14">
            <v>14.968397209660003</v>
          </cell>
        </row>
        <row r="15">
          <cell r="X15">
            <v>14.658708329939069</v>
          </cell>
        </row>
        <row r="16">
          <cell r="X16">
            <v>15.436550415389876</v>
          </cell>
        </row>
        <row r="17">
          <cell r="X17">
            <v>16.685290847542795</v>
          </cell>
        </row>
        <row r="18">
          <cell r="X18">
            <v>15.545260758295948</v>
          </cell>
        </row>
        <row r="19">
          <cell r="X19">
            <v>15.493738577831323</v>
          </cell>
        </row>
        <row r="20">
          <cell r="X20">
            <v>15.687900373999566</v>
          </cell>
        </row>
        <row r="21">
          <cell r="X21">
            <v>15.551241396393872</v>
          </cell>
        </row>
        <row r="22">
          <cell r="X22">
            <v>15.332497233090697</v>
          </cell>
        </row>
        <row r="23">
          <cell r="X23">
            <v>14.304415363840882</v>
          </cell>
        </row>
        <row r="24">
          <cell r="X24">
            <v>14.581076007579091</v>
          </cell>
        </row>
        <row r="25">
          <cell r="X25">
            <v>14.086044497831015</v>
          </cell>
        </row>
        <row r="26">
          <cell r="X26">
            <v>16.971978935679104</v>
          </cell>
        </row>
        <row r="27">
          <cell r="X27">
            <v>17.087185876112034</v>
          </cell>
        </row>
        <row r="28">
          <cell r="X28">
            <v>16.709342128940353</v>
          </cell>
        </row>
        <row r="29">
          <cell r="X29">
            <v>16.357710437475113</v>
          </cell>
        </row>
        <row r="30">
          <cell r="X30">
            <v>16.651109094159395</v>
          </cell>
        </row>
        <row r="31">
          <cell r="X31">
            <v>15.385546054939386</v>
          </cell>
        </row>
        <row r="32">
          <cell r="X32">
            <v>15.068041452833658</v>
          </cell>
        </row>
        <row r="33">
          <cell r="X33">
            <v>14.33676167986215</v>
          </cell>
        </row>
      </sheetData>
      <sheetData sheetId="33"/>
      <sheetData sheetId="34">
        <row r="10">
          <cell r="X10">
            <v>14.250903555844175</v>
          </cell>
        </row>
        <row r="11">
          <cell r="X11">
            <v>14.631011293004761</v>
          </cell>
        </row>
        <row r="12">
          <cell r="X12">
            <v>14.374622286688444</v>
          </cell>
        </row>
        <row r="13">
          <cell r="X13">
            <v>14.756328979444454</v>
          </cell>
        </row>
        <row r="14">
          <cell r="X14">
            <v>14.850375431024286</v>
          </cell>
        </row>
        <row r="15">
          <cell r="X15">
            <v>14.84781199506258</v>
          </cell>
        </row>
        <row r="16">
          <cell r="X16">
            <v>14.335294628379083</v>
          </cell>
        </row>
        <row r="17">
          <cell r="X17">
            <v>14.498377621987869</v>
          </cell>
        </row>
        <row r="18">
          <cell r="X18">
            <v>13.863643104675926</v>
          </cell>
        </row>
        <row r="19">
          <cell r="X19">
            <v>14.587331023769895</v>
          </cell>
        </row>
        <row r="20">
          <cell r="X20">
            <v>14.951921672515867</v>
          </cell>
        </row>
        <row r="21">
          <cell r="X21">
            <v>15.392275106015099</v>
          </cell>
        </row>
        <row r="22">
          <cell r="X22">
            <v>15.022039030772531</v>
          </cell>
        </row>
        <row r="23">
          <cell r="X23">
            <v>15.143068631642409</v>
          </cell>
        </row>
        <row r="24">
          <cell r="X24">
            <v>15.016004991239365</v>
          </cell>
        </row>
        <row r="25">
          <cell r="X25">
            <v>15.369463673201491</v>
          </cell>
        </row>
        <row r="26">
          <cell r="X26">
            <v>17.773641631846424</v>
          </cell>
        </row>
        <row r="27">
          <cell r="X27">
            <v>17.871217436309049</v>
          </cell>
        </row>
        <row r="28">
          <cell r="X28">
            <v>16.872229699961935</v>
          </cell>
        </row>
        <row r="29">
          <cell r="X29">
            <v>16.820026527953374</v>
          </cell>
        </row>
        <row r="30">
          <cell r="X30">
            <v>15.655819579381895</v>
          </cell>
        </row>
        <row r="31">
          <cell r="X31">
            <v>15.553212709777547</v>
          </cell>
        </row>
        <row r="32">
          <cell r="X32">
            <v>15.337215517622848</v>
          </cell>
        </row>
        <row r="33">
          <cell r="X33">
            <v>15.062790630438752</v>
          </cell>
        </row>
      </sheetData>
      <sheetData sheetId="35"/>
      <sheetData sheetId="36">
        <row r="10">
          <cell r="X10">
            <v>15.128071480405817</v>
          </cell>
        </row>
        <row r="11">
          <cell r="X11">
            <v>15.143192326265744</v>
          </cell>
        </row>
        <row r="12">
          <cell r="X12">
            <v>14.868236883733498</v>
          </cell>
        </row>
        <row r="13">
          <cell r="X13">
            <v>14.961121882064692</v>
          </cell>
        </row>
        <row r="14">
          <cell r="X14">
            <v>14.817070701797737</v>
          </cell>
        </row>
        <row r="15">
          <cell r="X15">
            <v>15.322857754020259</v>
          </cell>
        </row>
        <row r="16">
          <cell r="X16">
            <v>14.330145448942019</v>
          </cell>
        </row>
        <row r="17">
          <cell r="X17">
            <v>14.627584414014818</v>
          </cell>
        </row>
        <row r="18">
          <cell r="X18">
            <v>14.557405895395355</v>
          </cell>
        </row>
        <row r="19">
          <cell r="X19">
            <v>15.056970502236348</v>
          </cell>
        </row>
        <row r="20">
          <cell r="X20">
            <v>14.883532359110211</v>
          </cell>
        </row>
        <row r="21">
          <cell r="X21">
            <v>14.553211721750843</v>
          </cell>
        </row>
        <row r="22">
          <cell r="X22">
            <v>14.010565594841577</v>
          </cell>
        </row>
        <row r="23">
          <cell r="X23">
            <v>14.952518252483516</v>
          </cell>
        </row>
        <row r="24">
          <cell r="X24">
            <v>14.441886874267405</v>
          </cell>
        </row>
        <row r="25">
          <cell r="X25">
            <v>13.561656546836959</v>
          </cell>
        </row>
        <row r="26">
          <cell r="X26">
            <v>14.060879350453092</v>
          </cell>
        </row>
        <row r="27">
          <cell r="X27">
            <v>14.646793340009593</v>
          </cell>
        </row>
        <row r="28">
          <cell r="X28">
            <v>15.502106461812668</v>
          </cell>
        </row>
        <row r="29">
          <cell r="X29">
            <v>16.564231932829639</v>
          </cell>
        </row>
        <row r="30">
          <cell r="X30">
            <v>16.593815457992928</v>
          </cell>
        </row>
        <row r="31">
          <cell r="X31">
            <v>16.812310360878815</v>
          </cell>
        </row>
        <row r="32">
          <cell r="X32">
            <v>16.792435148892871</v>
          </cell>
        </row>
        <row r="33">
          <cell r="X33">
            <v>16.303952419815236</v>
          </cell>
        </row>
      </sheetData>
      <sheetData sheetId="37"/>
      <sheetData sheetId="38">
        <row r="10">
          <cell r="X10">
            <v>16.732822376030782</v>
          </cell>
        </row>
        <row r="11">
          <cell r="X11">
            <v>16.797725534961369</v>
          </cell>
        </row>
        <row r="12">
          <cell r="X12">
            <v>16.740816048794052</v>
          </cell>
        </row>
        <row r="13">
          <cell r="X13">
            <v>16.504155374466393</v>
          </cell>
        </row>
        <row r="14">
          <cell r="X14">
            <v>16.364421295597584</v>
          </cell>
        </row>
        <row r="15">
          <cell r="X15">
            <v>16.257127036918959</v>
          </cell>
        </row>
        <row r="16">
          <cell r="X16">
            <v>16.789312464128678</v>
          </cell>
        </row>
        <row r="17">
          <cell r="X17">
            <v>17.098312953939349</v>
          </cell>
        </row>
        <row r="18">
          <cell r="X18">
            <v>17.027206138944909</v>
          </cell>
        </row>
        <row r="19">
          <cell r="X19">
            <v>17.219945491134556</v>
          </cell>
        </row>
        <row r="20">
          <cell r="X20">
            <v>17.612059835270891</v>
          </cell>
        </row>
        <row r="21">
          <cell r="X21">
            <v>17.439861624935165</v>
          </cell>
        </row>
        <row r="22">
          <cell r="X22">
            <v>16.168798158065158</v>
          </cell>
        </row>
        <row r="23">
          <cell r="X23">
            <v>17.216064856167947</v>
          </cell>
        </row>
        <row r="24">
          <cell r="X24">
            <v>15.314411059807096</v>
          </cell>
        </row>
        <row r="25">
          <cell r="X25">
            <v>14.415501666889234</v>
          </cell>
        </row>
        <row r="26">
          <cell r="X26">
            <v>14.269523902566045</v>
          </cell>
        </row>
        <row r="27">
          <cell r="X27">
            <v>14.400818653924746</v>
          </cell>
        </row>
        <row r="28">
          <cell r="X28">
            <v>14.20882997902824</v>
          </cell>
        </row>
        <row r="29">
          <cell r="X29">
            <v>14.20025088981324</v>
          </cell>
        </row>
        <row r="30">
          <cell r="X30">
            <v>14.231633615874584</v>
          </cell>
        </row>
        <row r="31">
          <cell r="X31">
            <v>13.821898708849021</v>
          </cell>
        </row>
        <row r="32">
          <cell r="X32">
            <v>14.176987553197886</v>
          </cell>
        </row>
        <row r="33">
          <cell r="X33">
            <v>13.77663213830281</v>
          </cell>
        </row>
      </sheetData>
      <sheetData sheetId="39"/>
      <sheetData sheetId="40">
        <row r="10">
          <cell r="X10">
            <v>13.570856554804301</v>
          </cell>
        </row>
        <row r="11">
          <cell r="X11">
            <v>13.06965851397425</v>
          </cell>
        </row>
        <row r="12">
          <cell r="X12">
            <v>13.130424914955166</v>
          </cell>
        </row>
        <row r="13">
          <cell r="X13">
            <v>13.356403794333552</v>
          </cell>
        </row>
        <row r="14">
          <cell r="X14">
            <v>13.348984938569483</v>
          </cell>
        </row>
        <row r="15">
          <cell r="X15">
            <v>13.341574343669045</v>
          </cell>
        </row>
        <row r="16">
          <cell r="X16">
            <v>13.296202212646499</v>
          </cell>
        </row>
        <row r="17">
          <cell r="X17">
            <v>13.454279516758913</v>
          </cell>
        </row>
        <row r="18">
          <cell r="X18">
            <v>13.540391569422225</v>
          </cell>
        </row>
        <row r="19">
          <cell r="X19">
            <v>13.710282777291669</v>
          </cell>
        </row>
        <row r="20">
          <cell r="X20">
            <v>13.708275846746583</v>
          </cell>
        </row>
        <row r="21">
          <cell r="X21">
            <v>13.634343160055231</v>
          </cell>
        </row>
        <row r="22">
          <cell r="X22">
            <v>13.734350302337553</v>
          </cell>
        </row>
        <row r="23">
          <cell r="X23">
            <v>13.736387312287409</v>
          </cell>
        </row>
        <row r="24">
          <cell r="X24">
            <v>13.558419697961117</v>
          </cell>
        </row>
        <row r="25">
          <cell r="X25">
            <v>13.345050250913012</v>
          </cell>
        </row>
        <row r="26">
          <cell r="X26">
            <v>13.394369026200847</v>
          </cell>
        </row>
        <row r="27">
          <cell r="X27">
            <v>13.527779983961036</v>
          </cell>
        </row>
        <row r="28">
          <cell r="X28">
            <v>13.309109173108297</v>
          </cell>
        </row>
        <row r="29">
          <cell r="X29">
            <v>13.348647728404286</v>
          </cell>
        </row>
        <row r="30">
          <cell r="X30">
            <v>13.382297246560423</v>
          </cell>
        </row>
        <row r="31">
          <cell r="X31">
            <v>13.64039596257985</v>
          </cell>
        </row>
        <row r="32">
          <cell r="X32">
            <v>13.814767961181202</v>
          </cell>
        </row>
        <row r="33">
          <cell r="X33">
            <v>13.907634478686079</v>
          </cell>
        </row>
      </sheetData>
      <sheetData sheetId="41"/>
      <sheetData sheetId="42">
        <row r="10">
          <cell r="X10">
            <v>13.867325278599258</v>
          </cell>
        </row>
        <row r="11">
          <cell r="X11">
            <v>13.958554916531103</v>
          </cell>
        </row>
        <row r="12">
          <cell r="X12">
            <v>14.054392278825681</v>
          </cell>
        </row>
        <row r="13">
          <cell r="X13">
            <v>14.383582236301741</v>
          </cell>
        </row>
        <row r="14">
          <cell r="X14">
            <v>14.387153327631239</v>
          </cell>
        </row>
        <row r="15">
          <cell r="X15">
            <v>14.47736133522476</v>
          </cell>
        </row>
        <row r="16">
          <cell r="X16">
            <v>14.564952587765182</v>
          </cell>
        </row>
        <row r="17">
          <cell r="X17">
            <v>14.76538020461914</v>
          </cell>
        </row>
        <row r="18">
          <cell r="X18">
            <v>14.971616479502403</v>
          </cell>
        </row>
        <row r="19">
          <cell r="X19">
            <v>15.623941920242702</v>
          </cell>
        </row>
        <row r="20">
          <cell r="X20">
            <v>15.19338098838846</v>
          </cell>
        </row>
        <row r="21">
          <cell r="X21">
            <v>14.504362917328864</v>
          </cell>
        </row>
        <row r="22">
          <cell r="X22">
            <v>14.66568172945083</v>
          </cell>
        </row>
        <row r="23">
          <cell r="X23">
            <v>14.19955824175476</v>
          </cell>
        </row>
        <row r="24">
          <cell r="X24">
            <v>13.729087316989659</v>
          </cell>
        </row>
        <row r="25">
          <cell r="X25">
            <v>16.451847289598593</v>
          </cell>
        </row>
        <row r="26">
          <cell r="X26">
            <v>16.372492438371399</v>
          </cell>
        </row>
        <row r="27">
          <cell r="X27">
            <v>15.932153235403874</v>
          </cell>
        </row>
        <row r="28">
          <cell r="X28">
            <v>16.313411257920833</v>
          </cell>
        </row>
        <row r="29">
          <cell r="X29">
            <v>16.079705230606116</v>
          </cell>
        </row>
        <row r="30">
          <cell r="X30">
            <v>15.469008036829083</v>
          </cell>
        </row>
        <row r="31">
          <cell r="X31">
            <v>15.463373108282997</v>
          </cell>
        </row>
        <row r="32">
          <cell r="X32">
            <v>15.461080711840646</v>
          </cell>
        </row>
        <row r="33">
          <cell r="X33">
            <v>15.359512131032819</v>
          </cell>
        </row>
      </sheetData>
      <sheetData sheetId="43"/>
      <sheetData sheetId="44">
        <row r="10">
          <cell r="X10">
            <v>15.146603974934685</v>
          </cell>
        </row>
        <row r="11">
          <cell r="X11">
            <v>15.157376728758637</v>
          </cell>
        </row>
        <row r="12">
          <cell r="X12">
            <v>15.073993076610236</v>
          </cell>
        </row>
        <row r="13">
          <cell r="X13">
            <v>15.332567727008</v>
          </cell>
        </row>
        <row r="14">
          <cell r="X14">
            <v>15.494748797564435</v>
          </cell>
        </row>
        <row r="15">
          <cell r="X15">
            <v>15.591280128454107</v>
          </cell>
        </row>
        <row r="16">
          <cell r="X16">
            <v>15.613599607807803</v>
          </cell>
        </row>
        <row r="17">
          <cell r="X17">
            <v>15.819670365365839</v>
          </cell>
        </row>
        <row r="18">
          <cell r="X18">
            <v>15.564692674926341</v>
          </cell>
        </row>
        <row r="19">
          <cell r="X19">
            <v>14.783656108547522</v>
          </cell>
        </row>
        <row r="20">
          <cell r="X20">
            <v>15.477443518534685</v>
          </cell>
        </row>
        <row r="21">
          <cell r="X21">
            <v>14.993867474518714</v>
          </cell>
        </row>
        <row r="22">
          <cell r="X22">
            <v>14.35831574254102</v>
          </cell>
        </row>
        <row r="23">
          <cell r="X23">
            <v>14.888500121684217</v>
          </cell>
        </row>
        <row r="24">
          <cell r="X24">
            <v>14.207470083006331</v>
          </cell>
        </row>
        <row r="25">
          <cell r="X25">
            <v>15.383139160498029</v>
          </cell>
        </row>
        <row r="26">
          <cell r="X26">
            <v>16.984039370408762</v>
          </cell>
        </row>
        <row r="27">
          <cell r="X27">
            <v>15.954224368997181</v>
          </cell>
        </row>
        <row r="28">
          <cell r="X28">
            <v>15.828501003883931</v>
          </cell>
        </row>
        <row r="29">
          <cell r="X29">
            <v>15.268689129006063</v>
          </cell>
        </row>
        <row r="30">
          <cell r="X30">
            <v>15.024662498401554</v>
          </cell>
        </row>
        <row r="31">
          <cell r="X31">
            <v>15.024662498401554</v>
          </cell>
        </row>
        <row r="32">
          <cell r="X32">
            <v>14.83631707391657</v>
          </cell>
        </row>
        <row r="33">
          <cell r="X33">
            <v>14.838491793698033</v>
          </cell>
        </row>
      </sheetData>
      <sheetData sheetId="45"/>
      <sheetData sheetId="46">
        <row r="10">
          <cell r="X10">
            <v>14.790489131761168</v>
          </cell>
        </row>
        <row r="11">
          <cell r="X11">
            <v>14.61487550715613</v>
          </cell>
        </row>
        <row r="12">
          <cell r="X12">
            <v>14.348646809079108</v>
          </cell>
        </row>
        <row r="13">
          <cell r="X13">
            <v>14.163290914753276</v>
          </cell>
        </row>
        <row r="14">
          <cell r="X14">
            <v>14.397700841259265</v>
          </cell>
        </row>
        <row r="15">
          <cell r="X15">
            <v>14.29713073695803</v>
          </cell>
        </row>
        <row r="16">
          <cell r="X16">
            <v>14.723453937201661</v>
          </cell>
        </row>
        <row r="17">
          <cell r="X17">
            <v>14.843046630690559</v>
          </cell>
        </row>
        <row r="18">
          <cell r="X18">
            <v>14.703187638085637</v>
          </cell>
        </row>
        <row r="19">
          <cell r="X19">
            <v>14.720135789367744</v>
          </cell>
        </row>
        <row r="20">
          <cell r="X20">
            <v>14.708028775414363</v>
          </cell>
        </row>
        <row r="21">
          <cell r="X21">
            <v>14.755786929342998</v>
          </cell>
        </row>
        <row r="22">
          <cell r="X22">
            <v>15.720212796132573</v>
          </cell>
        </row>
        <row r="23">
          <cell r="X23">
            <v>15.490267913330083</v>
          </cell>
        </row>
        <row r="24">
          <cell r="X24">
            <v>15.269160830531</v>
          </cell>
        </row>
        <row r="25">
          <cell r="X25">
            <v>15.077673926272888</v>
          </cell>
        </row>
        <row r="26">
          <cell r="X26">
            <v>14.956459384667237</v>
          </cell>
        </row>
        <row r="27">
          <cell r="X27">
            <v>14.692717516265454</v>
          </cell>
        </row>
        <row r="28">
          <cell r="X28">
            <v>14.655908526356811</v>
          </cell>
        </row>
        <row r="29">
          <cell r="X29">
            <v>14.776701434781664</v>
          </cell>
        </row>
        <row r="30">
          <cell r="X30">
            <v>14.85177537131519</v>
          </cell>
        </row>
        <row r="31">
          <cell r="X31">
            <v>14.7435563909333</v>
          </cell>
        </row>
        <row r="32">
          <cell r="X32">
            <v>14.406634690954075</v>
          </cell>
        </row>
        <row r="33">
          <cell r="X33">
            <v>14.403443029643761</v>
          </cell>
        </row>
      </sheetData>
      <sheetData sheetId="47"/>
      <sheetData sheetId="48">
        <row r="10">
          <cell r="X10">
            <v>14.697684632570288</v>
          </cell>
        </row>
        <row r="11">
          <cell r="X11">
            <v>14.703338161309651</v>
          </cell>
        </row>
        <row r="12">
          <cell r="X12">
            <v>14.551132753817413</v>
          </cell>
        </row>
        <row r="13">
          <cell r="X13">
            <v>14.491194647511479</v>
          </cell>
        </row>
        <row r="14">
          <cell r="X14">
            <v>14.469456834636068</v>
          </cell>
        </row>
        <row r="15">
          <cell r="X15">
            <v>13.695163739187057</v>
          </cell>
        </row>
        <row r="16">
          <cell r="X16">
            <v>14.550869122023597</v>
          </cell>
        </row>
        <row r="17">
          <cell r="X17">
            <v>14.984704903625103</v>
          </cell>
        </row>
        <row r="18">
          <cell r="X18">
            <v>14.494653688802261</v>
          </cell>
        </row>
        <row r="19">
          <cell r="X19">
            <v>14.84600960015216</v>
          </cell>
        </row>
        <row r="20">
          <cell r="X20">
            <v>14.935562832711058</v>
          </cell>
        </row>
        <row r="21">
          <cell r="X21">
            <v>13.985419559865832</v>
          </cell>
        </row>
        <row r="22">
          <cell r="X22">
            <v>13.852556807726945</v>
          </cell>
        </row>
        <row r="23">
          <cell r="X23">
            <v>15.431546474579177</v>
          </cell>
        </row>
        <row r="24">
          <cell r="X24">
            <v>15.846755905394938</v>
          </cell>
        </row>
        <row r="25">
          <cell r="X25">
            <v>15.531458959916824</v>
          </cell>
        </row>
        <row r="26">
          <cell r="X26">
            <v>16.453643716731623</v>
          </cell>
        </row>
        <row r="27">
          <cell r="X27">
            <v>16.757102058103897</v>
          </cell>
        </row>
        <row r="28">
          <cell r="X28">
            <v>16.371955149037433</v>
          </cell>
        </row>
        <row r="29">
          <cell r="X29">
            <v>16.001768445795232</v>
          </cell>
        </row>
        <row r="30">
          <cell r="X30">
            <v>16.11866283284542</v>
          </cell>
        </row>
        <row r="31">
          <cell r="X31">
            <v>15.955907886381654</v>
          </cell>
        </row>
        <row r="32">
          <cell r="X32">
            <v>15.810416274639401</v>
          </cell>
        </row>
        <row r="33">
          <cell r="X33">
            <v>15.831406234761328</v>
          </cell>
        </row>
      </sheetData>
      <sheetData sheetId="49"/>
      <sheetData sheetId="50">
        <row r="10">
          <cell r="X10">
            <v>15.516125078831173</v>
          </cell>
        </row>
        <row r="11">
          <cell r="X11">
            <v>15.336890024213236</v>
          </cell>
        </row>
        <row r="12">
          <cell r="X12">
            <v>15.152872815999606</v>
          </cell>
        </row>
        <row r="13">
          <cell r="X13">
            <v>15.196225487740712</v>
          </cell>
        </row>
        <row r="14">
          <cell r="X14">
            <v>15.038210722964934</v>
          </cell>
        </row>
        <row r="15">
          <cell r="X15">
            <v>15.101937707784687</v>
          </cell>
        </row>
        <row r="16">
          <cell r="X16">
            <v>15.439267901443646</v>
          </cell>
        </row>
        <row r="17">
          <cell r="X17">
            <v>15.097897089550871</v>
          </cell>
        </row>
        <row r="18">
          <cell r="X18">
            <v>15.475509509373726</v>
          </cell>
        </row>
        <row r="19">
          <cell r="X19">
            <v>15.389334392367504</v>
          </cell>
        </row>
        <row r="20">
          <cell r="X20">
            <v>15.157152486120987</v>
          </cell>
        </row>
        <row r="21">
          <cell r="X21">
            <v>14.868039995855481</v>
          </cell>
        </row>
        <row r="22">
          <cell r="X22">
            <v>15.739249804652053</v>
          </cell>
        </row>
        <row r="23">
          <cell r="X23">
            <v>15.197651993890609</v>
          </cell>
        </row>
        <row r="24">
          <cell r="X24">
            <v>14.971958831906187</v>
          </cell>
        </row>
        <row r="25">
          <cell r="X25">
            <v>13.843378760178823</v>
          </cell>
        </row>
        <row r="26">
          <cell r="X26">
            <v>14.076948780511032</v>
          </cell>
        </row>
        <row r="27">
          <cell r="X27">
            <v>14.071025652091292</v>
          </cell>
        </row>
        <row r="28">
          <cell r="X28">
            <v>14.590005164423992</v>
          </cell>
        </row>
        <row r="29">
          <cell r="X29">
            <v>16.696661535900031</v>
          </cell>
        </row>
        <row r="30">
          <cell r="X30">
            <v>16.967619101067843</v>
          </cell>
        </row>
        <row r="31">
          <cell r="X31">
            <v>16.536494065871885</v>
          </cell>
        </row>
        <row r="32">
          <cell r="X32">
            <v>16.076763259131244</v>
          </cell>
        </row>
        <row r="33">
          <cell r="X33">
            <v>15.976907918888573</v>
          </cell>
        </row>
      </sheetData>
      <sheetData sheetId="51"/>
      <sheetData sheetId="52">
        <row r="10">
          <cell r="X10">
            <v>15.808182192409628</v>
          </cell>
        </row>
        <row r="11">
          <cell r="X11">
            <v>16.278486928362408</v>
          </cell>
        </row>
        <row r="12">
          <cell r="X12">
            <v>16.28755044865925</v>
          </cell>
        </row>
        <row r="13">
          <cell r="X13">
            <v>15.991261827133574</v>
          </cell>
        </row>
        <row r="14">
          <cell r="X14">
            <v>15.990855966382332</v>
          </cell>
        </row>
        <row r="15">
          <cell r="X15">
            <v>15.985796832371488</v>
          </cell>
        </row>
        <row r="16">
          <cell r="X16">
            <v>15.718544514420842</v>
          </cell>
        </row>
        <row r="17">
          <cell r="X17">
            <v>16.02783064787258</v>
          </cell>
        </row>
        <row r="18">
          <cell r="X18">
            <v>15.746198329044606</v>
          </cell>
        </row>
        <row r="19">
          <cell r="X19">
            <v>15.584366251810644</v>
          </cell>
        </row>
        <row r="20">
          <cell r="X20">
            <v>15.408625303374331</v>
          </cell>
        </row>
        <row r="21">
          <cell r="X21">
            <v>14.771735725891022</v>
          </cell>
        </row>
        <row r="22">
          <cell r="X22">
            <v>14.724910359100663</v>
          </cell>
        </row>
        <row r="23">
          <cell r="X23">
            <v>15.301583361309204</v>
          </cell>
        </row>
        <row r="24">
          <cell r="X24">
            <v>16.732238493881823</v>
          </cell>
        </row>
        <row r="25">
          <cell r="X25">
            <v>16.705092685980766</v>
          </cell>
        </row>
        <row r="26">
          <cell r="X26">
            <v>15.902950558819084</v>
          </cell>
        </row>
        <row r="27">
          <cell r="X27">
            <v>15.763259257393042</v>
          </cell>
        </row>
        <row r="28">
          <cell r="X28">
            <v>16.090406652974284</v>
          </cell>
        </row>
        <row r="29">
          <cell r="X29">
            <v>17.491315928049264</v>
          </cell>
        </row>
        <row r="30">
          <cell r="X30">
            <v>15.8350792594066</v>
          </cell>
        </row>
        <row r="31">
          <cell r="X31">
            <v>15.914618033362501</v>
          </cell>
        </row>
        <row r="32">
          <cell r="X32">
            <v>15.779535162391635</v>
          </cell>
        </row>
        <row r="33">
          <cell r="X33">
            <v>15.398632122114565</v>
          </cell>
        </row>
      </sheetData>
      <sheetData sheetId="53"/>
      <sheetData sheetId="54">
        <row r="10">
          <cell r="X10">
            <v>15.955070635399245</v>
          </cell>
        </row>
        <row r="11">
          <cell r="X11">
            <v>15.388848508181939</v>
          </cell>
        </row>
        <row r="12">
          <cell r="X12">
            <v>15.185791032131977</v>
          </cell>
        </row>
        <row r="13">
          <cell r="X13">
            <v>15.241138638757876</v>
          </cell>
        </row>
        <row r="14">
          <cell r="X14">
            <v>14.665339410550388</v>
          </cell>
        </row>
        <row r="15">
          <cell r="X15">
            <v>14.543272634526058</v>
          </cell>
        </row>
        <row r="16">
          <cell r="X16">
            <v>15.116988929308816</v>
          </cell>
        </row>
        <row r="17">
          <cell r="X17">
            <v>15.637987609927016</v>
          </cell>
        </row>
        <row r="18">
          <cell r="X18">
            <v>15.022636804420278</v>
          </cell>
        </row>
        <row r="19">
          <cell r="X19">
            <v>14.918827407467436</v>
          </cell>
        </row>
        <row r="20">
          <cell r="X20">
            <v>15.943963306477064</v>
          </cell>
        </row>
        <row r="21">
          <cell r="X21">
            <v>15.706911974981672</v>
          </cell>
        </row>
        <row r="22">
          <cell r="X22">
            <v>15.78445581545712</v>
          </cell>
        </row>
        <row r="23">
          <cell r="X23">
            <v>14.223559098319615</v>
          </cell>
        </row>
        <row r="24">
          <cell r="X24">
            <v>14.146405467615402</v>
          </cell>
        </row>
        <row r="25">
          <cell r="X25">
            <v>13.851303626653751</v>
          </cell>
        </row>
        <row r="26">
          <cell r="X26">
            <v>13.967231690653694</v>
          </cell>
        </row>
        <row r="27">
          <cell r="X27">
            <v>14.803754935925806</v>
          </cell>
        </row>
        <row r="28">
          <cell r="X28">
            <v>15.393099896180011</v>
          </cell>
        </row>
        <row r="29">
          <cell r="X29">
            <v>15.605233467269263</v>
          </cell>
        </row>
        <row r="30">
          <cell r="X30">
            <v>15.732228733977355</v>
          </cell>
        </row>
        <row r="31">
          <cell r="X31">
            <v>16.089694927599712</v>
          </cell>
        </row>
        <row r="32">
          <cell r="X32">
            <v>16.92107220256301</v>
          </cell>
        </row>
        <row r="33">
          <cell r="X33">
            <v>16.795086967497312</v>
          </cell>
        </row>
      </sheetData>
      <sheetData sheetId="55"/>
      <sheetData sheetId="56">
        <row r="10">
          <cell r="X10">
            <v>16.752796351259693</v>
          </cell>
        </row>
        <row r="11">
          <cell r="X11">
            <v>16.697294672586501</v>
          </cell>
        </row>
        <row r="12">
          <cell r="X12">
            <v>16.727328007946454</v>
          </cell>
        </row>
        <row r="13">
          <cell r="X13">
            <v>16.446698595235606</v>
          </cell>
        </row>
        <row r="14">
          <cell r="X14">
            <v>16.600971513870974</v>
          </cell>
        </row>
        <row r="15">
          <cell r="X15">
            <v>16.307658758049346</v>
          </cell>
        </row>
        <row r="16">
          <cell r="X16">
            <v>16.074728497029071</v>
          </cell>
        </row>
        <row r="17">
          <cell r="X17">
            <v>16.054820062502742</v>
          </cell>
        </row>
        <row r="18">
          <cell r="X18">
            <v>15.86145880301776</v>
          </cell>
        </row>
        <row r="19">
          <cell r="X19">
            <v>16.372967038605601</v>
          </cell>
        </row>
        <row r="20">
          <cell r="X20">
            <v>16.545044581497997</v>
          </cell>
        </row>
        <row r="21">
          <cell r="X21">
            <v>16.496659470491309</v>
          </cell>
        </row>
        <row r="22">
          <cell r="X22">
            <v>16.536150307485787</v>
          </cell>
        </row>
        <row r="23">
          <cell r="X23">
            <v>17.010647017941633</v>
          </cell>
        </row>
        <row r="24">
          <cell r="X24">
            <v>16.138424973979902</v>
          </cell>
        </row>
        <row r="25">
          <cell r="X25">
            <v>16.028462373424944</v>
          </cell>
        </row>
        <row r="26">
          <cell r="X26">
            <v>16.383261948033471</v>
          </cell>
        </row>
        <row r="27">
          <cell r="X27">
            <v>16.271632018534902</v>
          </cell>
        </row>
        <row r="28">
          <cell r="X28">
            <v>15.94196205972084</v>
          </cell>
        </row>
        <row r="29">
          <cell r="X29">
            <v>15.358999382743562</v>
          </cell>
        </row>
        <row r="30">
          <cell r="X30">
            <v>15.587730559036395</v>
          </cell>
        </row>
        <row r="31">
          <cell r="X31">
            <v>15.62963687724983</v>
          </cell>
        </row>
        <row r="32">
          <cell r="X32">
            <v>15.673845105417758</v>
          </cell>
        </row>
        <row r="33">
          <cell r="X33">
            <v>15.67101711132425</v>
          </cell>
        </row>
      </sheetData>
      <sheetData sheetId="57"/>
      <sheetData sheetId="58">
        <row r="10">
          <cell r="X10">
            <v>15.640220364161607</v>
          </cell>
        </row>
        <row r="11">
          <cell r="X11">
            <v>15.489927981919257</v>
          </cell>
        </row>
        <row r="12">
          <cell r="X12">
            <v>15.731377247966222</v>
          </cell>
        </row>
        <row r="13">
          <cell r="X13">
            <v>15.904282593377262</v>
          </cell>
        </row>
        <row r="14">
          <cell r="X14">
            <v>15.739159012645006</v>
          </cell>
        </row>
        <row r="15">
          <cell r="X15">
            <v>15.657290450919991</v>
          </cell>
        </row>
        <row r="16">
          <cell r="X16">
            <v>15.682522286640889</v>
          </cell>
        </row>
        <row r="17">
          <cell r="X17">
            <v>16.001755456406279</v>
          </cell>
        </row>
        <row r="18">
          <cell r="X18">
            <v>15.86775759962241</v>
          </cell>
        </row>
        <row r="19">
          <cell r="X19">
            <v>16.236492734149426</v>
          </cell>
        </row>
        <row r="20">
          <cell r="X20">
            <v>15.312279901135458</v>
          </cell>
        </row>
        <row r="21">
          <cell r="X21">
            <v>16.346357606917604</v>
          </cell>
        </row>
        <row r="22">
          <cell r="X22">
            <v>16.462141989282461</v>
          </cell>
        </row>
        <row r="23">
          <cell r="X23">
            <v>16.139159485762789</v>
          </cell>
        </row>
        <row r="24">
          <cell r="X24">
            <v>15.904915159089066</v>
          </cell>
        </row>
        <row r="25">
          <cell r="X25">
            <v>15.407938034140981</v>
          </cell>
        </row>
        <row r="26">
          <cell r="X26">
            <v>14.770414613193239</v>
          </cell>
        </row>
        <row r="27">
          <cell r="X27">
            <v>15.099899213963836</v>
          </cell>
        </row>
        <row r="28">
          <cell r="X28">
            <v>14.809976321233671</v>
          </cell>
        </row>
        <row r="29">
          <cell r="X29">
            <v>14.71157786840601</v>
          </cell>
        </row>
        <row r="30">
          <cell r="X30">
            <v>13.944719930061867</v>
          </cell>
        </row>
        <row r="31">
          <cell r="X31">
            <v>13.946768330971569</v>
          </cell>
        </row>
        <row r="32">
          <cell r="X32">
            <v>13.891555856740865</v>
          </cell>
        </row>
        <row r="33">
          <cell r="X33">
            <v>13.456523387287408</v>
          </cell>
        </row>
      </sheetData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</sheetDataSet>
  </externalBook>
</externalLink>
</file>

<file path=xl/externalLinks/externalLink3.xml><?xml version="1.0" encoding="utf-8"?>
<externalLink xmlns="http://schemas.openxmlformats.org/spreadsheetml/2006/main">
  <externalBook xmlns:r="http://schemas.openxmlformats.org/officeDocument/2006/relationships" r:id="rId1">
    <sheetNames>
      <sheetName val="Ponto de Orvalho"/>
      <sheetName val="Bulbo Umido"/>
      <sheetName val="Verificações"/>
      <sheetName val="Dia 1 (a)"/>
      <sheetName val="Dia 1 (b)"/>
      <sheetName val="Dia 2 (a)"/>
      <sheetName val="Dia 2 (b)"/>
      <sheetName val="Dia 3 (a)"/>
      <sheetName val="Dia 3 (b)"/>
      <sheetName val="Dia 4 (a)"/>
      <sheetName val="Dia 4 (b)"/>
      <sheetName val="Dia 5 (a)"/>
      <sheetName val="Dia 5 (b)"/>
      <sheetName val="Dia 6 (a)"/>
      <sheetName val="Dia 6 (b)"/>
      <sheetName val="Dia 7 (a)"/>
      <sheetName val="Dia 7 (b)"/>
      <sheetName val="Dia 8 (a)"/>
      <sheetName val="Dia 8 (b)"/>
      <sheetName val="Dia 9 (a)"/>
      <sheetName val="Dia 9 (b)"/>
      <sheetName val="Dia 10 (a)"/>
      <sheetName val="Dia 10 (b)"/>
      <sheetName val="Dia 11 (a)"/>
      <sheetName val="Dia 11 (b)"/>
      <sheetName val="Dia 12 (a)"/>
      <sheetName val="Dia 12 (b)"/>
      <sheetName val="Dia 13 (a)"/>
      <sheetName val="Dia 13 (b)"/>
      <sheetName val="Dia 14 (a)"/>
      <sheetName val="Dia 14 (b)"/>
      <sheetName val="Dia 15 (a)"/>
      <sheetName val="Dia 15 (b)"/>
      <sheetName val="Dia 16 (a)"/>
      <sheetName val="Dia 16 (b)"/>
      <sheetName val="Dia 17 (a)"/>
      <sheetName val="Dia 17 (b)"/>
      <sheetName val="Dia 18 (a)"/>
      <sheetName val="Dia 18 (b)"/>
      <sheetName val="Dia 19 (a)"/>
      <sheetName val="Dia 19 (b)"/>
      <sheetName val="Dia 20 (a)"/>
      <sheetName val="Dia 20 (b)"/>
      <sheetName val="Dia 21 (a)"/>
      <sheetName val="Dia 21 (b)"/>
      <sheetName val="Dia 22 (a)"/>
      <sheetName val="Dia 22 (b)"/>
      <sheetName val="Dia 23 (a)"/>
      <sheetName val="Dia 23 (b)"/>
      <sheetName val="Dia 24 (a)"/>
      <sheetName val="Dia 24 (b)"/>
      <sheetName val="Dia 25 (a)"/>
      <sheetName val="Dia 25 (b)"/>
      <sheetName val="Dia 26 (a)"/>
      <sheetName val="Dia 26 (b)"/>
      <sheetName val="Dia 27 (a)"/>
      <sheetName val="Dia 27 (b)"/>
      <sheetName val="Dia 28 (a)"/>
      <sheetName val="Dia 28 (b)"/>
      <sheetName val="Dia 29 (a)"/>
      <sheetName val="Dia 29 (b)"/>
      <sheetName val="Dia 30 (a)"/>
      <sheetName val="Dia 30 (b)"/>
      <sheetName val="Dia 31 (a)"/>
      <sheetName val="Dia 31 (b)"/>
      <sheetName val="Visibilidade"/>
      <sheetName val="Tipo-Nuvens Baixas"/>
      <sheetName val="Quant.-Nuvens Baixas"/>
      <sheetName val="Tipo-Nuvens Médias"/>
      <sheetName val="Quant.-Nuvens Médias"/>
      <sheetName val="Tipo-Nuvens Altas"/>
      <sheetName val="Quant.-Nuvens Altas"/>
      <sheetName val="Cobertura Total"/>
      <sheetName val="Barôm. a Grav. Normal (hPa=mb)"/>
      <sheetName val="Term. Seco (C)"/>
      <sheetName val="Umid. Relat. (%)"/>
      <sheetName val="Umid. Específica (g.kg-1)"/>
      <sheetName val="Temp. Superf. (C)"/>
      <sheetName val="Temp. 5 cm (C)"/>
      <sheetName val="Temp. 10 cm (C)"/>
      <sheetName val="Temp. 20 cm (C)"/>
      <sheetName val="Temp. 30 cm (C)"/>
      <sheetName val="Temp. 40 cm (C)"/>
      <sheetName val="Temp. Máx. e Mín. (C)"/>
      <sheetName val="Precipitação e Evaporação (mm)"/>
      <sheetName val="INMET"/>
      <sheetName val="Fenomenos Diversos"/>
    </sheetNames>
    <sheetDataSet>
      <sheetData sheetId="0"/>
      <sheetData sheetId="1"/>
      <sheetData sheetId="2"/>
      <sheetData sheetId="3"/>
      <sheetData sheetId="4">
        <row r="1">
          <cell r="C1" t="str">
            <v>MARÇO DE 2023</v>
          </cell>
        </row>
        <row r="10">
          <cell r="X10">
            <v>14.023576494653907</v>
          </cell>
        </row>
        <row r="11">
          <cell r="X11">
            <v>14.207493042280435</v>
          </cell>
        </row>
        <row r="12">
          <cell r="X12">
            <v>13.86181529886273</v>
          </cell>
        </row>
        <row r="13">
          <cell r="X13">
            <v>13.695737354414847</v>
          </cell>
        </row>
        <row r="14">
          <cell r="X14">
            <v>13.603511125074514</v>
          </cell>
        </row>
        <row r="15">
          <cell r="X15">
            <v>13.51575561742108</v>
          </cell>
        </row>
        <row r="16">
          <cell r="X16">
            <v>13.546632135700149</v>
          </cell>
        </row>
        <row r="17">
          <cell r="X17">
            <v>13.782384028393228</v>
          </cell>
        </row>
        <row r="18">
          <cell r="X18">
            <v>13.767641861520206</v>
          </cell>
        </row>
        <row r="19">
          <cell r="X19">
            <v>13.964042904260651</v>
          </cell>
        </row>
        <row r="20">
          <cell r="X20">
            <v>14.265399066259524</v>
          </cell>
        </row>
        <row r="21">
          <cell r="X21">
            <v>13.334158743389644</v>
          </cell>
        </row>
        <row r="22">
          <cell r="X22">
            <v>14.327928012998211</v>
          </cell>
        </row>
        <row r="23">
          <cell r="X23">
            <v>14.680513751490976</v>
          </cell>
        </row>
        <row r="24">
          <cell r="X24">
            <v>16.086570050312908</v>
          </cell>
        </row>
        <row r="25">
          <cell r="X25">
            <v>16.102706071540961</v>
          </cell>
        </row>
        <row r="26">
          <cell r="X26">
            <v>15.939168700172246</v>
          </cell>
        </row>
        <row r="27">
          <cell r="X27">
            <v>15.777066527854005</v>
          </cell>
        </row>
        <row r="28">
          <cell r="X28">
            <v>15.10464106408614</v>
          </cell>
        </row>
        <row r="29">
          <cell r="X29">
            <v>14.938841863473652</v>
          </cell>
        </row>
        <row r="30">
          <cell r="X30">
            <v>14.576880114289072</v>
          </cell>
        </row>
        <row r="31">
          <cell r="X31">
            <v>15.925915610114609</v>
          </cell>
        </row>
        <row r="32">
          <cell r="X32">
            <v>15.210324931522278</v>
          </cell>
        </row>
        <row r="33">
          <cell r="X33">
            <v>14.71576979501932</v>
          </cell>
        </row>
      </sheetData>
      <sheetData sheetId="5"/>
      <sheetData sheetId="6">
        <row r="10">
          <cell r="X10">
            <v>14.347093685406415</v>
          </cell>
        </row>
        <row r="11">
          <cell r="X11">
            <v>14.530975466084653</v>
          </cell>
        </row>
        <row r="12">
          <cell r="X12">
            <v>14.294762236419258</v>
          </cell>
        </row>
        <row r="13">
          <cell r="X13">
            <v>14.143287075068354</v>
          </cell>
        </row>
        <row r="14">
          <cell r="X14">
            <v>13.873133822815369</v>
          </cell>
        </row>
        <row r="15">
          <cell r="X15">
            <v>13.77231412028925</v>
          </cell>
        </row>
        <row r="16">
          <cell r="X16">
            <v>14.784820660594338</v>
          </cell>
        </row>
        <row r="17">
          <cell r="X17">
            <v>15.365647491372343</v>
          </cell>
        </row>
        <row r="18">
          <cell r="X18">
            <v>15.474555981084904</v>
          </cell>
        </row>
        <row r="19">
          <cell r="X19">
            <v>14.84299749459829</v>
          </cell>
        </row>
        <row r="20">
          <cell r="X20">
            <v>14.333629443665894</v>
          </cell>
        </row>
        <row r="21">
          <cell r="X21">
            <v>13.720129465185186</v>
          </cell>
        </row>
        <row r="22">
          <cell r="X22">
            <v>13.648733309204486</v>
          </cell>
        </row>
        <row r="23">
          <cell r="X23">
            <v>12.866376179879968</v>
          </cell>
        </row>
        <row r="24">
          <cell r="X24">
            <v>13.339473586480317</v>
          </cell>
        </row>
        <row r="25">
          <cell r="X25">
            <v>17.377526367302941</v>
          </cell>
        </row>
        <row r="26">
          <cell r="X26">
            <v>16.979039102975275</v>
          </cell>
        </row>
        <row r="27">
          <cell r="X27">
            <v>16.256361554914999</v>
          </cell>
        </row>
        <row r="28">
          <cell r="X28">
            <v>16.390662285169402</v>
          </cell>
        </row>
        <row r="29">
          <cell r="X29">
            <v>16.094344176732509</v>
          </cell>
        </row>
        <row r="30">
          <cell r="X30">
            <v>15.462622581553509</v>
          </cell>
        </row>
        <row r="31">
          <cell r="X31">
            <v>15.694456442920572</v>
          </cell>
        </row>
        <row r="32">
          <cell r="X32">
            <v>14.761322424041051</v>
          </cell>
        </row>
        <row r="33">
          <cell r="X33">
            <v>15.076258127363564</v>
          </cell>
        </row>
      </sheetData>
      <sheetData sheetId="7"/>
      <sheetData sheetId="8">
        <row r="10">
          <cell r="X10">
            <v>13.751194326844136</v>
          </cell>
        </row>
        <row r="11">
          <cell r="X11">
            <v>14.420618619705008</v>
          </cell>
        </row>
        <row r="12">
          <cell r="X12">
            <v>13.943639348770427</v>
          </cell>
        </row>
        <row r="13">
          <cell r="X13">
            <v>14.408730746170564</v>
          </cell>
        </row>
        <row r="14">
          <cell r="X14">
            <v>14.517439354146207</v>
          </cell>
        </row>
        <row r="15">
          <cell r="X15">
            <v>14.881917683770135</v>
          </cell>
        </row>
        <row r="16">
          <cell r="X16">
            <v>15.286437771588259</v>
          </cell>
        </row>
        <row r="17">
          <cell r="X17">
            <v>14.813960167915916</v>
          </cell>
        </row>
        <row r="18">
          <cell r="X18">
            <v>14.303827608535535</v>
          </cell>
        </row>
        <row r="19">
          <cell r="X19">
            <v>14.514738263034355</v>
          </cell>
        </row>
        <row r="20">
          <cell r="X20">
            <v>14.241470785784797</v>
          </cell>
        </row>
        <row r="21">
          <cell r="X21">
            <v>13.531990705708857</v>
          </cell>
        </row>
        <row r="22">
          <cell r="X22">
            <v>14.244457069166179</v>
          </cell>
        </row>
        <row r="23">
          <cell r="X23">
            <v>18.109072665977479</v>
          </cell>
        </row>
        <row r="24">
          <cell r="X24">
            <v>18.218232095347261</v>
          </cell>
        </row>
        <row r="25">
          <cell r="X25">
            <v>18.029246915708274</v>
          </cell>
        </row>
        <row r="26">
          <cell r="X26">
            <v>18.139957278109712</v>
          </cell>
        </row>
        <row r="27">
          <cell r="X27">
            <v>17.923036037422392</v>
          </cell>
        </row>
        <row r="28">
          <cell r="X28">
            <v>17.77333606769314</v>
          </cell>
        </row>
        <row r="29">
          <cell r="X29">
            <v>17.769008680828733</v>
          </cell>
        </row>
        <row r="30">
          <cell r="X30">
            <v>17.75247150686134</v>
          </cell>
        </row>
        <row r="31">
          <cell r="X31">
            <v>17.534188218488914</v>
          </cell>
        </row>
        <row r="32">
          <cell r="X32">
            <v>17.307220811446744</v>
          </cell>
        </row>
        <row r="33">
          <cell r="X33">
            <v>16.803556570921501</v>
          </cell>
        </row>
      </sheetData>
      <sheetData sheetId="9"/>
      <sheetData sheetId="10">
        <row r="10">
          <cell r="X10">
            <v>16.6374751283272</v>
          </cell>
        </row>
        <row r="11">
          <cell r="X11">
            <v>16.748601526702668</v>
          </cell>
        </row>
        <row r="12">
          <cell r="X12">
            <v>16.024542410421077</v>
          </cell>
        </row>
        <row r="13">
          <cell r="X13">
            <v>16.394022816394834</v>
          </cell>
        </row>
        <row r="14">
          <cell r="X14">
            <v>16.043457028819521</v>
          </cell>
        </row>
        <row r="15">
          <cell r="X15">
            <v>16.11626627981655</v>
          </cell>
        </row>
        <row r="16">
          <cell r="X16">
            <v>16.357417285259011</v>
          </cell>
        </row>
        <row r="17">
          <cell r="X17">
            <v>17.134722329648081</v>
          </cell>
        </row>
        <row r="18">
          <cell r="X18">
            <v>15.52724109434004</v>
          </cell>
        </row>
        <row r="19">
          <cell r="X19">
            <v>15.737220924120816</v>
          </cell>
        </row>
        <row r="20">
          <cell r="X20">
            <v>14.854324069246442</v>
          </cell>
        </row>
        <row r="21">
          <cell r="X21">
            <v>14.885498199628197</v>
          </cell>
        </row>
        <row r="22">
          <cell r="X22">
            <v>15.508451110600406</v>
          </cell>
        </row>
        <row r="23">
          <cell r="X23">
            <v>14.718640707357192</v>
          </cell>
        </row>
        <row r="24">
          <cell r="X24">
            <v>15.325191370592483</v>
          </cell>
        </row>
        <row r="25">
          <cell r="X25">
            <v>14.327760737924184</v>
          </cell>
        </row>
        <row r="26">
          <cell r="X26">
            <v>14.127928543635091</v>
          </cell>
        </row>
        <row r="27">
          <cell r="X27">
            <v>14.517253109330611</v>
          </cell>
        </row>
        <row r="28">
          <cell r="X28">
            <v>15.70735066002389</v>
          </cell>
        </row>
        <row r="29">
          <cell r="X29">
            <v>15.420180784189672</v>
          </cell>
        </row>
        <row r="30">
          <cell r="X30">
            <v>16.000098249268095</v>
          </cell>
        </row>
        <row r="31">
          <cell r="X31">
            <v>16.207947510276522</v>
          </cell>
        </row>
        <row r="32">
          <cell r="X32">
            <v>14.909937874349117</v>
          </cell>
        </row>
        <row r="33">
          <cell r="X33">
            <v>15.519865004548885</v>
          </cell>
        </row>
      </sheetData>
      <sheetData sheetId="11"/>
      <sheetData sheetId="12">
        <row r="10">
          <cell r="X10">
            <v>16.227294223309393</v>
          </cell>
        </row>
        <row r="11">
          <cell r="X11">
            <v>15.702637969533775</v>
          </cell>
        </row>
        <row r="12">
          <cell r="X12">
            <v>14.777487376592328</v>
          </cell>
        </row>
        <row r="13">
          <cell r="X13">
            <v>14.085177348878009</v>
          </cell>
        </row>
        <row r="14">
          <cell r="X14">
            <v>13.463909576370771</v>
          </cell>
        </row>
        <row r="15">
          <cell r="X15">
            <v>13.138215993000342</v>
          </cell>
        </row>
        <row r="16">
          <cell r="X16">
            <v>13.019031192195294</v>
          </cell>
        </row>
        <row r="17">
          <cell r="X17">
            <v>13.287777408202444</v>
          </cell>
        </row>
        <row r="18">
          <cell r="X18">
            <v>13.466115623864088</v>
          </cell>
        </row>
        <row r="19">
          <cell r="X19">
            <v>13.541762707318163</v>
          </cell>
        </row>
        <row r="20">
          <cell r="X20">
            <v>13.430767296658294</v>
          </cell>
        </row>
        <row r="21">
          <cell r="X21">
            <v>13.822379318751713</v>
          </cell>
        </row>
        <row r="22">
          <cell r="X22">
            <v>14.950821459224974</v>
          </cell>
        </row>
        <row r="23">
          <cell r="X23">
            <v>14.180949824691636</v>
          </cell>
        </row>
        <row r="24">
          <cell r="X24">
            <v>13.221820904999422</v>
          </cell>
        </row>
        <row r="25">
          <cell r="X25">
            <v>13.977145047333993</v>
          </cell>
        </row>
        <row r="26">
          <cell r="X26">
            <v>14.146477800039305</v>
          </cell>
        </row>
        <row r="27">
          <cell r="X27">
            <v>13.616528932521224</v>
          </cell>
        </row>
        <row r="28">
          <cell r="X28">
            <v>13.255374520462528</v>
          </cell>
        </row>
        <row r="29">
          <cell r="X29">
            <v>15.526083066180353</v>
          </cell>
        </row>
        <row r="30">
          <cell r="X30">
            <v>15.043019785675419</v>
          </cell>
        </row>
        <row r="31">
          <cell r="X31">
            <v>15.26986296630446</v>
          </cell>
        </row>
        <row r="32">
          <cell r="X32">
            <v>14.389371728877858</v>
          </cell>
        </row>
        <row r="33">
          <cell r="X33">
            <v>15.20658683878144</v>
          </cell>
        </row>
      </sheetData>
      <sheetData sheetId="13"/>
      <sheetData sheetId="14">
        <row r="10">
          <cell r="X10">
            <v>13.92281799640757</v>
          </cell>
        </row>
        <row r="11">
          <cell r="X11">
            <v>13.77193067017696</v>
          </cell>
        </row>
        <row r="12">
          <cell r="X12">
            <v>13.917308513778682</v>
          </cell>
        </row>
        <row r="13">
          <cell r="X13">
            <v>14.16497584258765</v>
          </cell>
        </row>
        <row r="14">
          <cell r="X14">
            <v>14.062143987576498</v>
          </cell>
        </row>
        <row r="15">
          <cell r="X15">
            <v>14.182099788004372</v>
          </cell>
        </row>
        <row r="16">
          <cell r="X16">
            <v>13.749360721794615</v>
          </cell>
        </row>
        <row r="17">
          <cell r="X17">
            <v>13.559349449123108</v>
          </cell>
        </row>
        <row r="18">
          <cell r="X18">
            <v>13.644257747428982</v>
          </cell>
        </row>
        <row r="19">
          <cell r="X19">
            <v>13.616363841643327</v>
          </cell>
        </row>
        <row r="20">
          <cell r="X20">
            <v>13.704681409008412</v>
          </cell>
        </row>
        <row r="21">
          <cell r="X21">
            <v>13.828951153777204</v>
          </cell>
        </row>
        <row r="22">
          <cell r="X22">
            <v>14.042758111129121</v>
          </cell>
        </row>
        <row r="23">
          <cell r="X23">
            <v>13.823083032268293</v>
          </cell>
        </row>
        <row r="24">
          <cell r="X24">
            <v>13.183115184058941</v>
          </cell>
        </row>
        <row r="25">
          <cell r="X25">
            <v>13.801021604280955</v>
          </cell>
        </row>
        <row r="26">
          <cell r="X26">
            <v>13.36060926053263</v>
          </cell>
        </row>
        <row r="27">
          <cell r="X27">
            <v>15.960276354624744</v>
          </cell>
        </row>
        <row r="28">
          <cell r="X28">
            <v>14.766127904165579</v>
          </cell>
        </row>
        <row r="29">
          <cell r="X29">
            <v>12.89547105259874</v>
          </cell>
        </row>
        <row r="30">
          <cell r="X30">
            <v>13.953272784829601</v>
          </cell>
        </row>
        <row r="31">
          <cell r="X31">
            <v>14.400527856515938</v>
          </cell>
        </row>
        <row r="32">
          <cell r="X32">
            <v>14.303728137676993</v>
          </cell>
        </row>
        <row r="33">
          <cell r="X33">
            <v>14.678724624645648</v>
          </cell>
        </row>
      </sheetData>
      <sheetData sheetId="15"/>
      <sheetData sheetId="16">
        <row r="10">
          <cell r="X10">
            <v>14.075799195593024</v>
          </cell>
        </row>
        <row r="11">
          <cell r="X11">
            <v>13.794082370161126</v>
          </cell>
        </row>
        <row r="12">
          <cell r="X12">
            <v>13.115292006071492</v>
          </cell>
        </row>
        <row r="13">
          <cell r="X13">
            <v>13.167096172297756</v>
          </cell>
        </row>
        <row r="14">
          <cell r="X14">
            <v>12.384145046669149</v>
          </cell>
        </row>
        <row r="15">
          <cell r="X15">
            <v>13.034854260880627</v>
          </cell>
        </row>
        <row r="16">
          <cell r="X16">
            <v>12.777436497711605</v>
          </cell>
        </row>
        <row r="17">
          <cell r="X17">
            <v>11.72279007268058</v>
          </cell>
        </row>
        <row r="18">
          <cell r="X18">
            <v>12.192234768908691</v>
          </cell>
        </row>
        <row r="19">
          <cell r="X19">
            <v>13.410733711749799</v>
          </cell>
        </row>
        <row r="20">
          <cell r="X20">
            <v>13.772391093805197</v>
          </cell>
        </row>
        <row r="21">
          <cell r="X21">
            <v>13.197225126580527</v>
          </cell>
        </row>
        <row r="22">
          <cell r="X22">
            <v>12.980231898288313</v>
          </cell>
        </row>
        <row r="23">
          <cell r="X23">
            <v>14.031299979019035</v>
          </cell>
        </row>
        <row r="24">
          <cell r="X24">
            <v>13.311239541404374</v>
          </cell>
        </row>
        <row r="25">
          <cell r="X25">
            <v>13.188248728564952</v>
          </cell>
        </row>
        <row r="26">
          <cell r="X26">
            <v>13.641667799152646</v>
          </cell>
        </row>
        <row r="27">
          <cell r="X27">
            <v>14.190655219328645</v>
          </cell>
        </row>
        <row r="28">
          <cell r="X28">
            <v>14.37567930637351</v>
          </cell>
        </row>
        <row r="29">
          <cell r="X29">
            <v>14.899100843463362</v>
          </cell>
        </row>
        <row r="30">
          <cell r="X30">
            <v>12.899530627451426</v>
          </cell>
        </row>
        <row r="31">
          <cell r="X31">
            <v>12.875807213794912</v>
          </cell>
        </row>
        <row r="32">
          <cell r="X32">
            <v>13.719338956292489</v>
          </cell>
        </row>
        <row r="33">
          <cell r="X33">
            <v>13.842541616333486</v>
          </cell>
        </row>
      </sheetData>
      <sheetData sheetId="17"/>
      <sheetData sheetId="18">
        <row r="10">
          <cell r="X10">
            <v>13.602331068356635</v>
          </cell>
        </row>
        <row r="11">
          <cell r="X11">
            <v>13.088697676653549</v>
          </cell>
        </row>
        <row r="12">
          <cell r="X12">
            <v>12.931905640959414</v>
          </cell>
        </row>
        <row r="13">
          <cell r="X13">
            <v>12.727143136250456</v>
          </cell>
        </row>
        <row r="14">
          <cell r="X14">
            <v>12.997407737979646</v>
          </cell>
        </row>
        <row r="15">
          <cell r="X15">
            <v>12.85584929692738</v>
          </cell>
        </row>
        <row r="16">
          <cell r="X16">
            <v>13.684868451659217</v>
          </cell>
        </row>
        <row r="17">
          <cell r="X17">
            <v>13.819990992831459</v>
          </cell>
        </row>
        <row r="18">
          <cell r="X18">
            <v>11.805476949053331</v>
          </cell>
        </row>
        <row r="19">
          <cell r="X19">
            <v>11.907112933049856</v>
          </cell>
        </row>
        <row r="20">
          <cell r="X20">
            <v>13.21998611441103</v>
          </cell>
        </row>
        <row r="21">
          <cell r="X21">
            <v>13.503432790744998</v>
          </cell>
        </row>
        <row r="22">
          <cell r="X22">
            <v>12.93120734410992</v>
          </cell>
        </row>
        <row r="23">
          <cell r="X23">
            <v>12.671172244027973</v>
          </cell>
        </row>
        <row r="24">
          <cell r="X24">
            <v>14.299263835551622</v>
          </cell>
        </row>
        <row r="25">
          <cell r="X25">
            <v>16.113446021496777</v>
          </cell>
        </row>
        <row r="26">
          <cell r="X26">
            <v>14.262207803010995</v>
          </cell>
        </row>
        <row r="27">
          <cell r="X27">
            <v>14.011453294537654</v>
          </cell>
        </row>
        <row r="28">
          <cell r="X28">
            <v>14.60352488753059</v>
          </cell>
        </row>
        <row r="29">
          <cell r="X29">
            <v>15.067676567243961</v>
          </cell>
        </row>
        <row r="30">
          <cell r="X30">
            <v>14.627243743739694</v>
          </cell>
        </row>
        <row r="31">
          <cell r="X31">
            <v>14.860833289869339</v>
          </cell>
        </row>
        <row r="32">
          <cell r="X32">
            <v>14.913645380580521</v>
          </cell>
        </row>
        <row r="33">
          <cell r="X33">
            <v>14.567198395960153</v>
          </cell>
        </row>
      </sheetData>
      <sheetData sheetId="19"/>
      <sheetData sheetId="20">
        <row r="10">
          <cell r="X10">
            <v>14.499132566239462</v>
          </cell>
        </row>
        <row r="11">
          <cell r="X11">
            <v>14.318029223832166</v>
          </cell>
        </row>
        <row r="12">
          <cell r="X12">
            <v>14.412503946486559</v>
          </cell>
        </row>
        <row r="13">
          <cell r="X13">
            <v>14.474777912422462</v>
          </cell>
        </row>
        <row r="14">
          <cell r="X14">
            <v>14.660007709145248</v>
          </cell>
        </row>
        <row r="15">
          <cell r="X15">
            <v>14.750205665730016</v>
          </cell>
        </row>
        <row r="16">
          <cell r="X16">
            <v>15.324223954194123</v>
          </cell>
        </row>
        <row r="17">
          <cell r="X17">
            <v>16.496906951447368</v>
          </cell>
        </row>
        <row r="18">
          <cell r="X18">
            <v>15.933591761506642</v>
          </cell>
        </row>
        <row r="19">
          <cell r="X19">
            <v>14.549343898847493</v>
          </cell>
        </row>
        <row r="20">
          <cell r="X20">
            <v>13.423200380758271</v>
          </cell>
        </row>
        <row r="21">
          <cell r="X21">
            <v>13.083446027979306</v>
          </cell>
        </row>
        <row r="22">
          <cell r="X22">
            <v>14.44476780498325</v>
          </cell>
        </row>
        <row r="23">
          <cell r="X23">
            <v>14.935100587643598</v>
          </cell>
        </row>
        <row r="24">
          <cell r="X24">
            <v>15.760023212586912</v>
          </cell>
        </row>
        <row r="25">
          <cell r="X25">
            <v>15.290200122871058</v>
          </cell>
        </row>
        <row r="26">
          <cell r="X26">
            <v>15.388418852948091</v>
          </cell>
        </row>
        <row r="27">
          <cell r="X27">
            <v>15.771240670386353</v>
          </cell>
        </row>
        <row r="28">
          <cell r="X28">
            <v>15.549391344422549</v>
          </cell>
        </row>
        <row r="29">
          <cell r="X29">
            <v>15.878380066421457</v>
          </cell>
        </row>
        <row r="30">
          <cell r="X30">
            <v>15.911276470993542</v>
          </cell>
        </row>
        <row r="31">
          <cell r="X31">
            <v>15.813580030218349</v>
          </cell>
        </row>
        <row r="32">
          <cell r="X32">
            <v>15.432020817164231</v>
          </cell>
        </row>
        <row r="33">
          <cell r="X33">
            <v>15.567967960075364</v>
          </cell>
        </row>
      </sheetData>
      <sheetData sheetId="21"/>
      <sheetData sheetId="22">
        <row r="10">
          <cell r="X10">
            <v>15.525215390244293</v>
          </cell>
        </row>
        <row r="11">
          <cell r="X11">
            <v>15.627437208600636</v>
          </cell>
        </row>
        <row r="12">
          <cell r="X12">
            <v>15.374449224254626</v>
          </cell>
        </row>
        <row r="13">
          <cell r="X13">
            <v>15.611092326063305</v>
          </cell>
        </row>
        <row r="14">
          <cell r="X14">
            <v>15.519172849660654</v>
          </cell>
        </row>
        <row r="15">
          <cell r="X15">
            <v>15.035645592167283</v>
          </cell>
        </row>
        <row r="16">
          <cell r="X16">
            <v>15.82024007846713</v>
          </cell>
        </row>
        <row r="17">
          <cell r="X17">
            <v>15.977348972316816</v>
          </cell>
        </row>
        <row r="18">
          <cell r="X18">
            <v>15.82132867669165</v>
          </cell>
        </row>
        <row r="19">
          <cell r="X19">
            <v>15.712592877164077</v>
          </cell>
        </row>
        <row r="20">
          <cell r="X20">
            <v>14.999242758145677</v>
          </cell>
        </row>
        <row r="21">
          <cell r="X21">
            <v>15.853425123044214</v>
          </cell>
        </row>
        <row r="22">
          <cell r="X22">
            <v>17.60118000575924</v>
          </cell>
        </row>
        <row r="23">
          <cell r="X23">
            <v>14.906394232994367</v>
          </cell>
        </row>
        <row r="24">
          <cell r="X24">
            <v>15.567427040191923</v>
          </cell>
        </row>
        <row r="25">
          <cell r="X25">
            <v>15.843626859924854</v>
          </cell>
        </row>
        <row r="26">
          <cell r="X26">
            <v>16.512482344160546</v>
          </cell>
        </row>
        <row r="27">
          <cell r="X27">
            <v>16.761147083056976</v>
          </cell>
        </row>
        <row r="28">
          <cell r="X28">
            <v>16.186620208424166</v>
          </cell>
        </row>
        <row r="29">
          <cell r="X29">
            <v>14.586959221647055</v>
          </cell>
        </row>
        <row r="30">
          <cell r="X30">
            <v>14.721886970521473</v>
          </cell>
        </row>
        <row r="31">
          <cell r="X31">
            <v>14.858341719632016</v>
          </cell>
        </row>
        <row r="32">
          <cell r="X32">
            <v>14.669384944722271</v>
          </cell>
        </row>
        <row r="33">
          <cell r="X33">
            <v>14.526960044925856</v>
          </cell>
        </row>
      </sheetData>
      <sheetData sheetId="23"/>
      <sheetData sheetId="24">
        <row r="10">
          <cell r="X10">
            <v>14.69979267117299</v>
          </cell>
        </row>
        <row r="11">
          <cell r="X11">
            <v>14.808081978051499</v>
          </cell>
        </row>
        <row r="12">
          <cell r="X12">
            <v>14.630678998590836</v>
          </cell>
        </row>
        <row r="13">
          <cell r="X13">
            <v>14.604936825174327</v>
          </cell>
        </row>
        <row r="14">
          <cell r="X14">
            <v>14.885628702993987</v>
          </cell>
        </row>
        <row r="15">
          <cell r="X15">
            <v>15.103109484620379</v>
          </cell>
        </row>
        <row r="16">
          <cell r="X16">
            <v>15.114663786095937</v>
          </cell>
        </row>
        <row r="17">
          <cell r="X17">
            <v>15.17259250999801</v>
          </cell>
        </row>
        <row r="18">
          <cell r="X18">
            <v>14.994899590009467</v>
          </cell>
        </row>
        <row r="19">
          <cell r="X19">
            <v>15.491580439368764</v>
          </cell>
        </row>
        <row r="20">
          <cell r="X20">
            <v>15.287274478995361</v>
          </cell>
        </row>
        <row r="21">
          <cell r="X21">
            <v>14.688553065087437</v>
          </cell>
        </row>
        <row r="22">
          <cell r="X22">
            <v>14.075308377101594</v>
          </cell>
        </row>
        <row r="23">
          <cell r="X23">
            <v>15.718518991253015</v>
          </cell>
        </row>
        <row r="24">
          <cell r="X24">
            <v>16.282104492283178</v>
          </cell>
        </row>
        <row r="25">
          <cell r="X25">
            <v>16.149881081346305</v>
          </cell>
        </row>
        <row r="26">
          <cell r="X26">
            <v>15.820675451761966</v>
          </cell>
        </row>
        <row r="27">
          <cell r="X27">
            <v>15.760330932287697</v>
          </cell>
        </row>
        <row r="28">
          <cell r="X28">
            <v>15.711214437118068</v>
          </cell>
        </row>
        <row r="29">
          <cell r="X29">
            <v>15.886150115121229</v>
          </cell>
        </row>
        <row r="30">
          <cell r="X30">
            <v>15.67705864386172</v>
          </cell>
        </row>
        <row r="31">
          <cell r="X31">
            <v>15.672472506228296</v>
          </cell>
        </row>
        <row r="32">
          <cell r="X32">
            <v>15.38162930496723</v>
          </cell>
        </row>
        <row r="33">
          <cell r="X33">
            <v>14.860584095754215</v>
          </cell>
        </row>
      </sheetData>
      <sheetData sheetId="25"/>
      <sheetData sheetId="26">
        <row r="10">
          <cell r="X10">
            <v>14.905083297446028</v>
          </cell>
        </row>
        <row r="11">
          <cell r="X11">
            <v>15.259499123334564</v>
          </cell>
        </row>
        <row r="12">
          <cell r="X12">
            <v>15.261705269339396</v>
          </cell>
        </row>
        <row r="13">
          <cell r="X13">
            <v>15.460103800520628</v>
          </cell>
        </row>
        <row r="14">
          <cell r="X14">
            <v>15.370641562074152</v>
          </cell>
        </row>
        <row r="15">
          <cell r="X15">
            <v>15.460089381269865</v>
          </cell>
        </row>
        <row r="16">
          <cell r="X16">
            <v>15.593831674561111</v>
          </cell>
        </row>
        <row r="17">
          <cell r="X17">
            <v>15.47084262123488</v>
          </cell>
        </row>
        <row r="18">
          <cell r="X18">
            <v>15.775926871052363</v>
          </cell>
        </row>
        <row r="19">
          <cell r="X19">
            <v>15.279314480591252</v>
          </cell>
        </row>
        <row r="20">
          <cell r="X20">
            <v>14.640080177955479</v>
          </cell>
        </row>
        <row r="21">
          <cell r="X21">
            <v>15.076107688911007</v>
          </cell>
        </row>
        <row r="22">
          <cell r="X22">
            <v>15.195840191953833</v>
          </cell>
        </row>
        <row r="23">
          <cell r="X23">
            <v>16.234378614018034</v>
          </cell>
        </row>
        <row r="24">
          <cell r="X24">
            <v>16.174827301822646</v>
          </cell>
        </row>
        <row r="25">
          <cell r="X25">
            <v>15.771240670386353</v>
          </cell>
        </row>
        <row r="26">
          <cell r="X26">
            <v>15.570975011791438</v>
          </cell>
        </row>
        <row r="27">
          <cell r="X27">
            <v>15.326504906521867</v>
          </cell>
        </row>
        <row r="28">
          <cell r="X28">
            <v>15.408262201986329</v>
          </cell>
        </row>
        <row r="29">
          <cell r="X29">
            <v>15.443087061759844</v>
          </cell>
        </row>
        <row r="30">
          <cell r="X30">
            <v>15.431244776916254</v>
          </cell>
        </row>
        <row r="31">
          <cell r="X31">
            <v>15.273344905198384</v>
          </cell>
        </row>
        <row r="32">
          <cell r="X32">
            <v>15.122107612972522</v>
          </cell>
        </row>
        <row r="33">
          <cell r="X33">
            <v>15.040088578177139</v>
          </cell>
        </row>
      </sheetData>
      <sheetData sheetId="27"/>
      <sheetData sheetId="28">
        <row r="10">
          <cell r="X10">
            <v>15.270090941220724</v>
          </cell>
        </row>
        <row r="11">
          <cell r="X11">
            <v>15.37383998854207</v>
          </cell>
        </row>
        <row r="12">
          <cell r="X12">
            <v>15.570362766999523</v>
          </cell>
        </row>
        <row r="13">
          <cell r="X13">
            <v>15.769124709759542</v>
          </cell>
        </row>
        <row r="14">
          <cell r="X14">
            <v>15.965515438353767</v>
          </cell>
        </row>
        <row r="15">
          <cell r="X15">
            <v>15.888847040674221</v>
          </cell>
        </row>
        <row r="16">
          <cell r="X16">
            <v>15.662775983043581</v>
          </cell>
        </row>
        <row r="17">
          <cell r="X17">
            <v>15.427093017778175</v>
          </cell>
        </row>
        <row r="18">
          <cell r="X18">
            <v>14.881331211616116</v>
          </cell>
        </row>
        <row r="19">
          <cell r="X19">
            <v>14.883489256619624</v>
          </cell>
        </row>
        <row r="20">
          <cell r="X20">
            <v>14.951333687809939</v>
          </cell>
        </row>
        <row r="21">
          <cell r="X21">
            <v>14.778640422169829</v>
          </cell>
        </row>
        <row r="22">
          <cell r="X22">
            <v>14.858779944234007</v>
          </cell>
        </row>
        <row r="23">
          <cell r="X23">
            <v>15.877549842087275</v>
          </cell>
        </row>
        <row r="24">
          <cell r="X24">
            <v>16.861305312517356</v>
          </cell>
        </row>
        <row r="25">
          <cell r="X25">
            <v>16.855732203505294</v>
          </cell>
        </row>
        <row r="26">
          <cell r="X26">
            <v>16.10220146155509</v>
          </cell>
        </row>
        <row r="27">
          <cell r="X27">
            <v>15.737935048431357</v>
          </cell>
        </row>
        <row r="28">
          <cell r="X28">
            <v>15.938600312705136</v>
          </cell>
        </row>
        <row r="29">
          <cell r="X29">
            <v>16.278595408252286</v>
          </cell>
        </row>
        <row r="30">
          <cell r="X30">
            <v>16.164785822538875</v>
          </cell>
        </row>
        <row r="31">
          <cell r="X31">
            <v>16.018616996303262</v>
          </cell>
        </row>
        <row r="32">
          <cell r="X32">
            <v>16.095711734054774</v>
          </cell>
        </row>
        <row r="33">
          <cell r="X33">
            <v>16.053509817494401</v>
          </cell>
        </row>
      </sheetData>
      <sheetData sheetId="29"/>
      <sheetData sheetId="30">
        <row r="10">
          <cell r="X10">
            <v>15.738935862083023</v>
          </cell>
        </row>
        <row r="11">
          <cell r="X11">
            <v>15.648015809133955</v>
          </cell>
        </row>
        <row r="12">
          <cell r="X12">
            <v>15.365009738272443</v>
          </cell>
        </row>
        <row r="13">
          <cell r="X13">
            <v>15.08652897298165</v>
          </cell>
        </row>
        <row r="14">
          <cell r="X14">
            <v>15.339879012570373</v>
          </cell>
        </row>
        <row r="15">
          <cell r="X15">
            <v>15.333030139807878</v>
          </cell>
        </row>
        <row r="16">
          <cell r="X16">
            <v>15.363578737573864</v>
          </cell>
        </row>
        <row r="17">
          <cell r="X17">
            <v>15.438454732914533</v>
          </cell>
        </row>
        <row r="18">
          <cell r="X18">
            <v>15.808298083395112</v>
          </cell>
        </row>
        <row r="19">
          <cell r="X19">
            <v>16.029162727815319</v>
          </cell>
        </row>
        <row r="20">
          <cell r="X20">
            <v>14.921759067513326</v>
          </cell>
        </row>
        <row r="21">
          <cell r="X21">
            <v>15.286085248076864</v>
          </cell>
        </row>
        <row r="22">
          <cell r="X22">
            <v>14.962157917934581</v>
          </cell>
        </row>
        <row r="23">
          <cell r="X23">
            <v>14.267825072363683</v>
          </cell>
        </row>
        <row r="24">
          <cell r="X24">
            <v>16.229000744331465</v>
          </cell>
        </row>
        <row r="25">
          <cell r="X25">
            <v>16.771408833237423</v>
          </cell>
        </row>
        <row r="26">
          <cell r="X26">
            <v>16.613556549341652</v>
          </cell>
        </row>
        <row r="27">
          <cell r="X27">
            <v>16.925353581440323</v>
          </cell>
        </row>
        <row r="28">
          <cell r="X28">
            <v>16.503524541247366</v>
          </cell>
        </row>
        <row r="29">
          <cell r="X29">
            <v>16.145893400178338</v>
          </cell>
        </row>
        <row r="30">
          <cell r="X30">
            <v>16.059275502765811</v>
          </cell>
        </row>
        <row r="31">
          <cell r="X31">
            <v>15.925377231075501</v>
          </cell>
        </row>
        <row r="32">
          <cell r="X32">
            <v>15.663763063316178</v>
          </cell>
        </row>
        <row r="33">
          <cell r="X33">
            <v>15.415934736628412</v>
          </cell>
        </row>
      </sheetData>
      <sheetData sheetId="31"/>
      <sheetData sheetId="32">
        <row r="10">
          <cell r="X10">
            <v>15.322813575584192</v>
          </cell>
        </row>
        <row r="11">
          <cell r="X11">
            <v>14.888659176512935</v>
          </cell>
        </row>
        <row r="12">
          <cell r="X12">
            <v>14.981804766753283</v>
          </cell>
        </row>
        <row r="13">
          <cell r="X13">
            <v>14.66550013790115</v>
          </cell>
        </row>
        <row r="14">
          <cell r="X14">
            <v>14.665291628986832</v>
          </cell>
        </row>
        <row r="15">
          <cell r="X15">
            <v>14.21122364846852</v>
          </cell>
        </row>
        <row r="16">
          <cell r="X16">
            <v>14.379553473988112</v>
          </cell>
        </row>
        <row r="17">
          <cell r="X17">
            <v>14.714287215368257</v>
          </cell>
        </row>
        <row r="18">
          <cell r="X18">
            <v>14.942073777090828</v>
          </cell>
        </row>
        <row r="19">
          <cell r="X19">
            <v>15.544027733218762</v>
          </cell>
        </row>
        <row r="20">
          <cell r="X20">
            <v>14.873314904236217</v>
          </cell>
        </row>
        <row r="21">
          <cell r="X21">
            <v>14.734912365871157</v>
          </cell>
        </row>
        <row r="22">
          <cell r="X22">
            <v>16.246546591185705</v>
          </cell>
        </row>
        <row r="23">
          <cell r="X23">
            <v>15.429385313416669</v>
          </cell>
        </row>
        <row r="24">
          <cell r="X24">
            <v>15.489895881399667</v>
          </cell>
        </row>
        <row r="25">
          <cell r="X25">
            <v>14.991608189246216</v>
          </cell>
        </row>
        <row r="26">
          <cell r="X26">
            <v>14.485220850747906</v>
          </cell>
        </row>
        <row r="27">
          <cell r="X27">
            <v>14.222962457897186</v>
          </cell>
        </row>
        <row r="28">
          <cell r="X28">
            <v>14.427146880708952</v>
          </cell>
        </row>
        <row r="29">
          <cell r="X29">
            <v>13.94963113446444</v>
          </cell>
        </row>
        <row r="30">
          <cell r="X30">
            <v>14.106856860635169</v>
          </cell>
        </row>
        <row r="31">
          <cell r="X31">
            <v>14.176888087890498</v>
          </cell>
        </row>
        <row r="32">
          <cell r="X32">
            <v>13.632833287767991</v>
          </cell>
        </row>
        <row r="33">
          <cell r="X33">
            <v>13.75503925391042</v>
          </cell>
        </row>
      </sheetData>
      <sheetData sheetId="33"/>
      <sheetData sheetId="34">
        <row r="10">
          <cell r="X10">
            <v>13.687356780937602</v>
          </cell>
        </row>
        <row r="11">
          <cell r="X11">
            <v>13.668554675951126</v>
          </cell>
        </row>
        <row r="12">
          <cell r="X12">
            <v>13.844039704734692</v>
          </cell>
        </row>
        <row r="13">
          <cell r="X13">
            <v>14.044473738835368</v>
          </cell>
        </row>
        <row r="14">
          <cell r="X14">
            <v>14.309290414570972</v>
          </cell>
        </row>
        <row r="15">
          <cell r="X15">
            <v>13.975851850239305</v>
          </cell>
        </row>
        <row r="16">
          <cell r="X16">
            <v>14.172546055025956</v>
          </cell>
        </row>
        <row r="17">
          <cell r="X17">
            <v>13.70842608901552</v>
          </cell>
        </row>
        <row r="18">
          <cell r="X18">
            <v>14.12128466194231</v>
          </cell>
        </row>
        <row r="19">
          <cell r="X19">
            <v>13.913006131377239</v>
          </cell>
        </row>
        <row r="20">
          <cell r="X20">
            <v>13.54390739375995</v>
          </cell>
        </row>
        <row r="21">
          <cell r="X21">
            <v>13.403400209437367</v>
          </cell>
        </row>
        <row r="22">
          <cell r="X22">
            <v>13.336847826878639</v>
          </cell>
        </row>
        <row r="23">
          <cell r="X23">
            <v>15.526823357704973</v>
          </cell>
        </row>
        <row r="24">
          <cell r="X24">
            <v>15.243451619206079</v>
          </cell>
        </row>
        <row r="25">
          <cell r="X25">
            <v>15.073767964170072</v>
          </cell>
        </row>
        <row r="26">
          <cell r="X26">
            <v>14.767206203407783</v>
          </cell>
        </row>
        <row r="27">
          <cell r="X27">
            <v>14.90238535923811</v>
          </cell>
        </row>
        <row r="28">
          <cell r="X28">
            <v>14.437503641665906</v>
          </cell>
        </row>
        <row r="29">
          <cell r="X29">
            <v>14.226521175191515</v>
          </cell>
        </row>
        <row r="30">
          <cell r="X30">
            <v>13.829307228294915</v>
          </cell>
        </row>
        <row r="31">
          <cell r="X31">
            <v>13.549451425274684</v>
          </cell>
        </row>
        <row r="32">
          <cell r="X32">
            <v>13.537061123445183</v>
          </cell>
        </row>
        <row r="33">
          <cell r="X33">
            <v>13.397554349663146</v>
          </cell>
        </row>
      </sheetData>
      <sheetData sheetId="35"/>
      <sheetData sheetId="36">
        <row r="10">
          <cell r="X10">
            <v>13.222035211131031</v>
          </cell>
        </row>
        <row r="11">
          <cell r="X11">
            <v>13.060261722785109</v>
          </cell>
        </row>
        <row r="12">
          <cell r="X12">
            <v>12.455951103450086</v>
          </cell>
        </row>
        <row r="13">
          <cell r="X13">
            <v>12.161891721142037</v>
          </cell>
        </row>
        <row r="14">
          <cell r="X14">
            <v>11.659640991198382</v>
          </cell>
        </row>
        <row r="15">
          <cell r="X15">
            <v>12.064334905021017</v>
          </cell>
        </row>
        <row r="16">
          <cell r="X16">
            <v>12.590240476629944</v>
          </cell>
        </row>
        <row r="17">
          <cell r="X17">
            <v>12.466218429140691</v>
          </cell>
        </row>
        <row r="18">
          <cell r="X18">
            <v>12.531412189676834</v>
          </cell>
        </row>
        <row r="19">
          <cell r="X19">
            <v>11.890511407132308</v>
          </cell>
        </row>
        <row r="20">
          <cell r="X20">
            <v>11.654115802607937</v>
          </cell>
        </row>
        <row r="21">
          <cell r="X21">
            <v>11.254224191839434</v>
          </cell>
        </row>
        <row r="22">
          <cell r="X22">
            <v>14.144999680598396</v>
          </cell>
        </row>
        <row r="23">
          <cell r="X23">
            <v>14.563575327781598</v>
          </cell>
        </row>
        <row r="24">
          <cell r="X24">
            <v>14.349536248822389</v>
          </cell>
        </row>
        <row r="25">
          <cell r="X25">
            <v>14.331096959321362</v>
          </cell>
        </row>
        <row r="26">
          <cell r="X26">
            <v>14.090408017054948</v>
          </cell>
        </row>
        <row r="27">
          <cell r="X27">
            <v>14.114461646939407</v>
          </cell>
        </row>
        <row r="28">
          <cell r="X28">
            <v>13.813101810819933</v>
          </cell>
        </row>
        <row r="29">
          <cell r="X29">
            <v>13.534137248553296</v>
          </cell>
        </row>
        <row r="30">
          <cell r="X30">
            <v>13.605231858872276</v>
          </cell>
        </row>
        <row r="31">
          <cell r="X31">
            <v>13.370940516841385</v>
          </cell>
        </row>
        <row r="32">
          <cell r="X32">
            <v>13.489305758212977</v>
          </cell>
        </row>
        <row r="33">
          <cell r="X33">
            <v>13.314708891916997</v>
          </cell>
        </row>
      </sheetData>
      <sheetData sheetId="37"/>
      <sheetData sheetId="38">
        <row r="10">
          <cell r="X10">
            <v>13.302244250108336</v>
          </cell>
        </row>
        <row r="11">
          <cell r="X11">
            <v>12.791907345708383</v>
          </cell>
        </row>
        <row r="12">
          <cell r="X12">
            <v>12.506866570664625</v>
          </cell>
        </row>
        <row r="13">
          <cell r="X13">
            <v>12.219321433268901</v>
          </cell>
        </row>
        <row r="14">
          <cell r="X14">
            <v>12.271047989083826</v>
          </cell>
        </row>
        <row r="15">
          <cell r="X15">
            <v>12.47624526712386</v>
          </cell>
        </row>
        <row r="16">
          <cell r="X16">
            <v>13.006532956383145</v>
          </cell>
        </row>
        <row r="17">
          <cell r="X17">
            <v>13.410725856939143</v>
          </cell>
        </row>
        <row r="18">
          <cell r="X18">
            <v>13.382377547661935</v>
          </cell>
        </row>
        <row r="19">
          <cell r="X19">
            <v>13.122340660815489</v>
          </cell>
        </row>
        <row r="20">
          <cell r="X20">
            <v>12.963820608119006</v>
          </cell>
        </row>
        <row r="21">
          <cell r="X21">
            <v>12.651702773805583</v>
          </cell>
        </row>
        <row r="22">
          <cell r="X22">
            <v>12.14188540330642</v>
          </cell>
        </row>
        <row r="23">
          <cell r="X23">
            <v>15.584300808096925</v>
          </cell>
        </row>
        <row r="24">
          <cell r="X24">
            <v>15.284533123053087</v>
          </cell>
        </row>
        <row r="25">
          <cell r="X25">
            <v>15.155402976002053</v>
          </cell>
        </row>
        <row r="26">
          <cell r="X26">
            <v>15.027743376502213</v>
          </cell>
        </row>
        <row r="27">
          <cell r="X27">
            <v>14.930058110734233</v>
          </cell>
        </row>
        <row r="28">
          <cell r="X28">
            <v>14.547525131845534</v>
          </cell>
        </row>
        <row r="29">
          <cell r="X29">
            <v>14.484483470395087</v>
          </cell>
        </row>
        <row r="30">
          <cell r="X30">
            <v>14.433146171575082</v>
          </cell>
        </row>
        <row r="31">
          <cell r="X31">
            <v>13.789201680828018</v>
          </cell>
        </row>
        <row r="32">
          <cell r="X32">
            <v>13.831226210745639</v>
          </cell>
        </row>
        <row r="33">
          <cell r="X33">
            <v>13.607057522672219</v>
          </cell>
        </row>
      </sheetData>
      <sheetData sheetId="39"/>
      <sheetData sheetId="40">
        <row r="10">
          <cell r="X10">
            <v>13.639592031403883</v>
          </cell>
        </row>
        <row r="11">
          <cell r="X11">
            <v>13.52804488028451</v>
          </cell>
        </row>
        <row r="12">
          <cell r="X12">
            <v>13.722527099712167</v>
          </cell>
        </row>
        <row r="13">
          <cell r="X13">
            <v>13.31220979724335</v>
          </cell>
        </row>
        <row r="14">
          <cell r="X14">
            <v>13.479270268635247</v>
          </cell>
        </row>
        <row r="15">
          <cell r="X15">
            <v>14.374092534988758</v>
          </cell>
        </row>
        <row r="16">
          <cell r="X16">
            <v>14.328604033079568</v>
          </cell>
        </row>
        <row r="17">
          <cell r="X17">
            <v>14.294608340661291</v>
          </cell>
        </row>
        <row r="18">
          <cell r="X18">
            <v>14.290023260538378</v>
          </cell>
        </row>
        <row r="19">
          <cell r="X19">
            <v>14.284618698077406</v>
          </cell>
        </row>
        <row r="20">
          <cell r="X20">
            <v>14.277813744890274</v>
          </cell>
        </row>
        <row r="21">
          <cell r="X21">
            <v>13.535234474701813</v>
          </cell>
        </row>
        <row r="22">
          <cell r="X22">
            <v>13.312079366263427</v>
          </cell>
        </row>
        <row r="23">
          <cell r="X23">
            <v>13.28238815137342</v>
          </cell>
        </row>
        <row r="24">
          <cell r="X24">
            <v>16.339625396245967</v>
          </cell>
        </row>
        <row r="25">
          <cell r="X25">
            <v>16.403875333183368</v>
          </cell>
        </row>
        <row r="26">
          <cell r="X26">
            <v>15.99220196369415</v>
          </cell>
        </row>
        <row r="27">
          <cell r="X27">
            <v>15.758103900253918</v>
          </cell>
        </row>
        <row r="28">
          <cell r="X28">
            <v>15.633140786721153</v>
          </cell>
        </row>
        <row r="29">
          <cell r="X29">
            <v>15.279897663585075</v>
          </cell>
        </row>
        <row r="30">
          <cell r="X30">
            <v>14.9708734511296</v>
          </cell>
        </row>
        <row r="31">
          <cell r="X31">
            <v>15.063807940720187</v>
          </cell>
        </row>
        <row r="32">
          <cell r="X32">
            <v>14.730167848695874</v>
          </cell>
        </row>
        <row r="33">
          <cell r="X33">
            <v>14.348170927437778</v>
          </cell>
        </row>
      </sheetData>
      <sheetData sheetId="41"/>
      <sheetData sheetId="42">
        <row r="10">
          <cell r="X10">
            <v>14.155044488325709</v>
          </cell>
        </row>
        <row r="11">
          <cell r="X11">
            <v>14.110517158193716</v>
          </cell>
        </row>
        <row r="12">
          <cell r="X12">
            <v>14.093391107191602</v>
          </cell>
        </row>
        <row r="13">
          <cell r="X13">
            <v>14.546794080856058</v>
          </cell>
        </row>
        <row r="14">
          <cell r="X14">
            <v>15.10500580430322</v>
          </cell>
        </row>
        <row r="15">
          <cell r="X15">
            <v>14.976979478838325</v>
          </cell>
        </row>
        <row r="16">
          <cell r="X16">
            <v>15.688797919508197</v>
          </cell>
        </row>
        <row r="17">
          <cell r="X17">
            <v>16.531312005141885</v>
          </cell>
        </row>
        <row r="18">
          <cell r="X18">
            <v>15.408059122931579</v>
          </cell>
        </row>
        <row r="19">
          <cell r="X19">
            <v>15.461903414477138</v>
          </cell>
        </row>
        <row r="20">
          <cell r="X20">
            <v>13.659659039280248</v>
          </cell>
        </row>
        <row r="21">
          <cell r="X21">
            <v>12.492911686836223</v>
          </cell>
        </row>
        <row r="22">
          <cell r="X22">
            <v>12.096367337540022</v>
          </cell>
        </row>
        <row r="23">
          <cell r="X23">
            <v>11.823235845906744</v>
          </cell>
        </row>
        <row r="24">
          <cell r="X24">
            <v>12.723462144181052</v>
          </cell>
        </row>
        <row r="25">
          <cell r="X25">
            <v>14.556836253888976</v>
          </cell>
        </row>
        <row r="26">
          <cell r="X26">
            <v>16.772305096754994</v>
          </cell>
        </row>
        <row r="27">
          <cell r="X27">
            <v>14.77876476205746</v>
          </cell>
        </row>
        <row r="28">
          <cell r="X28">
            <v>13.783988249167583</v>
          </cell>
        </row>
        <row r="29">
          <cell r="X29">
            <v>13.307201637418764</v>
          </cell>
        </row>
        <row r="30">
          <cell r="X30">
            <v>14.161598418877579</v>
          </cell>
        </row>
        <row r="31">
          <cell r="X31">
            <v>14.396515641390316</v>
          </cell>
        </row>
        <row r="32">
          <cell r="X32">
            <v>14.46714671251195</v>
          </cell>
        </row>
        <row r="33">
          <cell r="X33">
            <v>14.374104906791219</v>
          </cell>
        </row>
      </sheetData>
      <sheetData sheetId="43"/>
      <sheetData sheetId="44">
        <row r="10">
          <cell r="X10">
            <v>14.03995290561677</v>
          </cell>
        </row>
        <row r="11">
          <cell r="X11">
            <v>13.742209982242917</v>
          </cell>
        </row>
        <row r="12">
          <cell r="X12">
            <v>13.088251320504158</v>
          </cell>
        </row>
        <row r="13">
          <cell r="X13">
            <v>13.749080675621046</v>
          </cell>
        </row>
        <row r="14">
          <cell r="X14">
            <v>13.959422342409571</v>
          </cell>
        </row>
        <row r="15">
          <cell r="X15">
            <v>13.655224229450511</v>
          </cell>
        </row>
        <row r="16">
          <cell r="X16">
            <v>13.721040406346573</v>
          </cell>
        </row>
        <row r="17">
          <cell r="X17">
            <v>13.991076945732058</v>
          </cell>
        </row>
        <row r="18">
          <cell r="X18">
            <v>13.714517532638528</v>
          </cell>
        </row>
        <row r="19">
          <cell r="X19">
            <v>12.123947048449322</v>
          </cell>
        </row>
        <row r="20">
          <cell r="X20">
            <v>12.946301221634815</v>
          </cell>
        </row>
        <row r="21">
          <cell r="X21">
            <v>13.068138544055238</v>
          </cell>
        </row>
        <row r="22">
          <cell r="X22">
            <v>14.382487906878222</v>
          </cell>
        </row>
        <row r="23">
          <cell r="X23">
            <v>14.752266813731611</v>
          </cell>
        </row>
        <row r="24">
          <cell r="X24">
            <v>14.23764530217052</v>
          </cell>
        </row>
        <row r="25">
          <cell r="X25">
            <v>15.250551589243972</v>
          </cell>
        </row>
        <row r="26">
          <cell r="X26">
            <v>15.58647612942355</v>
          </cell>
        </row>
        <row r="27">
          <cell r="X27">
            <v>14.806759576745787</v>
          </cell>
        </row>
        <row r="28">
          <cell r="X28">
            <v>14.707460637575556</v>
          </cell>
        </row>
        <row r="29">
          <cell r="X29">
            <v>14.357981713363737</v>
          </cell>
        </row>
        <row r="30">
          <cell r="X30">
            <v>14.602613869419992</v>
          </cell>
        </row>
        <row r="31">
          <cell r="X31">
            <v>14.796691362826206</v>
          </cell>
        </row>
        <row r="32">
          <cell r="X32">
            <v>14.6127847572909</v>
          </cell>
        </row>
        <row r="33">
          <cell r="X33">
            <v>14.611285444231616</v>
          </cell>
        </row>
      </sheetData>
      <sheetData sheetId="45"/>
      <sheetData sheetId="46">
        <row r="10">
          <cell r="X10">
            <v>14.673910526729367</v>
          </cell>
        </row>
        <row r="11">
          <cell r="X11">
            <v>14.272178731178666</v>
          </cell>
        </row>
        <row r="12">
          <cell r="X12">
            <v>14.5720197154007</v>
          </cell>
        </row>
        <row r="13">
          <cell r="X13">
            <v>13.887317556433137</v>
          </cell>
        </row>
        <row r="14">
          <cell r="X14">
            <v>13.390923427196856</v>
          </cell>
        </row>
        <row r="15">
          <cell r="X15">
            <v>13.013736673648001</v>
          </cell>
        </row>
        <row r="16">
          <cell r="X16">
            <v>14.036828795477774</v>
          </cell>
        </row>
        <row r="17">
          <cell r="X17">
            <v>14.54425454854764</v>
          </cell>
        </row>
        <row r="18">
          <cell r="X18">
            <v>13.541877845894861</v>
          </cell>
        </row>
        <row r="19">
          <cell r="X19">
            <v>13.003038604881361</v>
          </cell>
        </row>
        <row r="20">
          <cell r="X20">
            <v>12.765635682971773</v>
          </cell>
        </row>
        <row r="21">
          <cell r="X21">
            <v>14.44173212818283</v>
          </cell>
        </row>
        <row r="22">
          <cell r="X22">
            <v>14.040636824496755</v>
          </cell>
        </row>
        <row r="23">
          <cell r="X23">
            <v>14.172413523361818</v>
          </cell>
        </row>
        <row r="24">
          <cell r="X24">
            <v>14.455001899712734</v>
          </cell>
        </row>
        <row r="25">
          <cell r="X25">
            <v>15.253574386188705</v>
          </cell>
        </row>
        <row r="26">
          <cell r="X26">
            <v>14.644084185992485</v>
          </cell>
        </row>
        <row r="27">
          <cell r="X27">
            <v>14.374706821076385</v>
          </cell>
        </row>
        <row r="28">
          <cell r="X28">
            <v>14.813238218838555</v>
          </cell>
        </row>
        <row r="29">
          <cell r="X29">
            <v>13.962588261385637</v>
          </cell>
        </row>
        <row r="30">
          <cell r="X30">
            <v>13.715790744766144</v>
          </cell>
        </row>
        <row r="31">
          <cell r="X31">
            <v>13.516196642822221</v>
          </cell>
        </row>
        <row r="32">
          <cell r="X32">
            <v>13.551229953013804</v>
          </cell>
        </row>
        <row r="33">
          <cell r="X33">
            <v>13.898957473949508</v>
          </cell>
        </row>
      </sheetData>
      <sheetData sheetId="47"/>
      <sheetData sheetId="48">
        <row r="10">
          <cell r="X10">
            <v>13.971750588148655</v>
          </cell>
        </row>
        <row r="11">
          <cell r="X11">
            <v>13.660304187705341</v>
          </cell>
        </row>
        <row r="12">
          <cell r="X12">
            <v>13.70437344962791</v>
          </cell>
        </row>
        <row r="13">
          <cell r="X13">
            <v>13.202266119822644</v>
          </cell>
        </row>
        <row r="14">
          <cell r="X14">
            <v>13.128223578617405</v>
          </cell>
        </row>
        <row r="15">
          <cell r="X15">
            <v>13.660154371553734</v>
          </cell>
        </row>
        <row r="16">
          <cell r="X16">
            <v>13.38105104319434</v>
          </cell>
        </row>
        <row r="17">
          <cell r="X17">
            <v>13.225130173515659</v>
          </cell>
        </row>
        <row r="18">
          <cell r="X18">
            <v>13.424871304904219</v>
          </cell>
        </row>
        <row r="19">
          <cell r="X19">
            <v>12.785883419007146</v>
          </cell>
        </row>
        <row r="20">
          <cell r="X20">
            <v>12.459965820998343</v>
          </cell>
        </row>
        <row r="21">
          <cell r="X21">
            <v>11.365093485293675</v>
          </cell>
        </row>
        <row r="22">
          <cell r="X22">
            <v>13.210170868983477</v>
          </cell>
        </row>
        <row r="23">
          <cell r="X23">
            <v>15.238543734381464</v>
          </cell>
        </row>
        <row r="24">
          <cell r="X24">
            <v>15.615260995596962</v>
          </cell>
        </row>
        <row r="25">
          <cell r="X25">
            <v>15.335423472145518</v>
          </cell>
        </row>
        <row r="26">
          <cell r="X26">
            <v>15.254911743615834</v>
          </cell>
        </row>
        <row r="27">
          <cell r="X27">
            <v>15.168305508365219</v>
          </cell>
        </row>
        <row r="28">
          <cell r="X28">
            <v>14.638835971569085</v>
          </cell>
        </row>
        <row r="29">
          <cell r="X29">
            <v>14.555321862714443</v>
          </cell>
        </row>
        <row r="30">
          <cell r="X30">
            <v>14.484582807484749</v>
          </cell>
        </row>
        <row r="31">
          <cell r="X31">
            <v>14.181453790950322</v>
          </cell>
        </row>
        <row r="32">
          <cell r="X32">
            <v>13.908716246900386</v>
          </cell>
        </row>
        <row r="33">
          <cell r="X33">
            <v>13.460768845855203</v>
          </cell>
        </row>
      </sheetData>
      <sheetData sheetId="49"/>
      <sheetData sheetId="50">
        <row r="10">
          <cell r="X10">
            <v>13.291778439283018</v>
          </cell>
        </row>
        <row r="11">
          <cell r="X11">
            <v>13.292587273481976</v>
          </cell>
        </row>
        <row r="12">
          <cell r="X12">
            <v>13.265059254447793</v>
          </cell>
        </row>
        <row r="13">
          <cell r="X13">
            <v>13.290368560925813</v>
          </cell>
        </row>
        <row r="14">
          <cell r="X14">
            <v>13.369675605216923</v>
          </cell>
        </row>
        <row r="15">
          <cell r="X15">
            <v>13.528710975962731</v>
          </cell>
        </row>
        <row r="16">
          <cell r="X16">
            <v>14.063441776424051</v>
          </cell>
        </row>
        <row r="17">
          <cell r="X17">
            <v>15.142813179606222</v>
          </cell>
        </row>
        <row r="18">
          <cell r="X18">
            <v>14.183814643684007</v>
          </cell>
        </row>
        <row r="19">
          <cell r="X19">
            <v>13.808858835102367</v>
          </cell>
        </row>
        <row r="20">
          <cell r="X20">
            <v>12.893487214738448</v>
          </cell>
        </row>
        <row r="21">
          <cell r="X21">
            <v>13.304375100689812</v>
          </cell>
        </row>
        <row r="22">
          <cell r="X22">
            <v>13.218119989148466</v>
          </cell>
        </row>
        <row r="23">
          <cell r="X23">
            <v>13.163338991972456</v>
          </cell>
        </row>
        <row r="24">
          <cell r="X24">
            <v>12.942046658885371</v>
          </cell>
        </row>
        <row r="25">
          <cell r="X25">
            <v>13.603971796637216</v>
          </cell>
        </row>
        <row r="26">
          <cell r="X26">
            <v>15.479999135970983</v>
          </cell>
        </row>
        <row r="27">
          <cell r="X27">
            <v>14.632660188063468</v>
          </cell>
        </row>
        <row r="28">
          <cell r="X28">
            <v>16.435106792393025</v>
          </cell>
        </row>
        <row r="29">
          <cell r="X29">
            <v>15.665956298606465</v>
          </cell>
        </row>
        <row r="30">
          <cell r="X30">
            <v>14.834572777180805</v>
          </cell>
        </row>
        <row r="31">
          <cell r="X31">
            <v>13.880642886612145</v>
          </cell>
        </row>
        <row r="32">
          <cell r="X32">
            <v>13.896265027198096</v>
          </cell>
        </row>
        <row r="33">
          <cell r="X33">
            <v>13.944134891042863</v>
          </cell>
        </row>
      </sheetData>
      <sheetData sheetId="51"/>
      <sheetData sheetId="52">
        <row r="10">
          <cell r="X10">
            <v>14.004649919339776</v>
          </cell>
        </row>
        <row r="11">
          <cell r="X11">
            <v>13.647035516887064</v>
          </cell>
        </row>
        <row r="12">
          <cell r="X12">
            <v>14.737820877668474</v>
          </cell>
        </row>
        <row r="13">
          <cell r="X13">
            <v>13.523770603108041</v>
          </cell>
        </row>
        <row r="14">
          <cell r="X14">
            <v>13.270359710520895</v>
          </cell>
        </row>
        <row r="15">
          <cell r="X15">
            <v>13.467076314555552</v>
          </cell>
        </row>
        <row r="16">
          <cell r="X16">
            <v>13.878680497066</v>
          </cell>
        </row>
        <row r="17">
          <cell r="X17">
            <v>15.13826001367968</v>
          </cell>
        </row>
        <row r="18">
          <cell r="X18">
            <v>14.413009907888595</v>
          </cell>
        </row>
        <row r="19">
          <cell r="X19">
            <v>14.537003420817264</v>
          </cell>
        </row>
        <row r="20">
          <cell r="X20">
            <v>13.478982422146716</v>
          </cell>
        </row>
        <row r="21">
          <cell r="X21">
            <v>13.651978673697606</v>
          </cell>
        </row>
        <row r="22">
          <cell r="X22">
            <v>14.166058146846032</v>
          </cell>
        </row>
        <row r="23">
          <cell r="X23">
            <v>15.578101938982046</v>
          </cell>
        </row>
        <row r="24">
          <cell r="X24">
            <v>16.326290366205733</v>
          </cell>
        </row>
        <row r="25">
          <cell r="X25">
            <v>16.2289055599961</v>
          </cell>
        </row>
        <row r="26">
          <cell r="X26">
            <v>16.017450034713487</v>
          </cell>
        </row>
        <row r="27">
          <cell r="X27">
            <v>15.958637288265638</v>
          </cell>
        </row>
        <row r="28">
          <cell r="X28">
            <v>16.078797608015584</v>
          </cell>
        </row>
        <row r="29">
          <cell r="X29">
            <v>15.705529022118737</v>
          </cell>
        </row>
        <row r="30">
          <cell r="X30">
            <v>15.659859257369201</v>
          </cell>
        </row>
        <row r="31">
          <cell r="X31">
            <v>15.31389853817371</v>
          </cell>
        </row>
        <row r="32">
          <cell r="X32">
            <v>14.860394094537471</v>
          </cell>
        </row>
        <row r="33">
          <cell r="X33">
            <v>14.95820549853698</v>
          </cell>
        </row>
      </sheetData>
      <sheetData sheetId="53"/>
      <sheetData sheetId="54">
        <row r="10">
          <cell r="X10">
            <v>14.950513809070856</v>
          </cell>
        </row>
        <row r="11">
          <cell r="X11">
            <v>14.769161813391158</v>
          </cell>
        </row>
        <row r="12">
          <cell r="X12">
            <v>15.033528035061027</v>
          </cell>
        </row>
        <row r="13">
          <cell r="X13">
            <v>15.325911848389099</v>
          </cell>
        </row>
        <row r="14">
          <cell r="X14">
            <v>15.515305976275176</v>
          </cell>
        </row>
        <row r="15">
          <cell r="X15">
            <v>14.968785302638409</v>
          </cell>
        </row>
        <row r="16">
          <cell r="X16">
            <v>15.803910167245061</v>
          </cell>
        </row>
        <row r="17">
          <cell r="X17">
            <v>14.582314832278968</v>
          </cell>
        </row>
        <row r="18">
          <cell r="X18">
            <v>15.706465050284343</v>
          </cell>
        </row>
        <row r="19">
          <cell r="X19">
            <v>14.335551031884428</v>
          </cell>
        </row>
        <row r="20">
          <cell r="X20">
            <v>13.713554519238714</v>
          </cell>
        </row>
        <row r="21">
          <cell r="X21">
            <v>13.684249070320281</v>
          </cell>
        </row>
        <row r="22">
          <cell r="X22">
            <v>13.974446538156361</v>
          </cell>
        </row>
        <row r="23">
          <cell r="X23">
            <v>13.146854105985197</v>
          </cell>
        </row>
        <row r="24">
          <cell r="X24">
            <v>13.093134181160888</v>
          </cell>
        </row>
        <row r="25">
          <cell r="X25">
            <v>12.67550053948878</v>
          </cell>
        </row>
        <row r="26">
          <cell r="X26">
            <v>13.164179493629039</v>
          </cell>
        </row>
        <row r="27">
          <cell r="X27">
            <v>12.756923066691492</v>
          </cell>
        </row>
        <row r="28">
          <cell r="X28">
            <v>14.21590222060715</v>
          </cell>
        </row>
        <row r="29">
          <cell r="X29">
            <v>15.389993620744843</v>
          </cell>
        </row>
        <row r="30">
          <cell r="X30">
            <v>15.829756494821472</v>
          </cell>
        </row>
        <row r="31">
          <cell r="X31">
            <v>15.721796241266421</v>
          </cell>
        </row>
        <row r="32">
          <cell r="X32">
            <v>16.182547170066531</v>
          </cell>
        </row>
        <row r="33">
          <cell r="X33">
            <v>15.945972674168587</v>
          </cell>
        </row>
      </sheetData>
      <sheetData sheetId="55"/>
      <sheetData sheetId="56">
        <row r="10">
          <cell r="X10">
            <v>15.684723246980996</v>
          </cell>
        </row>
        <row r="11">
          <cell r="X11">
            <v>15.562296542004184</v>
          </cell>
        </row>
        <row r="12">
          <cell r="X12">
            <v>15.670490058323951</v>
          </cell>
        </row>
        <row r="13">
          <cell r="X13">
            <v>15.573054514372805</v>
          </cell>
        </row>
        <row r="14">
          <cell r="X14">
            <v>15.250865891787008</v>
          </cell>
        </row>
        <row r="15">
          <cell r="X15">
            <v>14.958584496709578</v>
          </cell>
        </row>
        <row r="16">
          <cell r="X16">
            <v>14.740575460417517</v>
          </cell>
        </row>
        <row r="17">
          <cell r="X17">
            <v>15.069862589864389</v>
          </cell>
        </row>
        <row r="18">
          <cell r="X18">
            <v>15.326236298077905</v>
          </cell>
        </row>
        <row r="19">
          <cell r="X19">
            <v>15.085160886297638</v>
          </cell>
        </row>
        <row r="20">
          <cell r="X20">
            <v>13.415778011449326</v>
          </cell>
        </row>
        <row r="21">
          <cell r="X21">
            <v>14.238396899871761</v>
          </cell>
        </row>
        <row r="22">
          <cell r="X22">
            <v>14.370792707848032</v>
          </cell>
        </row>
        <row r="23">
          <cell r="X23">
            <v>14.32326774475948</v>
          </cell>
        </row>
        <row r="24">
          <cell r="X24">
            <v>13.946236051596053</v>
          </cell>
        </row>
        <row r="25">
          <cell r="X25">
            <v>14.184592968445353</v>
          </cell>
        </row>
        <row r="26">
          <cell r="X26">
            <v>14.008568595250914</v>
          </cell>
        </row>
        <row r="27">
          <cell r="X27">
            <v>13.861204760002659</v>
          </cell>
        </row>
        <row r="28">
          <cell r="X28">
            <v>13.613752109999897</v>
          </cell>
        </row>
        <row r="29">
          <cell r="X29">
            <v>13.000821849595166</v>
          </cell>
        </row>
        <row r="30">
          <cell r="X30">
            <v>12.57156182369717</v>
          </cell>
        </row>
        <row r="31">
          <cell r="X31">
            <v>12.652252911595022</v>
          </cell>
        </row>
        <row r="32">
          <cell r="X32">
            <v>12.354123034935622</v>
          </cell>
        </row>
        <row r="33">
          <cell r="X33">
            <v>12.864043141655769</v>
          </cell>
        </row>
      </sheetData>
      <sheetData sheetId="57"/>
      <sheetData sheetId="58">
        <row r="10">
          <cell r="X10">
            <v>13.229337203909324</v>
          </cell>
        </row>
        <row r="11">
          <cell r="X11">
            <v>13.318239013262012</v>
          </cell>
        </row>
        <row r="12">
          <cell r="X12">
            <v>13.61823282003358</v>
          </cell>
        </row>
        <row r="13">
          <cell r="X13">
            <v>12.933138658945532</v>
          </cell>
        </row>
        <row r="14">
          <cell r="X14">
            <v>13.016398846817241</v>
          </cell>
        </row>
        <row r="15">
          <cell r="X15">
            <v>13.025986588395705</v>
          </cell>
        </row>
        <row r="16">
          <cell r="X16">
            <v>13.223647139763715</v>
          </cell>
        </row>
        <row r="17">
          <cell r="X17">
            <v>13.22490236465848</v>
          </cell>
        </row>
        <row r="18">
          <cell r="X18">
            <v>13.228357208545441</v>
          </cell>
        </row>
        <row r="19">
          <cell r="X19">
            <v>13.570162077156432</v>
          </cell>
        </row>
        <row r="20">
          <cell r="X20">
            <v>13.381461585410731</v>
          </cell>
        </row>
        <row r="21">
          <cell r="X21">
            <v>13.734577713525939</v>
          </cell>
        </row>
        <row r="22">
          <cell r="X22">
            <v>13.758690974384672</v>
          </cell>
        </row>
        <row r="23">
          <cell r="X23">
            <v>14.384751381469782</v>
          </cell>
        </row>
        <row r="24">
          <cell r="X24">
            <v>14.777480915515588</v>
          </cell>
        </row>
        <row r="25">
          <cell r="X25">
            <v>14.798001463509447</v>
          </cell>
        </row>
        <row r="26">
          <cell r="X26">
            <v>14.824279739629674</v>
          </cell>
        </row>
        <row r="27">
          <cell r="X27">
            <v>14.56430080205304</v>
          </cell>
        </row>
        <row r="28">
          <cell r="X28">
            <v>14.458422800188742</v>
          </cell>
        </row>
        <row r="29">
          <cell r="X29">
            <v>14.548560444996626</v>
          </cell>
        </row>
        <row r="30">
          <cell r="X30">
            <v>14.206874804464508</v>
          </cell>
        </row>
        <row r="31">
          <cell r="X31">
            <v>14.030696627939269</v>
          </cell>
        </row>
        <row r="32">
          <cell r="X32">
            <v>14.164594101474137</v>
          </cell>
        </row>
        <row r="33">
          <cell r="X33">
            <v>13.80001568753301</v>
          </cell>
        </row>
      </sheetData>
      <sheetData sheetId="59"/>
      <sheetData sheetId="60">
        <row r="10">
          <cell r="X10">
            <v>14.308303528853774</v>
          </cell>
        </row>
        <row r="11">
          <cell r="X11">
            <v>13.873071785304191</v>
          </cell>
        </row>
        <row r="12">
          <cell r="X12">
            <v>14.412353602510315</v>
          </cell>
        </row>
        <row r="13">
          <cell r="X13">
            <v>14.440530777701426</v>
          </cell>
        </row>
        <row r="14">
          <cell r="X14">
            <v>14.280946243733554</v>
          </cell>
        </row>
        <row r="15">
          <cell r="X15">
            <v>14.435892147666024</v>
          </cell>
        </row>
        <row r="16">
          <cell r="X16">
            <v>14.592191333660127</v>
          </cell>
        </row>
        <row r="17">
          <cell r="X17">
            <v>14.996678892201222</v>
          </cell>
        </row>
        <row r="18">
          <cell r="X18">
            <v>15.11948709130565</v>
          </cell>
        </row>
        <row r="19">
          <cell r="X19">
            <v>14.787011371553501</v>
          </cell>
        </row>
        <row r="20">
          <cell r="X20">
            <v>14.530100043651059</v>
          </cell>
        </row>
        <row r="21">
          <cell r="X21">
            <v>13.736501923747777</v>
          </cell>
        </row>
        <row r="22">
          <cell r="X22">
            <v>13.857036700081039</v>
          </cell>
        </row>
        <row r="23">
          <cell r="X23">
            <v>13.849060954053757</v>
          </cell>
        </row>
        <row r="24">
          <cell r="X24">
            <v>16.264785658945254</v>
          </cell>
        </row>
        <row r="25">
          <cell r="X25">
            <v>16.668832532352745</v>
          </cell>
        </row>
        <row r="26">
          <cell r="X26">
            <v>13.583008470502994</v>
          </cell>
        </row>
        <row r="27">
          <cell r="X27">
            <v>13.742036062161992</v>
          </cell>
        </row>
        <row r="28">
          <cell r="X28">
            <v>13.579153529834228</v>
          </cell>
        </row>
        <row r="29">
          <cell r="X29">
            <v>14.209875682735015</v>
          </cell>
        </row>
        <row r="30">
          <cell r="X30">
            <v>14.004068747884311</v>
          </cell>
        </row>
        <row r="31">
          <cell r="X31">
            <v>14.090019428862005</v>
          </cell>
        </row>
        <row r="32">
          <cell r="X32">
            <v>13.945509481430095</v>
          </cell>
        </row>
        <row r="33">
          <cell r="X33">
            <v>14.046104169308972</v>
          </cell>
        </row>
      </sheetData>
      <sheetData sheetId="61"/>
      <sheetData sheetId="62">
        <row r="10">
          <cell r="X10">
            <v>14.574762525485216</v>
          </cell>
        </row>
        <row r="11">
          <cell r="X11">
            <v>14.894237018096716</v>
          </cell>
        </row>
        <row r="12">
          <cell r="X12">
            <v>14.637739721393158</v>
          </cell>
        </row>
        <row r="13">
          <cell r="X13">
            <v>15.818701702004939</v>
          </cell>
        </row>
        <row r="14">
          <cell r="X14">
            <v>15.8232780172451</v>
          </cell>
        </row>
        <row r="15">
          <cell r="X15">
            <v>15.436022703712501</v>
          </cell>
        </row>
        <row r="16">
          <cell r="X16">
            <v>15.759505539217908</v>
          </cell>
        </row>
        <row r="17">
          <cell r="X17">
            <v>15.237015144067126</v>
          </cell>
        </row>
        <row r="18">
          <cell r="X18">
            <v>15.054916384660993</v>
          </cell>
        </row>
        <row r="19">
          <cell r="X19">
            <v>13.768882066091262</v>
          </cell>
        </row>
        <row r="20">
          <cell r="X20">
            <v>13.217670133182091</v>
          </cell>
        </row>
        <row r="21">
          <cell r="X21">
            <v>13.283362355558539</v>
          </cell>
        </row>
        <row r="22">
          <cell r="X22">
            <v>13.078353695346967</v>
          </cell>
        </row>
        <row r="23">
          <cell r="X23">
            <v>12.926737685856253</v>
          </cell>
        </row>
        <row r="24">
          <cell r="X24">
            <v>12.828141975627849</v>
          </cell>
        </row>
        <row r="25">
          <cell r="X25">
            <v>11.971564081095584</v>
          </cell>
        </row>
        <row r="26">
          <cell r="X26">
            <v>12.017498119363875</v>
          </cell>
        </row>
        <row r="27">
          <cell r="X27">
            <v>13.856203570301398</v>
          </cell>
        </row>
        <row r="28">
          <cell r="X28">
            <v>16.279249898224425</v>
          </cell>
        </row>
        <row r="29">
          <cell r="X29">
            <v>14.699592404925086</v>
          </cell>
        </row>
        <row r="30">
          <cell r="X30">
            <v>14.480680435905159</v>
          </cell>
        </row>
        <row r="31">
          <cell r="X31">
            <v>14.697596945288485</v>
          </cell>
        </row>
        <row r="32">
          <cell r="X32">
            <v>15.2000157996572</v>
          </cell>
        </row>
        <row r="33">
          <cell r="X33">
            <v>13.800103601716058</v>
          </cell>
        </row>
      </sheetData>
      <sheetData sheetId="63"/>
      <sheetData sheetId="64">
        <row r="10">
          <cell r="X10">
            <v>14.343518955291541</v>
          </cell>
        </row>
        <row r="11">
          <cell r="X11">
            <v>14.445185461692459</v>
          </cell>
        </row>
        <row r="12">
          <cell r="X12">
            <v>14.199745662915916</v>
          </cell>
        </row>
        <row r="13">
          <cell r="X13">
            <v>14.279252681715098</v>
          </cell>
        </row>
        <row r="14">
          <cell r="X14">
            <v>14.166627568561815</v>
          </cell>
        </row>
        <row r="15">
          <cell r="X15">
            <v>13.504175253851759</v>
          </cell>
        </row>
        <row r="16">
          <cell r="X16">
            <v>13.758993801300527</v>
          </cell>
        </row>
        <row r="17">
          <cell r="X17">
            <v>14.119080601960707</v>
          </cell>
        </row>
        <row r="18">
          <cell r="X18">
            <v>14.441913865247338</v>
          </cell>
        </row>
        <row r="19">
          <cell r="X19">
            <v>14.814026430857256</v>
          </cell>
        </row>
        <row r="20">
          <cell r="X20">
            <v>14.974493372525497</v>
          </cell>
        </row>
        <row r="21">
          <cell r="X21">
            <v>14.566284157575168</v>
          </cell>
        </row>
        <row r="22">
          <cell r="X22">
            <v>14.353505616591505</v>
          </cell>
        </row>
        <row r="23">
          <cell r="X23">
            <v>14.845576321755056</v>
          </cell>
        </row>
        <row r="24">
          <cell r="X24">
            <v>15.662215821774293</v>
          </cell>
        </row>
        <row r="25">
          <cell r="X25">
            <v>15.905940728745481</v>
          </cell>
        </row>
        <row r="26">
          <cell r="X26">
            <v>15.627370529687038</v>
          </cell>
        </row>
        <row r="27">
          <cell r="X27">
            <v>16.579374850237457</v>
          </cell>
        </row>
        <row r="28">
          <cell r="X28">
            <v>15.655888257231988</v>
          </cell>
        </row>
        <row r="29">
          <cell r="X29">
            <v>15.701502900707585</v>
          </cell>
        </row>
        <row r="30">
          <cell r="X30">
            <v>15.491337293313171</v>
          </cell>
        </row>
        <row r="31">
          <cell r="X31">
            <v>14.949665831979861</v>
          </cell>
        </row>
        <row r="32">
          <cell r="X32">
            <v>14.39242045212816</v>
          </cell>
        </row>
        <row r="33">
          <cell r="X33">
            <v>13.987387430258554</v>
          </cell>
        </row>
      </sheetData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</sheetDataSet>
  </externalBook>
</externalLink>
</file>

<file path=xl/externalLinks/externalLink4.xml><?xml version="1.0" encoding="utf-8"?>
<externalLink xmlns="http://schemas.openxmlformats.org/spreadsheetml/2006/main">
  <externalBook xmlns:r="http://schemas.openxmlformats.org/officeDocument/2006/relationships" r:id="rId1">
    <sheetNames>
      <sheetName val="Ponto de Orvalho"/>
      <sheetName val="Bulbo Umido"/>
      <sheetName val="Verificações"/>
      <sheetName val="Dia 1 (a)"/>
      <sheetName val="Dia 1 (b)"/>
      <sheetName val="Dia 2 (a)"/>
      <sheetName val="Dia 2 (b)"/>
      <sheetName val="Dia 3 (a)"/>
      <sheetName val="Dia 3 (b)"/>
      <sheetName val="Dia 4 (a)"/>
      <sheetName val="Dia 4 (b)"/>
      <sheetName val="Dia 5 (a)"/>
      <sheetName val="Dia 5 (b)"/>
      <sheetName val="Dia 6 (a)"/>
      <sheetName val="Dia 6 (b)"/>
      <sheetName val="Dia 7 (a)"/>
      <sheetName val="Dia 7 (b)"/>
      <sheetName val="Dia 8 (a)"/>
      <sheetName val="Dia 8 (b)"/>
      <sheetName val="Dia 9 (a)"/>
      <sheetName val="Dia 9 (b)"/>
      <sheetName val="Dia 10 (a)"/>
      <sheetName val="Dia 10 (b)"/>
      <sheetName val="Dia 11 (a)"/>
      <sheetName val="Dia 11 (b)"/>
      <sheetName val="Dia 12 (a)"/>
      <sheetName val="Dia 12 (b)"/>
      <sheetName val="Dia 13 (a)"/>
      <sheetName val="Dia 13 (b)"/>
      <sheetName val="Dia 14 (a)"/>
      <sheetName val="Dia 14 (b)"/>
      <sheetName val="Dia 15 (a)"/>
      <sheetName val="Dia 15 (b)"/>
      <sheetName val="Dia 16 (a)"/>
      <sheetName val="Dia 16 (b)"/>
      <sheetName val="Dia 17 (a)"/>
      <sheetName val="Dia 17 (b)"/>
      <sheetName val="Dia 18 (a)"/>
      <sheetName val="Dia 18 (b)"/>
      <sheetName val="Dia 19 (a)"/>
      <sheetName val="Dia 19 (b)"/>
      <sheetName val="Dia 20 (a)"/>
      <sheetName val="Dia 20 (b)"/>
      <sheetName val="Dia 21 (a)"/>
      <sheetName val="Dia 21 (b)"/>
      <sheetName val="Dia 22 (a)"/>
      <sheetName val="Dia 22 (b)"/>
      <sheetName val="Dia 23 (a)"/>
      <sheetName val="Dia 23 (b)"/>
      <sheetName val="Dia 24 (a)"/>
      <sheetName val="Dia 24 (b)"/>
      <sheetName val="Dia 25 (a)"/>
      <sheetName val="Dia 25 (b)"/>
      <sheetName val="Dia 26 (a)"/>
      <sheetName val="Dia 26 (b)"/>
      <sheetName val="Dia 27 (a)"/>
      <sheetName val="Dia 27 (b)"/>
      <sheetName val="Dia 28 (a)"/>
      <sheetName val="Dia 28 (b)"/>
      <sheetName val="Dia 29 (a)"/>
      <sheetName val="Dia 29 (b)"/>
      <sheetName val="Dia 30 (a)"/>
      <sheetName val="Dia 30 (b)"/>
      <sheetName val="Dia 31 (a)"/>
      <sheetName val="Dia 31 (b)"/>
      <sheetName val="Visibilidade"/>
      <sheetName val="Tipo-Nuvens Baixas"/>
      <sheetName val="Quant.-Nuvens Baixas"/>
      <sheetName val="Tipo-Nuvens Médias"/>
      <sheetName val="Quant.-Nuvens Médias"/>
      <sheetName val="Tipo-Nuvens Altas"/>
      <sheetName val="Quant.-Nuvens Altas"/>
      <sheetName val="Cobertura Total"/>
      <sheetName val="Barôm. a Grav. Normal (hPa=mb)"/>
      <sheetName val="Term. Seco (C)"/>
      <sheetName val="Umid. Relat. (%)"/>
      <sheetName val="Umid. Específica (g.kg-1)"/>
      <sheetName val="Temp. Superf. (C)"/>
      <sheetName val="Temp. 5 cm (C)"/>
      <sheetName val="Temp. 10 cm (C)"/>
      <sheetName val="Temp. 20 cm (C)"/>
      <sheetName val="Temp. 30 cm (C)"/>
      <sheetName val="Temp. 40 cm (C)"/>
      <sheetName val="Temp. Máx. e Mín. (C)"/>
      <sheetName val="Precipitação e Evaporação (mm)"/>
      <sheetName val="INMET"/>
      <sheetName val="Fenomenos Diversos"/>
    </sheetNames>
    <sheetDataSet>
      <sheetData sheetId="0"/>
      <sheetData sheetId="1"/>
      <sheetData sheetId="2"/>
      <sheetData sheetId="3"/>
      <sheetData sheetId="4">
        <row r="1">
          <cell r="C1" t="str">
            <v>ABRIL DE 2023</v>
          </cell>
        </row>
        <row r="10">
          <cell r="X10">
            <v>13.749149693718046</v>
          </cell>
        </row>
        <row r="11">
          <cell r="X11">
            <v>13.643550255216317</v>
          </cell>
        </row>
        <row r="12">
          <cell r="X12">
            <v>13.477254316906087</v>
          </cell>
        </row>
        <row r="13">
          <cell r="X13">
            <v>13.478678828330789</v>
          </cell>
        </row>
        <row r="14">
          <cell r="X14">
            <v>13.563761105499921</v>
          </cell>
        </row>
        <row r="15">
          <cell r="X15">
            <v>13.822959020359361</v>
          </cell>
        </row>
        <row r="16">
          <cell r="X16">
            <v>14.74610766934877</v>
          </cell>
        </row>
        <row r="17">
          <cell r="X17">
            <v>15.076030035828939</v>
          </cell>
        </row>
        <row r="18">
          <cell r="X18">
            <v>14.984544472848443</v>
          </cell>
        </row>
        <row r="19">
          <cell r="X19">
            <v>13.440238097419209</v>
          </cell>
        </row>
        <row r="20">
          <cell r="X20">
            <v>10.255886804758571</v>
          </cell>
        </row>
        <row r="21">
          <cell r="X21">
            <v>11.344501787894243</v>
          </cell>
        </row>
        <row r="22">
          <cell r="X22">
            <v>11.054108364563907</v>
          </cell>
        </row>
        <row r="23">
          <cell r="X23">
            <v>11.730641482969862</v>
          </cell>
        </row>
        <row r="24">
          <cell r="X24">
            <v>15.40635567024774</v>
          </cell>
        </row>
        <row r="25">
          <cell r="X25">
            <v>15.213750602053166</v>
          </cell>
        </row>
        <row r="26">
          <cell r="X26">
            <v>15.304297221097038</v>
          </cell>
        </row>
        <row r="27">
          <cell r="X27">
            <v>15.535799603472094</v>
          </cell>
        </row>
        <row r="28">
          <cell r="X28">
            <v>15.265038909829647</v>
          </cell>
        </row>
        <row r="29">
          <cell r="X29">
            <v>15.078818465419232</v>
          </cell>
        </row>
        <row r="30">
          <cell r="X30">
            <v>15.140861571048392</v>
          </cell>
        </row>
        <row r="31">
          <cell r="X31">
            <v>14.234529071957322</v>
          </cell>
        </row>
        <row r="32">
          <cell r="X32">
            <v>13.546330864515815</v>
          </cell>
        </row>
        <row r="33">
          <cell r="X33">
            <v>12.806935184964788</v>
          </cell>
        </row>
      </sheetData>
      <sheetData sheetId="5"/>
      <sheetData sheetId="6">
        <row r="10">
          <cell r="X10">
            <v>12.060538848765148</v>
          </cell>
        </row>
        <row r="11">
          <cell r="X11">
            <v>11.134154540211069</v>
          </cell>
        </row>
        <row r="12">
          <cell r="X12">
            <v>10.81364578574445</v>
          </cell>
        </row>
        <row r="13">
          <cell r="X13">
            <v>10.884821059762793</v>
          </cell>
        </row>
        <row r="14">
          <cell r="X14">
            <v>11.163331082405641</v>
          </cell>
        </row>
        <row r="15">
          <cell r="X15">
            <v>11.135083847201956</v>
          </cell>
        </row>
        <row r="16">
          <cell r="X16">
            <v>11.620316985487959</v>
          </cell>
        </row>
        <row r="17">
          <cell r="X17">
            <v>11.281170177755117</v>
          </cell>
        </row>
        <row r="18">
          <cell r="X18">
            <v>11.407098576182285</v>
          </cell>
        </row>
        <row r="19">
          <cell r="X19">
            <v>11.399513658654469</v>
          </cell>
        </row>
        <row r="20">
          <cell r="X20">
            <v>11.778207731216247</v>
          </cell>
        </row>
        <row r="21">
          <cell r="X21">
            <v>12.329806742551833</v>
          </cell>
        </row>
        <row r="22">
          <cell r="X22">
            <v>11.750319710820566</v>
          </cell>
        </row>
        <row r="23">
          <cell r="X23">
            <v>12.192622863374151</v>
          </cell>
        </row>
        <row r="24">
          <cell r="X24">
            <v>12.224494257285599</v>
          </cell>
        </row>
        <row r="25">
          <cell r="X25">
            <v>12.355150221447289</v>
          </cell>
        </row>
        <row r="26">
          <cell r="X26">
            <v>12.514329364489551</v>
          </cell>
        </row>
        <row r="27">
          <cell r="X27">
            <v>11.847281783074063</v>
          </cell>
        </row>
        <row r="28">
          <cell r="X28">
            <v>12.379881105949028</v>
          </cell>
        </row>
        <row r="29">
          <cell r="X29">
            <v>11.757418312125068</v>
          </cell>
        </row>
        <row r="30">
          <cell r="X30">
            <v>11.593025954837939</v>
          </cell>
        </row>
        <row r="31">
          <cell r="X31">
            <v>11.627855158575748</v>
          </cell>
        </row>
        <row r="32">
          <cell r="X32">
            <v>11.313929545125156</v>
          </cell>
        </row>
        <row r="33">
          <cell r="X33">
            <v>11.277354302103259</v>
          </cell>
        </row>
      </sheetData>
      <sheetData sheetId="7"/>
      <sheetData sheetId="8">
        <row r="10">
          <cell r="X10">
            <v>11.335351165246143</v>
          </cell>
        </row>
        <row r="11">
          <cell r="X11">
            <v>11.026641692137424</v>
          </cell>
        </row>
        <row r="12">
          <cell r="X12">
            <v>10.716002656191455</v>
          </cell>
        </row>
        <row r="13">
          <cell r="X13">
            <v>11.003246685654807</v>
          </cell>
        </row>
        <row r="14">
          <cell r="X14">
            <v>11.052322790837035</v>
          </cell>
        </row>
        <row r="15">
          <cell r="X15">
            <v>10.446681503690632</v>
          </cell>
        </row>
        <row r="16">
          <cell r="X16">
            <v>10.864224933057104</v>
          </cell>
        </row>
        <row r="17">
          <cell r="X17">
            <v>11.185834280222172</v>
          </cell>
        </row>
        <row r="18">
          <cell r="X18">
            <v>11.37334583066349</v>
          </cell>
        </row>
        <row r="19">
          <cell r="X19">
            <v>11.284867040767775</v>
          </cell>
        </row>
        <row r="20">
          <cell r="X20">
            <v>11.12482391479937</v>
          </cell>
        </row>
        <row r="21">
          <cell r="X21">
            <v>11.311507559891375</v>
          </cell>
        </row>
        <row r="22">
          <cell r="X22">
            <v>12.548070390953805</v>
          </cell>
        </row>
        <row r="23">
          <cell r="X23">
            <v>12.426910490440848</v>
          </cell>
        </row>
        <row r="24">
          <cell r="X24">
            <v>12.565794963744581</v>
          </cell>
        </row>
        <row r="25">
          <cell r="X25">
            <v>13.099414623075489</v>
          </cell>
        </row>
        <row r="26">
          <cell r="X26">
            <v>12.889962258909279</v>
          </cell>
        </row>
        <row r="27">
          <cell r="X27">
            <v>12.620831462901528</v>
          </cell>
        </row>
        <row r="28">
          <cell r="X28">
            <v>12.525514911968378</v>
          </cell>
        </row>
        <row r="29">
          <cell r="X29">
            <v>12.39616397271759</v>
          </cell>
        </row>
        <row r="30">
          <cell r="X30">
            <v>12.812651259396805</v>
          </cell>
        </row>
        <row r="31">
          <cell r="X31">
            <v>13.151490027374184</v>
          </cell>
        </row>
        <row r="32">
          <cell r="X32">
            <v>13.287290276694664</v>
          </cell>
        </row>
        <row r="33">
          <cell r="X33">
            <v>13.198825699298345</v>
          </cell>
        </row>
      </sheetData>
      <sheetData sheetId="9"/>
      <sheetData sheetId="10">
        <row r="10">
          <cell r="X10">
            <v>13.437663359652186</v>
          </cell>
        </row>
        <row r="11">
          <cell r="X11">
            <v>12.99771535170612</v>
          </cell>
        </row>
        <row r="12">
          <cell r="X12">
            <v>12.76585453539348</v>
          </cell>
        </row>
        <row r="13">
          <cell r="X13">
            <v>12.910314947926155</v>
          </cell>
        </row>
        <row r="14">
          <cell r="X14">
            <v>13.12973876799847</v>
          </cell>
        </row>
        <row r="15">
          <cell r="X15">
            <v>12.972829491842383</v>
          </cell>
        </row>
        <row r="16">
          <cell r="X16">
            <v>12.864294350852012</v>
          </cell>
        </row>
        <row r="17">
          <cell r="X17">
            <v>12.830342445095077</v>
          </cell>
        </row>
        <row r="18">
          <cell r="X18">
            <v>12.891630443010213</v>
          </cell>
        </row>
        <row r="19">
          <cell r="X19">
            <v>12.579910958802509</v>
          </cell>
        </row>
        <row r="20">
          <cell r="X20">
            <v>11.73359219166181</v>
          </cell>
        </row>
        <row r="21">
          <cell r="X21">
            <v>11.068696142274646</v>
          </cell>
        </row>
        <row r="22">
          <cell r="X22">
            <v>11.396393712290607</v>
          </cell>
        </row>
        <row r="23">
          <cell r="X23">
            <v>11.036798005759172</v>
          </cell>
        </row>
        <row r="24">
          <cell r="X24">
            <v>14.307289464424926</v>
          </cell>
        </row>
        <row r="25">
          <cell r="X25">
            <v>15.029320801619825</v>
          </cell>
        </row>
        <row r="26">
          <cell r="X26">
            <v>14.344114443766403</v>
          </cell>
        </row>
        <row r="27">
          <cell r="X27">
            <v>14.118488364854901</v>
          </cell>
        </row>
        <row r="28">
          <cell r="X28">
            <v>14.099621280561587</v>
          </cell>
        </row>
        <row r="29">
          <cell r="X29">
            <v>13.543036144875797</v>
          </cell>
        </row>
        <row r="30">
          <cell r="X30">
            <v>13.521622745515712</v>
          </cell>
        </row>
        <row r="31">
          <cell r="X31">
            <v>12.869534857501305</v>
          </cell>
        </row>
        <row r="32">
          <cell r="X32">
            <v>12.450398695173252</v>
          </cell>
        </row>
        <row r="33">
          <cell r="X33">
            <v>12.370365878599069</v>
          </cell>
        </row>
      </sheetData>
      <sheetData sheetId="11"/>
      <sheetData sheetId="12">
        <row r="10">
          <cell r="X10">
            <v>11.952506427925719</v>
          </cell>
        </row>
        <row r="11">
          <cell r="X11">
            <v>11.532867453095159</v>
          </cell>
        </row>
        <row r="12">
          <cell r="X12">
            <v>11.437033874556183</v>
          </cell>
        </row>
        <row r="13">
          <cell r="X13">
            <v>11.658606735893766</v>
          </cell>
        </row>
        <row r="14">
          <cell r="X14">
            <v>11.73233582263561</v>
          </cell>
        </row>
        <row r="15">
          <cell r="X15">
            <v>12.342470152018276</v>
          </cell>
        </row>
        <row r="16">
          <cell r="X16">
            <v>13.109644622418333</v>
          </cell>
        </row>
        <row r="17">
          <cell r="X17">
            <v>13.88419403655066</v>
          </cell>
        </row>
        <row r="18">
          <cell r="X18">
            <v>13.63197147618242</v>
          </cell>
        </row>
        <row r="19">
          <cell r="X19">
            <v>12.959495161087869</v>
          </cell>
        </row>
        <row r="20">
          <cell r="X20">
            <v>12.44658623987956</v>
          </cell>
        </row>
        <row r="21">
          <cell r="X21">
            <v>12.252076808222295</v>
          </cell>
        </row>
        <row r="22">
          <cell r="X22">
            <v>12.553909017543626</v>
          </cell>
        </row>
        <row r="23">
          <cell r="X23">
            <v>12.248235019177383</v>
          </cell>
        </row>
        <row r="24">
          <cell r="X24">
            <v>13.699864549916906</v>
          </cell>
        </row>
        <row r="25">
          <cell r="X25">
            <v>13.334217967283934</v>
          </cell>
        </row>
        <row r="26">
          <cell r="X26">
            <v>13.127208236193395</v>
          </cell>
        </row>
        <row r="27">
          <cell r="X27">
            <v>12.924253063880689</v>
          </cell>
        </row>
        <row r="28">
          <cell r="X28">
            <v>13.221293379418217</v>
          </cell>
        </row>
        <row r="29">
          <cell r="X29">
            <v>13.473363388007245</v>
          </cell>
        </row>
        <row r="30">
          <cell r="X30">
            <v>13.060128787375406</v>
          </cell>
        </row>
        <row r="31">
          <cell r="X31">
            <v>13.057040286743755</v>
          </cell>
        </row>
        <row r="32">
          <cell r="X32">
            <v>12.922860941290832</v>
          </cell>
        </row>
        <row r="33">
          <cell r="X33">
            <v>12.884575580343135</v>
          </cell>
        </row>
      </sheetData>
      <sheetData sheetId="13"/>
      <sheetData sheetId="14">
        <row r="10">
          <cell r="X10">
            <v>12.732023376550909</v>
          </cell>
        </row>
        <row r="11">
          <cell r="X11">
            <v>12.936952811737308</v>
          </cell>
        </row>
        <row r="12">
          <cell r="X12">
            <v>12.88126362042183</v>
          </cell>
        </row>
        <row r="13">
          <cell r="X13">
            <v>12.682215032926921</v>
          </cell>
        </row>
        <row r="14">
          <cell r="X14">
            <v>12.39900761308262</v>
          </cell>
        </row>
        <row r="15">
          <cell r="X15">
            <v>12.532467542737495</v>
          </cell>
        </row>
        <row r="16">
          <cell r="X16">
            <v>12.800703615031706</v>
          </cell>
        </row>
        <row r="17">
          <cell r="X17">
            <v>12.805665250523631</v>
          </cell>
        </row>
        <row r="18">
          <cell r="X18">
            <v>13.032022459083345</v>
          </cell>
        </row>
        <row r="19">
          <cell r="X19">
            <v>12.582717850294754</v>
          </cell>
        </row>
        <row r="20">
          <cell r="X20">
            <v>12.554338627045771</v>
          </cell>
        </row>
        <row r="21">
          <cell r="X21">
            <v>12.47942944395459</v>
          </cell>
        </row>
        <row r="22">
          <cell r="X22">
            <v>13.343539894273128</v>
          </cell>
        </row>
        <row r="23">
          <cell r="X23">
            <v>13.395211120256212</v>
          </cell>
        </row>
        <row r="24">
          <cell r="X24">
            <v>13.591739791918839</v>
          </cell>
        </row>
        <row r="25">
          <cell r="X25">
            <v>13.331601721042897</v>
          </cell>
        </row>
        <row r="26">
          <cell r="X26">
            <v>12.770219612215662</v>
          </cell>
        </row>
        <row r="27">
          <cell r="X27">
            <v>12.540718046390644</v>
          </cell>
        </row>
        <row r="28">
          <cell r="X28">
            <v>13.010994751178767</v>
          </cell>
        </row>
        <row r="29">
          <cell r="X29">
            <v>12.87233190622921</v>
          </cell>
        </row>
        <row r="30">
          <cell r="X30">
            <v>13.254272850373109</v>
          </cell>
        </row>
        <row r="31">
          <cell r="X31">
            <v>13.743370680243412</v>
          </cell>
        </row>
        <row r="32">
          <cell r="X32">
            <v>12.482688419705784</v>
          </cell>
        </row>
        <row r="33">
          <cell r="X33">
            <v>12.738315556322659</v>
          </cell>
        </row>
      </sheetData>
      <sheetData sheetId="15"/>
      <sheetData sheetId="16">
        <row r="10">
          <cell r="X10">
            <v>13.063490569040967</v>
          </cell>
        </row>
        <row r="11">
          <cell r="X11">
            <v>13.950907228040702</v>
          </cell>
        </row>
        <row r="12">
          <cell r="X12">
            <v>13.84640865889536</v>
          </cell>
        </row>
        <row r="13">
          <cell r="X13">
            <v>13.763092912397239</v>
          </cell>
        </row>
        <row r="14">
          <cell r="X14">
            <v>13.853986603121424</v>
          </cell>
        </row>
        <row r="15">
          <cell r="X15">
            <v>13.618540743749122</v>
          </cell>
        </row>
        <row r="16">
          <cell r="X16">
            <v>13.830980885727651</v>
          </cell>
        </row>
        <row r="17">
          <cell r="X17">
            <v>13.826104190398047</v>
          </cell>
        </row>
        <row r="18">
          <cell r="X18">
            <v>14.139152106749679</v>
          </cell>
        </row>
        <row r="19">
          <cell r="X19">
            <v>14.333666947811697</v>
          </cell>
        </row>
        <row r="20">
          <cell r="X20">
            <v>14.9691181344485</v>
          </cell>
        </row>
        <row r="21">
          <cell r="X21">
            <v>14.935855444939078</v>
          </cell>
        </row>
        <row r="22">
          <cell r="X22">
            <v>15.789586476196741</v>
          </cell>
        </row>
        <row r="23">
          <cell r="X23">
            <v>15.359345973657348</v>
          </cell>
        </row>
        <row r="24">
          <cell r="X24">
            <v>16.02579170975682</v>
          </cell>
        </row>
        <row r="25">
          <cell r="X25">
            <v>15.545654478155058</v>
          </cell>
        </row>
        <row r="26">
          <cell r="X26">
            <v>15.391571574701191</v>
          </cell>
        </row>
        <row r="27">
          <cell r="X27">
            <v>15.29325468504293</v>
          </cell>
        </row>
        <row r="28">
          <cell r="X28">
            <v>14.941671817501527</v>
          </cell>
        </row>
        <row r="29">
          <cell r="X29">
            <v>14.735525652988702</v>
          </cell>
        </row>
        <row r="30">
          <cell r="X30">
            <v>14.733660901372573</v>
          </cell>
        </row>
        <row r="31">
          <cell r="X31">
            <v>14.313399585802062</v>
          </cell>
        </row>
        <row r="32">
          <cell r="X32">
            <v>14.261059363501763</v>
          </cell>
        </row>
        <row r="33">
          <cell r="X33">
            <v>14.131449160844793</v>
          </cell>
        </row>
      </sheetData>
      <sheetData sheetId="17"/>
      <sheetData sheetId="18">
        <row r="10">
          <cell r="X10">
            <v>14.450103694656901</v>
          </cell>
        </row>
        <row r="11">
          <cell r="X11">
            <v>14.452530573251121</v>
          </cell>
        </row>
        <row r="12">
          <cell r="X12">
            <v>14.370751553643274</v>
          </cell>
        </row>
        <row r="13">
          <cell r="X13">
            <v>14.3773380636902</v>
          </cell>
        </row>
        <row r="14">
          <cell r="X14">
            <v>14.371412755605894</v>
          </cell>
        </row>
        <row r="15">
          <cell r="X15">
            <v>14.549033407268983</v>
          </cell>
        </row>
        <row r="16">
          <cell r="X16">
            <v>14.494082872944032</v>
          </cell>
        </row>
        <row r="17">
          <cell r="X17">
            <v>14.450055399069951</v>
          </cell>
        </row>
        <row r="18">
          <cell r="X18">
            <v>14.630463020064468</v>
          </cell>
        </row>
        <row r="19">
          <cell r="X19">
            <v>14.384057462611679</v>
          </cell>
        </row>
        <row r="20">
          <cell r="X20">
            <v>14.425878965429066</v>
          </cell>
        </row>
        <row r="21">
          <cell r="X21">
            <v>14.446346074276875</v>
          </cell>
        </row>
        <row r="22">
          <cell r="X22">
            <v>14.35525342444652</v>
          </cell>
        </row>
        <row r="23">
          <cell r="X23">
            <v>14.322199860902137</v>
          </cell>
        </row>
        <row r="24">
          <cell r="X24">
            <v>14.71872555002145</v>
          </cell>
        </row>
        <row r="25">
          <cell r="X25">
            <v>14.219602504194807</v>
          </cell>
        </row>
        <row r="26">
          <cell r="X26">
            <v>13.935061006084592</v>
          </cell>
        </row>
        <row r="27">
          <cell r="X27">
            <v>13.769523657345939</v>
          </cell>
        </row>
        <row r="28">
          <cell r="X28">
            <v>13.665860117461696</v>
          </cell>
        </row>
        <row r="29">
          <cell r="X29">
            <v>13.570729277581359</v>
          </cell>
        </row>
        <row r="30">
          <cell r="X30">
            <v>13.773129899181423</v>
          </cell>
        </row>
        <row r="31">
          <cell r="X31">
            <v>13.631637889601286</v>
          </cell>
        </row>
        <row r="32">
          <cell r="X32">
            <v>13.503918851858053</v>
          </cell>
        </row>
        <row r="33">
          <cell r="X33">
            <v>13.287743996257632</v>
          </cell>
        </row>
      </sheetData>
      <sheetData sheetId="19"/>
      <sheetData sheetId="20">
        <row r="10">
          <cell r="X10">
            <v>13.3202062126042</v>
          </cell>
        </row>
        <row r="11">
          <cell r="X11">
            <v>13.181318841360875</v>
          </cell>
        </row>
        <row r="12">
          <cell r="X12">
            <v>13.10567972885589</v>
          </cell>
        </row>
        <row r="13">
          <cell r="X13">
            <v>12.737590011198192</v>
          </cell>
        </row>
        <row r="14">
          <cell r="X14">
            <v>12.798810056374592</v>
          </cell>
        </row>
        <row r="15">
          <cell r="X15">
            <v>12.434427087569835</v>
          </cell>
        </row>
        <row r="16">
          <cell r="X16">
            <v>12.447724102541155</v>
          </cell>
        </row>
        <row r="17">
          <cell r="X17">
            <v>12.602688282526179</v>
          </cell>
        </row>
        <row r="18">
          <cell r="X18">
            <v>12.515067825368428</v>
          </cell>
        </row>
        <row r="19">
          <cell r="X19">
            <v>12.475856264295873</v>
          </cell>
        </row>
        <row r="20">
          <cell r="X20">
            <v>12.311097910061514</v>
          </cell>
        </row>
        <row r="21">
          <cell r="X21">
            <v>12.531895354116648</v>
          </cell>
        </row>
        <row r="22">
          <cell r="X22">
            <v>12.934534189180255</v>
          </cell>
        </row>
        <row r="23">
          <cell r="X23">
            <v>11.438495342061065</v>
          </cell>
        </row>
        <row r="24">
          <cell r="X24">
            <v>11.026915409024349</v>
          </cell>
        </row>
        <row r="25">
          <cell r="X25">
            <v>11.697147364729959</v>
          </cell>
        </row>
        <row r="26">
          <cell r="X26">
            <v>12.242903442500959</v>
          </cell>
        </row>
        <row r="27">
          <cell r="X27">
            <v>12.364868113575305</v>
          </cell>
        </row>
        <row r="28">
          <cell r="X28">
            <v>12.064282936236076</v>
          </cell>
        </row>
        <row r="29">
          <cell r="X29">
            <v>11.896519282837799</v>
          </cell>
        </row>
        <row r="30">
          <cell r="X30">
            <v>12.218584994592767</v>
          </cell>
        </row>
        <row r="31">
          <cell r="X31">
            <v>12.094034421715532</v>
          </cell>
        </row>
        <row r="32">
          <cell r="X32">
            <v>11.977086718811204</v>
          </cell>
        </row>
        <row r="33">
          <cell r="X33">
            <v>11.981018977184492</v>
          </cell>
        </row>
      </sheetData>
      <sheetData sheetId="21"/>
      <sheetData sheetId="22">
        <row r="10">
          <cell r="X10">
            <v>11.915842242348656</v>
          </cell>
        </row>
        <row r="11">
          <cell r="X11">
            <v>11.717950069915837</v>
          </cell>
        </row>
        <row r="12">
          <cell r="X12">
            <v>11.324662354316853</v>
          </cell>
        </row>
        <row r="13">
          <cell r="X13">
            <v>11.070493179415211</v>
          </cell>
        </row>
        <row r="14">
          <cell r="X14">
            <v>11.118350760192662</v>
          </cell>
        </row>
        <row r="15">
          <cell r="X15">
            <v>10.996072402323986</v>
          </cell>
        </row>
        <row r="16">
          <cell r="X16">
            <v>11.152751336524414</v>
          </cell>
        </row>
        <row r="17">
          <cell r="X17">
            <v>10.874803843188818</v>
          </cell>
        </row>
        <row r="18">
          <cell r="X18">
            <v>10.966587507902172</v>
          </cell>
        </row>
        <row r="19">
          <cell r="X19">
            <v>9.9737329377804489</v>
          </cell>
        </row>
        <row r="20">
          <cell r="X20">
            <v>10.743696994962528</v>
          </cell>
        </row>
        <row r="21">
          <cell r="X21">
            <v>10.746840502972786</v>
          </cell>
        </row>
        <row r="22">
          <cell r="X22">
            <v>10.795877727317135</v>
          </cell>
        </row>
        <row r="23">
          <cell r="X23">
            <v>10.509180704874563</v>
          </cell>
        </row>
        <row r="24">
          <cell r="X24">
            <v>10.349566039211068</v>
          </cell>
        </row>
        <row r="25">
          <cell r="X25">
            <v>10.684106132695131</v>
          </cell>
        </row>
        <row r="26">
          <cell r="X26">
            <v>11.025191860506613</v>
          </cell>
        </row>
        <row r="27">
          <cell r="X27">
            <v>11.321232327606095</v>
          </cell>
        </row>
        <row r="28">
          <cell r="X28">
            <v>10.939961804301181</v>
          </cell>
        </row>
        <row r="29">
          <cell r="X29">
            <v>11.017565068464279</v>
          </cell>
        </row>
        <row r="30">
          <cell r="X30">
            <v>10.99519245160587</v>
          </cell>
        </row>
        <row r="31">
          <cell r="X31">
            <v>10.996058488265463</v>
          </cell>
        </row>
        <row r="32">
          <cell r="X32">
            <v>11.015815050905667</v>
          </cell>
        </row>
        <row r="33">
          <cell r="X33">
            <v>11.320556468925009</v>
          </cell>
        </row>
      </sheetData>
      <sheetData sheetId="23"/>
      <sheetData sheetId="24">
        <row r="10">
          <cell r="X10">
            <v>11.32763711149053</v>
          </cell>
        </row>
        <row r="11">
          <cell r="X11">
            <v>11.093163552919837</v>
          </cell>
        </row>
        <row r="12">
          <cell r="X12">
            <v>11.052836755097703</v>
          </cell>
        </row>
        <row r="13">
          <cell r="X13">
            <v>11.71618917574024</v>
          </cell>
        </row>
        <row r="14">
          <cell r="X14">
            <v>11.666008239909671</v>
          </cell>
        </row>
        <row r="15">
          <cell r="X15">
            <v>11.663411204960731</v>
          </cell>
        </row>
        <row r="16">
          <cell r="X16">
            <v>11.930696720367253</v>
          </cell>
        </row>
        <row r="17">
          <cell r="X17">
            <v>12.318377336606272</v>
          </cell>
        </row>
        <row r="18">
          <cell r="X18">
            <v>11.974474587234038</v>
          </cell>
        </row>
        <row r="19">
          <cell r="X19">
            <v>11.935125785034838</v>
          </cell>
        </row>
        <row r="20">
          <cell r="X20">
            <v>12.61856209317896</v>
          </cell>
        </row>
        <row r="21">
          <cell r="X21">
            <v>12.445235650892823</v>
          </cell>
        </row>
        <row r="22">
          <cell r="X22">
            <v>12.295476452026646</v>
          </cell>
        </row>
        <row r="23">
          <cell r="X23">
            <v>12.372748122344156</v>
          </cell>
        </row>
        <row r="24">
          <cell r="X24">
            <v>13.152356341910316</v>
          </cell>
        </row>
        <row r="25">
          <cell r="X25">
            <v>14.624276944978659</v>
          </cell>
        </row>
        <row r="26">
          <cell r="X26">
            <v>13.838275127517498</v>
          </cell>
        </row>
        <row r="27">
          <cell r="X27">
            <v>14.062356217602751</v>
          </cell>
        </row>
        <row r="28">
          <cell r="X28">
            <v>13.391132382928685</v>
          </cell>
        </row>
        <row r="29">
          <cell r="X29">
            <v>13.592698526127705</v>
          </cell>
        </row>
        <row r="30">
          <cell r="X30">
            <v>13.414049201429453</v>
          </cell>
        </row>
        <row r="31">
          <cell r="X31">
            <v>13.06517502986061</v>
          </cell>
        </row>
        <row r="32">
          <cell r="X32">
            <v>12.56082285452648</v>
          </cell>
        </row>
        <row r="33">
          <cell r="X33">
            <v>12.205157759056668</v>
          </cell>
        </row>
      </sheetData>
      <sheetData sheetId="25"/>
      <sheetData sheetId="26">
        <row r="10">
          <cell r="X10">
            <v>11.86667383216195</v>
          </cell>
        </row>
        <row r="11">
          <cell r="X11">
            <v>11.643407410105205</v>
          </cell>
        </row>
        <row r="12">
          <cell r="X12">
            <v>11.694618305428882</v>
          </cell>
        </row>
        <row r="13">
          <cell r="X13">
            <v>11.925628597616887</v>
          </cell>
        </row>
        <row r="14">
          <cell r="X14">
            <v>12.634428783182384</v>
          </cell>
        </row>
        <row r="15">
          <cell r="X15">
            <v>12.956588369209271</v>
          </cell>
        </row>
        <row r="16">
          <cell r="X16">
            <v>13.281177408159495</v>
          </cell>
        </row>
        <row r="17">
          <cell r="X17">
            <v>13.855724325052586</v>
          </cell>
        </row>
        <row r="18">
          <cell r="X18">
            <v>13.871949046553095</v>
          </cell>
        </row>
        <row r="19">
          <cell r="X19">
            <v>14.116024157949832</v>
          </cell>
        </row>
        <row r="20">
          <cell r="X20">
            <v>13.463081693434493</v>
          </cell>
        </row>
        <row r="21">
          <cell r="X21">
            <v>13.607032275815195</v>
          </cell>
        </row>
        <row r="22">
          <cell r="X22">
            <v>13.501237769695528</v>
          </cell>
        </row>
        <row r="23">
          <cell r="X23">
            <v>13.332239966960509</v>
          </cell>
        </row>
        <row r="24">
          <cell r="X24">
            <v>13.390039730343293</v>
          </cell>
        </row>
        <row r="25">
          <cell r="X25">
            <v>13.554103105960364</v>
          </cell>
        </row>
        <row r="26">
          <cell r="X26">
            <v>13.34796474385846</v>
          </cell>
        </row>
        <row r="27">
          <cell r="X27">
            <v>12.930357574125003</v>
          </cell>
        </row>
        <row r="28">
          <cell r="X28">
            <v>14.16584300295716</v>
          </cell>
        </row>
        <row r="29">
          <cell r="X29">
            <v>14.830216254858273</v>
          </cell>
        </row>
        <row r="30">
          <cell r="X30">
            <v>14.936088654240795</v>
          </cell>
        </row>
        <row r="31">
          <cell r="X31">
            <v>14.876095324066611</v>
          </cell>
        </row>
        <row r="32">
          <cell r="X32">
            <v>14.581406424086062</v>
          </cell>
        </row>
        <row r="33">
          <cell r="X33">
            <v>14.983839621795644</v>
          </cell>
        </row>
      </sheetData>
      <sheetData sheetId="27"/>
      <sheetData sheetId="28">
        <row r="10">
          <cell r="X10">
            <v>15.474070527191094</v>
          </cell>
        </row>
        <row r="11">
          <cell r="X11">
            <v>15.361412467116828</v>
          </cell>
        </row>
        <row r="12">
          <cell r="X12">
            <v>14.991932083640904</v>
          </cell>
        </row>
        <row r="13">
          <cell r="X13">
            <v>14.694692359780644</v>
          </cell>
        </row>
        <row r="14">
          <cell r="X14">
            <v>14.669345959243705</v>
          </cell>
        </row>
        <row r="15">
          <cell r="X15">
            <v>14.581553807453895</v>
          </cell>
        </row>
        <row r="16">
          <cell r="X16">
            <v>14.347591341240241</v>
          </cell>
        </row>
        <row r="17">
          <cell r="X17">
            <v>15.067893254126814</v>
          </cell>
        </row>
        <row r="18">
          <cell r="X18">
            <v>15.080262791253125</v>
          </cell>
        </row>
        <row r="19">
          <cell r="X19">
            <v>14.101354190092804</v>
          </cell>
        </row>
        <row r="20">
          <cell r="X20">
            <v>14.03328460661119</v>
          </cell>
        </row>
        <row r="21">
          <cell r="X21">
            <v>14.224088602692854</v>
          </cell>
        </row>
        <row r="22">
          <cell r="X22">
            <v>13.320475046766369</v>
          </cell>
        </row>
        <row r="23">
          <cell r="X23">
            <v>13.073971582406742</v>
          </cell>
        </row>
        <row r="24">
          <cell r="X24">
            <v>12.909671659809018</v>
          </cell>
        </row>
        <row r="25">
          <cell r="X25">
            <v>12.646531904286066</v>
          </cell>
        </row>
        <row r="26">
          <cell r="X26">
            <v>15.031184181372016</v>
          </cell>
        </row>
        <row r="27">
          <cell r="X27">
            <v>15.38789758410034</v>
          </cell>
        </row>
        <row r="28">
          <cell r="X28">
            <v>15.26633614098569</v>
          </cell>
        </row>
        <row r="29">
          <cell r="X29">
            <v>15.129088650451967</v>
          </cell>
        </row>
        <row r="30">
          <cell r="X30">
            <v>15.195125569405473</v>
          </cell>
        </row>
        <row r="31">
          <cell r="X31">
            <v>14.8972372843754</v>
          </cell>
        </row>
        <row r="32">
          <cell r="X32">
            <v>14.872148425832195</v>
          </cell>
        </row>
        <row r="33">
          <cell r="X33">
            <v>14.432906242754605</v>
          </cell>
        </row>
      </sheetData>
      <sheetData sheetId="29"/>
      <sheetData sheetId="30">
        <row r="10">
          <cell r="X10">
            <v>14.607300860038263</v>
          </cell>
        </row>
        <row r="11">
          <cell r="X11">
            <v>14.594216692744848</v>
          </cell>
        </row>
        <row r="12">
          <cell r="X12">
            <v>14.460804648641405</v>
          </cell>
        </row>
        <row r="13">
          <cell r="X13">
            <v>14.374493017497267</v>
          </cell>
        </row>
        <row r="14">
          <cell r="X14">
            <v>14.220458189139672</v>
          </cell>
        </row>
        <row r="15">
          <cell r="X15">
            <v>14.644396498686099</v>
          </cell>
        </row>
        <row r="16">
          <cell r="X16">
            <v>14.823033894284171</v>
          </cell>
        </row>
        <row r="17">
          <cell r="X17">
            <v>15.073156685737047</v>
          </cell>
        </row>
        <row r="18">
          <cell r="X18">
            <v>13.971220953997928</v>
          </cell>
        </row>
        <row r="19">
          <cell r="X19">
            <v>14.913937446761778</v>
          </cell>
        </row>
        <row r="20">
          <cell r="X20">
            <v>14.892366324167099</v>
          </cell>
        </row>
        <row r="21">
          <cell r="X21">
            <v>14.136654063613127</v>
          </cell>
        </row>
        <row r="22">
          <cell r="X22">
            <v>13.568232406661041</v>
          </cell>
        </row>
        <row r="23">
          <cell r="X23">
            <v>13.778044660947458</v>
          </cell>
        </row>
        <row r="24">
          <cell r="X24">
            <v>14.982899537669681</v>
          </cell>
        </row>
        <row r="25">
          <cell r="X25">
            <v>15.642485123648528</v>
          </cell>
        </row>
        <row r="26">
          <cell r="X26">
            <v>15.924263030828223</v>
          </cell>
        </row>
        <row r="27">
          <cell r="X27">
            <v>15.603231188589954</v>
          </cell>
        </row>
        <row r="28">
          <cell r="X28">
            <v>15.440086607075399</v>
          </cell>
        </row>
        <row r="29">
          <cell r="X29">
            <v>15.477419961468591</v>
          </cell>
        </row>
        <row r="30">
          <cell r="X30">
            <v>15.425913170047918</v>
          </cell>
        </row>
        <row r="31">
          <cell r="X31">
            <v>14.936320133065447</v>
          </cell>
        </row>
        <row r="32">
          <cell r="X32">
            <v>15.172864705074867</v>
          </cell>
        </row>
        <row r="33">
          <cell r="X33">
            <v>15.034112960950038</v>
          </cell>
        </row>
      </sheetData>
      <sheetData sheetId="31"/>
      <sheetData sheetId="32">
        <row r="10">
          <cell r="X10">
            <v>14.633333707482587</v>
          </cell>
        </row>
        <row r="11">
          <cell r="X11">
            <v>14.43482433769214</v>
          </cell>
        </row>
        <row r="12">
          <cell r="X12">
            <v>14.506718864872644</v>
          </cell>
        </row>
        <row r="13">
          <cell r="X13">
            <v>14.330187790018497</v>
          </cell>
        </row>
        <row r="14">
          <cell r="X14">
            <v>14.083728682119363</v>
          </cell>
        </row>
        <row r="15">
          <cell r="X15">
            <v>14.293012772238496</v>
          </cell>
        </row>
        <row r="16">
          <cell r="X16">
            <v>14.589591635077706</v>
          </cell>
        </row>
        <row r="17">
          <cell r="X17">
            <v>14.762839066634449</v>
          </cell>
        </row>
        <row r="18">
          <cell r="X18">
            <v>14.614037050970536</v>
          </cell>
        </row>
        <row r="19">
          <cell r="X19">
            <v>14.638439605553112</v>
          </cell>
        </row>
        <row r="20">
          <cell r="X20">
            <v>14.00915638603124</v>
          </cell>
        </row>
        <row r="21">
          <cell r="X21">
            <v>13.995482012744898</v>
          </cell>
        </row>
        <row r="22">
          <cell r="X22">
            <v>13.236621899665078</v>
          </cell>
        </row>
        <row r="23">
          <cell r="X23">
            <v>13.152304899230693</v>
          </cell>
        </row>
        <row r="24">
          <cell r="X24">
            <v>13.012134121053528</v>
          </cell>
        </row>
        <row r="25">
          <cell r="X25">
            <v>13.236970075325878</v>
          </cell>
        </row>
        <row r="26">
          <cell r="X26">
            <v>13.293102279347233</v>
          </cell>
        </row>
        <row r="27">
          <cell r="X27">
            <v>13.497543920557552</v>
          </cell>
        </row>
        <row r="28">
          <cell r="X28">
            <v>13.278892697010908</v>
          </cell>
        </row>
        <row r="29">
          <cell r="X29">
            <v>14.011197234947595</v>
          </cell>
        </row>
        <row r="30">
          <cell r="X30">
            <v>13.638089755323524</v>
          </cell>
        </row>
        <row r="31">
          <cell r="X31">
            <v>13.506358652822277</v>
          </cell>
        </row>
        <row r="32">
          <cell r="X32">
            <v>13.728140963006458</v>
          </cell>
        </row>
        <row r="33">
          <cell r="X33">
            <v>13.685613817902089</v>
          </cell>
        </row>
      </sheetData>
      <sheetData sheetId="33"/>
      <sheetData sheetId="34">
        <row r="10">
          <cell r="X10">
            <v>13.477672086176893</v>
          </cell>
        </row>
        <row r="11">
          <cell r="X11">
            <v>12.844752954562995</v>
          </cell>
        </row>
        <row r="12">
          <cell r="X12">
            <v>12.966091598662636</v>
          </cell>
        </row>
        <row r="13">
          <cell r="X13">
            <v>12.886766517894866</v>
          </cell>
        </row>
        <row r="14">
          <cell r="X14">
            <v>13.217179369554728</v>
          </cell>
        </row>
        <row r="15">
          <cell r="X15">
            <v>12.913060659618832</v>
          </cell>
        </row>
        <row r="16">
          <cell r="X16">
            <v>13.055603111064418</v>
          </cell>
        </row>
        <row r="17">
          <cell r="X17">
            <v>13.16369898631206</v>
          </cell>
        </row>
        <row r="18">
          <cell r="X18">
            <v>13.187454765669601</v>
          </cell>
        </row>
        <row r="19">
          <cell r="X19">
            <v>12.632193048286258</v>
          </cell>
        </row>
        <row r="20">
          <cell r="X20">
            <v>12.65492877556404</v>
          </cell>
        </row>
        <row r="21">
          <cell r="X21">
            <v>12.213622332403585</v>
          </cell>
        </row>
        <row r="22">
          <cell r="X22">
            <v>12.167883139176254</v>
          </cell>
        </row>
        <row r="23">
          <cell r="X23">
            <v>14.090444094155032</v>
          </cell>
        </row>
        <row r="24">
          <cell r="X24">
            <v>14.179879697544196</v>
          </cell>
        </row>
        <row r="25">
          <cell r="X25">
            <v>15.53006676258504</v>
          </cell>
        </row>
        <row r="26">
          <cell r="X26">
            <v>15.114952569243872</v>
          </cell>
        </row>
        <row r="27">
          <cell r="X27">
            <v>14.874854926484971</v>
          </cell>
        </row>
        <row r="28">
          <cell r="X28">
            <v>15.042285554316496</v>
          </cell>
        </row>
        <row r="29">
          <cell r="X29">
            <v>14.652241359489912</v>
          </cell>
        </row>
        <row r="30">
          <cell r="X30">
            <v>14.952784169240942</v>
          </cell>
        </row>
        <row r="31">
          <cell r="X31">
            <v>14.843303494635384</v>
          </cell>
        </row>
        <row r="32">
          <cell r="X32">
            <v>14.555606979507093</v>
          </cell>
        </row>
        <row r="33">
          <cell r="X33">
            <v>13.950911597461552</v>
          </cell>
        </row>
      </sheetData>
      <sheetData sheetId="35"/>
      <sheetData sheetId="36">
        <row r="10">
          <cell r="X10">
            <v>14.035873806655344</v>
          </cell>
        </row>
        <row r="11">
          <cell r="X11">
            <v>13.783992426266396</v>
          </cell>
        </row>
        <row r="12">
          <cell r="X12">
            <v>13.849805037836234</v>
          </cell>
        </row>
        <row r="13">
          <cell r="X13">
            <v>13.613765833270305</v>
          </cell>
        </row>
        <row r="14">
          <cell r="X14">
            <v>14.109028210808688</v>
          </cell>
        </row>
        <row r="15">
          <cell r="X15">
            <v>14.010424369900328</v>
          </cell>
        </row>
        <row r="16">
          <cell r="X16">
            <v>14.153593893173436</v>
          </cell>
        </row>
        <row r="17">
          <cell r="X17">
            <v>14.08683315735062</v>
          </cell>
        </row>
        <row r="18">
          <cell r="X18">
            <v>13.301538113211462</v>
          </cell>
        </row>
        <row r="19">
          <cell r="X19">
            <v>13.714928114287069</v>
          </cell>
        </row>
        <row r="20">
          <cell r="X20">
            <v>13.941988418479463</v>
          </cell>
        </row>
        <row r="21">
          <cell r="X21">
            <v>13.868143225737757</v>
          </cell>
        </row>
        <row r="22">
          <cell r="X22">
            <v>13.498487297779421</v>
          </cell>
        </row>
        <row r="23">
          <cell r="X23">
            <v>13.14150495461182</v>
          </cell>
        </row>
        <row r="24">
          <cell r="X24">
            <v>13.330895223886044</v>
          </cell>
        </row>
        <row r="25">
          <cell r="X25">
            <v>14.015350754212584</v>
          </cell>
        </row>
        <row r="26">
          <cell r="X26">
            <v>14.02868393801382</v>
          </cell>
        </row>
        <row r="27">
          <cell r="X27">
            <v>14.503285286161296</v>
          </cell>
        </row>
        <row r="28">
          <cell r="X28">
            <v>14.613026888513307</v>
          </cell>
        </row>
        <row r="29">
          <cell r="X29">
            <v>14.746318933885334</v>
          </cell>
        </row>
        <row r="30">
          <cell r="X30">
            <v>14.413537765189494</v>
          </cell>
        </row>
        <row r="31">
          <cell r="X31">
            <v>14.314186882426947</v>
          </cell>
        </row>
        <row r="32">
          <cell r="X32">
            <v>14.793387238612331</v>
          </cell>
        </row>
        <row r="33">
          <cell r="X33">
            <v>14.593433665873018</v>
          </cell>
        </row>
      </sheetData>
      <sheetData sheetId="37"/>
      <sheetData sheetId="38">
        <row r="10">
          <cell r="X10">
            <v>14.106858577218707</v>
          </cell>
        </row>
        <row r="11">
          <cell r="X11">
            <v>14.214452968969914</v>
          </cell>
        </row>
        <row r="12">
          <cell r="X12">
            <v>14.124869802532221</v>
          </cell>
        </row>
        <row r="13">
          <cell r="X13">
            <v>14.541401483241849</v>
          </cell>
        </row>
        <row r="14">
          <cell r="X14">
            <v>15.051620496374637</v>
          </cell>
        </row>
        <row r="15">
          <cell r="X15">
            <v>15.333414657152174</v>
          </cell>
        </row>
        <row r="16">
          <cell r="X16">
            <v>15.329440620900467</v>
          </cell>
        </row>
        <row r="17">
          <cell r="X17">
            <v>15.608396398941339</v>
          </cell>
        </row>
        <row r="18">
          <cell r="X18">
            <v>15.966028288933824</v>
          </cell>
        </row>
        <row r="19">
          <cell r="X19">
            <v>15.87429447954074</v>
          </cell>
        </row>
        <row r="20">
          <cell r="X20">
            <v>15.534397169760092</v>
          </cell>
        </row>
        <row r="21">
          <cell r="X21">
            <v>16.148720271274517</v>
          </cell>
        </row>
        <row r="22">
          <cell r="X22">
            <v>14.722679054003661</v>
          </cell>
        </row>
        <row r="23">
          <cell r="X23">
            <v>16.974788842707163</v>
          </cell>
        </row>
        <row r="24">
          <cell r="X24">
            <v>16.684314937590734</v>
          </cell>
        </row>
        <row r="25">
          <cell r="X25">
            <v>16.479794698925367</v>
          </cell>
        </row>
        <row r="26">
          <cell r="X26">
            <v>15.686556217093129</v>
          </cell>
        </row>
        <row r="27">
          <cell r="X27">
            <v>16.241754009409512</v>
          </cell>
        </row>
        <row r="28">
          <cell r="X28">
            <v>16.418688361360918</v>
          </cell>
        </row>
        <row r="29">
          <cell r="X29">
            <v>16.054201121317302</v>
          </cell>
        </row>
        <row r="30">
          <cell r="X30">
            <v>15.892384899900868</v>
          </cell>
        </row>
        <row r="31">
          <cell r="X31">
            <v>15.748512409809615</v>
          </cell>
        </row>
        <row r="32">
          <cell r="X32">
            <v>14.138768843055599</v>
          </cell>
        </row>
        <row r="33">
          <cell r="X33">
            <v>13.949978138005891</v>
          </cell>
        </row>
      </sheetData>
      <sheetData sheetId="39"/>
      <sheetData sheetId="40">
        <row r="10">
          <cell r="X10">
            <v>13.881110133128619</v>
          </cell>
        </row>
        <row r="11">
          <cell r="X11">
            <v>13.644314528101752</v>
          </cell>
        </row>
        <row r="12">
          <cell r="X12">
            <v>13.645280757115955</v>
          </cell>
        </row>
        <row r="13">
          <cell r="X13">
            <v>13.412907866369011</v>
          </cell>
        </row>
        <row r="14">
          <cell r="X14">
            <v>13.46397839264195</v>
          </cell>
        </row>
        <row r="15">
          <cell r="X15">
            <v>12.893889826124125</v>
          </cell>
        </row>
        <row r="16">
          <cell r="X16">
            <v>12.914191670007346</v>
          </cell>
        </row>
        <row r="17">
          <cell r="X17">
            <v>13.130759569018906</v>
          </cell>
        </row>
        <row r="18">
          <cell r="X18">
            <v>12.660314136319684</v>
          </cell>
        </row>
        <row r="19">
          <cell r="X19">
            <v>12.548541103539597</v>
          </cell>
        </row>
        <row r="20">
          <cell r="X20">
            <v>11.993619621517796</v>
          </cell>
        </row>
        <row r="21">
          <cell r="X21">
            <v>11.309430892134037</v>
          </cell>
        </row>
        <row r="22">
          <cell r="X22">
            <v>10.722945756067405</v>
          </cell>
        </row>
        <row r="23">
          <cell r="X23">
            <v>10.986945229019781</v>
          </cell>
        </row>
        <row r="24">
          <cell r="X24">
            <v>10.1533745390651</v>
          </cell>
        </row>
        <row r="25">
          <cell r="X25">
            <v>10.325375136221924</v>
          </cell>
        </row>
        <row r="26">
          <cell r="X26">
            <v>8.3811245681775901</v>
          </cell>
        </row>
        <row r="27">
          <cell r="X27">
            <v>6.8207857143647415</v>
          </cell>
        </row>
        <row r="28">
          <cell r="X28">
            <v>7.4918041291170354</v>
          </cell>
        </row>
        <row r="29">
          <cell r="X29">
            <v>7.8783748990206677</v>
          </cell>
        </row>
        <row r="30">
          <cell r="X30">
            <v>7.7472561931182193</v>
          </cell>
        </row>
        <row r="31">
          <cell r="X31">
            <v>7.0030651409390572</v>
          </cell>
        </row>
        <row r="32">
          <cell r="X32">
            <v>7.2435023216142671</v>
          </cell>
        </row>
        <row r="33">
          <cell r="X33">
            <v>7.5194032141528728</v>
          </cell>
        </row>
      </sheetData>
      <sheetData sheetId="41"/>
      <sheetData sheetId="42">
        <row r="10">
          <cell r="X10">
            <v>7.7886518402079226</v>
          </cell>
        </row>
        <row r="11">
          <cell r="X11">
            <v>8.2308418433862389</v>
          </cell>
        </row>
        <row r="12">
          <cell r="X12">
            <v>8.0229499101388768</v>
          </cell>
        </row>
        <row r="13">
          <cell r="X13">
            <v>7.7673258213562884</v>
          </cell>
        </row>
        <row r="14">
          <cell r="X14">
            <v>7.6362665769979596</v>
          </cell>
        </row>
        <row r="15">
          <cell r="X15">
            <v>7.6754084112447094</v>
          </cell>
        </row>
        <row r="16">
          <cell r="X16">
            <v>8.3076868768149463</v>
          </cell>
        </row>
        <row r="17">
          <cell r="X17">
            <v>7.634644778887167</v>
          </cell>
        </row>
        <row r="18">
          <cell r="X18">
            <v>7.6945380934529402</v>
          </cell>
        </row>
        <row r="19">
          <cell r="X19">
            <v>7.6350056723378161</v>
          </cell>
        </row>
        <row r="20">
          <cell r="X20">
            <v>7.0685301034929839</v>
          </cell>
        </row>
        <row r="21">
          <cell r="X21">
            <v>7.4002039914735791</v>
          </cell>
        </row>
        <row r="22">
          <cell r="X22">
            <v>7.5977200968733438</v>
          </cell>
        </row>
        <row r="23">
          <cell r="X23">
            <v>8.3248777970436425</v>
          </cell>
        </row>
        <row r="24">
          <cell r="X24">
            <v>8.2025627274607409</v>
          </cell>
        </row>
        <row r="25">
          <cell r="X25">
            <v>8.71411408760979</v>
          </cell>
        </row>
        <row r="26">
          <cell r="X26">
            <v>9.4386644446424395</v>
          </cell>
        </row>
        <row r="27">
          <cell r="X27">
            <v>9.0951447912480479</v>
          </cell>
        </row>
        <row r="28">
          <cell r="X28">
            <v>9.1001102207549778</v>
          </cell>
        </row>
        <row r="29">
          <cell r="X29">
            <v>8.9601782760722077</v>
          </cell>
        </row>
        <row r="30">
          <cell r="X30">
            <v>8.8273751110149039</v>
          </cell>
        </row>
        <row r="31">
          <cell r="X31">
            <v>8.7147018529259022</v>
          </cell>
        </row>
        <row r="32">
          <cell r="X32">
            <v>8.7344342951924965</v>
          </cell>
        </row>
        <row r="33">
          <cell r="X33">
            <v>9.1276658783870488</v>
          </cell>
        </row>
      </sheetData>
      <sheetData sheetId="43"/>
      <sheetData sheetId="44">
        <row r="10">
          <cell r="X10">
            <v>9.0531220965073089</v>
          </cell>
        </row>
        <row r="11">
          <cell r="X11">
            <v>8.9325771427204081</v>
          </cell>
        </row>
        <row r="12">
          <cell r="X12">
            <v>8.7253468540621615</v>
          </cell>
        </row>
        <row r="13">
          <cell r="X13">
            <v>8.1893212310119345</v>
          </cell>
        </row>
        <row r="14">
          <cell r="X14">
            <v>8.0090878403296628</v>
          </cell>
        </row>
        <row r="15">
          <cell r="X15">
            <v>8.3128876578231239</v>
          </cell>
        </row>
        <row r="16">
          <cell r="X16">
            <v>8.0853012482221729</v>
          </cell>
        </row>
        <row r="17">
          <cell r="X17">
            <v>9.3071801583612217</v>
          </cell>
        </row>
        <row r="18">
          <cell r="X18">
            <v>9.250743787915761</v>
          </cell>
        </row>
        <row r="19">
          <cell r="X19">
            <v>8.9152613791798156</v>
          </cell>
        </row>
        <row r="20">
          <cell r="X20">
            <v>8.1288688910416536</v>
          </cell>
        </row>
        <row r="21">
          <cell r="X21">
            <v>8.8399248268830668</v>
          </cell>
        </row>
        <row r="22">
          <cell r="X22">
            <v>9.5239022647773179</v>
          </cell>
        </row>
        <row r="23">
          <cell r="X23">
            <v>9.7327845068496135</v>
          </cell>
        </row>
        <row r="24">
          <cell r="X24">
            <v>9.6429996910210054</v>
          </cell>
        </row>
        <row r="25">
          <cell r="X25">
            <v>10.2428039897278</v>
          </cell>
        </row>
        <row r="26">
          <cell r="X26">
            <v>10.286611255421979</v>
          </cell>
        </row>
        <row r="27">
          <cell r="X27">
            <v>10.179754568515909</v>
          </cell>
        </row>
        <row r="28">
          <cell r="X28">
            <v>10.344492577595885</v>
          </cell>
        </row>
        <row r="29">
          <cell r="X29">
            <v>10.278461068681947</v>
          </cell>
        </row>
        <row r="30">
          <cell r="X30">
            <v>10.217159384031236</v>
          </cell>
        </row>
        <row r="31">
          <cell r="X31">
            <v>10.161758912674896</v>
          </cell>
        </row>
        <row r="32">
          <cell r="X32">
            <v>10.241293437425398</v>
          </cell>
        </row>
        <row r="33">
          <cell r="X33">
            <v>10.135127760383908</v>
          </cell>
        </row>
      </sheetData>
      <sheetData sheetId="45"/>
      <sheetData sheetId="46">
        <row r="10">
          <cell r="X10">
            <v>9.9540393314531119</v>
          </cell>
        </row>
        <row r="11">
          <cell r="X11">
            <v>9.8514114564050015</v>
          </cell>
        </row>
        <row r="12">
          <cell r="X12">
            <v>9.791108704481486</v>
          </cell>
        </row>
        <row r="13">
          <cell r="X13">
            <v>9.351616836574637</v>
          </cell>
        </row>
        <row r="14">
          <cell r="X14">
            <v>9.267635520033819</v>
          </cell>
        </row>
        <row r="15">
          <cell r="X15">
            <v>9.0558583564544239</v>
          </cell>
        </row>
        <row r="16">
          <cell r="X16">
            <v>9.9259586031786213</v>
          </cell>
        </row>
        <row r="17">
          <cell r="X17">
            <v>10.009017060494317</v>
          </cell>
        </row>
        <row r="18">
          <cell r="X18">
            <v>10.586018918370335</v>
          </cell>
        </row>
        <row r="19">
          <cell r="X19">
            <v>10.643240702543942</v>
          </cell>
        </row>
        <row r="20">
          <cell r="X20">
            <v>10.511508367505897</v>
          </cell>
        </row>
        <row r="21">
          <cell r="X21">
            <v>9.980763571746408</v>
          </cell>
        </row>
        <row r="22">
          <cell r="X22">
            <v>11.01995441058904</v>
          </cell>
        </row>
        <row r="23">
          <cell r="X23">
            <v>11.507356989376985</v>
          </cell>
        </row>
        <row r="24">
          <cell r="X24">
            <v>11.663714055412793</v>
          </cell>
        </row>
        <row r="25">
          <cell r="X25">
            <v>11.487225963395653</v>
          </cell>
        </row>
        <row r="26">
          <cell r="X26">
            <v>11.375292075469655</v>
          </cell>
        </row>
        <row r="27">
          <cell r="X27">
            <v>11.506186888517133</v>
          </cell>
        </row>
        <row r="28">
          <cell r="X28">
            <v>11.388293059088808</v>
          </cell>
        </row>
        <row r="29">
          <cell r="X29">
            <v>11.619581750203471</v>
          </cell>
        </row>
        <row r="30">
          <cell r="X30">
            <v>11.377438475302284</v>
          </cell>
        </row>
        <row r="31">
          <cell r="X31">
            <v>11.774636573662242</v>
          </cell>
        </row>
        <row r="32">
          <cell r="X32">
            <v>11.25794505393668</v>
          </cell>
        </row>
        <row r="33">
          <cell r="X33">
            <v>11.072613255279093</v>
          </cell>
        </row>
      </sheetData>
      <sheetData sheetId="47"/>
      <sheetData sheetId="48">
        <row r="10">
          <cell r="X10">
            <v>11.414914692226063</v>
          </cell>
        </row>
        <row r="11">
          <cell r="X11">
            <v>11.877324580210823</v>
          </cell>
        </row>
        <row r="12">
          <cell r="X12">
            <v>11.43083618689294</v>
          </cell>
        </row>
        <row r="13">
          <cell r="X13">
            <v>10.859707976754196</v>
          </cell>
        </row>
        <row r="14">
          <cell r="X14">
            <v>10.651001530016407</v>
          </cell>
        </row>
        <row r="15">
          <cell r="X15">
            <v>10.349089295146836</v>
          </cell>
        </row>
        <row r="16">
          <cell r="X16">
            <v>10.869469151222402</v>
          </cell>
        </row>
        <row r="17">
          <cell r="X17">
            <v>11.92438664398677</v>
          </cell>
        </row>
        <row r="18">
          <cell r="X18">
            <v>11.743699690466817</v>
          </cell>
        </row>
        <row r="19">
          <cell r="X19">
            <v>11.993742179690273</v>
          </cell>
        </row>
        <row r="20">
          <cell r="X20">
            <v>11.711171206299706</v>
          </cell>
        </row>
        <row r="21">
          <cell r="X21">
            <v>11.829693744377563</v>
          </cell>
        </row>
        <row r="22">
          <cell r="X22">
            <v>12.118494989475002</v>
          </cell>
        </row>
        <row r="23">
          <cell r="X23">
            <v>12.272605538149756</v>
          </cell>
        </row>
        <row r="24">
          <cell r="X24">
            <v>12.068033748316601</v>
          </cell>
        </row>
        <row r="25">
          <cell r="X25">
            <v>12.294226325204166</v>
          </cell>
        </row>
        <row r="26">
          <cell r="X26">
            <v>11.892445155554729</v>
          </cell>
        </row>
        <row r="27">
          <cell r="X27">
            <v>12.140166271563309</v>
          </cell>
        </row>
        <row r="28">
          <cell r="X28">
            <v>12.140722064987107</v>
          </cell>
        </row>
        <row r="29">
          <cell r="X29">
            <v>11.965248403206044</v>
          </cell>
        </row>
        <row r="30">
          <cell r="X30">
            <v>11.885510027961464</v>
          </cell>
        </row>
        <row r="31">
          <cell r="X31">
            <v>11.770203697535447</v>
          </cell>
        </row>
        <row r="32">
          <cell r="X32">
            <v>11.574931616565706</v>
          </cell>
        </row>
        <row r="33">
          <cell r="X33">
            <v>11.438733178488121</v>
          </cell>
        </row>
      </sheetData>
      <sheetData sheetId="49"/>
      <sheetData sheetId="50">
        <row r="10">
          <cell r="X10">
            <v>11.337167370269576</v>
          </cell>
        </row>
        <row r="11">
          <cell r="X11">
            <v>11.394208167295149</v>
          </cell>
        </row>
        <row r="12">
          <cell r="X12">
            <v>11.202639296464593</v>
          </cell>
        </row>
        <row r="13">
          <cell r="X13">
            <v>10.751384909491543</v>
          </cell>
        </row>
        <row r="14">
          <cell r="X14">
            <v>10.475168836235531</v>
          </cell>
        </row>
        <row r="15">
          <cell r="X15">
            <v>10.332547197867587</v>
          </cell>
        </row>
        <row r="16">
          <cell r="X16">
            <v>10.224063263779325</v>
          </cell>
        </row>
        <row r="17">
          <cell r="X17">
            <v>10.917694757865897</v>
          </cell>
        </row>
        <row r="18">
          <cell r="X18">
            <v>10.395375996995648</v>
          </cell>
        </row>
        <row r="19">
          <cell r="X19">
            <v>9.4387845658159346</v>
          </cell>
        </row>
        <row r="20">
          <cell r="X20">
            <v>9.5048026020557383</v>
          </cell>
        </row>
        <row r="21">
          <cell r="X21">
            <v>8.8279783138514389</v>
          </cell>
        </row>
        <row r="22">
          <cell r="X22">
            <v>10.670666875070092</v>
          </cell>
        </row>
        <row r="23">
          <cell r="X23">
            <v>10.633261487245541</v>
          </cell>
        </row>
        <row r="24">
          <cell r="X24">
            <v>11.515683720857339</v>
          </cell>
        </row>
        <row r="25">
          <cell r="X25">
            <v>11.722388420367</v>
          </cell>
        </row>
        <row r="26">
          <cell r="X26">
            <v>11.552804408956723</v>
          </cell>
        </row>
        <row r="27">
          <cell r="X27">
            <v>11.522078677048038</v>
          </cell>
        </row>
        <row r="28">
          <cell r="X28">
            <v>11.524502229970953</v>
          </cell>
        </row>
        <row r="29">
          <cell r="X29">
            <v>11.329654720119473</v>
          </cell>
        </row>
        <row r="30">
          <cell r="X30">
            <v>11.180597851252491</v>
          </cell>
        </row>
        <row r="31">
          <cell r="X31">
            <v>10.962525572474807</v>
          </cell>
        </row>
        <row r="32">
          <cell r="X32">
            <v>10.806644570008805</v>
          </cell>
        </row>
        <row r="33">
          <cell r="X33">
            <v>10.807692728198345</v>
          </cell>
        </row>
      </sheetData>
      <sheetData sheetId="51"/>
      <sheetData sheetId="52">
        <row r="10">
          <cell r="X10">
            <v>10.913473561173854</v>
          </cell>
        </row>
        <row r="11">
          <cell r="X11">
            <v>10.188238767864558</v>
          </cell>
        </row>
        <row r="12">
          <cell r="X12">
            <v>9.929148281552477</v>
          </cell>
        </row>
        <row r="13">
          <cell r="X13">
            <v>9.9537868843312545</v>
          </cell>
        </row>
        <row r="14">
          <cell r="X14">
            <v>9.933794509655284</v>
          </cell>
        </row>
        <row r="15">
          <cell r="X15">
            <v>9.6710814021351936</v>
          </cell>
        </row>
        <row r="16">
          <cell r="X16">
            <v>9.8349593786930054</v>
          </cell>
        </row>
        <row r="17">
          <cell r="X17">
            <v>11.145895633265972</v>
          </cell>
        </row>
        <row r="18">
          <cell r="X18">
            <v>10.712765446594883</v>
          </cell>
        </row>
        <row r="19">
          <cell r="X19">
            <v>10.874831233925686</v>
          </cell>
        </row>
        <row r="20">
          <cell r="X20">
            <v>10.82250867320694</v>
          </cell>
        </row>
        <row r="21">
          <cell r="X21">
            <v>10.504032614180355</v>
          </cell>
        </row>
        <row r="22">
          <cell r="X22">
            <v>9.7612914489978788</v>
          </cell>
        </row>
        <row r="23">
          <cell r="X23">
            <v>9.7721541408977615</v>
          </cell>
        </row>
        <row r="24">
          <cell r="X24">
            <v>9.5276248918594622</v>
          </cell>
        </row>
        <row r="25">
          <cell r="X25">
            <v>13.214106874223157</v>
          </cell>
        </row>
        <row r="26">
          <cell r="X26">
            <v>12.975441146612253</v>
          </cell>
        </row>
        <row r="27">
          <cell r="X27">
            <v>12.831041937617222</v>
          </cell>
        </row>
        <row r="28">
          <cell r="X28">
            <v>12.700318702218471</v>
          </cell>
        </row>
        <row r="29">
          <cell r="X29">
            <v>12.74254268265517</v>
          </cell>
        </row>
        <row r="30">
          <cell r="X30">
            <v>12.657029714730172</v>
          </cell>
        </row>
        <row r="31">
          <cell r="X31">
            <v>12.093117576861479</v>
          </cell>
        </row>
        <row r="32">
          <cell r="X32">
            <v>11.810741006257796</v>
          </cell>
        </row>
        <row r="33">
          <cell r="X33">
            <v>11.740113860802811</v>
          </cell>
        </row>
      </sheetData>
      <sheetData sheetId="53"/>
      <sheetData sheetId="54">
        <row r="10">
          <cell r="X10">
            <v>11.637493508718416</v>
          </cell>
        </row>
        <row r="11">
          <cell r="X11">
            <v>11.770047364025734</v>
          </cell>
        </row>
        <row r="12">
          <cell r="X12">
            <v>12.372877815184335</v>
          </cell>
        </row>
        <row r="13">
          <cell r="X13">
            <v>12.42761270922786</v>
          </cell>
        </row>
        <row r="14">
          <cell r="X14">
            <v>12.268206029626997</v>
          </cell>
        </row>
        <row r="15">
          <cell r="X15">
            <v>12.147605874710118</v>
          </cell>
        </row>
        <row r="16">
          <cell r="X16">
            <v>12.392427506066154</v>
          </cell>
        </row>
        <row r="17">
          <cell r="X17">
            <v>12.986487187419357</v>
          </cell>
        </row>
        <row r="18">
          <cell r="X18">
            <v>12.56101369297228</v>
          </cell>
        </row>
        <row r="19">
          <cell r="X19">
            <v>12.975900590682809</v>
          </cell>
        </row>
        <row r="20">
          <cell r="X20">
            <v>12.424970314299273</v>
          </cell>
        </row>
        <row r="21">
          <cell r="X21">
            <v>12.211412654613364</v>
          </cell>
        </row>
        <row r="22">
          <cell r="X22">
            <v>13.409726809963059</v>
          </cell>
        </row>
        <row r="23">
          <cell r="X23">
            <v>12.597451152692392</v>
          </cell>
        </row>
        <row r="24">
          <cell r="X24">
            <v>13.28570882940279</v>
          </cell>
        </row>
        <row r="25">
          <cell r="X25">
            <v>13.162079993805978</v>
          </cell>
        </row>
        <row r="26">
          <cell r="X26">
            <v>12.765587790924005</v>
          </cell>
        </row>
        <row r="27">
          <cell r="X27">
            <v>12.884916006169334</v>
          </cell>
        </row>
        <row r="28">
          <cell r="X28">
            <v>13.010713592961546</v>
          </cell>
        </row>
        <row r="29">
          <cell r="X29">
            <v>13.09637919144844</v>
          </cell>
        </row>
        <row r="30">
          <cell r="X30">
            <v>13.042824671694826</v>
          </cell>
        </row>
        <row r="31">
          <cell r="X31">
            <v>13.257446678344458</v>
          </cell>
        </row>
        <row r="32">
          <cell r="X32">
            <v>13.173317067412439</v>
          </cell>
        </row>
        <row r="33">
          <cell r="X33">
            <v>13.085827603788053</v>
          </cell>
        </row>
      </sheetData>
      <sheetData sheetId="55"/>
      <sheetData sheetId="56">
        <row r="10">
          <cell r="X10">
            <v>13.084986009292113</v>
          </cell>
        </row>
        <row r="11">
          <cell r="X11">
            <v>12.888574076784751</v>
          </cell>
        </row>
        <row r="12">
          <cell r="X12">
            <v>12.936238275796198</v>
          </cell>
        </row>
        <row r="13">
          <cell r="X13">
            <v>12.937453655472638</v>
          </cell>
        </row>
        <row r="14">
          <cell r="X14">
            <v>12.754801087888582</v>
          </cell>
        </row>
        <row r="15">
          <cell r="X15">
            <v>12.808611642570614</v>
          </cell>
        </row>
        <row r="16">
          <cell r="X16">
            <v>13.087407475432288</v>
          </cell>
        </row>
        <row r="17">
          <cell r="X17">
            <v>13.262369671192101</v>
          </cell>
        </row>
        <row r="18">
          <cell r="X18">
            <v>12.893916416830459</v>
          </cell>
        </row>
        <row r="19">
          <cell r="X19">
            <v>12.380833764076639</v>
          </cell>
        </row>
        <row r="20">
          <cell r="X20">
            <v>11.763969350777639</v>
          </cell>
        </row>
        <row r="21">
          <cell r="X21">
            <v>11.77293623713066</v>
          </cell>
        </row>
        <row r="22">
          <cell r="X22">
            <v>11.811690000975151</v>
          </cell>
        </row>
        <row r="23">
          <cell r="X23">
            <v>12.097103011860366</v>
          </cell>
        </row>
        <row r="24">
          <cell r="X24">
            <v>13.213472747128105</v>
          </cell>
        </row>
        <row r="25">
          <cell r="X25">
            <v>13.740047592920495</v>
          </cell>
        </row>
        <row r="26">
          <cell r="X26">
            <v>13.469172766578893</v>
          </cell>
        </row>
        <row r="27">
          <cell r="X27">
            <v>13.584455844012403</v>
          </cell>
        </row>
        <row r="28">
          <cell r="X28">
            <v>13.306497395662536</v>
          </cell>
        </row>
        <row r="29">
          <cell r="X29">
            <v>13.383543826507568</v>
          </cell>
        </row>
        <row r="30">
          <cell r="X30">
            <v>13.030523240103777</v>
          </cell>
        </row>
        <row r="31">
          <cell r="X31">
            <v>13.413553473923386</v>
          </cell>
        </row>
        <row r="32">
          <cell r="X32">
            <v>12.776416273495345</v>
          </cell>
        </row>
        <row r="33">
          <cell r="X33">
            <v>12.614667684319368</v>
          </cell>
        </row>
      </sheetData>
      <sheetData sheetId="57"/>
      <sheetData sheetId="58">
        <row r="10">
          <cell r="X10">
            <v>12.468177223089892</v>
          </cell>
        </row>
        <row r="11">
          <cell r="X11">
            <v>12.045990505189446</v>
          </cell>
        </row>
        <row r="12">
          <cell r="X12">
            <v>12.31507571941227</v>
          </cell>
        </row>
        <row r="13">
          <cell r="X13">
            <v>12.233830496862392</v>
          </cell>
        </row>
        <row r="14">
          <cell r="X14">
            <v>11.389977205574978</v>
          </cell>
        </row>
        <row r="15">
          <cell r="X15">
            <v>11.788633555966504</v>
          </cell>
        </row>
        <row r="16">
          <cell r="X16">
            <v>12.236087440652366</v>
          </cell>
        </row>
        <row r="17">
          <cell r="X17">
            <v>11.981285091247869</v>
          </cell>
        </row>
        <row r="18">
          <cell r="X18">
            <v>11.888368999457059</v>
          </cell>
        </row>
        <row r="19">
          <cell r="X19">
            <v>11.554656506184388</v>
          </cell>
        </row>
        <row r="20">
          <cell r="X20">
            <v>11.755520239374265</v>
          </cell>
        </row>
        <row r="21">
          <cell r="X21">
            <v>11.396450793210809</v>
          </cell>
        </row>
        <row r="22">
          <cell r="X22">
            <v>12.133891609381957</v>
          </cell>
        </row>
        <row r="23">
          <cell r="X23">
            <v>10.358227747490877</v>
          </cell>
        </row>
        <row r="24">
          <cell r="X24">
            <v>11.313154358327266</v>
          </cell>
        </row>
        <row r="25">
          <cell r="X25">
            <v>11.253462285849009</v>
          </cell>
        </row>
        <row r="26">
          <cell r="X26">
            <v>10.019469960257281</v>
          </cell>
        </row>
        <row r="27">
          <cell r="X27">
            <v>10.165739782491924</v>
          </cell>
        </row>
        <row r="28">
          <cell r="X28">
            <v>10.481111392102658</v>
          </cell>
        </row>
        <row r="29">
          <cell r="X29">
            <v>11.056517831139047</v>
          </cell>
        </row>
        <row r="30">
          <cell r="X30">
            <v>11.199986693466888</v>
          </cell>
        </row>
        <row r="31">
          <cell r="X31">
            <v>11.503614279359571</v>
          </cell>
        </row>
        <row r="32">
          <cell r="X32">
            <v>12.214173531597167</v>
          </cell>
        </row>
        <row r="33">
          <cell r="X33">
            <v>12.053389509735144</v>
          </cell>
        </row>
      </sheetData>
      <sheetData sheetId="59"/>
      <sheetData sheetId="60">
        <row r="10">
          <cell r="X10">
            <v>11.942750473922043</v>
          </cell>
        </row>
        <row r="11">
          <cell r="X11">
            <v>12.000525518933802</v>
          </cell>
        </row>
        <row r="12">
          <cell r="X12">
            <v>11.775150696685113</v>
          </cell>
        </row>
        <row r="13">
          <cell r="X13">
            <v>11.854320076955352</v>
          </cell>
        </row>
        <row r="14">
          <cell r="X14">
            <v>11.854242720054138</v>
          </cell>
        </row>
        <row r="15">
          <cell r="X15">
            <v>11.972933470994919</v>
          </cell>
        </row>
        <row r="16">
          <cell r="X16">
            <v>12.138261422622213</v>
          </cell>
        </row>
        <row r="17">
          <cell r="X17">
            <v>12.246287865401996</v>
          </cell>
        </row>
        <row r="18">
          <cell r="X18">
            <v>12.607109772954566</v>
          </cell>
        </row>
        <row r="19">
          <cell r="X19">
            <v>12.185902505870907</v>
          </cell>
        </row>
        <row r="20">
          <cell r="X20">
            <v>12.152081771503909</v>
          </cell>
        </row>
        <row r="21">
          <cell r="X21">
            <v>11.822612529971597</v>
          </cell>
        </row>
        <row r="22">
          <cell r="X22">
            <v>12.047119291175697</v>
          </cell>
        </row>
        <row r="23">
          <cell r="X23">
            <v>12.744797821735833</v>
          </cell>
        </row>
        <row r="24">
          <cell r="X24">
            <v>13.061381159296662</v>
          </cell>
        </row>
        <row r="25">
          <cell r="X25">
            <v>12.739031191724868</v>
          </cell>
        </row>
        <row r="26">
          <cell r="X26">
            <v>12.547139450529476</v>
          </cell>
        </row>
        <row r="27">
          <cell r="X27">
            <v>12.88002399211557</v>
          </cell>
        </row>
        <row r="28">
          <cell r="X28">
            <v>12.788907381143272</v>
          </cell>
        </row>
        <row r="29">
          <cell r="X29">
            <v>12.823640905861129</v>
          </cell>
        </row>
        <row r="30">
          <cell r="X30">
            <v>13.075609668548489</v>
          </cell>
        </row>
        <row r="31">
          <cell r="X31">
            <v>12.943218582219032</v>
          </cell>
        </row>
        <row r="32">
          <cell r="X32">
            <v>12.819601380996904</v>
          </cell>
        </row>
        <row r="33">
          <cell r="X33">
            <v>12.735781534043765</v>
          </cell>
        </row>
      </sheetData>
      <sheetData sheetId="61"/>
      <sheetData sheetId="62">
        <row r="10">
          <cell r="X10">
            <v>12.684710200874923</v>
          </cell>
        </row>
        <row r="11">
          <cell r="X11">
            <v>12.98187365988484</v>
          </cell>
        </row>
        <row r="12">
          <cell r="X12">
            <v>12.841180754915769</v>
          </cell>
        </row>
        <row r="13">
          <cell r="X13">
            <v>12.665343041069084</v>
          </cell>
        </row>
        <row r="14">
          <cell r="X14">
            <v>12.668127395994942</v>
          </cell>
        </row>
        <row r="15">
          <cell r="X15">
            <v>12.661758926766298</v>
          </cell>
        </row>
        <row r="16">
          <cell r="X16">
            <v>12.868502815137996</v>
          </cell>
        </row>
        <row r="17">
          <cell r="X17">
            <v>12.576637908282375</v>
          </cell>
        </row>
        <row r="18">
          <cell r="X18">
            <v>12.716227414616887</v>
          </cell>
        </row>
        <row r="19">
          <cell r="X19">
            <v>12.676019634661888</v>
          </cell>
        </row>
        <row r="20">
          <cell r="X20">
            <v>12.348261902695585</v>
          </cell>
        </row>
        <row r="21">
          <cell r="X21">
            <v>13.162287283327132</v>
          </cell>
        </row>
        <row r="22">
          <cell r="X22">
            <v>12.464700192366948</v>
          </cell>
        </row>
        <row r="23">
          <cell r="X23">
            <v>12.934552079552647</v>
          </cell>
        </row>
        <row r="24">
          <cell r="X24">
            <v>13.684652345945818</v>
          </cell>
        </row>
        <row r="25">
          <cell r="X25">
            <v>13.975066269447135</v>
          </cell>
        </row>
        <row r="26">
          <cell r="X26">
            <v>13.950003604758461</v>
          </cell>
        </row>
        <row r="27">
          <cell r="X27">
            <v>13.97547891585986</v>
          </cell>
        </row>
        <row r="28">
          <cell r="X28">
            <v>13.703619826448003</v>
          </cell>
        </row>
        <row r="29">
          <cell r="X29">
            <v>13.426533177921838</v>
          </cell>
        </row>
        <row r="30">
          <cell r="X30">
            <v>13.502095065583156</v>
          </cell>
        </row>
        <row r="31">
          <cell r="X31">
            <v>13.322218947714275</v>
          </cell>
        </row>
        <row r="32">
          <cell r="X32">
            <v>13.404145126491862</v>
          </cell>
        </row>
        <row r="33">
          <cell r="X33">
            <v>13.310176515586788</v>
          </cell>
        </row>
      </sheetData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</sheetDataSet>
  </externalBook>
</externalLink>
</file>

<file path=xl/externalLinks/externalLink5.xml><?xml version="1.0" encoding="utf-8"?>
<externalLink xmlns="http://schemas.openxmlformats.org/spreadsheetml/2006/main">
  <externalBook xmlns:r="http://schemas.openxmlformats.org/officeDocument/2006/relationships" r:id="rId1">
    <sheetNames>
      <sheetName val="Ponto de Orvalho"/>
      <sheetName val="Bulbo Umido"/>
      <sheetName val="Verificações"/>
      <sheetName val="Dia 1 (a)"/>
      <sheetName val="Dia 1 (b)"/>
      <sheetName val="Dia 2 (a)"/>
      <sheetName val="Dia 2 (b)"/>
      <sheetName val="Dia 3 (a)"/>
      <sheetName val="Dia 3 (b)"/>
      <sheetName val="Dia 4 (a)"/>
      <sheetName val="Dia 4 (b)"/>
      <sheetName val="Dia 5 (a)"/>
      <sheetName val="Dia 5 (b)"/>
      <sheetName val="Dia 6 (a)"/>
      <sheetName val="Dia 6 (b)"/>
      <sheetName val="Dia 7 (a)"/>
      <sheetName val="Dia 7 (b)"/>
      <sheetName val="Dia 8 (a)"/>
      <sheetName val="Dia 8 (b)"/>
      <sheetName val="Dia 9 (a)"/>
      <sheetName val="Dia 9 (b)"/>
      <sheetName val="Dia 10 (a)"/>
      <sheetName val="Dia 10 (b)"/>
      <sheetName val="Dia 11 (a)"/>
      <sheetName val="Dia 11 (b)"/>
      <sheetName val="Dia 12 (a)"/>
      <sheetName val="Dia 12 (b)"/>
      <sheetName val="Dia 13 (a)"/>
      <sheetName val="Dia 13 (b)"/>
      <sheetName val="Dia 14 (a)"/>
      <sheetName val="Dia 14 (b)"/>
      <sheetName val="Dia 15 (a)"/>
      <sheetName val="Dia 15 (b)"/>
      <sheetName val="Dia 16 (a)"/>
      <sheetName val="Dia 16 (b)"/>
      <sheetName val="Dia 17 (a)"/>
      <sheetName val="Dia 17 (b)"/>
      <sheetName val="Dia 18 (a)"/>
      <sheetName val="Dia 18 (b)"/>
      <sheetName val="Dia 19 (a)"/>
      <sheetName val="Dia 19 (b)"/>
      <sheetName val="Dia 20 (a)"/>
      <sheetName val="Dia 20 (b)"/>
      <sheetName val="Dia 21 (a)"/>
      <sheetName val="Dia 21 (b)"/>
      <sheetName val="Dia 22 (a)"/>
      <sheetName val="Dia 22 (b)"/>
      <sheetName val="Dia 23 (a)"/>
      <sheetName val="Dia 23 (b)"/>
      <sheetName val="Dia 24 (a)"/>
      <sheetName val="Planilha1"/>
      <sheetName val="Planilha2"/>
      <sheetName val="Dia 24 (b)"/>
      <sheetName val="Dia 25 (a)"/>
      <sheetName val="Dia 25 (b)"/>
      <sheetName val="Dia 26 (a)"/>
      <sheetName val="Dia 26 (b)"/>
      <sheetName val="Dia 27 (a)"/>
      <sheetName val="Dia 27 (b)"/>
      <sheetName val="Dia 28 (a)"/>
      <sheetName val="Dia 28 (b)"/>
      <sheetName val="Dia 29 (a)"/>
      <sheetName val="Dia 29 (b)"/>
      <sheetName val="Dia 30 (a)"/>
      <sheetName val="Dia 30 (b)"/>
      <sheetName val="Dia 31 (a)"/>
      <sheetName val="Dia 31 (b)"/>
      <sheetName val="Visibilidade"/>
      <sheetName val="Tipo-Nuvens Baixas"/>
      <sheetName val="Quant.-Nuvens Baixas"/>
      <sheetName val="Tipo-Nuvens Médias"/>
      <sheetName val="Quant.-Nuvens Médias"/>
      <sheetName val="Tipo-Nuvens Altas"/>
      <sheetName val="Quant.-Nuvens Altas"/>
      <sheetName val="Cobertura Total"/>
      <sheetName val="Barôm. a Grav. Normal (hPa=mb)"/>
      <sheetName val="Term. Seco (C)"/>
      <sheetName val="Umid. Relat. (%)"/>
      <sheetName val="Umid. Específica (g.kg-1)"/>
      <sheetName val="Temp. Superf. (C)"/>
      <sheetName val="Temp. 5 cm (C)"/>
      <sheetName val="Temp. 10 cm (C)"/>
      <sheetName val="Temp. 20 cm (C)"/>
      <sheetName val="Temp. 30 cm (C)"/>
      <sheetName val="Temp. 40 cm (C)"/>
      <sheetName val="Temp. Máx. e Mín. (C)"/>
      <sheetName val="Precipitação e Evaporação (mm)"/>
      <sheetName val="INMET"/>
      <sheetName val="Fenomenos Diversos"/>
    </sheetNames>
    <sheetDataSet>
      <sheetData sheetId="0"/>
      <sheetData sheetId="1"/>
      <sheetData sheetId="2"/>
      <sheetData sheetId="3"/>
      <sheetData sheetId="4">
        <row r="1">
          <cell r="C1" t="str">
            <v>MAIO DE 2023</v>
          </cell>
        </row>
        <row r="10">
          <cell r="X10">
            <v>13.098833348756717</v>
          </cell>
        </row>
        <row r="11">
          <cell r="X11">
            <v>13.277385545400513</v>
          </cell>
        </row>
        <row r="12">
          <cell r="X12">
            <v>13.192920175617877</v>
          </cell>
        </row>
        <row r="13">
          <cell r="X13">
            <v>13.786323620038546</v>
          </cell>
        </row>
        <row r="14">
          <cell r="X14">
            <v>13.727417817214247</v>
          </cell>
        </row>
        <row r="15">
          <cell r="X15">
            <v>13.156759216587082</v>
          </cell>
        </row>
        <row r="16">
          <cell r="X16">
            <v>13.180847156668262</v>
          </cell>
        </row>
        <row r="17">
          <cell r="X17">
            <v>13.0194694534276</v>
          </cell>
        </row>
        <row r="18">
          <cell r="X18">
            <v>13.04119285506118</v>
          </cell>
        </row>
        <row r="19">
          <cell r="X19">
            <v>12.560914860076357</v>
          </cell>
        </row>
        <row r="20">
          <cell r="X20">
            <v>12.498674881442271</v>
          </cell>
        </row>
        <row r="21">
          <cell r="X21">
            <v>12.619394364182597</v>
          </cell>
        </row>
        <row r="22">
          <cell r="X22">
            <v>11.787295036301598</v>
          </cell>
        </row>
        <row r="23">
          <cell r="X23">
            <v>13.898032370614047</v>
          </cell>
        </row>
        <row r="24">
          <cell r="X24">
            <v>14.379041005213162</v>
          </cell>
        </row>
        <row r="25">
          <cell r="X25">
            <v>13.866429558622245</v>
          </cell>
        </row>
        <row r="26">
          <cell r="X26">
            <v>13.844176571887147</v>
          </cell>
        </row>
        <row r="27">
          <cell r="X27">
            <v>13.99069088656843</v>
          </cell>
        </row>
        <row r="28">
          <cell r="X28">
            <v>13.801273323415545</v>
          </cell>
        </row>
        <row r="29">
          <cell r="X29">
            <v>13.830113567843851</v>
          </cell>
        </row>
        <row r="30">
          <cell r="X30">
            <v>13.60722212896275</v>
          </cell>
        </row>
        <row r="31">
          <cell r="X31">
            <v>13.643072065626184</v>
          </cell>
        </row>
        <row r="32">
          <cell r="X32">
            <v>13.331904029142054</v>
          </cell>
        </row>
        <row r="33">
          <cell r="X33">
            <v>13.592237004373116</v>
          </cell>
        </row>
      </sheetData>
      <sheetData sheetId="5"/>
      <sheetData sheetId="6">
        <row r="10">
          <cell r="X10">
            <v>13.276316772360769</v>
          </cell>
        </row>
        <row r="11">
          <cell r="X11">
            <v>12.841249185443276</v>
          </cell>
        </row>
        <row r="12">
          <cell r="X12">
            <v>13.201535599848938</v>
          </cell>
        </row>
        <row r="13">
          <cell r="X13">
            <v>13.068032371121266</v>
          </cell>
        </row>
        <row r="14">
          <cell r="X14">
            <v>13.069353143632503</v>
          </cell>
        </row>
        <row r="15">
          <cell r="X15">
            <v>13.231783529051066</v>
          </cell>
        </row>
        <row r="16">
          <cell r="X16">
            <v>13.410960238132985</v>
          </cell>
        </row>
        <row r="17">
          <cell r="X17">
            <v>13.508045915725944</v>
          </cell>
        </row>
        <row r="18">
          <cell r="X18">
            <v>12.617243144741332</v>
          </cell>
        </row>
        <row r="19">
          <cell r="X19">
            <v>12.965800973259967</v>
          </cell>
        </row>
        <row r="20">
          <cell r="X20">
            <v>13.009296589764352</v>
          </cell>
        </row>
        <row r="21">
          <cell r="X21">
            <v>12.479450558191527</v>
          </cell>
        </row>
        <row r="22">
          <cell r="X22">
            <v>12.306417228724928</v>
          </cell>
        </row>
        <row r="23">
          <cell r="X23">
            <v>13.351619740871493</v>
          </cell>
        </row>
        <row r="24">
          <cell r="X24">
            <v>14.529981977725495</v>
          </cell>
        </row>
        <row r="25">
          <cell r="X25">
            <v>14.356206873308162</v>
          </cell>
        </row>
        <row r="26">
          <cell r="X26">
            <v>13.921832929622727</v>
          </cell>
        </row>
        <row r="27">
          <cell r="X27">
            <v>13.985998479723881</v>
          </cell>
        </row>
        <row r="28">
          <cell r="X28">
            <v>14.151052234324627</v>
          </cell>
        </row>
        <row r="29">
          <cell r="X29">
            <v>13.432874708709834</v>
          </cell>
        </row>
        <row r="30">
          <cell r="X30">
            <v>14.039716237963431</v>
          </cell>
        </row>
        <row r="31">
          <cell r="X31">
            <v>13.723643652076168</v>
          </cell>
        </row>
        <row r="32">
          <cell r="X32">
            <v>13.592698526127705</v>
          </cell>
        </row>
        <row r="33">
          <cell r="X33">
            <v>13.409664280556363</v>
          </cell>
        </row>
      </sheetData>
      <sheetData sheetId="7"/>
      <sheetData sheetId="8">
        <row r="10">
          <cell r="X10">
            <v>13.25654291589262</v>
          </cell>
        </row>
        <row r="11">
          <cell r="X11">
            <v>12.984493370082614</v>
          </cell>
        </row>
        <row r="12">
          <cell r="X12">
            <v>12.742956369557806</v>
          </cell>
        </row>
        <row r="13">
          <cell r="X13">
            <v>12.189884915428902</v>
          </cell>
        </row>
        <row r="14">
          <cell r="X14">
            <v>12.266425922531305</v>
          </cell>
        </row>
        <row r="15">
          <cell r="X15">
            <v>12.338029072095091</v>
          </cell>
        </row>
        <row r="16">
          <cell r="X16">
            <v>12.896745963440267</v>
          </cell>
        </row>
        <row r="17">
          <cell r="X17">
            <v>13.710342418484545</v>
          </cell>
        </row>
        <row r="18">
          <cell r="X18">
            <v>13.552895887550831</v>
          </cell>
        </row>
        <row r="19">
          <cell r="X19">
            <v>13.626448547011622</v>
          </cell>
        </row>
        <row r="20">
          <cell r="X20">
            <v>13.449810003206462</v>
          </cell>
        </row>
        <row r="21">
          <cell r="X21">
            <v>13.008363765398895</v>
          </cell>
        </row>
        <row r="22">
          <cell r="X22">
            <v>12.951202671146898</v>
          </cell>
        </row>
        <row r="23">
          <cell r="X23">
            <v>11.041084950778005</v>
          </cell>
        </row>
        <row r="24">
          <cell r="X24">
            <v>11.469193270173299</v>
          </cell>
        </row>
        <row r="25">
          <cell r="X25">
            <v>15.040661512356756</v>
          </cell>
        </row>
        <row r="26">
          <cell r="X26">
            <v>14.450240686443292</v>
          </cell>
        </row>
        <row r="27">
          <cell r="X27">
            <v>14.134575406207393</v>
          </cell>
        </row>
        <row r="28">
          <cell r="X28">
            <v>14.380195990932569</v>
          </cell>
        </row>
        <row r="29">
          <cell r="X29">
            <v>14.14449100283867</v>
          </cell>
        </row>
        <row r="30">
          <cell r="X30">
            <v>14.039975381843073</v>
          </cell>
        </row>
        <row r="31">
          <cell r="X31">
            <v>14.181800040361106</v>
          </cell>
        </row>
        <row r="32">
          <cell r="X32">
            <v>14.316795318289259</v>
          </cell>
        </row>
        <row r="33">
          <cell r="X33">
            <v>13.915517324488983</v>
          </cell>
        </row>
      </sheetData>
      <sheetData sheetId="9"/>
      <sheetData sheetId="10">
        <row r="10">
          <cell r="X10">
            <v>13.890572324894228</v>
          </cell>
        </row>
        <row r="11">
          <cell r="X11">
            <v>13.672009717939428</v>
          </cell>
        </row>
        <row r="12">
          <cell r="X12">
            <v>13.183575455925407</v>
          </cell>
        </row>
        <row r="13">
          <cell r="X13">
            <v>14.174388024534515</v>
          </cell>
        </row>
        <row r="14">
          <cell r="X14">
            <v>13.873240520961486</v>
          </cell>
        </row>
        <row r="15">
          <cell r="X15">
            <v>13.862980726323244</v>
          </cell>
        </row>
        <row r="16">
          <cell r="X16">
            <v>13.396700774486147</v>
          </cell>
        </row>
        <row r="17">
          <cell r="X17">
            <v>13.313069997245751</v>
          </cell>
        </row>
        <row r="18">
          <cell r="X18">
            <v>13.295172600994333</v>
          </cell>
        </row>
        <row r="19">
          <cell r="X19">
            <v>13.162319484330309</v>
          </cell>
        </row>
        <row r="20">
          <cell r="X20">
            <v>13.022133458624223</v>
          </cell>
        </row>
        <row r="21">
          <cell r="X21">
            <v>11.156836396138244</v>
          </cell>
        </row>
        <row r="22">
          <cell r="X22">
            <v>10.272766438724828</v>
          </cell>
        </row>
        <row r="23">
          <cell r="X23">
            <v>10.070648960572736</v>
          </cell>
        </row>
        <row r="24">
          <cell r="X24">
            <v>10.381610429793199</v>
          </cell>
        </row>
        <row r="25">
          <cell r="X25">
            <v>10.111874496827843</v>
          </cell>
        </row>
        <row r="26">
          <cell r="X26">
            <v>10.779787124217354</v>
          </cell>
        </row>
        <row r="27">
          <cell r="X27">
            <v>13.422498136155925</v>
          </cell>
        </row>
        <row r="28">
          <cell r="X28">
            <v>14.215548807336639</v>
          </cell>
        </row>
        <row r="29">
          <cell r="X29">
            <v>14.30847622812054</v>
          </cell>
        </row>
        <row r="30">
          <cell r="X30">
            <v>13.922934113607374</v>
          </cell>
        </row>
        <row r="31">
          <cell r="X31">
            <v>13.728538375526757</v>
          </cell>
        </row>
        <row r="32">
          <cell r="X32">
            <v>13.499551267151737</v>
          </cell>
        </row>
        <row r="33">
          <cell r="X33">
            <v>13.065224267001472</v>
          </cell>
        </row>
      </sheetData>
      <sheetData sheetId="11"/>
      <sheetData sheetId="12">
        <row r="10">
          <cell r="X10">
            <v>12.816078695339927</v>
          </cell>
        </row>
        <row r="11">
          <cell r="X11">
            <v>12.742450567266355</v>
          </cell>
        </row>
        <row r="12">
          <cell r="X12">
            <v>12.564527101766279</v>
          </cell>
        </row>
        <row r="13">
          <cell r="X13">
            <v>12.589160385340421</v>
          </cell>
        </row>
        <row r="14">
          <cell r="X14">
            <v>12.587407159236152</v>
          </cell>
        </row>
        <row r="15">
          <cell r="X15">
            <v>13.036618677922734</v>
          </cell>
        </row>
        <row r="16">
          <cell r="X16">
            <v>13.265699495609718</v>
          </cell>
        </row>
        <row r="17">
          <cell r="X17">
            <v>13.612150897590615</v>
          </cell>
        </row>
        <row r="18">
          <cell r="X18">
            <v>13.936847886226426</v>
          </cell>
        </row>
        <row r="19">
          <cell r="X19">
            <v>12.435957716221882</v>
          </cell>
        </row>
        <row r="20">
          <cell r="X20">
            <v>12.580569410638315</v>
          </cell>
        </row>
        <row r="21">
          <cell r="X21">
            <v>12.770224053452962</v>
          </cell>
        </row>
        <row r="22">
          <cell r="X22">
            <v>12.23223134682703</v>
          </cell>
        </row>
        <row r="23">
          <cell r="X23">
            <v>14.817349653183419</v>
          </cell>
        </row>
        <row r="24">
          <cell r="X24">
            <v>15.223603627639703</v>
          </cell>
        </row>
        <row r="25">
          <cell r="X25">
            <v>15.325308976687335</v>
          </cell>
        </row>
        <row r="26">
          <cell r="X26">
            <v>15.168174043476567</v>
          </cell>
        </row>
        <row r="27">
          <cell r="X27">
            <v>15.21171003949283</v>
          </cell>
        </row>
        <row r="28">
          <cell r="X28">
            <v>15.024438587269071</v>
          </cell>
        </row>
        <row r="29">
          <cell r="X29">
            <v>14.849046687625094</v>
          </cell>
        </row>
        <row r="30">
          <cell r="X30">
            <v>14.183538764760462</v>
          </cell>
        </row>
        <row r="31">
          <cell r="X31">
            <v>14.180671784394853</v>
          </cell>
        </row>
        <row r="32">
          <cell r="X32">
            <v>14.18018237507688</v>
          </cell>
        </row>
        <row r="33">
          <cell r="X33">
            <v>14.285868203216902</v>
          </cell>
        </row>
      </sheetData>
      <sheetData sheetId="13"/>
      <sheetData sheetId="14">
        <row r="10">
          <cell r="X10">
            <v>14.02473642016907</v>
          </cell>
        </row>
        <row r="11">
          <cell r="X11">
            <v>14.599262727034034</v>
          </cell>
        </row>
        <row r="12">
          <cell r="X12">
            <v>13.897331581559696</v>
          </cell>
        </row>
        <row r="13">
          <cell r="X13">
            <v>13.363883093546278</v>
          </cell>
        </row>
        <row r="14">
          <cell r="X14">
            <v>13.424280965873958</v>
          </cell>
        </row>
        <row r="15">
          <cell r="X15">
            <v>13.354387724360256</v>
          </cell>
        </row>
        <row r="16">
          <cell r="X16">
            <v>13.146725240849833</v>
          </cell>
        </row>
        <row r="17">
          <cell r="X17">
            <v>13.322827863930963</v>
          </cell>
        </row>
        <row r="18">
          <cell r="X18">
            <v>13.459604730983594</v>
          </cell>
        </row>
        <row r="19">
          <cell r="X19">
            <v>13.380462988871088</v>
          </cell>
        </row>
        <row r="20">
          <cell r="X20">
            <v>13.182281118590804</v>
          </cell>
        </row>
        <row r="21">
          <cell r="X21">
            <v>13.498146724859396</v>
          </cell>
        </row>
        <row r="22">
          <cell r="X22">
            <v>13.241965700926473</v>
          </cell>
        </row>
        <row r="23">
          <cell r="X23">
            <v>12.83265789291932</v>
          </cell>
        </row>
        <row r="24">
          <cell r="X24">
            <v>13.202387563448195</v>
          </cell>
        </row>
        <row r="25">
          <cell r="X25">
            <v>15.163824172695444</v>
          </cell>
        </row>
        <row r="26">
          <cell r="X26">
            <v>14.424251781124154</v>
          </cell>
        </row>
        <row r="27">
          <cell r="X27">
            <v>14.277581259199707</v>
          </cell>
        </row>
        <row r="28">
          <cell r="X28">
            <v>14.356630664056102</v>
          </cell>
        </row>
        <row r="29">
          <cell r="X29">
            <v>13.893887846601364</v>
          </cell>
        </row>
        <row r="30">
          <cell r="X30">
            <v>13.665776104453968</v>
          </cell>
        </row>
        <row r="31">
          <cell r="X31">
            <v>13.751645384823814</v>
          </cell>
        </row>
        <row r="32">
          <cell r="X32">
            <v>14.154230215457893</v>
          </cell>
        </row>
        <row r="33">
          <cell r="X33">
            <v>13.516346289249233</v>
          </cell>
        </row>
      </sheetData>
      <sheetData sheetId="15"/>
      <sheetData sheetId="16">
        <row r="10">
          <cell r="X10">
            <v>13.747668415969899</v>
          </cell>
        </row>
        <row r="11">
          <cell r="X11">
            <v>13.247688187762389</v>
          </cell>
        </row>
        <row r="12">
          <cell r="X12">
            <v>12.956076261237119</v>
          </cell>
        </row>
        <row r="13">
          <cell r="X13">
            <v>12.796923901113985</v>
          </cell>
        </row>
        <row r="14">
          <cell r="X14">
            <v>13.265535858923126</v>
          </cell>
        </row>
        <row r="15">
          <cell r="X15">
            <v>12.780057908373859</v>
          </cell>
        </row>
        <row r="16">
          <cell r="X16">
            <v>12.663219422413102</v>
          </cell>
        </row>
        <row r="17">
          <cell r="X17">
            <v>12.651211265746465</v>
          </cell>
        </row>
        <row r="18">
          <cell r="X18">
            <v>13.086004585454569</v>
          </cell>
        </row>
        <row r="19">
          <cell r="X19">
            <v>13.024035200723066</v>
          </cell>
        </row>
        <row r="20">
          <cell r="X20">
            <v>13.150965353983315</v>
          </cell>
        </row>
        <row r="21">
          <cell r="X21">
            <v>12.764912827193852</v>
          </cell>
        </row>
        <row r="22">
          <cell r="X22">
            <v>13.237817374595545</v>
          </cell>
        </row>
        <row r="23">
          <cell r="X23">
            <v>12.541320400976591</v>
          </cell>
        </row>
        <row r="24">
          <cell r="X24">
            <v>11.779609531452159</v>
          </cell>
        </row>
        <row r="25">
          <cell r="X25">
            <v>13.390331807072437</v>
          </cell>
        </row>
        <row r="26">
          <cell r="X26">
            <v>14.786299041265842</v>
          </cell>
        </row>
        <row r="27">
          <cell r="X27">
            <v>14.78296226489225</v>
          </cell>
        </row>
        <row r="28">
          <cell r="X28">
            <v>14.681511489072919</v>
          </cell>
        </row>
        <row r="29">
          <cell r="X29">
            <v>14.392655014970726</v>
          </cell>
        </row>
        <row r="30">
          <cell r="X30">
            <v>13.967646687026363</v>
          </cell>
        </row>
        <row r="31">
          <cell r="X31">
            <v>13.650956707437182</v>
          </cell>
        </row>
        <row r="32">
          <cell r="X32">
            <v>13.169993809607053</v>
          </cell>
        </row>
        <row r="33">
          <cell r="X33">
            <v>13.163750859204621</v>
          </cell>
        </row>
      </sheetData>
      <sheetData sheetId="17"/>
      <sheetData sheetId="18">
        <row r="10">
          <cell r="X10">
            <v>12.782225313457346</v>
          </cell>
        </row>
        <row r="11">
          <cell r="X11">
            <v>13.278085033446033</v>
          </cell>
        </row>
        <row r="12">
          <cell r="X12">
            <v>13.197734343538066</v>
          </cell>
        </row>
        <row r="13">
          <cell r="X13">
            <v>13.144188969874836</v>
          </cell>
        </row>
        <row r="14">
          <cell r="X14">
            <v>13.145786402629959</v>
          </cell>
        </row>
        <row r="15">
          <cell r="X15">
            <v>12.895966471380806</v>
          </cell>
        </row>
        <row r="16">
          <cell r="X16">
            <v>12.952337437851932</v>
          </cell>
        </row>
        <row r="17">
          <cell r="X17">
            <v>14.01714294659047</v>
          </cell>
        </row>
        <row r="18">
          <cell r="X18">
            <v>13.738698554780203</v>
          </cell>
        </row>
        <row r="19">
          <cell r="X19">
            <v>12.531124552784714</v>
          </cell>
        </row>
        <row r="20">
          <cell r="X20">
            <v>12.172051894485985</v>
          </cell>
        </row>
        <row r="21">
          <cell r="X21">
            <v>13.110760483700238</v>
          </cell>
        </row>
        <row r="22">
          <cell r="X22">
            <v>12.722460348503589</v>
          </cell>
        </row>
        <row r="23">
          <cell r="X23">
            <v>11.301051295738644</v>
          </cell>
        </row>
        <row r="24">
          <cell r="X24">
            <v>11.962616879052053</v>
          </cell>
        </row>
        <row r="25">
          <cell r="X25">
            <v>11.781090143274152</v>
          </cell>
        </row>
        <row r="26">
          <cell r="X26">
            <v>12.784955525574825</v>
          </cell>
        </row>
        <row r="27">
          <cell r="X27">
            <v>12.735011692440807</v>
          </cell>
        </row>
        <row r="28">
          <cell r="X28">
            <v>14.616924090478893</v>
          </cell>
        </row>
        <row r="29">
          <cell r="X29">
            <v>14.026114760404273</v>
          </cell>
        </row>
        <row r="30">
          <cell r="X30">
            <v>13.98334873362074</v>
          </cell>
        </row>
        <row r="31">
          <cell r="X31">
            <v>13.610354981664232</v>
          </cell>
        </row>
        <row r="32">
          <cell r="X32">
            <v>13.126119776417378</v>
          </cell>
        </row>
        <row r="33">
          <cell r="X33">
            <v>12.910750233043926</v>
          </cell>
        </row>
      </sheetData>
      <sheetData sheetId="19"/>
      <sheetData sheetId="20">
        <row r="10">
          <cell r="X10">
            <v>13.228261694887507</v>
          </cell>
        </row>
        <row r="11">
          <cell r="X11">
            <v>13.122014190315959</v>
          </cell>
        </row>
        <row r="12">
          <cell r="X12">
            <v>12.820721539352871</v>
          </cell>
        </row>
        <row r="13">
          <cell r="X13">
            <v>12.905929532886173</v>
          </cell>
        </row>
        <row r="14">
          <cell r="X14">
            <v>13.044134655287221</v>
          </cell>
        </row>
        <row r="15">
          <cell r="X15">
            <v>12.795816535881702</v>
          </cell>
        </row>
        <row r="16">
          <cell r="X16">
            <v>12.834817894477851</v>
          </cell>
        </row>
        <row r="17">
          <cell r="X17">
            <v>14.403695441026617</v>
          </cell>
        </row>
        <row r="18">
          <cell r="X18">
            <v>14.001112717599002</v>
          </cell>
        </row>
        <row r="19">
          <cell r="X19">
            <v>14.084481576090443</v>
          </cell>
        </row>
        <row r="20">
          <cell r="X20">
            <v>13.737677921453685</v>
          </cell>
        </row>
        <row r="21">
          <cell r="X21">
            <v>13.232981153002942</v>
          </cell>
        </row>
        <row r="22">
          <cell r="X22">
            <v>13.785275024885266</v>
          </cell>
        </row>
        <row r="23">
          <cell r="X23">
            <v>13.500713291390152</v>
          </cell>
        </row>
        <row r="24">
          <cell r="X24">
            <v>14.869096666004273</v>
          </cell>
        </row>
        <row r="25">
          <cell r="X25">
            <v>14.338512418057309</v>
          </cell>
        </row>
        <row r="26">
          <cell r="X26">
            <v>14.36780408906794</v>
          </cell>
        </row>
        <row r="27">
          <cell r="X27">
            <v>14.397620188682248</v>
          </cell>
        </row>
        <row r="28">
          <cell r="X28">
            <v>14.67013977490334</v>
          </cell>
        </row>
        <row r="29">
          <cell r="X29">
            <v>14.389037313378632</v>
          </cell>
        </row>
        <row r="30">
          <cell r="X30">
            <v>14.380464353271805</v>
          </cell>
        </row>
        <row r="31">
          <cell r="X31">
            <v>14.464591097975545</v>
          </cell>
        </row>
        <row r="32">
          <cell r="X32">
            <v>14.732594778135624</v>
          </cell>
        </row>
        <row r="33">
          <cell r="X33">
            <v>14.45258495198269</v>
          </cell>
        </row>
      </sheetData>
      <sheetData sheetId="21"/>
      <sheetData sheetId="22">
        <row r="10">
          <cell r="X10">
            <v>14.662808405597502</v>
          </cell>
        </row>
        <row r="11">
          <cell r="X11">
            <v>14.573547893756267</v>
          </cell>
        </row>
        <row r="12">
          <cell r="X12">
            <v>14.580206189947553</v>
          </cell>
        </row>
        <row r="13">
          <cell r="X13">
            <v>14.582648045707941</v>
          </cell>
        </row>
        <row r="14">
          <cell r="X14">
            <v>14.585090721880617</v>
          </cell>
        </row>
        <row r="15">
          <cell r="X15">
            <v>14.215104744459055</v>
          </cell>
        </row>
        <row r="16">
          <cell r="X16">
            <v>14.269745700678506</v>
          </cell>
        </row>
        <row r="17">
          <cell r="X17">
            <v>14.171735841358283</v>
          </cell>
        </row>
        <row r="18">
          <cell r="X18">
            <v>14.351358338225143</v>
          </cell>
        </row>
        <row r="19">
          <cell r="X19">
            <v>14.543461764015907</v>
          </cell>
        </row>
        <row r="20">
          <cell r="X20">
            <v>14.246283120151112</v>
          </cell>
        </row>
        <row r="21">
          <cell r="X21">
            <v>14.111242556556173</v>
          </cell>
        </row>
        <row r="22">
          <cell r="X22">
            <v>14.044344534212685</v>
          </cell>
        </row>
        <row r="23">
          <cell r="X23">
            <v>13.933339634981207</v>
          </cell>
        </row>
        <row r="24">
          <cell r="X24">
            <v>13.619910449129664</v>
          </cell>
        </row>
        <row r="25">
          <cell r="X25">
            <v>13.518471762871998</v>
          </cell>
        </row>
        <row r="26">
          <cell r="X26">
            <v>12.860031875088218</v>
          </cell>
        </row>
        <row r="27">
          <cell r="X27">
            <v>12.686194683162459</v>
          </cell>
        </row>
        <row r="28">
          <cell r="X28">
            <v>12.521015785687471</v>
          </cell>
        </row>
        <row r="29">
          <cell r="X29">
            <v>12.520306751854569</v>
          </cell>
        </row>
        <row r="30">
          <cell r="X30">
            <v>12.393054328474882</v>
          </cell>
        </row>
        <row r="31">
          <cell r="X31">
            <v>12.232671253731175</v>
          </cell>
        </row>
        <row r="32">
          <cell r="X32">
            <v>12.324390589916579</v>
          </cell>
        </row>
        <row r="33">
          <cell r="X33">
            <v>12.207351272401969</v>
          </cell>
        </row>
      </sheetData>
      <sheetData sheetId="23"/>
      <sheetData sheetId="24">
        <row r="10">
          <cell r="X10">
            <v>12.473254317848703</v>
          </cell>
        </row>
        <row r="11">
          <cell r="X11">
            <v>12.742985035202048</v>
          </cell>
        </row>
        <row r="12">
          <cell r="X12">
            <v>12.883175739257645</v>
          </cell>
        </row>
        <row r="13">
          <cell r="X13">
            <v>12.352679968015758</v>
          </cell>
        </row>
        <row r="14">
          <cell r="X14">
            <v>12.353898500071693</v>
          </cell>
        </row>
        <row r="15">
          <cell r="X15">
            <v>12.349745528817497</v>
          </cell>
        </row>
        <row r="16">
          <cell r="X16">
            <v>11.772899378425915</v>
          </cell>
        </row>
        <row r="17">
          <cell r="X17">
            <v>11.345723129524005</v>
          </cell>
        </row>
        <row r="18">
          <cell r="X18">
            <v>11.65726093669657</v>
          </cell>
        </row>
        <row r="19">
          <cell r="X19">
            <v>11.002819101848948</v>
          </cell>
        </row>
        <row r="20">
          <cell r="X20">
            <v>11.231993929761922</v>
          </cell>
        </row>
        <row r="21">
          <cell r="X21">
            <v>11.239103683969084</v>
          </cell>
        </row>
        <row r="22">
          <cell r="X22">
            <v>10.343847521600795</v>
          </cell>
        </row>
        <row r="23">
          <cell r="X23">
            <v>9.4407426965216139</v>
          </cell>
        </row>
        <row r="24">
          <cell r="X24">
            <v>11.08445531686734</v>
          </cell>
        </row>
        <row r="25">
          <cell r="X25">
            <v>11.045655283079444</v>
          </cell>
        </row>
        <row r="26">
          <cell r="X26">
            <v>10.759134987946355</v>
          </cell>
        </row>
        <row r="27">
          <cell r="X27">
            <v>10.995704737903329</v>
          </cell>
        </row>
        <row r="28">
          <cell r="X28">
            <v>10.963172447625729</v>
          </cell>
        </row>
        <row r="29">
          <cell r="X29">
            <v>10.807269198665001</v>
          </cell>
        </row>
        <row r="30">
          <cell r="X30">
            <v>10.736282227758347</v>
          </cell>
        </row>
        <row r="31">
          <cell r="X31">
            <v>10.711161963636711</v>
          </cell>
        </row>
        <row r="32">
          <cell r="X32">
            <v>10.693770942497592</v>
          </cell>
        </row>
        <row r="33">
          <cell r="X33">
            <v>10.40800233676798</v>
          </cell>
        </row>
      </sheetData>
      <sheetData sheetId="25"/>
      <sheetData sheetId="26">
        <row r="10">
          <cell r="X10">
            <v>10.557390888701789</v>
          </cell>
        </row>
        <row r="11">
          <cell r="X11">
            <v>10.6099717142929</v>
          </cell>
        </row>
        <row r="12">
          <cell r="X12">
            <v>10.518585411898213</v>
          </cell>
        </row>
        <row r="13">
          <cell r="X13">
            <v>10.154973828132835</v>
          </cell>
        </row>
        <row r="14">
          <cell r="X14">
            <v>10.035706302721788</v>
          </cell>
        </row>
        <row r="15">
          <cell r="X15">
            <v>9.9693147909459849</v>
          </cell>
        </row>
        <row r="16">
          <cell r="X16">
            <v>9.3416616155956653</v>
          </cell>
        </row>
        <row r="17">
          <cell r="X17">
            <v>9.6523637803838458</v>
          </cell>
        </row>
        <row r="18">
          <cell r="X18">
            <v>9.2558338520872727</v>
          </cell>
        </row>
        <row r="19">
          <cell r="X19">
            <v>9.8273808001213769</v>
          </cell>
        </row>
        <row r="20">
          <cell r="X20">
            <v>9.6830531087313005</v>
          </cell>
        </row>
        <row r="21">
          <cell r="X21">
            <v>9.127149792538539</v>
          </cell>
        </row>
        <row r="22">
          <cell r="X22">
            <v>9.6467778280060283</v>
          </cell>
        </row>
        <row r="23">
          <cell r="X23">
            <v>9.5076962554916431</v>
          </cell>
        </row>
        <row r="24">
          <cell r="X24">
            <v>9.9455927411855072</v>
          </cell>
        </row>
        <row r="25">
          <cell r="X25">
            <v>9.8677667571154739</v>
          </cell>
        </row>
        <row r="26">
          <cell r="X26">
            <v>9.7793833218231345</v>
          </cell>
        </row>
        <row r="27">
          <cell r="X27">
            <v>9.4006820389425947</v>
          </cell>
        </row>
        <row r="28">
          <cell r="X28">
            <v>9.6763021804844129</v>
          </cell>
        </row>
        <row r="29">
          <cell r="X29">
            <v>9.7123472418416306</v>
          </cell>
        </row>
        <row r="30">
          <cell r="X30">
            <v>9.7921029427356672</v>
          </cell>
        </row>
        <row r="31">
          <cell r="X31">
            <v>9.5522117929686861</v>
          </cell>
        </row>
        <row r="32">
          <cell r="X32">
            <v>9.8410561874540292</v>
          </cell>
        </row>
        <row r="33">
          <cell r="X33">
            <v>9.4968269024683725</v>
          </cell>
        </row>
      </sheetData>
      <sheetData sheetId="27"/>
      <sheetData sheetId="28">
        <row r="10">
          <cell r="X10">
            <v>9.1988482807748539</v>
          </cell>
        </row>
        <row r="11">
          <cell r="X11">
            <v>9.5233313439967375</v>
          </cell>
        </row>
        <row r="12">
          <cell r="X12">
            <v>9.5906345414280505</v>
          </cell>
        </row>
        <row r="13">
          <cell r="X13">
            <v>9.5307465903625896</v>
          </cell>
        </row>
        <row r="14">
          <cell r="X14">
            <v>9.7237307639732773</v>
          </cell>
        </row>
        <row r="15">
          <cell r="X15">
            <v>9.7226106570273334</v>
          </cell>
        </row>
        <row r="16">
          <cell r="X16">
            <v>9.6967503686637251</v>
          </cell>
        </row>
        <row r="17">
          <cell r="X17">
            <v>9.5736446403565179</v>
          </cell>
        </row>
        <row r="18">
          <cell r="X18">
            <v>9.1479479492213365</v>
          </cell>
        </row>
        <row r="19">
          <cell r="X19">
            <v>9.1450867266725044</v>
          </cell>
        </row>
        <row r="20">
          <cell r="X20">
            <v>9.5770441141633622</v>
          </cell>
        </row>
        <row r="21">
          <cell r="X21">
            <v>9.8378091829002781</v>
          </cell>
        </row>
        <row r="22">
          <cell r="X22">
            <v>9.0642263103615281</v>
          </cell>
        </row>
        <row r="23">
          <cell r="X23">
            <v>8.7377145922286541</v>
          </cell>
        </row>
        <row r="24">
          <cell r="X24">
            <v>8.4944739976787904</v>
          </cell>
        </row>
        <row r="25">
          <cell r="X25">
            <v>9.8547992770905779</v>
          </cell>
        </row>
        <row r="26">
          <cell r="X26">
            <v>9.9857572038270543</v>
          </cell>
        </row>
        <row r="27">
          <cell r="X27">
            <v>9.6480518112507987</v>
          </cell>
        </row>
        <row r="28">
          <cell r="X28">
            <v>9.7236308266565459</v>
          </cell>
        </row>
        <row r="29">
          <cell r="X29">
            <v>9.5392403059407851</v>
          </cell>
        </row>
        <row r="30">
          <cell r="X30">
            <v>9.5374343641765815</v>
          </cell>
        </row>
        <row r="31">
          <cell r="X31">
            <v>9.4540882236280979</v>
          </cell>
        </row>
        <row r="32">
          <cell r="X32">
            <v>9.6861044156734675</v>
          </cell>
        </row>
        <row r="33">
          <cell r="X33">
            <v>9.4306819905444126</v>
          </cell>
        </row>
      </sheetData>
      <sheetData sheetId="29"/>
      <sheetData sheetId="30">
        <row r="10">
          <cell r="X10">
            <v>9.0555950201796946</v>
          </cell>
        </row>
        <row r="11">
          <cell r="X11">
            <v>8.9350461323451462</v>
          </cell>
        </row>
        <row r="12">
          <cell r="X12">
            <v>8.4223420640806683</v>
          </cell>
        </row>
        <row r="13">
          <cell r="X13">
            <v>8.3997645878974918</v>
          </cell>
        </row>
        <row r="14">
          <cell r="X14">
            <v>8.4287065479362262</v>
          </cell>
        </row>
        <row r="15">
          <cell r="X15">
            <v>8.2552021641020605</v>
          </cell>
        </row>
        <row r="16">
          <cell r="X16">
            <v>9.1700113527431188</v>
          </cell>
        </row>
        <row r="17">
          <cell r="X17">
            <v>9.5939199989666015</v>
          </cell>
        </row>
        <row r="18">
          <cell r="X18">
            <v>9.4350924238558775</v>
          </cell>
        </row>
        <row r="19">
          <cell r="X19">
            <v>9.6731543372393958</v>
          </cell>
        </row>
        <row r="20">
          <cell r="X20">
            <v>9.1785850256440629</v>
          </cell>
        </row>
        <row r="21">
          <cell r="X21">
            <v>8.6009658626812016</v>
          </cell>
        </row>
        <row r="22">
          <cell r="X22">
            <v>7.8057231858927771</v>
          </cell>
        </row>
        <row r="23">
          <cell r="X23">
            <v>7.119705978472366</v>
          </cell>
        </row>
        <row r="24">
          <cell r="X24">
            <v>7.3999787670957984</v>
          </cell>
        </row>
        <row r="25">
          <cell r="X25">
            <v>7.8713406420989127</v>
          </cell>
        </row>
        <row r="26">
          <cell r="X26">
            <v>10.976206814335374</v>
          </cell>
        </row>
        <row r="27">
          <cell r="X27">
            <v>10.904001470250655</v>
          </cell>
        </row>
        <row r="28">
          <cell r="X28">
            <v>10.750739050110537</v>
          </cell>
        </row>
        <row r="29">
          <cell r="X29">
            <v>10.368316222259407</v>
          </cell>
        </row>
        <row r="30">
          <cell r="X30">
            <v>9.8984581232456446</v>
          </cell>
        </row>
        <row r="31">
          <cell r="X31">
            <v>9.5022029265734798</v>
          </cell>
        </row>
        <row r="32">
          <cell r="X32">
            <v>9.1626836893980528</v>
          </cell>
        </row>
        <row r="33">
          <cell r="X33">
            <v>8.8979591954046509</v>
          </cell>
        </row>
      </sheetData>
      <sheetData sheetId="31"/>
      <sheetData sheetId="32">
        <row r="10">
          <cell r="X10">
            <v>8.6558358570459966</v>
          </cell>
        </row>
        <row r="11">
          <cell r="X11">
            <v>8.5007291195415178</v>
          </cell>
        </row>
        <row r="12">
          <cell r="X12">
            <v>8.3900361140442214</v>
          </cell>
        </row>
        <row r="13">
          <cell r="X13">
            <v>8.0861458715776475</v>
          </cell>
        </row>
        <row r="14">
          <cell r="X14">
            <v>7.979225842355322</v>
          </cell>
        </row>
        <row r="15">
          <cell r="X15">
            <v>7.9209154164422415</v>
          </cell>
        </row>
        <row r="16">
          <cell r="X16">
            <v>7.8382522132806658</v>
          </cell>
        </row>
        <row r="17">
          <cell r="X17">
            <v>9.7985577645312976</v>
          </cell>
        </row>
        <row r="18">
          <cell r="X18">
            <v>10.64128176753383</v>
          </cell>
        </row>
        <row r="19">
          <cell r="X19">
            <v>6.938244983726725</v>
          </cell>
        </row>
        <row r="20">
          <cell r="X20">
            <v>7.392650505958315</v>
          </cell>
        </row>
        <row r="21">
          <cell r="X21">
            <v>6.0783448207660227</v>
          </cell>
        </row>
        <row r="22">
          <cell r="X22">
            <v>6.7857144268728167</v>
          </cell>
        </row>
        <row r="23">
          <cell r="X23">
            <v>6.4323011146131988</v>
          </cell>
        </row>
        <row r="24">
          <cell r="X24">
            <v>6.3661805780307139</v>
          </cell>
        </row>
        <row r="25">
          <cell r="X25">
            <v>6.8764662402738761</v>
          </cell>
        </row>
        <row r="26">
          <cell r="X26">
            <v>9.0447060118402209</v>
          </cell>
        </row>
        <row r="27">
          <cell r="X27">
            <v>9.5126272253934268</v>
          </cell>
        </row>
        <row r="28">
          <cell r="X28">
            <v>8.9576624317053621</v>
          </cell>
        </row>
        <row r="29">
          <cell r="X29">
            <v>8.9056634549258185</v>
          </cell>
        </row>
        <row r="30">
          <cell r="X30">
            <v>8.2250746425328245</v>
          </cell>
        </row>
        <row r="31">
          <cell r="X31">
            <v>7.9669194275563893</v>
          </cell>
        </row>
        <row r="32">
          <cell r="X32">
            <v>7.9115209707818934</v>
          </cell>
        </row>
        <row r="33">
          <cell r="X33">
            <v>7.8188872450921272</v>
          </cell>
        </row>
      </sheetData>
      <sheetData sheetId="33"/>
      <sheetData sheetId="34">
        <row r="10">
          <cell r="X10">
            <v>7.707234521772107</v>
          </cell>
        </row>
        <row r="11">
          <cell r="X11">
            <v>7.6159902045708581</v>
          </cell>
        </row>
        <row r="12">
          <cell r="X12">
            <v>7.4670998615720441</v>
          </cell>
        </row>
        <row r="13">
          <cell r="X13">
            <v>7.3960592894255601</v>
          </cell>
        </row>
        <row r="14">
          <cell r="X14">
            <v>7.2708638836040533</v>
          </cell>
        </row>
        <row r="15">
          <cell r="X15">
            <v>7.169303048569879</v>
          </cell>
        </row>
        <row r="16">
          <cell r="X16">
            <v>7.2859482812481042</v>
          </cell>
        </row>
        <row r="17">
          <cell r="X17">
            <v>9.350204194215026</v>
          </cell>
        </row>
        <row r="18">
          <cell r="X18">
            <v>8.9088883810623489</v>
          </cell>
        </row>
        <row r="19">
          <cell r="X19">
            <v>6.6033184256970996</v>
          </cell>
        </row>
        <row r="20">
          <cell r="X20">
            <v>6.3608123843636806</v>
          </cell>
        </row>
        <row r="21">
          <cell r="X21">
            <v>6.7068313880451411</v>
          </cell>
        </row>
        <row r="22">
          <cell r="X22">
            <v>6.9529208593055953</v>
          </cell>
        </row>
        <row r="23">
          <cell r="X23">
            <v>8.3074012398909645</v>
          </cell>
        </row>
        <row r="24">
          <cell r="X24">
            <v>9.4040629470295372</v>
          </cell>
        </row>
        <row r="25">
          <cell r="X25">
            <v>8.8805913201243367</v>
          </cell>
        </row>
        <row r="26">
          <cell r="X26">
            <v>9.415189456340876</v>
          </cell>
        </row>
        <row r="27">
          <cell r="X27">
            <v>10.106605321465842</v>
          </cell>
        </row>
        <row r="28">
          <cell r="X28">
            <v>10.06867840759973</v>
          </cell>
        </row>
        <row r="29">
          <cell r="X29">
            <v>10.104829494720098</v>
          </cell>
        </row>
        <row r="30">
          <cell r="X30">
            <v>9.7452038015098026</v>
          </cell>
        </row>
        <row r="31">
          <cell r="X31">
            <v>9.5751930705466766</v>
          </cell>
        </row>
        <row r="32">
          <cell r="X32">
            <v>9.6423910054035993</v>
          </cell>
        </row>
        <row r="33">
          <cell r="X33">
            <v>9.7698964129252079</v>
          </cell>
        </row>
      </sheetData>
      <sheetData sheetId="35"/>
      <sheetData sheetId="36">
        <row r="10">
          <cell r="X10">
            <v>9.8349826529145101</v>
          </cell>
        </row>
        <row r="11">
          <cell r="X11">
            <v>10.340932964274931</v>
          </cell>
        </row>
        <row r="12">
          <cell r="X12">
            <v>10.323188113711613</v>
          </cell>
        </row>
        <row r="13">
          <cell r="X13">
            <v>9.7151541926607763</v>
          </cell>
        </row>
        <row r="14">
          <cell r="X14">
            <v>9.5309307125835332</v>
          </cell>
        </row>
        <row r="15">
          <cell r="X15">
            <v>9.2028972046014754</v>
          </cell>
        </row>
        <row r="16">
          <cell r="X16">
            <v>9.6465638546765664</v>
          </cell>
        </row>
        <row r="17">
          <cell r="X17">
            <v>10.371137664766598</v>
          </cell>
        </row>
        <row r="18">
          <cell r="X18">
            <v>10.342742120650074</v>
          </cell>
        </row>
        <row r="19">
          <cell r="X19">
            <v>9.6986470761941348</v>
          </cell>
        </row>
        <row r="20">
          <cell r="X20">
            <v>8.5177015170396952</v>
          </cell>
        </row>
        <row r="21">
          <cell r="X21">
            <v>8.5929943313239967</v>
          </cell>
        </row>
        <row r="22">
          <cell r="X22">
            <v>8.3829088596832779</v>
          </cell>
        </row>
        <row r="23">
          <cell r="X23">
            <v>8.3334692117131155</v>
          </cell>
        </row>
        <row r="24">
          <cell r="X24">
            <v>8.6690238405679185</v>
          </cell>
        </row>
        <row r="25">
          <cell r="X25">
            <v>8.8353887769700314</v>
          </cell>
        </row>
        <row r="26">
          <cell r="X26">
            <v>9.2052081097109006</v>
          </cell>
        </row>
        <row r="27">
          <cell r="X27">
            <v>9.2181829993157898</v>
          </cell>
        </row>
        <row r="28">
          <cell r="X28">
            <v>9.6619463177446843</v>
          </cell>
        </row>
        <row r="29">
          <cell r="X29">
            <v>9.2422798962118726</v>
          </cell>
        </row>
        <row r="30">
          <cell r="X30">
            <v>9.2994054624863391</v>
          </cell>
        </row>
        <row r="31">
          <cell r="X31">
            <v>9.1244508678785099</v>
          </cell>
        </row>
        <row r="32">
          <cell r="X32">
            <v>8.9762128722065757</v>
          </cell>
        </row>
        <row r="33">
          <cell r="X33">
            <v>8.9152823585429495</v>
          </cell>
        </row>
      </sheetData>
      <sheetData sheetId="37"/>
      <sheetData sheetId="38">
        <row r="10">
          <cell r="X10">
            <v>8.6604472797930683</v>
          </cell>
        </row>
        <row r="11">
          <cell r="X11">
            <v>8.6267849669058414</v>
          </cell>
        </row>
        <row r="12">
          <cell r="X12">
            <v>8.491565347113001</v>
          </cell>
        </row>
        <row r="13">
          <cell r="X13">
            <v>8.7299665796150805</v>
          </cell>
        </row>
        <row r="14">
          <cell r="X14">
            <v>8.7858077916049062</v>
          </cell>
        </row>
        <row r="15">
          <cell r="X15">
            <v>8.8381512696368585</v>
          </cell>
        </row>
        <row r="16">
          <cell r="X16">
            <v>9.5376016947170186</v>
          </cell>
        </row>
        <row r="17">
          <cell r="X17">
            <v>10.370902751365625</v>
          </cell>
        </row>
        <row r="18">
          <cell r="X18">
            <v>8.8713792305275927</v>
          </cell>
        </row>
        <row r="19">
          <cell r="X19">
            <v>8.9884836236370766</v>
          </cell>
        </row>
        <row r="20">
          <cell r="X20">
            <v>8.8497448772545138</v>
          </cell>
        </row>
        <row r="21">
          <cell r="X21">
            <v>8.7875242135899985</v>
          </cell>
        </row>
        <row r="22">
          <cell r="X22">
            <v>8.5724088698468055</v>
          </cell>
        </row>
        <row r="23">
          <cell r="X23">
            <v>9.4585770185723579</v>
          </cell>
        </row>
        <row r="24">
          <cell r="X24">
            <v>9.4387021524187809</v>
          </cell>
        </row>
        <row r="25">
          <cell r="X25">
            <v>9.0590405664122109</v>
          </cell>
        </row>
        <row r="26">
          <cell r="X26">
            <v>9.2605744881441581</v>
          </cell>
        </row>
        <row r="27">
          <cell r="X27">
            <v>9.2290510510072998</v>
          </cell>
        </row>
        <row r="28">
          <cell r="X28">
            <v>9.3529348944705291</v>
          </cell>
        </row>
        <row r="29">
          <cell r="X29">
            <v>9.294075979971538</v>
          </cell>
        </row>
        <row r="30">
          <cell r="X30">
            <v>9.3534013517726429</v>
          </cell>
        </row>
        <row r="31">
          <cell r="X31">
            <v>9.3499151501683002</v>
          </cell>
        </row>
        <row r="32">
          <cell r="X32">
            <v>9.7907278724687696</v>
          </cell>
        </row>
        <row r="33">
          <cell r="X33">
            <v>9.5121445440942605</v>
          </cell>
        </row>
      </sheetData>
      <sheetData sheetId="39"/>
      <sheetData sheetId="40">
        <row r="10">
          <cell r="X10">
            <v>8.9121511183084419</v>
          </cell>
        </row>
        <row r="11">
          <cell r="X11">
            <v>8.3821757556296248</v>
          </cell>
        </row>
        <row r="12">
          <cell r="X12">
            <v>8.2704919052936212</v>
          </cell>
        </row>
        <row r="13">
          <cell r="X13">
            <v>7.9474254871187675</v>
          </cell>
        </row>
        <row r="14">
          <cell r="X14">
            <v>8.3922086187618028</v>
          </cell>
        </row>
        <row r="15">
          <cell r="X15">
            <v>9.1467359611702292</v>
          </cell>
        </row>
        <row r="16">
          <cell r="X16">
            <v>8.837624994072554</v>
          </cell>
        </row>
        <row r="17">
          <cell r="X17">
            <v>8.7900385265514132</v>
          </cell>
        </row>
        <row r="18">
          <cell r="X18">
            <v>8.4959137786593075</v>
          </cell>
        </row>
        <row r="19">
          <cell r="X19">
            <v>9.0820988634210309</v>
          </cell>
        </row>
        <row r="20">
          <cell r="X20">
            <v>8.6728909946236161</v>
          </cell>
        </row>
        <row r="21">
          <cell r="X21">
            <v>8.6009176565722001</v>
          </cell>
        </row>
        <row r="22">
          <cell r="X22">
            <v>8.5420746075478018</v>
          </cell>
        </row>
        <row r="23">
          <cell r="X23">
            <v>9.8766202913895711</v>
          </cell>
        </row>
        <row r="24">
          <cell r="X24">
            <v>10.215567613035343</v>
          </cell>
        </row>
        <row r="25">
          <cell r="X25">
            <v>9.5502436392777881</v>
          </cell>
        </row>
        <row r="26">
          <cell r="X26">
            <v>10.027868446247954</v>
          </cell>
        </row>
        <row r="27">
          <cell r="X27">
            <v>10.095301163528124</v>
          </cell>
        </row>
        <row r="28">
          <cell r="X28">
            <v>10.050075183939446</v>
          </cell>
        </row>
        <row r="29">
          <cell r="X29">
            <v>10.032286816234713</v>
          </cell>
        </row>
        <row r="30">
          <cell r="X30">
            <v>9.8272774674754171</v>
          </cell>
        </row>
        <row r="31">
          <cell r="X31">
            <v>9.8412019261528005</v>
          </cell>
        </row>
        <row r="32">
          <cell r="X32">
            <v>9.8917728856370779</v>
          </cell>
        </row>
        <row r="33">
          <cell r="X33">
            <v>10.277960297590596</v>
          </cell>
        </row>
      </sheetData>
      <sheetData sheetId="41"/>
      <sheetData sheetId="42">
        <row r="10">
          <cell r="X10">
            <v>10.064442768657347</v>
          </cell>
        </row>
        <row r="11">
          <cell r="X11">
            <v>9.8081504643983841</v>
          </cell>
        </row>
        <row r="12">
          <cell r="X12">
            <v>9.2522258566040279</v>
          </cell>
        </row>
        <row r="13">
          <cell r="X13">
            <v>9.1199849284719985</v>
          </cell>
        </row>
        <row r="14">
          <cell r="X14">
            <v>9.1244112903192072</v>
          </cell>
        </row>
        <row r="15">
          <cell r="X15">
            <v>8.9419027612245596</v>
          </cell>
        </row>
        <row r="16">
          <cell r="X16">
            <v>8.8890878990526936</v>
          </cell>
        </row>
        <row r="17">
          <cell r="X17">
            <v>8.9233098243386202</v>
          </cell>
        </row>
        <row r="18">
          <cell r="X18">
            <v>8.9633953498946131</v>
          </cell>
        </row>
        <row r="19">
          <cell r="X19">
            <v>9.0460138197395175</v>
          </cell>
        </row>
        <row r="20">
          <cell r="X20">
            <v>9.0157096135706016</v>
          </cell>
        </row>
        <row r="21">
          <cell r="X21">
            <v>8.749137204758572</v>
          </cell>
        </row>
        <row r="22">
          <cell r="X22">
            <v>8.0698740225155543</v>
          </cell>
        </row>
        <row r="23">
          <cell r="X23">
            <v>7.9268812002576023</v>
          </cell>
        </row>
        <row r="24">
          <cell r="X24">
            <v>7.7234224934488811</v>
          </cell>
        </row>
        <row r="25">
          <cell r="X25">
            <v>7.8081509138400822</v>
          </cell>
        </row>
        <row r="26">
          <cell r="X26">
            <v>9.6284976904994455</v>
          </cell>
        </row>
        <row r="27">
          <cell r="X27">
            <v>10.402266605936299</v>
          </cell>
        </row>
        <row r="28">
          <cell r="X28">
            <v>10.235619200007164</v>
          </cell>
        </row>
        <row r="29">
          <cell r="X29">
            <v>9.9314486006938978</v>
          </cell>
        </row>
        <row r="30">
          <cell r="X30">
            <v>9.3961856585298822</v>
          </cell>
        </row>
        <row r="31">
          <cell r="X31">
            <v>9.2304420977464776</v>
          </cell>
        </row>
        <row r="32">
          <cell r="X32">
            <v>9.2515451473301731</v>
          </cell>
        </row>
        <row r="33">
          <cell r="X33">
            <v>8.9643872133296032</v>
          </cell>
        </row>
      </sheetData>
      <sheetData sheetId="43"/>
      <sheetData sheetId="44">
        <row r="10">
          <cell r="X10">
            <v>8.8056536011401771</v>
          </cell>
        </row>
        <row r="11">
          <cell r="X11">
            <v>8.9030694269117081</v>
          </cell>
        </row>
        <row r="12">
          <cell r="X12">
            <v>8.7642199327101622</v>
          </cell>
        </row>
        <row r="13">
          <cell r="X13">
            <v>8.6217228441728757</v>
          </cell>
        </row>
        <row r="14">
          <cell r="X14">
            <v>8.6205383750050437</v>
          </cell>
        </row>
        <row r="15">
          <cell r="X15">
            <v>8.5013979235509574</v>
          </cell>
        </row>
        <row r="16">
          <cell r="X16">
            <v>8.8692565253326752</v>
          </cell>
        </row>
        <row r="17">
          <cell r="X17">
            <v>10.205047928546726</v>
          </cell>
        </row>
        <row r="18">
          <cell r="X18">
            <v>10.105381953580229</v>
          </cell>
        </row>
        <row r="19">
          <cell r="X19">
            <v>9.9089010129313131</v>
          </cell>
        </row>
        <row r="20">
          <cell r="X20">
            <v>8.6476718783384339</v>
          </cell>
        </row>
        <row r="21">
          <cell r="X21">
            <v>7.9192532404468894</v>
          </cell>
        </row>
        <row r="22">
          <cell r="X22">
            <v>7.4546887161198061</v>
          </cell>
        </row>
        <row r="23">
          <cell r="X23">
            <v>7.2899522288913605</v>
          </cell>
        </row>
        <row r="24">
          <cell r="X24">
            <v>7.2051306824359367</v>
          </cell>
        </row>
        <row r="25">
          <cell r="X25">
            <v>6.8761762763538945</v>
          </cell>
        </row>
        <row r="26">
          <cell r="X26">
            <v>11.118282968762886</v>
          </cell>
        </row>
        <row r="27">
          <cell r="X27">
            <v>11.103212959640885</v>
          </cell>
        </row>
        <row r="28">
          <cell r="X28">
            <v>10.968579058603407</v>
          </cell>
        </row>
        <row r="29">
          <cell r="X29">
            <v>10.749214967455185</v>
          </cell>
        </row>
        <row r="30">
          <cell r="X30">
            <v>10.541229168533006</v>
          </cell>
        </row>
        <row r="31">
          <cell r="X31">
            <v>10.48555713673897</v>
          </cell>
        </row>
        <row r="32">
          <cell r="X32">
            <v>10.387015861376218</v>
          </cell>
        </row>
        <row r="33">
          <cell r="X33">
            <v>10.180885777244503</v>
          </cell>
        </row>
      </sheetData>
      <sheetData sheetId="45"/>
      <sheetData sheetId="46">
        <row r="10">
          <cell r="X10">
            <v>9.6271991290276944</v>
          </cell>
        </row>
        <row r="11">
          <cell r="X11">
            <v>9.4175477362641526</v>
          </cell>
        </row>
        <row r="12">
          <cell r="X12">
            <v>9.3967109232913018</v>
          </cell>
        </row>
        <row r="13">
          <cell r="X13">
            <v>9.3746608380894632</v>
          </cell>
        </row>
        <row r="14">
          <cell r="X14">
            <v>9.3749433215730384</v>
          </cell>
        </row>
        <row r="15">
          <cell r="X15">
            <v>9.204433961827819</v>
          </cell>
        </row>
        <row r="16">
          <cell r="X16">
            <v>9.4525476771234018</v>
          </cell>
        </row>
        <row r="17">
          <cell r="X17">
            <v>10.604814213973862</v>
          </cell>
        </row>
        <row r="18">
          <cell r="X18">
            <v>10.573250863598838</v>
          </cell>
        </row>
        <row r="19">
          <cell r="X19">
            <v>9.9449792736354006</v>
          </cell>
        </row>
        <row r="20">
          <cell r="X20">
            <v>9.3518205451109822</v>
          </cell>
        </row>
        <row r="21">
          <cell r="X21">
            <v>9.5817340825198478</v>
          </cell>
        </row>
        <row r="22">
          <cell r="X22">
            <v>8.3666120348095312</v>
          </cell>
        </row>
        <row r="23">
          <cell r="X23">
            <v>8.9328612645565038</v>
          </cell>
        </row>
        <row r="24">
          <cell r="X24">
            <v>8.8598257087531707</v>
          </cell>
        </row>
        <row r="25">
          <cell r="X25">
            <v>11.113273519604569</v>
          </cell>
        </row>
        <row r="26">
          <cell r="X26">
            <v>11.35843965518808</v>
          </cell>
        </row>
        <row r="27">
          <cell r="X27">
            <v>11.854679407243562</v>
          </cell>
        </row>
        <row r="28">
          <cell r="X28">
            <v>11.852749693331235</v>
          </cell>
        </row>
        <row r="29">
          <cell r="X29">
            <v>11.337396041051012</v>
          </cell>
        </row>
        <row r="30">
          <cell r="X30">
            <v>11.150451746486162</v>
          </cell>
        </row>
        <row r="31">
          <cell r="X31">
            <v>10.708844168832892</v>
          </cell>
        </row>
        <row r="32">
          <cell r="X32">
            <v>10.687880089145144</v>
          </cell>
        </row>
        <row r="33">
          <cell r="X33">
            <v>10.41581568959784</v>
          </cell>
        </row>
      </sheetData>
      <sheetData sheetId="47"/>
      <sheetData sheetId="48">
        <row r="10">
          <cell r="X10">
            <v>10.097611108904385</v>
          </cell>
        </row>
        <row r="11">
          <cell r="X11">
            <v>9.8816417733041177</v>
          </cell>
        </row>
        <row r="12">
          <cell r="X12">
            <v>9.5030276506476632</v>
          </cell>
        </row>
        <row r="13">
          <cell r="X13">
            <v>9.5428492201487032</v>
          </cell>
        </row>
        <row r="14">
          <cell r="X14">
            <v>9.3325025394661001</v>
          </cell>
        </row>
        <row r="15">
          <cell r="X15">
            <v>9.2614490737403621</v>
          </cell>
        </row>
        <row r="16">
          <cell r="X16">
            <v>9.4747230966441549</v>
          </cell>
        </row>
        <row r="17">
          <cell r="X17">
            <v>10.753764300462224</v>
          </cell>
        </row>
        <row r="18">
          <cell r="X18">
            <v>10.633719457100703</v>
          </cell>
        </row>
        <row r="19">
          <cell r="X19">
            <v>10.399669087933445</v>
          </cell>
        </row>
        <row r="20">
          <cell r="X20">
            <v>8.906145247277184</v>
          </cell>
        </row>
        <row r="21">
          <cell r="X21">
            <v>8.662371190545235</v>
          </cell>
        </row>
        <row r="22">
          <cell r="X22">
            <v>8.297415889251873</v>
          </cell>
        </row>
        <row r="23">
          <cell r="X23">
            <v>8.1846038590005392</v>
          </cell>
        </row>
        <row r="24">
          <cell r="X24">
            <v>8.9589663952446852</v>
          </cell>
        </row>
        <row r="25">
          <cell r="X25">
            <v>9.0186562695004326</v>
          </cell>
        </row>
        <row r="26">
          <cell r="X26">
            <v>9.3005858344860748</v>
          </cell>
        </row>
        <row r="27">
          <cell r="X27">
            <v>9.8441953836201694</v>
          </cell>
        </row>
        <row r="28">
          <cell r="X28">
            <v>10.367362022697108</v>
          </cell>
        </row>
        <row r="29">
          <cell r="X29">
            <v>10.708446465472854</v>
          </cell>
        </row>
        <row r="30">
          <cell r="X30">
            <v>10.34283995367872</v>
          </cell>
        </row>
        <row r="31">
          <cell r="X31">
            <v>10.103952589049447</v>
          </cell>
        </row>
        <row r="32">
          <cell r="X32">
            <v>9.9246136002708152</v>
          </cell>
        </row>
        <row r="33">
          <cell r="X33">
            <v>10.390277478961274</v>
          </cell>
        </row>
      </sheetData>
      <sheetData sheetId="49"/>
      <sheetData sheetId="50"/>
      <sheetData sheetId="51"/>
      <sheetData sheetId="52">
        <row r="10">
          <cell r="X10">
            <v>9.8050104166568701</v>
          </cell>
        </row>
        <row r="11">
          <cell r="X11">
            <v>9.7835904462000869</v>
          </cell>
        </row>
        <row r="12">
          <cell r="X12">
            <v>9.5968253297210371</v>
          </cell>
        </row>
        <row r="13">
          <cell r="X13">
            <v>9.347390598405001</v>
          </cell>
        </row>
        <row r="14">
          <cell r="X14">
            <v>9.2610631134969186</v>
          </cell>
        </row>
        <row r="15">
          <cell r="X15">
            <v>9.104833061686044</v>
          </cell>
        </row>
        <row r="16">
          <cell r="X16">
            <v>9.1659968552167115</v>
          </cell>
        </row>
        <row r="17">
          <cell r="X17">
            <v>10.793503566499437</v>
          </cell>
        </row>
        <row r="18">
          <cell r="X18">
            <v>10.927841467930397</v>
          </cell>
        </row>
        <row r="19">
          <cell r="X19">
            <v>10.860505047952579</v>
          </cell>
        </row>
        <row r="20">
          <cell r="X20">
            <v>10.406459058752144</v>
          </cell>
        </row>
        <row r="21">
          <cell r="X21">
            <v>10.331587790210776</v>
          </cell>
        </row>
        <row r="22">
          <cell r="X22">
            <v>10.470823774377635</v>
          </cell>
        </row>
        <row r="23">
          <cell r="X23">
            <v>10.358209178188106</v>
          </cell>
        </row>
        <row r="24">
          <cell r="X24">
            <v>10.402390809863675</v>
          </cell>
        </row>
        <row r="25">
          <cell r="X25">
            <v>10.322774404367536</v>
          </cell>
        </row>
        <row r="26">
          <cell r="X26">
            <v>12.973370101020882</v>
          </cell>
        </row>
        <row r="27">
          <cell r="X27">
            <v>12.867888674851962</v>
          </cell>
        </row>
        <row r="28">
          <cell r="X28">
            <v>12.890996269374588</v>
          </cell>
        </row>
        <row r="29">
          <cell r="X29">
            <v>12.835826860095338</v>
          </cell>
        </row>
        <row r="30">
          <cell r="X30">
            <v>12.418344463063946</v>
          </cell>
        </row>
        <row r="31">
          <cell r="X31">
            <v>12.135449667440087</v>
          </cell>
        </row>
        <row r="32">
          <cell r="X32">
            <v>11.469524363064396</v>
          </cell>
        </row>
        <row r="33">
          <cell r="X33">
            <v>11.404977286934306</v>
          </cell>
        </row>
      </sheetData>
      <sheetData sheetId="53"/>
      <sheetData sheetId="54">
        <row r="10">
          <cell r="X10">
            <v>12.397398945180218</v>
          </cell>
        </row>
        <row r="11">
          <cell r="X11">
            <v>11.532434822714343</v>
          </cell>
        </row>
        <row r="12">
          <cell r="X12">
            <v>11.784567346607542</v>
          </cell>
        </row>
        <row r="13">
          <cell r="X13">
            <v>11.689713497872697</v>
          </cell>
        </row>
        <row r="14">
          <cell r="X14">
            <v>11.742674510827637</v>
          </cell>
        </row>
        <row r="15">
          <cell r="X15">
            <v>11.614764317425813</v>
          </cell>
        </row>
        <row r="16">
          <cell r="X16">
            <v>11.593896971563916</v>
          </cell>
        </row>
        <row r="17">
          <cell r="X17">
            <v>11.538319196393829</v>
          </cell>
        </row>
        <row r="18">
          <cell r="X18">
            <v>11.695815697405658</v>
          </cell>
        </row>
        <row r="19">
          <cell r="X19">
            <v>11.436067114812268</v>
          </cell>
        </row>
        <row r="20">
          <cell r="X20">
            <v>11.647702856990227</v>
          </cell>
        </row>
        <row r="21">
          <cell r="X21">
            <v>11.501714524701876</v>
          </cell>
        </row>
        <row r="22">
          <cell r="X22">
            <v>11.225588918842563</v>
          </cell>
        </row>
        <row r="23">
          <cell r="X23">
            <v>11.382723476952538</v>
          </cell>
        </row>
        <row r="24">
          <cell r="X24">
            <v>11.556915569612775</v>
          </cell>
        </row>
        <row r="25">
          <cell r="X25">
            <v>13.197171084618086</v>
          </cell>
        </row>
        <row r="26">
          <cell r="X26">
            <v>13.59918898230279</v>
          </cell>
        </row>
        <row r="27">
          <cell r="X27">
            <v>13.292512713667801</v>
          </cell>
        </row>
        <row r="28">
          <cell r="X28">
            <v>13.021927164937102</v>
          </cell>
        </row>
        <row r="29">
          <cell r="X29">
            <v>12.509170532319297</v>
          </cell>
        </row>
        <row r="30">
          <cell r="X30">
            <v>12.345494961782126</v>
          </cell>
        </row>
        <row r="31">
          <cell r="X31">
            <v>12.023627892870572</v>
          </cell>
        </row>
        <row r="32">
          <cell r="X32">
            <v>11.94831037234192</v>
          </cell>
        </row>
        <row r="33">
          <cell r="X33">
            <v>11.687334191725077</v>
          </cell>
        </row>
      </sheetData>
      <sheetData sheetId="55"/>
      <sheetData sheetId="56">
        <row r="10">
          <cell r="X10">
            <v>10.845229385275717</v>
          </cell>
        </row>
        <row r="11">
          <cell r="X11">
            <v>10.718543546737616</v>
          </cell>
        </row>
        <row r="12">
          <cell r="X12">
            <v>10.52648513541755</v>
          </cell>
        </row>
        <row r="13">
          <cell r="X13">
            <v>10.794450036797954</v>
          </cell>
        </row>
        <row r="14">
          <cell r="X14">
            <v>10.650862125876463</v>
          </cell>
        </row>
        <row r="15">
          <cell r="X15">
            <v>10.689899374578308</v>
          </cell>
        </row>
        <row r="16">
          <cell r="X16">
            <v>10.780274146018153</v>
          </cell>
        </row>
        <row r="17">
          <cell r="X17">
            <v>10.721707424545203</v>
          </cell>
        </row>
        <row r="18">
          <cell r="X18">
            <v>10.807119222760884</v>
          </cell>
        </row>
        <row r="19">
          <cell r="X19">
            <v>10.904423976281723</v>
          </cell>
        </row>
        <row r="20">
          <cell r="X20">
            <v>10.654958246829075</v>
          </cell>
        </row>
        <row r="21">
          <cell r="X21">
            <v>10.417230309453132</v>
          </cell>
        </row>
        <row r="22">
          <cell r="X22">
            <v>10.10251096720557</v>
          </cell>
        </row>
        <row r="23">
          <cell r="X23">
            <v>9.6513509260987806</v>
          </cell>
        </row>
        <row r="24">
          <cell r="X24">
            <v>8.6975327428058176</v>
          </cell>
        </row>
        <row r="25">
          <cell r="X25">
            <v>8.6229855094236889</v>
          </cell>
        </row>
        <row r="26">
          <cell r="X26">
            <v>10.98966533554502</v>
          </cell>
        </row>
        <row r="27">
          <cell r="X27">
            <v>10.218590815873343</v>
          </cell>
        </row>
        <row r="28">
          <cell r="X28">
            <v>10.794023678276229</v>
          </cell>
        </row>
        <row r="29">
          <cell r="X29">
            <v>10.050607695348676</v>
          </cell>
        </row>
        <row r="30">
          <cell r="X30">
            <v>10.135788236675211</v>
          </cell>
        </row>
        <row r="31">
          <cell r="X31">
            <v>10.720103601552983</v>
          </cell>
        </row>
        <row r="32">
          <cell r="X32">
            <v>10.211403880159363</v>
          </cell>
        </row>
        <row r="33">
          <cell r="X33">
            <v>10.800472650132463</v>
          </cell>
        </row>
      </sheetData>
      <sheetData sheetId="57"/>
      <sheetData sheetId="58">
        <row r="10">
          <cell r="X10">
            <v>10.87511666924379</v>
          </cell>
        </row>
        <row r="11">
          <cell r="X11">
            <v>11.489673932601741</v>
          </cell>
        </row>
        <row r="12">
          <cell r="X12">
            <v>11.503421668415607</v>
          </cell>
        </row>
        <row r="13">
          <cell r="X13">
            <v>11.338382628450585</v>
          </cell>
        </row>
        <row r="14">
          <cell r="X14">
            <v>11.293822301885907</v>
          </cell>
        </row>
        <row r="15">
          <cell r="X15">
            <v>11.620039025430584</v>
          </cell>
        </row>
        <row r="16">
          <cell r="X16">
            <v>11.59725880836222</v>
          </cell>
        </row>
        <row r="17">
          <cell r="X17">
            <v>11.931562244407294</v>
          </cell>
        </row>
        <row r="18">
          <cell r="X18">
            <v>11.676193953044173</v>
          </cell>
        </row>
        <row r="19">
          <cell r="X19">
            <v>11.506663953586834</v>
          </cell>
        </row>
        <row r="20">
          <cell r="X20">
            <v>11.270907570426491</v>
          </cell>
        </row>
        <row r="21">
          <cell r="X21">
            <v>10.964783893983991</v>
          </cell>
        </row>
        <row r="22">
          <cell r="X22">
            <v>10.46068958942141</v>
          </cell>
        </row>
        <row r="23">
          <cell r="X23">
            <v>10.0480274512317</v>
          </cell>
        </row>
        <row r="24">
          <cell r="X24">
            <v>10.603263437418246</v>
          </cell>
        </row>
        <row r="25">
          <cell r="X25">
            <v>10.821307531303843</v>
          </cell>
        </row>
        <row r="26">
          <cell r="X26">
            <v>11.045114028363288</v>
          </cell>
        </row>
        <row r="27">
          <cell r="X27">
            <v>10.883220875169037</v>
          </cell>
        </row>
        <row r="28">
          <cell r="X28">
            <v>11.218244005893238</v>
          </cell>
        </row>
        <row r="29">
          <cell r="X29">
            <v>11.075945575645216</v>
          </cell>
        </row>
        <row r="30">
          <cell r="X30">
            <v>11.088154109222087</v>
          </cell>
        </row>
        <row r="31">
          <cell r="X31">
            <v>10.952779454725325</v>
          </cell>
        </row>
        <row r="32">
          <cell r="X32">
            <v>10.659753363491216</v>
          </cell>
        </row>
        <row r="33">
          <cell r="X33">
            <v>10.600980835542844</v>
          </cell>
        </row>
      </sheetData>
      <sheetData sheetId="59"/>
      <sheetData sheetId="60">
        <row r="10">
          <cell r="X10">
            <v>10.703724786507829</v>
          </cell>
        </row>
        <row r="11">
          <cell r="X11">
            <v>10.828284995691519</v>
          </cell>
        </row>
        <row r="12">
          <cell r="X12">
            <v>11.655156282503516</v>
          </cell>
        </row>
        <row r="13">
          <cell r="X13">
            <v>12.160037217469862</v>
          </cell>
        </row>
        <row r="14">
          <cell r="X14">
            <v>12.632902622501978</v>
          </cell>
        </row>
        <row r="15">
          <cell r="X15">
            <v>12.569564729776712</v>
          </cell>
        </row>
        <row r="16">
          <cell r="X16">
            <v>12.744260770412385</v>
          </cell>
        </row>
        <row r="17">
          <cell r="X17">
            <v>12.908125629412684</v>
          </cell>
        </row>
        <row r="18">
          <cell r="X18">
            <v>12.743307834933134</v>
          </cell>
        </row>
        <row r="19">
          <cell r="X19">
            <v>12.618528884841602</v>
          </cell>
        </row>
        <row r="20">
          <cell r="X20">
            <v>11.908894719917164</v>
          </cell>
        </row>
        <row r="21">
          <cell r="X21">
            <v>12.658090937562305</v>
          </cell>
        </row>
        <row r="22">
          <cell r="X22">
            <v>12.700815405995289</v>
          </cell>
        </row>
        <row r="23">
          <cell r="X23">
            <v>13.082267057083628</v>
          </cell>
        </row>
        <row r="24">
          <cell r="X24">
            <v>13.401594672201419</v>
          </cell>
        </row>
        <row r="25">
          <cell r="X25">
            <v>13.06552315802756</v>
          </cell>
        </row>
        <row r="26">
          <cell r="X26">
            <v>12.969693678711501</v>
          </cell>
        </row>
        <row r="27">
          <cell r="X27">
            <v>12.708904437960081</v>
          </cell>
        </row>
        <row r="28">
          <cell r="X28">
            <v>12.457728873157693</v>
          </cell>
        </row>
        <row r="29">
          <cell r="X29">
            <v>12.28610928399441</v>
          </cell>
        </row>
        <row r="30">
          <cell r="X30">
            <v>11.976585775215954</v>
          </cell>
        </row>
        <row r="31">
          <cell r="X31">
            <v>11.581919647005396</v>
          </cell>
        </row>
        <row r="32">
          <cell r="X32">
            <v>11.345045533082393</v>
          </cell>
        </row>
        <row r="33">
          <cell r="X33">
            <v>11.278507448025929</v>
          </cell>
        </row>
      </sheetData>
      <sheetData sheetId="61"/>
      <sheetData sheetId="62">
        <row r="10">
          <cell r="X10">
            <v>11.38292720613147</v>
          </cell>
        </row>
        <row r="11">
          <cell r="X11">
            <v>11.240253984298324</v>
          </cell>
        </row>
        <row r="12">
          <cell r="X12">
            <v>11.17593615912946</v>
          </cell>
        </row>
        <row r="13">
          <cell r="X13">
            <v>11.221602284161419</v>
          </cell>
        </row>
        <row r="14">
          <cell r="X14">
            <v>11.367451995589217</v>
          </cell>
        </row>
        <row r="15">
          <cell r="X15">
            <v>11.21342179986183</v>
          </cell>
        </row>
        <row r="16">
          <cell r="X16">
            <v>11.242243957654766</v>
          </cell>
        </row>
        <row r="17">
          <cell r="X17">
            <v>11.456012692700851</v>
          </cell>
        </row>
        <row r="18">
          <cell r="X18">
            <v>10.909315651365747</v>
          </cell>
        </row>
        <row r="19">
          <cell r="X19">
            <v>10.960634819013819</v>
          </cell>
        </row>
        <row r="20">
          <cell r="X20">
            <v>10.834365137606046</v>
          </cell>
        </row>
        <row r="21">
          <cell r="X21">
            <v>10.729746009331029</v>
          </cell>
        </row>
        <row r="22">
          <cell r="X22">
            <v>10.911928888364358</v>
          </cell>
        </row>
        <row r="23">
          <cell r="X23">
            <v>10.692661086889688</v>
          </cell>
        </row>
        <row r="24">
          <cell r="X24">
            <v>11.461664178351949</v>
          </cell>
        </row>
        <row r="25">
          <cell r="X25">
            <v>10.921089058839957</v>
          </cell>
        </row>
        <row r="26">
          <cell r="X26">
            <v>10.668757087871212</v>
          </cell>
        </row>
        <row r="27">
          <cell r="X27">
            <v>10.686281218314233</v>
          </cell>
        </row>
        <row r="28">
          <cell r="X28">
            <v>10.455730368223156</v>
          </cell>
        </row>
        <row r="29">
          <cell r="X29">
            <v>10.418129431022681</v>
          </cell>
        </row>
        <row r="30">
          <cell r="X30">
            <v>10.454217330842328</v>
          </cell>
        </row>
        <row r="31">
          <cell r="X31">
            <v>10.380151665821501</v>
          </cell>
        </row>
        <row r="32">
          <cell r="X32">
            <v>10.308080062937989</v>
          </cell>
        </row>
        <row r="33">
          <cell r="X33">
            <v>10.394489465308601</v>
          </cell>
        </row>
      </sheetData>
      <sheetData sheetId="63"/>
      <sheetData sheetId="64">
        <row r="10">
          <cell r="X10">
            <v>10.157573158624714</v>
          </cell>
        </row>
        <row r="11">
          <cell r="X11">
            <v>9.9134588826302945</v>
          </cell>
        </row>
        <row r="12">
          <cell r="X12">
            <v>9.9662673113532918</v>
          </cell>
        </row>
        <row r="13">
          <cell r="X13">
            <v>9.9676996069931132</v>
          </cell>
        </row>
        <row r="14">
          <cell r="X14">
            <v>10.145983827155582</v>
          </cell>
        </row>
        <row r="15">
          <cell r="X15">
            <v>10.371381446900919</v>
          </cell>
        </row>
        <row r="16">
          <cell r="X16">
            <v>10.254951732998943</v>
          </cell>
        </row>
        <row r="17">
          <cell r="X17">
            <v>10.205872539071017</v>
          </cell>
        </row>
        <row r="18">
          <cell r="X18">
            <v>10.398495530934039</v>
          </cell>
        </row>
        <row r="19">
          <cell r="X19">
            <v>10.511469416646115</v>
          </cell>
        </row>
        <row r="20">
          <cell r="X20">
            <v>9.9506081957972068</v>
          </cell>
        </row>
        <row r="21">
          <cell r="X21">
            <v>9.6773942347045541</v>
          </cell>
        </row>
        <row r="22">
          <cell r="X22">
            <v>10.336530079733047</v>
          </cell>
        </row>
        <row r="23">
          <cell r="X23">
            <v>10.63527695875524</v>
          </cell>
        </row>
        <row r="24">
          <cell r="X24">
            <v>10.721826747890976</v>
          </cell>
        </row>
        <row r="25">
          <cell r="X25">
            <v>10.701501186957758</v>
          </cell>
        </row>
        <row r="26">
          <cell r="X26">
            <v>10.749996829552144</v>
          </cell>
        </row>
        <row r="27">
          <cell r="X27">
            <v>10.714964276210626</v>
          </cell>
        </row>
        <row r="28">
          <cell r="X28">
            <v>10.711379766984905</v>
          </cell>
        </row>
        <row r="29">
          <cell r="X29">
            <v>10.794424553710323</v>
          </cell>
        </row>
        <row r="30">
          <cell r="X30">
            <v>10.639922401713699</v>
          </cell>
        </row>
        <row r="31">
          <cell r="X31">
            <v>10.526138628415177</v>
          </cell>
        </row>
        <row r="32">
          <cell r="X32">
            <v>10.910512377084425</v>
          </cell>
        </row>
        <row r="33">
          <cell r="X33">
            <v>11.073866028753081</v>
          </cell>
        </row>
      </sheetData>
      <sheetData sheetId="65"/>
      <sheetData sheetId="66">
        <row r="10">
          <cell r="X10">
            <v>11.043411001062223</v>
          </cell>
        </row>
        <row r="11">
          <cell r="X11">
            <v>11.163242880278592</v>
          </cell>
        </row>
        <row r="12">
          <cell r="X12">
            <v>11.240347436074341</v>
          </cell>
        </row>
        <row r="13">
          <cell r="X13">
            <v>11.122774393895281</v>
          </cell>
        </row>
        <row r="14">
          <cell r="X14">
            <v>11.127531660446582</v>
          </cell>
        </row>
        <row r="15">
          <cell r="X15">
            <v>11.268659625557097</v>
          </cell>
        </row>
        <row r="16">
          <cell r="X16">
            <v>11.276612501184699</v>
          </cell>
        </row>
        <row r="17">
          <cell r="X17">
            <v>11.511860210922334</v>
          </cell>
        </row>
        <row r="18">
          <cell r="X18">
            <v>11.573513903417714</v>
          </cell>
        </row>
        <row r="19">
          <cell r="X19">
            <v>11.569002392313928</v>
          </cell>
        </row>
        <row r="20">
          <cell r="X20">
            <v>11.807710353882513</v>
          </cell>
        </row>
        <row r="21">
          <cell r="X21">
            <v>11.970099347214409</v>
          </cell>
        </row>
        <row r="22">
          <cell r="X22">
            <v>12.050608000026392</v>
          </cell>
        </row>
        <row r="23">
          <cell r="X23">
            <v>12.059461900092229</v>
          </cell>
        </row>
        <row r="24">
          <cell r="X24">
            <v>11.746719021460144</v>
          </cell>
        </row>
        <row r="25">
          <cell r="X25">
            <v>11.859687531320033</v>
          </cell>
        </row>
        <row r="26">
          <cell r="X26">
            <v>12.007202025327658</v>
          </cell>
        </row>
        <row r="27">
          <cell r="X27">
            <v>11.925196272250819</v>
          </cell>
        </row>
        <row r="28">
          <cell r="X28">
            <v>11.727740337045033</v>
          </cell>
        </row>
        <row r="29">
          <cell r="X29">
            <v>11.723738145935213</v>
          </cell>
        </row>
        <row r="30">
          <cell r="X30">
            <v>11.524622915656783</v>
          </cell>
        </row>
        <row r="31">
          <cell r="X31">
            <v>11.524430018565637</v>
          </cell>
        </row>
        <row r="32">
          <cell r="X32">
            <v>11.566010874819892</v>
          </cell>
        </row>
        <row r="33">
          <cell r="X33">
            <v>11.448691371666916</v>
          </cell>
        </row>
      </sheetData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</sheetDataSet>
  </externalBook>
</externalLink>
</file>

<file path=xl/externalLinks/externalLink6.xml><?xml version="1.0" encoding="utf-8"?>
<externalLink xmlns="http://schemas.openxmlformats.org/spreadsheetml/2006/main">
  <externalBook xmlns:r="http://schemas.openxmlformats.org/officeDocument/2006/relationships" r:id="rId1">
    <sheetNames>
      <sheetName val="Ponto de Orvalho"/>
      <sheetName val="Bulbo Umido"/>
      <sheetName val="Verificações"/>
      <sheetName val="Dia 1 (a)"/>
      <sheetName val="Dia 1 (b)"/>
      <sheetName val="Dia 2 (a)"/>
      <sheetName val="Dia 2 (b)"/>
      <sheetName val="Dia 3 (a)"/>
      <sheetName val="Dia 3 (b)"/>
      <sheetName val="Dia 4 (a)"/>
      <sheetName val="Dia 4 (b)"/>
      <sheetName val="Dia 5 (a)"/>
      <sheetName val="Dia 5 (b)"/>
      <sheetName val="Dia 6 (a)"/>
      <sheetName val="Dia 6 (b)"/>
      <sheetName val="Dia 7 (a)"/>
      <sheetName val="Dia 7 (b)"/>
      <sheetName val="Dia 8 (a)"/>
      <sheetName val="Dia 8 (b)"/>
      <sheetName val="Dia 9 (a)"/>
      <sheetName val="Dia 9 (b)"/>
      <sheetName val="Dia 10 (a)"/>
      <sheetName val="Dia 10 (b)"/>
      <sheetName val="Dia 11 (a)"/>
      <sheetName val="Dia 11 (b)"/>
      <sheetName val="Dia 12 (a)"/>
      <sheetName val="Dia 12 (b)"/>
      <sheetName val="Dia 13 (a)"/>
      <sheetName val="Dia 13 (b)"/>
      <sheetName val="Dia 14 (a)"/>
      <sheetName val="Dia 14 (b)"/>
      <sheetName val="Dia 15 (a)"/>
      <sheetName val="Dia 15 (b)"/>
      <sheetName val="Dia 16 (a)"/>
      <sheetName val="Dia 16 (b)"/>
      <sheetName val="Dia 17 (a)"/>
      <sheetName val="Dia 17 (b)"/>
      <sheetName val="Dia 18 (a)"/>
      <sheetName val="Dia 18 (b)"/>
      <sheetName val="Dia 19 (a)"/>
      <sheetName val="Dia 19 (b)"/>
      <sheetName val="Dia 20 (a)"/>
      <sheetName val="Dia 20 (b)"/>
      <sheetName val="Dia 21 (a)"/>
      <sheetName val="Dia 21 (b)"/>
      <sheetName val="Dia 22 (a)"/>
      <sheetName val="Dia 22 (b)"/>
      <sheetName val="Dia 23 (a)"/>
      <sheetName val="Dia 23 (b)"/>
      <sheetName val="Dia 24 (a)"/>
      <sheetName val="Dia 24 (b)"/>
      <sheetName val="Dia 25 (a)"/>
      <sheetName val="Dia 25 (b)"/>
      <sheetName val="Dia 26 (a)"/>
      <sheetName val="Dia 26 (b)"/>
      <sheetName val="Dia 27 (a)"/>
      <sheetName val="Dia 27 (b)"/>
      <sheetName val="Dia 28 (a)"/>
      <sheetName val="Dia 28 (b)"/>
      <sheetName val="Dia 29 (a)"/>
      <sheetName val="Dia 29 (b)"/>
      <sheetName val="Dia 30 (a)"/>
      <sheetName val="Dia 30 (b)"/>
      <sheetName val="Dia 31 (a)"/>
      <sheetName val="Dia 31 (b)"/>
      <sheetName val="Visibilidade"/>
      <sheetName val="Tipo-Nuvens Baixas"/>
      <sheetName val="Quant.-Nuvens Baixas"/>
      <sheetName val="Tipo-Nuvens Médias"/>
      <sheetName val="Quant.-Nuvens Médias"/>
      <sheetName val="Tipo-Nuvens Altas"/>
      <sheetName val="Quant.-Nuvens Altas"/>
      <sheetName val="Cobertura Total"/>
      <sheetName val="Barôm. a Grav. Normal (hPa=mb)"/>
      <sheetName val="Term. Seco (C)"/>
      <sheetName val="Umid. Relat. (%)"/>
      <sheetName val="Umid. Específica (g.kg-1)"/>
      <sheetName val="Temp. Superf. (C)"/>
      <sheetName val="Temp. 5 cm (C)"/>
      <sheetName val="Temp. 10 cm (C)"/>
      <sheetName val="Temp. 20 cm (C)"/>
      <sheetName val="Temp. 30 cm (C)"/>
      <sheetName val="Temp. 40 cm (C)"/>
      <sheetName val="Temp. Máx. e Mín. (C)"/>
      <sheetName val="Precipitação e Evaporação (mm)"/>
      <sheetName val="INMET"/>
      <sheetName val="Fenomenos Diversos"/>
    </sheetNames>
    <sheetDataSet>
      <sheetData sheetId="0"/>
      <sheetData sheetId="1"/>
      <sheetData sheetId="2"/>
      <sheetData sheetId="3"/>
      <sheetData sheetId="4">
        <row r="1">
          <cell r="C1" t="str">
            <v>JUNHO DE 2023</v>
          </cell>
        </row>
        <row r="10">
          <cell r="X10">
            <v>10.815949767898331</v>
          </cell>
        </row>
        <row r="11">
          <cell r="X11">
            <v>10.93667048697554</v>
          </cell>
        </row>
        <row r="12">
          <cell r="X12">
            <v>10.984565804009963</v>
          </cell>
        </row>
        <row r="13">
          <cell r="X13">
            <v>10.916931853494328</v>
          </cell>
        </row>
        <row r="14">
          <cell r="X14">
            <v>10.920249004935712</v>
          </cell>
        </row>
        <row r="15">
          <cell r="X15">
            <v>11.031758040165112</v>
          </cell>
        </row>
        <row r="16">
          <cell r="X16">
            <v>10.877321494395471</v>
          </cell>
        </row>
        <row r="17">
          <cell r="X17">
            <v>11.233721986432224</v>
          </cell>
        </row>
        <row r="18">
          <cell r="X18">
            <v>11.147650696555456</v>
          </cell>
        </row>
        <row r="19">
          <cell r="X19">
            <v>11.340720473136393</v>
          </cell>
        </row>
        <row r="20">
          <cell r="X20">
            <v>10.645381004394803</v>
          </cell>
        </row>
        <row r="21">
          <cell r="X21">
            <v>10.301016555988163</v>
          </cell>
        </row>
        <row r="22">
          <cell r="X22">
            <v>10.949608176025897</v>
          </cell>
        </row>
        <row r="23">
          <cell r="X23">
            <v>11.31235427736444</v>
          </cell>
        </row>
        <row r="24">
          <cell r="X24">
            <v>11.112385517021551</v>
          </cell>
        </row>
        <row r="25">
          <cell r="X25">
            <v>10.914056480995422</v>
          </cell>
        </row>
        <row r="26">
          <cell r="X26">
            <v>11.49484037191591</v>
          </cell>
        </row>
        <row r="27">
          <cell r="X27">
            <v>11.248311190929437</v>
          </cell>
        </row>
        <row r="28">
          <cell r="X28">
            <v>11.02510609188349</v>
          </cell>
        </row>
        <row r="29">
          <cell r="X29">
            <v>11.050244630782492</v>
          </cell>
        </row>
        <row r="30">
          <cell r="X30">
            <v>11.016406940061996</v>
          </cell>
        </row>
        <row r="31">
          <cell r="X31">
            <v>10.869997044377667</v>
          </cell>
        </row>
        <row r="32">
          <cell r="X32">
            <v>11.136616353313814</v>
          </cell>
        </row>
        <row r="33">
          <cell r="X33">
            <v>11.051319204202995</v>
          </cell>
        </row>
      </sheetData>
      <sheetData sheetId="5"/>
      <sheetData sheetId="6">
        <row r="10">
          <cell r="X10">
            <v>11.06663925397612</v>
          </cell>
        </row>
        <row r="11">
          <cell r="X11">
            <v>10.838400368721722</v>
          </cell>
        </row>
        <row r="12">
          <cell r="X12">
            <v>10.659173108855452</v>
          </cell>
        </row>
        <row r="13">
          <cell r="X13">
            <v>10.594506856957656</v>
          </cell>
        </row>
        <row r="14">
          <cell r="X14">
            <v>10.301130328386508</v>
          </cell>
        </row>
        <row r="15">
          <cell r="X15">
            <v>10.364793615767576</v>
          </cell>
        </row>
        <row r="16">
          <cell r="X16">
            <v>10.677740011412915</v>
          </cell>
        </row>
        <row r="17">
          <cell r="X17">
            <v>10.787445423632743</v>
          </cell>
        </row>
        <row r="18">
          <cell r="X18">
            <v>10.120064217277225</v>
          </cell>
        </row>
        <row r="19">
          <cell r="X19">
            <v>10.448804344805614</v>
          </cell>
        </row>
        <row r="20">
          <cell r="X20">
            <v>9.9808724911143738</v>
          </cell>
        </row>
        <row r="21">
          <cell r="X21">
            <v>11.002511316951393</v>
          </cell>
        </row>
        <row r="22">
          <cell r="X22">
            <v>9.8800533603406038</v>
          </cell>
        </row>
        <row r="23">
          <cell r="X23">
            <v>9.856958115974086</v>
          </cell>
        </row>
        <row r="24">
          <cell r="X24">
            <v>9.6280661858379819</v>
          </cell>
        </row>
        <row r="25">
          <cell r="X25">
            <v>11.388291719163817</v>
          </cell>
        </row>
        <row r="26">
          <cell r="X26">
            <v>11.369801396753282</v>
          </cell>
        </row>
        <row r="27">
          <cell r="X27">
            <v>11.118123102043352</v>
          </cell>
        </row>
        <row r="28">
          <cell r="X28">
            <v>11.245154972627155</v>
          </cell>
        </row>
        <row r="29">
          <cell r="X29">
            <v>11.136728484475459</v>
          </cell>
        </row>
        <row r="30">
          <cell r="X30">
            <v>11.102378109581839</v>
          </cell>
        </row>
        <row r="31">
          <cell r="X31">
            <v>11.392894544026582</v>
          </cell>
        </row>
        <row r="32">
          <cell r="X32">
            <v>10.990953153370457</v>
          </cell>
        </row>
        <row r="33">
          <cell r="X33">
            <v>10.901823883032471</v>
          </cell>
        </row>
      </sheetData>
      <sheetData sheetId="7"/>
      <sheetData sheetId="8">
        <row r="10">
          <cell r="X10">
            <v>10.353456052888172</v>
          </cell>
        </row>
        <row r="11">
          <cell r="X11">
            <v>9.994484708640778</v>
          </cell>
        </row>
        <row r="12">
          <cell r="X12">
            <v>9.9992917215568173</v>
          </cell>
        </row>
        <row r="13">
          <cell r="X13">
            <v>10.644308686596533</v>
          </cell>
        </row>
        <row r="14">
          <cell r="X14">
            <v>10.361612718381156</v>
          </cell>
        </row>
        <row r="15">
          <cell r="X15">
            <v>10.024380661500278</v>
          </cell>
        </row>
        <row r="16">
          <cell r="X16">
            <v>9.9800035824222899</v>
          </cell>
        </row>
        <row r="17">
          <cell r="X17">
            <v>9.8224385330113826</v>
          </cell>
        </row>
        <row r="18">
          <cell r="X18">
            <v>10.078501444046028</v>
          </cell>
        </row>
        <row r="19">
          <cell r="X19">
            <v>9.8727357893768595</v>
          </cell>
        </row>
        <row r="20">
          <cell r="X20">
            <v>10.321716923320496</v>
          </cell>
        </row>
        <row r="21">
          <cell r="X21">
            <v>10.033559865142179</v>
          </cell>
        </row>
        <row r="22">
          <cell r="X22">
            <v>9.8631305824215403</v>
          </cell>
        </row>
        <row r="23">
          <cell r="X23">
            <v>9.5346109880093088</v>
          </cell>
        </row>
        <row r="24">
          <cell r="X24">
            <v>9.7315027958057509</v>
          </cell>
        </row>
        <row r="25">
          <cell r="X25">
            <v>10.026736590756817</v>
          </cell>
        </row>
        <row r="26">
          <cell r="X26">
            <v>10.800856678398725</v>
          </cell>
        </row>
        <row r="27">
          <cell r="X27">
            <v>11.498163374960104</v>
          </cell>
        </row>
        <row r="28">
          <cell r="X28">
            <v>11.639197455181469</v>
          </cell>
        </row>
        <row r="29">
          <cell r="X29">
            <v>11.177653000020221</v>
          </cell>
        </row>
        <row r="30">
          <cell r="X30">
            <v>10.71392073612169</v>
          </cell>
        </row>
        <row r="31">
          <cell r="X31">
            <v>10.430213179366053</v>
          </cell>
        </row>
        <row r="32">
          <cell r="X32">
            <v>10.233300210323305</v>
          </cell>
        </row>
        <row r="33">
          <cell r="X33">
            <v>9.9628541715721646</v>
          </cell>
        </row>
      </sheetData>
      <sheetData sheetId="9"/>
      <sheetData sheetId="10">
        <row r="10">
          <cell r="X10">
            <v>9.8908123398824994</v>
          </cell>
        </row>
        <row r="11">
          <cell r="X11">
            <v>9.5715789551566601</v>
          </cell>
        </row>
        <row r="12">
          <cell r="X12">
            <v>9.3625785047156604</v>
          </cell>
        </row>
        <row r="13">
          <cell r="X13">
            <v>8.9668400474869863</v>
          </cell>
        </row>
        <row r="14">
          <cell r="X14">
            <v>8.94156485788195</v>
          </cell>
        </row>
        <row r="15">
          <cell r="X15">
            <v>8.7577140016035582</v>
          </cell>
        </row>
        <row r="16">
          <cell r="X16">
            <v>8.6023356461092657</v>
          </cell>
        </row>
        <row r="17">
          <cell r="X17">
            <v>10.463830840517151</v>
          </cell>
        </row>
        <row r="18">
          <cell r="X18">
            <v>11.229042845253684</v>
          </cell>
        </row>
        <row r="19">
          <cell r="X19">
            <v>10.293161627063752</v>
          </cell>
        </row>
        <row r="20">
          <cell r="X20">
            <v>9.4175518805411649</v>
          </cell>
        </row>
        <row r="21">
          <cell r="X21">
            <v>8.4789250540111087</v>
          </cell>
        </row>
        <row r="22">
          <cell r="X22">
            <v>8.6201442747039891</v>
          </cell>
        </row>
        <row r="23">
          <cell r="X23">
            <v>8.1776590753208183</v>
          </cell>
        </row>
        <row r="24">
          <cell r="X24">
            <v>8.6484858638744093</v>
          </cell>
        </row>
        <row r="25">
          <cell r="X25">
            <v>9.1022143367803139</v>
          </cell>
        </row>
        <row r="26">
          <cell r="X26">
            <v>10.436493286205231</v>
          </cell>
        </row>
        <row r="27">
          <cell r="X27">
            <v>10.774317929037846</v>
          </cell>
        </row>
        <row r="28">
          <cell r="X28">
            <v>10.159526033949597</v>
          </cell>
        </row>
        <row r="29">
          <cell r="X29">
            <v>9.8465592138792584</v>
          </cell>
        </row>
        <row r="30">
          <cell r="X30">
            <v>9.6164926785016203</v>
          </cell>
        </row>
        <row r="31">
          <cell r="X31">
            <v>9.7377009605372375</v>
          </cell>
        </row>
        <row r="32">
          <cell r="X32">
            <v>9.450785467813354</v>
          </cell>
        </row>
        <row r="33">
          <cell r="X33">
            <v>9.4477431442527102</v>
          </cell>
        </row>
      </sheetData>
      <sheetData sheetId="11"/>
      <sheetData sheetId="12">
        <row r="10">
          <cell r="X10">
            <v>9.2481131008480535</v>
          </cell>
        </row>
        <row r="11">
          <cell r="X11">
            <v>9.3527029994767332</v>
          </cell>
        </row>
        <row r="12">
          <cell r="X12">
            <v>9.0532447338331181</v>
          </cell>
        </row>
        <row r="13">
          <cell r="X13">
            <v>8.9024219996305636</v>
          </cell>
        </row>
        <row r="14">
          <cell r="X14">
            <v>8.78595094464686</v>
          </cell>
        </row>
        <row r="15">
          <cell r="X15">
            <v>8.6096012525519097</v>
          </cell>
        </row>
        <row r="16">
          <cell r="X16">
            <v>8.5048919727009284</v>
          </cell>
        </row>
        <row r="17">
          <cell r="X17">
            <v>10.359375009363218</v>
          </cell>
        </row>
        <row r="18">
          <cell r="X18">
            <v>10.726921212805152</v>
          </cell>
        </row>
        <row r="19">
          <cell r="X19">
            <v>10.13855982612874</v>
          </cell>
        </row>
        <row r="20">
          <cell r="X20">
            <v>8.2752384655552937</v>
          </cell>
        </row>
        <row r="21">
          <cell r="X21">
            <v>7.7279399255203218</v>
          </cell>
        </row>
        <row r="22">
          <cell r="X22">
            <v>8.4940264914711889</v>
          </cell>
        </row>
        <row r="23">
          <cell r="X23">
            <v>8.0374637625665617</v>
          </cell>
        </row>
        <row r="24">
          <cell r="X24">
            <v>11.259998451974907</v>
          </cell>
        </row>
        <row r="25">
          <cell r="X25">
            <v>11.109611948372512</v>
          </cell>
        </row>
        <row r="26">
          <cell r="X26">
            <v>10.898830555469258</v>
          </cell>
        </row>
        <row r="27">
          <cell r="X27">
            <v>10.847187135560032</v>
          </cell>
        </row>
        <row r="28">
          <cell r="X28">
            <v>10.489081906098736</v>
          </cell>
        </row>
        <row r="29">
          <cell r="X29">
            <v>10.120237021220111</v>
          </cell>
        </row>
        <row r="30">
          <cell r="X30">
            <v>10.305568935336488</v>
          </cell>
        </row>
        <row r="31">
          <cell r="X31">
            <v>10.584972663932444</v>
          </cell>
        </row>
        <row r="32">
          <cell r="X32">
            <v>10.435801950774096</v>
          </cell>
        </row>
        <row r="33">
          <cell r="X33">
            <v>10.435801950774096</v>
          </cell>
        </row>
      </sheetData>
      <sheetData sheetId="13"/>
      <sheetData sheetId="14">
        <row r="10">
          <cell r="X10">
            <v>10.408306852703511</v>
          </cell>
        </row>
        <row r="11">
          <cell r="X11">
            <v>10.800987896925363</v>
          </cell>
        </row>
        <row r="12">
          <cell r="X12">
            <v>10.642454478200953</v>
          </cell>
        </row>
        <row r="13">
          <cell r="X13">
            <v>9.4053644153938052</v>
          </cell>
        </row>
        <row r="14">
          <cell r="X14">
            <v>8.9581314321480008</v>
          </cell>
        </row>
        <row r="15">
          <cell r="X15">
            <v>8.497089480187956</v>
          </cell>
        </row>
        <row r="16">
          <cell r="X16">
            <v>8.2619344897316207</v>
          </cell>
        </row>
        <row r="17">
          <cell r="X17">
            <v>9.8041648892759099</v>
          </cell>
        </row>
        <row r="18">
          <cell r="X18">
            <v>10.274165148065597</v>
          </cell>
        </row>
        <row r="19">
          <cell r="X19">
            <v>9.5922037225944283</v>
          </cell>
        </row>
        <row r="20">
          <cell r="X20">
            <v>9.2071563735503243</v>
          </cell>
        </row>
        <row r="21">
          <cell r="X21">
            <v>9.179985640666052</v>
          </cell>
        </row>
        <row r="22">
          <cell r="X22">
            <v>7.4025570002227274</v>
          </cell>
        </row>
        <row r="23">
          <cell r="X23">
            <v>9.7771918723609783</v>
          </cell>
        </row>
        <row r="24">
          <cell r="X24">
            <v>9.8330986255790869</v>
          </cell>
        </row>
        <row r="25">
          <cell r="X25">
            <v>10.225994989786617</v>
          </cell>
        </row>
        <row r="26">
          <cell r="X26">
            <v>10.737342246713837</v>
          </cell>
        </row>
        <row r="27">
          <cell r="X27">
            <v>10.765957228933052</v>
          </cell>
        </row>
        <row r="28">
          <cell r="X28">
            <v>10.410844453209824</v>
          </cell>
        </row>
        <row r="29">
          <cell r="X29">
            <v>10.375521368416367</v>
          </cell>
        </row>
        <row r="30">
          <cell r="X30">
            <v>9.8547053441732935</v>
          </cell>
        </row>
        <row r="31">
          <cell r="X31">
            <v>9.3761876554287689</v>
          </cell>
        </row>
        <row r="32">
          <cell r="X32">
            <v>9.2487402199151916</v>
          </cell>
        </row>
        <row r="33">
          <cell r="X33">
            <v>8.9553280653995397</v>
          </cell>
        </row>
      </sheetData>
      <sheetData sheetId="15"/>
      <sheetData sheetId="16">
        <row r="10">
          <cell r="X10">
            <v>8.7988316299724687</v>
          </cell>
        </row>
        <row r="11">
          <cell r="X11">
            <v>8.5707840528504899</v>
          </cell>
        </row>
        <row r="12">
          <cell r="X12">
            <v>8.5759073747722674</v>
          </cell>
        </row>
        <row r="13">
          <cell r="X13">
            <v>8.3517697928072803</v>
          </cell>
        </row>
        <row r="14">
          <cell r="X14">
            <v>8.1862517269591599</v>
          </cell>
        </row>
        <row r="15">
          <cell r="X15">
            <v>8.1506551239645919</v>
          </cell>
        </row>
        <row r="16">
          <cell r="X16">
            <v>8.3296476137306446</v>
          </cell>
        </row>
        <row r="17">
          <cell r="X17">
            <v>9.7739665669672604</v>
          </cell>
        </row>
        <row r="18">
          <cell r="X18">
            <v>9.9440372597717239</v>
          </cell>
        </row>
        <row r="19">
          <cell r="X19">
            <v>10.042064778068339</v>
          </cell>
        </row>
        <row r="20">
          <cell r="X20">
            <v>9.4859218676214621</v>
          </cell>
        </row>
        <row r="21">
          <cell r="X21">
            <v>9.6869203484833175</v>
          </cell>
        </row>
        <row r="22">
          <cell r="X22">
            <v>8.0246064402956936</v>
          </cell>
        </row>
        <row r="23">
          <cell r="X23">
            <v>8.7428918264545228</v>
          </cell>
        </row>
        <row r="24">
          <cell r="X24">
            <v>8.6928481578333106</v>
          </cell>
        </row>
        <row r="25">
          <cell r="X25">
            <v>8.0156598977460973</v>
          </cell>
        </row>
        <row r="26">
          <cell r="X26">
            <v>9.5958623135425061</v>
          </cell>
        </row>
        <row r="27">
          <cell r="X27">
            <v>10.424368041161651</v>
          </cell>
        </row>
        <row r="28">
          <cell r="X28">
            <v>9.9502364651538251</v>
          </cell>
        </row>
        <row r="29">
          <cell r="X29">
            <v>9.5982411590755099</v>
          </cell>
        </row>
        <row r="30">
          <cell r="X30">
            <v>9.5489882935804076</v>
          </cell>
        </row>
        <row r="31">
          <cell r="X31">
            <v>9.3712623511623256</v>
          </cell>
        </row>
        <row r="32">
          <cell r="X32">
            <v>9.3235881728064935</v>
          </cell>
        </row>
        <row r="33">
          <cell r="X33">
            <v>9.1133075576661167</v>
          </cell>
        </row>
      </sheetData>
      <sheetData sheetId="17"/>
      <sheetData sheetId="18">
        <row r="10">
          <cell r="X10">
            <v>9.1761414679728404</v>
          </cell>
        </row>
        <row r="11">
          <cell r="X11">
            <v>9.1811438342201388</v>
          </cell>
        </row>
        <row r="12">
          <cell r="X12">
            <v>9.3721296426310694</v>
          </cell>
        </row>
        <row r="13">
          <cell r="X13">
            <v>9.311724150926219</v>
          </cell>
        </row>
        <row r="14">
          <cell r="X14">
            <v>9.2516626736299372</v>
          </cell>
        </row>
        <row r="15">
          <cell r="X15">
            <v>9.0299476633784579</v>
          </cell>
        </row>
        <row r="16">
          <cell r="X16">
            <v>9.2237202369272371</v>
          </cell>
        </row>
        <row r="17">
          <cell r="X17">
            <v>10.047898336715443</v>
          </cell>
        </row>
        <row r="18">
          <cell r="X18">
            <v>10.285749976207983</v>
          </cell>
        </row>
        <row r="19">
          <cell r="X19">
            <v>9.998167707892101</v>
          </cell>
        </row>
        <row r="20">
          <cell r="X20">
            <v>10.123931715916207</v>
          </cell>
        </row>
        <row r="21">
          <cell r="X21">
            <v>9.2669675909362255</v>
          </cell>
        </row>
        <row r="22">
          <cell r="X22">
            <v>9.4614165638424357</v>
          </cell>
        </row>
        <row r="23">
          <cell r="X23">
            <v>8.238459759377486</v>
          </cell>
        </row>
        <row r="24">
          <cell r="X24">
            <v>8.5536386334829206</v>
          </cell>
        </row>
        <row r="25">
          <cell r="X25">
            <v>8.3742677540771879</v>
          </cell>
        </row>
        <row r="26">
          <cell r="X26">
            <v>10.346970817342008</v>
          </cell>
        </row>
        <row r="27">
          <cell r="X27">
            <v>10.404265522465735</v>
          </cell>
        </row>
        <row r="28">
          <cell r="X28">
            <v>10.756851809844168</v>
          </cell>
        </row>
        <row r="29">
          <cell r="X29">
            <v>10.79638488517311</v>
          </cell>
        </row>
        <row r="30">
          <cell r="X30">
            <v>10.485262777355324</v>
          </cell>
        </row>
        <row r="31">
          <cell r="X31">
            <v>10.357907160400341</v>
          </cell>
        </row>
        <row r="32">
          <cell r="X32">
            <v>10.057946814018001</v>
          </cell>
        </row>
        <row r="33">
          <cell r="X33">
            <v>9.7528426691375341</v>
          </cell>
        </row>
      </sheetData>
      <sheetData sheetId="19"/>
      <sheetData sheetId="20">
        <row r="10">
          <cell r="X10">
            <v>9.6649808619886777</v>
          </cell>
        </row>
        <row r="11">
          <cell r="X11">
            <v>9.3563402172516348</v>
          </cell>
        </row>
        <row r="12">
          <cell r="X12">
            <v>9.2376977305404662</v>
          </cell>
        </row>
        <row r="13">
          <cell r="X13">
            <v>9.1164421613536888</v>
          </cell>
        </row>
        <row r="14">
          <cell r="X14">
            <v>8.9630438855163419</v>
          </cell>
        </row>
        <row r="15">
          <cell r="X15">
            <v>8.962978376782754</v>
          </cell>
        </row>
        <row r="16">
          <cell r="X16">
            <v>8.9744294052198228</v>
          </cell>
        </row>
        <row r="17">
          <cell r="X17">
            <v>10.780425582454937</v>
          </cell>
        </row>
        <row r="18">
          <cell r="X18">
            <v>10.548762046284821</v>
          </cell>
        </row>
        <row r="19">
          <cell r="X19">
            <v>9.881518001144256</v>
          </cell>
        </row>
        <row r="20">
          <cell r="X20">
            <v>9.4472296006557261</v>
          </cell>
        </row>
        <row r="21">
          <cell r="X21">
            <v>9.5144956468444128</v>
          </cell>
        </row>
        <row r="22">
          <cell r="X22">
            <v>9.3598668361415118</v>
          </cell>
        </row>
        <row r="23">
          <cell r="X23">
            <v>9.1173718100098569</v>
          </cell>
        </row>
        <row r="24">
          <cell r="X24">
            <v>8.8778335687795629</v>
          </cell>
        </row>
        <row r="25">
          <cell r="X25">
            <v>8.7322631559621424</v>
          </cell>
        </row>
        <row r="26">
          <cell r="X26">
            <v>8.6753190505983397</v>
          </cell>
        </row>
        <row r="27">
          <cell r="X27">
            <v>9.3972238549324665</v>
          </cell>
        </row>
        <row r="28">
          <cell r="X28">
            <v>9.9451370450826673</v>
          </cell>
        </row>
        <row r="29">
          <cell r="X29">
            <v>9.9408268101683195</v>
          </cell>
        </row>
        <row r="30">
          <cell r="X30">
            <v>10.000136230655533</v>
          </cell>
        </row>
        <row r="31">
          <cell r="X31">
            <v>9.5444496273888806</v>
          </cell>
        </row>
        <row r="32">
          <cell r="X32">
            <v>9.4847593904595957</v>
          </cell>
        </row>
        <row r="33">
          <cell r="X33">
            <v>9.5021504590204842</v>
          </cell>
        </row>
      </sheetData>
      <sheetData sheetId="21"/>
      <sheetData sheetId="22">
        <row r="10">
          <cell r="X10">
            <v>9.2030111892880058</v>
          </cell>
        </row>
        <row r="11">
          <cell r="X11">
            <v>9.2256084543338677</v>
          </cell>
        </row>
        <row r="12">
          <cell r="X12">
            <v>8.7757284117232359</v>
          </cell>
        </row>
        <row r="13">
          <cell r="X13">
            <v>8.8146487616123963</v>
          </cell>
        </row>
        <row r="14">
          <cell r="X14">
            <v>8.7001640860456124</v>
          </cell>
        </row>
        <row r="15">
          <cell r="X15">
            <v>8.7350783869896169</v>
          </cell>
        </row>
        <row r="16">
          <cell r="X16">
            <v>8.6204747617682695</v>
          </cell>
        </row>
        <row r="17">
          <cell r="X17">
            <v>10.554687164789584</v>
          </cell>
        </row>
        <row r="18">
          <cell r="X18">
            <v>10.559461315250806</v>
          </cell>
        </row>
        <row r="19">
          <cell r="X19">
            <v>9.8648368022465842</v>
          </cell>
        </row>
        <row r="20">
          <cell r="X20">
            <v>9.5351133008506324</v>
          </cell>
        </row>
        <row r="21">
          <cell r="X21">
            <v>8.866712663358383</v>
          </cell>
        </row>
        <row r="22">
          <cell r="X22">
            <v>8.7141247594364835</v>
          </cell>
        </row>
        <row r="23">
          <cell r="X23">
            <v>8.3107229444991759</v>
          </cell>
        </row>
        <row r="24">
          <cell r="X24">
            <v>8.1584819784367433</v>
          </cell>
        </row>
        <row r="25">
          <cell r="X25">
            <v>7.7056121917447671</v>
          </cell>
        </row>
        <row r="26">
          <cell r="X26">
            <v>8.0920573901968851</v>
          </cell>
        </row>
        <row r="27">
          <cell r="X27">
            <v>9.6787564771381795</v>
          </cell>
        </row>
        <row r="28">
          <cell r="X28">
            <v>9.5089174588535563</v>
          </cell>
        </row>
        <row r="29">
          <cell r="X29">
            <v>9.1695396041352328</v>
          </cell>
        </row>
        <row r="30">
          <cell r="X30">
            <v>9.5559911012429684</v>
          </cell>
        </row>
        <row r="31">
          <cell r="X31">
            <v>9.4264945749350577</v>
          </cell>
        </row>
        <row r="32">
          <cell r="X32">
            <v>9.3365255568809467</v>
          </cell>
        </row>
        <row r="33">
          <cell r="X33">
            <v>9.552986452993574</v>
          </cell>
        </row>
      </sheetData>
      <sheetData sheetId="23"/>
      <sheetData sheetId="24">
        <row r="10">
          <cell r="X10">
            <v>9.641822260188615</v>
          </cell>
        </row>
        <row r="11">
          <cell r="X11">
            <v>9.3957163917239921</v>
          </cell>
        </row>
        <row r="12">
          <cell r="X12">
            <v>9.200687414730421</v>
          </cell>
        </row>
        <row r="13">
          <cell r="X13">
            <v>9.0207324444042101</v>
          </cell>
        </row>
        <row r="14">
          <cell r="X14">
            <v>8.8864095360906639</v>
          </cell>
        </row>
        <row r="15">
          <cell r="X15">
            <v>8.5576957135133256</v>
          </cell>
        </row>
        <row r="16">
          <cell r="X16">
            <v>8.6247709135289394</v>
          </cell>
        </row>
        <row r="17">
          <cell r="X17">
            <v>9.7832507335992638</v>
          </cell>
        </row>
        <row r="18">
          <cell r="X18">
            <v>9.8212064229206959</v>
          </cell>
        </row>
        <row r="19">
          <cell r="X19">
            <v>9.0632597546612157</v>
          </cell>
        </row>
        <row r="20">
          <cell r="X20">
            <v>8.3922971663463546</v>
          </cell>
        </row>
        <row r="21">
          <cell r="X21">
            <v>8.5055924778997145</v>
          </cell>
        </row>
        <row r="22">
          <cell r="X22">
            <v>8.1113997361640884</v>
          </cell>
        </row>
        <row r="23">
          <cell r="X23">
            <v>8.0773969663178171</v>
          </cell>
        </row>
        <row r="24">
          <cell r="X24">
            <v>8.283377742720063</v>
          </cell>
        </row>
        <row r="25">
          <cell r="X25">
            <v>7.8546488927812197</v>
          </cell>
        </row>
        <row r="26">
          <cell r="X26">
            <v>7.5588451676789834</v>
          </cell>
        </row>
        <row r="27">
          <cell r="X27">
            <v>8.0957132712854438</v>
          </cell>
        </row>
        <row r="28">
          <cell r="X28">
            <v>9.6201511385639602</v>
          </cell>
        </row>
        <row r="29">
          <cell r="X29">
            <v>9.7651725375435863</v>
          </cell>
        </row>
        <row r="30">
          <cell r="X30">
            <v>9.4272062549128357</v>
          </cell>
        </row>
        <row r="31">
          <cell r="X31">
            <v>9.3550525840036798</v>
          </cell>
        </row>
        <row r="32">
          <cell r="X32">
            <v>10.726692543026743</v>
          </cell>
        </row>
        <row r="33">
          <cell r="X33">
            <v>11.985942874260536</v>
          </cell>
        </row>
      </sheetData>
      <sheetData sheetId="25"/>
      <sheetData sheetId="26">
        <row r="10">
          <cell r="X10">
            <v>11.923809336277793</v>
          </cell>
        </row>
        <row r="11">
          <cell r="X11">
            <v>11.551747549056095</v>
          </cell>
        </row>
        <row r="12">
          <cell r="X12">
            <v>11.333158026398914</v>
          </cell>
        </row>
        <row r="13">
          <cell r="X13">
            <v>11.633742740948188</v>
          </cell>
        </row>
        <row r="14">
          <cell r="X14">
            <v>11.532223367741068</v>
          </cell>
        </row>
        <row r="15">
          <cell r="X15">
            <v>11.676685046368004</v>
          </cell>
        </row>
        <row r="16">
          <cell r="X16">
            <v>11.377368485629061</v>
          </cell>
        </row>
        <row r="17">
          <cell r="X17">
            <v>12.135926784807454</v>
          </cell>
        </row>
        <row r="18">
          <cell r="X18">
            <v>11.99255203698139</v>
          </cell>
        </row>
        <row r="19">
          <cell r="X19">
            <v>11.523522933195421</v>
          </cell>
        </row>
        <row r="20">
          <cell r="X20">
            <v>10.732777673109194</v>
          </cell>
        </row>
        <row r="21">
          <cell r="X21">
            <v>10.45302563334716</v>
          </cell>
        </row>
        <row r="22">
          <cell r="X22">
            <v>10.526456830794229</v>
          </cell>
        </row>
        <row r="23">
          <cell r="X23">
            <v>11.620303024918565</v>
          </cell>
        </row>
        <row r="24">
          <cell r="X24">
            <v>13.542498035451823</v>
          </cell>
        </row>
        <row r="25">
          <cell r="X25">
            <v>14.163398862955709</v>
          </cell>
        </row>
        <row r="26">
          <cell r="X26">
            <v>13.616512398220966</v>
          </cell>
        </row>
        <row r="27">
          <cell r="X27">
            <v>13.122169668812097</v>
          </cell>
        </row>
        <row r="28">
          <cell r="X28">
            <v>12.726768116262209</v>
          </cell>
        </row>
        <row r="29">
          <cell r="X29">
            <v>12.846347565414929</v>
          </cell>
        </row>
        <row r="30">
          <cell r="X30">
            <v>13.13466513914979</v>
          </cell>
        </row>
        <row r="31">
          <cell r="X31">
            <v>12.38075825071722</v>
          </cell>
        </row>
        <row r="32">
          <cell r="X32">
            <v>12.215243732414969</v>
          </cell>
        </row>
        <row r="33">
          <cell r="X33">
            <v>11.892938073214678</v>
          </cell>
        </row>
      </sheetData>
      <sheetData sheetId="27"/>
      <sheetData sheetId="28">
        <row r="10">
          <cell r="X10">
            <v>11.85262976934578</v>
          </cell>
        </row>
        <row r="11">
          <cell r="X11">
            <v>11.831157502207425</v>
          </cell>
        </row>
        <row r="12">
          <cell r="X12">
            <v>12.10583086702305</v>
          </cell>
        </row>
        <row r="13">
          <cell r="X13">
            <v>11.677980377443186</v>
          </cell>
        </row>
        <row r="14">
          <cell r="X14">
            <v>11.527601633869097</v>
          </cell>
        </row>
        <row r="15">
          <cell r="X15">
            <v>11.405486769677077</v>
          </cell>
        </row>
        <row r="16">
          <cell r="X16">
            <v>11.212577070335985</v>
          </cell>
        </row>
        <row r="17">
          <cell r="X17">
            <v>11.131767834720218</v>
          </cell>
        </row>
        <row r="18">
          <cell r="X18">
            <v>11.263463622124325</v>
          </cell>
        </row>
        <row r="19">
          <cell r="X19">
            <v>11.435397778281681</v>
          </cell>
        </row>
        <row r="20">
          <cell r="X20">
            <v>11.715386562166445</v>
          </cell>
        </row>
        <row r="21">
          <cell r="X21">
            <v>11.724483274425307</v>
          </cell>
        </row>
        <row r="22">
          <cell r="X22">
            <v>11.690918550053654</v>
          </cell>
        </row>
        <row r="23">
          <cell r="X23">
            <v>11.812768104450365</v>
          </cell>
        </row>
        <row r="24">
          <cell r="X24">
            <v>11.820015468894827</v>
          </cell>
        </row>
        <row r="25">
          <cell r="X25">
            <v>11.818253323805717</v>
          </cell>
        </row>
        <row r="26">
          <cell r="X26">
            <v>11.826954160250652</v>
          </cell>
        </row>
        <row r="27">
          <cell r="X27">
            <v>11.872897353330279</v>
          </cell>
        </row>
        <row r="28">
          <cell r="X28">
            <v>11.791962588330962</v>
          </cell>
        </row>
        <row r="29">
          <cell r="X29">
            <v>11.555833183815826</v>
          </cell>
        </row>
        <row r="30">
          <cell r="X30">
            <v>11.107727954133992</v>
          </cell>
        </row>
        <row r="31">
          <cell r="X31">
            <v>11.034625892982435</v>
          </cell>
        </row>
        <row r="32">
          <cell r="X32">
            <v>11.03623094920334</v>
          </cell>
        </row>
        <row r="33">
          <cell r="X33">
            <v>10.81438288793434</v>
          </cell>
        </row>
      </sheetData>
      <sheetData sheetId="29"/>
      <sheetData sheetId="30">
        <row r="10">
          <cell r="X10">
            <v>10.81399027821791</v>
          </cell>
        </row>
        <row r="11">
          <cell r="X11">
            <v>10.862577534376715</v>
          </cell>
        </row>
        <row r="12">
          <cell r="X12">
            <v>10.769479258841574</v>
          </cell>
        </row>
        <row r="13">
          <cell r="X13">
            <v>10.774323806631639</v>
          </cell>
        </row>
        <row r="14">
          <cell r="X14">
            <v>10.774515437592939</v>
          </cell>
        </row>
        <row r="15">
          <cell r="X15">
            <v>10.703419154967415</v>
          </cell>
        </row>
        <row r="16">
          <cell r="X16">
            <v>10.765561066289742</v>
          </cell>
        </row>
        <row r="17">
          <cell r="X17">
            <v>10.875659417665776</v>
          </cell>
        </row>
        <row r="18">
          <cell r="X18">
            <v>11.116130072348499</v>
          </cell>
        </row>
        <row r="19">
          <cell r="X19">
            <v>11.36442986937217</v>
          </cell>
        </row>
        <row r="20">
          <cell r="X20">
            <v>11.518524226859737</v>
          </cell>
        </row>
        <row r="21">
          <cell r="X21">
            <v>11.55965600141932</v>
          </cell>
        </row>
        <row r="22">
          <cell r="X22">
            <v>11.958748775953215</v>
          </cell>
        </row>
        <row r="23">
          <cell r="X23">
            <v>12.082688868097698</v>
          </cell>
        </row>
        <row r="24">
          <cell r="X24">
            <v>12.125791980987808</v>
          </cell>
        </row>
        <row r="25">
          <cell r="X25">
            <v>12.287610935535357</v>
          </cell>
        </row>
        <row r="26">
          <cell r="X26">
            <v>12.205674226207908</v>
          </cell>
        </row>
        <row r="27">
          <cell r="X27">
            <v>12.24194169715522</v>
          </cell>
        </row>
        <row r="28">
          <cell r="X28">
            <v>11.918876647070505</v>
          </cell>
        </row>
        <row r="29">
          <cell r="X29">
            <v>11.833954300561599</v>
          </cell>
        </row>
        <row r="30">
          <cell r="X30">
            <v>11.798040878228566</v>
          </cell>
        </row>
        <row r="31">
          <cell r="X31">
            <v>11.804913819234034</v>
          </cell>
        </row>
        <row r="32">
          <cell r="X32">
            <v>11.809876741586152</v>
          </cell>
        </row>
        <row r="33">
          <cell r="X33">
            <v>11.732723307173524</v>
          </cell>
        </row>
      </sheetData>
      <sheetData sheetId="31"/>
      <sheetData sheetId="32">
        <row r="10">
          <cell r="X10">
            <v>11.722436861314028</v>
          </cell>
        </row>
        <row r="11">
          <cell r="X11">
            <v>11.733031845646801</v>
          </cell>
        </row>
        <row r="12">
          <cell r="X12">
            <v>11.741950365452741</v>
          </cell>
        </row>
        <row r="13">
          <cell r="X13">
            <v>11.720618423836314</v>
          </cell>
        </row>
        <row r="14">
          <cell r="X14">
            <v>11.721065995537046</v>
          </cell>
        </row>
        <row r="15">
          <cell r="X15">
            <v>11.719820204245407</v>
          </cell>
        </row>
        <row r="16">
          <cell r="X16">
            <v>11.718213312769228</v>
          </cell>
        </row>
        <row r="17">
          <cell r="X17">
            <v>11.861615813479245</v>
          </cell>
        </row>
        <row r="18">
          <cell r="X18">
            <v>12.057075581464391</v>
          </cell>
        </row>
        <row r="19">
          <cell r="X19">
            <v>12.367838829495057</v>
          </cell>
        </row>
        <row r="20">
          <cell r="X20">
            <v>12.288133066783947</v>
          </cell>
        </row>
        <row r="21">
          <cell r="X21">
            <v>12.371013924200108</v>
          </cell>
        </row>
        <row r="22">
          <cell r="X22">
            <v>13.005716821493582</v>
          </cell>
        </row>
        <row r="23">
          <cell r="X23">
            <v>12.931629484702539</v>
          </cell>
        </row>
        <row r="24">
          <cell r="X24">
            <v>12.804004584449228</v>
          </cell>
        </row>
        <row r="25">
          <cell r="X25">
            <v>12.85159313707002</v>
          </cell>
        </row>
        <row r="26">
          <cell r="X26">
            <v>12.726555988074102</v>
          </cell>
        </row>
        <row r="27">
          <cell r="X27">
            <v>12.477940776713117</v>
          </cell>
        </row>
        <row r="28">
          <cell r="X28">
            <v>12.031998204703189</v>
          </cell>
        </row>
        <row r="29">
          <cell r="X29">
            <v>11.94863501033271</v>
          </cell>
        </row>
        <row r="30">
          <cell r="X30">
            <v>11.749376378544316</v>
          </cell>
        </row>
        <row r="31">
          <cell r="X31">
            <v>11.790094092133048</v>
          </cell>
        </row>
        <row r="32">
          <cell r="X32">
            <v>11.674449029157833</v>
          </cell>
        </row>
        <row r="33">
          <cell r="X33">
            <v>11.599489294095109</v>
          </cell>
        </row>
      </sheetData>
      <sheetData sheetId="33"/>
      <sheetData sheetId="34">
        <row r="10">
          <cell r="X10">
            <v>11.332448070751441</v>
          </cell>
        </row>
        <row r="11">
          <cell r="X11">
            <v>11.215015754368014</v>
          </cell>
        </row>
        <row r="12">
          <cell r="X12">
            <v>11.269825525487869</v>
          </cell>
        </row>
        <row r="13">
          <cell r="X13">
            <v>11.367021715727637</v>
          </cell>
        </row>
        <row r="14">
          <cell r="X14">
            <v>11.291546752594231</v>
          </cell>
        </row>
        <row r="15">
          <cell r="X15">
            <v>11.080835534026942</v>
          </cell>
        </row>
        <row r="16">
          <cell r="X16">
            <v>10.713000066778612</v>
          </cell>
        </row>
        <row r="17">
          <cell r="X17">
            <v>10.122987698185845</v>
          </cell>
        </row>
        <row r="18">
          <cell r="X18">
            <v>9.3942030943277341</v>
          </cell>
        </row>
        <row r="19">
          <cell r="X19">
            <v>9.2012129978856709</v>
          </cell>
        </row>
        <row r="20">
          <cell r="X20">
            <v>9.1599326674057657</v>
          </cell>
        </row>
        <row r="21">
          <cell r="X21">
            <v>9.082231071236853</v>
          </cell>
        </row>
        <row r="22">
          <cell r="X22">
            <v>9.2973628860414248</v>
          </cell>
        </row>
        <row r="23">
          <cell r="X23">
            <v>9.2413775120143438</v>
          </cell>
        </row>
        <row r="24">
          <cell r="X24">
            <v>8.1132969074691346</v>
          </cell>
        </row>
        <row r="25">
          <cell r="X25">
            <v>7.4166028851151129</v>
          </cell>
        </row>
        <row r="26">
          <cell r="X26">
            <v>7.6233810500427364</v>
          </cell>
        </row>
        <row r="27">
          <cell r="X27">
            <v>8.7104061882163037</v>
          </cell>
        </row>
        <row r="28">
          <cell r="X28">
            <v>8.6467115764028897</v>
          </cell>
        </row>
        <row r="29">
          <cell r="X29">
            <v>8.8484870944265186</v>
          </cell>
        </row>
        <row r="30">
          <cell r="X30">
            <v>8.8427139622219997</v>
          </cell>
        </row>
        <row r="31">
          <cell r="X31">
            <v>8.5167458966921306</v>
          </cell>
        </row>
        <row r="32">
          <cell r="X32">
            <v>7.51200458146982</v>
          </cell>
        </row>
        <row r="33">
          <cell r="X33">
            <v>7.3869815184948688</v>
          </cell>
        </row>
      </sheetData>
      <sheetData sheetId="35"/>
      <sheetData sheetId="36">
        <row r="10">
          <cell r="X10">
            <v>7.2940891506084986</v>
          </cell>
        </row>
        <row r="11">
          <cell r="X11">
            <v>7.4103048428688565</v>
          </cell>
        </row>
        <row r="12">
          <cell r="X12">
            <v>7.2837571387831774</v>
          </cell>
        </row>
        <row r="13">
          <cell r="X13">
            <v>7.2169094217580039</v>
          </cell>
        </row>
        <row r="14">
          <cell r="X14">
            <v>7.7529577230592288</v>
          </cell>
        </row>
        <row r="15">
          <cell r="X15">
            <v>6.9835697500571836</v>
          </cell>
        </row>
        <row r="16">
          <cell r="X16">
            <v>7.0294381876633985</v>
          </cell>
        </row>
        <row r="17">
          <cell r="X17">
            <v>7.3593110951805709</v>
          </cell>
        </row>
        <row r="18">
          <cell r="X18">
            <v>7.3271702675568884</v>
          </cell>
        </row>
        <row r="19">
          <cell r="X19">
            <v>7.6112614339922153</v>
          </cell>
        </row>
        <row r="20">
          <cell r="X20">
            <v>7.7057477825528142</v>
          </cell>
        </row>
        <row r="21">
          <cell r="X21">
            <v>7.5450747257796094</v>
          </cell>
        </row>
        <row r="22">
          <cell r="X22">
            <v>7.6398344576983757</v>
          </cell>
        </row>
        <row r="23">
          <cell r="X23">
            <v>7.8050938278727235</v>
          </cell>
        </row>
        <row r="24">
          <cell r="X24">
            <v>7.1479040729220413</v>
          </cell>
        </row>
        <row r="25">
          <cell r="X25">
            <v>8.7925776892411207</v>
          </cell>
        </row>
        <row r="26">
          <cell r="X26">
            <v>9.4112772566645848</v>
          </cell>
        </row>
        <row r="27">
          <cell r="X27">
            <v>9.2208379906329405</v>
          </cell>
        </row>
        <row r="28">
          <cell r="X28">
            <v>9.2993905391601412</v>
          </cell>
        </row>
        <row r="29">
          <cell r="X29">
            <v>9.3781159134501095</v>
          </cell>
        </row>
        <row r="30">
          <cell r="X30">
            <v>9.4566911769094126</v>
          </cell>
        </row>
        <row r="31">
          <cell r="X31">
            <v>9.4566911769094126</v>
          </cell>
        </row>
        <row r="32">
          <cell r="X32">
            <v>9.5631739048546329</v>
          </cell>
        </row>
        <row r="33">
          <cell r="X33">
            <v>9.4995027867313269</v>
          </cell>
        </row>
      </sheetData>
      <sheetData sheetId="37"/>
      <sheetData sheetId="38">
        <row r="10">
          <cell r="X10">
            <v>9.5253980369613345</v>
          </cell>
        </row>
        <row r="11">
          <cell r="X11">
            <v>9.3656293783265916</v>
          </cell>
        </row>
        <row r="12">
          <cell r="X12">
            <v>8.8051263742732857</v>
          </cell>
        </row>
        <row r="13">
          <cell r="X13">
            <v>8.6663697194453118</v>
          </cell>
        </row>
        <row r="14">
          <cell r="X14">
            <v>9.040483581450804</v>
          </cell>
        </row>
        <row r="15">
          <cell r="X15">
            <v>9.2552100750883728</v>
          </cell>
        </row>
        <row r="16">
          <cell r="X16">
            <v>9.3020779747631082</v>
          </cell>
        </row>
        <row r="17">
          <cell r="X17">
            <v>9.2779372727295257</v>
          </cell>
        </row>
        <row r="18">
          <cell r="X18">
            <v>9.5144207303152939</v>
          </cell>
        </row>
        <row r="19">
          <cell r="X19">
            <v>9.3714174012816951</v>
          </cell>
        </row>
        <row r="20">
          <cell r="X20">
            <v>7.8398008340332925</v>
          </cell>
        </row>
        <row r="21">
          <cell r="X21">
            <v>8.2335342263002289</v>
          </cell>
        </row>
        <row r="22">
          <cell r="X22">
            <v>8.0593659130127584</v>
          </cell>
        </row>
        <row r="23">
          <cell r="X23">
            <v>8.4299521167819975</v>
          </cell>
        </row>
        <row r="24">
          <cell r="X24">
            <v>8.3535311863675261</v>
          </cell>
        </row>
        <row r="25">
          <cell r="X25">
            <v>8.5442156496599448</v>
          </cell>
        </row>
        <row r="26">
          <cell r="X26">
            <v>9.0977439536454838</v>
          </cell>
        </row>
        <row r="27">
          <cell r="X27">
            <v>9.4429480694155696</v>
          </cell>
        </row>
        <row r="28">
          <cell r="X28">
            <v>9.4076559865656275</v>
          </cell>
        </row>
        <row r="29">
          <cell r="X29">
            <v>9.1237555805829</v>
          </cell>
        </row>
        <row r="30">
          <cell r="X30">
            <v>9.3274410303078099</v>
          </cell>
        </row>
        <row r="31">
          <cell r="X31">
            <v>9.2611070984855708</v>
          </cell>
        </row>
        <row r="32">
          <cell r="X32">
            <v>9.2158811239417524</v>
          </cell>
        </row>
        <row r="33">
          <cell r="X33">
            <v>9.1332874193609683</v>
          </cell>
        </row>
      </sheetData>
      <sheetData sheetId="39"/>
      <sheetData sheetId="40">
        <row r="10">
          <cell r="X10">
            <v>9.2871161694397522</v>
          </cell>
        </row>
        <row r="11">
          <cell r="X11">
            <v>9.4149256671801691</v>
          </cell>
        </row>
        <row r="12">
          <cell r="X12">
            <v>9.3589281836970422</v>
          </cell>
        </row>
        <row r="13">
          <cell r="X13">
            <v>9.0186780320825157</v>
          </cell>
        </row>
        <row r="14">
          <cell r="X14">
            <v>9.0191460277801347</v>
          </cell>
        </row>
        <row r="15">
          <cell r="X15">
            <v>9.2209163483832821</v>
          </cell>
        </row>
        <row r="16">
          <cell r="X16">
            <v>9.1776192994926156</v>
          </cell>
        </row>
        <row r="17">
          <cell r="X17">
            <v>9.2139655229475199</v>
          </cell>
        </row>
        <row r="18">
          <cell r="X18">
            <v>9.2538882040177164</v>
          </cell>
        </row>
        <row r="19">
          <cell r="X19">
            <v>8.9756853820882174</v>
          </cell>
        </row>
        <row r="20">
          <cell r="X20">
            <v>8.7560790190704463</v>
          </cell>
        </row>
        <row r="21">
          <cell r="X21">
            <v>8.3326588987399433</v>
          </cell>
        </row>
        <row r="22">
          <cell r="X22">
            <v>9.2856335900051743</v>
          </cell>
        </row>
        <row r="23">
          <cell r="X23">
            <v>9.359950612938114</v>
          </cell>
        </row>
        <row r="24">
          <cell r="X24">
            <v>9.4637334496191823</v>
          </cell>
        </row>
        <row r="25">
          <cell r="X25">
            <v>9.6666048963385798</v>
          </cell>
        </row>
        <row r="26">
          <cell r="X26">
            <v>9.8948074470201561</v>
          </cell>
        </row>
        <row r="27">
          <cell r="X27">
            <v>9.8927210006365431</v>
          </cell>
        </row>
        <row r="28">
          <cell r="X28">
            <v>9.7704699150779817</v>
          </cell>
        </row>
        <row r="29">
          <cell r="X29">
            <v>9.7657324995407802</v>
          </cell>
        </row>
        <row r="30">
          <cell r="X30">
            <v>9.6925614984540989</v>
          </cell>
        </row>
        <row r="31">
          <cell r="X31">
            <v>9.6911069654613495</v>
          </cell>
        </row>
        <row r="32">
          <cell r="X32">
            <v>9.5167614392567117</v>
          </cell>
        </row>
        <row r="33">
          <cell r="X33">
            <v>9.3898042347326758</v>
          </cell>
        </row>
      </sheetData>
      <sheetData sheetId="41"/>
      <sheetData sheetId="42">
        <row r="10">
          <cell r="X10">
            <v>9.3688823447348515</v>
          </cell>
        </row>
        <row r="11">
          <cell r="X11">
            <v>9.0896888169489269</v>
          </cell>
        </row>
        <row r="12">
          <cell r="X12">
            <v>8.991079147359601</v>
          </cell>
        </row>
        <row r="13">
          <cell r="X13">
            <v>9.0527932384280874</v>
          </cell>
        </row>
        <row r="14">
          <cell r="X14">
            <v>8.8780595189814981</v>
          </cell>
        </row>
        <row r="15">
          <cell r="X15">
            <v>8.6704950337949587</v>
          </cell>
        </row>
        <row r="16">
          <cell r="X16">
            <v>8.4610678888209954</v>
          </cell>
        </row>
        <row r="17">
          <cell r="X17">
            <v>8.5557861894547678</v>
          </cell>
        </row>
        <row r="18">
          <cell r="X18">
            <v>8.8057344481246993</v>
          </cell>
        </row>
        <row r="19">
          <cell r="X19">
            <v>8.7800141027488543</v>
          </cell>
        </row>
        <row r="20">
          <cell r="X20">
            <v>8.9270597861719825</v>
          </cell>
        </row>
        <row r="21">
          <cell r="X21">
            <v>9.1831197788643966</v>
          </cell>
        </row>
        <row r="22">
          <cell r="X22">
            <v>8.5822033314929627</v>
          </cell>
        </row>
        <row r="23">
          <cell r="X23">
            <v>7.9787612870151952</v>
          </cell>
        </row>
        <row r="24">
          <cell r="X24">
            <v>7.6075509820706397</v>
          </cell>
        </row>
        <row r="25">
          <cell r="X25">
            <v>7.6578526791565604</v>
          </cell>
        </row>
        <row r="26">
          <cell r="X26">
            <v>8.4908528820931402</v>
          </cell>
        </row>
        <row r="27">
          <cell r="X27">
            <v>8.6133362473145514</v>
          </cell>
        </row>
        <row r="28">
          <cell r="X28">
            <v>9.2179886284447186</v>
          </cell>
        </row>
        <row r="29">
          <cell r="X29">
            <v>9.455101670528018</v>
          </cell>
        </row>
        <row r="30">
          <cell r="X30">
            <v>9.422378015872761</v>
          </cell>
        </row>
        <row r="31">
          <cell r="X31">
            <v>9.1407018919258167</v>
          </cell>
        </row>
        <row r="32">
          <cell r="X32">
            <v>9.1400935381046615</v>
          </cell>
        </row>
        <row r="33">
          <cell r="X33">
            <v>9.1412843139048352</v>
          </cell>
        </row>
      </sheetData>
      <sheetData sheetId="43"/>
      <sheetData sheetId="44">
        <row r="10">
          <cell r="X10">
            <v>9.2540370984777525</v>
          </cell>
        </row>
        <row r="11">
          <cell r="X11">
            <v>9.1446756733401777</v>
          </cell>
        </row>
        <row r="12">
          <cell r="X12">
            <v>8.7723772751575133</v>
          </cell>
        </row>
        <row r="13">
          <cell r="X13">
            <v>8.7397063043151153</v>
          </cell>
        </row>
        <row r="14">
          <cell r="X14">
            <v>8.490220692222012</v>
          </cell>
        </row>
        <row r="15">
          <cell r="X15">
            <v>8.3195963124995274</v>
          </cell>
        </row>
        <row r="16">
          <cell r="X16">
            <v>8.779091567571518</v>
          </cell>
        </row>
        <row r="17">
          <cell r="X17">
            <v>9.3194446233754231</v>
          </cell>
        </row>
        <row r="18">
          <cell r="X18">
            <v>9.1308156061989312</v>
          </cell>
        </row>
        <row r="19">
          <cell r="X19">
            <v>8.4595454082876618</v>
          </cell>
        </row>
        <row r="20">
          <cell r="X20">
            <v>8.7514567518050601</v>
          </cell>
        </row>
        <row r="21">
          <cell r="X21">
            <v>8.8561401458761857</v>
          </cell>
        </row>
        <row r="22">
          <cell r="X22">
            <v>8.1505072007948201</v>
          </cell>
        </row>
        <row r="23">
          <cell r="X23">
            <v>7.5807715763939489</v>
          </cell>
        </row>
        <row r="24">
          <cell r="X24">
            <v>7.4924213593301827</v>
          </cell>
        </row>
        <row r="25">
          <cell r="X25">
            <v>7.3289553952544377</v>
          </cell>
        </row>
        <row r="26">
          <cell r="X26">
            <v>8.4598897074618691</v>
          </cell>
        </row>
        <row r="27">
          <cell r="X27">
            <v>9.177049825750597</v>
          </cell>
        </row>
        <row r="28">
          <cell r="X28">
            <v>9.598396348174008</v>
          </cell>
        </row>
        <row r="29">
          <cell r="X29">
            <v>9.6756074739717128</v>
          </cell>
        </row>
        <row r="30">
          <cell r="X30">
            <v>10.006745820064413</v>
          </cell>
        </row>
        <row r="31">
          <cell r="X31">
            <v>9.8566311116213328</v>
          </cell>
        </row>
        <row r="32">
          <cell r="X32">
            <v>9.6322838106922486</v>
          </cell>
        </row>
        <row r="33">
          <cell r="X33">
            <v>9.5574484502535348</v>
          </cell>
        </row>
      </sheetData>
      <sheetData sheetId="45"/>
      <sheetData sheetId="46">
        <row r="10">
          <cell r="X10">
            <v>9.5188162366938389</v>
          </cell>
        </row>
        <row r="11">
          <cell r="X11">
            <v>8.9988914884348148</v>
          </cell>
        </row>
        <row r="12">
          <cell r="X12">
            <v>8.8579240097157594</v>
          </cell>
        </row>
        <row r="13">
          <cell r="X13">
            <v>8.7584988324293302</v>
          </cell>
        </row>
        <row r="14">
          <cell r="X14">
            <v>8.7175785381071478</v>
          </cell>
        </row>
        <row r="15">
          <cell r="X15">
            <v>8.6171705362481088</v>
          </cell>
        </row>
        <row r="16">
          <cell r="X16">
            <v>8.6511758312633447</v>
          </cell>
        </row>
        <row r="17">
          <cell r="X17">
            <v>9.2028014914486924</v>
          </cell>
        </row>
        <row r="18">
          <cell r="X18">
            <v>9.3813883595316572</v>
          </cell>
        </row>
        <row r="19">
          <cell r="X19">
            <v>9.137549403072116</v>
          </cell>
        </row>
        <row r="20">
          <cell r="X20">
            <v>8.4351176106448431</v>
          </cell>
        </row>
        <row r="21">
          <cell r="X21">
            <v>9.2791100318163444</v>
          </cell>
        </row>
        <row r="22">
          <cell r="X22">
            <v>8.9919241611297611</v>
          </cell>
        </row>
        <row r="23">
          <cell r="X23">
            <v>9.0780844025065992</v>
          </cell>
        </row>
        <row r="24">
          <cell r="X24">
            <v>9.0843025158483393</v>
          </cell>
        </row>
        <row r="25">
          <cell r="X25">
            <v>9.1738240887118661</v>
          </cell>
        </row>
        <row r="26">
          <cell r="X26">
            <v>9.8696703122948612</v>
          </cell>
        </row>
        <row r="27">
          <cell r="X27">
            <v>10.50326998150984</v>
          </cell>
        </row>
        <row r="28">
          <cell r="X28">
            <v>10.67027490024663</v>
          </cell>
        </row>
        <row r="29">
          <cell r="X29">
            <v>10.554323591734548</v>
          </cell>
        </row>
        <row r="30">
          <cell r="X30">
            <v>10.311007258314504</v>
          </cell>
        </row>
        <row r="31">
          <cell r="X31">
            <v>10.819192356550241</v>
          </cell>
        </row>
        <row r="32">
          <cell r="X32">
            <v>10.728698241715996</v>
          </cell>
        </row>
        <row r="33">
          <cell r="X33">
            <v>10.446502632173457</v>
          </cell>
        </row>
      </sheetData>
      <sheetData sheetId="47"/>
      <sheetData sheetId="48">
        <row r="10">
          <cell r="X10">
            <v>10.023806494559706</v>
          </cell>
        </row>
        <row r="11">
          <cell r="X11">
            <v>9.8286584254795208</v>
          </cell>
        </row>
        <row r="12">
          <cell r="X12">
            <v>9.8699507893746343</v>
          </cell>
        </row>
        <row r="13">
          <cell r="X13">
            <v>9.8483336091566134</v>
          </cell>
        </row>
        <row r="14">
          <cell r="X14">
            <v>9.6823123479443929</v>
          </cell>
        </row>
        <row r="15">
          <cell r="X15">
            <v>9.4134475984324517</v>
          </cell>
        </row>
        <row r="16">
          <cell r="X16">
            <v>9.2303638480692154</v>
          </cell>
        </row>
        <row r="17">
          <cell r="X17">
            <v>9.7974855868708719</v>
          </cell>
        </row>
        <row r="18">
          <cell r="X18">
            <v>10.116654555304249</v>
          </cell>
        </row>
        <row r="19">
          <cell r="X19">
            <v>9.7227684936591015</v>
          </cell>
        </row>
        <row r="20">
          <cell r="X20">
            <v>9.8838472095833367</v>
          </cell>
        </row>
        <row r="21">
          <cell r="X21">
            <v>9.2662005697070384</v>
          </cell>
        </row>
        <row r="22">
          <cell r="X22">
            <v>8.7088725274944832</v>
          </cell>
        </row>
        <row r="23">
          <cell r="X23">
            <v>9.3051764155696919</v>
          </cell>
        </row>
        <row r="24">
          <cell r="X24">
            <v>9.8388899205221296</v>
          </cell>
        </row>
        <row r="25">
          <cell r="X25">
            <v>9.593436748156865</v>
          </cell>
        </row>
        <row r="26">
          <cell r="X26">
            <v>9.6406882333385457</v>
          </cell>
        </row>
        <row r="27">
          <cell r="X27">
            <v>10.157225417753063</v>
          </cell>
        </row>
        <row r="28">
          <cell r="X28">
            <v>10.237245092919913</v>
          </cell>
        </row>
        <row r="29">
          <cell r="X29">
            <v>10.3559454602828</v>
          </cell>
        </row>
        <row r="30">
          <cell r="X30">
            <v>10.427717733811594</v>
          </cell>
        </row>
        <row r="31">
          <cell r="X31">
            <v>10.520845664400619</v>
          </cell>
        </row>
        <row r="32">
          <cell r="X32">
            <v>10.572880973406258</v>
          </cell>
        </row>
        <row r="33">
          <cell r="X33">
            <v>10.46055600512012</v>
          </cell>
        </row>
      </sheetData>
      <sheetData sheetId="49"/>
      <sheetData sheetId="50">
        <row r="10">
          <cell r="X10">
            <v>10.130662715808244</v>
          </cell>
        </row>
        <row r="11">
          <cell r="X11">
            <v>9.9113101643667996</v>
          </cell>
        </row>
        <row r="12">
          <cell r="X12">
            <v>9.797801358612146</v>
          </cell>
        </row>
        <row r="13">
          <cell r="X13">
            <v>9.4217586124451618</v>
          </cell>
        </row>
        <row r="14">
          <cell r="X14">
            <v>9.2979191540655926</v>
          </cell>
        </row>
        <row r="15">
          <cell r="X15">
            <v>8.9578211701710035</v>
          </cell>
        </row>
        <row r="16">
          <cell r="X16">
            <v>8.808531855260421</v>
          </cell>
        </row>
        <row r="17">
          <cell r="X17">
            <v>10.261325445929192</v>
          </cell>
        </row>
        <row r="18">
          <cell r="X18">
            <v>10.846971892965298</v>
          </cell>
        </row>
        <row r="19">
          <cell r="X19">
            <v>9.9180020625340095</v>
          </cell>
        </row>
        <row r="20">
          <cell r="X20">
            <v>9.7692711020837599</v>
          </cell>
        </row>
        <row r="21">
          <cell r="X21">
            <v>10.257232288471741</v>
          </cell>
        </row>
        <row r="22">
          <cell r="X22">
            <v>10.224842523305531</v>
          </cell>
        </row>
        <row r="23">
          <cell r="X23">
            <v>9.3195266547983486</v>
          </cell>
        </row>
        <row r="24">
          <cell r="X24">
            <v>9.3232235196069482</v>
          </cell>
        </row>
        <row r="25">
          <cell r="X25">
            <v>9.6145185460439713</v>
          </cell>
        </row>
        <row r="26">
          <cell r="X26">
            <v>10.282142388800473</v>
          </cell>
        </row>
        <row r="27">
          <cell r="X27">
            <v>10.996105774082121</v>
          </cell>
        </row>
        <row r="28">
          <cell r="X28">
            <v>11.168993893847407</v>
          </cell>
        </row>
        <row r="29">
          <cell r="X29">
            <v>11.14471324245859</v>
          </cell>
        </row>
        <row r="30">
          <cell r="X30">
            <v>10.959338182780334</v>
          </cell>
        </row>
        <row r="31">
          <cell r="X31">
            <v>10.985300751594268</v>
          </cell>
        </row>
        <row r="32">
          <cell r="X32">
            <v>10.364176979697531</v>
          </cell>
        </row>
        <row r="33">
          <cell r="X33">
            <v>10.530507108034884</v>
          </cell>
        </row>
      </sheetData>
      <sheetData sheetId="51"/>
      <sheetData sheetId="52">
        <row r="10">
          <cell r="X10">
            <v>10.545747441565229</v>
          </cell>
        </row>
        <row r="11">
          <cell r="X11">
            <v>10.142334070377027</v>
          </cell>
        </row>
        <row r="12">
          <cell r="X12">
            <v>9.8167160361823207</v>
          </cell>
        </row>
        <row r="13">
          <cell r="X13">
            <v>9.731740066344484</v>
          </cell>
        </row>
        <row r="14">
          <cell r="X14">
            <v>9.7067863907553757</v>
          </cell>
        </row>
        <row r="15">
          <cell r="X15">
            <v>9.4535807427223499</v>
          </cell>
        </row>
        <row r="16">
          <cell r="X16">
            <v>9.2333756927535546</v>
          </cell>
        </row>
        <row r="17">
          <cell r="X17">
            <v>10.849166087532364</v>
          </cell>
        </row>
        <row r="18">
          <cell r="X18">
            <v>11.82643075367988</v>
          </cell>
        </row>
        <row r="19">
          <cell r="X19">
            <v>10.942909153987305</v>
          </cell>
        </row>
        <row r="20">
          <cell r="X20">
            <v>9.7792084412846787</v>
          </cell>
        </row>
        <row r="21">
          <cell r="X21">
            <v>9.9867904699896108</v>
          </cell>
        </row>
        <row r="22">
          <cell r="X22">
            <v>8.9684913266391248</v>
          </cell>
        </row>
        <row r="23">
          <cell r="X23">
            <v>8.6824770534398912</v>
          </cell>
        </row>
        <row r="24">
          <cell r="X24">
            <v>8.6032708330494252</v>
          </cell>
        </row>
        <row r="25">
          <cell r="X25">
            <v>9.2668386835059557</v>
          </cell>
        </row>
        <row r="26">
          <cell r="X26">
            <v>9.9295613703312693</v>
          </cell>
        </row>
        <row r="27">
          <cell r="X27">
            <v>10.364333328065339</v>
          </cell>
        </row>
        <row r="28">
          <cell r="X28">
            <v>11.299789417369469</v>
          </cell>
        </row>
        <row r="29">
          <cell r="X29">
            <v>11.392106919895889</v>
          </cell>
        </row>
        <row r="30">
          <cell r="X30">
            <v>11.371038303484827</v>
          </cell>
        </row>
        <row r="31">
          <cell r="X31">
            <v>11.39280722396242</v>
          </cell>
        </row>
        <row r="32">
          <cell r="X32">
            <v>11.369766221273446</v>
          </cell>
        </row>
        <row r="33">
          <cell r="X33">
            <v>11.076345258992594</v>
          </cell>
        </row>
      </sheetData>
      <sheetData sheetId="53"/>
      <sheetData sheetId="54">
        <row r="10">
          <cell r="X10">
            <v>10.752775261457058</v>
          </cell>
        </row>
        <row r="11">
          <cell r="X11">
            <v>10.127776192179775</v>
          </cell>
        </row>
        <row r="12">
          <cell r="X12">
            <v>10.126036379624116</v>
          </cell>
        </row>
        <row r="13">
          <cell r="X13">
            <v>9.7359771375811786</v>
          </cell>
        </row>
        <row r="14">
          <cell r="X14">
            <v>9.4833476694945134</v>
          </cell>
        </row>
        <row r="15">
          <cell r="X15">
            <v>9.3551102033333358</v>
          </cell>
        </row>
        <row r="16">
          <cell r="X16">
            <v>9.1286170066479038</v>
          </cell>
        </row>
        <row r="17">
          <cell r="X17">
            <v>10.879873059179241</v>
          </cell>
        </row>
        <row r="18">
          <cell r="X18">
            <v>11.337337690009859</v>
          </cell>
        </row>
        <row r="19">
          <cell r="X19">
            <v>10.410641856225789</v>
          </cell>
        </row>
        <row r="20">
          <cell r="X20">
            <v>10.026732379937357</v>
          </cell>
        </row>
        <row r="21">
          <cell r="X21">
            <v>9.0001991386478064</v>
          </cell>
        </row>
        <row r="22">
          <cell r="X22">
            <v>8.0257092582520517</v>
          </cell>
        </row>
        <row r="23">
          <cell r="X23">
            <v>7.4782103638423765</v>
          </cell>
        </row>
        <row r="24">
          <cell r="X24">
            <v>6.9726764431094974</v>
          </cell>
        </row>
        <row r="25">
          <cell r="X25">
            <v>6.3424336118090023</v>
          </cell>
        </row>
        <row r="26">
          <cell r="X26">
            <v>6.963045763899891</v>
          </cell>
        </row>
        <row r="27">
          <cell r="X27">
            <v>7.0309446704287764</v>
          </cell>
        </row>
        <row r="28">
          <cell r="X28">
            <v>10.062408012692131</v>
          </cell>
        </row>
        <row r="29">
          <cell r="X29">
            <v>10.452676465946549</v>
          </cell>
        </row>
        <row r="30">
          <cell r="X30">
            <v>10.501930138851428</v>
          </cell>
        </row>
        <row r="31">
          <cell r="X31">
            <v>10.367931465648047</v>
          </cell>
        </row>
        <row r="32">
          <cell r="X32">
            <v>10.201941108565554</v>
          </cell>
        </row>
        <row r="33">
          <cell r="X33">
            <v>9.9028287780461923</v>
          </cell>
        </row>
      </sheetData>
      <sheetData sheetId="55"/>
      <sheetData sheetId="56">
        <row r="10">
          <cell r="X10">
            <v>9.726986828848224</v>
          </cell>
        </row>
        <row r="11">
          <cell r="X11">
            <v>9.7114157284244502</v>
          </cell>
        </row>
        <row r="12">
          <cell r="X12">
            <v>9.3423158768917087</v>
          </cell>
        </row>
        <row r="13">
          <cell r="X13">
            <v>9.119439568111595</v>
          </cell>
        </row>
        <row r="14">
          <cell r="X14">
            <v>8.7261986054094862</v>
          </cell>
        </row>
        <row r="15">
          <cell r="X15">
            <v>8.6080713680203704</v>
          </cell>
        </row>
        <row r="16">
          <cell r="X16">
            <v>8.4816919865821347</v>
          </cell>
        </row>
        <row r="17">
          <cell r="X17">
            <v>10.105620302805905</v>
          </cell>
        </row>
        <row r="18">
          <cell r="X18">
            <v>10.338896598382737</v>
          </cell>
        </row>
        <row r="19">
          <cell r="X19">
            <v>8.8170219025892376</v>
          </cell>
        </row>
        <row r="20">
          <cell r="X20">
            <v>8.5836888343936906</v>
          </cell>
        </row>
        <row r="21">
          <cell r="X21">
            <v>8.7361182590984487</v>
          </cell>
        </row>
        <row r="22">
          <cell r="X22">
            <v>8.9417175372840099</v>
          </cell>
        </row>
        <row r="23">
          <cell r="X23">
            <v>8.825427474359067</v>
          </cell>
        </row>
        <row r="24">
          <cell r="X24">
            <v>8.263806206745711</v>
          </cell>
        </row>
        <row r="25">
          <cell r="X25">
            <v>8.0436831658425678</v>
          </cell>
        </row>
        <row r="26">
          <cell r="X26">
            <v>7.9775864552143769</v>
          </cell>
        </row>
        <row r="27">
          <cell r="X27">
            <v>7.900253240048988</v>
          </cell>
        </row>
        <row r="28">
          <cell r="X28">
            <v>8.3721662394263294</v>
          </cell>
        </row>
        <row r="29">
          <cell r="X29">
            <v>9.0490800981821771</v>
          </cell>
        </row>
        <row r="30">
          <cell r="X30">
            <v>9.071186580219873</v>
          </cell>
        </row>
        <row r="31">
          <cell r="X31">
            <v>9.5411356422467932</v>
          </cell>
        </row>
        <row r="32">
          <cell r="X32">
            <v>9.3775776305832768</v>
          </cell>
        </row>
        <row r="33">
          <cell r="X33">
            <v>9.1389521187021785</v>
          </cell>
        </row>
      </sheetData>
      <sheetData sheetId="57"/>
      <sheetData sheetId="58">
        <row r="10">
          <cell r="X10">
            <v>9.0982701196711488</v>
          </cell>
        </row>
        <row r="11">
          <cell r="X11">
            <v>9.122550832162279</v>
          </cell>
        </row>
        <row r="12">
          <cell r="X12">
            <v>8.8266649571998581</v>
          </cell>
        </row>
        <row r="13">
          <cell r="X13">
            <v>8.8279306950541443</v>
          </cell>
        </row>
        <row r="14">
          <cell r="X14">
            <v>8.8668872156862477</v>
          </cell>
        </row>
        <row r="15">
          <cell r="X15">
            <v>8.8071580834361214</v>
          </cell>
        </row>
        <row r="16">
          <cell r="X16">
            <v>8.6287118442317947</v>
          </cell>
        </row>
        <row r="17">
          <cell r="X17">
            <v>10.11079793111899</v>
          </cell>
        </row>
        <row r="18">
          <cell r="X18">
            <v>10.03909612135574</v>
          </cell>
        </row>
        <row r="19">
          <cell r="X19">
            <v>9.5135128866379564</v>
          </cell>
        </row>
        <row r="20">
          <cell r="X20">
            <v>9.6621889521377682</v>
          </cell>
        </row>
        <row r="21">
          <cell r="X21">
            <v>9.4139486694749515</v>
          </cell>
        </row>
        <row r="22">
          <cell r="X22">
            <v>9.6709208779046438</v>
          </cell>
        </row>
        <row r="23">
          <cell r="X23">
            <v>9.1802349383321804</v>
          </cell>
        </row>
        <row r="24">
          <cell r="X24">
            <v>9.3486245304436935</v>
          </cell>
        </row>
        <row r="25">
          <cell r="X25">
            <v>8.945748323209699</v>
          </cell>
        </row>
        <row r="26">
          <cell r="X26">
            <v>8.8780128859367569</v>
          </cell>
        </row>
        <row r="27">
          <cell r="X27">
            <v>8.8663519976611873</v>
          </cell>
        </row>
        <row r="28">
          <cell r="X28">
            <v>9.2331475792324298</v>
          </cell>
        </row>
        <row r="29">
          <cell r="X29">
            <v>10.1262848956739</v>
          </cell>
        </row>
        <row r="30">
          <cell r="X30">
            <v>10.569729646200159</v>
          </cell>
        </row>
        <row r="31">
          <cell r="X31">
            <v>10.592967357144778</v>
          </cell>
        </row>
        <row r="32">
          <cell r="X32">
            <v>10.393908987118332</v>
          </cell>
        </row>
        <row r="33">
          <cell r="X33">
            <v>10.346806238967</v>
          </cell>
        </row>
      </sheetData>
      <sheetData sheetId="59"/>
      <sheetData sheetId="60">
        <row r="10">
          <cell r="X10">
            <v>10.257658201722275</v>
          </cell>
        </row>
        <row r="11">
          <cell r="X11">
            <v>10.328179870696603</v>
          </cell>
        </row>
        <row r="12">
          <cell r="X12">
            <v>10.107459255098638</v>
          </cell>
        </row>
        <row r="13">
          <cell r="X13">
            <v>9.8216727147655387</v>
          </cell>
        </row>
        <row r="14">
          <cell r="X14">
            <v>10.220606180044646</v>
          </cell>
        </row>
        <row r="15">
          <cell r="X15">
            <v>9.7561383247543958</v>
          </cell>
        </row>
        <row r="16">
          <cell r="X16">
            <v>9.9518011917040354</v>
          </cell>
        </row>
        <row r="17">
          <cell r="X17">
            <v>10.901606484176257</v>
          </cell>
        </row>
        <row r="18">
          <cell r="X18">
            <v>10.938007666476105</v>
          </cell>
        </row>
        <row r="19">
          <cell r="X19">
            <v>10.459388867597976</v>
          </cell>
        </row>
        <row r="20">
          <cell r="X20">
            <v>10.681926559641887</v>
          </cell>
        </row>
        <row r="21">
          <cell r="X21">
            <v>11.254238618640601</v>
          </cell>
        </row>
        <row r="22">
          <cell r="X22">
            <v>11.055236366193592</v>
          </cell>
        </row>
        <row r="23">
          <cell r="X23">
            <v>11.30901313492978</v>
          </cell>
        </row>
        <row r="24">
          <cell r="X24">
            <v>11.070410850951681</v>
          </cell>
        </row>
        <row r="25">
          <cell r="X25">
            <v>11.609848531023765</v>
          </cell>
        </row>
        <row r="26">
          <cell r="X26">
            <v>12.187176574405893</v>
          </cell>
        </row>
        <row r="27">
          <cell r="X27">
            <v>11.828495468602542</v>
          </cell>
        </row>
        <row r="28">
          <cell r="X28">
            <v>11.983550948100762</v>
          </cell>
        </row>
        <row r="29">
          <cell r="X29">
            <v>12.095398781805862</v>
          </cell>
        </row>
        <row r="30">
          <cell r="X30">
            <v>12.0879113442935</v>
          </cell>
        </row>
        <row r="31">
          <cell r="X31">
            <v>11.736405520877543</v>
          </cell>
        </row>
        <row r="32">
          <cell r="X32">
            <v>11.659728916357043</v>
          </cell>
        </row>
        <row r="33">
          <cell r="X33">
            <v>11.588525571757362</v>
          </cell>
        </row>
      </sheetData>
      <sheetData sheetId="61"/>
      <sheetData sheetId="62">
        <row r="10">
          <cell r="X10">
            <v>11.460078936102217</v>
          </cell>
        </row>
        <row r="11">
          <cell r="X11">
            <v>11.341640310751062</v>
          </cell>
        </row>
        <row r="12">
          <cell r="X12">
            <v>11.472777407529314</v>
          </cell>
        </row>
        <row r="13">
          <cell r="X13">
            <v>11.479137232925929</v>
          </cell>
        </row>
        <row r="14">
          <cell r="X14">
            <v>11.219980846447475</v>
          </cell>
        </row>
        <row r="15">
          <cell r="X15">
            <v>11.147669738750301</v>
          </cell>
        </row>
        <row r="16">
          <cell r="X16">
            <v>11.083676230559647</v>
          </cell>
        </row>
        <row r="17">
          <cell r="X17">
            <v>11.257555677005637</v>
          </cell>
        </row>
        <row r="18">
          <cell r="X18">
            <v>11.576378190993001</v>
          </cell>
        </row>
        <row r="19">
          <cell r="X19">
            <v>11.009755577034117</v>
          </cell>
        </row>
        <row r="20">
          <cell r="X20">
            <v>10.631694659590567</v>
          </cell>
        </row>
        <row r="21">
          <cell r="X21">
            <v>10.423027177696227</v>
          </cell>
        </row>
        <row r="22">
          <cell r="X22">
            <v>10.107506764416659</v>
          </cell>
        </row>
        <row r="23">
          <cell r="X23">
            <v>10.53199185166428</v>
          </cell>
        </row>
        <row r="24">
          <cell r="X24">
            <v>11.396781212802503</v>
          </cell>
        </row>
        <row r="25">
          <cell r="X25">
            <v>11.241392683486863</v>
          </cell>
        </row>
        <row r="26">
          <cell r="X26">
            <v>11.182067147567766</v>
          </cell>
        </row>
        <row r="27">
          <cell r="X27">
            <v>11.482057339765673</v>
          </cell>
        </row>
        <row r="28">
          <cell r="X28">
            <v>11.56994219129759</v>
          </cell>
        </row>
        <row r="29">
          <cell r="X29">
            <v>11.522921611160656</v>
          </cell>
        </row>
        <row r="30">
          <cell r="X30">
            <v>11.404940196269331</v>
          </cell>
        </row>
        <row r="31">
          <cell r="X31">
            <v>11.329173551386642</v>
          </cell>
        </row>
        <row r="32">
          <cell r="X32">
            <v>11.253648932153181</v>
          </cell>
        </row>
        <row r="33">
          <cell r="X33">
            <v>11.178747859536923</v>
          </cell>
        </row>
      </sheetData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</sheetDataSet>
  </externalBook>
</externalLink>
</file>

<file path=xl/externalLinks/externalLink7.xml><?xml version="1.0" encoding="utf-8"?>
<externalLink xmlns="http://schemas.openxmlformats.org/spreadsheetml/2006/main">
  <externalBook xmlns:r="http://schemas.openxmlformats.org/officeDocument/2006/relationships" r:id="rId1">
    <sheetNames>
      <sheetName val="Ponto de Orvalho"/>
      <sheetName val="Bulbo Umido"/>
      <sheetName val="Verificações"/>
      <sheetName val="Dia 1 (a)"/>
      <sheetName val="Dia 1 (b)"/>
      <sheetName val="Dia 2 (a)"/>
      <sheetName val="Dia 2 (b)"/>
      <sheetName val="Dia 3 (a)"/>
      <sheetName val="Dia 3 (b)"/>
      <sheetName val="Dia 4 (a)"/>
      <sheetName val="Dia 4 (b)"/>
      <sheetName val="Dia 5 (a)"/>
      <sheetName val="Dia 5 (b)"/>
      <sheetName val="Dia 6 (a)"/>
      <sheetName val="Dia 6 (b)"/>
      <sheetName val="Dia 7 (a)"/>
      <sheetName val="Dia 7 (b)"/>
      <sheetName val="Dia 8 (a)"/>
      <sheetName val="Dia 8 (b)"/>
      <sheetName val="Dia 9 (a)"/>
      <sheetName val="Dia 9 (b)"/>
      <sheetName val="Dia 10 (a)"/>
      <sheetName val="Dia 10 (b)"/>
      <sheetName val="Dia 11 (a)"/>
      <sheetName val="Dia 11 (b)"/>
      <sheetName val="Dia 12 (a)"/>
      <sheetName val="Dia 12 (b)"/>
      <sheetName val="Dia 13 (a)"/>
      <sheetName val="Dia 13 (b)"/>
      <sheetName val="Dia 14 (a)"/>
      <sheetName val="Dia 14 (b)"/>
      <sheetName val="Dia 15 (a)"/>
      <sheetName val="Dia 15 (b)"/>
      <sheetName val="Dia 16 (a)"/>
      <sheetName val="Dia 16 (b)"/>
      <sheetName val="Dia 17 (a)"/>
      <sheetName val="Dia 17 (b)"/>
      <sheetName val="Dia 18 (a)"/>
      <sheetName val="Dia 18 (b)"/>
      <sheetName val="Dia 19 (a)"/>
      <sheetName val="Dia 19 (b)"/>
      <sheetName val="Dia 20 (a)"/>
      <sheetName val="Dia 20 (b)"/>
      <sheetName val="Dia 21 (a)"/>
      <sheetName val="Dia 21 (b)"/>
      <sheetName val="Dia 22 (a)"/>
      <sheetName val="Dia 22 (b)"/>
      <sheetName val="Dia 23 (a)"/>
      <sheetName val="Dia 23 (b)"/>
      <sheetName val="Dia 24 (a)"/>
      <sheetName val="Dia 24 (b)"/>
      <sheetName val="Dia 25 (a)"/>
      <sheetName val="Dia 25 (b)"/>
      <sheetName val="Dia 26 (a)"/>
      <sheetName val="Dia 26 (b)"/>
      <sheetName val="Dia 27 (a)"/>
      <sheetName val="Dia 27 (b)"/>
      <sheetName val="Dia 28 (a)"/>
      <sheetName val="Dia 28 (b)"/>
      <sheetName val="Dia 29 (a)"/>
      <sheetName val="Dia 29 (b)"/>
      <sheetName val="Dia 30 (a)"/>
      <sheetName val="Dia 30 (b)"/>
      <sheetName val="Dia 31 (a)"/>
      <sheetName val="Dia 31 (b)"/>
      <sheetName val="Visibilidade"/>
      <sheetName val="Tipo-Nuvens Baixas"/>
      <sheetName val="Quant.-Nuvens Baixas"/>
      <sheetName val="Tipo-Nuvens Médias"/>
      <sheetName val="Quant.-Nuvens Médias"/>
      <sheetName val="Tipo-Nuvens Altas"/>
      <sheetName val="Quant.-Nuvens Altas"/>
      <sheetName val="Cobertura Total"/>
      <sheetName val="Barôm. a Grav. Normal (hPa=mb)"/>
      <sheetName val="Term. Seco (C)"/>
      <sheetName val="Umid. Relat. (%)"/>
      <sheetName val="Umid. Específica (g.kg-1)"/>
      <sheetName val="Temp. Superf. (C)"/>
      <sheetName val="Temp. 5 cm (C)"/>
      <sheetName val="Temp. 10 cm (C)"/>
      <sheetName val="Temp. 20 cm (C)"/>
      <sheetName val="Temp. 30 cm (C)"/>
      <sheetName val="Temp. 40 cm (C)"/>
      <sheetName val="Temp. Máx. e Mín. (C)"/>
      <sheetName val="Precipitação e Evaporação (mm)"/>
      <sheetName val="INMET"/>
      <sheetName val="Fenomenos Diversos"/>
    </sheetNames>
    <sheetDataSet>
      <sheetData sheetId="0"/>
      <sheetData sheetId="1"/>
      <sheetData sheetId="2"/>
      <sheetData sheetId="3"/>
      <sheetData sheetId="4">
        <row r="1">
          <cell r="C1" t="str">
            <v>JULHO DE 2023</v>
          </cell>
        </row>
        <row r="16">
          <cell r="X16">
            <v>10.585862414703403</v>
          </cell>
        </row>
        <row r="17">
          <cell r="X17">
            <v>10.759177434598461</v>
          </cell>
        </row>
        <row r="18">
          <cell r="X18">
            <v>11.042105868756126</v>
          </cell>
        </row>
        <row r="19">
          <cell r="X19">
            <v>10.848459753097524</v>
          </cell>
        </row>
        <row r="20">
          <cell r="X20">
            <v>10.828548095954096</v>
          </cell>
        </row>
        <row r="21">
          <cell r="X21">
            <v>10.334310120687951</v>
          </cell>
        </row>
        <row r="22">
          <cell r="X22">
            <v>9.82090337640469</v>
          </cell>
        </row>
        <row r="23">
          <cell r="X23">
            <v>9.454447897741229</v>
          </cell>
        </row>
        <row r="24">
          <cell r="X24">
            <v>12.282619893723831</v>
          </cell>
        </row>
      </sheetData>
      <sheetData sheetId="5"/>
      <sheetData sheetId="6">
        <row r="10">
          <cell r="X10">
            <v>9.3095063814926426</v>
          </cell>
        </row>
        <row r="16">
          <cell r="X16">
            <v>9.5356228609651392</v>
          </cell>
        </row>
        <row r="17">
          <cell r="X17">
            <v>10.264976522110196</v>
          </cell>
        </row>
        <row r="18">
          <cell r="X18">
            <v>9.5677300821587252</v>
          </cell>
        </row>
        <row r="19">
          <cell r="X19">
            <v>9.5460932181475275</v>
          </cell>
        </row>
        <row r="20">
          <cell r="X20">
            <v>9.297866175322369</v>
          </cell>
        </row>
        <row r="21">
          <cell r="X21">
            <v>9.0736880976700842</v>
          </cell>
        </row>
        <row r="22">
          <cell r="X22">
            <v>8.9422062173219956</v>
          </cell>
        </row>
        <row r="23">
          <cell r="X23">
            <v>9.1139266008411415</v>
          </cell>
        </row>
        <row r="24">
          <cell r="X24">
            <v>8.8300094105813205</v>
          </cell>
        </row>
      </sheetData>
      <sheetData sheetId="7"/>
      <sheetData sheetId="8">
        <row r="10">
          <cell r="X10">
            <v>9.840057585719002</v>
          </cell>
        </row>
        <row r="16">
          <cell r="X16">
            <v>8.9725582306632568</v>
          </cell>
        </row>
        <row r="17">
          <cell r="X17">
            <v>9.6028785962174865</v>
          </cell>
        </row>
        <row r="18">
          <cell r="X18">
            <v>8.8489859271420297</v>
          </cell>
        </row>
        <row r="19">
          <cell r="X19">
            <v>8.5051899148201997</v>
          </cell>
        </row>
        <row r="20">
          <cell r="X20">
            <v>8.3625725815606522</v>
          </cell>
        </row>
        <row r="21">
          <cell r="X21">
            <v>8.4409375372388435</v>
          </cell>
        </row>
        <row r="22">
          <cell r="X22">
            <v>8.9703613623096636</v>
          </cell>
        </row>
        <row r="23">
          <cell r="X23">
            <v>7.9995292981069834</v>
          </cell>
        </row>
        <row r="24">
          <cell r="X24">
            <v>8.5376737106866507</v>
          </cell>
        </row>
      </sheetData>
      <sheetData sheetId="9"/>
      <sheetData sheetId="10">
        <row r="10">
          <cell r="X10">
            <v>8.0087072852551326</v>
          </cell>
        </row>
        <row r="16">
          <cell r="X16">
            <v>8.1444438990362507</v>
          </cell>
        </row>
        <row r="17">
          <cell r="X17">
            <v>8.2676738533465191</v>
          </cell>
        </row>
        <row r="18">
          <cell r="X18">
            <v>8.3760342007424633</v>
          </cell>
        </row>
        <row r="19">
          <cell r="X19">
            <v>8.317453595750008</v>
          </cell>
        </row>
        <row r="20">
          <cell r="X20">
            <v>8.2661292414106775</v>
          </cell>
        </row>
        <row r="21">
          <cell r="X21">
            <v>8.54971154910689</v>
          </cell>
        </row>
        <row r="22">
          <cell r="X22">
            <v>7.9118005461723744</v>
          </cell>
        </row>
        <row r="23">
          <cell r="X23">
            <v>8.4481208876155645</v>
          </cell>
        </row>
        <row r="24">
          <cell r="X24">
            <v>8.1858966943192737</v>
          </cell>
        </row>
      </sheetData>
      <sheetData sheetId="11"/>
      <sheetData sheetId="12">
        <row r="10">
          <cell r="X10">
            <v>8.0459463004502627</v>
          </cell>
        </row>
        <row r="16">
          <cell r="X16">
            <v>8.7434976966612776</v>
          </cell>
        </row>
        <row r="17">
          <cell r="X17">
            <v>8.3037401792063292</v>
          </cell>
        </row>
        <row r="18">
          <cell r="X18">
            <v>8.3142986001209866</v>
          </cell>
        </row>
        <row r="19">
          <cell r="X19">
            <v>8.6799553559390521</v>
          </cell>
        </row>
        <row r="20">
          <cell r="X20">
            <v>8.4739539539617788</v>
          </cell>
        </row>
        <row r="21">
          <cell r="X21">
            <v>8.2700583713367806</v>
          </cell>
        </row>
        <row r="22">
          <cell r="X22">
            <v>8.1190994796453353</v>
          </cell>
        </row>
        <row r="23">
          <cell r="X23">
            <v>8.5360621419496745</v>
          </cell>
        </row>
        <row r="24">
          <cell r="X24">
            <v>7.9253184543920847</v>
          </cell>
        </row>
      </sheetData>
      <sheetData sheetId="13"/>
      <sheetData sheetId="14">
        <row r="10">
          <cell r="X10">
            <v>8.6730313585472611</v>
          </cell>
        </row>
        <row r="16">
          <cell r="X16">
            <v>7.8891934503598513</v>
          </cell>
        </row>
        <row r="17">
          <cell r="X17">
            <v>8.2078682756829409</v>
          </cell>
        </row>
        <row r="18">
          <cell r="X18">
            <v>7.885932098473778</v>
          </cell>
        </row>
        <row r="19">
          <cell r="X19">
            <v>8.1440109456235259</v>
          </cell>
        </row>
        <row r="20">
          <cell r="X20">
            <v>7.619305237981604</v>
          </cell>
        </row>
        <row r="21">
          <cell r="X21">
            <v>7.8421020305346429</v>
          </cell>
        </row>
        <row r="22">
          <cell r="X22">
            <v>7.3649274063447452</v>
          </cell>
        </row>
        <row r="23">
          <cell r="X23">
            <v>7.3083257150459078</v>
          </cell>
        </row>
        <row r="24">
          <cell r="X24">
            <v>7.6257749125750962</v>
          </cell>
        </row>
      </sheetData>
      <sheetData sheetId="15"/>
      <sheetData sheetId="16">
        <row r="10">
          <cell r="X10">
            <v>8.3662275476874495</v>
          </cell>
        </row>
        <row r="16">
          <cell r="X16">
            <v>7.2197857827391978</v>
          </cell>
        </row>
        <row r="17">
          <cell r="X17">
            <v>8.553494070006499</v>
          </cell>
        </row>
        <row r="18">
          <cell r="X18">
            <v>7.987698931875145</v>
          </cell>
        </row>
        <row r="19">
          <cell r="X19">
            <v>7.3091576113403836</v>
          </cell>
        </row>
        <row r="20">
          <cell r="X20">
            <v>7.0785087913704929</v>
          </cell>
        </row>
        <row r="21">
          <cell r="X21">
            <v>6.9886408443227284</v>
          </cell>
        </row>
        <row r="22">
          <cell r="X22">
            <v>6.7382042710863415</v>
          </cell>
        </row>
        <row r="23">
          <cell r="X23">
            <v>6.6890184558375054</v>
          </cell>
        </row>
        <row r="24">
          <cell r="X24">
            <v>7.0581893170441319</v>
          </cell>
        </row>
      </sheetData>
      <sheetData sheetId="17"/>
      <sheetData sheetId="18">
        <row r="10">
          <cell r="X10">
            <v>8.4483672910759839</v>
          </cell>
        </row>
        <row r="16">
          <cell r="X16">
            <v>7.9800398924711189</v>
          </cell>
        </row>
        <row r="17">
          <cell r="X17">
            <v>9.0177294788148945</v>
          </cell>
        </row>
        <row r="18">
          <cell r="X18">
            <v>8.6331519883497805</v>
          </cell>
        </row>
        <row r="19">
          <cell r="X19">
            <v>8.1639224270085045</v>
          </cell>
        </row>
        <row r="20">
          <cell r="X20">
            <v>7.6141378636862171</v>
          </cell>
        </row>
        <row r="21">
          <cell r="X21">
            <v>7.4857153510905015</v>
          </cell>
        </row>
        <row r="22">
          <cell r="X22">
            <v>7.7097525116985155</v>
          </cell>
        </row>
        <row r="23">
          <cell r="X23">
            <v>7.8463707469733643</v>
          </cell>
        </row>
        <row r="24">
          <cell r="X24">
            <v>7.7631770200405308</v>
          </cell>
        </row>
      </sheetData>
      <sheetData sheetId="19"/>
      <sheetData sheetId="20">
        <row r="10">
          <cell r="X10">
            <v>12.283083327250893</v>
          </cell>
        </row>
        <row r="16">
          <cell r="X16">
            <v>12.115637905121623</v>
          </cell>
        </row>
        <row r="17">
          <cell r="X17">
            <v>12.020772378515298</v>
          </cell>
        </row>
        <row r="18">
          <cell r="X18">
            <v>12.493372989112194</v>
          </cell>
        </row>
        <row r="19">
          <cell r="X19">
            <v>12.108403605694297</v>
          </cell>
        </row>
        <row r="20">
          <cell r="X20">
            <v>11.995610873741237</v>
          </cell>
        </row>
        <row r="21">
          <cell r="X21">
            <v>11.299934567818282</v>
          </cell>
        </row>
        <row r="22">
          <cell r="X22">
            <v>12.121899295934931</v>
          </cell>
        </row>
        <row r="23">
          <cell r="X23">
            <v>11.631334800399975</v>
          </cell>
        </row>
        <row r="24">
          <cell r="X24">
            <v>11.916239976235612</v>
          </cell>
        </row>
      </sheetData>
      <sheetData sheetId="21"/>
      <sheetData sheetId="22">
        <row r="10">
          <cell r="X10">
            <v>11.707318394993331</v>
          </cell>
        </row>
        <row r="16">
          <cell r="X16">
            <v>11.473452848769723</v>
          </cell>
        </row>
        <row r="17">
          <cell r="X17">
            <v>11.501023923931994</v>
          </cell>
        </row>
        <row r="18">
          <cell r="X18">
            <v>12.004905680992506</v>
          </cell>
        </row>
        <row r="19">
          <cell r="X19">
            <v>12.284895679276758</v>
          </cell>
        </row>
        <row r="20">
          <cell r="X20">
            <v>12.701103503732458</v>
          </cell>
        </row>
        <row r="21">
          <cell r="X21">
            <v>12.547066958049786</v>
          </cell>
        </row>
        <row r="22">
          <cell r="X22">
            <v>12.325998299699718</v>
          </cell>
        </row>
        <row r="23">
          <cell r="X23">
            <v>11.779458535303073</v>
          </cell>
        </row>
        <row r="24">
          <cell r="X24">
            <v>12.423105216146368</v>
          </cell>
        </row>
      </sheetData>
      <sheetData sheetId="23"/>
      <sheetData sheetId="24">
        <row r="10">
          <cell r="X10">
            <v>13.130713179990988</v>
          </cell>
        </row>
        <row r="16">
          <cell r="X16">
            <v>12.193254396578192</v>
          </cell>
        </row>
        <row r="17">
          <cell r="X17">
            <v>12.472388274441125</v>
          </cell>
        </row>
        <row r="18">
          <cell r="X18">
            <v>12.928737348821732</v>
          </cell>
        </row>
        <row r="19">
          <cell r="X19">
            <v>13.715531629231744</v>
          </cell>
        </row>
        <row r="20">
          <cell r="X20">
            <v>12.371713844654188</v>
          </cell>
        </row>
        <row r="21">
          <cell r="X21">
            <v>12.302924166338162</v>
          </cell>
        </row>
        <row r="22">
          <cell r="X22">
            <v>11.103721300240361</v>
          </cell>
        </row>
        <row r="23">
          <cell r="X23">
            <v>10.411114242162745</v>
          </cell>
        </row>
        <row r="24">
          <cell r="X24">
            <v>11.34591067471842</v>
          </cell>
        </row>
      </sheetData>
      <sheetData sheetId="25"/>
      <sheetData sheetId="26">
        <row r="10">
          <cell r="X10">
            <v>13.22863172305912</v>
          </cell>
        </row>
        <row r="16">
          <cell r="X16">
            <v>12.5960769425813</v>
          </cell>
        </row>
        <row r="17">
          <cell r="X17">
            <v>12.304302270473377</v>
          </cell>
        </row>
        <row r="18">
          <cell r="X18">
            <v>12.376343246375995</v>
          </cell>
        </row>
        <row r="19">
          <cell r="X19">
            <v>12.599655650461457</v>
          </cell>
        </row>
        <row r="20">
          <cell r="X20">
            <v>12.119468303611947</v>
          </cell>
        </row>
        <row r="21">
          <cell r="X21">
            <v>11.467919226782334</v>
          </cell>
        </row>
        <row r="22">
          <cell r="X22">
            <v>9.4067477331854743</v>
          </cell>
        </row>
        <row r="23">
          <cell r="X23">
            <v>8.3731141687407238</v>
          </cell>
        </row>
        <row r="24">
          <cell r="X24">
            <v>7.2064073356973619</v>
          </cell>
        </row>
      </sheetData>
      <sheetData sheetId="27"/>
      <sheetData sheetId="28">
        <row r="10">
          <cell r="X10">
            <v>7.1173126831154176</v>
          </cell>
        </row>
        <row r="16">
          <cell r="X16">
            <v>9.9902432475820859</v>
          </cell>
        </row>
        <row r="17">
          <cell r="X17">
            <v>10.116091855974757</v>
          </cell>
        </row>
        <row r="18">
          <cell r="X18">
            <v>10.081571189498753</v>
          </cell>
        </row>
        <row r="19">
          <cell r="X19">
            <v>9.2079512772619978</v>
          </cell>
        </row>
        <row r="20">
          <cell r="X20">
            <v>7.3761266094237579</v>
          </cell>
        </row>
        <row r="21">
          <cell r="X21">
            <v>7.3072846500805237</v>
          </cell>
        </row>
        <row r="22">
          <cell r="X22">
            <v>6.3319495522997311</v>
          </cell>
        </row>
        <row r="23">
          <cell r="X23">
            <v>5.1285256637870953</v>
          </cell>
        </row>
        <row r="24">
          <cell r="X24">
            <v>4.6134488276253034</v>
          </cell>
        </row>
      </sheetData>
      <sheetData sheetId="29"/>
      <sheetData sheetId="30">
        <row r="10">
          <cell r="X10">
            <v>7.680000918150732</v>
          </cell>
        </row>
        <row r="16">
          <cell r="X16">
            <v>6.3983768920653139</v>
          </cell>
        </row>
        <row r="17">
          <cell r="X17">
            <v>6.2715926894184371</v>
          </cell>
        </row>
        <row r="18">
          <cell r="X18">
            <v>6.2375118317456719</v>
          </cell>
        </row>
        <row r="19">
          <cell r="X19">
            <v>6.0244802750292781</v>
          </cell>
        </row>
        <row r="20">
          <cell r="X20">
            <v>5.8933796474280857</v>
          </cell>
        </row>
        <row r="21">
          <cell r="X21">
            <v>5.9194359783659944</v>
          </cell>
        </row>
        <row r="22">
          <cell r="X22">
            <v>5.7340628408875824</v>
          </cell>
        </row>
        <row r="23">
          <cell r="X23">
            <v>6.4947016275863927</v>
          </cell>
        </row>
        <row r="24">
          <cell r="X24">
            <v>5.8614864538205262</v>
          </cell>
        </row>
      </sheetData>
      <sheetData sheetId="31"/>
      <sheetData sheetId="32">
        <row r="10">
          <cell r="X10">
            <v>7.5874747659490671</v>
          </cell>
        </row>
        <row r="16">
          <cell r="X16">
            <v>7.0594478493801383</v>
          </cell>
        </row>
        <row r="17">
          <cell r="X17">
            <v>7.9077557640738565</v>
          </cell>
        </row>
        <row r="18">
          <cell r="X18">
            <v>7.4541671885442353</v>
          </cell>
        </row>
        <row r="19">
          <cell r="X19">
            <v>7.3716615839148476</v>
          </cell>
        </row>
        <row r="20">
          <cell r="X20">
            <v>7.2420969868468275</v>
          </cell>
        </row>
        <row r="21">
          <cell r="X21">
            <v>7.1022109538312304</v>
          </cell>
        </row>
        <row r="22">
          <cell r="X22">
            <v>6.6975077112876615</v>
          </cell>
        </row>
        <row r="23">
          <cell r="X23">
            <v>6.4781554541166297</v>
          </cell>
        </row>
        <row r="24">
          <cell r="X24">
            <v>6.1965674167401197</v>
          </cell>
        </row>
      </sheetData>
      <sheetData sheetId="33"/>
      <sheetData sheetId="34">
        <row r="10">
          <cell r="X10">
            <v>7.7672335423299774</v>
          </cell>
        </row>
        <row r="16">
          <cell r="X16">
            <v>8.3370453126469943</v>
          </cell>
        </row>
        <row r="17">
          <cell r="X17">
            <v>8.845488003894733</v>
          </cell>
        </row>
        <row r="18">
          <cell r="X18">
            <v>9.3800720459644129</v>
          </cell>
        </row>
        <row r="19">
          <cell r="X19">
            <v>8.7969570342512302</v>
          </cell>
        </row>
        <row r="20">
          <cell r="X20">
            <v>8.9901015348652962</v>
          </cell>
        </row>
        <row r="21">
          <cell r="X21">
            <v>7.9679183587060542</v>
          </cell>
        </row>
        <row r="22">
          <cell r="X22">
            <v>7.1896791041875661</v>
          </cell>
        </row>
        <row r="23">
          <cell r="X23">
            <v>7.2008179822269991</v>
          </cell>
        </row>
        <row r="24">
          <cell r="X24">
            <v>6.7010904641265876</v>
          </cell>
        </row>
      </sheetData>
      <sheetData sheetId="35"/>
      <sheetData sheetId="36">
        <row r="10">
          <cell r="X10">
            <v>9.7906722275182503</v>
          </cell>
        </row>
        <row r="16">
          <cell r="X16">
            <v>10.006742268860103</v>
          </cell>
        </row>
        <row r="17">
          <cell r="X17">
            <v>10.381939379852247</v>
          </cell>
        </row>
        <row r="18">
          <cell r="X18">
            <v>9.7936571221799031</v>
          </cell>
        </row>
        <row r="19">
          <cell r="X19">
            <v>9.0575864788563596</v>
          </cell>
        </row>
        <row r="20">
          <cell r="X20">
            <v>9.3944434652320368</v>
          </cell>
        </row>
        <row r="21">
          <cell r="X21">
            <v>9.2380175305874221</v>
          </cell>
        </row>
        <row r="22">
          <cell r="X22">
            <v>10.856909418599759</v>
          </cell>
        </row>
        <row r="23">
          <cell r="X23">
            <v>10.405072385043443</v>
          </cell>
        </row>
        <row r="24">
          <cell r="X24">
            <v>10.799564546030316</v>
          </cell>
        </row>
      </sheetData>
      <sheetData sheetId="37"/>
      <sheetData sheetId="38">
        <row r="10">
          <cell r="X10">
            <v>11.025943889569948</v>
          </cell>
        </row>
        <row r="16">
          <cell r="X16">
            <v>10.960038692565027</v>
          </cell>
        </row>
        <row r="17">
          <cell r="X17">
            <v>11.249451717278427</v>
          </cell>
        </row>
        <row r="18">
          <cell r="X18">
            <v>11.043455423627732</v>
          </cell>
        </row>
        <row r="19">
          <cell r="X19">
            <v>10.820214844594476</v>
          </cell>
        </row>
        <row r="20">
          <cell r="X20">
            <v>10.816828530608857</v>
          </cell>
        </row>
        <row r="21">
          <cell r="X21">
            <v>10.491407777697567</v>
          </cell>
        </row>
        <row r="22">
          <cell r="X22">
            <v>10.444689623599308</v>
          </cell>
        </row>
        <row r="23">
          <cell r="X23">
            <v>10.581311903890114</v>
          </cell>
        </row>
        <row r="24">
          <cell r="X24">
            <v>10.411588070370078</v>
          </cell>
        </row>
      </sheetData>
      <sheetData sheetId="39"/>
      <sheetData sheetId="40">
        <row r="10">
          <cell r="X10">
            <v>10.080765802699069</v>
          </cell>
        </row>
        <row r="16">
          <cell r="X16">
            <v>10.168161825752033</v>
          </cell>
        </row>
        <row r="17">
          <cell r="X17">
            <v>10.230278064001991</v>
          </cell>
        </row>
        <row r="18">
          <cell r="X18">
            <v>10.562637086999517</v>
          </cell>
        </row>
        <row r="19">
          <cell r="X19">
            <v>10.450538482500018</v>
          </cell>
        </row>
        <row r="20">
          <cell r="X20">
            <v>10.506641643786612</v>
          </cell>
        </row>
        <row r="21">
          <cell r="X21">
            <v>10.606597999528594</v>
          </cell>
        </row>
        <row r="22">
          <cell r="X22">
            <v>10.547960464665257</v>
          </cell>
        </row>
        <row r="23">
          <cell r="X23">
            <v>10.511033911712117</v>
          </cell>
        </row>
        <row r="24">
          <cell r="X24">
            <v>10.233792957552481</v>
          </cell>
        </row>
      </sheetData>
      <sheetData sheetId="41"/>
      <sheetData sheetId="42">
        <row r="10">
          <cell r="X10">
            <v>9.8879166602321646</v>
          </cell>
        </row>
        <row r="16">
          <cell r="X16">
            <v>9.8747147330954075</v>
          </cell>
        </row>
        <row r="17">
          <cell r="X17">
            <v>9.7454751368107964</v>
          </cell>
        </row>
        <row r="18">
          <cell r="X18">
            <v>9.7847963386031704</v>
          </cell>
        </row>
        <row r="19">
          <cell r="X19">
            <v>9.3115098799556009</v>
          </cell>
        </row>
        <row r="20">
          <cell r="X20">
            <v>9.5377437173571415</v>
          </cell>
        </row>
        <row r="21">
          <cell r="X21">
            <v>9.2543000233196846</v>
          </cell>
        </row>
        <row r="22">
          <cell r="X22">
            <v>9.4436495766549289</v>
          </cell>
        </row>
        <row r="23">
          <cell r="X23">
            <v>9.9158563583372104</v>
          </cell>
        </row>
        <row r="24">
          <cell r="X24">
            <v>11.354795402016972</v>
          </cell>
        </row>
      </sheetData>
      <sheetData sheetId="43"/>
      <sheetData sheetId="44">
        <row r="10">
          <cell r="X10">
            <v>10.060753024513399</v>
          </cell>
        </row>
        <row r="16">
          <cell r="X16">
            <v>9.7798065453666094</v>
          </cell>
        </row>
        <row r="17">
          <cell r="X17">
            <v>9.7188433890792929</v>
          </cell>
        </row>
        <row r="18">
          <cell r="X18">
            <v>10.035695671492389</v>
          </cell>
        </row>
        <row r="19">
          <cell r="X19">
            <v>10.092541436671722</v>
          </cell>
        </row>
        <row r="20">
          <cell r="X20">
            <v>10.443125817859865</v>
          </cell>
        </row>
        <row r="21">
          <cell r="X21">
            <v>9.9588180017006618</v>
          </cell>
        </row>
        <row r="22">
          <cell r="X22">
            <v>10.187222588254784</v>
          </cell>
        </row>
        <row r="23">
          <cell r="X23">
            <v>9.8306783167781386</v>
          </cell>
        </row>
        <row r="24">
          <cell r="X24">
            <v>9.830735938060954</v>
          </cell>
        </row>
      </sheetData>
      <sheetData sheetId="45"/>
      <sheetData sheetId="46">
        <row r="10">
          <cell r="X10">
            <v>10.538515840867856</v>
          </cell>
        </row>
        <row r="16">
          <cell r="X16">
            <v>9.9992255589492487</v>
          </cell>
        </row>
        <row r="17">
          <cell r="X17">
            <v>9.9903529689211066</v>
          </cell>
        </row>
        <row r="18">
          <cell r="X18">
            <v>9.8056504328094451</v>
          </cell>
        </row>
        <row r="19">
          <cell r="X19">
            <v>9.9462984544397042</v>
          </cell>
        </row>
        <row r="20">
          <cell r="X20">
            <v>10.145238222982298</v>
          </cell>
        </row>
        <row r="21">
          <cell r="X21">
            <v>10.095128377010093</v>
          </cell>
        </row>
        <row r="22">
          <cell r="X22">
            <v>10.044882825705272</v>
          </cell>
        </row>
        <row r="23">
          <cell r="X23">
            <v>10.030934112473275</v>
          </cell>
        </row>
        <row r="24">
          <cell r="X24">
            <v>9.5129489114272499</v>
          </cell>
        </row>
      </sheetData>
      <sheetData sheetId="47"/>
      <sheetData sheetId="48">
        <row r="10">
          <cell r="X10">
            <v>9.6123917711028035</v>
          </cell>
        </row>
        <row r="16">
          <cell r="X16">
            <v>8.6911761532641147</v>
          </cell>
        </row>
        <row r="17">
          <cell r="X17">
            <v>9.4429464767943845</v>
          </cell>
        </row>
        <row r="18">
          <cell r="X18">
            <v>9.3943387030385175</v>
          </cell>
        </row>
        <row r="19">
          <cell r="X19">
            <v>9.3044913997477359</v>
          </cell>
        </row>
        <row r="20">
          <cell r="X20">
            <v>9.4700609114478329</v>
          </cell>
        </row>
        <row r="21">
          <cell r="X21">
            <v>8.9004318194759762</v>
          </cell>
        </row>
        <row r="22">
          <cell r="X22">
            <v>8.5962868090736464</v>
          </cell>
        </row>
        <row r="23">
          <cell r="X23">
            <v>8.4860375284821217</v>
          </cell>
        </row>
        <row r="24">
          <cell r="X24">
            <v>8.5495983081349269</v>
          </cell>
        </row>
      </sheetData>
      <sheetData sheetId="49"/>
      <sheetData sheetId="50">
        <row r="10">
          <cell r="X10">
            <v>9.7271486550249104</v>
          </cell>
        </row>
        <row r="16">
          <cell r="X16">
            <v>8.7923233438058332</v>
          </cell>
        </row>
        <row r="17">
          <cell r="X17">
            <v>9.3475490392553393</v>
          </cell>
        </row>
        <row r="18">
          <cell r="X18">
            <v>9.5947445560417766</v>
          </cell>
        </row>
        <row r="19">
          <cell r="X19">
            <v>9.8190156022388813</v>
          </cell>
        </row>
        <row r="20">
          <cell r="X20">
            <v>10.070216580448468</v>
          </cell>
        </row>
        <row r="21">
          <cell r="X21">
            <v>9.2491835494515158</v>
          </cell>
        </row>
        <row r="22">
          <cell r="X22">
            <v>8.42003363043092</v>
          </cell>
        </row>
        <row r="23">
          <cell r="X23">
            <v>7.8435369414474669</v>
          </cell>
        </row>
        <row r="24">
          <cell r="X24">
            <v>7.7990470697175516</v>
          </cell>
        </row>
      </sheetData>
      <sheetData sheetId="51"/>
      <sheetData sheetId="52">
        <row r="10">
          <cell r="X10">
            <v>9.7665585815174545</v>
          </cell>
        </row>
        <row r="16">
          <cell r="X16">
            <v>9.0451081653541046</v>
          </cell>
        </row>
        <row r="17">
          <cell r="X17">
            <v>10.342083670745382</v>
          </cell>
        </row>
        <row r="18">
          <cell r="X18">
            <v>9.3873162165198352</v>
          </cell>
        </row>
        <row r="19">
          <cell r="X19">
            <v>9.7198981035438052</v>
          </cell>
        </row>
        <row r="20">
          <cell r="X20">
            <v>9.9056891987861402</v>
          </cell>
        </row>
        <row r="21">
          <cell r="X21">
            <v>7.5986676671519939</v>
          </cell>
        </row>
        <row r="22">
          <cell r="X22">
            <v>8.7295037449274275</v>
          </cell>
        </row>
        <row r="23">
          <cell r="X23">
            <v>7.9345108427571001</v>
          </cell>
        </row>
        <row r="24">
          <cell r="X24">
            <v>7.6908580769314128</v>
          </cell>
        </row>
      </sheetData>
      <sheetData sheetId="53"/>
      <sheetData sheetId="54">
        <row r="10">
          <cell r="X10">
            <v>8.7736418018234232</v>
          </cell>
        </row>
        <row r="16">
          <cell r="X16">
            <v>9.7155070004742434</v>
          </cell>
        </row>
        <row r="17">
          <cell r="X17">
            <v>10.955421326844746</v>
          </cell>
        </row>
        <row r="18">
          <cell r="X18">
            <v>11.130402443528483</v>
          </cell>
        </row>
        <row r="19">
          <cell r="X19">
            <v>10.088417581449269</v>
          </cell>
        </row>
        <row r="20">
          <cell r="X20">
            <v>9.6664498245834096</v>
          </cell>
        </row>
        <row r="21">
          <cell r="X21">
            <v>8.2009885554243827</v>
          </cell>
        </row>
        <row r="22">
          <cell r="X22">
            <v>9.1024584217814652</v>
          </cell>
        </row>
        <row r="23">
          <cell r="X23">
            <v>8.6552672622084152</v>
          </cell>
        </row>
        <row r="24">
          <cell r="X24">
            <v>9.2419135302260198</v>
          </cell>
        </row>
      </sheetData>
      <sheetData sheetId="55"/>
      <sheetData sheetId="56">
        <row r="10">
          <cell r="X10">
            <v>9.952929483063242</v>
          </cell>
        </row>
        <row r="16">
          <cell r="X16">
            <v>10.236917352921402</v>
          </cell>
        </row>
        <row r="17">
          <cell r="X17">
            <v>11.238426188005247</v>
          </cell>
        </row>
        <row r="18">
          <cell r="X18">
            <v>11.282799529313111</v>
          </cell>
        </row>
        <row r="19">
          <cell r="X19">
            <v>10.530591451145069</v>
          </cell>
        </row>
        <row r="20">
          <cell r="X20">
            <v>10.738088607737732</v>
          </cell>
        </row>
        <row r="21">
          <cell r="X21">
            <v>10.997332931121148</v>
          </cell>
        </row>
        <row r="22">
          <cell r="X22">
            <v>12.043089142058726</v>
          </cell>
        </row>
        <row r="23">
          <cell r="X23">
            <v>12.833988320785535</v>
          </cell>
        </row>
        <row r="24">
          <cell r="X24">
            <v>12.334561224639138</v>
          </cell>
        </row>
      </sheetData>
      <sheetData sheetId="57"/>
      <sheetData sheetId="58">
        <row r="10">
          <cell r="X10">
            <v>11.937303809590173</v>
          </cell>
        </row>
        <row r="16">
          <cell r="X16">
            <v>11.494753619594354</v>
          </cell>
        </row>
        <row r="17">
          <cell r="X17">
            <v>11.4754553442167</v>
          </cell>
        </row>
        <row r="18">
          <cell r="X18">
            <v>11.243922944894599</v>
          </cell>
        </row>
        <row r="19">
          <cell r="X19">
            <v>11.387794796741895</v>
          </cell>
        </row>
        <row r="20">
          <cell r="X20">
            <v>10.849894633379654</v>
          </cell>
        </row>
        <row r="21">
          <cell r="X21">
            <v>10.398812319697104</v>
          </cell>
        </row>
        <row r="22">
          <cell r="X22">
            <v>10.290334101180715</v>
          </cell>
        </row>
        <row r="23">
          <cell r="X23">
            <v>10.34535222587817</v>
          </cell>
        </row>
        <row r="24">
          <cell r="X24">
            <v>9.3437607038870141</v>
          </cell>
        </row>
      </sheetData>
      <sheetData sheetId="59"/>
      <sheetData sheetId="60">
        <row r="10">
          <cell r="X10">
            <v>11.381491679558666</v>
          </cell>
        </row>
        <row r="16">
          <cell r="X16">
            <v>10.376004212683911</v>
          </cell>
        </row>
        <row r="17">
          <cell r="X17">
            <v>10.664604206375415</v>
          </cell>
        </row>
        <row r="18">
          <cell r="X18">
            <v>10.613603811164067</v>
          </cell>
        </row>
        <row r="19">
          <cell r="X19">
            <v>10.412143561398342</v>
          </cell>
        </row>
        <row r="20">
          <cell r="X20">
            <v>9.938241902947146</v>
          </cell>
        </row>
        <row r="21">
          <cell r="X21">
            <v>10.056102202602249</v>
          </cell>
        </row>
        <row r="22">
          <cell r="X22">
            <v>9.4270851555924757</v>
          </cell>
        </row>
        <row r="23">
          <cell r="X23">
            <v>9.6151350806212701</v>
          </cell>
        </row>
        <row r="24">
          <cell r="X24">
            <v>8.9071903575290996</v>
          </cell>
        </row>
      </sheetData>
      <sheetData sheetId="61"/>
      <sheetData sheetId="62">
        <row r="10">
          <cell r="X10">
            <v>9.4425837316019621</v>
          </cell>
        </row>
        <row r="16">
          <cell r="X16">
            <v>9.0346476738812918</v>
          </cell>
        </row>
        <row r="17">
          <cell r="X17">
            <v>9.0493092848917165</v>
          </cell>
        </row>
        <row r="18">
          <cell r="X18">
            <v>9.0309969484890686</v>
          </cell>
        </row>
        <row r="19">
          <cell r="X19">
            <v>9.2122857880604858</v>
          </cell>
        </row>
        <row r="20">
          <cell r="X20">
            <v>9.1584928880264478</v>
          </cell>
        </row>
        <row r="21">
          <cell r="X21">
            <v>9.9820625721956109</v>
          </cell>
        </row>
        <row r="22">
          <cell r="X22">
            <v>9.6226359396746961</v>
          </cell>
        </row>
        <row r="23">
          <cell r="X23">
            <v>10.544408155798481</v>
          </cell>
        </row>
        <row r="24">
          <cell r="X24">
            <v>10.591177099154134</v>
          </cell>
        </row>
      </sheetData>
      <sheetData sheetId="63"/>
      <sheetData sheetId="64">
        <row r="10">
          <cell r="X10">
            <v>10.569569918030123</v>
          </cell>
        </row>
        <row r="16">
          <cell r="X16">
            <v>10.475889137196971</v>
          </cell>
        </row>
        <row r="17">
          <cell r="X17">
            <v>10.417201629604953</v>
          </cell>
        </row>
        <row r="18">
          <cell r="X18">
            <v>10.337675210056101</v>
          </cell>
        </row>
        <row r="19">
          <cell r="X19">
            <v>10.274819534789847</v>
          </cell>
        </row>
        <row r="20">
          <cell r="X20">
            <v>10.453370651070099</v>
          </cell>
        </row>
        <row r="21">
          <cell r="X21">
            <v>10.238044203603945</v>
          </cell>
        </row>
        <row r="22">
          <cell r="X22">
            <v>9.9450017647601641</v>
          </cell>
        </row>
        <row r="23">
          <cell r="X23">
            <v>9.9054904155640955</v>
          </cell>
        </row>
        <row r="24">
          <cell r="X24">
            <v>8.879892886041814</v>
          </cell>
        </row>
      </sheetData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</sheetDataSet>
  </externalBook>
</externalLink>
</file>

<file path=xl/externalLinks/externalLink8.xml><?xml version="1.0" encoding="utf-8"?>
<externalLink xmlns="http://schemas.openxmlformats.org/spreadsheetml/2006/main">
  <externalBook xmlns:r="http://schemas.openxmlformats.org/officeDocument/2006/relationships" r:id="rId1">
    <sheetNames>
      <sheetName val="Ponto de Orvalho"/>
      <sheetName val="Bulbo Umido"/>
      <sheetName val="Verificações"/>
      <sheetName val="Dia 1 (a)"/>
      <sheetName val="Dia 1 (b)"/>
      <sheetName val="Dia 2 (a)"/>
      <sheetName val="Dia 2 (b)"/>
      <sheetName val="Dia 3 (a)"/>
      <sheetName val="Dia 3 (b)"/>
      <sheetName val="Dia 4 (a)"/>
      <sheetName val="Dia 4 (b)"/>
      <sheetName val="Dia 5 (a)"/>
      <sheetName val="Dia 5 (b)"/>
      <sheetName val="Dia 6 (a)"/>
      <sheetName val="Dia 6 (b)"/>
      <sheetName val="Dia 7 (a)"/>
      <sheetName val="Dia 7 (b)"/>
      <sheetName val="Dia 8 (a)"/>
      <sheetName val="Dia 8 (b)"/>
      <sheetName val="Dia 9 (a)"/>
      <sheetName val="Dia 9 (b)"/>
      <sheetName val="Dia 10 (a)"/>
      <sheetName val="Dia 10 (b)"/>
      <sheetName val="Dia 11 (a)"/>
      <sheetName val="Dia 11 (b)"/>
      <sheetName val="Dia 12 (a)"/>
      <sheetName val="Dia 12 (b)"/>
      <sheetName val="Dia 13 (a)"/>
      <sheetName val="Dia 13 (b)"/>
      <sheetName val="Dia 14 (a)"/>
      <sheetName val="Dia 14 (b)"/>
      <sheetName val="Dia 15 (a)"/>
      <sheetName val="Dia 15 (b)"/>
      <sheetName val="Dia 16 (a)"/>
      <sheetName val="Dia 16 (b)"/>
      <sheetName val="Dia 17 (a)"/>
      <sheetName val="Dia 17 (b)"/>
      <sheetName val="Dia 18 (a)"/>
      <sheetName val="Dia 18 (b)"/>
      <sheetName val="Dia 19 (a)"/>
      <sheetName val="Dia 19 (b)"/>
      <sheetName val="Dia 20 (a)"/>
      <sheetName val="Dia 20 (b)"/>
      <sheetName val="Dia 21 (a)"/>
      <sheetName val="Dia 21 (b)"/>
      <sheetName val="Dia 22 (a)"/>
      <sheetName val="Dia 22 (b)"/>
      <sheetName val="Dia 23 (a)"/>
      <sheetName val="Dia 23 (b)"/>
      <sheetName val="Dia 24 (a)"/>
      <sheetName val="Dia 24 (b)"/>
      <sheetName val="Dia 25 (a)"/>
      <sheetName val="Dia 25 (b)"/>
      <sheetName val="Dia 26 (a)"/>
      <sheetName val="Dia 26 (b)"/>
      <sheetName val="Dia 27 (a)"/>
      <sheetName val="Dia 27 (b)"/>
      <sheetName val="Dia 28 (a)"/>
      <sheetName val="Dia 28 (b)"/>
      <sheetName val="Dia 29 (a)"/>
      <sheetName val="Dia 29 (b)"/>
      <sheetName val="Dia 30 (a)"/>
      <sheetName val="Dia 30 (b)"/>
      <sheetName val="Dia 31 (a)"/>
      <sheetName val="Dia 31 (b)"/>
      <sheetName val="Visibilidade"/>
      <sheetName val="Tipo-Nuvens Baixas"/>
      <sheetName val="Quant.-Nuvens Baixas"/>
      <sheetName val="Tipo-Nuvens Médias"/>
      <sheetName val="Quant.-Nuvens Médias"/>
      <sheetName val="Tipo-Nuvens Altas"/>
      <sheetName val="Quant.-Nuvens Altas"/>
      <sheetName val="Cobertura Total"/>
      <sheetName val="Barôm. a Grav. Normal (hPa=mb)"/>
      <sheetName val="Term. Seco (C)"/>
      <sheetName val="Umid. Relat. (%)"/>
      <sheetName val="Umid. Específica (g.kg-1)"/>
      <sheetName val="Temp. Superf. (C)"/>
      <sheetName val="Temp. 5 cm (C)"/>
      <sheetName val="Temp. 10 cm (C)"/>
      <sheetName val="Temp. 20 cm (C)"/>
      <sheetName val="Temp. 30 cm (C)"/>
      <sheetName val="Temp. 40 cm (C)"/>
      <sheetName val="Temp. Máx. e Mín. (C)"/>
      <sheetName val="Precipitação e Evaporação (mm)"/>
      <sheetName val="INMET"/>
      <sheetName val="Fenomenos Diversos"/>
    </sheetNames>
    <sheetDataSet>
      <sheetData sheetId="0"/>
      <sheetData sheetId="1"/>
      <sheetData sheetId="2"/>
      <sheetData sheetId="3"/>
      <sheetData sheetId="4">
        <row r="1">
          <cell r="C1" t="str">
            <v>AGOSTO DE 2023</v>
          </cell>
        </row>
        <row r="16">
          <cell r="X16">
            <v>10.940335031260927</v>
          </cell>
        </row>
        <row r="17">
          <cell r="X17">
            <v>11.192443654934866</v>
          </cell>
        </row>
        <row r="18">
          <cell r="X18">
            <v>10.699564306400832</v>
          </cell>
        </row>
        <row r="19">
          <cell r="X19">
            <v>10.444641967724865</v>
          </cell>
        </row>
        <row r="20">
          <cell r="X20">
            <v>10.468211113056272</v>
          </cell>
        </row>
        <row r="21">
          <cell r="X21">
            <v>10.216004333982372</v>
          </cell>
        </row>
        <row r="22">
          <cell r="X22">
            <v>10.014469653898381</v>
          </cell>
        </row>
        <row r="23">
          <cell r="X23">
            <v>9.5678134446408336</v>
          </cell>
        </row>
        <row r="24">
          <cell r="X24">
            <v>8.686550815074769</v>
          </cell>
        </row>
      </sheetData>
      <sheetData sheetId="5"/>
      <sheetData sheetId="6">
        <row r="10">
          <cell r="X10">
            <v>10.237704203589752</v>
          </cell>
        </row>
        <row r="16">
          <cell r="X16">
            <v>10.830513634546994</v>
          </cell>
        </row>
        <row r="17">
          <cell r="X17">
            <v>11.030864914326983</v>
          </cell>
        </row>
        <row r="18">
          <cell r="X18">
            <v>10.829402581252673</v>
          </cell>
        </row>
        <row r="19">
          <cell r="X19">
            <v>10.261134693069256</v>
          </cell>
        </row>
        <row r="20">
          <cell r="X20">
            <v>10.300656080080646</v>
          </cell>
        </row>
        <row r="21">
          <cell r="X21">
            <v>9.723283952163932</v>
          </cell>
        </row>
        <row r="22">
          <cell r="X22">
            <v>9.1521136310011073</v>
          </cell>
        </row>
        <row r="23">
          <cell r="X23">
            <v>8.2550453663579777</v>
          </cell>
        </row>
        <row r="24">
          <cell r="X24">
            <v>7.5573253259765245</v>
          </cell>
        </row>
      </sheetData>
      <sheetData sheetId="7"/>
      <sheetData sheetId="8">
        <row r="10">
          <cell r="X10">
            <v>10.500288812511116</v>
          </cell>
        </row>
        <row r="16">
          <cell r="X16">
            <v>9.3598395147879199</v>
          </cell>
        </row>
        <row r="17">
          <cell r="X17">
            <v>10.94464156217945</v>
          </cell>
        </row>
        <row r="18">
          <cell r="X18">
            <v>10.207128910541968</v>
          </cell>
        </row>
        <row r="19">
          <cell r="X19">
            <v>9.2630148201400662</v>
          </cell>
        </row>
        <row r="20">
          <cell r="X20">
            <v>8.9144784761520448</v>
          </cell>
        </row>
        <row r="21">
          <cell r="X21">
            <v>8.994996403270374</v>
          </cell>
        </row>
        <row r="22">
          <cell r="X22">
            <v>8.5929824438537192</v>
          </cell>
        </row>
        <row r="23">
          <cell r="X23">
            <v>7.7347866113123338</v>
          </cell>
        </row>
        <row r="24">
          <cell r="X24">
            <v>10.517650670830635</v>
          </cell>
        </row>
      </sheetData>
      <sheetData sheetId="9"/>
      <sheetData sheetId="10">
        <row r="10">
          <cell r="X10">
            <v>10.344631710115687</v>
          </cell>
        </row>
        <row r="16">
          <cell r="X16">
            <v>9.5735039314966883</v>
          </cell>
        </row>
        <row r="17">
          <cell r="X17">
            <v>10.079725071855984</v>
          </cell>
        </row>
        <row r="18">
          <cell r="X18">
            <v>9.8524052034729586</v>
          </cell>
        </row>
        <row r="19">
          <cell r="X19">
            <v>9.9069823732963407</v>
          </cell>
        </row>
        <row r="20">
          <cell r="X20">
            <v>9.5638808515815317</v>
          </cell>
        </row>
        <row r="21">
          <cell r="X21">
            <v>9.7049665380123411</v>
          </cell>
        </row>
        <row r="22">
          <cell r="X22">
            <v>9.7789758564614004</v>
          </cell>
        </row>
        <row r="23">
          <cell r="X23">
            <v>9.5362712322616137</v>
          </cell>
        </row>
        <row r="24">
          <cell r="X24">
            <v>10.036946574454987</v>
          </cell>
        </row>
      </sheetData>
      <sheetData sheetId="11"/>
      <sheetData sheetId="12">
        <row r="10">
          <cell r="X10">
            <v>-9.6324381463234285</v>
          </cell>
        </row>
        <row r="16">
          <cell r="X16">
            <v>8.8226466314341536</v>
          </cell>
        </row>
        <row r="17">
          <cell r="X17">
            <v>11.49533774120056</v>
          </cell>
        </row>
        <row r="18">
          <cell r="X18">
            <v>11.062063304490042</v>
          </cell>
        </row>
        <row r="19">
          <cell r="X19">
            <v>10.405330011454447</v>
          </cell>
        </row>
        <row r="20">
          <cell r="X20">
            <v>8.693250465125244</v>
          </cell>
        </row>
        <row r="21">
          <cell r="X21">
            <v>7.3387559595425165</v>
          </cell>
        </row>
        <row r="22">
          <cell r="X22">
            <v>7.1989781384801494</v>
          </cell>
        </row>
        <row r="23">
          <cell r="X23">
            <v>6.0938535515529306</v>
          </cell>
        </row>
        <row r="24">
          <cell r="X24">
            <v>6.8612013865115289</v>
          </cell>
        </row>
      </sheetData>
      <sheetData sheetId="13"/>
      <sheetData sheetId="14">
        <row r="10">
          <cell r="X10">
            <v>8.9077445790559278</v>
          </cell>
        </row>
        <row r="16">
          <cell r="X16">
            <v>8.7982232989602576</v>
          </cell>
        </row>
        <row r="17">
          <cell r="X17">
            <v>10.247483038890197</v>
          </cell>
        </row>
        <row r="18">
          <cell r="X18">
            <v>10.457813598553713</v>
          </cell>
        </row>
        <row r="19">
          <cell r="X19">
            <v>10.280229534044336</v>
          </cell>
        </row>
        <row r="20">
          <cell r="X20">
            <v>10.230633791900372</v>
          </cell>
        </row>
        <row r="21">
          <cell r="X21">
            <v>10.153060512756765</v>
          </cell>
        </row>
        <row r="22">
          <cell r="X22">
            <v>9.9717663730500483</v>
          </cell>
        </row>
        <row r="23">
          <cell r="X23">
            <v>9.398907148774498</v>
          </cell>
        </row>
        <row r="24">
          <cell r="X24">
            <v>8.6925377231016903</v>
          </cell>
        </row>
      </sheetData>
      <sheetData sheetId="15"/>
      <sheetData sheetId="16">
        <row r="10">
          <cell r="X10">
            <v>10.84932796321967</v>
          </cell>
        </row>
        <row r="16">
          <cell r="X16">
            <v>9.5327320094313883</v>
          </cell>
        </row>
        <row r="17">
          <cell r="X17">
            <v>11.050484846924499</v>
          </cell>
        </row>
        <row r="18">
          <cell r="X18">
            <v>10.539485152793949</v>
          </cell>
        </row>
        <row r="19">
          <cell r="X19">
            <v>8.758946152875172</v>
          </cell>
        </row>
        <row r="20">
          <cell r="X20">
            <v>7.7309472370257781</v>
          </cell>
        </row>
        <row r="21">
          <cell r="X21">
            <v>8.2121811340173547</v>
          </cell>
        </row>
        <row r="22">
          <cell r="X22">
            <v>7.8911197066913772</v>
          </cell>
        </row>
        <row r="23">
          <cell r="X23">
            <v>7.6921696017240304</v>
          </cell>
        </row>
        <row r="24">
          <cell r="X24">
            <v>8.195460509202702</v>
          </cell>
        </row>
      </sheetData>
      <sheetData sheetId="17"/>
      <sheetData sheetId="18">
        <row r="10">
          <cell r="X10">
            <v>12.357623664489665</v>
          </cell>
        </row>
        <row r="16">
          <cell r="X16">
            <v>10.783493268917212</v>
          </cell>
        </row>
        <row r="17">
          <cell r="X17">
            <v>11.407450209846594</v>
          </cell>
        </row>
        <row r="18">
          <cell r="X18">
            <v>11.240100931688094</v>
          </cell>
        </row>
        <row r="19">
          <cell r="X19">
            <v>11.259209210236452</v>
          </cell>
        </row>
        <row r="20">
          <cell r="X20">
            <v>11.088865322719133</v>
          </cell>
        </row>
        <row r="21">
          <cell r="X21">
            <v>11.079325791673503</v>
          </cell>
        </row>
        <row r="22">
          <cell r="X22">
            <v>10.932325001219716</v>
          </cell>
        </row>
        <row r="23">
          <cell r="X23">
            <v>11.418716022290964</v>
          </cell>
        </row>
        <row r="24">
          <cell r="X24">
            <v>11.270445599578135</v>
          </cell>
        </row>
      </sheetData>
      <sheetData sheetId="19"/>
      <sheetData sheetId="20">
        <row r="10">
          <cell r="X10">
            <v>11.872533302168975</v>
          </cell>
        </row>
        <row r="16">
          <cell r="X16">
            <v>11.144666776229046</v>
          </cell>
        </row>
        <row r="17">
          <cell r="X17">
            <v>11.094819556562893</v>
          </cell>
        </row>
        <row r="18">
          <cell r="X18">
            <v>11.304266118976468</v>
          </cell>
        </row>
        <row r="19">
          <cell r="X19">
            <v>10.967211779851038</v>
          </cell>
        </row>
        <row r="20">
          <cell r="X20">
            <v>11.120025127169733</v>
          </cell>
        </row>
        <row r="21">
          <cell r="X21">
            <v>12.0883665125553</v>
          </cell>
        </row>
        <row r="22">
          <cell r="X22">
            <v>11.671272705893433</v>
          </cell>
        </row>
        <row r="23">
          <cell r="X23">
            <v>12.143251483692397</v>
          </cell>
        </row>
        <row r="24">
          <cell r="X24">
            <v>12.269317338155735</v>
          </cell>
        </row>
      </sheetData>
      <sheetData sheetId="21"/>
      <sheetData sheetId="22">
        <row r="10">
          <cell r="X10">
            <v>12.056143491614511</v>
          </cell>
        </row>
        <row r="16">
          <cell r="X16">
            <v>11.167229186032049</v>
          </cell>
        </row>
        <row r="17">
          <cell r="X17">
            <v>11.318281243164774</v>
          </cell>
        </row>
        <row r="18">
          <cell r="X18">
            <v>11.203861774740165</v>
          </cell>
        </row>
        <row r="19">
          <cell r="X19">
            <v>11.34767576314886</v>
          </cell>
        </row>
        <row r="20">
          <cell r="X20">
            <v>11.142151218929344</v>
          </cell>
        </row>
        <row r="21">
          <cell r="X21">
            <v>11.489806126405052</v>
          </cell>
        </row>
        <row r="22">
          <cell r="X22">
            <v>11.432277340404356</v>
          </cell>
        </row>
        <row r="23">
          <cell r="X23">
            <v>11.615886689478808</v>
          </cell>
        </row>
        <row r="24">
          <cell r="X24">
            <v>11.699285014146865</v>
          </cell>
        </row>
      </sheetData>
      <sheetData sheetId="23"/>
      <sheetData sheetId="24">
        <row r="10">
          <cell r="X10">
            <v>11.202287145142929</v>
          </cell>
        </row>
        <row r="16">
          <cell r="X16">
            <v>11.287236831851988</v>
          </cell>
        </row>
        <row r="17">
          <cell r="X17">
            <v>12.000273727857032</v>
          </cell>
        </row>
        <row r="18">
          <cell r="X18">
            <v>11.456032296267301</v>
          </cell>
        </row>
        <row r="19">
          <cell r="X19">
            <v>10.241469123101105</v>
          </cell>
        </row>
        <row r="20">
          <cell r="X20">
            <v>9.6724544112726782</v>
          </cell>
        </row>
        <row r="21">
          <cell r="X21">
            <v>9.7357445630332897</v>
          </cell>
        </row>
        <row r="22">
          <cell r="X22">
            <v>9.2441754586543112</v>
          </cell>
        </row>
        <row r="23">
          <cell r="X23">
            <v>11.463531614145428</v>
          </cell>
        </row>
        <row r="24">
          <cell r="X24">
            <v>9.8987385392884288</v>
          </cell>
        </row>
      </sheetData>
      <sheetData sheetId="25"/>
      <sheetData sheetId="26">
        <row r="10">
          <cell r="X10">
            <v>11.528978503299367</v>
          </cell>
        </row>
        <row r="16">
          <cell r="X16">
            <v>10.634054251321711</v>
          </cell>
        </row>
        <row r="17">
          <cell r="X17">
            <v>11.247682878998825</v>
          </cell>
        </row>
        <row r="18">
          <cell r="X18">
            <v>11.082357332075665</v>
          </cell>
        </row>
        <row r="19">
          <cell r="X19">
            <v>11.363381793799324</v>
          </cell>
        </row>
        <row r="20">
          <cell r="X20">
            <v>11.643306178721406</v>
          </cell>
        </row>
        <row r="21">
          <cell r="X21">
            <v>11.088173529001665</v>
          </cell>
        </row>
        <row r="22">
          <cell r="X22">
            <v>11.315238709309789</v>
          </cell>
        </row>
        <row r="23">
          <cell r="X23">
            <v>11.391514922026037</v>
          </cell>
        </row>
        <row r="24">
          <cell r="X24">
            <v>11.351149883953932</v>
          </cell>
        </row>
      </sheetData>
      <sheetData sheetId="27"/>
      <sheetData sheetId="28">
        <row r="10">
          <cell r="X10">
            <v>10.604595625341547</v>
          </cell>
        </row>
        <row r="16">
          <cell r="X16">
            <v>11.98596481349181</v>
          </cell>
        </row>
        <row r="17">
          <cell r="X17">
            <v>11.897312088030787</v>
          </cell>
        </row>
        <row r="18">
          <cell r="X18">
            <v>11.30196711819284</v>
          </cell>
        </row>
        <row r="19">
          <cell r="X19">
            <v>11.028036790385775</v>
          </cell>
        </row>
        <row r="20">
          <cell r="X20">
            <v>11.121674969108941</v>
          </cell>
        </row>
        <row r="21">
          <cell r="X21">
            <v>11.358624982365848</v>
          </cell>
        </row>
        <row r="22">
          <cell r="X22">
            <v>10.75102958145983</v>
          </cell>
        </row>
        <row r="23">
          <cell r="X23">
            <v>10.531865755426168</v>
          </cell>
        </row>
        <row r="24">
          <cell r="X24">
            <v>10.17447981596232</v>
          </cell>
        </row>
      </sheetData>
      <sheetData sheetId="29"/>
      <sheetData sheetId="30">
        <row r="10">
          <cell r="X10">
            <v>10.051249937148576</v>
          </cell>
        </row>
        <row r="16">
          <cell r="X16">
            <v>10.002960546334503</v>
          </cell>
        </row>
        <row r="17">
          <cell r="X17">
            <v>10.358304003348895</v>
          </cell>
        </row>
        <row r="18">
          <cell r="X18">
            <v>10.29495654337267</v>
          </cell>
        </row>
        <row r="19">
          <cell r="X19">
            <v>10.306590031760365</v>
          </cell>
        </row>
        <row r="20">
          <cell r="X20">
            <v>10.611241429179143</v>
          </cell>
        </row>
        <row r="21">
          <cell r="X21">
            <v>10.887661428319241</v>
          </cell>
        </row>
        <row r="22">
          <cell r="X22">
            <v>10.999750616226336</v>
          </cell>
        </row>
        <row r="23">
          <cell r="X23">
            <v>11.086555753465211</v>
          </cell>
        </row>
        <row r="24">
          <cell r="X24">
            <v>11.248311190929437</v>
          </cell>
        </row>
      </sheetData>
      <sheetData sheetId="31"/>
      <sheetData sheetId="32">
        <row r="10">
          <cell r="X10">
            <v>11.901471768698421</v>
          </cell>
        </row>
        <row r="16">
          <cell r="X16">
            <v>11.628558283573412</v>
          </cell>
        </row>
        <row r="17">
          <cell r="X17">
            <v>11.463091695506403</v>
          </cell>
        </row>
        <row r="18">
          <cell r="X18">
            <v>11.838132863095394</v>
          </cell>
        </row>
        <row r="19">
          <cell r="X19">
            <v>11.909799866989689</v>
          </cell>
        </row>
        <row r="20">
          <cell r="X20">
            <v>11.944424731991468</v>
          </cell>
        </row>
        <row r="21">
          <cell r="X21">
            <v>12.129483229540721</v>
          </cell>
        </row>
        <row r="22">
          <cell r="X22">
            <v>11.948356773649465</v>
          </cell>
        </row>
        <row r="23">
          <cell r="X23">
            <v>12.347139303171504</v>
          </cell>
        </row>
        <row r="24">
          <cell r="X24">
            <v>13.521680029228548</v>
          </cell>
        </row>
      </sheetData>
      <sheetData sheetId="33"/>
      <sheetData sheetId="34">
        <row r="10">
          <cell r="X10">
            <v>12.912850080179643</v>
          </cell>
        </row>
        <row r="16">
          <cell r="X16">
            <v>12.62217548044168</v>
          </cell>
        </row>
        <row r="17">
          <cell r="X17">
            <v>12.697043681418961</v>
          </cell>
        </row>
        <row r="18">
          <cell r="X18">
            <v>12.575299153861557</v>
          </cell>
        </row>
        <row r="19">
          <cell r="X19">
            <v>12.449645398341994</v>
          </cell>
        </row>
        <row r="20">
          <cell r="X20">
            <v>12.68319320160303</v>
          </cell>
        </row>
        <row r="21">
          <cell r="X21">
            <v>12.772090451120507</v>
          </cell>
        </row>
        <row r="22">
          <cell r="X22">
            <v>12.188397058577642</v>
          </cell>
        </row>
        <row r="23">
          <cell r="X23">
            <v>12.226582797485474</v>
          </cell>
        </row>
        <row r="24">
          <cell r="X24">
            <v>11.738308241960249</v>
          </cell>
        </row>
      </sheetData>
      <sheetData sheetId="35"/>
      <sheetData sheetId="36">
        <row r="10">
          <cell r="X10">
            <v>12.22520522852863</v>
          </cell>
        </row>
        <row r="16">
          <cell r="X16">
            <v>11.840536727393307</v>
          </cell>
        </row>
        <row r="17">
          <cell r="X17">
            <v>12.220304954937045</v>
          </cell>
        </row>
        <row r="18">
          <cell r="X18">
            <v>11.974591043369905</v>
          </cell>
        </row>
        <row r="19">
          <cell r="X19">
            <v>11.135366724172242</v>
          </cell>
        </row>
        <row r="20">
          <cell r="X20">
            <v>10.946201407056904</v>
          </cell>
        </row>
        <row r="21">
          <cell r="X21">
            <v>9.595499773399407</v>
          </cell>
        </row>
        <row r="22">
          <cell r="X22">
            <v>9.8698022817705411</v>
          </cell>
        </row>
        <row r="23">
          <cell r="X23">
            <v>9.1350688939040747</v>
          </cell>
        </row>
        <row r="24">
          <cell r="X24">
            <v>9.4061473374255336</v>
          </cell>
        </row>
      </sheetData>
      <sheetData sheetId="37"/>
      <sheetData sheetId="38">
        <row r="10">
          <cell r="X10">
            <v>11.730431774867185</v>
          </cell>
        </row>
        <row r="16">
          <cell r="X16">
            <v>11.22493193082429</v>
          </cell>
        </row>
        <row r="17">
          <cell r="X17">
            <v>11.665445346480427</v>
          </cell>
        </row>
        <row r="18">
          <cell r="X18">
            <v>10.534877560892353</v>
          </cell>
        </row>
        <row r="19">
          <cell r="X19">
            <v>10.245157512905923</v>
          </cell>
        </row>
        <row r="20">
          <cell r="X20">
            <v>10.088157476622703</v>
          </cell>
        </row>
        <row r="21">
          <cell r="X21">
            <v>9.6375284639259764</v>
          </cell>
        </row>
        <row r="22">
          <cell r="X22">
            <v>8.898816112140338</v>
          </cell>
        </row>
        <row r="23">
          <cell r="X23">
            <v>8.2862002184481831</v>
          </cell>
        </row>
        <row r="24">
          <cell r="X24">
            <v>8.0077949693186898</v>
          </cell>
        </row>
      </sheetData>
      <sheetData sheetId="39"/>
      <sheetData sheetId="40">
        <row r="10">
          <cell r="X10">
            <v>-17.542369867222906</v>
          </cell>
        </row>
        <row r="16">
          <cell r="X16">
            <v>9.9803625479050844</v>
          </cell>
        </row>
        <row r="17">
          <cell r="X17">
            <v>9.666064122291484</v>
          </cell>
        </row>
        <row r="18">
          <cell r="X18">
            <v>8.7846230964837808</v>
          </cell>
        </row>
        <row r="19">
          <cell r="X19">
            <v>9.1815557120247249</v>
          </cell>
        </row>
        <row r="20">
          <cell r="X20">
            <v>8.4562703174789551</v>
          </cell>
        </row>
        <row r="21">
          <cell r="X21">
            <v>8.4760606218800891</v>
          </cell>
        </row>
        <row r="22">
          <cell r="X22">
            <v>8.9215575581613642</v>
          </cell>
        </row>
        <row r="23">
          <cell r="X23">
            <v>8.8077551405022234</v>
          </cell>
        </row>
        <row r="24">
          <cell r="X24">
            <v>9.2959020417228331</v>
          </cell>
        </row>
      </sheetData>
      <sheetData sheetId="41"/>
      <sheetData sheetId="42">
        <row r="10">
          <cell r="X10">
            <v>-11.910377346712636</v>
          </cell>
        </row>
        <row r="16">
          <cell r="X16">
            <v>11.462493140887609</v>
          </cell>
        </row>
        <row r="17">
          <cell r="X17">
            <v>11.193926671220193</v>
          </cell>
        </row>
        <row r="18">
          <cell r="X18">
            <v>11.126085901290152</v>
          </cell>
        </row>
        <row r="19">
          <cell r="X19">
            <v>11.300413922597572</v>
          </cell>
        </row>
        <row r="20">
          <cell r="X20">
            <v>10.834668904015995</v>
          </cell>
        </row>
        <row r="21">
          <cell r="X21">
            <v>10.166461105526192</v>
          </cell>
        </row>
        <row r="22">
          <cell r="X22">
            <v>8.7909249188971721</v>
          </cell>
        </row>
        <row r="23">
          <cell r="X23">
            <v>8.348595396270607</v>
          </cell>
        </row>
        <row r="24">
          <cell r="X24">
            <v>8.5453912536679528</v>
          </cell>
        </row>
      </sheetData>
      <sheetData sheetId="43"/>
      <sheetData sheetId="44">
        <row r="10">
          <cell r="X10">
            <v>10.528762268100225</v>
          </cell>
        </row>
        <row r="16">
          <cell r="X16">
            <v>10.656135980487878</v>
          </cell>
        </row>
        <row r="17">
          <cell r="X17">
            <v>10.588842262709777</v>
          </cell>
        </row>
        <row r="18">
          <cell r="X18">
            <v>10.429399062308507</v>
          </cell>
        </row>
        <row r="19">
          <cell r="X19">
            <v>10.290308032840015</v>
          </cell>
        </row>
        <row r="20">
          <cell r="X20">
            <v>10.163727810456072</v>
          </cell>
        </row>
        <row r="21">
          <cell r="X21">
            <v>9.6652095042184207</v>
          </cell>
        </row>
        <row r="22">
          <cell r="X22">
            <v>10.034931377180639</v>
          </cell>
        </row>
        <row r="23">
          <cell r="X23">
            <v>9.8991869320545689</v>
          </cell>
        </row>
        <row r="24">
          <cell r="X24">
            <v>9.6994259554241911</v>
          </cell>
        </row>
      </sheetData>
      <sheetData sheetId="45"/>
      <sheetData sheetId="46">
        <row r="10">
          <cell r="X10">
            <v>11.519806981328575</v>
          </cell>
        </row>
        <row r="16">
          <cell r="X16">
            <v>10.810240273527537</v>
          </cell>
        </row>
        <row r="17">
          <cell r="X17">
            <v>11.020084848612596</v>
          </cell>
        </row>
        <row r="18">
          <cell r="X18">
            <v>10.130893668995853</v>
          </cell>
        </row>
        <row r="19">
          <cell r="X19">
            <v>9.7425063985815754</v>
          </cell>
        </row>
        <row r="20">
          <cell r="X20">
            <v>9.9619516116049329</v>
          </cell>
        </row>
        <row r="21">
          <cell r="X21">
            <v>8.2605284952814788</v>
          </cell>
        </row>
        <row r="22">
          <cell r="X22">
            <v>8.3943375489857761</v>
          </cell>
        </row>
        <row r="23">
          <cell r="X23">
            <v>7.9091733137599114</v>
          </cell>
        </row>
        <row r="24">
          <cell r="X24">
            <v>7.5029056956937481</v>
          </cell>
        </row>
      </sheetData>
      <sheetData sheetId="47"/>
      <sheetData sheetId="48">
        <row r="10">
          <cell r="X10">
            <v>7.3838660576087554</v>
          </cell>
        </row>
        <row r="16">
          <cell r="X16">
            <v>8.9310239956583128</v>
          </cell>
        </row>
        <row r="17">
          <cell r="X17">
            <v>9.9910399829540886</v>
          </cell>
        </row>
        <row r="18">
          <cell r="X18">
            <v>8.8521544697856687</v>
          </cell>
        </row>
        <row r="19">
          <cell r="X19">
            <v>8.9801093151041496</v>
          </cell>
        </row>
        <row r="20">
          <cell r="X20">
            <v>9.0446874628399652</v>
          </cell>
        </row>
        <row r="21">
          <cell r="X21">
            <v>9.2642315929182661</v>
          </cell>
        </row>
        <row r="22">
          <cell r="X22">
            <v>8.9763124842239534</v>
          </cell>
        </row>
        <row r="23">
          <cell r="X23">
            <v>9.1349984461491811</v>
          </cell>
        </row>
        <row r="24">
          <cell r="X24">
            <v>9.0861343822254934</v>
          </cell>
        </row>
      </sheetData>
      <sheetData sheetId="49"/>
      <sheetData sheetId="50">
        <row r="10">
          <cell r="X10">
            <v>9.9214320038054051</v>
          </cell>
        </row>
        <row r="16">
          <cell r="X16">
            <v>8.6324306425672575</v>
          </cell>
        </row>
        <row r="17">
          <cell r="X17">
            <v>9.9121366878976449</v>
          </cell>
        </row>
        <row r="18">
          <cell r="X18">
            <v>8.3677595003677112</v>
          </cell>
        </row>
        <row r="19">
          <cell r="X19">
            <v>8.4450296590339935</v>
          </cell>
        </row>
        <row r="20">
          <cell r="X20">
            <v>9.6866173674980818</v>
          </cell>
        </row>
        <row r="21">
          <cell r="X21">
            <v>10.240892815969563</v>
          </cell>
        </row>
        <row r="22">
          <cell r="X22">
            <v>10.337091537132117</v>
          </cell>
        </row>
        <row r="23">
          <cell r="X23">
            <v>10.489569385656099</v>
          </cell>
        </row>
        <row r="24">
          <cell r="X24">
            <v>7.4541458040721444</v>
          </cell>
        </row>
      </sheetData>
      <sheetData sheetId="51"/>
      <sheetData sheetId="52">
        <row r="10">
          <cell r="X10">
            <v>12.873236822092691</v>
          </cell>
        </row>
        <row r="16">
          <cell r="X16">
            <v>11.509754295967985</v>
          </cell>
        </row>
        <row r="17">
          <cell r="X17">
            <v>11.063486507287427</v>
          </cell>
        </row>
        <row r="18">
          <cell r="X18">
            <v>11.096581956492685</v>
          </cell>
        </row>
        <row r="19">
          <cell r="X19">
            <v>11.206794453145173</v>
          </cell>
        </row>
        <row r="20">
          <cell r="X20">
            <v>12.895104941148787</v>
          </cell>
        </row>
        <row r="21">
          <cell r="X21">
            <v>12.273245069796841</v>
          </cell>
        </row>
        <row r="22">
          <cell r="X22">
            <v>11.840938250753547</v>
          </cell>
        </row>
        <row r="23">
          <cell r="X23">
            <v>11.882947349790255</v>
          </cell>
        </row>
        <row r="24">
          <cell r="X24">
            <v>10.653683357838073</v>
          </cell>
        </row>
      </sheetData>
      <sheetData sheetId="53"/>
      <sheetData sheetId="54">
        <row r="10">
          <cell r="X10">
            <v>10.238233034076142</v>
          </cell>
        </row>
        <row r="16">
          <cell r="X16">
            <v>9.7670699291809804</v>
          </cell>
        </row>
        <row r="17">
          <cell r="X17">
            <v>9.6669698087618272</v>
          </cell>
        </row>
        <row r="18">
          <cell r="X18">
            <v>9.9285752106861338</v>
          </cell>
        </row>
        <row r="19">
          <cell r="X19">
            <v>9.840503198279789</v>
          </cell>
        </row>
        <row r="20">
          <cell r="X20">
            <v>9.7298581642339084</v>
          </cell>
        </row>
        <row r="21">
          <cell r="X21">
            <v>9.988633766945366</v>
          </cell>
        </row>
        <row r="22">
          <cell r="X22">
            <v>9.8945600191425225</v>
          </cell>
        </row>
        <row r="23">
          <cell r="X23">
            <v>9.8324960050478474</v>
          </cell>
        </row>
        <row r="24">
          <cell r="X24">
            <v>9.8352344490573564</v>
          </cell>
        </row>
      </sheetData>
      <sheetData sheetId="55"/>
      <sheetData sheetId="56">
        <row r="10">
          <cell r="X10">
            <v>8.0651851699048702</v>
          </cell>
        </row>
        <row r="16">
          <cell r="X16">
            <v>8.3632296901463548</v>
          </cell>
        </row>
        <row r="17">
          <cell r="X17">
            <v>8.455955434037282</v>
          </cell>
        </row>
        <row r="18">
          <cell r="X18">
            <v>8.4765342784163877</v>
          </cell>
        </row>
        <row r="19">
          <cell r="X19">
            <v>8.5245314435645057</v>
          </cell>
        </row>
        <row r="20">
          <cell r="X20">
            <v>8.4117127477257974</v>
          </cell>
        </row>
        <row r="21">
          <cell r="X21">
            <v>8.0156136310341743</v>
          </cell>
        </row>
        <row r="22">
          <cell r="X22">
            <v>8.1447537421501774</v>
          </cell>
        </row>
        <row r="23">
          <cell r="X23">
            <v>8.4315672747870885</v>
          </cell>
        </row>
        <row r="24">
          <cell r="X24">
            <v>8.4763146527432642</v>
          </cell>
        </row>
      </sheetData>
      <sheetData sheetId="57"/>
      <sheetData sheetId="58">
        <row r="10">
          <cell r="X10">
            <v>8.6180362748154717</v>
          </cell>
        </row>
        <row r="16">
          <cell r="X16">
            <v>8.9118306082244114</v>
          </cell>
        </row>
        <row r="17">
          <cell r="X17">
            <v>8.969613937766244</v>
          </cell>
        </row>
        <row r="18">
          <cell r="X18">
            <v>8.9269370573010676</v>
          </cell>
        </row>
        <row r="19">
          <cell r="X19">
            <v>9.1949917301720454</v>
          </cell>
        </row>
        <row r="20">
          <cell r="X20">
            <v>9.1556324595937326</v>
          </cell>
        </row>
        <row r="21">
          <cell r="X21">
            <v>9.2345841965275888</v>
          </cell>
        </row>
        <row r="22">
          <cell r="X22">
            <v>9.3399785021885737</v>
          </cell>
        </row>
        <row r="23">
          <cell r="X23">
            <v>9.4157023546961334</v>
          </cell>
        </row>
        <row r="24">
          <cell r="X24">
            <v>9.3252185641784759</v>
          </cell>
        </row>
      </sheetData>
      <sheetData sheetId="59"/>
      <sheetData sheetId="60">
        <row r="10">
          <cell r="X10">
            <v>9.8007533909273015</v>
          </cell>
        </row>
        <row r="16">
          <cell r="X16">
            <v>9.7282580953411291</v>
          </cell>
        </row>
        <row r="17">
          <cell r="X17">
            <v>9.5427894620405489</v>
          </cell>
        </row>
        <row r="18">
          <cell r="X18">
            <v>9.8728402646237505</v>
          </cell>
        </row>
        <row r="19">
          <cell r="X19">
            <v>9.3581360264845905</v>
          </cell>
        </row>
        <row r="20">
          <cell r="X20">
            <v>9.7387431182095767</v>
          </cell>
        </row>
        <row r="21">
          <cell r="X21">
            <v>10.463436555518788</v>
          </cell>
        </row>
        <row r="22">
          <cell r="X22">
            <v>11.225908901890776</v>
          </cell>
        </row>
        <row r="23">
          <cell r="X23">
            <v>10.94952055021586</v>
          </cell>
        </row>
        <row r="24">
          <cell r="X24">
            <v>10.840750087129384</v>
          </cell>
        </row>
      </sheetData>
      <sheetData sheetId="61"/>
      <sheetData sheetId="62">
        <row r="10">
          <cell r="X10">
            <v>10.958644862691665</v>
          </cell>
        </row>
        <row r="16">
          <cell r="X16">
            <v>10.776896698878046</v>
          </cell>
        </row>
        <row r="17">
          <cell r="X17">
            <v>10.865881370719658</v>
          </cell>
        </row>
        <row r="18">
          <cell r="X18">
            <v>10.779905146670055</v>
          </cell>
        </row>
        <row r="19">
          <cell r="X19">
            <v>11.040022242816276</v>
          </cell>
        </row>
        <row r="20">
          <cell r="X20">
            <v>10.291246543507238</v>
          </cell>
        </row>
        <row r="21">
          <cell r="X21">
            <v>10.140591544243907</v>
          </cell>
        </row>
        <row r="22">
          <cell r="X22">
            <v>8.9284426791959319</v>
          </cell>
        </row>
        <row r="23">
          <cell r="X23">
            <v>9.1608452209678788</v>
          </cell>
        </row>
        <row r="24">
          <cell r="X24">
            <v>12.007270245436251</v>
          </cell>
        </row>
      </sheetData>
      <sheetData sheetId="63"/>
      <sheetData sheetId="64">
        <row r="10">
          <cell r="X10">
            <v>8.8013481315308244</v>
          </cell>
        </row>
        <row r="16">
          <cell r="X16">
            <v>8.2271296714467947</v>
          </cell>
        </row>
        <row r="17">
          <cell r="X17">
            <v>10.6696075570476</v>
          </cell>
        </row>
        <row r="18">
          <cell r="X18">
            <v>10.019296349992572</v>
          </cell>
        </row>
        <row r="19">
          <cell r="X19">
            <v>9.3939894337937773</v>
          </cell>
        </row>
        <row r="20">
          <cell r="X20">
            <v>8.1852558775457105</v>
          </cell>
        </row>
        <row r="21">
          <cell r="X21">
            <v>7.9828275789874041</v>
          </cell>
        </row>
        <row r="22">
          <cell r="X22">
            <v>9.4795289356665293</v>
          </cell>
        </row>
        <row r="23">
          <cell r="X23">
            <v>11.430668654476953</v>
          </cell>
        </row>
        <row r="24">
          <cell r="X24">
            <v>10.164754784177394</v>
          </cell>
        </row>
      </sheetData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</sheetDataSet>
  </externalBook>
</externalLink>
</file>

<file path=xl/externalLinks/externalLink9.xml><?xml version="1.0" encoding="utf-8"?>
<externalLink xmlns="http://schemas.openxmlformats.org/spreadsheetml/2006/main">
  <externalBook xmlns:r="http://schemas.openxmlformats.org/officeDocument/2006/relationships" r:id="rId1">
    <sheetNames>
      <sheetName val="Ponto de Orvalho"/>
      <sheetName val="Bulbo Umido"/>
      <sheetName val="Verificações"/>
      <sheetName val="Dia 1 (a)"/>
      <sheetName val="Dia 1 (b)"/>
      <sheetName val="Dia 2 (a)"/>
      <sheetName val="Dia 2 (b)"/>
      <sheetName val="Dia 3 (a)"/>
      <sheetName val="Dia 3 (b)"/>
      <sheetName val="Dia 4 (a)"/>
      <sheetName val="Dia 4 (b)"/>
      <sheetName val="Dia 5 (a)"/>
      <sheetName val="Dia 5 (b)"/>
      <sheetName val="Dia 6 (a)"/>
      <sheetName val="Dia 6 (b)"/>
      <sheetName val="Dia 7 (a)"/>
      <sheetName val="Dia 7 (b)"/>
      <sheetName val="Dia 8 (a)"/>
      <sheetName val="Dia 8 (b)"/>
      <sheetName val="Dia 9 (a)"/>
      <sheetName val="Dia 9 (b)"/>
      <sheetName val="Dia 10 (a)"/>
      <sheetName val="Dia 10 (b)"/>
      <sheetName val="Dia 11 (a)"/>
      <sheetName val="Dia 11 (b)"/>
      <sheetName val="Dia 12 (a)"/>
      <sheetName val="Dia 12 (b)"/>
      <sheetName val="Dia 13 (a)"/>
      <sheetName val="Dia 13 (b)"/>
      <sheetName val="Dia 14 (a)"/>
      <sheetName val="Dia 14 (b)"/>
      <sheetName val="Dia 15 (a)"/>
      <sheetName val="Dia 15 (b)"/>
      <sheetName val="Dia 16 (a)"/>
      <sheetName val="Dia 16 (b)"/>
      <sheetName val="Dia 17 (a)"/>
      <sheetName val="Dia 17 (b)"/>
      <sheetName val="Dia 18 (a)"/>
      <sheetName val="Dia 18 (b)"/>
      <sheetName val="Dia 19 (a)"/>
      <sheetName val="Dia 19 (b)"/>
      <sheetName val="Dia 20 (a)"/>
      <sheetName val="Dia 20 (b)"/>
      <sheetName val="Dia 21 (a)"/>
      <sheetName val="Dia 21 (b)"/>
      <sheetName val="Dia 22 (a)"/>
      <sheetName val="Dia 22 (b)"/>
      <sheetName val="Dia 23 (a)"/>
      <sheetName val="Dia 23 (b)"/>
      <sheetName val="Dia 24 (a)"/>
      <sheetName val="Dia 24 (b)"/>
      <sheetName val="Dia 25 (a)"/>
      <sheetName val="Dia 25 (b)"/>
      <sheetName val="Dia 26 (a)"/>
      <sheetName val="Dia 26 (b)"/>
      <sheetName val="Dia 27 (a)"/>
      <sheetName val="Dia 27 (b)"/>
      <sheetName val="Dia 28 (a)"/>
      <sheetName val="Dia 28 (b)"/>
      <sheetName val="Dia 29 (a)"/>
      <sheetName val="Dia 29 (b)"/>
      <sheetName val="Dia 30 (a)"/>
      <sheetName val="Dia 30 (b)"/>
      <sheetName val="Dia 31 (a)"/>
      <sheetName val="Dia 31 (b)"/>
      <sheetName val="Visibilidade"/>
      <sheetName val="Tipo-Nuvens Baixas"/>
      <sheetName val="Quant.-Nuvens Baixas"/>
      <sheetName val="Tipo-Nuvens Médias"/>
      <sheetName val="Quant.-Nuvens Médias"/>
      <sheetName val="Tipo-Nuvens Altas"/>
      <sheetName val="Quant.-Nuvens Altas"/>
      <sheetName val="Cobertura Total"/>
      <sheetName val="Barôm. a Grav. Normal (hPa=mb)"/>
      <sheetName val="Term. Seco (C)"/>
      <sheetName val="Umid. Relat. (%)"/>
      <sheetName val="Umid. Específica (g.kg-1)"/>
      <sheetName val="Temp. Superf. (C)"/>
      <sheetName val="Temp. 5 cm (C)"/>
      <sheetName val="Temp. 10 cm (C)"/>
      <sheetName val="Temp. 20 cm (C)"/>
      <sheetName val="Temp. 30 cm (C)"/>
      <sheetName val="Temp. 40 cm (C)"/>
      <sheetName val="Temp. Máx. e Mín. (C)"/>
      <sheetName val="Precipitação e Evaporação (mm)"/>
      <sheetName val="INMET"/>
      <sheetName val="Fenomenos Diversos"/>
    </sheetNames>
    <sheetDataSet>
      <sheetData sheetId="0"/>
      <sheetData sheetId="1"/>
      <sheetData sheetId="2"/>
      <sheetData sheetId="3"/>
      <sheetData sheetId="4">
        <row r="1">
          <cell r="C1" t="str">
            <v>SETEMBRO DE 2023</v>
          </cell>
        </row>
        <row r="16">
          <cell r="X16">
            <v>8.6173337462329194</v>
          </cell>
        </row>
        <row r="17">
          <cell r="X17">
            <v>9.2268021858872764</v>
          </cell>
        </row>
        <row r="18">
          <cell r="X18">
            <v>9.8582290219241067</v>
          </cell>
        </row>
        <row r="19">
          <cell r="X19">
            <v>10.191682258013353</v>
          </cell>
        </row>
        <row r="20">
          <cell r="X20">
            <v>11.054028546801845</v>
          </cell>
        </row>
        <row r="21">
          <cell r="X21">
            <v>10.73101249079553</v>
          </cell>
        </row>
        <row r="22">
          <cell r="X22">
            <v>10.577881061324209</v>
          </cell>
        </row>
        <row r="23">
          <cell r="X23">
            <v>11.982791129343028</v>
          </cell>
        </row>
        <row r="24">
          <cell r="X24">
            <v>12.03521950645279</v>
          </cell>
        </row>
      </sheetData>
      <sheetData sheetId="5"/>
      <sheetData sheetId="6">
        <row r="10">
          <cell r="X10">
            <v>11.802394924705865</v>
          </cell>
        </row>
        <row r="16">
          <cell r="X16">
            <v>12.235871253928311</v>
          </cell>
        </row>
        <row r="17">
          <cell r="X17">
            <v>12.481132330435765</v>
          </cell>
        </row>
        <row r="18">
          <cell r="X18">
            <v>12.529693279766361</v>
          </cell>
        </row>
        <row r="19">
          <cell r="X19">
            <v>12.720232645416436</v>
          </cell>
        </row>
        <row r="20">
          <cell r="X20">
            <v>13.473343612936384</v>
          </cell>
        </row>
        <row r="21">
          <cell r="X21">
            <v>13.288471345184339</v>
          </cell>
        </row>
        <row r="22">
          <cell r="X22">
            <v>13.31802712588661</v>
          </cell>
        </row>
        <row r="23">
          <cell r="X23">
            <v>13.206094230462851</v>
          </cell>
        </row>
        <row r="24">
          <cell r="X24">
            <v>13.227942051886554</v>
          </cell>
        </row>
      </sheetData>
      <sheetData sheetId="7"/>
      <sheetData sheetId="8">
        <row r="10">
          <cell r="X10">
            <v>14.151307520256502</v>
          </cell>
        </row>
        <row r="16">
          <cell r="X16">
            <v>13.929771178401086</v>
          </cell>
        </row>
        <row r="17">
          <cell r="X17">
            <v>14.237852701673093</v>
          </cell>
        </row>
        <row r="18">
          <cell r="X18">
            <v>14.186377859317004</v>
          </cell>
        </row>
        <row r="19">
          <cell r="X19">
            <v>14.584994923627423</v>
          </cell>
        </row>
        <row r="20">
          <cell r="X20">
            <v>14.250661246567594</v>
          </cell>
        </row>
        <row r="21">
          <cell r="X21">
            <v>14.80249503814683</v>
          </cell>
        </row>
        <row r="22">
          <cell r="X22">
            <v>14.138584285315781</v>
          </cell>
        </row>
        <row r="23">
          <cell r="X23">
            <v>13.956369362933449</v>
          </cell>
        </row>
        <row r="24">
          <cell r="X24">
            <v>14.012392064932431</v>
          </cell>
        </row>
      </sheetData>
      <sheetData sheetId="9"/>
      <sheetData sheetId="10">
        <row r="10">
          <cell r="X10">
            <v>15.086628279033738</v>
          </cell>
        </row>
        <row r="16">
          <cell r="X16">
            <v>14.507786188176233</v>
          </cell>
        </row>
        <row r="17">
          <cell r="X17">
            <v>14.925851873230524</v>
          </cell>
        </row>
        <row r="18">
          <cell r="X18">
            <v>14.222209422552925</v>
          </cell>
        </row>
        <row r="19">
          <cell r="X19">
            <v>13.069426366601688</v>
          </cell>
        </row>
        <row r="20">
          <cell r="X20">
            <v>13.573370664063793</v>
          </cell>
        </row>
        <row r="21">
          <cell r="X21">
            <v>13.819776288768617</v>
          </cell>
        </row>
        <row r="22">
          <cell r="X22">
            <v>13.985354361306886</v>
          </cell>
        </row>
        <row r="23">
          <cell r="X23">
            <v>14.366083121594469</v>
          </cell>
        </row>
        <row r="24">
          <cell r="X24">
            <v>14.46615074068734</v>
          </cell>
        </row>
      </sheetData>
      <sheetData sheetId="11"/>
      <sheetData sheetId="12">
        <row r="10">
          <cell r="X10">
            <v>14.255534880090726</v>
          </cell>
        </row>
        <row r="16">
          <cell r="X16">
            <v>14.689223706690459</v>
          </cell>
        </row>
        <row r="17">
          <cell r="X17">
            <v>14.511823253711203</v>
          </cell>
        </row>
        <row r="18">
          <cell r="X18">
            <v>14.720431561009342</v>
          </cell>
        </row>
        <row r="19">
          <cell r="X19">
            <v>15.004328206738405</v>
          </cell>
        </row>
        <row r="20">
          <cell r="X20">
            <v>13.155116343160021</v>
          </cell>
        </row>
        <row r="21">
          <cell r="X21">
            <v>12.004760483896431</v>
          </cell>
        </row>
        <row r="22">
          <cell r="X22">
            <v>11.683211643711376</v>
          </cell>
        </row>
        <row r="23">
          <cell r="X23">
            <v>11.485643623189072</v>
          </cell>
        </row>
        <row r="24">
          <cell r="X24">
            <v>11.050646296675623</v>
          </cell>
        </row>
      </sheetData>
      <sheetData sheetId="13"/>
      <sheetData sheetId="14">
        <row r="10">
          <cell r="X10">
            <v>11.17452033224717</v>
          </cell>
        </row>
        <row r="16">
          <cell r="X16">
            <v>10.783989578875778</v>
          </cell>
        </row>
        <row r="17">
          <cell r="X17">
            <v>10.734231416137858</v>
          </cell>
        </row>
        <row r="18">
          <cell r="X18">
            <v>10.675637018714172</v>
          </cell>
        </row>
        <row r="19">
          <cell r="X19">
            <v>10.919857652394667</v>
          </cell>
        </row>
        <row r="20">
          <cell r="X20">
            <v>11.064070616993417</v>
          </cell>
        </row>
        <row r="21">
          <cell r="X21">
            <v>11.147699102965969</v>
          </cell>
        </row>
        <row r="22">
          <cell r="X22">
            <v>11.047516798218883</v>
          </cell>
        </row>
        <row r="23">
          <cell r="X23">
            <v>11.344905731051403</v>
          </cell>
        </row>
        <row r="24">
          <cell r="X24">
            <v>10.904889039273085</v>
          </cell>
        </row>
      </sheetData>
      <sheetData sheetId="15"/>
      <sheetData sheetId="16">
        <row r="10">
          <cell r="X10">
            <v>10.29204158464008</v>
          </cell>
        </row>
        <row r="16">
          <cell r="X16">
            <v>10.196907063183026</v>
          </cell>
        </row>
        <row r="17">
          <cell r="X17">
            <v>10.028736647860866</v>
          </cell>
        </row>
        <row r="18">
          <cell r="X18">
            <v>10.319753047639253</v>
          </cell>
        </row>
        <row r="19">
          <cell r="X19">
            <v>10.524619705324318</v>
          </cell>
        </row>
        <row r="20">
          <cell r="X20">
            <v>11.254117873801139</v>
          </cell>
        </row>
        <row r="21">
          <cell r="X21">
            <v>10.524741508176175</v>
          </cell>
        </row>
        <row r="22">
          <cell r="X22">
            <v>11.340399641106012</v>
          </cell>
        </row>
        <row r="23">
          <cell r="X23">
            <v>12.454162527377465</v>
          </cell>
        </row>
        <row r="24">
          <cell r="X24">
            <v>12.226610074654801</v>
          </cell>
        </row>
      </sheetData>
      <sheetData sheetId="17"/>
      <sheetData sheetId="18">
        <row r="10">
          <cell r="X10">
            <v>11.509821507906764</v>
          </cell>
        </row>
        <row r="16">
          <cell r="X16">
            <v>11.589701668376147</v>
          </cell>
        </row>
        <row r="17">
          <cell r="X17">
            <v>11.329622229453207</v>
          </cell>
        </row>
        <row r="18">
          <cell r="X18">
            <v>10.694990007408887</v>
          </cell>
        </row>
        <row r="19">
          <cell r="X19">
            <v>11.028180624268797</v>
          </cell>
        </row>
        <row r="20">
          <cell r="X20">
            <v>9.7459722049996032</v>
          </cell>
        </row>
        <row r="21">
          <cell r="X21">
            <v>9.4691496613779975</v>
          </cell>
        </row>
        <row r="22">
          <cell r="X22">
            <v>9.1887831886272711</v>
          </cell>
        </row>
        <row r="23">
          <cell r="X23">
            <v>8.4417128271780761</v>
          </cell>
        </row>
        <row r="24">
          <cell r="X24">
            <v>8.0223955872283277</v>
          </cell>
        </row>
      </sheetData>
      <sheetData sheetId="19"/>
      <sheetData sheetId="20">
        <row r="10">
          <cell r="X10">
            <v>12.673068084645021</v>
          </cell>
        </row>
        <row r="16">
          <cell r="X16">
            <v>12.994032549639904</v>
          </cell>
        </row>
        <row r="17">
          <cell r="X17">
            <v>12.118613290640699</v>
          </cell>
        </row>
        <row r="18">
          <cell r="X18">
            <v>11.125202665989063</v>
          </cell>
        </row>
        <row r="19">
          <cell r="X19">
            <v>10.18814861771339</v>
          </cell>
        </row>
        <row r="20">
          <cell r="X20">
            <v>10.899007956425278</v>
          </cell>
        </row>
        <row r="21">
          <cell r="X21">
            <v>10.587247309540897</v>
          </cell>
        </row>
        <row r="22">
          <cell r="X22">
            <v>11.218989603049543</v>
          </cell>
        </row>
        <row r="23">
          <cell r="X23">
            <v>11.595835250010168</v>
          </cell>
        </row>
        <row r="24">
          <cell r="X24">
            <v>11.496371378991322</v>
          </cell>
        </row>
      </sheetData>
      <sheetData sheetId="21"/>
      <sheetData sheetId="22">
        <row r="10">
          <cell r="X10">
            <v>11.865095840659681</v>
          </cell>
        </row>
        <row r="16">
          <cell r="X16">
            <v>11.616594294891874</v>
          </cell>
        </row>
        <row r="17">
          <cell r="X17">
            <v>12.085573923736847</v>
          </cell>
        </row>
        <row r="18">
          <cell r="X18">
            <v>12.033756910494796</v>
          </cell>
        </row>
        <row r="19">
          <cell r="X19">
            <v>12.19184302127857</v>
          </cell>
        </row>
        <row r="20">
          <cell r="X20">
            <v>12.166722941932955</v>
          </cell>
        </row>
        <row r="21">
          <cell r="X21">
            <v>12.511362239547294</v>
          </cell>
        </row>
        <row r="22">
          <cell r="X22">
            <v>11.804153788392004</v>
          </cell>
        </row>
        <row r="23">
          <cell r="X23">
            <v>12.273416727306824</v>
          </cell>
        </row>
        <row r="24">
          <cell r="X24">
            <v>13.392033371292833</v>
          </cell>
        </row>
      </sheetData>
      <sheetData sheetId="23"/>
      <sheetData sheetId="24">
        <row r="10">
          <cell r="X10">
            <v>11.274424591809634</v>
          </cell>
        </row>
        <row r="16">
          <cell r="X16">
            <v>12.443461117019304</v>
          </cell>
        </row>
        <row r="17">
          <cell r="X17">
            <v>12.657526296791715</v>
          </cell>
        </row>
        <row r="18">
          <cell r="X18">
            <v>12.535487789103749</v>
          </cell>
        </row>
        <row r="19">
          <cell r="X19">
            <v>12.675593980353488</v>
          </cell>
        </row>
        <row r="20">
          <cell r="X20">
            <v>12.103474305062143</v>
          </cell>
        </row>
        <row r="21">
          <cell r="X21">
            <v>12.222579930333344</v>
          </cell>
        </row>
        <row r="22">
          <cell r="X22">
            <v>10.725098250504304</v>
          </cell>
        </row>
        <row r="23">
          <cell r="X23">
            <v>10.066999732780229</v>
          </cell>
        </row>
        <row r="24">
          <cell r="X24">
            <v>12.254555046761732</v>
          </cell>
        </row>
      </sheetData>
      <sheetData sheetId="25"/>
      <sheetData sheetId="26">
        <row r="10">
          <cell r="X10">
            <v>10.627548039143413</v>
          </cell>
        </row>
        <row r="16">
          <cell r="X16">
            <v>9.6781043639937376</v>
          </cell>
        </row>
        <row r="17">
          <cell r="X17">
            <v>9.4978990812423145</v>
          </cell>
        </row>
        <row r="18">
          <cell r="X18">
            <v>9.5143799370198181</v>
          </cell>
        </row>
        <row r="19">
          <cell r="X19">
            <v>9.8561474690662205</v>
          </cell>
        </row>
        <row r="20">
          <cell r="X20">
            <v>8.7291069448040979</v>
          </cell>
        </row>
        <row r="21">
          <cell r="X21">
            <v>7.5340538222244344</v>
          </cell>
        </row>
        <row r="22">
          <cell r="X22">
            <v>6.9356891659686353</v>
          </cell>
        </row>
        <row r="23">
          <cell r="X23">
            <v>7.3975703336473249</v>
          </cell>
        </row>
        <row r="24">
          <cell r="X24">
            <v>7.8182702325523818</v>
          </cell>
        </row>
      </sheetData>
      <sheetData sheetId="27"/>
      <sheetData sheetId="28">
        <row r="10">
          <cell r="X10">
            <v>10.764747020454822</v>
          </cell>
        </row>
        <row r="16">
          <cell r="X16">
            <v>10.185918973418737</v>
          </cell>
        </row>
        <row r="17">
          <cell r="X17">
            <v>9.6410177983956924</v>
          </cell>
        </row>
        <row r="18">
          <cell r="X18">
            <v>9.2053744311162635</v>
          </cell>
        </row>
        <row r="19">
          <cell r="X19">
            <v>9.1247141269350518</v>
          </cell>
        </row>
        <row r="20">
          <cell r="X20">
            <v>9.587041261857717</v>
          </cell>
        </row>
        <row r="21">
          <cell r="X21">
            <v>8.8793771990290011</v>
          </cell>
        </row>
        <row r="22">
          <cell r="X22">
            <v>9.1785807584593684</v>
          </cell>
        </row>
        <row r="23">
          <cell r="X23">
            <v>9.2504211198230202</v>
          </cell>
        </row>
        <row r="24">
          <cell r="X24">
            <v>8.8677836151412102</v>
          </cell>
        </row>
      </sheetData>
      <sheetData sheetId="29"/>
      <sheetData sheetId="30">
        <row r="10">
          <cell r="X10">
            <v>11.349781598653108</v>
          </cell>
        </row>
        <row r="16">
          <cell r="X16">
            <v>11.106182795150787</v>
          </cell>
        </row>
        <row r="17">
          <cell r="X17">
            <v>10.887724546653166</v>
          </cell>
        </row>
        <row r="18">
          <cell r="X18">
            <v>11.444161603133352</v>
          </cell>
        </row>
        <row r="19">
          <cell r="X19">
            <v>11.776909404114015</v>
          </cell>
        </row>
        <row r="20">
          <cell r="X20">
            <v>12.239162051038761</v>
          </cell>
        </row>
        <row r="21">
          <cell r="X21">
            <v>12.738828690946045</v>
          </cell>
        </row>
        <row r="22">
          <cell r="X22">
            <v>13.246019197248387</v>
          </cell>
        </row>
        <row r="23">
          <cell r="X23">
            <v>13.153724860753991</v>
          </cell>
        </row>
        <row r="24">
          <cell r="X24">
            <v>12.368207502402011</v>
          </cell>
        </row>
      </sheetData>
      <sheetData sheetId="31"/>
      <sheetData sheetId="32">
        <row r="10">
          <cell r="X10">
            <v>10.061678162995149</v>
          </cell>
        </row>
        <row r="16">
          <cell r="X16">
            <v>9.4109407223691157</v>
          </cell>
        </row>
        <row r="17">
          <cell r="X17">
            <v>9.2855395864629013</v>
          </cell>
        </row>
        <row r="18">
          <cell r="X18">
            <v>9.2403308419154548</v>
          </cell>
        </row>
        <row r="19">
          <cell r="X19">
            <v>9.4831403394434801</v>
          </cell>
        </row>
        <row r="20">
          <cell r="X20">
            <v>9.1702666609734749</v>
          </cell>
        </row>
        <row r="21">
          <cell r="X21">
            <v>9.1293164077180116</v>
          </cell>
        </row>
        <row r="22">
          <cell r="X22">
            <v>9.6110253194680837</v>
          </cell>
        </row>
        <row r="23">
          <cell r="X23">
            <v>10.041067409648026</v>
          </cell>
        </row>
        <row r="24">
          <cell r="X24">
            <v>10.264699911172604</v>
          </cell>
        </row>
      </sheetData>
      <sheetData sheetId="33"/>
      <sheetData sheetId="34">
        <row r="10">
          <cell r="X10">
            <v>10.162703043591415</v>
          </cell>
        </row>
        <row r="16">
          <cell r="X16">
            <v>10.121438210656276</v>
          </cell>
        </row>
        <row r="17">
          <cell r="X17">
            <v>10.310492159655091</v>
          </cell>
        </row>
        <row r="18">
          <cell r="X18">
            <v>10.245410414934025</v>
          </cell>
        </row>
        <row r="19">
          <cell r="X19">
            <v>10.41929703758556</v>
          </cell>
        </row>
        <row r="20">
          <cell r="X20">
            <v>10.608357401170752</v>
          </cell>
        </row>
        <row r="21">
          <cell r="X21">
            <v>11.177029704397194</v>
          </cell>
        </row>
        <row r="22">
          <cell r="X22">
            <v>11.629748834169972</v>
          </cell>
        </row>
        <row r="23">
          <cell r="X23">
            <v>12.508883134944679</v>
          </cell>
        </row>
        <row r="24">
          <cell r="X24">
            <v>11.389609794149807</v>
          </cell>
        </row>
      </sheetData>
      <sheetData sheetId="35"/>
      <sheetData sheetId="36">
        <row r="10">
          <cell r="X10">
            <v>12.761530438434976</v>
          </cell>
        </row>
        <row r="16">
          <cell r="X16">
            <v>13.520283118738467</v>
          </cell>
        </row>
        <row r="17">
          <cell r="X17">
            <v>13.658548635293423</v>
          </cell>
        </row>
        <row r="18">
          <cell r="X18">
            <v>13.661364963878947</v>
          </cell>
        </row>
        <row r="19">
          <cell r="X19">
            <v>13.595945452121565</v>
          </cell>
        </row>
        <row r="20">
          <cell r="X20">
            <v>10.726561829324268</v>
          </cell>
        </row>
        <row r="21">
          <cell r="X21">
            <v>9.0493797038572286</v>
          </cell>
        </row>
        <row r="22">
          <cell r="X22">
            <v>9.0887934926647258</v>
          </cell>
        </row>
        <row r="23">
          <cell r="X23">
            <v>8.6704367386382639</v>
          </cell>
        </row>
        <row r="24">
          <cell r="X24">
            <v>7.3501533279417757</v>
          </cell>
        </row>
      </sheetData>
      <sheetData sheetId="37"/>
      <sheetData sheetId="38">
        <row r="10">
          <cell r="X10">
            <v>11.485421962783228</v>
          </cell>
        </row>
        <row r="16">
          <cell r="X16">
            <v>13.994625421878613</v>
          </cell>
        </row>
        <row r="17">
          <cell r="X17">
            <v>13.632449997447074</v>
          </cell>
        </row>
        <row r="18">
          <cell r="X18">
            <v>12.911186156691901</v>
          </cell>
        </row>
        <row r="19">
          <cell r="X19">
            <v>12.019127649247073</v>
          </cell>
        </row>
        <row r="20">
          <cell r="X20">
            <v>12.741711168362887</v>
          </cell>
        </row>
        <row r="21">
          <cell r="X21">
            <v>11.114319888905619</v>
          </cell>
        </row>
        <row r="22">
          <cell r="X22">
            <v>11.029602404275133</v>
          </cell>
        </row>
        <row r="23">
          <cell r="X23">
            <v>11.38591007096081</v>
          </cell>
        </row>
        <row r="24">
          <cell r="X24">
            <v>11.472648631927264</v>
          </cell>
        </row>
      </sheetData>
      <sheetData sheetId="39"/>
      <sheetData sheetId="40">
        <row r="10">
          <cell r="X10">
            <v>13.222679881922968</v>
          </cell>
        </row>
        <row r="16">
          <cell r="X16">
            <v>13.511432557222911</v>
          </cell>
        </row>
        <row r="17">
          <cell r="X17">
            <v>13.220480825670972</v>
          </cell>
        </row>
        <row r="18">
          <cell r="X18">
            <v>12.741008232216048</v>
          </cell>
        </row>
        <row r="19">
          <cell r="X19">
            <v>10.773432779059565</v>
          </cell>
        </row>
        <row r="20">
          <cell r="X20">
            <v>9.0282441099746773</v>
          </cell>
        </row>
        <row r="21">
          <cell r="X21">
            <v>9.7901549396358476</v>
          </cell>
        </row>
        <row r="22">
          <cell r="X22">
            <v>9.8733492415546138</v>
          </cell>
        </row>
        <row r="23">
          <cell r="X23">
            <v>8.1108089825154845</v>
          </cell>
        </row>
        <row r="24">
          <cell r="X24">
            <v>13.141676093688559</v>
          </cell>
        </row>
      </sheetData>
      <sheetData sheetId="41"/>
      <sheetData sheetId="42">
        <row r="10">
          <cell r="X10">
            <v>12.819424389350544</v>
          </cell>
        </row>
        <row r="16">
          <cell r="X16">
            <v>12.313593754031514</v>
          </cell>
        </row>
        <row r="17">
          <cell r="X17">
            <v>12.066782144114367</v>
          </cell>
        </row>
        <row r="18">
          <cell r="X18">
            <v>11.018498562638769</v>
          </cell>
        </row>
        <row r="19">
          <cell r="X19">
            <v>9.715529087069612</v>
          </cell>
        </row>
        <row r="20">
          <cell r="X20">
            <v>9.1775304503227559</v>
          </cell>
        </row>
        <row r="21">
          <cell r="X21">
            <v>9.1026316885022229</v>
          </cell>
        </row>
        <row r="22">
          <cell r="X22">
            <v>9.6262876487059508</v>
          </cell>
        </row>
        <row r="23">
          <cell r="X23">
            <v>9.7274142826023606</v>
          </cell>
        </row>
        <row r="24">
          <cell r="X24">
            <v>10.917515817256181</v>
          </cell>
        </row>
      </sheetData>
      <sheetData sheetId="43"/>
      <sheetData sheetId="44">
        <row r="10">
          <cell r="X10">
            <v>12.440905457030857</v>
          </cell>
        </row>
        <row r="16">
          <cell r="X16">
            <v>12.393291214988102</v>
          </cell>
        </row>
        <row r="17">
          <cell r="X17">
            <v>12.578765853955746</v>
          </cell>
        </row>
        <row r="18">
          <cell r="X18">
            <v>13.144874147630212</v>
          </cell>
        </row>
        <row r="19">
          <cell r="X19">
            <v>13.080749764609878</v>
          </cell>
        </row>
        <row r="20">
          <cell r="X20">
            <v>13.246904684229959</v>
          </cell>
        </row>
        <row r="21">
          <cell r="X21">
            <v>13.426659470957425</v>
          </cell>
        </row>
        <row r="22">
          <cell r="X22">
            <v>14.299537336498853</v>
          </cell>
        </row>
        <row r="23">
          <cell r="X23">
            <v>14.203591104522893</v>
          </cell>
        </row>
        <row r="24">
          <cell r="X24">
            <v>14.725458443651686</v>
          </cell>
        </row>
      </sheetData>
      <sheetData sheetId="45"/>
      <sheetData sheetId="46">
        <row r="10">
          <cell r="X10">
            <v>13.447309712093855</v>
          </cell>
        </row>
        <row r="16">
          <cell r="X16">
            <v>14.320097177015345</v>
          </cell>
        </row>
        <row r="17">
          <cell r="X17">
            <v>14.473194411228988</v>
          </cell>
        </row>
        <row r="18">
          <cell r="X18">
            <v>12.965543397402495</v>
          </cell>
        </row>
        <row r="19">
          <cell r="X19">
            <v>10.60383266052381</v>
          </cell>
        </row>
        <row r="20">
          <cell r="X20">
            <v>9.321766767943652</v>
          </cell>
        </row>
        <row r="21">
          <cell r="X21">
            <v>8.7789104840705541</v>
          </cell>
        </row>
        <row r="22">
          <cell r="X22">
            <v>8.8091587119638621</v>
          </cell>
        </row>
        <row r="23">
          <cell r="X23">
            <v>9.0323350531690227</v>
          </cell>
        </row>
        <row r="24">
          <cell r="X24">
            <v>9.5660168964063796</v>
          </cell>
        </row>
      </sheetData>
      <sheetData sheetId="47"/>
      <sheetData sheetId="48">
        <row r="10">
          <cell r="X10">
            <v>14.167676062989489</v>
          </cell>
        </row>
        <row r="16">
          <cell r="X16">
            <v>14.233057000878933</v>
          </cell>
        </row>
        <row r="17">
          <cell r="X17">
            <v>12.751451334038489</v>
          </cell>
        </row>
        <row r="18">
          <cell r="X18">
            <v>10.292821185609363</v>
          </cell>
        </row>
        <row r="19">
          <cell r="X19">
            <v>11.133945383192133</v>
          </cell>
        </row>
        <row r="20">
          <cell r="X20">
            <v>10.649645391185121</v>
          </cell>
        </row>
        <row r="21">
          <cell r="X21">
            <v>9.6420873624470058</v>
          </cell>
        </row>
        <row r="22">
          <cell r="X22">
            <v>13.430216740942834</v>
          </cell>
        </row>
        <row r="23">
          <cell r="X23">
            <v>11.875430255341094</v>
          </cell>
        </row>
        <row r="24">
          <cell r="X24">
            <v>13.286554490412041</v>
          </cell>
        </row>
      </sheetData>
      <sheetData sheetId="49"/>
      <sheetData sheetId="50">
        <row r="10">
          <cell r="X10">
            <v>14.28489885697082</v>
          </cell>
        </row>
        <row r="16">
          <cell r="X16">
            <v>13.33676367961186</v>
          </cell>
        </row>
        <row r="17">
          <cell r="X17">
            <v>11.768083360230357</v>
          </cell>
        </row>
        <row r="18">
          <cell r="X18">
            <v>11.9651526473045</v>
          </cell>
        </row>
        <row r="19">
          <cell r="X19">
            <v>11.663341294315627</v>
          </cell>
        </row>
        <row r="20">
          <cell r="X20">
            <v>11.472347036849452</v>
          </cell>
        </row>
        <row r="21">
          <cell r="X21">
            <v>10.984751651485945</v>
          </cell>
        </row>
        <row r="22">
          <cell r="X22">
            <v>10.135166319348659</v>
          </cell>
        </row>
        <row r="23">
          <cell r="X23">
            <v>10.882896536584424</v>
          </cell>
        </row>
        <row r="24">
          <cell r="X24">
            <v>9.760866099781099</v>
          </cell>
        </row>
      </sheetData>
      <sheetData sheetId="51"/>
      <sheetData sheetId="52">
        <row r="10">
          <cell r="X10">
            <v>15.326831234585471</v>
          </cell>
        </row>
        <row r="16">
          <cell r="X16">
            <v>14.490617363103695</v>
          </cell>
        </row>
        <row r="17">
          <cell r="X17">
            <v>14.634033994550453</v>
          </cell>
        </row>
        <row r="18">
          <cell r="X18">
            <v>14.628068032774541</v>
          </cell>
        </row>
        <row r="19">
          <cell r="X19">
            <v>14.217168741862274</v>
          </cell>
        </row>
        <row r="20">
          <cell r="X20">
            <v>14.57661745631933</v>
          </cell>
        </row>
        <row r="21">
          <cell r="X21">
            <v>14.450682476466778</v>
          </cell>
        </row>
        <row r="22">
          <cell r="X22">
            <v>16.421743988065849</v>
          </cell>
        </row>
        <row r="23">
          <cell r="X23">
            <v>15.828714030145001</v>
          </cell>
        </row>
        <row r="24">
          <cell r="X24">
            <v>14.84334020405606</v>
          </cell>
        </row>
      </sheetData>
      <sheetData sheetId="53"/>
      <sheetData sheetId="54">
        <row r="10">
          <cell r="X10">
            <v>14.152133205865001</v>
          </cell>
        </row>
        <row r="16">
          <cell r="X16">
            <v>14.777549332573955</v>
          </cell>
        </row>
        <row r="17">
          <cell r="X17">
            <v>14.915922183117054</v>
          </cell>
        </row>
        <row r="18">
          <cell r="X18">
            <v>14.945704475427817</v>
          </cell>
        </row>
        <row r="19">
          <cell r="X19">
            <v>15.236228411724142</v>
          </cell>
        </row>
        <row r="20">
          <cell r="X20">
            <v>14.956839087153906</v>
          </cell>
        </row>
        <row r="21">
          <cell r="X21">
            <v>15.248873679495818</v>
          </cell>
        </row>
        <row r="22">
          <cell r="X22">
            <v>17.006682286274181</v>
          </cell>
        </row>
        <row r="23">
          <cell r="X23">
            <v>16.358011052736284</v>
          </cell>
        </row>
        <row r="24">
          <cell r="X24">
            <v>17.286503395552476</v>
          </cell>
        </row>
      </sheetData>
      <sheetData sheetId="55"/>
      <sheetData sheetId="56">
        <row r="10">
          <cell r="X10">
            <v>18.201675068717641</v>
          </cell>
        </row>
        <row r="16">
          <cell r="X16">
            <v>14.701193990427866</v>
          </cell>
        </row>
        <row r="17">
          <cell r="X17">
            <v>14.541424193677955</v>
          </cell>
        </row>
        <row r="18">
          <cell r="X18">
            <v>14.387434735765842</v>
          </cell>
        </row>
        <row r="19">
          <cell r="X19">
            <v>14.618513962752857</v>
          </cell>
        </row>
        <row r="20">
          <cell r="X20">
            <v>15.115210845068898</v>
          </cell>
        </row>
        <row r="21">
          <cell r="X21">
            <v>14.380446742496954</v>
          </cell>
        </row>
        <row r="22">
          <cell r="X22">
            <v>14.899125064469121</v>
          </cell>
        </row>
        <row r="23">
          <cell r="X23">
            <v>17.166188421642609</v>
          </cell>
        </row>
        <row r="24">
          <cell r="X24">
            <v>15.575357847637392</v>
          </cell>
        </row>
      </sheetData>
      <sheetData sheetId="57"/>
      <sheetData sheetId="58">
        <row r="10">
          <cell r="X10">
            <v>11.536155323938086</v>
          </cell>
        </row>
        <row r="16">
          <cell r="X16">
            <v>10.380419758827165</v>
          </cell>
        </row>
        <row r="17">
          <cell r="X17">
            <v>10.279912657911385</v>
          </cell>
        </row>
        <row r="18">
          <cell r="X18">
            <v>10.035132537673725</v>
          </cell>
        </row>
        <row r="19">
          <cell r="X19">
            <v>10.657448478014373</v>
          </cell>
        </row>
        <row r="20">
          <cell r="X20">
            <v>9.9843992350177029</v>
          </cell>
        </row>
        <row r="21">
          <cell r="X21">
            <v>9.5519433328645889</v>
          </cell>
        </row>
        <row r="22">
          <cell r="X22">
            <v>10.18089452488824</v>
          </cell>
        </row>
        <row r="23">
          <cell r="X23">
            <v>10.110812165776656</v>
          </cell>
        </row>
        <row r="24">
          <cell r="X24">
            <v>9.7659488543486646</v>
          </cell>
        </row>
      </sheetData>
      <sheetData sheetId="59"/>
      <sheetData sheetId="60">
        <row r="10">
          <cell r="X10">
            <v>10.501498049363377</v>
          </cell>
        </row>
        <row r="16">
          <cell r="X16">
            <v>10.243638611187311</v>
          </cell>
        </row>
        <row r="17">
          <cell r="X17">
            <v>10.768499997333567</v>
          </cell>
        </row>
        <row r="18">
          <cell r="X18">
            <v>10.810406462152148</v>
          </cell>
        </row>
        <row r="19">
          <cell r="X19">
            <v>10.723499565420116</v>
          </cell>
        </row>
        <row r="20">
          <cell r="X20">
            <v>10.784220627083746</v>
          </cell>
        </row>
        <row r="21">
          <cell r="X21">
            <v>11.515789073341772</v>
          </cell>
        </row>
        <row r="22">
          <cell r="X22">
            <v>11.896749024234943</v>
          </cell>
        </row>
        <row r="23">
          <cell r="X23">
            <v>12.066114167907854</v>
          </cell>
        </row>
        <row r="24">
          <cell r="X24">
            <v>11.906257027307806</v>
          </cell>
        </row>
      </sheetData>
      <sheetData sheetId="61"/>
      <sheetData sheetId="62">
        <row r="10">
          <cell r="X10">
            <v>11.703544014164866</v>
          </cell>
        </row>
        <row r="16">
          <cell r="X16">
            <v>11.815762440263297</v>
          </cell>
        </row>
        <row r="17">
          <cell r="X17">
            <v>11.845882946768583</v>
          </cell>
        </row>
        <row r="18">
          <cell r="X18">
            <v>11.956345109539759</v>
          </cell>
        </row>
        <row r="19">
          <cell r="X19">
            <v>12.258942410129757</v>
          </cell>
        </row>
        <row r="20">
          <cell r="X20">
            <v>12.561540628128192</v>
          </cell>
        </row>
        <row r="21">
          <cell r="X21">
            <v>12.857692723431517</v>
          </cell>
        </row>
        <row r="22">
          <cell r="X22">
            <v>13.547080064140593</v>
          </cell>
        </row>
        <row r="23">
          <cell r="X23">
            <v>13.60198157198753</v>
          </cell>
        </row>
        <row r="24">
          <cell r="X24">
            <v>14.489017365557906</v>
          </cell>
        </row>
      </sheetData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</sheetDataSet>
  </externalBook>
</externalLink>
</file>

<file path=xl/externalLinks/externalLink10.xml><?xml version="1.0" encoding="utf-8"?>
<externalLink xmlns="http://schemas.openxmlformats.org/spreadsheetml/2006/main">
  <externalBook xmlns:r="http://schemas.openxmlformats.org/officeDocument/2006/relationships" r:id="rId1">
    <sheetNames>
      <sheetName val="Ponto de Orvalho"/>
      <sheetName val="Bulbo Umido"/>
      <sheetName val="Verificações"/>
      <sheetName val="Dia 1 (a)"/>
      <sheetName val="Dia 1 (b)"/>
      <sheetName val="Dia 2 (a)"/>
      <sheetName val="Dia 2 (b)"/>
      <sheetName val="Dia 3 (a)"/>
      <sheetName val="Dia 3 (b)"/>
      <sheetName val="Dia 4 (a)"/>
      <sheetName val="Dia 4 (b)"/>
      <sheetName val="Dia 5 (a)"/>
      <sheetName val="Dia 5 (b)"/>
      <sheetName val="Dia 6 (a)"/>
      <sheetName val="Dia 6 (b)"/>
      <sheetName val="Dia 7 (a)"/>
      <sheetName val="Dia 7 (b)"/>
      <sheetName val="Dia 8 (a)"/>
      <sheetName val="Dia 8 (b)"/>
      <sheetName val="Dia 9 (a)"/>
      <sheetName val="Dia 9 (b)"/>
      <sheetName val="Dia 10 (a)"/>
      <sheetName val="Dia 10 (b)"/>
      <sheetName val="Dia 11 (a)"/>
      <sheetName val="Dia 11 (b)"/>
      <sheetName val="Dia 12 (a)"/>
      <sheetName val="Dia 12 (b)"/>
      <sheetName val="Dia 13 (a)"/>
      <sheetName val="Dia 13 (b)"/>
      <sheetName val="Dia 14 (a)"/>
      <sheetName val="Dia 14 (b)"/>
      <sheetName val="Dia 15 (a)"/>
      <sheetName val="Dia 15 (b)"/>
      <sheetName val="Dia 16 (a)"/>
      <sheetName val="Dia 16 (b)"/>
      <sheetName val="Dia 17 (a)"/>
      <sheetName val="Dia 17 (b)"/>
      <sheetName val="Dia 18 (a)"/>
      <sheetName val="Dia 18 (b)"/>
      <sheetName val="Dia 19 (a)"/>
      <sheetName val="Dia 19 (b)"/>
      <sheetName val="Dia 20 (a)"/>
      <sheetName val="Dia 20 (b)"/>
      <sheetName val="Dia 21 (a)"/>
      <sheetName val="Dia 21 (b)"/>
      <sheetName val="Dia 22 (a)"/>
      <sheetName val="Dia 22 (b)"/>
      <sheetName val="Dia 23 (a)"/>
      <sheetName val="Dia 23 (b)"/>
      <sheetName val="Dia 24 (a)"/>
      <sheetName val="Dia 24 (b)"/>
      <sheetName val="Dia 25 (a)"/>
      <sheetName val="Dia 25 (b)"/>
      <sheetName val="Dia 26 (a)"/>
      <sheetName val="Dia 26 (b)"/>
      <sheetName val="Dia 27 (a)"/>
      <sheetName val="Dia 27 (b)"/>
      <sheetName val="Dia 28 (a)"/>
      <sheetName val="Dia 28 (b)"/>
      <sheetName val="Dia 29 (a)"/>
      <sheetName val="Dia 29 (b)"/>
      <sheetName val="Dia 30 (a)"/>
      <sheetName val="Dia 30 (b)"/>
      <sheetName val="Dia 31 (a)"/>
      <sheetName val="Dia 31 (b)"/>
      <sheetName val="Visibilidade"/>
      <sheetName val="Tipo-Nuvens Baixas"/>
      <sheetName val="Quant.-Nuvens Baixas"/>
      <sheetName val="Tipo-Nuvens Médias"/>
      <sheetName val="Quant.-Nuvens Médias"/>
      <sheetName val="Tipo-Nuvens Altas"/>
      <sheetName val="Quant.-Nuvens Altas"/>
      <sheetName val="Cobertura Total"/>
      <sheetName val="Barôm. a Grav. Normal (hPa=mb)"/>
      <sheetName val="Term. Seco (C)"/>
      <sheetName val="Umid. Relat. (%)"/>
      <sheetName val="Umid. Específica (g.kg-1)"/>
      <sheetName val="Temp. Superf. (C)"/>
      <sheetName val="Temp. 5 cm (C)"/>
      <sheetName val="Temp. 10 cm (C)"/>
      <sheetName val="Temp. 20 cm (C)"/>
      <sheetName val="Temp. 30 cm (C)"/>
      <sheetName val="Temp. 40 cm (C)"/>
      <sheetName val="Temp. Máx. e Mín. (C)"/>
      <sheetName val="Precipitação e Evaporação (mm)"/>
      <sheetName val="INMET"/>
      <sheetName val="Fenomenos Diversos"/>
    </sheetNames>
    <sheetDataSet>
      <sheetData sheetId="0"/>
      <sheetData sheetId="1"/>
      <sheetData sheetId="2"/>
      <sheetData sheetId="3"/>
      <sheetData sheetId="4">
        <row r="1">
          <cell r="C1" t="str">
            <v>OUTUBRO DE 2023</v>
          </cell>
        </row>
        <row r="16">
          <cell r="X16">
            <v>14.752830923552949</v>
          </cell>
        </row>
        <row r="17">
          <cell r="X17">
            <v>14.791664134296486</v>
          </cell>
        </row>
        <row r="18">
          <cell r="X18">
            <v>15.138653322277085</v>
          </cell>
        </row>
        <row r="19">
          <cell r="X19">
            <v>15.450251033818036</v>
          </cell>
        </row>
        <row r="20">
          <cell r="X20">
            <v>15.317378187466566</v>
          </cell>
        </row>
        <row r="21">
          <cell r="X21">
            <v>15.321872421270623</v>
          </cell>
        </row>
        <row r="22">
          <cell r="X22">
            <v>16.001929446046564</v>
          </cell>
        </row>
        <row r="23">
          <cell r="X23">
            <v>15.151327658831162</v>
          </cell>
        </row>
        <row r="24">
          <cell r="X24">
            <v>15.253172339368936</v>
          </cell>
        </row>
      </sheetData>
      <sheetData sheetId="5"/>
      <sheetData sheetId="6">
        <row r="10">
          <cell r="X10">
            <v>12.381635841359806</v>
          </cell>
        </row>
        <row r="16">
          <cell r="X16">
            <v>12.44117372460583</v>
          </cell>
        </row>
        <row r="17">
          <cell r="X17">
            <v>12.23040674968799</v>
          </cell>
        </row>
        <row r="18">
          <cell r="X18">
            <v>12.386625739030084</v>
          </cell>
        </row>
        <row r="19">
          <cell r="X19">
            <v>12.384535848455716</v>
          </cell>
        </row>
        <row r="20">
          <cell r="X20">
            <v>12.639634283536688</v>
          </cell>
        </row>
        <row r="21">
          <cell r="X21">
            <v>12.918079187616591</v>
          </cell>
        </row>
        <row r="22">
          <cell r="X22">
            <v>12.665816837995516</v>
          </cell>
        </row>
        <row r="23">
          <cell r="X23">
            <v>13.255687282550111</v>
          </cell>
        </row>
        <row r="24">
          <cell r="X24">
            <v>13.188775280183165</v>
          </cell>
        </row>
      </sheetData>
      <sheetData sheetId="7"/>
      <sheetData sheetId="8">
        <row r="10">
          <cell r="X10">
            <v>11.433680425079055</v>
          </cell>
        </row>
        <row r="16">
          <cell r="X16">
            <v>12.201604570512618</v>
          </cell>
        </row>
        <row r="17">
          <cell r="X17">
            <v>12.108560388496155</v>
          </cell>
        </row>
        <row r="18">
          <cell r="X18">
            <v>12.750617483509119</v>
          </cell>
        </row>
        <row r="19">
          <cell r="X19">
            <v>12.541356812860126</v>
          </cell>
        </row>
        <row r="20">
          <cell r="X20">
            <v>13.560676244256394</v>
          </cell>
        </row>
        <row r="21">
          <cell r="X21">
            <v>14.113129618968665</v>
          </cell>
        </row>
        <row r="22">
          <cell r="X22">
            <v>14.81084706275152</v>
          </cell>
        </row>
        <row r="23">
          <cell r="X23">
            <v>15.629626971023239</v>
          </cell>
        </row>
        <row r="24">
          <cell r="X24">
            <v>15.68552731551577</v>
          </cell>
        </row>
      </sheetData>
      <sheetData sheetId="9"/>
      <sheetData sheetId="10">
        <row r="10">
          <cell r="X10">
            <v>13.630454802786106</v>
          </cell>
        </row>
        <row r="16">
          <cell r="X16">
            <v>14.695438645568764</v>
          </cell>
        </row>
        <row r="17">
          <cell r="X17">
            <v>15.03472755361102</v>
          </cell>
        </row>
        <row r="18">
          <cell r="X18">
            <v>15.2427854877703</v>
          </cell>
        </row>
        <row r="19">
          <cell r="X19">
            <v>15.737477307210057</v>
          </cell>
        </row>
        <row r="20">
          <cell r="X20">
            <v>15.577192154123274</v>
          </cell>
        </row>
        <row r="21">
          <cell r="X21">
            <v>16.176364528485212</v>
          </cell>
        </row>
        <row r="22">
          <cell r="X22">
            <v>16.115362382843347</v>
          </cell>
        </row>
        <row r="23">
          <cell r="X23">
            <v>15.850980348590683</v>
          </cell>
        </row>
        <row r="24">
          <cell r="X24">
            <v>15.588401030721629</v>
          </cell>
        </row>
      </sheetData>
      <sheetData sheetId="11"/>
      <sheetData sheetId="12">
        <row r="10">
          <cell r="X10">
            <v>14.001298766712553</v>
          </cell>
        </row>
        <row r="16">
          <cell r="X16">
            <v>15.175283883798253</v>
          </cell>
        </row>
        <row r="17">
          <cell r="X17">
            <v>15.667677982578589</v>
          </cell>
        </row>
        <row r="18">
          <cell r="X18">
            <v>15.693857884571203</v>
          </cell>
        </row>
        <row r="19">
          <cell r="X19">
            <v>16.761633738349516</v>
          </cell>
        </row>
        <row r="20">
          <cell r="X20">
            <v>16.639246640824314</v>
          </cell>
        </row>
        <row r="21">
          <cell r="X21">
            <v>17.152298869823014</v>
          </cell>
        </row>
        <row r="22">
          <cell r="X22">
            <v>16.73665085427491</v>
          </cell>
        </row>
        <row r="23">
          <cell r="X23">
            <v>16.650244838830684</v>
          </cell>
        </row>
        <row r="24">
          <cell r="X24">
            <v>14.871962279302981</v>
          </cell>
        </row>
      </sheetData>
      <sheetData sheetId="13"/>
      <sheetData sheetId="14">
        <row r="10">
          <cell r="X10">
            <v>13.186271851782575</v>
          </cell>
        </row>
        <row r="16">
          <cell r="X16">
            <v>14.369730943610405</v>
          </cell>
        </row>
        <row r="17">
          <cell r="X17">
            <v>15.023188784715746</v>
          </cell>
        </row>
        <row r="18">
          <cell r="X18">
            <v>15.414970369664513</v>
          </cell>
        </row>
        <row r="19">
          <cell r="X19">
            <v>15.968993771756608</v>
          </cell>
        </row>
        <row r="20">
          <cell r="X20">
            <v>16.622872104018544</v>
          </cell>
        </row>
        <row r="21">
          <cell r="X21">
            <v>17.40976994766509</v>
          </cell>
        </row>
        <row r="22">
          <cell r="X22">
            <v>17.286418089960016</v>
          </cell>
        </row>
        <row r="23">
          <cell r="X23">
            <v>15.845298239432434</v>
          </cell>
        </row>
        <row r="24">
          <cell r="X24">
            <v>16.12156855675066</v>
          </cell>
        </row>
      </sheetData>
      <sheetData sheetId="15"/>
      <sheetData sheetId="16">
        <row r="10">
          <cell r="X10">
            <v>18.669062363586313</v>
          </cell>
        </row>
        <row r="16">
          <cell r="X16">
            <v>17.17863832870524</v>
          </cell>
        </row>
        <row r="17">
          <cell r="X17">
            <v>16.43499622175452</v>
          </cell>
        </row>
        <row r="18">
          <cell r="X18">
            <v>15.90419567905151</v>
          </cell>
        </row>
        <row r="19">
          <cell r="X19">
            <v>16.274320749241014</v>
          </cell>
        </row>
        <row r="20">
          <cell r="X20">
            <v>16.181380148909401</v>
          </cell>
        </row>
        <row r="21">
          <cell r="X21">
            <v>16.588980028281181</v>
          </cell>
        </row>
        <row r="22">
          <cell r="X22">
            <v>16.594105864364245</v>
          </cell>
        </row>
        <row r="23">
          <cell r="X23">
            <v>20.241616761724966</v>
          </cell>
        </row>
        <row r="24">
          <cell r="X24">
            <v>20.036622294905609</v>
          </cell>
        </row>
      </sheetData>
      <sheetData sheetId="17"/>
      <sheetData sheetId="18">
        <row r="10">
          <cell r="X10">
            <v>14.179622825497573</v>
          </cell>
        </row>
        <row r="16">
          <cell r="X16">
            <v>15.367955406821315</v>
          </cell>
        </row>
        <row r="17">
          <cell r="X17">
            <v>15.515671447477686</v>
          </cell>
        </row>
        <row r="18">
          <cell r="X18">
            <v>15.775096363736408</v>
          </cell>
        </row>
        <row r="19">
          <cell r="X19">
            <v>16.012379023112711</v>
          </cell>
        </row>
        <row r="20">
          <cell r="X20">
            <v>15.974911461565744</v>
          </cell>
        </row>
        <row r="21">
          <cell r="X21">
            <v>16.280708328150535</v>
          </cell>
        </row>
        <row r="22">
          <cell r="X22">
            <v>17.303227747562421</v>
          </cell>
        </row>
        <row r="23">
          <cell r="X23">
            <v>17.332440445646835</v>
          </cell>
        </row>
        <row r="24">
          <cell r="X24">
            <v>16.765598446676989</v>
          </cell>
        </row>
      </sheetData>
      <sheetData sheetId="19"/>
      <sheetData sheetId="20">
        <row r="10">
          <cell r="X10">
            <v>15.549563802487096</v>
          </cell>
        </row>
        <row r="16">
          <cell r="X16">
            <v>14.758870976260773</v>
          </cell>
        </row>
        <row r="17">
          <cell r="X17">
            <v>14.249914446671555</v>
          </cell>
        </row>
        <row r="18">
          <cell r="X18">
            <v>14.236377405710304</v>
          </cell>
        </row>
        <row r="19">
          <cell r="X19">
            <v>12.83282143222411</v>
          </cell>
        </row>
        <row r="20">
          <cell r="X20">
            <v>13.072407974310011</v>
          </cell>
        </row>
        <row r="21">
          <cell r="X21">
            <v>14.467432056978883</v>
          </cell>
        </row>
        <row r="22">
          <cell r="X22">
            <v>14.092435855143659</v>
          </cell>
        </row>
        <row r="23">
          <cell r="X23">
            <v>14.300223834048422</v>
          </cell>
        </row>
        <row r="24">
          <cell r="X24">
            <v>13.585365524769291</v>
          </cell>
        </row>
      </sheetData>
      <sheetData sheetId="21"/>
      <sheetData sheetId="22">
        <row r="10">
          <cell r="X10">
            <v>12.598387195032119</v>
          </cell>
        </row>
        <row r="16">
          <cell r="X16">
            <v>12.603703279363996</v>
          </cell>
        </row>
        <row r="17">
          <cell r="X17">
            <v>12.633842278500168</v>
          </cell>
        </row>
        <row r="18">
          <cell r="X18">
            <v>12.588188783700696</v>
          </cell>
        </row>
        <row r="19">
          <cell r="X19">
            <v>13.078752780320521</v>
          </cell>
        </row>
        <row r="20">
          <cell r="X20">
            <v>12.343529824810368</v>
          </cell>
        </row>
        <row r="21">
          <cell r="X21">
            <v>12.526225431629044</v>
          </cell>
        </row>
        <row r="22">
          <cell r="X22">
            <v>13.166223161971464</v>
          </cell>
        </row>
        <row r="23">
          <cell r="X23">
            <v>12.640022354761475</v>
          </cell>
        </row>
        <row r="24">
          <cell r="X24">
            <v>12.664262739606615</v>
          </cell>
        </row>
      </sheetData>
      <sheetData sheetId="23"/>
      <sheetData sheetId="24">
        <row r="10">
          <cell r="X10">
            <v>12.129775646459775</v>
          </cell>
        </row>
        <row r="16">
          <cell r="X16">
            <v>13.101395569405287</v>
          </cell>
        </row>
        <row r="17">
          <cell r="X17">
            <v>13.210815003493813</v>
          </cell>
        </row>
        <row r="18">
          <cell r="X18">
            <v>13.526507733323221</v>
          </cell>
        </row>
        <row r="19">
          <cell r="X19">
            <v>14.168204409329613</v>
          </cell>
        </row>
        <row r="20">
          <cell r="X20">
            <v>13.900213081683592</v>
          </cell>
        </row>
        <row r="21">
          <cell r="X21">
            <v>13.937987901654759</v>
          </cell>
        </row>
        <row r="22">
          <cell r="X22">
            <v>14.304819049067788</v>
          </cell>
        </row>
        <row r="23">
          <cell r="X23">
            <v>12.75321326906181</v>
          </cell>
        </row>
        <row r="24">
          <cell r="X24">
            <v>12.657994696927263</v>
          </cell>
        </row>
      </sheetData>
      <sheetData sheetId="25"/>
      <sheetData sheetId="26">
        <row r="10">
          <cell r="X10">
            <v>15.534230748181056</v>
          </cell>
        </row>
        <row r="16">
          <cell r="X16">
            <v>15.527441352558368</v>
          </cell>
        </row>
        <row r="17">
          <cell r="X17">
            <v>16.227994950856097</v>
          </cell>
        </row>
        <row r="18">
          <cell r="X18">
            <v>16.726822099824386</v>
          </cell>
        </row>
        <row r="19">
          <cell r="X19">
            <v>15.71381000375132</v>
          </cell>
        </row>
        <row r="20">
          <cell r="X20">
            <v>15.934621437389827</v>
          </cell>
        </row>
        <row r="21">
          <cell r="X21">
            <v>18.385180437592712</v>
          </cell>
        </row>
        <row r="22">
          <cell r="X22">
            <v>18.263009547572892</v>
          </cell>
        </row>
        <row r="23">
          <cell r="X23">
            <v>16.649914853330959</v>
          </cell>
        </row>
        <row r="24">
          <cell r="X24">
            <v>15.8038110460409</v>
          </cell>
        </row>
      </sheetData>
      <sheetData sheetId="27"/>
      <sheetData sheetId="28">
        <row r="10">
          <cell r="X10">
            <v>12.571133043791002</v>
          </cell>
        </row>
        <row r="16">
          <cell r="X16">
            <v>11.871286754262652</v>
          </cell>
        </row>
        <row r="17">
          <cell r="X17">
            <v>12.102083600061826</v>
          </cell>
        </row>
        <row r="18">
          <cell r="X18">
            <v>11.92921628016899</v>
          </cell>
        </row>
        <row r="19">
          <cell r="X19">
            <v>12.328921900170691</v>
          </cell>
        </row>
        <row r="20">
          <cell r="X20">
            <v>12.075367904647516</v>
          </cell>
        </row>
        <row r="21">
          <cell r="X21">
            <v>11.959729588689425</v>
          </cell>
        </row>
        <row r="22">
          <cell r="X22">
            <v>11.925275519233288</v>
          </cell>
        </row>
        <row r="23">
          <cell r="X23">
            <v>11.139982220771135</v>
          </cell>
        </row>
        <row r="24">
          <cell r="X24">
            <v>11.222722052610584</v>
          </cell>
        </row>
      </sheetData>
      <sheetData sheetId="29"/>
      <sheetData sheetId="30">
        <row r="10">
          <cell r="X10">
            <v>10.129717769560113</v>
          </cell>
        </row>
        <row r="16">
          <cell r="X16">
            <v>10.25411521842995</v>
          </cell>
        </row>
        <row r="17">
          <cell r="X17">
            <v>10.521314761684463</v>
          </cell>
        </row>
        <row r="18">
          <cell r="X18">
            <v>10.715691780638258</v>
          </cell>
        </row>
        <row r="19">
          <cell r="X19">
            <v>10.807797820093306</v>
          </cell>
        </row>
        <row r="20">
          <cell r="X20">
            <v>10.788167444441415</v>
          </cell>
        </row>
        <row r="21">
          <cell r="X21">
            <v>10.749528483399009</v>
          </cell>
        </row>
        <row r="22">
          <cell r="X22">
            <v>11.346709651531963</v>
          </cell>
        </row>
        <row r="23">
          <cell r="X23">
            <v>11.171496489330734</v>
          </cell>
        </row>
        <row r="24">
          <cell r="X24">
            <v>11.489485094782451</v>
          </cell>
        </row>
      </sheetData>
      <sheetData sheetId="31"/>
      <sheetData sheetId="32">
        <row r="10">
          <cell r="X10">
            <v>10.863404230815856</v>
          </cell>
        </row>
        <row r="16">
          <cell r="X16">
            <v>11.235176084485305</v>
          </cell>
        </row>
        <row r="17">
          <cell r="X17">
            <v>11.403205512821442</v>
          </cell>
        </row>
        <row r="18">
          <cell r="X18">
            <v>11.744853220861852</v>
          </cell>
        </row>
        <row r="19">
          <cell r="X19">
            <v>11.73687055557674</v>
          </cell>
        </row>
        <row r="20">
          <cell r="X20">
            <v>12.164194948248998</v>
          </cell>
        </row>
        <row r="21">
          <cell r="X21">
            <v>12.852322802720357</v>
          </cell>
        </row>
        <row r="22">
          <cell r="X22">
            <v>13.599878695247206</v>
          </cell>
        </row>
        <row r="23">
          <cell r="X23">
            <v>13.456107142158039</v>
          </cell>
        </row>
        <row r="24">
          <cell r="X24">
            <v>13.671021433546144</v>
          </cell>
        </row>
      </sheetData>
      <sheetData sheetId="33"/>
      <sheetData sheetId="34">
        <row r="10">
          <cell r="X10">
            <v>13.143954275457091</v>
          </cell>
        </row>
        <row r="16">
          <cell r="X16">
            <v>14.34451067489468</v>
          </cell>
        </row>
        <row r="17">
          <cell r="X17">
            <v>14.45333085632047</v>
          </cell>
        </row>
        <row r="18">
          <cell r="X18">
            <v>14.786049312693487</v>
          </cell>
        </row>
        <row r="19">
          <cell r="X19">
            <v>14.756934822113141</v>
          </cell>
        </row>
        <row r="20">
          <cell r="X20">
            <v>15.195740964654087</v>
          </cell>
        </row>
        <row r="21">
          <cell r="X21">
            <v>15.240503709269252</v>
          </cell>
        </row>
        <row r="22">
          <cell r="X22">
            <v>15.13900191488543</v>
          </cell>
        </row>
        <row r="23">
          <cell r="X23">
            <v>13.862380692349195</v>
          </cell>
        </row>
        <row r="24">
          <cell r="X24">
            <v>14.159292699340792</v>
          </cell>
        </row>
      </sheetData>
      <sheetData sheetId="35"/>
      <sheetData sheetId="36">
        <row r="10">
          <cell r="X10">
            <v>14.831063227894603</v>
          </cell>
        </row>
        <row r="16">
          <cell r="X16">
            <v>14.165665071741769</v>
          </cell>
        </row>
        <row r="17">
          <cell r="X17">
            <v>14.39774952213291</v>
          </cell>
        </row>
        <row r="18">
          <cell r="X18">
            <v>13.907063759358095</v>
          </cell>
        </row>
        <row r="19">
          <cell r="X19">
            <v>14.449078307769481</v>
          </cell>
        </row>
        <row r="20">
          <cell r="X20">
            <v>14.468149371365275</v>
          </cell>
        </row>
        <row r="21">
          <cell r="X21">
            <v>14.592103819794655</v>
          </cell>
        </row>
        <row r="22">
          <cell r="X22">
            <v>14.108113812815814</v>
          </cell>
        </row>
        <row r="23">
          <cell r="X23">
            <v>14.023513836816552</v>
          </cell>
        </row>
        <row r="24">
          <cell r="X24">
            <v>13.282892907898461</v>
          </cell>
        </row>
      </sheetData>
      <sheetData sheetId="37"/>
      <sheetData sheetId="38">
        <row r="10">
          <cell r="X10">
            <v>13.316274179440285</v>
          </cell>
        </row>
        <row r="16">
          <cell r="X16">
            <v>13.081878210950643</v>
          </cell>
        </row>
        <row r="17">
          <cell r="X17">
            <v>13.286329122822032</v>
          </cell>
        </row>
        <row r="18">
          <cell r="X18">
            <v>13.502221989744239</v>
          </cell>
        </row>
        <row r="19">
          <cell r="X19">
            <v>13.472975550414381</v>
          </cell>
        </row>
        <row r="20">
          <cell r="X20">
            <v>13.689467523854736</v>
          </cell>
        </row>
        <row r="21">
          <cell r="X21">
            <v>13.58107057898814</v>
          </cell>
        </row>
        <row r="22">
          <cell r="X22">
            <v>13.811938381025872</v>
          </cell>
        </row>
        <row r="23">
          <cell r="X23">
            <v>13.337396205827268</v>
          </cell>
        </row>
        <row r="24">
          <cell r="X24">
            <v>13.754722956508983</v>
          </cell>
        </row>
      </sheetData>
      <sheetData sheetId="39"/>
      <sheetData sheetId="40">
        <row r="10">
          <cell r="X10">
            <v>11.744123577543679</v>
          </cell>
        </row>
        <row r="16">
          <cell r="X16">
            <v>11.456212834629643</v>
          </cell>
        </row>
        <row r="17">
          <cell r="X17">
            <v>11.434632677867972</v>
          </cell>
        </row>
        <row r="18">
          <cell r="X18">
            <v>11.40551125321527</v>
          </cell>
        </row>
        <row r="19">
          <cell r="X19">
            <v>11.500239379005267</v>
          </cell>
        </row>
        <row r="20">
          <cell r="X20">
            <v>11.413215781136165</v>
          </cell>
        </row>
        <row r="21">
          <cell r="X21">
            <v>11.172539689702129</v>
          </cell>
        </row>
        <row r="22">
          <cell r="X22">
            <v>11.111220706242314</v>
          </cell>
        </row>
        <row r="23">
          <cell r="X23">
            <v>11.079652173618124</v>
          </cell>
        </row>
        <row r="24">
          <cell r="X24">
            <v>11.056618519386006</v>
          </cell>
        </row>
      </sheetData>
      <sheetData sheetId="41"/>
      <sheetData sheetId="42">
        <row r="10">
          <cell r="X10">
            <v>11.311688629985255</v>
          </cell>
        </row>
        <row r="16">
          <cell r="X16">
            <v>11.771375394565744</v>
          </cell>
        </row>
        <row r="17">
          <cell r="X17">
            <v>11.5119479447591</v>
          </cell>
        </row>
        <row r="18">
          <cell r="X18">
            <v>11.651355677291955</v>
          </cell>
        </row>
        <row r="19">
          <cell r="X19">
            <v>12.020966957938249</v>
          </cell>
        </row>
        <row r="20">
          <cell r="X20">
            <v>12.156574293846599</v>
          </cell>
        </row>
        <row r="21">
          <cell r="X21">
            <v>11.744899184047725</v>
          </cell>
        </row>
        <row r="22">
          <cell r="X22">
            <v>12.540577620588897</v>
          </cell>
        </row>
        <row r="23">
          <cell r="X23">
            <v>12.169897957560273</v>
          </cell>
        </row>
        <row r="24">
          <cell r="X24">
            <v>12.009406429433806</v>
          </cell>
        </row>
      </sheetData>
      <sheetData sheetId="43"/>
      <sheetData sheetId="44">
        <row r="10">
          <cell r="X10">
            <v>11.830222767866266</v>
          </cell>
        </row>
        <row r="16">
          <cell r="X16">
            <v>11.757374334610818</v>
          </cell>
        </row>
        <row r="17">
          <cell r="X17">
            <v>11.894590572480141</v>
          </cell>
        </row>
        <row r="18">
          <cell r="X18">
            <v>11.766775453598942</v>
          </cell>
        </row>
        <row r="19">
          <cell r="X19">
            <v>12.01262686249431</v>
          </cell>
        </row>
        <row r="20">
          <cell r="X20">
            <v>12.352665194434312</v>
          </cell>
        </row>
        <row r="21">
          <cell r="X21">
            <v>12.396450858656843</v>
          </cell>
        </row>
        <row r="22">
          <cell r="X22">
            <v>12.802193344110933</v>
          </cell>
        </row>
        <row r="23">
          <cell r="X23">
            <v>12.413468033852524</v>
          </cell>
        </row>
        <row r="24">
          <cell r="X24">
            <v>11.783931761551383</v>
          </cell>
        </row>
      </sheetData>
      <sheetData sheetId="45"/>
      <sheetData sheetId="46">
        <row r="10">
          <cell r="X10">
            <v>11.22316262956609</v>
          </cell>
        </row>
        <row r="16">
          <cell r="X16">
            <v>11.068609074551476</v>
          </cell>
        </row>
        <row r="17">
          <cell r="X17">
            <v>11.332951443698581</v>
          </cell>
        </row>
        <row r="18">
          <cell r="X18">
            <v>11.689293100272634</v>
          </cell>
        </row>
        <row r="19">
          <cell r="X19">
            <v>11.48657424472673</v>
          </cell>
        </row>
        <row r="20">
          <cell r="X20">
            <v>11.546470535788558</v>
          </cell>
        </row>
        <row r="21">
          <cell r="X21">
            <v>12.191310035324991</v>
          </cell>
        </row>
        <row r="22">
          <cell r="X22">
            <v>13.224411393096565</v>
          </cell>
        </row>
        <row r="23">
          <cell r="X23">
            <v>13.429428279789438</v>
          </cell>
        </row>
        <row r="24">
          <cell r="X24">
            <v>13.380854289220384</v>
          </cell>
        </row>
      </sheetData>
      <sheetData sheetId="47"/>
      <sheetData sheetId="48">
        <row r="10">
          <cell r="X10">
            <v>11.133835621307052</v>
          </cell>
        </row>
        <row r="16">
          <cell r="X16">
            <v>12.739646726234438</v>
          </cell>
        </row>
        <row r="17">
          <cell r="X17">
            <v>13.172467813700424</v>
          </cell>
        </row>
        <row r="18">
          <cell r="X18">
            <v>13.164636597365726</v>
          </cell>
        </row>
        <row r="19">
          <cell r="X19">
            <v>12.943485251477734</v>
          </cell>
        </row>
        <row r="20">
          <cell r="X20">
            <v>13.217624095272198</v>
          </cell>
        </row>
        <row r="21">
          <cell r="X21">
            <v>11.844019415340433</v>
          </cell>
        </row>
        <row r="22">
          <cell r="X22">
            <v>11.466139847900504</v>
          </cell>
        </row>
        <row r="23">
          <cell r="X23">
            <v>15.53334691457019</v>
          </cell>
        </row>
        <row r="24">
          <cell r="X24">
            <v>14.615537444443513</v>
          </cell>
        </row>
      </sheetData>
      <sheetData sheetId="49"/>
      <sheetData sheetId="50">
        <row r="10">
          <cell r="X10">
            <v>14.031191233409618</v>
          </cell>
        </row>
        <row r="16">
          <cell r="X16">
            <v>14.954849876097585</v>
          </cell>
        </row>
        <row r="17">
          <cell r="X17">
            <v>15.077905181933074</v>
          </cell>
        </row>
        <row r="18">
          <cell r="X18">
            <v>14.334527796674967</v>
          </cell>
        </row>
        <row r="19">
          <cell r="X19">
            <v>13.142198420880435</v>
          </cell>
        </row>
        <row r="20">
          <cell r="X20">
            <v>13.286716501876914</v>
          </cell>
        </row>
        <row r="21">
          <cell r="X21">
            <v>12.724976077488089</v>
          </cell>
        </row>
        <row r="22">
          <cell r="X22">
            <v>12.521703926535352</v>
          </cell>
        </row>
        <row r="23">
          <cell r="X23">
            <v>12.981167242919881</v>
          </cell>
        </row>
        <row r="24">
          <cell r="X24">
            <v>12.811660801013415</v>
          </cell>
        </row>
      </sheetData>
      <sheetData sheetId="51"/>
      <sheetData sheetId="52">
        <row r="10">
          <cell r="X10">
            <v>15.926613410197245</v>
          </cell>
        </row>
        <row r="16">
          <cell r="X16">
            <v>14.657223998883453</v>
          </cell>
        </row>
        <row r="17">
          <cell r="X17">
            <v>14.410739113372379</v>
          </cell>
        </row>
        <row r="18">
          <cell r="X18">
            <v>14.189385612512149</v>
          </cell>
        </row>
        <row r="19">
          <cell r="X19">
            <v>13.897301289067114</v>
          </cell>
        </row>
        <row r="20">
          <cell r="X20">
            <v>13.899898578338696</v>
          </cell>
        </row>
        <row r="21">
          <cell r="X21">
            <v>13.728276148446534</v>
          </cell>
        </row>
        <row r="22">
          <cell r="X22">
            <v>13.704884031679409</v>
          </cell>
        </row>
        <row r="23">
          <cell r="X23">
            <v>14.195128536454149</v>
          </cell>
        </row>
        <row r="24">
          <cell r="X24">
            <v>13.96575317232802</v>
          </cell>
        </row>
      </sheetData>
      <sheetData sheetId="53"/>
      <sheetData sheetId="54">
        <row r="10">
          <cell r="X10">
            <v>13.041258393601071</v>
          </cell>
        </row>
        <row r="16">
          <cell r="X16">
            <v>13.839727154848207</v>
          </cell>
        </row>
        <row r="17">
          <cell r="X17">
            <v>13.754189047103269</v>
          </cell>
        </row>
        <row r="18">
          <cell r="X18">
            <v>13.452140280099435</v>
          </cell>
        </row>
        <row r="19">
          <cell r="X19">
            <v>14.038151108376152</v>
          </cell>
        </row>
        <row r="20">
          <cell r="X20">
            <v>13.785219612681109</v>
          </cell>
        </row>
        <row r="21">
          <cell r="X21">
            <v>13.897040579354533</v>
          </cell>
        </row>
        <row r="22">
          <cell r="X22">
            <v>14.19823710176783</v>
          </cell>
        </row>
        <row r="23">
          <cell r="X23">
            <v>13.977020635561654</v>
          </cell>
        </row>
        <row r="24">
          <cell r="X24">
            <v>13.173888984410977</v>
          </cell>
        </row>
      </sheetData>
      <sheetData sheetId="55"/>
      <sheetData sheetId="56">
        <row r="10">
          <cell r="X10">
            <v>12.069045867166148</v>
          </cell>
        </row>
        <row r="16">
          <cell r="X16">
            <v>13.03022146510018</v>
          </cell>
        </row>
        <row r="17">
          <cell r="X17">
            <v>13.208840522526529</v>
          </cell>
        </row>
        <row r="18">
          <cell r="X18">
            <v>13.784469925485773</v>
          </cell>
        </row>
        <row r="19">
          <cell r="X19">
            <v>14.400855572664895</v>
          </cell>
        </row>
        <row r="20">
          <cell r="X20">
            <v>14.010835905866973</v>
          </cell>
        </row>
        <row r="21">
          <cell r="X21">
            <v>14.87583030592776</v>
          </cell>
        </row>
        <row r="22">
          <cell r="X22">
            <v>15.550573250630537</v>
          </cell>
        </row>
        <row r="23">
          <cell r="X23">
            <v>15.357504167028047</v>
          </cell>
        </row>
        <row r="24">
          <cell r="X24">
            <v>14.529725942995237</v>
          </cell>
        </row>
      </sheetData>
      <sheetData sheetId="57"/>
      <sheetData sheetId="58">
        <row r="10">
          <cell r="X10">
            <v>13.861536935831577</v>
          </cell>
        </row>
        <row r="16">
          <cell r="X16">
            <v>15.36875716884391</v>
          </cell>
        </row>
        <row r="17">
          <cell r="X17">
            <v>15.241145021112228</v>
          </cell>
        </row>
        <row r="18">
          <cell r="X18">
            <v>15.062346447928276</v>
          </cell>
        </row>
        <row r="19">
          <cell r="X19">
            <v>13.890832893958123</v>
          </cell>
        </row>
        <row r="20">
          <cell r="X20">
            <v>14.378006446398739</v>
          </cell>
        </row>
        <row r="21">
          <cell r="X21">
            <v>15.13588681006946</v>
          </cell>
        </row>
        <row r="22">
          <cell r="X22">
            <v>14.800927771464675</v>
          </cell>
        </row>
        <row r="23">
          <cell r="X23">
            <v>14.783032871303755</v>
          </cell>
        </row>
        <row r="24">
          <cell r="X24">
            <v>15.044002473151236</v>
          </cell>
        </row>
      </sheetData>
      <sheetData sheetId="59"/>
      <sheetData sheetId="60">
        <row r="10">
          <cell r="X10">
            <v>17.004178952057423</v>
          </cell>
        </row>
        <row r="16">
          <cell r="X16">
            <v>15.713423938906322</v>
          </cell>
        </row>
        <row r="17">
          <cell r="X17">
            <v>14.846023648413814</v>
          </cell>
        </row>
        <row r="18">
          <cell r="X18">
            <v>15.302295810446568</v>
          </cell>
        </row>
        <row r="19">
          <cell r="X19">
            <v>15.834446636288254</v>
          </cell>
        </row>
        <row r="20">
          <cell r="X20">
            <v>15.534494852368715</v>
          </cell>
        </row>
        <row r="21">
          <cell r="X21">
            <v>16.138995541417067</v>
          </cell>
        </row>
        <row r="22">
          <cell r="X22">
            <v>16.023464540859777</v>
          </cell>
        </row>
        <row r="23">
          <cell r="X23">
            <v>17.990848595719687</v>
          </cell>
        </row>
        <row r="24">
          <cell r="X24">
            <v>19.034974231461533</v>
          </cell>
        </row>
      </sheetData>
      <sheetData sheetId="61"/>
      <sheetData sheetId="62">
        <row r="10">
          <cell r="X10">
            <v>16.839265483165196</v>
          </cell>
        </row>
        <row r="16">
          <cell r="X16">
            <v>16.885587818979218</v>
          </cell>
        </row>
        <row r="17">
          <cell r="X17">
            <v>16.764285212672718</v>
          </cell>
        </row>
        <row r="18">
          <cell r="X18">
            <v>17.137867409500899</v>
          </cell>
        </row>
        <row r="19">
          <cell r="X19">
            <v>17.280361069834321</v>
          </cell>
        </row>
        <row r="20">
          <cell r="X20">
            <v>15.652871560138946</v>
          </cell>
        </row>
        <row r="21">
          <cell r="X21">
            <v>15.264899640380335</v>
          </cell>
        </row>
        <row r="22">
          <cell r="X22">
            <v>15.460994189721516</v>
          </cell>
        </row>
        <row r="23">
          <cell r="X23">
            <v>15.161930927197107</v>
          </cell>
        </row>
        <row r="24">
          <cell r="X24">
            <v>15.007623021322377</v>
          </cell>
        </row>
      </sheetData>
      <sheetData sheetId="63"/>
      <sheetData sheetId="64">
        <row r="10">
          <cell r="X10">
            <v>17.275330401087491</v>
          </cell>
        </row>
        <row r="16">
          <cell r="X16">
            <v>18.722174900740708</v>
          </cell>
        </row>
        <row r="17">
          <cell r="X17">
            <v>18.516262247317929</v>
          </cell>
        </row>
        <row r="18">
          <cell r="X18">
            <v>18.15612938400794</v>
          </cell>
        </row>
        <row r="19">
          <cell r="X19">
            <v>18.244011742464949</v>
          </cell>
        </row>
        <row r="20">
          <cell r="X20">
            <v>16.713667582032617</v>
          </cell>
        </row>
        <row r="21">
          <cell r="X21">
            <v>17.667269695817467</v>
          </cell>
        </row>
        <row r="22">
          <cell r="X22">
            <v>17.609094220810881</v>
          </cell>
        </row>
        <row r="23">
          <cell r="X23">
            <v>16.766408427161782</v>
          </cell>
        </row>
        <row r="24">
          <cell r="X24">
            <v>15.535828205438362</v>
          </cell>
        </row>
      </sheetData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</sheetDataSet>
  </externalBook>
</externalLink>
</file>

<file path=xl/externalLinks/externalLink11.xml><?xml version="1.0" encoding="utf-8"?>
<externalLink xmlns="http://schemas.openxmlformats.org/spreadsheetml/2006/main">
  <externalBook xmlns:r="http://schemas.openxmlformats.org/officeDocument/2006/relationships" r:id="rId1">
    <sheetNames>
      <sheetName val="Ponto de Orvalho"/>
      <sheetName val="Bulbo Umido"/>
      <sheetName val="Verificações"/>
      <sheetName val="Dia 1 (a)"/>
      <sheetName val="Dia 1 (b)"/>
      <sheetName val="Dia 2 (a)"/>
      <sheetName val="Dia 2 (b)"/>
      <sheetName val="Dia 3 (a)"/>
      <sheetName val="Dia 3 (b)"/>
      <sheetName val="Dia 4 (a)"/>
      <sheetName val="Dia 4 (b)"/>
      <sheetName val="Dia 5 (a)"/>
      <sheetName val="Dia 5 (b)"/>
      <sheetName val="Dia 6 (a)"/>
      <sheetName val="Dia 6 (b)"/>
      <sheetName val="Dia 7 (a)"/>
      <sheetName val="Dia 7 (b)"/>
      <sheetName val="Dia 8 (a)"/>
      <sheetName val="Dia 8 (b)"/>
      <sheetName val="Dia 9 (a)"/>
      <sheetName val="Dia 9 (b)"/>
      <sheetName val="Dia 10 (a)"/>
      <sheetName val="Dia 10 (b)"/>
      <sheetName val="Dia 11 (a)"/>
      <sheetName val="Dia 11 (b)"/>
      <sheetName val="Dia 12 (a)"/>
      <sheetName val="Dia 12 (b)"/>
      <sheetName val="Dia 13 (a)"/>
      <sheetName val="Dia 13 (b)"/>
      <sheetName val="Dia 14 (a)"/>
      <sheetName val="Dia 14 (b)"/>
      <sheetName val="Dia 15 (a)"/>
      <sheetName val="Dia 15 (b)"/>
      <sheetName val="Dia 16 (a)"/>
      <sheetName val="Dia 16 (b)"/>
      <sheetName val="Dia 17 (a)"/>
      <sheetName val="Dia 17 (b)"/>
      <sheetName val="Dia 18 (a)"/>
      <sheetName val="Dia 18 (b)"/>
      <sheetName val="Dia 19 (a)"/>
      <sheetName val="Dia 19 (b)"/>
      <sheetName val="Dia 20 (a)"/>
      <sheetName val="Dia 20 (b)"/>
      <sheetName val="Dia 21 (a)"/>
      <sheetName val="Dia 21 (b)"/>
      <sheetName val="Dia 22 (a)"/>
      <sheetName val="Dia 22 (b)"/>
      <sheetName val="Dia 23 (a)"/>
      <sheetName val="Dia 23 (b)"/>
      <sheetName val="Dia 24 (a)"/>
      <sheetName val="Dia 24 (b)"/>
      <sheetName val="Dia 25 (a)"/>
      <sheetName val="Dia 25 (b)"/>
      <sheetName val="Dia 26 (a)"/>
      <sheetName val="Dia 26 (b)"/>
      <sheetName val="Dia 27 (a)"/>
      <sheetName val="Dia 27 (b)"/>
      <sheetName val="Dia 28 (a)"/>
      <sheetName val="Dia 28 (b)"/>
      <sheetName val="Dia 29 (a)"/>
      <sheetName val="Dia 29 (b)"/>
      <sheetName val="Dia 30 (a)"/>
      <sheetName val="Dia 30 (b)"/>
      <sheetName val="Dia 31 (a)"/>
      <sheetName val="Dia 31 (b)"/>
      <sheetName val="Visibilidade"/>
      <sheetName val="Tipo-Nuvens Baixas"/>
      <sheetName val="Quant.-Nuvens Baixas"/>
      <sheetName val="Tipo-Nuvens Médias"/>
      <sheetName val="Quant.-Nuvens Médias"/>
      <sheetName val="Tipo-Nuvens Altas"/>
      <sheetName val="Quant.-Nuvens Altas"/>
      <sheetName val="Cobertura Total"/>
      <sheetName val="Barôm. a Grav. Normal (hPa=mb)"/>
      <sheetName val="Term. Seco (C)"/>
      <sheetName val="Umid. Relat. (%)"/>
      <sheetName val="Umid. Específica (g.kg-1)"/>
      <sheetName val="Temp. Superf. (C)"/>
      <sheetName val="Temp. 5 cm (C)"/>
      <sheetName val="Temp. 10 cm (C)"/>
      <sheetName val="Temp. 20 cm (C)"/>
      <sheetName val="Temp. 30 cm (C)"/>
      <sheetName val="Temp. 40 cm (C)"/>
      <sheetName val="Temp. Máx. e Mín. (C)"/>
      <sheetName val="Precipitação e Evaporação (mm)"/>
      <sheetName val="INMET"/>
      <sheetName val="Fenomenos Diversos"/>
    </sheetNames>
    <sheetDataSet>
      <sheetData sheetId="0"/>
      <sheetData sheetId="1"/>
      <sheetData sheetId="2"/>
      <sheetData sheetId="3"/>
      <sheetData sheetId="4">
        <row r="1">
          <cell r="C1" t="str">
            <v>NOVEMBRO de 2023</v>
          </cell>
        </row>
        <row r="16">
          <cell r="X16">
            <v>13.265627392233394</v>
          </cell>
        </row>
        <row r="17">
          <cell r="X17">
            <v>13.659549768276475</v>
          </cell>
        </row>
        <row r="18">
          <cell r="X18">
            <v>13.31507516563175</v>
          </cell>
        </row>
        <row r="19">
          <cell r="X19">
            <v>13.284702599783031</v>
          </cell>
        </row>
        <row r="20">
          <cell r="X20">
            <v>13.57654819646462</v>
          </cell>
        </row>
        <row r="21">
          <cell r="X21">
            <v>13.791845963048232</v>
          </cell>
        </row>
        <row r="22">
          <cell r="X22">
            <v>13.766898797088119</v>
          </cell>
        </row>
        <row r="23">
          <cell r="X23">
            <v>13.610685140385494</v>
          </cell>
        </row>
        <row r="24">
          <cell r="X24">
            <v>13.494582666617571</v>
          </cell>
        </row>
      </sheetData>
      <sheetData sheetId="5"/>
      <sheetData sheetId="6">
        <row r="10">
          <cell r="X10">
            <v>12.310699842498709</v>
          </cell>
        </row>
        <row r="16">
          <cell r="X16">
            <v>11.928298365640895</v>
          </cell>
        </row>
        <row r="17">
          <cell r="X17">
            <v>11.998609386724846</v>
          </cell>
        </row>
        <row r="18">
          <cell r="X18">
            <v>11.94277597099976</v>
          </cell>
        </row>
        <row r="19">
          <cell r="X19">
            <v>12.361398193345149</v>
          </cell>
        </row>
        <row r="20">
          <cell r="X20">
            <v>12.038544423025778</v>
          </cell>
        </row>
        <row r="21">
          <cell r="X21">
            <v>12.208414777882131</v>
          </cell>
        </row>
        <row r="22">
          <cell r="X22">
            <v>12.731756470291151</v>
          </cell>
        </row>
        <row r="23">
          <cell r="X23">
            <v>12.613132913661101</v>
          </cell>
        </row>
        <row r="24">
          <cell r="X24">
            <v>12.959984959810672</v>
          </cell>
        </row>
      </sheetData>
      <sheetData sheetId="7"/>
      <sheetData sheetId="8">
        <row r="10">
          <cell r="X10">
            <v>13.131704006102144</v>
          </cell>
        </row>
        <row r="16">
          <cell r="X16">
            <v>14.5162051241994</v>
          </cell>
        </row>
        <row r="17">
          <cell r="X17">
            <v>15.148874987668467</v>
          </cell>
        </row>
        <row r="18">
          <cell r="X18">
            <v>15.159823622734226</v>
          </cell>
        </row>
        <row r="19">
          <cell r="X19">
            <v>15.65915801606535</v>
          </cell>
        </row>
        <row r="20">
          <cell r="X20">
            <v>14.874879895821152</v>
          </cell>
        </row>
        <row r="21">
          <cell r="X21">
            <v>15.338706910130718</v>
          </cell>
        </row>
        <row r="22">
          <cell r="X22">
            <v>15.434144337072707</v>
          </cell>
        </row>
        <row r="23">
          <cell r="X23">
            <v>16.471901869066354</v>
          </cell>
        </row>
        <row r="24">
          <cell r="X24">
            <v>17.232724466114615</v>
          </cell>
        </row>
      </sheetData>
      <sheetData sheetId="9"/>
      <sheetData sheetId="10">
        <row r="10">
          <cell r="X10">
            <v>15.468855845609568</v>
          </cell>
        </row>
        <row r="16">
          <cell r="X16">
            <v>13.101742711357405</v>
          </cell>
        </row>
        <row r="17">
          <cell r="X17">
            <v>13.3142533558201</v>
          </cell>
        </row>
        <row r="18">
          <cell r="X18">
            <v>12.299368574677365</v>
          </cell>
        </row>
        <row r="19">
          <cell r="X19">
            <v>11.571145151759145</v>
          </cell>
        </row>
        <row r="20">
          <cell r="X20">
            <v>11.368157116175462</v>
          </cell>
        </row>
        <row r="21">
          <cell r="X21">
            <v>9.750769942141627</v>
          </cell>
        </row>
        <row r="22">
          <cell r="X22">
            <v>9.6312432594892794</v>
          </cell>
        </row>
        <row r="23">
          <cell r="X23">
            <v>8.884607395137424</v>
          </cell>
        </row>
        <row r="24">
          <cell r="X24">
            <v>7.3978137317438026</v>
          </cell>
        </row>
      </sheetData>
      <sheetData sheetId="11"/>
      <sheetData sheetId="12">
        <row r="10">
          <cell r="X10">
            <v>11.602016769830959</v>
          </cell>
        </row>
        <row r="16">
          <cell r="X16">
            <v>8.7809212137515438</v>
          </cell>
        </row>
        <row r="17">
          <cell r="X17">
            <v>9.1601354594900464</v>
          </cell>
        </row>
        <row r="18">
          <cell r="X18">
            <v>9.1364511450770021</v>
          </cell>
        </row>
        <row r="19">
          <cell r="X19">
            <v>8.7185482041942883</v>
          </cell>
        </row>
        <row r="20">
          <cell r="X20">
            <v>9.1763787259462575</v>
          </cell>
        </row>
        <row r="21">
          <cell r="X21">
            <v>9.7849202120664494</v>
          </cell>
        </row>
        <row r="22">
          <cell r="X22">
            <v>10.090080772340185</v>
          </cell>
        </row>
        <row r="23">
          <cell r="X23">
            <v>10.312711373997653</v>
          </cell>
        </row>
        <row r="24">
          <cell r="X24">
            <v>10.205944185496016</v>
          </cell>
        </row>
      </sheetData>
      <sheetData sheetId="13"/>
      <sheetData sheetId="14">
        <row r="10">
          <cell r="X10">
            <v>8.9647822410698428</v>
          </cell>
        </row>
        <row r="16">
          <cell r="X16">
            <v>8.0780329856670541</v>
          </cell>
        </row>
        <row r="17">
          <cell r="X17">
            <v>7.8273804126561997</v>
          </cell>
        </row>
        <row r="18">
          <cell r="X18">
            <v>7.8815643960246149</v>
          </cell>
        </row>
        <row r="19">
          <cell r="X19">
            <v>8.4657536359996826</v>
          </cell>
        </row>
        <row r="20">
          <cell r="X20">
            <v>8.7079579642097347</v>
          </cell>
        </row>
        <row r="21">
          <cell r="X21">
            <v>9.62793228709101</v>
          </cell>
        </row>
        <row r="22">
          <cell r="X22">
            <v>10.356729749112695</v>
          </cell>
        </row>
        <row r="23">
          <cell r="X23">
            <v>9.9553422816463026</v>
          </cell>
        </row>
        <row r="24">
          <cell r="X24">
            <v>10.416738518639516</v>
          </cell>
        </row>
      </sheetData>
      <sheetData sheetId="15"/>
      <sheetData sheetId="16">
        <row r="10">
          <cell r="X10">
            <v>-11.252193189939151</v>
          </cell>
        </row>
        <row r="16">
          <cell r="X16">
            <v>9.9127605228752298</v>
          </cell>
        </row>
        <row r="17">
          <cell r="X17">
            <v>10.109169288518673</v>
          </cell>
        </row>
        <row r="18">
          <cell r="X18">
            <v>9.9464561810586645</v>
          </cell>
        </row>
        <row r="19">
          <cell r="X19">
            <v>10.36589327198449</v>
          </cell>
        </row>
        <row r="20">
          <cell r="X20">
            <v>10.52175708982432</v>
          </cell>
        </row>
        <row r="21">
          <cell r="X21">
            <v>10.517712605621881</v>
          </cell>
        </row>
        <row r="22">
          <cell r="X22">
            <v>9.7747542538134233</v>
          </cell>
        </row>
        <row r="23">
          <cell r="X23">
            <v>11.185614912718558</v>
          </cell>
        </row>
        <row r="24">
          <cell r="X24">
            <v>11.41228637800109</v>
          </cell>
        </row>
      </sheetData>
      <sheetData sheetId="17"/>
      <sheetData sheetId="18">
        <row r="10">
          <cell r="X10">
            <v>-10.224507788692897</v>
          </cell>
        </row>
        <row r="16">
          <cell r="X16">
            <v>10.955448030831967</v>
          </cell>
        </row>
        <row r="17">
          <cell r="X17">
            <v>10.913645746106605</v>
          </cell>
        </row>
        <row r="18">
          <cell r="X18">
            <v>10.947913586584781</v>
          </cell>
        </row>
        <row r="19">
          <cell r="X19">
            <v>10.574220719443499</v>
          </cell>
        </row>
        <row r="20">
          <cell r="X20">
            <v>10.479880080144108</v>
          </cell>
        </row>
        <row r="21">
          <cell r="X21">
            <v>9.7426242209394438</v>
          </cell>
        </row>
        <row r="22">
          <cell r="X22">
            <v>9.5867962930667527</v>
          </cell>
        </row>
        <row r="23">
          <cell r="X23">
            <v>8.3459895943502573</v>
          </cell>
        </row>
        <row r="24">
          <cell r="X24">
            <v>8.6196676136065289</v>
          </cell>
        </row>
      </sheetData>
      <sheetData sheetId="19"/>
      <sheetData sheetId="20">
        <row r="10">
          <cell r="X10">
            <v>10.343545911430533</v>
          </cell>
        </row>
        <row r="16">
          <cell r="X16">
            <v>11.598628773065091</v>
          </cell>
        </row>
        <row r="17">
          <cell r="X17">
            <v>11.226854369285226</v>
          </cell>
        </row>
        <row r="18">
          <cell r="X18">
            <v>11.024115678262934</v>
          </cell>
        </row>
        <row r="19">
          <cell r="X19">
            <v>10.508345082809539</v>
          </cell>
        </row>
        <row r="20">
          <cell r="X20">
            <v>10.837744273272623</v>
          </cell>
        </row>
        <row r="21">
          <cell r="X21">
            <v>12.260816796393245</v>
          </cell>
        </row>
        <row r="22">
          <cell r="X22">
            <v>11.962940924022822</v>
          </cell>
        </row>
        <row r="23">
          <cell r="X23">
            <v>12.680845974074771</v>
          </cell>
        </row>
        <row r="24">
          <cell r="X24">
            <v>12.745052154889656</v>
          </cell>
        </row>
      </sheetData>
      <sheetData sheetId="21"/>
      <sheetData sheetId="22">
        <row r="10">
          <cell r="X10">
            <v>13.395337911330568</v>
          </cell>
        </row>
        <row r="16">
          <cell r="X16">
            <v>13.566972599194177</v>
          </cell>
        </row>
        <row r="17">
          <cell r="X17">
            <v>13.022109100919149</v>
          </cell>
        </row>
        <row r="18">
          <cell r="X18">
            <v>11.653481814008877</v>
          </cell>
        </row>
        <row r="19">
          <cell r="X19">
            <v>12.662477858051684</v>
          </cell>
        </row>
        <row r="20">
          <cell r="X20">
            <v>12.97863580759569</v>
          </cell>
        </row>
        <row r="21">
          <cell r="X21">
            <v>13.045188779154001</v>
          </cell>
        </row>
        <row r="22">
          <cell r="X22">
            <v>16.775287038656092</v>
          </cell>
        </row>
        <row r="23">
          <cell r="X23">
            <v>16.46707127433957</v>
          </cell>
        </row>
        <row r="24">
          <cell r="X24">
            <v>15.911819596520642</v>
          </cell>
        </row>
      </sheetData>
      <sheetData sheetId="23"/>
      <sheetData sheetId="24">
        <row r="10">
          <cell r="X10">
            <v>14.607535691946616</v>
          </cell>
        </row>
        <row r="16">
          <cell r="X16">
            <v>15.062683889551236</v>
          </cell>
        </row>
        <row r="17">
          <cell r="X17">
            <v>15.230442143648899</v>
          </cell>
        </row>
        <row r="18">
          <cell r="X18">
            <v>14.163339720091564</v>
          </cell>
        </row>
        <row r="19">
          <cell r="X19">
            <v>13.306173789026573</v>
          </cell>
        </row>
        <row r="20">
          <cell r="X20">
            <v>10.896571695503868</v>
          </cell>
        </row>
        <row r="21">
          <cell r="X21">
            <v>10.61161252561774</v>
          </cell>
        </row>
        <row r="22">
          <cell r="X22">
            <v>10.023160673274395</v>
          </cell>
        </row>
        <row r="23">
          <cell r="X23">
            <v>10.764552472849822</v>
          </cell>
        </row>
        <row r="24">
          <cell r="X24">
            <v>11.291716214789625</v>
          </cell>
        </row>
      </sheetData>
      <sheetData sheetId="25"/>
      <sheetData sheetId="26">
        <row r="10">
          <cell r="X10">
            <v>13.762658676910204</v>
          </cell>
        </row>
        <row r="16">
          <cell r="X16">
            <v>16.835135341761283</v>
          </cell>
        </row>
        <row r="17">
          <cell r="X17">
            <v>16.191029466105199</v>
          </cell>
        </row>
        <row r="18">
          <cell r="X18">
            <v>11.795845790241147</v>
          </cell>
        </row>
        <row r="19">
          <cell r="X19">
            <v>10.99694980603886</v>
          </cell>
        </row>
        <row r="20">
          <cell r="X20">
            <v>10.44266086566954</v>
          </cell>
        </row>
        <row r="21">
          <cell r="X21">
            <v>9.5970253477411696</v>
          </cell>
        </row>
        <row r="22">
          <cell r="X22">
            <v>10.071237706496605</v>
          </cell>
        </row>
        <row r="23">
          <cell r="X23">
            <v>8.9150309175169085</v>
          </cell>
        </row>
        <row r="24">
          <cell r="X24">
            <v>9.310103513304675</v>
          </cell>
        </row>
      </sheetData>
      <sheetData sheetId="27"/>
      <sheetData sheetId="28">
        <row r="10">
          <cell r="X10">
            <v>12.571097254572626</v>
          </cell>
        </row>
        <row r="16">
          <cell r="X16">
            <v>14.201097556426356</v>
          </cell>
        </row>
        <row r="17">
          <cell r="X17">
            <v>14.143301262629993</v>
          </cell>
        </row>
        <row r="18">
          <cell r="X18">
            <v>13.17630005372132</v>
          </cell>
        </row>
        <row r="19">
          <cell r="X19">
            <v>11.896600466713798</v>
          </cell>
        </row>
        <row r="20">
          <cell r="X20">
            <v>10.855755248040774</v>
          </cell>
        </row>
        <row r="21">
          <cell r="X21">
            <v>9.6670823994425295</v>
          </cell>
        </row>
        <row r="22">
          <cell r="X22">
            <v>9.0951955021317676</v>
          </cell>
        </row>
        <row r="23">
          <cell r="X23">
            <v>9.0401655540569088</v>
          </cell>
        </row>
        <row r="24">
          <cell r="X24">
            <v>8.79377196513882</v>
          </cell>
        </row>
      </sheetData>
      <sheetData sheetId="29"/>
      <sheetData sheetId="30">
        <row r="10">
          <cell r="X10">
            <v>17.958420695207376</v>
          </cell>
        </row>
        <row r="16">
          <cell r="X16">
            <v>15.677099471964507</v>
          </cell>
        </row>
        <row r="17">
          <cell r="X17">
            <v>15.658147724246403</v>
          </cell>
        </row>
        <row r="18">
          <cell r="X18">
            <v>15.379501992259094</v>
          </cell>
        </row>
        <row r="19">
          <cell r="X19">
            <v>13.945857204215629</v>
          </cell>
        </row>
        <row r="20">
          <cell r="X20">
            <v>12.253396274184281</v>
          </cell>
        </row>
        <row r="21">
          <cell r="X21">
            <v>10.83889644728959</v>
          </cell>
        </row>
        <row r="22">
          <cell r="X22">
            <v>10.748611426083389</v>
          </cell>
        </row>
        <row r="23">
          <cell r="X23">
            <v>10.113344143063511</v>
          </cell>
        </row>
        <row r="24">
          <cell r="X24">
            <v>18.600002673063209</v>
          </cell>
        </row>
      </sheetData>
      <sheetData sheetId="31"/>
      <sheetData sheetId="32">
        <row r="10">
          <cell r="X10">
            <v>16.764324156257761</v>
          </cell>
        </row>
        <row r="16">
          <cell r="X16">
            <v>16.548857258187152</v>
          </cell>
        </row>
        <row r="17">
          <cell r="X17">
            <v>16.199881450811933</v>
          </cell>
        </row>
        <row r="18">
          <cell r="X18">
            <v>16.735545048705362</v>
          </cell>
        </row>
        <row r="19">
          <cell r="X19">
            <v>16.636831831802244</v>
          </cell>
        </row>
        <row r="20">
          <cell r="X20">
            <v>16.061689588935643</v>
          </cell>
        </row>
        <row r="21">
          <cell r="X21">
            <v>15.794177111386327</v>
          </cell>
        </row>
        <row r="22">
          <cell r="X22">
            <v>14.215964235423929</v>
          </cell>
        </row>
        <row r="23">
          <cell r="X23">
            <v>13.391239066050497</v>
          </cell>
        </row>
        <row r="24">
          <cell r="X24">
            <v>13.163019749917042</v>
          </cell>
        </row>
      </sheetData>
      <sheetData sheetId="33"/>
      <sheetData sheetId="34">
        <row r="10">
          <cell r="X10">
            <v>16.016698246286243</v>
          </cell>
        </row>
        <row r="16">
          <cell r="X16">
            <v>15.888199102309029</v>
          </cell>
        </row>
        <row r="17">
          <cell r="X17">
            <v>14.485188284878843</v>
          </cell>
        </row>
        <row r="18">
          <cell r="X18">
            <v>14.6049162985199</v>
          </cell>
        </row>
        <row r="19">
          <cell r="X19">
            <v>13.557641917329208</v>
          </cell>
        </row>
        <row r="20">
          <cell r="X20">
            <v>12.782586984053712</v>
          </cell>
        </row>
        <row r="21">
          <cell r="X21">
            <v>13.951209335211493</v>
          </cell>
        </row>
        <row r="22">
          <cell r="X22">
            <v>13.442098167188817</v>
          </cell>
        </row>
        <row r="23">
          <cell r="X23">
            <v>13.214412314085575</v>
          </cell>
        </row>
        <row r="24">
          <cell r="X24">
            <v>13.540568820125198</v>
          </cell>
        </row>
      </sheetData>
      <sheetData sheetId="35"/>
      <sheetData sheetId="36">
        <row r="10">
          <cell r="X10">
            <v>16.233966322428529</v>
          </cell>
        </row>
        <row r="16">
          <cell r="X16">
            <v>15.025281260758746</v>
          </cell>
        </row>
        <row r="17">
          <cell r="X17">
            <v>15.613200400115133</v>
          </cell>
        </row>
        <row r="18">
          <cell r="X18">
            <v>15.477384159984265</v>
          </cell>
        </row>
        <row r="19">
          <cell r="X19">
            <v>15.527742988357636</v>
          </cell>
        </row>
        <row r="20">
          <cell r="X20">
            <v>14.90692133520546</v>
          </cell>
        </row>
        <row r="21">
          <cell r="X21">
            <v>13.800724708070076</v>
          </cell>
        </row>
        <row r="22">
          <cell r="X22">
            <v>14.048783837944491</v>
          </cell>
        </row>
        <row r="23">
          <cell r="X23">
            <v>13.183608792223289</v>
          </cell>
        </row>
        <row r="24">
          <cell r="X24">
            <v>12.869267076930637</v>
          </cell>
        </row>
      </sheetData>
      <sheetData sheetId="37"/>
      <sheetData sheetId="38">
        <row r="10">
          <cell r="X10">
            <v>20.785905782459402</v>
          </cell>
        </row>
        <row r="16">
          <cell r="X16">
            <v>15.75075513357446</v>
          </cell>
        </row>
        <row r="17">
          <cell r="X17">
            <v>14.939424309893983</v>
          </cell>
        </row>
        <row r="18">
          <cell r="X18">
            <v>15.289057081139461</v>
          </cell>
        </row>
        <row r="19">
          <cell r="X19">
            <v>15.229138975464895</v>
          </cell>
        </row>
        <row r="20">
          <cell r="X20">
            <v>16.169532855248008</v>
          </cell>
        </row>
        <row r="21">
          <cell r="X21">
            <v>15.563411542963344</v>
          </cell>
        </row>
        <row r="22">
          <cell r="X22">
            <v>16.081324866102964</v>
          </cell>
        </row>
        <row r="23">
          <cell r="X23">
            <v>15.7915373560547</v>
          </cell>
        </row>
        <row r="24">
          <cell r="X24">
            <v>14.917826520537712</v>
          </cell>
        </row>
      </sheetData>
      <sheetData sheetId="39"/>
      <sheetData sheetId="40">
        <row r="10">
          <cell r="X10">
            <v>18.051935570717738</v>
          </cell>
        </row>
        <row r="16">
          <cell r="X16">
            <v>16.697198483877507</v>
          </cell>
        </row>
        <row r="17">
          <cell r="X17">
            <v>16.683265878108518</v>
          </cell>
        </row>
        <row r="18">
          <cell r="X18">
            <v>16.042106024483477</v>
          </cell>
        </row>
        <row r="19">
          <cell r="X19">
            <v>15.787359910043266</v>
          </cell>
        </row>
        <row r="20">
          <cell r="X20">
            <v>15.126306502707585</v>
          </cell>
        </row>
        <row r="21">
          <cell r="X21">
            <v>14.824538384445482</v>
          </cell>
        </row>
        <row r="22">
          <cell r="X22">
            <v>15.119341000493687</v>
          </cell>
        </row>
        <row r="23">
          <cell r="X23">
            <v>15.411187833921728</v>
          </cell>
        </row>
        <row r="24">
          <cell r="X24">
            <v>15.129073435080656</v>
          </cell>
        </row>
      </sheetData>
      <sheetData sheetId="41"/>
      <sheetData sheetId="42">
        <row r="10">
          <cell r="X10">
            <v>14.952973406634113</v>
          </cell>
        </row>
        <row r="16">
          <cell r="X16">
            <v>14.554002210942166</v>
          </cell>
        </row>
        <row r="17">
          <cell r="X17">
            <v>15.053334245564804</v>
          </cell>
        </row>
        <row r="18">
          <cell r="X18">
            <v>15.075109090890125</v>
          </cell>
        </row>
        <row r="19">
          <cell r="X19">
            <v>15.417005648370717</v>
          </cell>
        </row>
        <row r="20">
          <cell r="X20">
            <v>15.278644838857156</v>
          </cell>
        </row>
        <row r="21">
          <cell r="X21">
            <v>15.516784357185452</v>
          </cell>
        </row>
        <row r="22">
          <cell r="X22">
            <v>14.983326361908542</v>
          </cell>
        </row>
        <row r="23">
          <cell r="X23">
            <v>15.022009387105946</v>
          </cell>
        </row>
        <row r="24">
          <cell r="X24">
            <v>15.028638966138836</v>
          </cell>
        </row>
      </sheetData>
      <sheetData sheetId="43"/>
      <sheetData sheetId="44">
        <row r="10">
          <cell r="X10">
            <v>14.721043569489392</v>
          </cell>
        </row>
        <row r="16">
          <cell r="X16">
            <v>15.064099808030512</v>
          </cell>
        </row>
        <row r="17">
          <cell r="X17">
            <v>15.203834275572991</v>
          </cell>
        </row>
        <row r="18">
          <cell r="X18">
            <v>15.143725060235116</v>
          </cell>
        </row>
        <row r="19">
          <cell r="X19">
            <v>15.342249639980045</v>
          </cell>
        </row>
        <row r="20">
          <cell r="X20">
            <v>15.860628111927978</v>
          </cell>
        </row>
        <row r="21">
          <cell r="X21">
            <v>15.469638697754803</v>
          </cell>
        </row>
        <row r="22">
          <cell r="X22">
            <v>15.387776039783054</v>
          </cell>
        </row>
        <row r="23">
          <cell r="X23">
            <v>15.062432945435431</v>
          </cell>
        </row>
        <row r="24">
          <cell r="X24">
            <v>17.556573789847114</v>
          </cell>
        </row>
      </sheetData>
      <sheetData sheetId="45"/>
      <sheetData sheetId="46">
        <row r="10">
          <cell r="X10">
            <v>16.174538263418064</v>
          </cell>
        </row>
        <row r="16">
          <cell r="X16">
            <v>16.60521334765313</v>
          </cell>
        </row>
        <row r="17">
          <cell r="X17">
            <v>16.706735967310021</v>
          </cell>
        </row>
        <row r="18">
          <cell r="X18">
            <v>16.645914335615686</v>
          </cell>
        </row>
        <row r="19">
          <cell r="X19">
            <v>16.189501894568796</v>
          </cell>
        </row>
        <row r="20">
          <cell r="X20">
            <v>15.789439567272201</v>
          </cell>
        </row>
        <row r="21">
          <cell r="X21">
            <v>16.050450161895139</v>
          </cell>
        </row>
        <row r="22">
          <cell r="X22">
            <v>15.523664047714783</v>
          </cell>
        </row>
        <row r="23">
          <cell r="X23">
            <v>15.897191913371049</v>
          </cell>
        </row>
        <row r="24">
          <cell r="X24">
            <v>17.021382639032957</v>
          </cell>
        </row>
      </sheetData>
      <sheetData sheetId="47"/>
      <sheetData sheetId="48">
        <row r="10">
          <cell r="X10">
            <v>15.331266722894751</v>
          </cell>
        </row>
        <row r="16">
          <cell r="X16">
            <v>16.446589842874946</v>
          </cell>
        </row>
        <row r="17">
          <cell r="X17">
            <v>16.328706264017562</v>
          </cell>
        </row>
        <row r="18">
          <cell r="X18">
            <v>16.913628436611592</v>
          </cell>
        </row>
        <row r="19">
          <cell r="X19">
            <v>18.082868287730914</v>
          </cell>
        </row>
        <row r="20">
          <cell r="X20">
            <v>17.495893342157199</v>
          </cell>
        </row>
        <row r="21">
          <cell r="X21">
            <v>16.591659955046612</v>
          </cell>
        </row>
        <row r="22">
          <cell r="X22">
            <v>15.654538762660852</v>
          </cell>
        </row>
        <row r="23">
          <cell r="X23">
            <v>15.186106599552756</v>
          </cell>
        </row>
        <row r="24">
          <cell r="X24">
            <v>17.526976948474964</v>
          </cell>
        </row>
      </sheetData>
      <sheetData sheetId="49"/>
      <sheetData sheetId="50">
        <row r="10">
          <cell r="X10">
            <v>15.757716498514366</v>
          </cell>
        </row>
        <row r="16">
          <cell r="X16">
            <v>14.028875788055156</v>
          </cell>
        </row>
        <row r="17">
          <cell r="X17">
            <v>13.974988472051756</v>
          </cell>
        </row>
        <row r="18">
          <cell r="X18">
            <v>13.529466571684223</v>
          </cell>
        </row>
        <row r="19">
          <cell r="X19">
            <v>13.73737570469765</v>
          </cell>
        </row>
        <row r="20">
          <cell r="X20">
            <v>13.000188380491716</v>
          </cell>
        </row>
        <row r="21">
          <cell r="X21">
            <v>13.128447152433139</v>
          </cell>
        </row>
        <row r="22">
          <cell r="X22">
            <v>12.711198311834952</v>
          </cell>
        </row>
        <row r="23">
          <cell r="X23">
            <v>11.660102572599481</v>
          </cell>
        </row>
        <row r="24">
          <cell r="X24">
            <v>10.551313220442792</v>
          </cell>
        </row>
      </sheetData>
      <sheetData sheetId="51"/>
      <sheetData sheetId="52">
        <row r="10">
          <cell r="X10">
            <v>9.4018549557831861</v>
          </cell>
        </row>
        <row r="16">
          <cell r="X16">
            <v>10.131706171610166</v>
          </cell>
        </row>
        <row r="17">
          <cell r="X17">
            <v>10.336664190595583</v>
          </cell>
        </row>
        <row r="18">
          <cell r="X18">
            <v>11.033413264993071</v>
          </cell>
        </row>
        <row r="19">
          <cell r="X19">
            <v>10.707981338567009</v>
          </cell>
        </row>
        <row r="20">
          <cell r="X20">
            <v>11.00912506407664</v>
          </cell>
        </row>
        <row r="21">
          <cell r="X21">
            <v>11.723003494042928</v>
          </cell>
        </row>
        <row r="22">
          <cell r="X22">
            <v>10.727489818521004</v>
          </cell>
        </row>
        <row r="23">
          <cell r="X23">
            <v>11.305115389723357</v>
          </cell>
        </row>
        <row r="24">
          <cell r="X24">
            <v>11.615380267679413</v>
          </cell>
        </row>
      </sheetData>
      <sheetData sheetId="53"/>
      <sheetData sheetId="54">
        <row r="10">
          <cell r="X10">
            <v>10.678745478089143</v>
          </cell>
        </row>
        <row r="16">
          <cell r="X16">
            <v>11.53414584437491</v>
          </cell>
        </row>
        <row r="17">
          <cell r="X17">
            <v>11.551170789788708</v>
          </cell>
        </row>
        <row r="18">
          <cell r="X18">
            <v>11.615914057413914</v>
          </cell>
        </row>
        <row r="19">
          <cell r="X19">
            <v>11.782586431496293</v>
          </cell>
        </row>
        <row r="20">
          <cell r="X20">
            <v>12.389653911052621</v>
          </cell>
        </row>
        <row r="21">
          <cell r="X21">
            <v>13.170592753856782</v>
          </cell>
        </row>
        <row r="22">
          <cell r="X22">
            <v>12.385661307729032</v>
          </cell>
        </row>
        <row r="23">
          <cell r="X23">
            <v>12.431236252366702</v>
          </cell>
        </row>
        <row r="24">
          <cell r="X24">
            <v>13.044192924334448</v>
          </cell>
        </row>
      </sheetData>
      <sheetData sheetId="55"/>
      <sheetData sheetId="56">
        <row r="10">
          <cell r="X10">
            <v>13.201237862211551</v>
          </cell>
        </row>
        <row r="16">
          <cell r="X16">
            <v>13.068569780201555</v>
          </cell>
        </row>
        <row r="17">
          <cell r="X17">
            <v>13.0649524793397</v>
          </cell>
        </row>
        <row r="18">
          <cell r="X18">
            <v>13.889563600885861</v>
          </cell>
        </row>
        <row r="19">
          <cell r="X19">
            <v>14.164895678748026</v>
          </cell>
        </row>
        <row r="20">
          <cell r="X20">
            <v>13.543167026887856</v>
          </cell>
        </row>
        <row r="21">
          <cell r="X21">
            <v>14.142309694496454</v>
          </cell>
        </row>
        <row r="22">
          <cell r="X22">
            <v>15.044722029052</v>
          </cell>
        </row>
        <row r="23">
          <cell r="X23">
            <v>15.273696291024528</v>
          </cell>
        </row>
        <row r="24">
          <cell r="X24">
            <v>15.328616388635863</v>
          </cell>
        </row>
      </sheetData>
      <sheetData sheetId="57"/>
      <sheetData sheetId="58">
        <row r="10">
          <cell r="X10">
            <v>14.887849077014478</v>
          </cell>
        </row>
        <row r="16">
          <cell r="X16">
            <v>15.395633715506428</v>
          </cell>
        </row>
        <row r="17">
          <cell r="X17">
            <v>15.351015210617382</v>
          </cell>
        </row>
        <row r="18">
          <cell r="X18">
            <v>15.628316911406902</v>
          </cell>
        </row>
        <row r="19">
          <cell r="X19">
            <v>15.402575360011616</v>
          </cell>
        </row>
        <row r="20">
          <cell r="X20">
            <v>16.161822687530954</v>
          </cell>
        </row>
        <row r="21">
          <cell r="X21">
            <v>16.261617370775781</v>
          </cell>
        </row>
        <row r="22">
          <cell r="X22">
            <v>15.992838841560651</v>
          </cell>
        </row>
        <row r="23">
          <cell r="X23">
            <v>14.995159237343314</v>
          </cell>
        </row>
        <row r="24">
          <cell r="X24">
            <v>14.348789870612601</v>
          </cell>
        </row>
      </sheetData>
      <sheetData sheetId="59"/>
      <sheetData sheetId="60">
        <row r="10">
          <cell r="X10">
            <v>15.787374109084364</v>
          </cell>
        </row>
        <row r="16">
          <cell r="X16">
            <v>15.101030897178912</v>
          </cell>
        </row>
        <row r="17">
          <cell r="X17">
            <v>14.970392834807326</v>
          </cell>
        </row>
        <row r="18">
          <cell r="X18">
            <v>15.069433028419878</v>
          </cell>
        </row>
        <row r="19">
          <cell r="X19">
            <v>15.383483502672401</v>
          </cell>
        </row>
        <row r="20">
          <cell r="X20">
            <v>15.425922463612636</v>
          </cell>
        </row>
        <row r="21">
          <cell r="X21">
            <v>15.304913005431498</v>
          </cell>
        </row>
        <row r="22">
          <cell r="X22">
            <v>15.865662223151942</v>
          </cell>
        </row>
        <row r="23">
          <cell r="X23">
            <v>15.221827335037057</v>
          </cell>
        </row>
        <row r="24">
          <cell r="X24">
            <v>15.622972199447586</v>
          </cell>
        </row>
      </sheetData>
      <sheetData sheetId="61"/>
      <sheetData sheetId="62">
        <row r="10">
          <cell r="X10">
            <v>15.778779776688578</v>
          </cell>
        </row>
        <row r="16">
          <cell r="X16">
            <v>14.90687118736235</v>
          </cell>
        </row>
        <row r="17">
          <cell r="X17">
            <v>14.930657069549886</v>
          </cell>
        </row>
        <row r="18">
          <cell r="X18">
            <v>15.335251733357374</v>
          </cell>
        </row>
        <row r="19">
          <cell r="X19">
            <v>14.622081351657137</v>
          </cell>
        </row>
        <row r="20">
          <cell r="X20">
            <v>15.582800397317433</v>
          </cell>
        </row>
        <row r="21">
          <cell r="X21">
            <v>15.519768352727626</v>
          </cell>
        </row>
        <row r="22">
          <cell r="X22">
            <v>15.965754720426</v>
          </cell>
        </row>
        <row r="23">
          <cell r="X23">
            <v>16.198355600268759</v>
          </cell>
        </row>
        <row r="24">
          <cell r="X24">
            <v>15.657072644799811</v>
          </cell>
        </row>
      </sheetData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</sheetDataSet>
  </externalBook>
</externalLink>
</file>

<file path=xl/externalLinks/externalLink12.xml><?xml version="1.0" encoding="utf-8"?>
<externalLink xmlns="http://schemas.openxmlformats.org/spreadsheetml/2006/main">
  <externalBook xmlns:r="http://schemas.openxmlformats.org/officeDocument/2006/relationships" r:id="rId1">
    <sheetNames>
      <sheetName val="Ponto de Orvalho"/>
      <sheetName val="Bulbo Umido"/>
      <sheetName val="Verificações"/>
      <sheetName val="Dia 1 (a)"/>
      <sheetName val="Dia 1 (b)"/>
      <sheetName val="Dia 2 (a)"/>
      <sheetName val="Dia 2 (b)"/>
      <sheetName val="Dia 3 (a)"/>
      <sheetName val="Dia 3 (b)"/>
      <sheetName val="Dia 4 (a)"/>
      <sheetName val="Dia 4 (b)"/>
      <sheetName val="Dia 5 (a)"/>
      <sheetName val="Dia 5 (b)"/>
      <sheetName val="Dia 6 (a)"/>
      <sheetName val="Dia 6 (b)"/>
      <sheetName val="Dia 7 (a)"/>
      <sheetName val="Dia 7 (b)"/>
      <sheetName val="Dia 8 (a)"/>
      <sheetName val="Dia 8 (b)"/>
      <sheetName val="Dia 9 (a)"/>
      <sheetName val="Dia 9 (b)"/>
      <sheetName val="Dia 10 (a)"/>
      <sheetName val="Dia 10 (b)"/>
      <sheetName val="Dia 11 (a)"/>
      <sheetName val="Dia 11 (b)"/>
      <sheetName val="Dia 12 (a)"/>
      <sheetName val="Dia 12 (b)"/>
      <sheetName val="Dia 13 (a)"/>
      <sheetName val="Dia 13 (b)"/>
      <sheetName val="Dia 14 (a)"/>
      <sheetName val="Dia 14 (b)"/>
      <sheetName val="Dia 15 (a)"/>
      <sheetName val="Dia 15 (b)"/>
      <sheetName val="Dia 16 (a)"/>
      <sheetName val="Dia 16 (b)"/>
      <sheetName val="Dia 17 (a)"/>
      <sheetName val="Dia 17 (b)"/>
      <sheetName val="Dia 18 (a)"/>
      <sheetName val="Dia 18 (b)"/>
      <sheetName val="Dia 19 (a)"/>
      <sheetName val="Dia 19 (b)"/>
      <sheetName val="Dia 20 (a)"/>
      <sheetName val="Dia 20 (b)"/>
      <sheetName val="Dia 21 (a)"/>
      <sheetName val="Dia 21 (b)"/>
      <sheetName val="Dia 22 (a)"/>
      <sheetName val="Dia 22 (b)"/>
      <sheetName val="Dia 23 (a)"/>
      <sheetName val="Dia 23 (b)"/>
      <sheetName val="Dia 24 (a)"/>
      <sheetName val="Dia 24 (b)"/>
      <sheetName val="Dia 25 (a)"/>
      <sheetName val="Dia 25 (b)"/>
      <sheetName val="Dia 26 (a)"/>
      <sheetName val="Dia 26 (b)"/>
      <sheetName val="Dia 27 (a)"/>
      <sheetName val="Dia 27 (b)"/>
      <sheetName val="Dia 28 (a)"/>
      <sheetName val="Dia 28 (b)"/>
      <sheetName val="Dia 29 (a)"/>
      <sheetName val="Dia 29 (b)"/>
      <sheetName val="Dia 30 (a)"/>
      <sheetName val="Dia 30 (b)"/>
      <sheetName val="Dia 31 (a)"/>
      <sheetName val="Dia 31 (b)"/>
      <sheetName val="Visibilidade"/>
      <sheetName val="Tipo-Nuvens Baixas"/>
      <sheetName val="Quant.-Nuvens Baixas"/>
      <sheetName val="Tipo-Nuvens Médias"/>
      <sheetName val="Quant.-Nuvens Médias"/>
      <sheetName val="Tipo-Nuvens Altas"/>
      <sheetName val="Quant.-Nuvens Altas"/>
      <sheetName val="Cobertura Total"/>
      <sheetName val="Barôm. a Grav. Normal (hPa=mb)"/>
      <sheetName val="Term. Seco (C)"/>
      <sheetName val="Umid. Relat. (%)"/>
      <sheetName val="Umid. Específica (g.kg-1)"/>
      <sheetName val="Temp. Superf. (C)"/>
      <sheetName val="Temp. 5 cm (C)"/>
      <sheetName val="Temp. 10 cm (C)"/>
      <sheetName val="Temp. 20 cm (C)"/>
      <sheetName val="Temp. 30 cm (C)"/>
      <sheetName val="Temp. 40 cm (C)"/>
      <sheetName val="Temp. Máx. e Mín. (C)"/>
      <sheetName val="Precipitação e Evaporação (mm)"/>
      <sheetName val="INMET"/>
      <sheetName val="Fenomenos Diversos"/>
    </sheetNames>
    <sheetDataSet>
      <sheetData sheetId="0"/>
      <sheetData sheetId="1"/>
      <sheetData sheetId="2"/>
      <sheetData sheetId="3"/>
      <sheetData sheetId="4">
        <row r="1">
          <cell r="C1" t="str">
            <v>DEZEMBRO DE 2023</v>
          </cell>
        </row>
        <row r="16">
          <cell r="X16">
            <v>16.623502534097732</v>
          </cell>
        </row>
        <row r="17">
          <cell r="X17">
            <v>15.32200759100375</v>
          </cell>
        </row>
        <row r="18">
          <cell r="X18">
            <v>15.1943507840967</v>
          </cell>
        </row>
        <row r="19">
          <cell r="X19">
            <v>14.583746144530547</v>
          </cell>
        </row>
        <row r="20">
          <cell r="X20">
            <v>14.631332684885702</v>
          </cell>
        </row>
        <row r="21">
          <cell r="X21">
            <v>15.62391638116757</v>
          </cell>
        </row>
        <row r="22">
          <cell r="X22">
            <v>15.728258776182587</v>
          </cell>
        </row>
        <row r="23">
          <cell r="X23">
            <v>16.54424562269844</v>
          </cell>
        </row>
        <row r="24">
          <cell r="X24">
            <v>16.936837100126407</v>
          </cell>
        </row>
      </sheetData>
      <sheetData sheetId="5"/>
      <sheetData sheetId="6">
        <row r="10">
          <cell r="X10">
            <v>13.609521709329423</v>
          </cell>
        </row>
        <row r="16">
          <cell r="X16">
            <v>14.669724613674465</v>
          </cell>
        </row>
        <row r="17">
          <cell r="X17">
            <v>14.363693330378222</v>
          </cell>
        </row>
        <row r="18">
          <cell r="X18">
            <v>13.766960162621757</v>
          </cell>
        </row>
        <row r="19">
          <cell r="X19">
            <v>12.84765853299721</v>
          </cell>
        </row>
        <row r="20">
          <cell r="X20">
            <v>13.630138899021196</v>
          </cell>
        </row>
        <row r="21">
          <cell r="X21">
            <v>14.034182618209117</v>
          </cell>
        </row>
        <row r="22">
          <cell r="X22">
            <v>12.872375097058688</v>
          </cell>
        </row>
        <row r="23">
          <cell r="X23">
            <v>14.079054924673468</v>
          </cell>
        </row>
        <row r="24">
          <cell r="X24">
            <v>16.920949259384482</v>
          </cell>
        </row>
      </sheetData>
      <sheetData sheetId="7"/>
      <sheetData sheetId="8">
        <row r="10">
          <cell r="X10">
            <v>2.0872365988764871E-5</v>
          </cell>
        </row>
        <row r="16">
          <cell r="X16">
            <v>16.978775398437747</v>
          </cell>
        </row>
        <row r="17">
          <cell r="X17">
            <v>16.768079286252974</v>
          </cell>
        </row>
        <row r="18">
          <cell r="X18">
            <v>15.335452278543126</v>
          </cell>
        </row>
        <row r="19">
          <cell r="X19">
            <v>16.606923820292831</v>
          </cell>
        </row>
        <row r="20">
          <cell r="X20">
            <v>15.359555062186097</v>
          </cell>
        </row>
        <row r="21">
          <cell r="X21">
            <v>13.764778668450406</v>
          </cell>
        </row>
        <row r="22">
          <cell r="X22">
            <v>16.644375111296696</v>
          </cell>
        </row>
        <row r="23">
          <cell r="X23">
            <v>18.245847955781734</v>
          </cell>
        </row>
        <row r="24">
          <cell r="X24">
            <v>17.929619185659941</v>
          </cell>
        </row>
      </sheetData>
      <sheetData sheetId="9"/>
      <sheetData sheetId="10">
        <row r="10">
          <cell r="X10">
            <v>2.1532927504471541E-5</v>
          </cell>
        </row>
        <row r="16">
          <cell r="X16">
            <v>14.294762960542105</v>
          </cell>
        </row>
        <row r="17">
          <cell r="X17">
            <v>14.246801870919048</v>
          </cell>
        </row>
        <row r="18">
          <cell r="X18">
            <v>13.672537093829325</v>
          </cell>
        </row>
        <row r="19">
          <cell r="X19">
            <v>13.649649043082087</v>
          </cell>
        </row>
        <row r="20">
          <cell r="X20">
            <v>14.794980336352726</v>
          </cell>
        </row>
        <row r="21">
          <cell r="X21">
            <v>14.099743451171916</v>
          </cell>
        </row>
        <row r="22">
          <cell r="X22">
            <v>14.468632283813912</v>
          </cell>
        </row>
        <row r="23">
          <cell r="X23">
            <v>18.135041129007789</v>
          </cell>
        </row>
        <row r="24">
          <cell r="X24">
            <v>17.310744709496632</v>
          </cell>
        </row>
      </sheetData>
      <sheetData sheetId="11"/>
      <sheetData sheetId="12">
        <row r="10">
          <cell r="X10">
            <v>15.610861078218774</v>
          </cell>
        </row>
        <row r="16">
          <cell r="X16">
            <v>14.837577825118027</v>
          </cell>
        </row>
        <row r="17">
          <cell r="X17">
            <v>14.990065279736337</v>
          </cell>
        </row>
        <row r="18">
          <cell r="X18">
            <v>14.650106218683408</v>
          </cell>
        </row>
        <row r="19">
          <cell r="X19">
            <v>14.84646840086179</v>
          </cell>
        </row>
        <row r="20">
          <cell r="X20">
            <v>14.158578114009146</v>
          </cell>
        </row>
        <row r="21">
          <cell r="X21">
            <v>13.901459268413268</v>
          </cell>
        </row>
        <row r="22">
          <cell r="X22">
            <v>16.103545891799588</v>
          </cell>
        </row>
        <row r="23">
          <cell r="X23">
            <v>16.505234261038176</v>
          </cell>
        </row>
        <row r="24">
          <cell r="X24">
            <v>16.173764136514006</v>
          </cell>
        </row>
      </sheetData>
      <sheetData sheetId="13"/>
      <sheetData sheetId="14">
        <row r="10">
          <cell r="X10">
            <v>16.158004824445694</v>
          </cell>
        </row>
        <row r="16">
          <cell r="X16">
            <v>15.659874049733173</v>
          </cell>
        </row>
        <row r="17">
          <cell r="X17">
            <v>15.717748708002384</v>
          </cell>
        </row>
        <row r="18">
          <cell r="X18">
            <v>15.972087064258682</v>
          </cell>
        </row>
        <row r="19">
          <cell r="X19">
            <v>15.578423071466922</v>
          </cell>
        </row>
        <row r="20">
          <cell r="X20">
            <v>14.752557838478834</v>
          </cell>
        </row>
        <row r="21">
          <cell r="X21">
            <v>16.206355055430528</v>
          </cell>
        </row>
        <row r="22">
          <cell r="X22">
            <v>14.680829655713969</v>
          </cell>
        </row>
        <row r="23">
          <cell r="X23">
            <v>16.034050986219537</v>
          </cell>
        </row>
        <row r="24">
          <cell r="X24">
            <v>14.353650403965043</v>
          </cell>
        </row>
      </sheetData>
      <sheetData sheetId="15"/>
      <sheetData sheetId="16">
        <row r="10">
          <cell r="X10">
            <v>19.484150747574692</v>
          </cell>
        </row>
        <row r="16">
          <cell r="X16">
            <v>17.510186544738207</v>
          </cell>
        </row>
        <row r="17">
          <cell r="X17">
            <v>16.113523146897681</v>
          </cell>
        </row>
        <row r="18">
          <cell r="X18">
            <v>15.319667853309607</v>
          </cell>
        </row>
        <row r="19">
          <cell r="X19">
            <v>14.90688507289323</v>
          </cell>
        </row>
        <row r="20">
          <cell r="X20">
            <v>13.8072558497374</v>
          </cell>
        </row>
        <row r="21">
          <cell r="X21">
            <v>14.126826700307143</v>
          </cell>
        </row>
        <row r="22">
          <cell r="X22">
            <v>14.032445419669905</v>
          </cell>
        </row>
        <row r="23">
          <cell r="X23">
            <v>13.492851776287809</v>
          </cell>
        </row>
        <row r="24">
          <cell r="X24">
            <v>13.380392177499289</v>
          </cell>
        </row>
      </sheetData>
      <sheetData sheetId="17"/>
      <sheetData sheetId="18">
        <row r="10">
          <cell r="X10">
            <v>13.04074180324956</v>
          </cell>
        </row>
        <row r="16">
          <cell r="X16">
            <v>15.149175164993206</v>
          </cell>
        </row>
        <row r="17">
          <cell r="X17">
            <v>13.796865979505787</v>
          </cell>
        </row>
        <row r="18">
          <cell r="X18">
            <v>13.1673538243412</v>
          </cell>
        </row>
        <row r="19">
          <cell r="X19">
            <v>13.770837965101117</v>
          </cell>
        </row>
        <row r="20">
          <cell r="X20">
            <v>13.68446616319503</v>
          </cell>
        </row>
        <row r="21">
          <cell r="X21">
            <v>14.081523704631893</v>
          </cell>
        </row>
        <row r="22">
          <cell r="X22">
            <v>15.252699858514985</v>
          </cell>
        </row>
        <row r="23">
          <cell r="X23">
            <v>16.473167108807839</v>
          </cell>
        </row>
        <row r="24">
          <cell r="X24">
            <v>16.113199850033439</v>
          </cell>
        </row>
      </sheetData>
      <sheetData sheetId="19"/>
      <sheetData sheetId="20">
        <row r="10">
          <cell r="X10">
            <v>13.923963514545791</v>
          </cell>
        </row>
        <row r="16">
          <cell r="X16">
            <v>12.426915448889607</v>
          </cell>
        </row>
        <row r="17">
          <cell r="X17">
            <v>12.212284042264066</v>
          </cell>
        </row>
        <row r="18">
          <cell r="X18">
            <v>12.876115815094151</v>
          </cell>
        </row>
        <row r="19">
          <cell r="X19">
            <v>13.440148702144972</v>
          </cell>
        </row>
        <row r="20">
          <cell r="X20">
            <v>13.233053544471524</v>
          </cell>
        </row>
        <row r="21">
          <cell r="X21">
            <v>13.057094832804912</v>
          </cell>
        </row>
        <row r="22">
          <cell r="X22">
            <v>13.331421706874352</v>
          </cell>
        </row>
        <row r="23">
          <cell r="X23">
            <v>12.980963275744539</v>
          </cell>
        </row>
        <row r="24">
          <cell r="X24">
            <v>13.016744585161961</v>
          </cell>
        </row>
      </sheetData>
      <sheetData sheetId="21"/>
      <sheetData sheetId="22">
        <row r="10">
          <cell r="X10">
            <v>11.821132549759</v>
          </cell>
        </row>
        <row r="16">
          <cell r="X16">
            <v>11.892503549198988</v>
          </cell>
        </row>
        <row r="17">
          <cell r="X17">
            <v>12.497248008666404</v>
          </cell>
        </row>
        <row r="18">
          <cell r="X18">
            <v>11.786221687114232</v>
          </cell>
        </row>
        <row r="19">
          <cell r="X19">
            <v>12.40492687061751</v>
          </cell>
        </row>
        <row r="20">
          <cell r="X20">
            <v>13.08908654361089</v>
          </cell>
        </row>
        <row r="21">
          <cell r="X21">
            <v>15.563382045692874</v>
          </cell>
        </row>
        <row r="22">
          <cell r="X22">
            <v>15.003374123654901</v>
          </cell>
        </row>
        <row r="23">
          <cell r="X23">
            <v>14.971435179083548</v>
          </cell>
        </row>
        <row r="24">
          <cell r="X24">
            <v>14.112317359289252</v>
          </cell>
        </row>
      </sheetData>
      <sheetData sheetId="23"/>
      <sheetData sheetId="24">
        <row r="10">
          <cell r="X10">
            <v>14.761068733391628</v>
          </cell>
        </row>
        <row r="16">
          <cell r="X16">
            <v>14.631551913242635</v>
          </cell>
        </row>
        <row r="17">
          <cell r="X17">
            <v>13.855365796004969</v>
          </cell>
        </row>
        <row r="18">
          <cell r="X18">
            <v>14.191932555023465</v>
          </cell>
        </row>
        <row r="19">
          <cell r="X19">
            <v>14.531665840105546</v>
          </cell>
        </row>
        <row r="20">
          <cell r="X20">
            <v>13.601417594342044</v>
          </cell>
        </row>
        <row r="21">
          <cell r="X21">
            <v>14.80928853520825</v>
          </cell>
        </row>
        <row r="22">
          <cell r="X22">
            <v>15.068493698303868</v>
          </cell>
        </row>
        <row r="23">
          <cell r="X23">
            <v>14.630591927187993</v>
          </cell>
        </row>
        <row r="24">
          <cell r="X24">
            <v>14.756131712930888</v>
          </cell>
        </row>
      </sheetData>
      <sheetData sheetId="25"/>
      <sheetData sheetId="26">
        <row r="10">
          <cell r="X10">
            <v>12.993833131682425</v>
          </cell>
        </row>
        <row r="16">
          <cell r="X16">
            <v>12.714684703050537</v>
          </cell>
        </row>
        <row r="17">
          <cell r="X17">
            <v>12.075855304940426</v>
          </cell>
        </row>
        <row r="18">
          <cell r="X18">
            <v>11.731841657909701</v>
          </cell>
        </row>
        <row r="19">
          <cell r="X19">
            <v>11.931670822959209</v>
          </cell>
        </row>
        <row r="20">
          <cell r="X20">
            <v>12.791303583276932</v>
          </cell>
        </row>
        <row r="21">
          <cell r="X21">
            <v>12.896879728154316</v>
          </cell>
        </row>
        <row r="22">
          <cell r="X22">
            <v>12.604475088474286</v>
          </cell>
        </row>
        <row r="23">
          <cell r="X23">
            <v>12.487945275052137</v>
          </cell>
        </row>
        <row r="24">
          <cell r="X24">
            <v>11.851223613961247</v>
          </cell>
        </row>
      </sheetData>
      <sheetData sheetId="27"/>
      <sheetData sheetId="28">
        <row r="10">
          <cell r="X10">
            <v>11.418965318909294</v>
          </cell>
        </row>
        <row r="16">
          <cell r="X16">
            <v>12.353089424611417</v>
          </cell>
        </row>
        <row r="17">
          <cell r="X17">
            <v>12.520430993510951</v>
          </cell>
        </row>
        <row r="18">
          <cell r="X18">
            <v>13.053606985713362</v>
          </cell>
        </row>
        <row r="19">
          <cell r="X19">
            <v>13.307989422543626</v>
          </cell>
        </row>
        <row r="20">
          <cell r="X20">
            <v>14.006885213748959</v>
          </cell>
        </row>
        <row r="21">
          <cell r="X21">
            <v>13.829500357624461</v>
          </cell>
        </row>
        <row r="22">
          <cell r="X22">
            <v>13.924388242023737</v>
          </cell>
        </row>
        <row r="23">
          <cell r="X23">
            <v>14.169375191840789</v>
          </cell>
        </row>
        <row r="24">
          <cell r="X24">
            <v>14.92613634308819</v>
          </cell>
        </row>
      </sheetData>
      <sheetData sheetId="29"/>
      <sheetData sheetId="30">
        <row r="10">
          <cell r="X10">
            <v>14.057864440414116</v>
          </cell>
        </row>
        <row r="16">
          <cell r="X16">
            <v>14.521090586578739</v>
          </cell>
        </row>
        <row r="17">
          <cell r="X17">
            <v>15.009809253963079</v>
          </cell>
        </row>
        <row r="18">
          <cell r="X18">
            <v>14.650710280794886</v>
          </cell>
        </row>
        <row r="19">
          <cell r="X19">
            <v>14.476442829469466</v>
          </cell>
        </row>
        <row r="20">
          <cell r="X20">
            <v>10.698112584315213</v>
          </cell>
        </row>
        <row r="21">
          <cell r="X21">
            <v>10.168700057531298</v>
          </cell>
        </row>
        <row r="22">
          <cell r="X22">
            <v>15.811959164173498</v>
          </cell>
        </row>
        <row r="23">
          <cell r="X23">
            <v>16.204987353739487</v>
          </cell>
        </row>
        <row r="24">
          <cell r="X24">
            <v>16.096577487242488</v>
          </cell>
        </row>
      </sheetData>
      <sheetData sheetId="31"/>
      <sheetData sheetId="32">
        <row r="10">
          <cell r="X10">
            <v>15.691936454965399</v>
          </cell>
        </row>
        <row r="16">
          <cell r="X16">
            <v>16.105853387214434</v>
          </cell>
        </row>
        <row r="17">
          <cell r="X17">
            <v>16.016467255249889</v>
          </cell>
        </row>
        <row r="18">
          <cell r="X18">
            <v>15.545028761170897</v>
          </cell>
        </row>
        <row r="19">
          <cell r="X19">
            <v>14.565278709504616</v>
          </cell>
        </row>
        <row r="20">
          <cell r="X20">
            <v>13.183426351307183</v>
          </cell>
        </row>
        <row r="21">
          <cell r="X21">
            <v>16.862143868353723</v>
          </cell>
        </row>
        <row r="22">
          <cell r="X22">
            <v>17.298014565192165</v>
          </cell>
        </row>
        <row r="23">
          <cell r="X23">
            <v>18.632849700126332</v>
          </cell>
        </row>
        <row r="24">
          <cell r="X24">
            <v>17.903163916110373</v>
          </cell>
        </row>
      </sheetData>
      <sheetData sheetId="33"/>
      <sheetData sheetId="34">
        <row r="10">
          <cell r="X10">
            <v>16.63974978930516</v>
          </cell>
        </row>
        <row r="16">
          <cell r="X16">
            <v>16.337293136106346</v>
          </cell>
        </row>
        <row r="17">
          <cell r="X17">
            <v>16.058783291595358</v>
          </cell>
        </row>
        <row r="18">
          <cell r="X18">
            <v>15.71288472526914</v>
          </cell>
        </row>
        <row r="19">
          <cell r="X19">
            <v>15.104928900287488</v>
          </cell>
        </row>
        <row r="20">
          <cell r="X20">
            <v>14.093259828756706</v>
          </cell>
        </row>
        <row r="21">
          <cell r="X21">
            <v>16.909008374830744</v>
          </cell>
        </row>
        <row r="22">
          <cell r="X22">
            <v>18.568075593913729</v>
          </cell>
        </row>
        <row r="23">
          <cell r="X23">
            <v>18.250473894948563</v>
          </cell>
        </row>
        <row r="24">
          <cell r="X24">
            <v>18.278584664207891</v>
          </cell>
        </row>
      </sheetData>
      <sheetData sheetId="35"/>
      <sheetData sheetId="36">
        <row r="10">
          <cell r="X10">
            <v>16.55815994105777</v>
          </cell>
        </row>
        <row r="16">
          <cell r="X16">
            <v>15.745631646478138</v>
          </cell>
        </row>
        <row r="17">
          <cell r="X17">
            <v>15.45585824474872</v>
          </cell>
        </row>
        <row r="18">
          <cell r="X18">
            <v>14.40197744646759</v>
          </cell>
        </row>
        <row r="19">
          <cell r="X19">
            <v>13.521388029472671</v>
          </cell>
        </row>
        <row r="20">
          <cell r="X20">
            <v>12.625026304060246</v>
          </cell>
        </row>
        <row r="21">
          <cell r="X21">
            <v>13.249644333597546</v>
          </cell>
        </row>
        <row r="22">
          <cell r="X22">
            <v>18.021033165894526</v>
          </cell>
        </row>
        <row r="23">
          <cell r="X23">
            <v>17.540569392275998</v>
          </cell>
        </row>
        <row r="24">
          <cell r="X24">
            <v>17.946649339200164</v>
          </cell>
        </row>
      </sheetData>
      <sheetData sheetId="37"/>
      <sheetData sheetId="38">
        <row r="10">
          <cell r="X10">
            <v>16.75970837435322</v>
          </cell>
        </row>
        <row r="16">
          <cell r="X16">
            <v>13.956956185572947</v>
          </cell>
        </row>
        <row r="17">
          <cell r="X17">
            <v>13.650089159129102</v>
          </cell>
        </row>
        <row r="18">
          <cell r="X18">
            <v>13.303488721308547</v>
          </cell>
        </row>
        <row r="19">
          <cell r="X19">
            <v>13.449866366295659</v>
          </cell>
        </row>
        <row r="20">
          <cell r="X20">
            <v>9.3680746928607217</v>
          </cell>
        </row>
        <row r="21">
          <cell r="X21">
            <v>10.469213181564085</v>
          </cell>
        </row>
        <row r="22">
          <cell r="X22">
            <v>12.817417907732757</v>
          </cell>
        </row>
        <row r="23">
          <cell r="X23">
            <v>11.936962535908037</v>
          </cell>
        </row>
        <row r="24">
          <cell r="X24">
            <v>14.318056780746545</v>
          </cell>
        </row>
      </sheetData>
      <sheetData sheetId="39"/>
      <sheetData sheetId="40">
        <row r="10">
          <cell r="X10">
            <v>14.663570774044263</v>
          </cell>
        </row>
        <row r="16">
          <cell r="X16">
            <v>13.782709450225809</v>
          </cell>
        </row>
        <row r="17">
          <cell r="X17">
            <v>13.577223123878857</v>
          </cell>
        </row>
        <row r="18">
          <cell r="X18">
            <v>13.539818247892109</v>
          </cell>
        </row>
        <row r="19">
          <cell r="X19">
            <v>13.662640633391197</v>
          </cell>
        </row>
        <row r="20">
          <cell r="X20">
            <v>13.673310620042992</v>
          </cell>
        </row>
        <row r="21">
          <cell r="X21">
            <v>13.268282008009953</v>
          </cell>
        </row>
        <row r="22">
          <cell r="X22">
            <v>15.634362231552869</v>
          </cell>
        </row>
        <row r="23">
          <cell r="X23">
            <v>17.27556014877295</v>
          </cell>
        </row>
        <row r="24">
          <cell r="X24">
            <v>14.954521365664885</v>
          </cell>
        </row>
      </sheetData>
      <sheetData sheetId="41"/>
      <sheetData sheetId="42">
        <row r="10">
          <cell r="X10">
            <v>13.814005327173538</v>
          </cell>
        </row>
        <row r="16">
          <cell r="X16">
            <v>12.148716106323329</v>
          </cell>
        </row>
        <row r="17">
          <cell r="X17">
            <v>11.991342085880358</v>
          </cell>
        </row>
        <row r="18">
          <cell r="X18">
            <v>11.01716137598847</v>
          </cell>
        </row>
        <row r="19">
          <cell r="X19">
            <v>11.875874833695441</v>
          </cell>
        </row>
        <row r="20">
          <cell r="X20">
            <v>12.796022464872083</v>
          </cell>
        </row>
        <row r="21">
          <cell r="X21">
            <v>12.642179646709524</v>
          </cell>
        </row>
        <row r="22">
          <cell r="X22">
            <v>13.425228839220839</v>
          </cell>
        </row>
        <row r="23">
          <cell r="X23">
            <v>12.761503170077058</v>
          </cell>
        </row>
        <row r="24">
          <cell r="X24">
            <v>13.085603353249594</v>
          </cell>
        </row>
      </sheetData>
      <sheetData sheetId="43"/>
      <sheetData sheetId="44">
        <row r="10">
          <cell r="X10">
            <v>13.522126657987613</v>
          </cell>
        </row>
        <row r="16">
          <cell r="X16">
            <v>12.995846275459279</v>
          </cell>
        </row>
        <row r="17">
          <cell r="X17">
            <v>12.949303127992792</v>
          </cell>
        </row>
        <row r="18">
          <cell r="X18">
            <v>12.989450059468167</v>
          </cell>
        </row>
        <row r="19">
          <cell r="X19">
            <v>13.200259616310563</v>
          </cell>
        </row>
        <row r="20">
          <cell r="X20">
            <v>12.972348768643116</v>
          </cell>
        </row>
        <row r="21">
          <cell r="X21">
            <v>13.175957775918953</v>
          </cell>
        </row>
        <row r="22">
          <cell r="X22">
            <v>15.620232943263805</v>
          </cell>
        </row>
        <row r="23">
          <cell r="X23">
            <v>15.954931936472464</v>
          </cell>
        </row>
        <row r="24">
          <cell r="X24">
            <v>15.93622114067982</v>
          </cell>
        </row>
      </sheetData>
      <sheetData sheetId="45"/>
      <sheetData sheetId="46">
        <row r="10">
          <cell r="X10">
            <v>15.728921612617683</v>
          </cell>
        </row>
        <row r="16">
          <cell r="X16">
            <v>15.409630329475792</v>
          </cell>
        </row>
        <row r="17">
          <cell r="X17">
            <v>15.244486518609031</v>
          </cell>
        </row>
        <row r="18">
          <cell r="X18">
            <v>15.937648245091378</v>
          </cell>
        </row>
        <row r="19">
          <cell r="X19">
            <v>15.627384801856145</v>
          </cell>
        </row>
        <row r="20">
          <cell r="X20">
            <v>15.917445820211153</v>
          </cell>
        </row>
        <row r="21">
          <cell r="X21">
            <v>15.39091048472975</v>
          </cell>
        </row>
        <row r="22">
          <cell r="X22">
            <v>15.270735530729064</v>
          </cell>
        </row>
        <row r="23">
          <cell r="X23">
            <v>14.695685291752747</v>
          </cell>
        </row>
        <row r="24">
          <cell r="X24">
            <v>15.201720849041896</v>
          </cell>
        </row>
      </sheetData>
      <sheetData sheetId="47"/>
      <sheetData sheetId="48">
        <row r="10">
          <cell r="X10">
            <v>17.003345889287328</v>
          </cell>
        </row>
        <row r="16">
          <cell r="X16">
            <v>16.860891141452079</v>
          </cell>
        </row>
        <row r="17">
          <cell r="X17">
            <v>16.368731415032425</v>
          </cell>
        </row>
        <row r="18">
          <cell r="X18">
            <v>15.598840362644117</v>
          </cell>
        </row>
        <row r="19">
          <cell r="X19">
            <v>15.090600635817216</v>
          </cell>
        </row>
        <row r="20">
          <cell r="X20">
            <v>15.031881380216852</v>
          </cell>
        </row>
        <row r="21">
          <cell r="X21">
            <v>13.752932137767148</v>
          </cell>
        </row>
        <row r="22">
          <cell r="X22">
            <v>14.090414321403514</v>
          </cell>
        </row>
        <row r="23">
          <cell r="X23">
            <v>15.122467270583462</v>
          </cell>
        </row>
        <row r="24">
          <cell r="X24">
            <v>14.192770599816821</v>
          </cell>
        </row>
      </sheetData>
      <sheetData sheetId="49"/>
      <sheetData sheetId="50">
        <row r="10">
          <cell r="X10">
            <v>15.656726569264706</v>
          </cell>
        </row>
        <row r="16">
          <cell r="X16">
            <v>15.362663086621069</v>
          </cell>
        </row>
        <row r="17">
          <cell r="X17">
            <v>15.172276802933835</v>
          </cell>
        </row>
        <row r="18">
          <cell r="X18">
            <v>14.858112554572612</v>
          </cell>
        </row>
        <row r="19">
          <cell r="X19">
            <v>14.657159855457076</v>
          </cell>
        </row>
        <row r="20">
          <cell r="X20">
            <v>14.277601844345549</v>
          </cell>
        </row>
        <row r="21">
          <cell r="X21">
            <v>13.41630448229194</v>
          </cell>
        </row>
        <row r="22">
          <cell r="X22">
            <v>12.927504718232745</v>
          </cell>
        </row>
        <row r="23">
          <cell r="X23">
            <v>13.145671572601811</v>
          </cell>
        </row>
        <row r="24">
          <cell r="X24">
            <v>12.689091834291236</v>
          </cell>
        </row>
      </sheetData>
      <sheetData sheetId="51"/>
      <sheetData sheetId="52">
        <row r="10">
          <cell r="X10">
            <v>17.053436267940018</v>
          </cell>
        </row>
        <row r="16">
          <cell r="X16">
            <v>15.927532748580161</v>
          </cell>
        </row>
        <row r="17">
          <cell r="X17">
            <v>16.012565951076944</v>
          </cell>
        </row>
        <row r="18">
          <cell r="X18">
            <v>15.609832765303903</v>
          </cell>
        </row>
        <row r="19">
          <cell r="X19">
            <v>15.289298327767955</v>
          </cell>
        </row>
        <row r="20">
          <cell r="X20">
            <v>15.020009730903407</v>
          </cell>
        </row>
        <row r="21">
          <cell r="X21">
            <v>15.265888579666608</v>
          </cell>
        </row>
        <row r="22">
          <cell r="X22">
            <v>13.436966673129657</v>
          </cell>
        </row>
        <row r="23">
          <cell r="X23">
            <v>13.414323366666979</v>
          </cell>
        </row>
        <row r="24">
          <cell r="X24">
            <v>13.096501228925582</v>
          </cell>
        </row>
      </sheetData>
      <sheetData sheetId="53"/>
      <sheetData sheetId="54">
        <row r="10">
          <cell r="X10">
            <v>15.988728311341209</v>
          </cell>
        </row>
        <row r="16">
          <cell r="X16">
            <v>14.804041148054791</v>
          </cell>
        </row>
        <row r="17">
          <cell r="X17">
            <v>15.177864516863176</v>
          </cell>
        </row>
        <row r="18">
          <cell r="X18">
            <v>15.210143534361881</v>
          </cell>
        </row>
        <row r="19">
          <cell r="X19">
            <v>15.935748798969753</v>
          </cell>
        </row>
        <row r="20">
          <cell r="X20">
            <v>16.009391319333243</v>
          </cell>
        </row>
        <row r="21">
          <cell r="X21">
            <v>15.838569057177544</v>
          </cell>
        </row>
        <row r="22">
          <cell r="X22">
            <v>15.766597679717128</v>
          </cell>
        </row>
        <row r="23">
          <cell r="X23">
            <v>16.214539460408769</v>
          </cell>
        </row>
        <row r="24">
          <cell r="X24">
            <v>15.956056468907683</v>
          </cell>
        </row>
      </sheetData>
      <sheetData sheetId="55"/>
      <sheetData sheetId="56">
        <row r="10">
          <cell r="X10">
            <v>12.389540673403415</v>
          </cell>
        </row>
        <row r="16">
          <cell r="X16">
            <v>10.715159293494176</v>
          </cell>
        </row>
        <row r="17">
          <cell r="X17">
            <v>10.030925177623001</v>
          </cell>
        </row>
        <row r="18">
          <cell r="X18">
            <v>10.248373593816925</v>
          </cell>
        </row>
        <row r="19">
          <cell r="X19">
            <v>10.327341177123435</v>
          </cell>
        </row>
        <row r="20">
          <cell r="X20">
            <v>11.159666836595697</v>
          </cell>
        </row>
        <row r="21">
          <cell r="X21">
            <v>11.762330014634262</v>
          </cell>
        </row>
        <row r="22">
          <cell r="X22">
            <v>11.701077413695309</v>
          </cell>
        </row>
        <row r="23">
          <cell r="X23">
            <v>11.265003663725212</v>
          </cell>
        </row>
        <row r="24">
          <cell r="X24">
            <v>11.532639177389205</v>
          </cell>
        </row>
      </sheetData>
      <sheetData sheetId="57"/>
      <sheetData sheetId="58">
        <row r="10">
          <cell r="X10">
            <v>12.017524191251256</v>
          </cell>
        </row>
        <row r="16">
          <cell r="X16">
            <v>10.837806432962104</v>
          </cell>
        </row>
        <row r="17">
          <cell r="X17">
            <v>11.050081426079325</v>
          </cell>
        </row>
        <row r="18">
          <cell r="X18">
            <v>10.886136586876216</v>
          </cell>
        </row>
        <row r="19">
          <cell r="X19">
            <v>11.527241718122108</v>
          </cell>
        </row>
        <row r="20">
          <cell r="X20">
            <v>11.584050062734583</v>
          </cell>
        </row>
        <row r="21">
          <cell r="X21">
            <v>11.575843502657769</v>
          </cell>
        </row>
        <row r="22">
          <cell r="X22">
            <v>11.474435313220347</v>
          </cell>
        </row>
        <row r="23">
          <cell r="X23">
            <v>12.80840648873698</v>
          </cell>
        </row>
        <row r="24">
          <cell r="X24">
            <v>14.007738452528557</v>
          </cell>
        </row>
      </sheetData>
      <sheetData sheetId="59"/>
      <sheetData sheetId="60">
        <row r="10">
          <cell r="X10">
            <v>14.684723225465326</v>
          </cell>
        </row>
        <row r="16">
          <cell r="X16">
            <v>15.082729139203741</v>
          </cell>
        </row>
        <row r="17">
          <cell r="X17">
            <v>14.646801688707127</v>
          </cell>
        </row>
        <row r="18">
          <cell r="X18">
            <v>14.63540374642916</v>
          </cell>
        </row>
        <row r="19">
          <cell r="X19">
            <v>14.801339495579182</v>
          </cell>
        </row>
        <row r="20">
          <cell r="X20">
            <v>13.665072077221522</v>
          </cell>
        </row>
        <row r="21">
          <cell r="X21">
            <v>10.740169684912251</v>
          </cell>
        </row>
        <row r="22">
          <cell r="X22">
            <v>11.35382984647411</v>
          </cell>
        </row>
        <row r="23">
          <cell r="X23">
            <v>12.407575312957134</v>
          </cell>
        </row>
        <row r="24">
          <cell r="X24">
            <v>12.283096774963179</v>
          </cell>
        </row>
      </sheetData>
      <sheetData sheetId="61"/>
      <sheetData sheetId="62">
        <row r="10">
          <cell r="X10">
            <v>14.043748378994934</v>
          </cell>
        </row>
        <row r="16">
          <cell r="X16">
            <v>14.863744837818055</v>
          </cell>
        </row>
        <row r="17">
          <cell r="X17">
            <v>14.481622238653566</v>
          </cell>
        </row>
        <row r="18">
          <cell r="X18">
            <v>14.667234199707023</v>
          </cell>
        </row>
        <row r="19">
          <cell r="X19">
            <v>14.24990872563561</v>
          </cell>
        </row>
        <row r="20">
          <cell r="X20">
            <v>14.425446270799744</v>
          </cell>
        </row>
        <row r="21">
          <cell r="X21">
            <v>14.475483066672268</v>
          </cell>
        </row>
        <row r="22">
          <cell r="X22">
            <v>13.892282780056755</v>
          </cell>
        </row>
        <row r="23">
          <cell r="X23">
            <v>13.684654549139752</v>
          </cell>
        </row>
        <row r="24">
          <cell r="X24">
            <v>12.483971176850664</v>
          </cell>
        </row>
      </sheetData>
      <sheetData sheetId="63"/>
      <sheetData sheetId="64">
        <row r="10">
          <cell r="X10">
            <v>13.219046142431178</v>
          </cell>
        </row>
        <row r="16">
          <cell r="X16">
            <v>11.402863362843313</v>
          </cell>
        </row>
        <row r="17">
          <cell r="X17">
            <v>11.388131395807195</v>
          </cell>
        </row>
        <row r="18">
          <cell r="X18">
            <v>11.352847229662952</v>
          </cell>
        </row>
        <row r="19">
          <cell r="X19">
            <v>11.866140471032436</v>
          </cell>
        </row>
        <row r="20">
          <cell r="X20">
            <v>12.427496629024271</v>
          </cell>
        </row>
        <row r="21">
          <cell r="X21">
            <v>12.289266522892602</v>
          </cell>
        </row>
        <row r="22">
          <cell r="X22">
            <v>13.650105595402875</v>
          </cell>
        </row>
        <row r="23">
          <cell r="X23">
            <v>13.580187208433491</v>
          </cell>
        </row>
        <row r="24">
          <cell r="X24">
            <v>13.764884258908513</v>
          </cell>
        </row>
      </sheetData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</sheetDataSet>
  </externalBook>
</externalLink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F497"/>
  <sheetViews>
    <sheetView tabSelected="1" zoomScale="70" zoomScaleNormal="70" workbookViewId="0">
      <selection activeCell="B4" sqref="B4:AF9"/>
    </sheetView>
  </sheetViews>
  <sheetFormatPr defaultColWidth="5.7109375" defaultRowHeight="15"/>
  <cols>
    <col min="1" max="1" width="11.5703125" customWidth="1"/>
    <col min="2" max="32" width="7.7109375" style="43" customWidth="1"/>
    <col min="33" max="33" width="12.7109375" customWidth="1"/>
    <col min="257" max="257" width="11.5703125" customWidth="1"/>
    <col min="258" max="288" width="7.7109375" customWidth="1"/>
    <col min="289" max="289" width="12.7109375" customWidth="1"/>
    <col min="513" max="513" width="11.5703125" customWidth="1"/>
    <col min="514" max="544" width="7.7109375" customWidth="1"/>
    <col min="545" max="545" width="12.7109375" customWidth="1"/>
    <col min="769" max="769" width="11.5703125" customWidth="1"/>
    <col min="770" max="800" width="7.7109375" customWidth="1"/>
    <col min="801" max="801" width="12.7109375" customWidth="1"/>
    <col min="1025" max="1025" width="11.5703125" customWidth="1"/>
    <col min="1026" max="1056" width="7.7109375" customWidth="1"/>
    <col min="1057" max="1057" width="12.7109375" customWidth="1"/>
    <col min="1281" max="1281" width="11.5703125" customWidth="1"/>
    <col min="1282" max="1312" width="7.7109375" customWidth="1"/>
    <col min="1313" max="1313" width="12.7109375" customWidth="1"/>
    <col min="1537" max="1537" width="11.5703125" customWidth="1"/>
    <col min="1538" max="1568" width="7.7109375" customWidth="1"/>
    <col min="1569" max="1569" width="12.7109375" customWidth="1"/>
    <col min="1793" max="1793" width="11.5703125" customWidth="1"/>
    <col min="1794" max="1824" width="7.7109375" customWidth="1"/>
    <col min="1825" max="1825" width="12.7109375" customWidth="1"/>
    <col min="2049" max="2049" width="11.5703125" customWidth="1"/>
    <col min="2050" max="2080" width="7.7109375" customWidth="1"/>
    <col min="2081" max="2081" width="12.7109375" customWidth="1"/>
    <col min="2305" max="2305" width="11.5703125" customWidth="1"/>
    <col min="2306" max="2336" width="7.7109375" customWidth="1"/>
    <col min="2337" max="2337" width="12.7109375" customWidth="1"/>
    <col min="2561" max="2561" width="11.5703125" customWidth="1"/>
    <col min="2562" max="2592" width="7.7109375" customWidth="1"/>
    <col min="2593" max="2593" width="12.7109375" customWidth="1"/>
    <col min="2817" max="2817" width="11.5703125" customWidth="1"/>
    <col min="2818" max="2848" width="7.7109375" customWidth="1"/>
    <col min="2849" max="2849" width="12.7109375" customWidth="1"/>
    <col min="3073" max="3073" width="11.5703125" customWidth="1"/>
    <col min="3074" max="3104" width="7.7109375" customWidth="1"/>
    <col min="3105" max="3105" width="12.7109375" customWidth="1"/>
    <col min="3329" max="3329" width="11.5703125" customWidth="1"/>
    <col min="3330" max="3360" width="7.7109375" customWidth="1"/>
    <col min="3361" max="3361" width="12.7109375" customWidth="1"/>
    <col min="3585" max="3585" width="11.5703125" customWidth="1"/>
    <col min="3586" max="3616" width="7.7109375" customWidth="1"/>
    <col min="3617" max="3617" width="12.7109375" customWidth="1"/>
    <col min="3841" max="3841" width="11.5703125" customWidth="1"/>
    <col min="3842" max="3872" width="7.7109375" customWidth="1"/>
    <col min="3873" max="3873" width="12.7109375" customWidth="1"/>
    <col min="4097" max="4097" width="11.5703125" customWidth="1"/>
    <col min="4098" max="4128" width="7.7109375" customWidth="1"/>
    <col min="4129" max="4129" width="12.7109375" customWidth="1"/>
    <col min="4353" max="4353" width="11.5703125" customWidth="1"/>
    <col min="4354" max="4384" width="7.7109375" customWidth="1"/>
    <col min="4385" max="4385" width="12.7109375" customWidth="1"/>
    <col min="4609" max="4609" width="11.5703125" customWidth="1"/>
    <col min="4610" max="4640" width="7.7109375" customWidth="1"/>
    <col min="4641" max="4641" width="12.7109375" customWidth="1"/>
    <col min="4865" max="4865" width="11.5703125" customWidth="1"/>
    <col min="4866" max="4896" width="7.7109375" customWidth="1"/>
    <col min="4897" max="4897" width="12.7109375" customWidth="1"/>
    <col min="5121" max="5121" width="11.5703125" customWidth="1"/>
    <col min="5122" max="5152" width="7.7109375" customWidth="1"/>
    <col min="5153" max="5153" width="12.7109375" customWidth="1"/>
    <col min="5377" max="5377" width="11.5703125" customWidth="1"/>
    <col min="5378" max="5408" width="7.7109375" customWidth="1"/>
    <col min="5409" max="5409" width="12.7109375" customWidth="1"/>
    <col min="5633" max="5633" width="11.5703125" customWidth="1"/>
    <col min="5634" max="5664" width="7.7109375" customWidth="1"/>
    <col min="5665" max="5665" width="12.7109375" customWidth="1"/>
    <col min="5889" max="5889" width="11.5703125" customWidth="1"/>
    <col min="5890" max="5920" width="7.7109375" customWidth="1"/>
    <col min="5921" max="5921" width="12.7109375" customWidth="1"/>
    <col min="6145" max="6145" width="11.5703125" customWidth="1"/>
    <col min="6146" max="6176" width="7.7109375" customWidth="1"/>
    <col min="6177" max="6177" width="12.7109375" customWidth="1"/>
    <col min="6401" max="6401" width="11.5703125" customWidth="1"/>
    <col min="6402" max="6432" width="7.7109375" customWidth="1"/>
    <col min="6433" max="6433" width="12.7109375" customWidth="1"/>
    <col min="6657" max="6657" width="11.5703125" customWidth="1"/>
    <col min="6658" max="6688" width="7.7109375" customWidth="1"/>
    <col min="6689" max="6689" width="12.7109375" customWidth="1"/>
    <col min="6913" max="6913" width="11.5703125" customWidth="1"/>
    <col min="6914" max="6944" width="7.7109375" customWidth="1"/>
    <col min="6945" max="6945" width="12.7109375" customWidth="1"/>
    <col min="7169" max="7169" width="11.5703125" customWidth="1"/>
    <col min="7170" max="7200" width="7.7109375" customWidth="1"/>
    <col min="7201" max="7201" width="12.7109375" customWidth="1"/>
    <col min="7425" max="7425" width="11.5703125" customWidth="1"/>
    <col min="7426" max="7456" width="7.7109375" customWidth="1"/>
    <col min="7457" max="7457" width="12.7109375" customWidth="1"/>
    <col min="7681" max="7681" width="11.5703125" customWidth="1"/>
    <col min="7682" max="7712" width="7.7109375" customWidth="1"/>
    <col min="7713" max="7713" width="12.7109375" customWidth="1"/>
    <col min="7937" max="7937" width="11.5703125" customWidth="1"/>
    <col min="7938" max="7968" width="7.7109375" customWidth="1"/>
    <col min="7969" max="7969" width="12.7109375" customWidth="1"/>
    <col min="8193" max="8193" width="11.5703125" customWidth="1"/>
    <col min="8194" max="8224" width="7.7109375" customWidth="1"/>
    <col min="8225" max="8225" width="12.7109375" customWidth="1"/>
    <col min="8449" max="8449" width="11.5703125" customWidth="1"/>
    <col min="8450" max="8480" width="7.7109375" customWidth="1"/>
    <col min="8481" max="8481" width="12.7109375" customWidth="1"/>
    <col min="8705" max="8705" width="11.5703125" customWidth="1"/>
    <col min="8706" max="8736" width="7.7109375" customWidth="1"/>
    <col min="8737" max="8737" width="12.7109375" customWidth="1"/>
    <col min="8961" max="8961" width="11.5703125" customWidth="1"/>
    <col min="8962" max="8992" width="7.7109375" customWidth="1"/>
    <col min="8993" max="8993" width="12.7109375" customWidth="1"/>
    <col min="9217" max="9217" width="11.5703125" customWidth="1"/>
    <col min="9218" max="9248" width="7.7109375" customWidth="1"/>
    <col min="9249" max="9249" width="12.7109375" customWidth="1"/>
    <col min="9473" max="9473" width="11.5703125" customWidth="1"/>
    <col min="9474" max="9504" width="7.7109375" customWidth="1"/>
    <col min="9505" max="9505" width="12.7109375" customWidth="1"/>
    <col min="9729" max="9729" width="11.5703125" customWidth="1"/>
    <col min="9730" max="9760" width="7.7109375" customWidth="1"/>
    <col min="9761" max="9761" width="12.7109375" customWidth="1"/>
    <col min="9985" max="9985" width="11.5703125" customWidth="1"/>
    <col min="9986" max="10016" width="7.7109375" customWidth="1"/>
    <col min="10017" max="10017" width="12.7109375" customWidth="1"/>
    <col min="10241" max="10241" width="11.5703125" customWidth="1"/>
    <col min="10242" max="10272" width="7.7109375" customWidth="1"/>
    <col min="10273" max="10273" width="12.7109375" customWidth="1"/>
    <col min="10497" max="10497" width="11.5703125" customWidth="1"/>
    <col min="10498" max="10528" width="7.7109375" customWidth="1"/>
    <col min="10529" max="10529" width="12.7109375" customWidth="1"/>
    <col min="10753" max="10753" width="11.5703125" customWidth="1"/>
    <col min="10754" max="10784" width="7.7109375" customWidth="1"/>
    <col min="10785" max="10785" width="12.7109375" customWidth="1"/>
    <col min="11009" max="11009" width="11.5703125" customWidth="1"/>
    <col min="11010" max="11040" width="7.7109375" customWidth="1"/>
    <col min="11041" max="11041" width="12.7109375" customWidth="1"/>
    <col min="11265" max="11265" width="11.5703125" customWidth="1"/>
    <col min="11266" max="11296" width="7.7109375" customWidth="1"/>
    <col min="11297" max="11297" width="12.7109375" customWidth="1"/>
    <col min="11521" max="11521" width="11.5703125" customWidth="1"/>
    <col min="11522" max="11552" width="7.7109375" customWidth="1"/>
    <col min="11553" max="11553" width="12.7109375" customWidth="1"/>
    <col min="11777" max="11777" width="11.5703125" customWidth="1"/>
    <col min="11778" max="11808" width="7.7109375" customWidth="1"/>
    <col min="11809" max="11809" width="12.7109375" customWidth="1"/>
    <col min="12033" max="12033" width="11.5703125" customWidth="1"/>
    <col min="12034" max="12064" width="7.7109375" customWidth="1"/>
    <col min="12065" max="12065" width="12.7109375" customWidth="1"/>
    <col min="12289" max="12289" width="11.5703125" customWidth="1"/>
    <col min="12290" max="12320" width="7.7109375" customWidth="1"/>
    <col min="12321" max="12321" width="12.7109375" customWidth="1"/>
    <col min="12545" max="12545" width="11.5703125" customWidth="1"/>
    <col min="12546" max="12576" width="7.7109375" customWidth="1"/>
    <col min="12577" max="12577" width="12.7109375" customWidth="1"/>
    <col min="12801" max="12801" width="11.5703125" customWidth="1"/>
    <col min="12802" max="12832" width="7.7109375" customWidth="1"/>
    <col min="12833" max="12833" width="12.7109375" customWidth="1"/>
    <col min="13057" max="13057" width="11.5703125" customWidth="1"/>
    <col min="13058" max="13088" width="7.7109375" customWidth="1"/>
    <col min="13089" max="13089" width="12.7109375" customWidth="1"/>
    <col min="13313" max="13313" width="11.5703125" customWidth="1"/>
    <col min="13314" max="13344" width="7.7109375" customWidth="1"/>
    <col min="13345" max="13345" width="12.7109375" customWidth="1"/>
    <col min="13569" max="13569" width="11.5703125" customWidth="1"/>
    <col min="13570" max="13600" width="7.7109375" customWidth="1"/>
    <col min="13601" max="13601" width="12.7109375" customWidth="1"/>
    <col min="13825" max="13825" width="11.5703125" customWidth="1"/>
    <col min="13826" max="13856" width="7.7109375" customWidth="1"/>
    <col min="13857" max="13857" width="12.7109375" customWidth="1"/>
    <col min="14081" max="14081" width="11.5703125" customWidth="1"/>
    <col min="14082" max="14112" width="7.7109375" customWidth="1"/>
    <col min="14113" max="14113" width="12.7109375" customWidth="1"/>
    <col min="14337" max="14337" width="11.5703125" customWidth="1"/>
    <col min="14338" max="14368" width="7.7109375" customWidth="1"/>
    <col min="14369" max="14369" width="12.7109375" customWidth="1"/>
    <col min="14593" max="14593" width="11.5703125" customWidth="1"/>
    <col min="14594" max="14624" width="7.7109375" customWidth="1"/>
    <col min="14625" max="14625" width="12.7109375" customWidth="1"/>
    <col min="14849" max="14849" width="11.5703125" customWidth="1"/>
    <col min="14850" max="14880" width="7.7109375" customWidth="1"/>
    <col min="14881" max="14881" width="12.7109375" customWidth="1"/>
    <col min="15105" max="15105" width="11.5703125" customWidth="1"/>
    <col min="15106" max="15136" width="7.7109375" customWidth="1"/>
    <col min="15137" max="15137" width="12.7109375" customWidth="1"/>
    <col min="15361" max="15361" width="11.5703125" customWidth="1"/>
    <col min="15362" max="15392" width="7.7109375" customWidth="1"/>
    <col min="15393" max="15393" width="12.7109375" customWidth="1"/>
    <col min="15617" max="15617" width="11.5703125" customWidth="1"/>
    <col min="15618" max="15648" width="7.7109375" customWidth="1"/>
    <col min="15649" max="15649" width="12.7109375" customWidth="1"/>
    <col min="15873" max="15873" width="11.5703125" customWidth="1"/>
    <col min="15874" max="15904" width="7.7109375" customWidth="1"/>
    <col min="15905" max="15905" width="12.7109375" customWidth="1"/>
    <col min="16129" max="16129" width="11.5703125" customWidth="1"/>
    <col min="16130" max="16160" width="7.7109375" customWidth="1"/>
    <col min="16161" max="16161" width="12.7109375" customWidth="1"/>
  </cols>
  <sheetData>
    <row r="1" spans="1:32" ht="18">
      <c r="A1" s="1"/>
      <c r="B1" s="2" t="str">
        <f>'[1]Dia 1 (b)'!C1</f>
        <v>JANEIRO DE 2023</v>
      </c>
      <c r="C1" s="3"/>
      <c r="D1" s="4"/>
      <c r="E1" s="5"/>
      <c r="F1" s="2"/>
      <c r="G1" s="3"/>
      <c r="H1" s="3"/>
      <c r="I1" s="3"/>
      <c r="J1" s="3"/>
      <c r="K1" s="3" t="s">
        <v>0</v>
      </c>
      <c r="L1" s="3"/>
      <c r="M1" s="3"/>
      <c r="N1" s="6"/>
      <c r="O1" s="7"/>
      <c r="P1" s="8"/>
      <c r="Q1" s="7"/>
      <c r="R1" s="7"/>
      <c r="S1" s="7"/>
      <c r="T1" s="7"/>
      <c r="U1" s="7"/>
      <c r="V1" s="9"/>
      <c r="W1" s="3"/>
      <c r="X1" s="3"/>
      <c r="Y1" s="3"/>
      <c r="Z1" s="3"/>
      <c r="AA1" s="3"/>
      <c r="AB1" s="3"/>
      <c r="AC1" s="3"/>
      <c r="AD1" s="3"/>
      <c r="AE1" s="3"/>
      <c r="AF1" s="3"/>
    </row>
    <row r="2" spans="1:32" ht="15.75" thickBot="1">
      <c r="A2" s="1"/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</row>
    <row r="3" spans="1:32" ht="20.100000000000001" customHeight="1" thickBot="1">
      <c r="A3" s="10" t="s">
        <v>1</v>
      </c>
      <c r="B3" s="11">
        <v>1</v>
      </c>
      <c r="C3" s="11">
        <v>2</v>
      </c>
      <c r="D3" s="11">
        <v>3</v>
      </c>
      <c r="E3" s="11">
        <v>4</v>
      </c>
      <c r="F3" s="11">
        <v>5</v>
      </c>
      <c r="G3" s="11">
        <v>6</v>
      </c>
      <c r="H3" s="11">
        <v>7</v>
      </c>
      <c r="I3" s="11">
        <v>8</v>
      </c>
      <c r="J3" s="11">
        <v>9</v>
      </c>
      <c r="K3" s="11">
        <v>10</v>
      </c>
      <c r="L3" s="11">
        <v>11</v>
      </c>
      <c r="M3" s="11">
        <v>12</v>
      </c>
      <c r="N3" s="11">
        <v>13</v>
      </c>
      <c r="O3" s="11">
        <v>14</v>
      </c>
      <c r="P3" s="11">
        <v>15</v>
      </c>
      <c r="Q3" s="11">
        <v>16</v>
      </c>
      <c r="R3" s="11">
        <v>17</v>
      </c>
      <c r="S3" s="11">
        <v>18</v>
      </c>
      <c r="T3" s="11">
        <v>19</v>
      </c>
      <c r="U3" s="11">
        <v>20</v>
      </c>
      <c r="V3" s="11">
        <v>21</v>
      </c>
      <c r="W3" s="11">
        <v>22</v>
      </c>
      <c r="X3" s="11">
        <v>23</v>
      </c>
      <c r="Y3" s="11">
        <v>24</v>
      </c>
      <c r="Z3" s="12">
        <v>25</v>
      </c>
      <c r="AA3" s="12">
        <v>26</v>
      </c>
      <c r="AB3" s="12">
        <v>27</v>
      </c>
      <c r="AC3" s="12">
        <v>28</v>
      </c>
      <c r="AD3" s="12">
        <v>29</v>
      </c>
      <c r="AE3" s="12">
        <v>30</v>
      </c>
      <c r="AF3" s="13">
        <v>31</v>
      </c>
    </row>
    <row r="4" spans="1:32" ht="20.100000000000001" customHeight="1">
      <c r="A4" s="14">
        <v>1</v>
      </c>
      <c r="B4" s="15">
        <f>'[1]Dia 1 (b)'!$X10</f>
        <v>14.391045108037179</v>
      </c>
      <c r="C4" s="15">
        <f>'[1]Dia 2 (b)'!$X10</f>
        <v>13.900866758690775</v>
      </c>
      <c r="D4" s="15">
        <f>'[1]Dia 3 (b)'!$X10</f>
        <v>14.325722444718991</v>
      </c>
      <c r="E4" s="15">
        <f>'[1]Dia 4 (b)'!$X10</f>
        <v>14.363811746305453</v>
      </c>
      <c r="F4" s="15">
        <f>'[1]Dia 5 (b)'!$X10</f>
        <v>12.513025490480526</v>
      </c>
      <c r="G4" s="15">
        <f>'[1]Dia 6 (b)'!$X10</f>
        <v>11.310772409640716</v>
      </c>
      <c r="H4" s="15">
        <f>'[1]Dia 7 (b)'!$X10</f>
        <v>11.505903917399317</v>
      </c>
      <c r="I4" s="15">
        <f>'[1]Dia 8 (b)'!$X10</f>
        <v>12.07945602163946</v>
      </c>
      <c r="J4" s="15">
        <f>'[1]Dia 9 (b)'!$X10</f>
        <v>12.395132285111044</v>
      </c>
      <c r="K4" s="15">
        <f>'[1]Dia 10 (b)'!$X10</f>
        <v>13.617473988468905</v>
      </c>
      <c r="L4" s="15">
        <f>'[1]Dia 11 (b)'!$X10</f>
        <v>15.077937876775961</v>
      </c>
      <c r="M4" s="15">
        <f>'[1]Dia 12 (b)'!$X10</f>
        <v>14.11849624135353</v>
      </c>
      <c r="N4" s="15">
        <f>'[1]Dia 13 (b)'!$X10</f>
        <v>15.889761895442561</v>
      </c>
      <c r="O4" s="15">
        <f>'[1]Dia 14 (b)'!$X10</f>
        <v>15.197940853626859</v>
      </c>
      <c r="P4" s="15">
        <f>'[1]Dia 15 (b)'!$X10</f>
        <v>16.816428616852484</v>
      </c>
      <c r="Q4" s="15">
        <f>'[1]Dia 16 (b)'!$X10</f>
        <v>15.745950230026114</v>
      </c>
      <c r="R4" s="15">
        <f>'[1]Dia 17 (b)'!$X10</f>
        <v>16.198427160520794</v>
      </c>
      <c r="S4" s="15">
        <f>'[1]Dia 18 (b)'!$X10</f>
        <v>14.797250473035538</v>
      </c>
      <c r="T4" s="15">
        <f>'[1]Dia 19 (b)'!$X10</f>
        <v>15.125589375461814</v>
      </c>
      <c r="U4" s="15">
        <f>'[1]Dia 20 (b)'!$X10</f>
        <v>15.011797425771549</v>
      </c>
      <c r="V4" s="15">
        <f>'[1]Dia 21 (b)'!$X10</f>
        <v>13.512736767355875</v>
      </c>
      <c r="W4" s="15">
        <f>'[1]Dia 22 (b)'!$X10</f>
        <v>14.621946222606836</v>
      </c>
      <c r="X4" s="15">
        <f>'[1]Dia 23 (b)'!$X10</f>
        <v>16.076271875892299</v>
      </c>
      <c r="Y4" s="15">
        <f>'[1]Dia 24 (b)'!$X10</f>
        <v>15.611620608878022</v>
      </c>
      <c r="Z4" s="15">
        <f>'[1]Dia 25 (b)'!$X10</f>
        <v>14.322798571208871</v>
      </c>
      <c r="AA4" s="15">
        <f>'[1]Dia 26 (b)'!$X10</f>
        <v>12.797120580349224</v>
      </c>
      <c r="AB4" s="15">
        <f>'[1]Dia 27 (b)'!$X10</f>
        <v>11.208027559045826</v>
      </c>
      <c r="AC4" s="15">
        <f>'[1]Dia 28 (b)'!$X10</f>
        <v>13.774828550841644</v>
      </c>
      <c r="AD4" s="15">
        <f>'[1]Dia 29 (b)'!$X10</f>
        <v>16.545830948968</v>
      </c>
      <c r="AE4" s="15">
        <f>'[1]Dia 30 (b)'!$X10</f>
        <v>15.258666441614135</v>
      </c>
      <c r="AF4" s="15">
        <f>'[1]Dia 31 (b)'!$X10</f>
        <v>14.708593524641524</v>
      </c>
    </row>
    <row r="5" spans="1:32" ht="20.100000000000001" customHeight="1">
      <c r="A5" s="14">
        <v>2</v>
      </c>
      <c r="B5" s="15">
        <f>'[1]Dia 1 (b)'!$X11</f>
        <v>13.778933220337313</v>
      </c>
      <c r="C5" s="15">
        <f>'[1]Dia 2 (b)'!$X11</f>
        <v>13.372717223480377</v>
      </c>
      <c r="D5" s="15">
        <f>'[1]Dia 3 (b)'!$X11</f>
        <v>14.090663638626159</v>
      </c>
      <c r="E5" s="15">
        <f>'[1]Dia 4 (b)'!$X11</f>
        <v>14.642425157451186</v>
      </c>
      <c r="F5" s="15">
        <f>'[1]Dia 5 (b)'!$X11</f>
        <v>12.600441873409787</v>
      </c>
      <c r="G5" s="15">
        <f>'[1]Dia 6 (b)'!$X11</f>
        <v>11.275270110768107</v>
      </c>
      <c r="H5" s="15">
        <f>'[1]Dia 7 (b)'!$X11</f>
        <v>11.790919559200089</v>
      </c>
      <c r="I5" s="15">
        <f>'[1]Dia 8 (b)'!$X11</f>
        <v>11.8814045945694</v>
      </c>
      <c r="J5" s="15">
        <f>'[1]Dia 9 (b)'!$X11</f>
        <v>12.08763574433611</v>
      </c>
      <c r="K5" s="15">
        <f>'[1]Dia 10 (b)'!$X11</f>
        <v>13.632102737971596</v>
      </c>
      <c r="L5" s="15">
        <f>'[1]Dia 11 (b)'!$X11</f>
        <v>14.99298123950841</v>
      </c>
      <c r="M5" s="15">
        <f>'[1]Dia 12 (b)'!$X11</f>
        <v>14.153155244619331</v>
      </c>
      <c r="N5" s="15">
        <f>'[1]Dia 13 (b)'!$X11</f>
        <v>15.97109552607815</v>
      </c>
      <c r="O5" s="15">
        <f>'[1]Dia 14 (b)'!$X11</f>
        <v>15.020777789172223</v>
      </c>
      <c r="P5" s="15">
        <f>'[1]Dia 15 (b)'!$X11</f>
        <v>16.379245836679644</v>
      </c>
      <c r="Q5" s="15">
        <f>'[1]Dia 16 (b)'!$X11</f>
        <v>16.150052015741956</v>
      </c>
      <c r="R5" s="15">
        <f>'[1]Dia 17 (b)'!$X11</f>
        <v>16.683376750007422</v>
      </c>
      <c r="S5" s="15">
        <f>'[1]Dia 18 (b)'!$X11</f>
        <v>14.39881711071458</v>
      </c>
      <c r="T5" s="15">
        <f>'[1]Dia 19 (b)'!$X11</f>
        <v>14.554372466261102</v>
      </c>
      <c r="U5" s="15">
        <f>'[1]Dia 20 (b)'!$X11</f>
        <v>14.154130498743264</v>
      </c>
      <c r="V5" s="15">
        <f>'[1]Dia 21 (b)'!$X11</f>
        <v>13.548549576294324</v>
      </c>
      <c r="W5" s="15">
        <f>'[1]Dia 22 (b)'!$X11</f>
        <v>14.001889275725247</v>
      </c>
      <c r="X5" s="15">
        <f>'[1]Dia 23 (b)'!$X11</f>
        <v>15.330910200811545</v>
      </c>
      <c r="Y5" s="15">
        <f>'[1]Dia 24 (b)'!$X11</f>
        <v>15.149651273906754</v>
      </c>
      <c r="Z5" s="15">
        <f>'[1]Dia 25 (b)'!$X11</f>
        <v>14.708540560527659</v>
      </c>
      <c r="AA5" s="15">
        <f>'[1]Dia 26 (b)'!$X11</f>
        <v>12.331985998958169</v>
      </c>
      <c r="AB5" s="15">
        <f>'[1]Dia 27 (b)'!$X11</f>
        <v>11.39171370555181</v>
      </c>
      <c r="AC5" s="15">
        <f>'[1]Dia 28 (b)'!$X11</f>
        <v>14.012122399994132</v>
      </c>
      <c r="AD5" s="15">
        <f>'[1]Dia 29 (b)'!$X11</f>
        <v>16.822276315890782</v>
      </c>
      <c r="AE5" s="15">
        <f>'[1]Dia 30 (b)'!$X11</f>
        <v>15.223309419515179</v>
      </c>
      <c r="AF5" s="15">
        <f>'[1]Dia 31 (b)'!$X11</f>
        <v>15.553486119813927</v>
      </c>
    </row>
    <row r="6" spans="1:32" ht="20.100000000000001" customHeight="1">
      <c r="A6" s="14">
        <v>3</v>
      </c>
      <c r="B6" s="15">
        <f>'[1]Dia 1 (b)'!$X12</f>
        <v>13.267953013880593</v>
      </c>
      <c r="C6" s="15">
        <f>'[1]Dia 2 (b)'!$X12</f>
        <v>14.108956332239439</v>
      </c>
      <c r="D6" s="15">
        <f>'[1]Dia 3 (b)'!$X12</f>
        <v>13.659456859136139</v>
      </c>
      <c r="E6" s="15">
        <f>'[1]Dia 4 (b)'!$X12</f>
        <v>14.290133350595568</v>
      </c>
      <c r="F6" s="15">
        <f>'[1]Dia 5 (b)'!$X12</f>
        <v>12.521960766904622</v>
      </c>
      <c r="G6" s="15">
        <f>'[1]Dia 6 (b)'!$X12</f>
        <v>11.399963072332158</v>
      </c>
      <c r="H6" s="15">
        <f>'[1]Dia 7 (b)'!$X12</f>
        <v>11.619191225967739</v>
      </c>
      <c r="I6" s="15">
        <f>'[1]Dia 8 (b)'!$X12</f>
        <v>12.099393437050306</v>
      </c>
      <c r="J6" s="15">
        <f>'[1]Dia 9 (b)'!$X12</f>
        <v>12.072750272434162</v>
      </c>
      <c r="K6" s="15">
        <f>'[1]Dia 10 (b)'!$X12</f>
        <v>13.609992307315304</v>
      </c>
      <c r="L6" s="15">
        <f>'[1]Dia 11 (b)'!$X12</f>
        <v>14.536988629905373</v>
      </c>
      <c r="M6" s="15">
        <f>'[1]Dia 12 (b)'!$X12</f>
        <v>14.013059727342242</v>
      </c>
      <c r="N6" s="15">
        <f>'[1]Dia 13 (b)'!$X12</f>
        <v>15.58718212752937</v>
      </c>
      <c r="O6" s="15">
        <f>'[1]Dia 14 (b)'!$X12</f>
        <v>14.872371886206684</v>
      </c>
      <c r="P6" s="15">
        <f>'[1]Dia 15 (b)'!$X12</f>
        <v>16.466903177156137</v>
      </c>
      <c r="Q6" s="15">
        <f>'[1]Dia 16 (b)'!$X12</f>
        <v>15.754946697203007</v>
      </c>
      <c r="R6" s="15">
        <f>'[1]Dia 17 (b)'!$X12</f>
        <v>16.638032827519961</v>
      </c>
      <c r="S6" s="15">
        <f>'[1]Dia 18 (b)'!$X12</f>
        <v>14.584162696288683</v>
      </c>
      <c r="T6" s="15">
        <f>'[1]Dia 19 (b)'!$X12</f>
        <v>14.11225423664167</v>
      </c>
      <c r="U6" s="15">
        <f>'[1]Dia 20 (b)'!$X12</f>
        <v>14.127021820519584</v>
      </c>
      <c r="V6" s="15">
        <f>'[1]Dia 21 (b)'!$X12</f>
        <v>14.25121965900602</v>
      </c>
      <c r="W6" s="15">
        <f>'[1]Dia 22 (b)'!$X12</f>
        <v>14.153921329513116</v>
      </c>
      <c r="X6" s="15">
        <f>'[1]Dia 23 (b)'!$X12</f>
        <v>15.168870315293924</v>
      </c>
      <c r="Y6" s="15">
        <f>'[1]Dia 24 (b)'!$X12</f>
        <v>14.536785705388567</v>
      </c>
      <c r="Z6" s="15">
        <f>'[1]Dia 25 (b)'!$X12</f>
        <v>14.109441993329138</v>
      </c>
      <c r="AA6" s="15">
        <f>'[1]Dia 26 (b)'!$X12</f>
        <v>11.951742663453874</v>
      </c>
      <c r="AB6" s="15">
        <f>'[1]Dia 27 (b)'!$X12</f>
        <v>11.647459719550183</v>
      </c>
      <c r="AC6" s="15">
        <f>'[1]Dia 28 (b)'!$X12</f>
        <v>14.368682061501939</v>
      </c>
      <c r="AD6" s="15">
        <f>'[1]Dia 29 (b)'!$X12</f>
        <v>16.052462990931708</v>
      </c>
      <c r="AE6" s="15">
        <f>'[1]Dia 30 (b)'!$X12</f>
        <v>15.071112703442237</v>
      </c>
      <c r="AF6" s="15">
        <f>'[1]Dia 31 (b)'!$X12</f>
        <v>15.23447126831495</v>
      </c>
    </row>
    <row r="7" spans="1:32" ht="20.100000000000001" customHeight="1">
      <c r="A7" s="14">
        <v>4</v>
      </c>
      <c r="B7" s="15">
        <f>'[1]Dia 1 (b)'!$X13</f>
        <v>12.504396502195473</v>
      </c>
      <c r="C7" s="15">
        <f>'[1]Dia 2 (b)'!$X13</f>
        <v>13.628065799068979</v>
      </c>
      <c r="D7" s="15">
        <f>'[1]Dia 3 (b)'!$X13</f>
        <v>14.025697278432435</v>
      </c>
      <c r="E7" s="15">
        <f>'[1]Dia 4 (b)'!$X13</f>
        <v>14.466044394655272</v>
      </c>
      <c r="F7" s="15">
        <f>'[1]Dia 5 (b)'!$X13</f>
        <v>12.311526185786853</v>
      </c>
      <c r="G7" s="15">
        <f>'[1]Dia 6 (b)'!$X13</f>
        <v>11.401249524959063</v>
      </c>
      <c r="H7" s="15">
        <f>'[1]Dia 7 (b)'!$X13</f>
        <v>11.164365190910518</v>
      </c>
      <c r="I7" s="15">
        <f>'[1]Dia 8 (b)'!$X13</f>
        <v>11.894150154133614</v>
      </c>
      <c r="J7" s="15">
        <f>'[1]Dia 9 (b)'!$X13</f>
        <v>11.95140284489762</v>
      </c>
      <c r="K7" s="15">
        <f>'[1]Dia 10 (b)'!$X13</f>
        <v>13.215893059377093</v>
      </c>
      <c r="L7" s="15">
        <f>'[1]Dia 11 (b)'!$X13</f>
        <v>14.519274224025924</v>
      </c>
      <c r="M7" s="15">
        <f>'[1]Dia 12 (b)'!$X13</f>
        <v>13.866702498550598</v>
      </c>
      <c r="N7" s="15">
        <f>'[1]Dia 13 (b)'!$X13</f>
        <v>15.588234354951288</v>
      </c>
      <c r="O7" s="15">
        <f>'[1]Dia 14 (b)'!$X13</f>
        <v>14.715235388248258</v>
      </c>
      <c r="P7" s="15">
        <f>'[1]Dia 15 (b)'!$X13</f>
        <v>16.648055692956966</v>
      </c>
      <c r="Q7" s="15">
        <f>'[1]Dia 16 (b)'!$X13</f>
        <v>16.117467934738293</v>
      </c>
      <c r="R7" s="15">
        <f>'[1]Dia 17 (b)'!$X13</f>
        <v>16.438539754842235</v>
      </c>
      <c r="S7" s="15">
        <f>'[1]Dia 18 (b)'!$X13</f>
        <v>14.402636894682535</v>
      </c>
      <c r="T7" s="15">
        <f>'[1]Dia 19 (b)'!$X13</f>
        <v>13.793484723829032</v>
      </c>
      <c r="U7" s="15">
        <f>'[1]Dia 20 (b)'!$X13</f>
        <v>14.490201188297451</v>
      </c>
      <c r="V7" s="15">
        <f>'[1]Dia 21 (b)'!$X13</f>
        <v>13.645392023595495</v>
      </c>
      <c r="W7" s="15">
        <f>'[1]Dia 22 (b)'!$X13</f>
        <v>14.092993339613532</v>
      </c>
      <c r="X7" s="15">
        <f>'[1]Dia 23 (b)'!$X13</f>
        <v>15.428613147321961</v>
      </c>
      <c r="Y7" s="15">
        <f>'[1]Dia 24 (b)'!$X13</f>
        <v>15.381128086478949</v>
      </c>
      <c r="Z7" s="15">
        <f>'[1]Dia 25 (b)'!$X13</f>
        <v>13.907684596593533</v>
      </c>
      <c r="AA7" s="15">
        <f>'[1]Dia 26 (b)'!$X13</f>
        <v>11.804660876007503</v>
      </c>
      <c r="AB7" s="15">
        <f>'[1]Dia 27 (b)'!$X13</f>
        <v>11.83687853584577</v>
      </c>
      <c r="AC7" s="15">
        <f>'[1]Dia 28 (b)'!$X13</f>
        <v>14.257667474663997</v>
      </c>
      <c r="AD7" s="15">
        <f>'[1]Dia 29 (b)'!$X13</f>
        <v>15.877993849640763</v>
      </c>
      <c r="AE7" s="15">
        <f>'[1]Dia 30 (b)'!$X13</f>
        <v>15.16902251985837</v>
      </c>
      <c r="AF7" s="15">
        <f>'[1]Dia 31 (b)'!$X13</f>
        <v>15.165157537136956</v>
      </c>
    </row>
    <row r="8" spans="1:32" ht="20.100000000000001" customHeight="1">
      <c r="A8" s="14">
        <v>5</v>
      </c>
      <c r="B8" s="15">
        <f>'[1]Dia 1 (b)'!$X14</f>
        <v>12.524966165524065</v>
      </c>
      <c r="C8" s="15">
        <f>'[1]Dia 2 (b)'!$X14</f>
        <v>13.521855837477112</v>
      </c>
      <c r="D8" s="15">
        <f>'[1]Dia 3 (b)'!$X14</f>
        <v>14.106026455007402</v>
      </c>
      <c r="E8" s="15">
        <f>'[1]Dia 4 (b)'!$X14</f>
        <v>14.205690261802824</v>
      </c>
      <c r="F8" s="15">
        <f>'[1]Dia 5 (b)'!$X14</f>
        <v>12.306078211716942</v>
      </c>
      <c r="G8" s="15">
        <f>'[1]Dia 6 (b)'!$X14</f>
        <v>11.54498109289772</v>
      </c>
      <c r="H8" s="15">
        <f>'[1]Dia 7 (b)'!$X14</f>
        <v>10.910263264536603</v>
      </c>
      <c r="I8" s="15">
        <f>'[1]Dia 8 (b)'!$X14</f>
        <v>11.625799705516606</v>
      </c>
      <c r="J8" s="15">
        <f>'[1]Dia 9 (b)'!$X14</f>
        <v>11.95043502238844</v>
      </c>
      <c r="K8" s="15">
        <f>'[1]Dia 10 (b)'!$X14</f>
        <v>13.271843990868634</v>
      </c>
      <c r="L8" s="15">
        <f>'[1]Dia 11 (b)'!$X14</f>
        <v>14.611221468478744</v>
      </c>
      <c r="M8" s="15">
        <f>'[1]Dia 12 (b)'!$X14</f>
        <v>13.949548716142356</v>
      </c>
      <c r="N8" s="15">
        <f>'[1]Dia 13 (b)'!$X14</f>
        <v>15.582470535286554</v>
      </c>
      <c r="O8" s="15">
        <f>'[1]Dia 14 (b)'!$X14</f>
        <v>14.647317396118165</v>
      </c>
      <c r="P8" s="15">
        <f>'[1]Dia 15 (b)'!$X14</f>
        <v>16.140172307367678</v>
      </c>
      <c r="Q8" s="15">
        <f>'[1]Dia 16 (b)'!$X14</f>
        <v>16.217454839701361</v>
      </c>
      <c r="R8" s="15">
        <f>'[1]Dia 17 (b)'!$X14</f>
        <v>15.954264104420886</v>
      </c>
      <c r="S8" s="15">
        <f>'[1]Dia 18 (b)'!$X14</f>
        <v>14.513943624601524</v>
      </c>
      <c r="T8" s="15">
        <f>'[1]Dia 19 (b)'!$X14</f>
        <v>13.282450700373014</v>
      </c>
      <c r="U8" s="15">
        <f>'[1]Dia 20 (b)'!$X14</f>
        <v>14.256864182460673</v>
      </c>
      <c r="V8" s="15">
        <f>'[1]Dia 21 (b)'!$X14</f>
        <v>13.556914450654276</v>
      </c>
      <c r="W8" s="15">
        <f>'[1]Dia 22 (b)'!$X14</f>
        <v>15.252793178147805</v>
      </c>
      <c r="X8" s="15">
        <f>'[1]Dia 23 (b)'!$X14</f>
        <v>15.837509828056664</v>
      </c>
      <c r="Y8" s="15">
        <f>'[1]Dia 24 (b)'!$X14</f>
        <v>15.02697656957619</v>
      </c>
      <c r="Z8" s="15">
        <f>'[1]Dia 25 (b)'!$X14</f>
        <v>13.585687835320689</v>
      </c>
      <c r="AA8" s="15">
        <f>'[1]Dia 26 (b)'!$X14</f>
        <v>11.731878189273329</v>
      </c>
      <c r="AB8" s="15">
        <f>'[1]Dia 27 (b)'!$X14</f>
        <v>11.92845700538941</v>
      </c>
      <c r="AC8" s="15">
        <f>'[1]Dia 28 (b)'!$X14</f>
        <v>14.317786565970133</v>
      </c>
      <c r="AD8" s="15">
        <f>'[1]Dia 29 (b)'!$X14</f>
        <v>15.775261765109116</v>
      </c>
      <c r="AE8" s="15">
        <f>'[1]Dia 30 (b)'!$X14</f>
        <v>14.973138196597713</v>
      </c>
      <c r="AF8" s="15">
        <f>'[1]Dia 31 (b)'!$X14</f>
        <v>14.487953462330552</v>
      </c>
    </row>
    <row r="9" spans="1:32" ht="20.100000000000001" customHeight="1">
      <c r="A9" s="14">
        <v>6</v>
      </c>
      <c r="B9" s="15">
        <f>'[1]Dia 1 (b)'!$X15</f>
        <v>12.357994754302949</v>
      </c>
      <c r="C9" s="15">
        <f>'[1]Dia 2 (b)'!$X15</f>
        <v>13.748397318210086</v>
      </c>
      <c r="D9" s="15">
        <f>'[1]Dia 3 (b)'!$X15</f>
        <v>14.186722949993989</v>
      </c>
      <c r="E9" s="15">
        <f>'[1]Dia 4 (b)'!$X15</f>
        <v>14.460509547526193</v>
      </c>
      <c r="F9" s="15">
        <f>'[1]Dia 5 (b)'!$X15</f>
        <v>12.092616342033798</v>
      </c>
      <c r="G9" s="15">
        <f>'[1]Dia 6 (b)'!$X15</f>
        <v>11.308970987315394</v>
      </c>
      <c r="H9" s="15">
        <f>'[1]Dia 7 (b)'!$X15</f>
        <v>10.977223877055401</v>
      </c>
      <c r="I9" s="15">
        <f>'[1]Dia 8 (b)'!$X15</f>
        <v>11.345047042057415</v>
      </c>
      <c r="J9" s="15">
        <f>'[1]Dia 9 (b)'!$X15</f>
        <v>12.020782050910935</v>
      </c>
      <c r="K9" s="15">
        <f>'[1]Dia 10 (b)'!$X15</f>
        <v>13.522830839951588</v>
      </c>
      <c r="L9" s="15">
        <f>'[1]Dia 11 (b)'!$X15</f>
        <v>14.598858593132865</v>
      </c>
      <c r="M9" s="15">
        <f>'[1]Dia 12 (b)'!$X15</f>
        <v>13.900385312784223</v>
      </c>
      <c r="N9" s="15">
        <f>'[1]Dia 13 (b)'!$X15</f>
        <v>15.572173547457538</v>
      </c>
      <c r="O9" s="15">
        <f>'[1]Dia 14 (b)'!$X15</f>
        <v>14.821530200691303</v>
      </c>
      <c r="P9" s="15">
        <f>'[1]Dia 15 (b)'!$X15</f>
        <v>16.10343672253914</v>
      </c>
      <c r="Q9" s="15">
        <f>'[1]Dia 16 (b)'!$X15</f>
        <v>16.135658987636567</v>
      </c>
      <c r="R9" s="15">
        <f>'[1]Dia 17 (b)'!$X15</f>
        <v>15.365128662108116</v>
      </c>
      <c r="S9" s="15">
        <f>'[1]Dia 18 (b)'!$X15</f>
        <v>14.7816138001225</v>
      </c>
      <c r="T9" s="15">
        <f>'[1]Dia 19 (b)'!$X15</f>
        <v>13.333234849389315</v>
      </c>
      <c r="U9" s="15">
        <f>'[1]Dia 20 (b)'!$X15</f>
        <v>14.826664646912111</v>
      </c>
      <c r="V9" s="15">
        <f>'[1]Dia 21 (b)'!$X15</f>
        <v>13.412550546072492</v>
      </c>
      <c r="W9" s="15">
        <f>'[1]Dia 22 (b)'!$X15</f>
        <v>15.542520305978689</v>
      </c>
      <c r="X9" s="15">
        <f>'[1]Dia 23 (b)'!$X15</f>
        <v>15.947595789736981</v>
      </c>
      <c r="Y9" s="15">
        <f>'[1]Dia 24 (b)'!$X15</f>
        <v>14.401843895642386</v>
      </c>
      <c r="Z9" s="15">
        <f>'[1]Dia 25 (b)'!$X15</f>
        <v>13.665123991444162</v>
      </c>
      <c r="AA9" s="15">
        <f>'[1]Dia 26 (b)'!$X15</f>
        <v>11.578691110877243</v>
      </c>
      <c r="AB9" s="15">
        <f>'[1]Dia 27 (b)'!$X15</f>
        <v>12.343696401310659</v>
      </c>
      <c r="AC9" s="15">
        <f>'[1]Dia 28 (b)'!$X15</f>
        <v>14.798720832289584</v>
      </c>
      <c r="AD9" s="15">
        <f>'[1]Dia 29 (b)'!$X15</f>
        <v>15.770485015390786</v>
      </c>
      <c r="AE9" s="15">
        <f>'[1]Dia 30 (b)'!$X15</f>
        <v>15.507230297831493</v>
      </c>
      <c r="AF9" s="15">
        <f>'[1]Dia 31 (b)'!$X15</f>
        <v>14.569162624522155</v>
      </c>
    </row>
    <row r="10" spans="1:32" ht="20.100000000000001" customHeight="1">
      <c r="A10" s="14">
        <v>7</v>
      </c>
      <c r="B10" s="16">
        <f>'[1]Dia 1 (b)'!$X16</f>
        <v>13.971105693959599</v>
      </c>
      <c r="C10" s="15">
        <f>'[1]Dia 2 (b)'!$X16</f>
        <v>14.498140528970223</v>
      </c>
      <c r="D10" s="15">
        <f>'[1]Dia 3 (b)'!$X16</f>
        <v>14.135697806230976</v>
      </c>
      <c r="E10" s="15">
        <f>'[1]Dia 4 (b)'!$X16</f>
        <v>14.776480038093279</v>
      </c>
      <c r="F10" s="15">
        <f>'[1]Dia 5 (b)'!$X16</f>
        <v>12.126319651432597</v>
      </c>
      <c r="G10" s="15">
        <f>'[1]Dia 6 (b)'!$X16</f>
        <v>11.599805383397547</v>
      </c>
      <c r="H10" s="15">
        <f>'[1]Dia 7 (b)'!$X16</f>
        <v>10.939439630563434</v>
      </c>
      <c r="I10" s="15">
        <f>'[1]Dia 8 (b)'!$X16</f>
        <v>11.204195117791555</v>
      </c>
      <c r="J10" s="15">
        <f>'[1]Dia 9 (b)'!$X16</f>
        <v>12.688620799051796</v>
      </c>
      <c r="K10" s="15">
        <f>'[1]Dia 10 (b)'!$X16</f>
        <v>14.047729306599779</v>
      </c>
      <c r="L10" s="15">
        <f>'[1]Dia 11 (b)'!$X16</f>
        <v>15.352715925376637</v>
      </c>
      <c r="M10" s="15">
        <f>'[1]Dia 12 (b)'!$X16</f>
        <v>14.013180324985443</v>
      </c>
      <c r="N10" s="15">
        <f>'[1]Dia 13 (b)'!$X16</f>
        <v>15.33490607325421</v>
      </c>
      <c r="O10" s="15">
        <f>'[1]Dia 14 (b)'!$X16</f>
        <v>14.953552826638903</v>
      </c>
      <c r="P10" s="15">
        <f>'[1]Dia 15 (b)'!$X16</f>
        <v>15.9523617329336</v>
      </c>
      <c r="Q10" s="15">
        <f>'[1]Dia 16 (b)'!$X16</f>
        <v>17.237848794562026</v>
      </c>
      <c r="R10" s="15">
        <f>'[1]Dia 17 (b)'!$X16</f>
        <v>16.279916376134764</v>
      </c>
      <c r="S10" s="15">
        <f>'[1]Dia 18 (b)'!$X16</f>
        <v>15.364673291210309</v>
      </c>
      <c r="T10" s="15">
        <f>'[1]Dia 19 (b)'!$X16</f>
        <v>14.957196668433465</v>
      </c>
      <c r="U10" s="15">
        <f>'[1]Dia 20 (b)'!$X16</f>
        <v>15.15020530495875</v>
      </c>
      <c r="V10" s="15">
        <f>'[1]Dia 21 (b)'!$X16</f>
        <v>14.61722269811049</v>
      </c>
      <c r="W10" s="15">
        <f>'[1]Dia 22 (b)'!$X16</f>
        <v>15.105535899684636</v>
      </c>
      <c r="X10" s="15">
        <f>'[1]Dia 23 (b)'!$X16</f>
        <v>16.656691452917492</v>
      </c>
      <c r="Y10" s="15">
        <f>'[1]Dia 24 (b)'!$X16</f>
        <v>15.350234671665367</v>
      </c>
      <c r="Z10" s="15">
        <f>'[1]Dia 25 (b)'!$X16</f>
        <v>15.070373121719856</v>
      </c>
      <c r="AA10" s="15">
        <f>'[1]Dia 26 (b)'!$X16</f>
        <v>11.096212787872755</v>
      </c>
      <c r="AB10" s="15">
        <f>'[1]Dia 27 (b)'!$X16</f>
        <v>12.749869610633167</v>
      </c>
      <c r="AC10" s="15">
        <f>'[1]Dia 28 (b)'!$X16</f>
        <v>15.079290199497624</v>
      </c>
      <c r="AD10" s="15">
        <f>'[1]Dia 29 (b)'!$X16</f>
        <v>16.430053720448054</v>
      </c>
      <c r="AE10" s="15">
        <f>'[1]Dia 30 (b)'!$X16</f>
        <v>15.887675311695981</v>
      </c>
      <c r="AF10" s="15">
        <f>'[1]Dia 31 (b)'!$X16</f>
        <v>14.744348830371154</v>
      </c>
    </row>
    <row r="11" spans="1:32" ht="20.100000000000001" customHeight="1">
      <c r="A11" s="14">
        <v>8</v>
      </c>
      <c r="B11" s="16">
        <f>'[1]Dia 1 (b)'!$X17</f>
        <v>12.739355986836436</v>
      </c>
      <c r="C11" s="15">
        <f>'[1]Dia 2 (b)'!$X17</f>
        <v>13.775753794167466</v>
      </c>
      <c r="D11" s="15">
        <f>'[1]Dia 3 (b)'!$X17</f>
        <v>14.236093813862649</v>
      </c>
      <c r="E11" s="15">
        <f>'[1]Dia 4 (b)'!$X17</f>
        <v>14.715794858573242</v>
      </c>
      <c r="F11" s="15">
        <f>'[1]Dia 5 (b)'!$X17</f>
        <v>12.437600343932919</v>
      </c>
      <c r="G11" s="15">
        <f>'[1]Dia 6 (b)'!$X17</f>
        <v>10.84082404333645</v>
      </c>
      <c r="H11" s="15">
        <f>'[1]Dia 7 (b)'!$X17</f>
        <v>11.387893923920508</v>
      </c>
      <c r="I11" s="15">
        <f>'[1]Dia 8 (b)'!$X17</f>
        <v>12.235965227110597</v>
      </c>
      <c r="J11" s="15">
        <f>'[1]Dia 9 (b)'!$X17</f>
        <v>13.108344277541431</v>
      </c>
      <c r="K11" s="15">
        <f>'[1]Dia 10 (b)'!$X17</f>
        <v>14.347812282475125</v>
      </c>
      <c r="L11" s="15">
        <f>'[1]Dia 11 (b)'!$X17</f>
        <v>15.852085716159936</v>
      </c>
      <c r="M11" s="15">
        <f>'[1]Dia 12 (b)'!$X17</f>
        <v>15.678324767234557</v>
      </c>
      <c r="N11" s="15">
        <f>'[1]Dia 13 (b)'!$X17</f>
        <v>15.781018167071824</v>
      </c>
      <c r="O11" s="15">
        <f>'[1]Dia 14 (b)'!$X17</f>
        <v>14.96181461316039</v>
      </c>
      <c r="P11" s="15">
        <f>'[1]Dia 15 (b)'!$X17</f>
        <v>15.221774138652931</v>
      </c>
      <c r="Q11" s="15">
        <f>'[1]Dia 16 (b)'!$X17</f>
        <v>16.89495042961375</v>
      </c>
      <c r="R11" s="15">
        <f>'[1]Dia 17 (b)'!$X17</f>
        <v>16.570574603885401</v>
      </c>
      <c r="S11" s="15">
        <f>'[1]Dia 18 (b)'!$X17</f>
        <v>15.665393587450879</v>
      </c>
      <c r="T11" s="15">
        <f>'[1]Dia 19 (b)'!$X17</f>
        <v>14.974854342550774</v>
      </c>
      <c r="U11" s="15">
        <f>'[1]Dia 20 (b)'!$X17</f>
        <v>14.657483382909874</v>
      </c>
      <c r="V11" s="15">
        <f>'[1]Dia 21 (b)'!$X17</f>
        <v>14.296414726650255</v>
      </c>
      <c r="W11" s="15">
        <f>'[1]Dia 22 (b)'!$X17</f>
        <v>15.344178689347819</v>
      </c>
      <c r="X11" s="15">
        <f>'[1]Dia 23 (b)'!$X17</f>
        <v>16.100878019587736</v>
      </c>
      <c r="Y11" s="15">
        <f>'[1]Dia 24 (b)'!$X17</f>
        <v>15.329735044037049</v>
      </c>
      <c r="Z11" s="15">
        <f>'[1]Dia 25 (b)'!$X17</f>
        <v>14.581134409741972</v>
      </c>
      <c r="AA11" s="15">
        <f>'[1]Dia 26 (b)'!$X17</f>
        <v>10.376869545211436</v>
      </c>
      <c r="AB11" s="15">
        <f>'[1]Dia 27 (b)'!$X17</f>
        <v>12.839254552844773</v>
      </c>
      <c r="AC11" s="15">
        <f>'[1]Dia 28 (b)'!$X17</f>
        <v>15.269816229354907</v>
      </c>
      <c r="AD11" s="15">
        <f>'[1]Dia 29 (b)'!$X17</f>
        <v>15.684707423917224</v>
      </c>
      <c r="AE11" s="15">
        <f>'[1]Dia 30 (b)'!$X17</f>
        <v>14.778503512643402</v>
      </c>
      <c r="AF11" s="15">
        <f>'[1]Dia 31 (b)'!$X17</f>
        <v>14.392637313284549</v>
      </c>
    </row>
    <row r="12" spans="1:32" ht="20.100000000000001" customHeight="1">
      <c r="A12" s="14">
        <v>9</v>
      </c>
      <c r="B12" s="16">
        <f>'[1]Dia 1 (b)'!$X18</f>
        <v>13.430034051615706</v>
      </c>
      <c r="C12" s="15">
        <f>'[1]Dia 2 (b)'!$X18</f>
        <v>12.987297275633576</v>
      </c>
      <c r="D12" s="15">
        <f>'[1]Dia 3 (b)'!$X18</f>
        <v>14.906430130054057</v>
      </c>
      <c r="E12" s="15">
        <f>'[1]Dia 4 (b)'!$X18</f>
        <v>15.483422983006438</v>
      </c>
      <c r="F12" s="15">
        <f>'[1]Dia 5 (b)'!$X18</f>
        <v>12.513575510675551</v>
      </c>
      <c r="G12" s="15">
        <f>'[1]Dia 6 (b)'!$X18</f>
        <v>10.891867292669389</v>
      </c>
      <c r="H12" s="15">
        <f>'[1]Dia 7 (b)'!$X18</f>
        <v>11.293907380477007</v>
      </c>
      <c r="I12" s="15">
        <f>'[1]Dia 8 (b)'!$X18</f>
        <v>12.487096756042776</v>
      </c>
      <c r="J12" s="15">
        <f>'[1]Dia 9 (b)'!$X18</f>
        <v>13.017853419464615</v>
      </c>
      <c r="K12" s="15">
        <f>'[1]Dia 10 (b)'!$X18</f>
        <v>14.635681993802708</v>
      </c>
      <c r="L12" s="15">
        <f>'[1]Dia 11 (b)'!$X18</f>
        <v>15.113178932971515</v>
      </c>
      <c r="M12" s="15">
        <f>'[1]Dia 12 (b)'!$X18</f>
        <v>15.329501235365852</v>
      </c>
      <c r="N12" s="15">
        <f>'[1]Dia 13 (b)'!$X18</f>
        <v>15.914348950195567</v>
      </c>
      <c r="O12" s="15">
        <f>'[1]Dia 14 (b)'!$X18</f>
        <v>14.84948782703448</v>
      </c>
      <c r="P12" s="15">
        <f>'[1]Dia 15 (b)'!$X18</f>
        <v>15.436166940169867</v>
      </c>
      <c r="Q12" s="15">
        <f>'[1]Dia 16 (b)'!$X18</f>
        <v>16.844437261309722</v>
      </c>
      <c r="R12" s="15">
        <f>'[1]Dia 17 (b)'!$X18</f>
        <v>16.458454781606925</v>
      </c>
      <c r="S12" s="15">
        <f>'[1]Dia 18 (b)'!$X18</f>
        <v>15.465991777255503</v>
      </c>
      <c r="T12" s="15">
        <f>'[1]Dia 19 (b)'!$X18</f>
        <v>14.66302740467186</v>
      </c>
      <c r="U12" s="15">
        <f>'[1]Dia 20 (b)'!$X18</f>
        <v>14.762204291160037</v>
      </c>
      <c r="V12" s="15">
        <f>'[1]Dia 21 (b)'!$X18</f>
        <v>14.30805327118159</v>
      </c>
      <c r="W12" s="15">
        <f>'[1]Dia 22 (b)'!$X18</f>
        <v>15.6340301626478</v>
      </c>
      <c r="X12" s="15">
        <f>'[1]Dia 23 (b)'!$X18</f>
        <v>15.543698580603602</v>
      </c>
      <c r="Y12" s="15">
        <f>'[1]Dia 24 (b)'!$X18</f>
        <v>16.00106046537725</v>
      </c>
      <c r="Z12" s="15">
        <f>'[1]Dia 25 (b)'!$X18</f>
        <v>13.891488755155462</v>
      </c>
      <c r="AA12" s="15">
        <f>'[1]Dia 26 (b)'!$X18</f>
        <v>10.410859283839084</v>
      </c>
      <c r="AB12" s="15">
        <f>'[1]Dia 27 (b)'!$X18</f>
        <v>12.767310283770748</v>
      </c>
      <c r="AC12" s="15">
        <f>'[1]Dia 28 (b)'!$X18</f>
        <v>14.429574079310903</v>
      </c>
      <c r="AD12" s="15">
        <f>'[1]Dia 29 (b)'!$X18</f>
        <v>16.012914624389101</v>
      </c>
      <c r="AE12" s="15">
        <f>'[1]Dia 30 (b)'!$X18</f>
        <v>15.081943354504123</v>
      </c>
      <c r="AF12" s="15">
        <f>'[1]Dia 31 (b)'!$X18</f>
        <v>14.699199493707296</v>
      </c>
    </row>
    <row r="13" spans="1:32" ht="20.100000000000001" customHeight="1">
      <c r="A13" s="14">
        <v>10</v>
      </c>
      <c r="B13" s="16">
        <f>'[1]Dia 1 (b)'!$X19</f>
        <v>13.445898737115966</v>
      </c>
      <c r="C13" s="15">
        <f>'[1]Dia 2 (b)'!$X19</f>
        <v>13.140844981588071</v>
      </c>
      <c r="D13" s="15">
        <f>'[1]Dia 3 (b)'!$X19</f>
        <v>14.086459788391851</v>
      </c>
      <c r="E13" s="15">
        <f>'[1]Dia 4 (b)'!$X19</f>
        <v>15.272649373786102</v>
      </c>
      <c r="F13" s="15">
        <f>'[1]Dia 5 (b)'!$X19</f>
        <v>12.754733886392831</v>
      </c>
      <c r="G13" s="15">
        <f>'[1]Dia 6 (b)'!$X19</f>
        <v>10.434558769801532</v>
      </c>
      <c r="H13" s="15">
        <f>'[1]Dia 7 (b)'!$X19</f>
        <v>11.163707276236975</v>
      </c>
      <c r="I13" s="15">
        <f>'[1]Dia 8 (b)'!$X19</f>
        <v>12.487203954175907</v>
      </c>
      <c r="J13" s="15">
        <f>'[1]Dia 9 (b)'!$X19</f>
        <v>13.297387152830648</v>
      </c>
      <c r="K13" s="15">
        <f>'[1]Dia 10 (b)'!$X19</f>
        <v>14.884548763444979</v>
      </c>
      <c r="L13" s="15">
        <f>'[1]Dia 11 (b)'!$X19</f>
        <v>15.361458426647484</v>
      </c>
      <c r="M13" s="15">
        <f>'[1]Dia 12 (b)'!$X19</f>
        <v>15.115862005056027</v>
      </c>
      <c r="N13" s="15">
        <f>'[1]Dia 13 (b)'!$X19</f>
        <v>15.598071029535445</v>
      </c>
      <c r="O13" s="15">
        <f>'[1]Dia 14 (b)'!$X19</f>
        <v>14.894932005537598</v>
      </c>
      <c r="P13" s="15">
        <f>'[1]Dia 15 (b)'!$X19</f>
        <v>15.324144342945564</v>
      </c>
      <c r="Q13" s="15">
        <f>'[1]Dia 16 (b)'!$X19</f>
        <v>17.514043216921742</v>
      </c>
      <c r="R13" s="15">
        <f>'[1]Dia 17 (b)'!$X19</f>
        <v>15.169192129045944</v>
      </c>
      <c r="S13" s="15">
        <f>'[1]Dia 18 (b)'!$X19</f>
        <v>15.652495792584306</v>
      </c>
      <c r="T13" s="15">
        <f>'[1]Dia 19 (b)'!$X19</f>
        <v>14.534775179935226</v>
      </c>
      <c r="U13" s="15">
        <f>'[1]Dia 20 (b)'!$X19</f>
        <v>14.940903291844085</v>
      </c>
      <c r="V13" s="15">
        <f>'[1]Dia 21 (b)'!$X19</f>
        <v>13.944564345801771</v>
      </c>
      <c r="W13" s="15">
        <f>'[1]Dia 22 (b)'!$X19</f>
        <v>14.389135471292544</v>
      </c>
      <c r="X13" s="15">
        <f>'[1]Dia 23 (b)'!$X19</f>
        <v>15.880682468110956</v>
      </c>
      <c r="Y13" s="15">
        <f>'[1]Dia 24 (b)'!$X19</f>
        <v>15.830425397533256</v>
      </c>
      <c r="Z13" s="15">
        <f>'[1]Dia 25 (b)'!$X19</f>
        <v>13.456918230157985</v>
      </c>
      <c r="AA13" s="15">
        <f>'[1]Dia 26 (b)'!$X19</f>
        <v>9.782107393827209</v>
      </c>
      <c r="AB13" s="15">
        <f>'[1]Dia 27 (b)'!$X19</f>
        <v>13.160791139362324</v>
      </c>
      <c r="AC13" s="15">
        <f>'[1]Dia 28 (b)'!$X19</f>
        <v>14.839896434881705</v>
      </c>
      <c r="AD13" s="15">
        <f>'[1]Dia 29 (b)'!$X19</f>
        <v>15.585696472862455</v>
      </c>
      <c r="AE13" s="15">
        <f>'[1]Dia 30 (b)'!$X19</f>
        <v>14.532580431869908</v>
      </c>
      <c r="AF13" s="15">
        <f>'[1]Dia 31 (b)'!$X19</f>
        <v>14.741295135058765</v>
      </c>
    </row>
    <row r="14" spans="1:32" ht="20.100000000000001" customHeight="1">
      <c r="A14" s="14">
        <v>11</v>
      </c>
      <c r="B14" s="16">
        <f>'[1]Dia 1 (b)'!$X20</f>
        <v>13.599796069132591</v>
      </c>
      <c r="C14" s="15">
        <f>'[1]Dia 2 (b)'!$X20</f>
        <v>13.836208212571083</v>
      </c>
      <c r="D14" s="15">
        <f>'[1]Dia 3 (b)'!$X20</f>
        <v>14.50006298842168</v>
      </c>
      <c r="E14" s="15">
        <f>'[1]Dia 4 (b)'!$X20</f>
        <v>16.586698629599901</v>
      </c>
      <c r="F14" s="15">
        <f>'[1]Dia 5 (b)'!$X20</f>
        <v>12.586239586886174</v>
      </c>
      <c r="G14" s="15">
        <f>'[1]Dia 6 (b)'!$X20</f>
        <v>10.36816610002537</v>
      </c>
      <c r="H14" s="15">
        <f>'[1]Dia 7 (b)'!$X20</f>
        <v>10.602164693562051</v>
      </c>
      <c r="I14" s="15">
        <f>'[1]Dia 8 (b)'!$X20</f>
        <v>12.71360600483777</v>
      </c>
      <c r="J14" s="15">
        <f>'[1]Dia 9 (b)'!$X20</f>
        <v>13.727867002277351</v>
      </c>
      <c r="K14" s="15">
        <f>'[1]Dia 10 (b)'!$X20</f>
        <v>14.718880883076491</v>
      </c>
      <c r="L14" s="15">
        <f>'[1]Dia 11 (b)'!$X20</f>
        <v>15.147502840542314</v>
      </c>
      <c r="M14" s="15">
        <f>'[1]Dia 12 (b)'!$X20</f>
        <v>14.879925484764232</v>
      </c>
      <c r="N14" s="15">
        <f>'[1]Dia 13 (b)'!$X20</f>
        <v>15.219951560815057</v>
      </c>
      <c r="O14" s="15">
        <f>'[1]Dia 14 (b)'!$X20</f>
        <v>14.952262396298565</v>
      </c>
      <c r="P14" s="15">
        <f>'[1]Dia 15 (b)'!$X20</f>
        <v>14.937483711199896</v>
      </c>
      <c r="Q14" s="15">
        <f>'[1]Dia 16 (b)'!$X20</f>
        <v>15.184545391266157</v>
      </c>
      <c r="R14" s="15">
        <f>'[1]Dia 17 (b)'!$X20</f>
        <v>15.019311344394803</v>
      </c>
      <c r="S14" s="15">
        <f>'[1]Dia 18 (b)'!$X20</f>
        <v>14.806937999537736</v>
      </c>
      <c r="T14" s="15">
        <f>'[1]Dia 19 (b)'!$X20</f>
        <v>14.242843374869901</v>
      </c>
      <c r="U14" s="15">
        <f>'[1]Dia 20 (b)'!$X20</f>
        <v>14.59210902689138</v>
      </c>
      <c r="V14" s="15">
        <f>'[1]Dia 21 (b)'!$X20</f>
        <v>13.410453445711275</v>
      </c>
      <c r="W14" s="15">
        <f>'[1]Dia 22 (b)'!$X20</f>
        <v>14.118657961043718</v>
      </c>
      <c r="X14" s="15">
        <f>'[1]Dia 23 (b)'!$X20</f>
        <v>15.136849811052993</v>
      </c>
      <c r="Y14" s="15">
        <f>'[1]Dia 24 (b)'!$X20</f>
        <v>15.512178465561062</v>
      </c>
      <c r="Z14" s="15">
        <f>'[1]Dia 25 (b)'!$X20</f>
        <v>14.107767649366542</v>
      </c>
      <c r="AA14" s="15">
        <f>'[1]Dia 26 (b)'!$X20</f>
        <v>9.44956231756119</v>
      </c>
      <c r="AB14" s="15">
        <f>'[1]Dia 27 (b)'!$X20</f>
        <v>13.075400012608268</v>
      </c>
      <c r="AC14" s="15">
        <f>'[1]Dia 28 (b)'!$X20</f>
        <v>15.180055503780963</v>
      </c>
      <c r="AD14" s="15">
        <f>'[1]Dia 29 (b)'!$X20</f>
        <v>15.887190416121227</v>
      </c>
      <c r="AE14" s="15">
        <f>'[1]Dia 30 (b)'!$X20</f>
        <v>14.705150160829247</v>
      </c>
      <c r="AF14" s="15">
        <f>'[1]Dia 31 (b)'!$X20</f>
        <v>14.655641500508475</v>
      </c>
    </row>
    <row r="15" spans="1:32" ht="20.100000000000001" customHeight="1">
      <c r="A15" s="14">
        <v>12</v>
      </c>
      <c r="B15" s="16">
        <f>'[1]Dia 1 (b)'!$X21</f>
        <v>14.846936899647735</v>
      </c>
      <c r="C15" s="15">
        <f>'[1]Dia 2 (b)'!$X21</f>
        <v>14.100278039681051</v>
      </c>
      <c r="D15" s="15">
        <f>'[1]Dia 3 (b)'!$X21</f>
        <v>13.902523172791428</v>
      </c>
      <c r="E15" s="15">
        <f>'[1]Dia 4 (b)'!$X21</f>
        <v>16.634972126487249</v>
      </c>
      <c r="F15" s="15">
        <f>'[1]Dia 5 (b)'!$X21</f>
        <v>12.751404595985104</v>
      </c>
      <c r="G15" s="15">
        <f>'[1]Dia 6 (b)'!$X21</f>
        <v>9.7723461850913598</v>
      </c>
      <c r="H15" s="15">
        <f>'[1]Dia 7 (b)'!$X21</f>
        <v>11.849082055018878</v>
      </c>
      <c r="I15" s="15">
        <f>'[1]Dia 8 (b)'!$X21</f>
        <v>13.382062397479428</v>
      </c>
      <c r="J15" s="15">
        <f>'[1]Dia 9 (b)'!$X21</f>
        <v>13.731770362721182</v>
      </c>
      <c r="K15" s="15">
        <f>'[1]Dia 10 (b)'!$X21</f>
        <v>15.205271690335476</v>
      </c>
      <c r="L15" s="15">
        <f>'[1]Dia 11 (b)'!$X21</f>
        <v>14.929042702378542</v>
      </c>
      <c r="M15" s="15">
        <f>'[1]Dia 12 (b)'!$X21</f>
        <v>15.283196976032663</v>
      </c>
      <c r="N15" s="15">
        <f>'[1]Dia 13 (b)'!$X21</f>
        <v>14.908864672039218</v>
      </c>
      <c r="O15" s="15">
        <f>'[1]Dia 14 (b)'!$X21</f>
        <v>14.949009285543164</v>
      </c>
      <c r="P15" s="15">
        <f>'[1]Dia 15 (b)'!$X21</f>
        <v>15.207210154199457</v>
      </c>
      <c r="Q15" s="15">
        <f>'[1]Dia 16 (b)'!$X21</f>
        <v>15.76615780188548</v>
      </c>
      <c r="R15" s="15">
        <f>'[1]Dia 17 (b)'!$X21</f>
        <v>14.249761039868512</v>
      </c>
      <c r="S15" s="15">
        <f>'[1]Dia 18 (b)'!$X21</f>
        <v>14.352864758786735</v>
      </c>
      <c r="T15" s="15">
        <f>'[1]Dia 19 (b)'!$X21</f>
        <v>14.501706786958181</v>
      </c>
      <c r="U15" s="15">
        <f>'[1]Dia 20 (b)'!$X21</f>
        <v>13.916731655205243</v>
      </c>
      <c r="V15" s="15">
        <f>'[1]Dia 21 (b)'!$X21</f>
        <v>13.512483031572806</v>
      </c>
      <c r="W15" s="15">
        <f>'[1]Dia 22 (b)'!$X21</f>
        <v>14.204244618033703</v>
      </c>
      <c r="X15" s="15">
        <f>'[1]Dia 23 (b)'!$X21</f>
        <v>14.379452023088009</v>
      </c>
      <c r="Y15" s="15">
        <f>'[1]Dia 24 (b)'!$X21</f>
        <v>15.057489983032331</v>
      </c>
      <c r="Z15" s="15">
        <f>'[1]Dia 25 (b)'!$X21</f>
        <v>13.600186961775977</v>
      </c>
      <c r="AA15" s="15">
        <f>'[1]Dia 26 (b)'!$X21</f>
        <v>9.205860398033785</v>
      </c>
      <c r="AB15" s="15">
        <f>'[1]Dia 27 (b)'!$X21</f>
        <v>14.875226110665468</v>
      </c>
      <c r="AC15" s="15">
        <f>'[1]Dia 28 (b)'!$X21</f>
        <v>14.888786423033514</v>
      </c>
      <c r="AD15" s="15">
        <f>'[1]Dia 29 (b)'!$X21</f>
        <v>15.54762838069759</v>
      </c>
      <c r="AE15" s="15">
        <f>'[1]Dia 30 (b)'!$X21</f>
        <v>14.131248201781492</v>
      </c>
      <c r="AF15" s="15">
        <f>'[1]Dia 31 (b)'!$X21</f>
        <v>14.765082608201308</v>
      </c>
    </row>
    <row r="16" spans="1:32" ht="20.100000000000001" customHeight="1">
      <c r="A16" s="14">
        <v>13</v>
      </c>
      <c r="B16" s="16">
        <f>'[1]Dia 1 (b)'!$X22</f>
        <v>17.17879827081666</v>
      </c>
      <c r="C16" s="15">
        <f>'[1]Dia 2 (b)'!$X22</f>
        <v>13.175289717250903</v>
      </c>
      <c r="D16" s="15">
        <f>'[1]Dia 3 (b)'!$X22</f>
        <v>15.693836154040163</v>
      </c>
      <c r="E16" s="15">
        <f>'[1]Dia 4 (b)'!$X22</f>
        <v>15.576060631376704</v>
      </c>
      <c r="F16" s="15">
        <f>'[1]Dia 5 (b)'!$X22</f>
        <v>13.182215134016948</v>
      </c>
      <c r="G16" s="15">
        <f>'[1]Dia 6 (b)'!$X22</f>
        <v>10.42228609412207</v>
      </c>
      <c r="H16" s="15">
        <f>'[1]Dia 7 (b)'!$X22</f>
        <v>11.210715171024727</v>
      </c>
      <c r="I16" s="15">
        <f>'[1]Dia 8 (b)'!$X22</f>
        <v>13.585058648896037</v>
      </c>
      <c r="J16" s="15">
        <f>'[1]Dia 9 (b)'!$X22</f>
        <v>13.670078084526981</v>
      </c>
      <c r="K16" s="15">
        <f>'[1]Dia 10 (b)'!$X22</f>
        <v>15.660302353818434</v>
      </c>
      <c r="L16" s="15">
        <f>'[1]Dia 11 (b)'!$X22</f>
        <v>15.627996349083917</v>
      </c>
      <c r="M16" s="15">
        <f>'[1]Dia 12 (b)'!$X22</f>
        <v>14.786629499424695</v>
      </c>
      <c r="N16" s="15">
        <f>'[1]Dia 13 (b)'!$X22</f>
        <v>16.077352638817949</v>
      </c>
      <c r="O16" s="15">
        <f>'[1]Dia 14 (b)'!$X22</f>
        <v>14.105552365349277</v>
      </c>
      <c r="P16" s="15">
        <f>'[1]Dia 15 (b)'!$X22</f>
        <v>14.291907407359272</v>
      </c>
      <c r="Q16" s="15">
        <f>'[1]Dia 16 (b)'!$X22</f>
        <v>14.223437893017087</v>
      </c>
      <c r="R16" s="15">
        <f>'[1]Dia 17 (b)'!$X22</f>
        <v>17.656004113420089</v>
      </c>
      <c r="S16" s="15">
        <f>'[1]Dia 18 (b)'!$X22</f>
        <v>15.727295063035642</v>
      </c>
      <c r="T16" s="15">
        <f>'[1]Dia 19 (b)'!$X22</f>
        <v>14.572580326125959</v>
      </c>
      <c r="U16" s="15">
        <f>'[1]Dia 20 (b)'!$X22</f>
        <v>15.224946093416827</v>
      </c>
      <c r="V16" s="15">
        <f>'[1]Dia 21 (b)'!$X22</f>
        <v>13.123001869095049</v>
      </c>
      <c r="W16" s="15">
        <f>'[1]Dia 22 (b)'!$X22</f>
        <v>14.107746455078885</v>
      </c>
      <c r="X16" s="15">
        <f>'[1]Dia 23 (b)'!$X22</f>
        <v>16.433242557112589</v>
      </c>
      <c r="Y16" s="15">
        <f>'[1]Dia 24 (b)'!$X22</f>
        <v>14.289902843689067</v>
      </c>
      <c r="Z16" s="15">
        <f>'[1]Dia 25 (b)'!$X22</f>
        <v>13.753804133438145</v>
      </c>
      <c r="AA16" s="15">
        <f>'[1]Dia 26 (b)'!$X22</f>
        <v>10.252014299453215</v>
      </c>
      <c r="AB16" s="15">
        <f>'[1]Dia 27 (b)'!$X22</f>
        <v>15.090467548839241</v>
      </c>
      <c r="AC16" s="15">
        <f>'[1]Dia 28 (b)'!$X22</f>
        <v>14.090267776634448</v>
      </c>
      <c r="AD16" s="15">
        <f>'[1]Dia 29 (b)'!$X22</f>
        <v>14.427140584889647</v>
      </c>
      <c r="AE16" s="15">
        <f>'[1]Dia 30 (b)'!$X22</f>
        <v>14.344128198194104</v>
      </c>
      <c r="AF16" s="15">
        <f>'[1]Dia 31 (b)'!$X22</f>
        <v>14.532771347709801</v>
      </c>
    </row>
    <row r="17" spans="1:32" ht="20.100000000000001" customHeight="1">
      <c r="A17" s="14">
        <v>14</v>
      </c>
      <c r="B17" s="16">
        <f>'[1]Dia 1 (b)'!$X23</f>
        <v>17.161198556297762</v>
      </c>
      <c r="C17" s="15">
        <f>'[1]Dia 2 (b)'!$X23</f>
        <v>13.297068052584265</v>
      </c>
      <c r="D17" s="15">
        <f>'[1]Dia 3 (b)'!$X23</f>
        <v>15.889711225536171</v>
      </c>
      <c r="E17" s="15">
        <f>'[1]Dia 4 (b)'!$X23</f>
        <v>15.889538698051627</v>
      </c>
      <c r="F17" s="15">
        <f>'[1]Dia 5 (b)'!$X23</f>
        <v>13.349984816525762</v>
      </c>
      <c r="G17" s="15">
        <f>'[1]Dia 6 (b)'!$X23</f>
        <v>10.549048105273881</v>
      </c>
      <c r="H17" s="15">
        <f>'[1]Dia 7 (b)'!$X23</f>
        <v>11.335893576025748</v>
      </c>
      <c r="I17" s="15">
        <f>'[1]Dia 8 (b)'!$X23</f>
        <v>13.492849114313856</v>
      </c>
      <c r="J17" s="15">
        <f>'[1]Dia 9 (b)'!$X23</f>
        <v>13.404585516834526</v>
      </c>
      <c r="K17" s="15">
        <f>'[1]Dia 10 (b)'!$X23</f>
        <v>16.129376599720381</v>
      </c>
      <c r="L17" s="15">
        <f>'[1]Dia 11 (b)'!$X23</f>
        <v>13.995172928564655</v>
      </c>
      <c r="M17" s="15">
        <f>'[1]Dia 12 (b)'!$X23</f>
        <v>16.023210520148719</v>
      </c>
      <c r="N17" s="15">
        <f>'[1]Dia 13 (b)'!$X23</f>
        <v>15.068812717940942</v>
      </c>
      <c r="O17" s="15">
        <f>'[1]Dia 14 (b)'!$X23</f>
        <v>13.790172784926016</v>
      </c>
      <c r="P17" s="15">
        <f>'[1]Dia 15 (b)'!$X23</f>
        <v>13.965557569933926</v>
      </c>
      <c r="Q17" s="15">
        <f>'[1]Dia 16 (b)'!$X23</f>
        <v>18.676637378297556</v>
      </c>
      <c r="R17" s="15">
        <f>'[1]Dia 17 (b)'!$X23</f>
        <v>18.402995789526273</v>
      </c>
      <c r="S17" s="15">
        <f>'[1]Dia 18 (b)'!$X23</f>
        <v>17.732728254628455</v>
      </c>
      <c r="T17" s="15">
        <f>'[1]Dia 19 (b)'!$X23</f>
        <v>16.376543035425748</v>
      </c>
      <c r="U17" s="15">
        <f>'[1]Dia 20 (b)'!$X23</f>
        <v>14.770797596197299</v>
      </c>
      <c r="V17" s="15">
        <f>'[1]Dia 21 (b)'!$X23</f>
        <v>13.320561282869576</v>
      </c>
      <c r="W17" s="15">
        <f>'[1]Dia 22 (b)'!$X23</f>
        <v>13.178338051000862</v>
      </c>
      <c r="X17" s="15">
        <f>'[1]Dia 23 (b)'!$X23</f>
        <v>15.490095854643776</v>
      </c>
      <c r="Y17" s="15">
        <f>'[1]Dia 24 (b)'!$X23</f>
        <v>14.67941493312428</v>
      </c>
      <c r="Z17" s="15">
        <f>'[1]Dia 25 (b)'!$X23</f>
        <v>13.796674779079591</v>
      </c>
      <c r="AA17" s="15">
        <f>'[1]Dia 26 (b)'!$X23</f>
        <v>11.765289012301498</v>
      </c>
      <c r="AB17" s="15">
        <f>'[1]Dia 27 (b)'!$X23</f>
        <v>15.276482225510566</v>
      </c>
      <c r="AC17" s="15">
        <f>'[1]Dia 28 (b)'!$X23</f>
        <v>17.399600606652015</v>
      </c>
      <c r="AD17" s="15">
        <f>'[1]Dia 29 (b)'!$X23</f>
        <v>14.604574811483186</v>
      </c>
      <c r="AE17" s="15">
        <f>'[1]Dia 30 (b)'!$X23</f>
        <v>13.916304406184491</v>
      </c>
      <c r="AF17" s="15">
        <f>'[1]Dia 31 (b)'!$X23</f>
        <v>13.726230242609443</v>
      </c>
    </row>
    <row r="18" spans="1:32" ht="20.100000000000001" customHeight="1">
      <c r="A18" s="14">
        <v>15</v>
      </c>
      <c r="B18" s="16">
        <f>'[1]Dia 1 (b)'!$X24</f>
        <v>16.519213417951118</v>
      </c>
      <c r="C18" s="15">
        <f>'[1]Dia 2 (b)'!$X24</f>
        <v>17.195215448522799</v>
      </c>
      <c r="D18" s="15">
        <f>'[1]Dia 3 (b)'!$X24</f>
        <v>15.36046754286083</v>
      </c>
      <c r="E18" s="15">
        <f>'[1]Dia 4 (b)'!$X24</f>
        <v>16.351517310381663</v>
      </c>
      <c r="F18" s="15">
        <f>'[1]Dia 5 (b)'!$X24</f>
        <v>13.01127273351544</v>
      </c>
      <c r="G18" s="15">
        <f>'[1]Dia 6 (b)'!$X24</f>
        <v>11.153317158525315</v>
      </c>
      <c r="H18" s="15">
        <f>'[1]Dia 7 (b)'!$X24</f>
        <v>11.340755279760881</v>
      </c>
      <c r="I18" s="15">
        <f>'[1]Dia 8 (b)'!$X24</f>
        <v>13.256813393349455</v>
      </c>
      <c r="J18" s="15">
        <f>'[1]Dia 9 (b)'!$X24</f>
        <v>14.117901918190508</v>
      </c>
      <c r="K18" s="15">
        <f>'[1]Dia 10 (b)'!$X24</f>
        <v>17.215517764129054</v>
      </c>
      <c r="L18" s="15">
        <f>'[1]Dia 11 (b)'!$X24</f>
        <v>14.321889133692405</v>
      </c>
      <c r="M18" s="15">
        <f>'[1]Dia 12 (b)'!$X24</f>
        <v>14.562757130696934</v>
      </c>
      <c r="N18" s="15">
        <f>'[1]Dia 13 (b)'!$X24</f>
        <v>14.547655125606138</v>
      </c>
      <c r="O18" s="15">
        <f>'[1]Dia 14 (b)'!$X24</f>
        <v>14.800340356889004</v>
      </c>
      <c r="P18" s="15">
        <f>'[1]Dia 15 (b)'!$X24</f>
        <v>14.59160745387374</v>
      </c>
      <c r="Q18" s="15">
        <f>'[1]Dia 16 (b)'!$X24</f>
        <v>18.706275450522917</v>
      </c>
      <c r="R18" s="15">
        <f>'[1]Dia 17 (b)'!$X24</f>
        <v>17.605217973346939</v>
      </c>
      <c r="S18" s="15">
        <f>'[1]Dia 18 (b)'!$X24</f>
        <v>16.997422611301729</v>
      </c>
      <c r="T18" s="15">
        <f>'[1]Dia 19 (b)'!$X24</f>
        <v>16.049710107389046</v>
      </c>
      <c r="U18" s="15">
        <f>'[1]Dia 20 (b)'!$X24</f>
        <v>14.446985806988227</v>
      </c>
      <c r="V18" s="15">
        <f>'[1]Dia 21 (b)'!$X24</f>
        <v>15.049810198921149</v>
      </c>
      <c r="W18" s="15">
        <f>'[1]Dia 22 (b)'!$X24</f>
        <v>11.930687603343522</v>
      </c>
      <c r="X18" s="15">
        <f>'[1]Dia 23 (b)'!$X24</f>
        <v>15.992663013105055</v>
      </c>
      <c r="Y18" s="15">
        <f>'[1]Dia 24 (b)'!$X24</f>
        <v>17.494587908343156</v>
      </c>
      <c r="Z18" s="15">
        <f>'[1]Dia 25 (b)'!$X24</f>
        <v>13.848959145678071</v>
      </c>
      <c r="AA18" s="15">
        <f>'[1]Dia 26 (b)'!$X24</f>
        <v>10.287023767738368</v>
      </c>
      <c r="AB18" s="15">
        <f>'[1]Dia 27 (b)'!$X24</f>
        <v>15.187000635010063</v>
      </c>
      <c r="AC18" s="15">
        <f>'[1]Dia 28 (b)'!$X24</f>
        <v>16.909949645874455</v>
      </c>
      <c r="AD18" s="15">
        <f>'[1]Dia 29 (b)'!$X24</f>
        <v>14.85873655934842</v>
      </c>
      <c r="AE18" s="15">
        <f>'[1]Dia 30 (b)'!$X24</f>
        <v>12.939412166092408</v>
      </c>
      <c r="AF18" s="15">
        <f>'[1]Dia 31 (b)'!$X24</f>
        <v>14.407993630121045</v>
      </c>
    </row>
    <row r="19" spans="1:32" ht="20.100000000000001" customHeight="1">
      <c r="A19" s="14">
        <v>16</v>
      </c>
      <c r="B19" s="15">
        <f>'[1]Dia 1 (b)'!$X25</f>
        <v>15.673842518934437</v>
      </c>
      <c r="C19" s="15">
        <f>'[1]Dia 2 (b)'!$X25</f>
        <v>16.052654221585993</v>
      </c>
      <c r="D19" s="15">
        <f>'[1]Dia 3 (b)'!$X25</f>
        <v>14.543382255281118</v>
      </c>
      <c r="E19" s="15">
        <f>'[1]Dia 4 (b)'!$X25</f>
        <v>14.502831716707487</v>
      </c>
      <c r="F19" s="15">
        <f>'[1]Dia 5 (b)'!$X25</f>
        <v>12.509910068199897</v>
      </c>
      <c r="G19" s="16">
        <f>'[1]Dia 6 (b)'!$X25</f>
        <v>12.181726079692382</v>
      </c>
      <c r="H19" s="16">
        <f>'[1]Dia 7 (b)'!$X25</f>
        <v>11.499829691225056</v>
      </c>
      <c r="I19" s="15">
        <f>'[1]Dia 8 (b)'!$X25</f>
        <v>13.94964230791828</v>
      </c>
      <c r="J19" s="15">
        <f>'[1]Dia 9 (b)'!$X25</f>
        <v>13.638307218463853</v>
      </c>
      <c r="K19" s="15">
        <f>'[1]Dia 10 (b)'!$X25</f>
        <v>15.736320800606251</v>
      </c>
      <c r="L19" s="15">
        <f>'[1]Dia 11 (b)'!$X25</f>
        <v>14.03349299489453</v>
      </c>
      <c r="M19" s="15">
        <f>'[1]Dia 12 (b)'!$X25</f>
        <v>14.831314412758186</v>
      </c>
      <c r="N19" s="15">
        <f>'[1]Dia 13 (b)'!$X25</f>
        <v>15.313815450859344</v>
      </c>
      <c r="O19" s="15">
        <f>'[1]Dia 14 (b)'!$X25</f>
        <v>14.082359898638861</v>
      </c>
      <c r="P19" s="15">
        <f>'[1]Dia 15 (b)'!$X25</f>
        <v>18.18425095020114</v>
      </c>
      <c r="Q19" s="15">
        <f>'[1]Dia 16 (b)'!$X25</f>
        <v>14.370457623183245</v>
      </c>
      <c r="R19" s="15">
        <f>'[1]Dia 17 (b)'!$X25</f>
        <v>16.570934754036667</v>
      </c>
      <c r="S19" s="15">
        <f>'[1]Dia 18 (b)'!$X25</f>
        <v>16.15957784764209</v>
      </c>
      <c r="T19" s="15">
        <f>'[1]Dia 19 (b)'!$X25</f>
        <v>15.757227301891792</v>
      </c>
      <c r="U19" s="15">
        <f>'[1]Dia 20 (b)'!$X25</f>
        <v>14.428780173796309</v>
      </c>
      <c r="V19" s="15">
        <f>'[1]Dia 21 (b)'!$X25</f>
        <v>14.839365357984123</v>
      </c>
      <c r="W19" s="15">
        <f>'[1]Dia 22 (b)'!$X25</f>
        <v>12.650397295025492</v>
      </c>
      <c r="X19" s="15">
        <f>'[1]Dia 23 (b)'!$X25</f>
        <v>15.778852480218966</v>
      </c>
      <c r="Y19" s="15">
        <f>'[1]Dia 24 (b)'!$X25</f>
        <v>17.281705873065544</v>
      </c>
      <c r="Z19" s="15">
        <f>'[1]Dia 25 (b)'!$X25</f>
        <v>14.5241427443961</v>
      </c>
      <c r="AA19" s="15">
        <f>'[1]Dia 26 (b)'!$X25</f>
        <v>9.5193288428307437</v>
      </c>
      <c r="AB19" s="15">
        <f>'[1]Dia 27 (b)'!$X25</f>
        <v>14.811192571774782</v>
      </c>
      <c r="AC19" s="15">
        <f>'[1]Dia 28 (b)'!$X25</f>
        <v>16.923066824088956</v>
      </c>
      <c r="AD19" s="15">
        <f>'[1]Dia 29 (b)'!$X25</f>
        <v>15.539675615374541</v>
      </c>
      <c r="AE19" s="15">
        <f>'[1]Dia 30 (b)'!$X25</f>
        <v>13.366679667911169</v>
      </c>
      <c r="AF19" s="15">
        <f>'[1]Dia 31 (b)'!$X25</f>
        <v>14.67132912261745</v>
      </c>
    </row>
    <row r="20" spans="1:32" ht="20.100000000000001" customHeight="1">
      <c r="A20" s="14">
        <v>17</v>
      </c>
      <c r="B20" s="15">
        <f>'[1]Dia 1 (b)'!$X26</f>
        <v>15.622567169614447</v>
      </c>
      <c r="C20" s="15">
        <f>'[1]Dia 2 (b)'!$X26</f>
        <v>14.25527865586335</v>
      </c>
      <c r="D20" s="15">
        <f>'[1]Dia 3 (b)'!$X26</f>
        <v>14.849821642806669</v>
      </c>
      <c r="E20" s="15">
        <f>'[1]Dia 4 (b)'!$X26</f>
        <v>13.489446735013034</v>
      </c>
      <c r="F20" s="15">
        <f>'[1]Dia 5 (b)'!$X26</f>
        <v>12.640475714102461</v>
      </c>
      <c r="G20" s="16">
        <f>'[1]Dia 6 (b)'!$X26</f>
        <v>11.781599771846501</v>
      </c>
      <c r="H20" s="16">
        <f>'[1]Dia 7 (b)'!$X26</f>
        <v>11.955961054748666</v>
      </c>
      <c r="I20" s="15">
        <f>'[1]Dia 8 (b)'!$X26</f>
        <v>13.907859013856728</v>
      </c>
      <c r="J20" s="15">
        <f>'[1]Dia 9 (b)'!$X26</f>
        <v>13.635754164379019</v>
      </c>
      <c r="K20" s="15">
        <f>'[1]Dia 10 (b)'!$X26</f>
        <v>15.482897818750345</v>
      </c>
      <c r="L20" s="15">
        <f>'[1]Dia 11 (b)'!$X26</f>
        <v>13.855540550774911</v>
      </c>
      <c r="M20" s="15">
        <f>'[1]Dia 12 (b)'!$X26</f>
        <v>16.484066688575094</v>
      </c>
      <c r="N20" s="15">
        <f>'[1]Dia 13 (b)'!$X26</f>
        <v>15.825576870531819</v>
      </c>
      <c r="O20" s="15">
        <f>'[1]Dia 14 (b)'!$X26</f>
        <v>15.60252586132377</v>
      </c>
      <c r="P20" s="15">
        <f>'[1]Dia 15 (b)'!$X26</f>
        <v>15.790957785770933</v>
      </c>
      <c r="Q20" s="15">
        <f>'[1]Dia 16 (b)'!$X26</f>
        <v>16.1165286305921</v>
      </c>
      <c r="R20" s="15">
        <f>'[1]Dia 17 (b)'!$X26</f>
        <v>16.48076918640211</v>
      </c>
      <c r="S20" s="15">
        <f>'[1]Dia 18 (b)'!$X26</f>
        <v>16.322231596614518</v>
      </c>
      <c r="T20" s="15">
        <f>'[1]Dia 19 (b)'!$X26</f>
        <v>15.345615380349081</v>
      </c>
      <c r="U20" s="15">
        <f>'[1]Dia 20 (b)'!$X26</f>
        <v>15.431714425170474</v>
      </c>
      <c r="V20" s="15">
        <f>'[1]Dia 21 (b)'!$X26</f>
        <v>15.612691409831761</v>
      </c>
      <c r="W20" s="15">
        <f>'[1]Dia 22 (b)'!$X26</f>
        <v>12.928536960719844</v>
      </c>
      <c r="X20" s="15">
        <f>'[1]Dia 23 (b)'!$X26</f>
        <v>16.655679883226512</v>
      </c>
      <c r="Y20" s="15">
        <f>'[1]Dia 24 (b)'!$X26</f>
        <v>16.075957794772211</v>
      </c>
      <c r="Z20" s="15">
        <f>'[1]Dia 25 (b)'!$X26</f>
        <v>14.760057459731412</v>
      </c>
      <c r="AA20" s="15">
        <f>'[1]Dia 26 (b)'!$X26</f>
        <v>9.6066121263014548</v>
      </c>
      <c r="AB20" s="15">
        <f>'[1]Dia 27 (b)'!$X26</f>
        <v>14.36071815868848</v>
      </c>
      <c r="AC20" s="15">
        <f>'[1]Dia 28 (b)'!$X26</f>
        <v>17.138316118300935</v>
      </c>
      <c r="AD20" s="15">
        <f>'[1]Dia 29 (b)'!$X26</f>
        <v>16.181153452537721</v>
      </c>
      <c r="AE20" s="15">
        <f>'[1]Dia 30 (b)'!$X26</f>
        <v>12.66714264834936</v>
      </c>
      <c r="AF20" s="15">
        <f>'[1]Dia 31 (b)'!$X26</f>
        <v>15.556790051352959</v>
      </c>
    </row>
    <row r="21" spans="1:32" ht="20.100000000000001" customHeight="1">
      <c r="A21" s="14">
        <v>18</v>
      </c>
      <c r="B21" s="15">
        <f>'[1]Dia 1 (b)'!$X27</f>
        <v>14.986594386707234</v>
      </c>
      <c r="C21" s="15">
        <f>'[1]Dia 2 (b)'!$X27</f>
        <v>13.278245057998669</v>
      </c>
      <c r="D21" s="15">
        <f>'[1]Dia 3 (b)'!$X27</f>
        <v>15.752637742248211</v>
      </c>
      <c r="E21" s="15">
        <f>'[1]Dia 4 (b)'!$X27</f>
        <v>13.140568547459186</v>
      </c>
      <c r="F21" s="15">
        <f>'[1]Dia 5 (b)'!$X27</f>
        <v>12.265264541400418</v>
      </c>
      <c r="G21" s="16">
        <f>'[1]Dia 6 (b)'!$X27</f>
        <v>11.746890662192303</v>
      </c>
      <c r="H21" s="16">
        <f>'[1]Dia 7 (b)'!$X27</f>
        <v>11.835991814887</v>
      </c>
      <c r="I21" s="15">
        <f>'[1]Dia 8 (b)'!$X27</f>
        <v>13.852772094436515</v>
      </c>
      <c r="J21" s="15">
        <f>'[1]Dia 9 (b)'!$X27</f>
        <v>13.750610649181089</v>
      </c>
      <c r="K21" s="15">
        <f>'[1]Dia 10 (b)'!$X27</f>
        <v>15.47301050905677</v>
      </c>
      <c r="L21" s="15">
        <f>'[1]Dia 11 (b)'!$X27</f>
        <v>14.232310440414111</v>
      </c>
      <c r="M21" s="15">
        <f>'[1]Dia 12 (b)'!$X27</f>
        <v>16.514775414925047</v>
      </c>
      <c r="N21" s="15">
        <f>'[1]Dia 13 (b)'!$X27</f>
        <v>17.566157518739782</v>
      </c>
      <c r="O21" s="15">
        <f>'[1]Dia 14 (b)'!$X27</f>
        <v>15.007997836138887</v>
      </c>
      <c r="P21" s="15">
        <f>'[1]Dia 15 (b)'!$X27</f>
        <v>15.18161924174499</v>
      </c>
      <c r="Q21" s="15">
        <f>'[1]Dia 16 (b)'!$X27</f>
        <v>17.694234348371719</v>
      </c>
      <c r="R21" s="15">
        <f>'[1]Dia 17 (b)'!$X27</f>
        <v>15.895850102456622</v>
      </c>
      <c r="S21" s="15">
        <f>'[1]Dia 18 (b)'!$X27</f>
        <v>15.89251922236479</v>
      </c>
      <c r="T21" s="15">
        <f>'[1]Dia 19 (b)'!$X27</f>
        <v>15.103764663469422</v>
      </c>
      <c r="U21" s="15">
        <f>'[1]Dia 20 (b)'!$X27</f>
        <v>14.751206032962363</v>
      </c>
      <c r="V21" s="15">
        <f>'[1]Dia 21 (b)'!$X27</f>
        <v>15.67172535840068</v>
      </c>
      <c r="W21" s="15">
        <f>'[1]Dia 22 (b)'!$X27</f>
        <v>13.494131765171471</v>
      </c>
      <c r="X21" s="15">
        <f>'[1]Dia 23 (b)'!$X27</f>
        <v>16.866711551445988</v>
      </c>
      <c r="Y21" s="15">
        <f>'[1]Dia 24 (b)'!$X27</f>
        <v>15.677749922533661</v>
      </c>
      <c r="Z21" s="15">
        <f>'[1]Dia 25 (b)'!$X27</f>
        <v>14.85497165504049</v>
      </c>
      <c r="AA21" s="15">
        <f>'[1]Dia 26 (b)'!$X27</f>
        <v>9.2887814314551456</v>
      </c>
      <c r="AB21" s="15">
        <f>'[1]Dia 27 (b)'!$X27</f>
        <v>14.331988728934986</v>
      </c>
      <c r="AC21" s="15">
        <f>'[1]Dia 28 (b)'!$X27</f>
        <v>17.237426563724348</v>
      </c>
      <c r="AD21" s="15">
        <f>'[1]Dia 29 (b)'!$X27</f>
        <v>15.763446398267517</v>
      </c>
      <c r="AE21" s="15">
        <f>'[1]Dia 30 (b)'!$X27</f>
        <v>13.096039054965013</v>
      </c>
      <c r="AF21" s="15">
        <f>'[1]Dia 31 (b)'!$X27</f>
        <v>14.587417800253457</v>
      </c>
    </row>
    <row r="22" spans="1:32" ht="20.100000000000001" customHeight="1">
      <c r="A22" s="14">
        <v>19</v>
      </c>
      <c r="B22" s="15">
        <f>'[1]Dia 1 (b)'!$X28</f>
        <v>14.811959850600189</v>
      </c>
      <c r="C22" s="15">
        <f>'[1]Dia 2 (b)'!$X28</f>
        <v>14.705118883441422</v>
      </c>
      <c r="D22" s="15">
        <f>'[1]Dia 3 (b)'!$X28</f>
        <v>15.84317469134697</v>
      </c>
      <c r="E22" s="15">
        <f>'[1]Dia 4 (b)'!$X28</f>
        <v>12.711693665160979</v>
      </c>
      <c r="F22" s="15">
        <f>'[1]Dia 5 (b)'!$X28</f>
        <v>12.221243411704281</v>
      </c>
      <c r="G22" s="16">
        <f>'[1]Dia 6 (b)'!$X28</f>
        <v>11.787824834023954</v>
      </c>
      <c r="H22" s="16">
        <f>'[1]Dia 7 (b)'!$X28</f>
        <v>11.914238542665405</v>
      </c>
      <c r="I22" s="15">
        <f>'[1]Dia 8 (b)'!$X28</f>
        <v>13.932689298536229</v>
      </c>
      <c r="J22" s="15">
        <f>'[1]Dia 9 (b)'!$X28</f>
        <v>13.650251187325157</v>
      </c>
      <c r="K22" s="15">
        <f>'[1]Dia 10 (b)'!$X28</f>
        <v>15.310583005456072</v>
      </c>
      <c r="L22" s="15">
        <f>'[1]Dia 11 (b)'!$X28</f>
        <v>14.778241660039271</v>
      </c>
      <c r="M22" s="15">
        <f>'[1]Dia 12 (b)'!$X28</f>
        <v>16.584986710993476</v>
      </c>
      <c r="N22" s="15">
        <f>'[1]Dia 13 (b)'!$X28</f>
        <v>17.448970775497415</v>
      </c>
      <c r="O22" s="15">
        <f>'[1]Dia 14 (b)'!$X28</f>
        <v>16.909575866121628</v>
      </c>
      <c r="P22" s="15">
        <f>'[1]Dia 15 (b)'!$X28</f>
        <v>15.956150969869585</v>
      </c>
      <c r="Q22" s="15">
        <f>'[1]Dia 16 (b)'!$X28</f>
        <v>17.748580440256561</v>
      </c>
      <c r="R22" s="15">
        <f>'[1]Dia 17 (b)'!$X28</f>
        <v>15.848842032907179</v>
      </c>
      <c r="S22" s="15">
        <f>'[1]Dia 18 (b)'!$X28</f>
        <v>15.763254964614479</v>
      </c>
      <c r="T22" s="15">
        <f>'[1]Dia 19 (b)'!$X28</f>
        <v>14.982571313910412</v>
      </c>
      <c r="U22" s="15">
        <f>'[1]Dia 20 (b)'!$X28</f>
        <v>14.794732369769958</v>
      </c>
      <c r="V22" s="15">
        <f>'[1]Dia 21 (b)'!$X28</f>
        <v>14.817591134472625</v>
      </c>
      <c r="W22" s="15">
        <f>'[1]Dia 22 (b)'!$X28</f>
        <v>14.192084763044917</v>
      </c>
      <c r="X22" s="15">
        <f>'[1]Dia 23 (b)'!$X28</f>
        <v>16.608259419178452</v>
      </c>
      <c r="Y22" s="15">
        <f>'[1]Dia 24 (b)'!$X28</f>
        <v>15.282874987264542</v>
      </c>
      <c r="Z22" s="15">
        <f>'[1]Dia 25 (b)'!$X28</f>
        <v>14.7080230784879</v>
      </c>
      <c r="AA22" s="15">
        <f>'[1]Dia 26 (b)'!$X28</f>
        <v>10.767371170069989</v>
      </c>
      <c r="AB22" s="15">
        <f>'[1]Dia 27 (b)'!$X28</f>
        <v>14.30577917395043</v>
      </c>
      <c r="AC22" s="15">
        <f>'[1]Dia 28 (b)'!$X28</f>
        <v>17.498476198611016</v>
      </c>
      <c r="AD22" s="15">
        <f>'[1]Dia 29 (b)'!$X28</f>
        <v>16.279396965975401</v>
      </c>
      <c r="AE22" s="15">
        <f>'[1]Dia 30 (b)'!$X28</f>
        <v>16.312753455199204</v>
      </c>
      <c r="AF22" s="15">
        <f>'[1]Dia 31 (b)'!$X28</f>
        <v>15.865886510022856</v>
      </c>
    </row>
    <row r="23" spans="1:32" ht="20.100000000000001" customHeight="1">
      <c r="A23" s="14">
        <v>20</v>
      </c>
      <c r="B23" s="15">
        <f>'[1]Dia 1 (b)'!$X29</f>
        <v>14.277008820050998</v>
      </c>
      <c r="C23" s="15">
        <f>'[1]Dia 2 (b)'!$X29</f>
        <v>14.174771710786244</v>
      </c>
      <c r="D23" s="15">
        <f>'[1]Dia 3 (b)'!$X29</f>
        <v>15.338305602472486</v>
      </c>
      <c r="E23" s="15">
        <f>'[1]Dia 4 (b)'!$X29</f>
        <v>12.620760241474084</v>
      </c>
      <c r="F23" s="15">
        <f>'[1]Dia 5 (b)'!$X29</f>
        <v>12.057226401638438</v>
      </c>
      <c r="G23" s="16">
        <f>'[1]Dia 6 (b)'!$X29</f>
        <v>11.901742629296548</v>
      </c>
      <c r="H23" s="16">
        <f>'[1]Dia 7 (b)'!$X29</f>
        <v>11.912216812670685</v>
      </c>
      <c r="I23" s="15">
        <f>'[1]Dia 8 (b)'!$X29</f>
        <v>13.485525791278217</v>
      </c>
      <c r="J23" s="15">
        <f>'[1]Dia 9 (b)'!$X29</f>
        <v>13.688167340808397</v>
      </c>
      <c r="K23" s="15">
        <f>'[1]Dia 10 (b)'!$X29</f>
        <v>15.308082636989031</v>
      </c>
      <c r="L23" s="15">
        <f>'[1]Dia 11 (b)'!$X29</f>
        <v>15.277131114833134</v>
      </c>
      <c r="M23" s="15">
        <f>'[1]Dia 12 (b)'!$X29</f>
        <v>16.203105890270681</v>
      </c>
      <c r="N23" s="15">
        <f>'[1]Dia 13 (b)'!$X29</f>
        <v>17.186425002433367</v>
      </c>
      <c r="O23" s="15">
        <f>'[1]Dia 14 (b)'!$X29</f>
        <v>15.805107440501796</v>
      </c>
      <c r="P23" s="15">
        <f>'[1]Dia 15 (b)'!$X29</f>
        <v>16.537618570384371</v>
      </c>
      <c r="Q23" s="15">
        <f>'[1]Dia 16 (b)'!$X29</f>
        <v>17.52536872375002</v>
      </c>
      <c r="R23" s="15">
        <f>'[1]Dia 17 (b)'!$X29</f>
        <v>15.890935306097287</v>
      </c>
      <c r="S23" s="15">
        <f>'[1]Dia 18 (b)'!$X29</f>
        <v>14.882287447826267</v>
      </c>
      <c r="T23" s="15">
        <f>'[1]Dia 19 (b)'!$X29</f>
        <v>14.471245952521757</v>
      </c>
      <c r="U23" s="15">
        <f>'[1]Dia 20 (b)'!$X29</f>
        <v>14.735251347506505</v>
      </c>
      <c r="V23" s="15">
        <f>'[1]Dia 21 (b)'!$X29</f>
        <v>14.950312237586674</v>
      </c>
      <c r="W23" s="15">
        <f>'[1]Dia 22 (b)'!$X29</f>
        <v>15.440903206319771</v>
      </c>
      <c r="X23" s="15">
        <f>'[1]Dia 23 (b)'!$X29</f>
        <v>16.093995489719514</v>
      </c>
      <c r="Y23" s="15">
        <f>'[1]Dia 24 (b)'!$X29</f>
        <v>15.114186831074768</v>
      </c>
      <c r="Z23" s="15">
        <f>'[1]Dia 25 (b)'!$X29</f>
        <v>14.584496189615084</v>
      </c>
      <c r="AA23" s="15">
        <f>'[1]Dia 26 (b)'!$X29</f>
        <v>10.561787777872887</v>
      </c>
      <c r="AB23" s="15">
        <f>'[1]Dia 27 (b)'!$X29</f>
        <v>14.180469482870111</v>
      </c>
      <c r="AC23" s="15">
        <f>'[1]Dia 28 (b)'!$X29</f>
        <v>17.181455819422126</v>
      </c>
      <c r="AD23" s="15">
        <f>'[1]Dia 29 (b)'!$X29</f>
        <v>16.243794476201408</v>
      </c>
      <c r="AE23" s="15">
        <f>'[1]Dia 30 (b)'!$X29</f>
        <v>15.873439364025513</v>
      </c>
      <c r="AF23" s="15">
        <f>'[1]Dia 31 (b)'!$X29</f>
        <v>16.672508290557307</v>
      </c>
    </row>
    <row r="24" spans="1:32" ht="20.100000000000001" customHeight="1">
      <c r="A24" s="14">
        <v>21</v>
      </c>
      <c r="B24" s="15">
        <f>'[1]Dia 1 (b)'!$X30</f>
        <v>14.354128333508738</v>
      </c>
      <c r="C24" s="15">
        <f>'[1]Dia 2 (b)'!$X30</f>
        <v>12.84709120532346</v>
      </c>
      <c r="D24" s="15">
        <f>'[1]Dia 3 (b)'!$X30</f>
        <v>16.070670510275853</v>
      </c>
      <c r="E24" s="15">
        <f>'[1]Dia 4 (b)'!$X30</f>
        <v>12.780843550019929</v>
      </c>
      <c r="F24" s="15">
        <f>'[1]Dia 5 (b)'!$X30</f>
        <v>11.85314780779732</v>
      </c>
      <c r="G24" s="16">
        <f>'[1]Dia 6 (b)'!$X30</f>
        <v>11.974440255293558</v>
      </c>
      <c r="H24" s="16">
        <f>'[1]Dia 7 (b)'!$X30</f>
        <v>11.709853711496438</v>
      </c>
      <c r="I24" s="15">
        <f>'[1]Dia 8 (b)'!$X30</f>
        <v>13.264382925355072</v>
      </c>
      <c r="J24" s="15">
        <f>'[1]Dia 9 (b)'!$X30</f>
        <v>13.77356615445885</v>
      </c>
      <c r="K24" s="15">
        <f>'[1]Dia 10 (b)'!$X30</f>
        <v>15.208942323628294</v>
      </c>
      <c r="L24" s="15">
        <f>'[1]Dia 11 (b)'!$X30</f>
        <v>15.470824458967256</v>
      </c>
      <c r="M24" s="15">
        <f>'[1]Dia 12 (b)'!$X30</f>
        <v>15.947438759916695</v>
      </c>
      <c r="N24" s="15">
        <f>'[1]Dia 13 (b)'!$X30</f>
        <v>16.715683614450057</v>
      </c>
      <c r="O24" s="15">
        <f>'[1]Dia 14 (b)'!$X30</f>
        <v>16.600937152936357</v>
      </c>
      <c r="P24" s="15">
        <f>'[1]Dia 15 (b)'!$X30</f>
        <v>16.585686481070383</v>
      </c>
      <c r="Q24" s="15">
        <f>'[1]Dia 16 (b)'!$X30</f>
        <v>17.061014749017392</v>
      </c>
      <c r="R24" s="15">
        <f>'[1]Dia 17 (b)'!$X30</f>
        <v>15.511250449151069</v>
      </c>
      <c r="S24" s="15">
        <f>'[1]Dia 18 (b)'!$X30</f>
        <v>14.960780991103301</v>
      </c>
      <c r="T24" s="15">
        <f>'[1]Dia 19 (b)'!$X30</f>
        <v>14.443930232782694</v>
      </c>
      <c r="U24" s="15">
        <f>'[1]Dia 20 (b)'!$X30</f>
        <v>14.728490670588648</v>
      </c>
      <c r="V24" s="15">
        <f>'[1]Dia 21 (b)'!$X30</f>
        <v>14.696086735547045</v>
      </c>
      <c r="W24" s="15">
        <f>'[1]Dia 22 (b)'!$X30</f>
        <v>15.687431227978307</v>
      </c>
      <c r="X24" s="15">
        <f>'[1]Dia 23 (b)'!$X30</f>
        <v>16.053943573874911</v>
      </c>
      <c r="Y24" s="15">
        <f>'[1]Dia 24 (b)'!$X30</f>
        <v>15.052483095053246</v>
      </c>
      <c r="Z24" s="15">
        <f>'[1]Dia 25 (b)'!$X30</f>
        <v>14.334939723404034</v>
      </c>
      <c r="AA24" s="15">
        <f>'[1]Dia 26 (b)'!$X30</f>
        <v>9.6912320500462545</v>
      </c>
      <c r="AB24" s="15">
        <f>'[1]Dia 27 (b)'!$X30</f>
        <v>14.203690565697547</v>
      </c>
      <c r="AC24" s="15">
        <f>'[1]Dia 28 (b)'!$X30</f>
        <v>17.322275107721634</v>
      </c>
      <c r="AD24" s="15">
        <f>'[1]Dia 29 (b)'!$X30</f>
        <v>16.188579922693609</v>
      </c>
      <c r="AE24" s="15">
        <f>'[1]Dia 30 (b)'!$X30</f>
        <v>16.222283309639256</v>
      </c>
      <c r="AF24" s="15">
        <f>'[1]Dia 31 (b)'!$X30</f>
        <v>16.339747988094505</v>
      </c>
    </row>
    <row r="25" spans="1:32" ht="20.100000000000001" customHeight="1">
      <c r="A25" s="14">
        <v>22</v>
      </c>
      <c r="B25" s="15">
        <f>'[1]Dia 1 (b)'!$X31</f>
        <v>14.477912960588402</v>
      </c>
      <c r="C25" s="15">
        <f>'[1]Dia 2 (b)'!$X31</f>
        <v>14.31877092894346</v>
      </c>
      <c r="D25" s="15">
        <f>'[1]Dia 3 (b)'!$X31</f>
        <v>15.422035606442757</v>
      </c>
      <c r="E25" s="15">
        <f>'[1]Dia 4 (b)'!$X31</f>
        <v>12.654764457501379</v>
      </c>
      <c r="F25" s="15">
        <f>'[1]Dia 5 (b)'!$X31</f>
        <v>11.800679397746864</v>
      </c>
      <c r="G25" s="16">
        <f>'[1]Dia 6 (b)'!$X31</f>
        <v>11.969205237843475</v>
      </c>
      <c r="H25" s="16">
        <f>'[1]Dia 7 (b)'!$X31</f>
        <v>12.032134149061369</v>
      </c>
      <c r="I25" s="15">
        <f>'[1]Dia 8 (b)'!$X31</f>
        <v>12.789735970021473</v>
      </c>
      <c r="J25" s="15">
        <f>'[1]Dia 9 (b)'!$X31</f>
        <v>13.769470760136011</v>
      </c>
      <c r="K25" s="15">
        <f>'[1]Dia 10 (b)'!$X31</f>
        <v>15.012108269514307</v>
      </c>
      <c r="L25" s="15">
        <f>'[1]Dia 11 (b)'!$X31</f>
        <v>13.422088171261063</v>
      </c>
      <c r="M25" s="15">
        <f>'[1]Dia 12 (b)'!$X31</f>
        <v>15.251407965214414</v>
      </c>
      <c r="N25" s="15">
        <f>'[1]Dia 13 (b)'!$X31</f>
        <v>16.089669814985502</v>
      </c>
      <c r="O25" s="15">
        <f>'[1]Dia 14 (b)'!$X31</f>
        <v>16.808123295987514</v>
      </c>
      <c r="P25" s="15">
        <f>'[1]Dia 15 (b)'!$X31</f>
        <v>16.451533983721518</v>
      </c>
      <c r="Q25" s="15">
        <f>'[1]Dia 16 (b)'!$X31</f>
        <v>16.905984616047874</v>
      </c>
      <c r="R25" s="15">
        <f>'[1]Dia 17 (b)'!$X31</f>
        <v>15.649657338354672</v>
      </c>
      <c r="S25" s="15">
        <f>'[1]Dia 18 (b)'!$X31</f>
        <v>14.852477643860977</v>
      </c>
      <c r="T25" s="15">
        <f>'[1]Dia 19 (b)'!$X31</f>
        <v>14.330079174269175</v>
      </c>
      <c r="U25" s="15">
        <f>'[1]Dia 20 (b)'!$X31</f>
        <v>13.936070224861169</v>
      </c>
      <c r="V25" s="15">
        <f>'[1]Dia 21 (b)'!$X31</f>
        <v>14.668789915934951</v>
      </c>
      <c r="W25" s="15">
        <f>'[1]Dia 22 (b)'!$X31</f>
        <v>16.161821863438387</v>
      </c>
      <c r="X25" s="15">
        <f>'[1]Dia 23 (b)'!$X31</f>
        <v>15.494507894607725</v>
      </c>
      <c r="Y25" s="15">
        <f>'[1]Dia 24 (b)'!$X31</f>
        <v>15.087468030224175</v>
      </c>
      <c r="Z25" s="15">
        <f>'[1]Dia 25 (b)'!$X31</f>
        <v>14.494132333400492</v>
      </c>
      <c r="AA25" s="15">
        <f>'[1]Dia 26 (b)'!$X31</f>
        <v>9.8394909678177296</v>
      </c>
      <c r="AB25" s="15">
        <f>'[1]Dia 27 (b)'!$X31</f>
        <v>13.954459007436704</v>
      </c>
      <c r="AC25" s="15">
        <f>'[1]Dia 28 (b)'!$X31</f>
        <v>17.205716701956568</v>
      </c>
      <c r="AD25" s="15">
        <f>'[1]Dia 29 (b)'!$X31</f>
        <v>15.974887667067392</v>
      </c>
      <c r="AE25" s="15">
        <f>'[1]Dia 30 (b)'!$X31</f>
        <v>16.030219199542856</v>
      </c>
      <c r="AF25" s="15">
        <f>'[1]Dia 31 (b)'!$X31</f>
        <v>16.247606739101418</v>
      </c>
    </row>
    <row r="26" spans="1:32" ht="20.100000000000001" customHeight="1">
      <c r="A26" s="14">
        <v>23</v>
      </c>
      <c r="B26" s="15">
        <f>'[1]Dia 1 (b)'!$X32</f>
        <v>14.299707855927521</v>
      </c>
      <c r="C26" s="15">
        <f>'[1]Dia 2 (b)'!$X32</f>
        <v>14.229924703957893</v>
      </c>
      <c r="D26" s="15">
        <f>'[1]Dia 3 (b)'!$X32</f>
        <v>14.992199330226573</v>
      </c>
      <c r="E26" s="15">
        <f>'[1]Dia 4 (b)'!$X32</f>
        <v>12.696222376324709</v>
      </c>
      <c r="F26" s="15">
        <f>'[1]Dia 5 (b)'!$X32</f>
        <v>11.647196120811916</v>
      </c>
      <c r="G26" s="16">
        <f>'[1]Dia 6 (b)'!$X32</f>
        <v>11.615201732660742</v>
      </c>
      <c r="H26" s="16">
        <f>'[1]Dia 7 (b)'!$X32</f>
        <v>11.789741783836169</v>
      </c>
      <c r="I26" s="15">
        <f>'[1]Dia 8 (b)'!$X32</f>
        <v>12.622866628697819</v>
      </c>
      <c r="J26" s="15">
        <f>'[1]Dia 9 (b)'!$X32</f>
        <v>13.58837048895915</v>
      </c>
      <c r="K26" s="15">
        <f>'[1]Dia 10 (b)'!$X32</f>
        <v>15.052014561842302</v>
      </c>
      <c r="L26" s="15">
        <f>'[1]Dia 11 (b)'!$X32</f>
        <v>14.188113726087774</v>
      </c>
      <c r="M26" s="15">
        <f>'[1]Dia 12 (b)'!$X32</f>
        <v>15.063289736930299</v>
      </c>
      <c r="N26" s="15">
        <f>'[1]Dia 13 (b)'!$X32</f>
        <v>15.089084454646008</v>
      </c>
      <c r="O26" s="15">
        <f>'[1]Dia 14 (b)'!$X32</f>
        <v>16.290452250861851</v>
      </c>
      <c r="P26" s="15">
        <f>'[1]Dia 15 (b)'!$X32</f>
        <v>16.347049238988795</v>
      </c>
      <c r="Q26" s="15">
        <f>'[1]Dia 16 (b)'!$X32</f>
        <v>16.737381329056266</v>
      </c>
      <c r="R26" s="15">
        <f>'[1]Dia 17 (b)'!$X32</f>
        <v>15.550040024797028</v>
      </c>
      <c r="S26" s="15">
        <f>'[1]Dia 18 (b)'!$X32</f>
        <v>14.938883280181422</v>
      </c>
      <c r="T26" s="15">
        <f>'[1]Dia 19 (b)'!$X32</f>
        <v>14.497593218256359</v>
      </c>
      <c r="U26" s="15">
        <f>'[1]Dia 20 (b)'!$X32</f>
        <v>13.632647027696873</v>
      </c>
      <c r="V26" s="15">
        <f>'[1]Dia 21 (b)'!$X32</f>
        <v>14.560005394928513</v>
      </c>
      <c r="W26" s="15">
        <f>'[1]Dia 22 (b)'!$X32</f>
        <v>15.980608179112341</v>
      </c>
      <c r="X26" s="15">
        <f>'[1]Dia 23 (b)'!$X32</f>
        <v>14.88073861547781</v>
      </c>
      <c r="Y26" s="15">
        <f>'[1]Dia 24 (b)'!$X32</f>
        <v>14.89974779097955</v>
      </c>
      <c r="Z26" s="15">
        <f>'[1]Dia 25 (b)'!$X32</f>
        <v>14.508344270953266</v>
      </c>
      <c r="AA26" s="15">
        <f>'[1]Dia 26 (b)'!$X32</f>
        <v>10.4237203215849</v>
      </c>
      <c r="AB26" s="15">
        <f>'[1]Dia 27 (b)'!$X32</f>
        <v>13.604955409142088</v>
      </c>
      <c r="AC26" s="15">
        <f>'[1]Dia 28 (b)'!$X32</f>
        <v>17.097697190268338</v>
      </c>
      <c r="AD26" s="15">
        <f>'[1]Dia 29 (b)'!$X32</f>
        <v>15.773239235916806</v>
      </c>
      <c r="AE26" s="15">
        <f>'[1]Dia 30 (b)'!$X32</f>
        <v>16.405271134284458</v>
      </c>
      <c r="AF26" s="15">
        <f>'[1]Dia 31 (b)'!$X32</f>
        <v>16.242568490106198</v>
      </c>
    </row>
    <row r="27" spans="1:32" ht="20.100000000000001" customHeight="1" thickBot="1">
      <c r="A27" s="14">
        <v>24</v>
      </c>
      <c r="B27" s="15">
        <f>'[1]Dia 1 (b)'!$X33</f>
        <v>13.902967427654771</v>
      </c>
      <c r="C27" s="15">
        <f>'[1]Dia 2 (b)'!$X33</f>
        <v>14.026532574214228</v>
      </c>
      <c r="D27" s="15">
        <f>'[1]Dia 3 (b)'!$X33</f>
        <v>14.994460147858975</v>
      </c>
      <c r="E27" s="15">
        <f>'[1]Dia 4 (b)'!$X33</f>
        <v>12.492318818039111</v>
      </c>
      <c r="F27" s="15">
        <f>'[1]Dia 5 (b)'!$X33</f>
        <v>11.405054824698627</v>
      </c>
      <c r="G27" s="16">
        <f>'[1]Dia 6 (b)'!$X33</f>
        <v>11.575314710861456</v>
      </c>
      <c r="H27" s="16">
        <f>'[1]Dia 7 (b)'!$X33</f>
        <v>11.835088846182456</v>
      </c>
      <c r="I27" s="15">
        <f>'[1]Dia 8 (b)'!$X33</f>
        <v>12.547770790012242</v>
      </c>
      <c r="J27" s="15">
        <f>'[1]Dia 9 (b)'!$X33</f>
        <v>13.674590621465413</v>
      </c>
      <c r="K27" s="15">
        <f>'[1]Dia 10 (b)'!$X33</f>
        <v>15.14780304549677</v>
      </c>
      <c r="L27" s="15">
        <f>'[1]Dia 11 (b)'!$X33</f>
        <v>14.233617624272743</v>
      </c>
      <c r="M27" s="15">
        <f>'[1]Dia 12 (b)'!$X33</f>
        <v>15.826467006415218</v>
      </c>
      <c r="N27" s="15">
        <f>'[1]Dia 13 (b)'!$X33</f>
        <v>15.032743829104945</v>
      </c>
      <c r="O27" s="15">
        <f>'[1]Dia 14 (b)'!$X33</f>
        <v>16.173065745548982</v>
      </c>
      <c r="P27" s="15">
        <f>'[1]Dia 15 (b)'!$X33</f>
        <v>16.381830576053357</v>
      </c>
      <c r="Q27" s="15">
        <f>'[1]Dia 16 (b)'!$X33</f>
        <v>16.496018327106519</v>
      </c>
      <c r="R27" s="15">
        <f>'[1]Dia 17 (b)'!$X33</f>
        <v>15.481009312412894</v>
      </c>
      <c r="S27" s="15">
        <f>'[1]Dia 18 (b)'!$X33</f>
        <v>15.174558911199979</v>
      </c>
      <c r="T27" s="15">
        <f>'[1]Dia 19 (b)'!$X33</f>
        <v>14.054725521109525</v>
      </c>
      <c r="U27" s="15">
        <f>'[1]Dia 20 (b)'!$X33</f>
        <v>13.552335970359518</v>
      </c>
      <c r="V27" s="15">
        <f>'[1]Dia 21 (b)'!$X33</f>
        <v>14.29440939955165</v>
      </c>
      <c r="W27" s="15">
        <f>'[1]Dia 22 (b)'!$X33</f>
        <v>15.556775984022099</v>
      </c>
      <c r="X27" s="15">
        <f>'[1]Dia 23 (b)'!$X33</f>
        <v>15.328082987600647</v>
      </c>
      <c r="Y27" s="15">
        <f>'[1]Dia 24 (b)'!$X33</f>
        <v>14.660128948788836</v>
      </c>
      <c r="Z27" s="15">
        <f>'[1]Dia 25 (b)'!$X33</f>
        <v>13.342833175996208</v>
      </c>
      <c r="AA27" s="15">
        <f>'[1]Dia 26 (b)'!$X33</f>
        <v>10.752959352780433</v>
      </c>
      <c r="AB27" s="15">
        <f>'[1]Dia 27 (b)'!$X33</f>
        <v>13.603096450181855</v>
      </c>
      <c r="AC27" s="15">
        <f>'[1]Dia 28 (b)'!$X33</f>
        <v>16.737098732587832</v>
      </c>
      <c r="AD27" s="15">
        <f>'[1]Dia 29 (b)'!$X33</f>
        <v>15.239462929994932</v>
      </c>
      <c r="AE27" s="15">
        <f>'[1]Dia 30 (b)'!$X33</f>
        <v>15.953670122655796</v>
      </c>
      <c r="AF27" s="15">
        <f>'[1]Dia 31 (b)'!$X33</f>
        <v>16.04326495506054</v>
      </c>
    </row>
    <row r="28" spans="1:32" ht="16.5" thickTop="1">
      <c r="A28" s="17"/>
      <c r="B28" s="18" t="s">
        <v>2</v>
      </c>
      <c r="C28" s="19"/>
      <c r="D28" s="19"/>
      <c r="E28" s="19"/>
      <c r="F28" s="19"/>
      <c r="G28" s="18" t="s">
        <v>2</v>
      </c>
      <c r="H28" s="19"/>
      <c r="I28" s="19"/>
      <c r="J28" s="19"/>
      <c r="K28" s="19"/>
      <c r="L28" s="19"/>
      <c r="M28" s="19"/>
      <c r="N28" s="19"/>
      <c r="O28" s="19"/>
      <c r="P28" s="19"/>
      <c r="Q28" s="19"/>
      <c r="R28" s="20"/>
      <c r="S28" s="19"/>
      <c r="T28" s="19"/>
      <c r="U28" s="19"/>
      <c r="V28" s="19"/>
      <c r="W28" s="19"/>
      <c r="X28" s="19"/>
      <c r="Y28" s="19"/>
      <c r="Z28" s="19"/>
      <c r="AA28" s="19"/>
      <c r="AB28" s="19"/>
      <c r="AC28" s="19"/>
      <c r="AD28" s="19"/>
      <c r="AE28" s="19"/>
      <c r="AF28" s="21"/>
    </row>
    <row r="29" spans="1:32" ht="15.75">
      <c r="A29" s="22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23"/>
    </row>
    <row r="30" spans="1:32" ht="15.75">
      <c r="A30" s="24" t="s">
        <v>3</v>
      </c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23"/>
    </row>
    <row r="31" spans="1:32" ht="15.75">
      <c r="A31" s="24" t="s">
        <v>4</v>
      </c>
      <c r="B31" s="25">
        <f t="shared" ref="B31:AF31" si="0">AVERAGE(B4:B27)</f>
        <v>14.338513157134912</v>
      </c>
      <c r="C31" s="25">
        <f t="shared" si="0"/>
        <v>14.007305969260456</v>
      </c>
      <c r="D31" s="25">
        <f t="shared" si="0"/>
        <v>14.788010824044358</v>
      </c>
      <c r="E31" s="25">
        <f t="shared" si="0"/>
        <v>14.366883300641357</v>
      </c>
      <c r="F31" s="25">
        <f t="shared" si="0"/>
        <v>12.394133059074839</v>
      </c>
      <c r="G31" s="25">
        <f t="shared" si="0"/>
        <v>11.283640510161122</v>
      </c>
      <c r="H31" s="25">
        <f t="shared" si="0"/>
        <v>11.482353434518044</v>
      </c>
      <c r="I31" s="25">
        <f t="shared" si="0"/>
        <v>12.755139432878195</v>
      </c>
      <c r="J31" s="25">
        <f t="shared" si="0"/>
        <v>13.183818139112264</v>
      </c>
      <c r="K31" s="25">
        <f t="shared" si="0"/>
        <v>14.810292563862321</v>
      </c>
      <c r="L31" s="25">
        <f t="shared" si="0"/>
        <v>14.730402738699562</v>
      </c>
      <c r="M31" s="25">
        <f t="shared" si="0"/>
        <v>15.099199511270854</v>
      </c>
      <c r="N31" s="25">
        <f t="shared" si="0"/>
        <v>15.78791776055292</v>
      </c>
      <c r="O31" s="25">
        <f t="shared" si="0"/>
        <v>15.20051847181252</v>
      </c>
      <c r="P31" s="25">
        <f t="shared" si="0"/>
        <v>15.870798066776061</v>
      </c>
      <c r="Q31" s="25">
        <f t="shared" si="0"/>
        <v>16.576059712909395</v>
      </c>
      <c r="R31" s="25">
        <f t="shared" si="0"/>
        <v>16.148686913219354</v>
      </c>
      <c r="S31" s="25">
        <f t="shared" si="0"/>
        <v>15.34128331836019</v>
      </c>
      <c r="T31" s="25">
        <f t="shared" si="0"/>
        <v>14.669224014036514</v>
      </c>
      <c r="U31" s="25">
        <f t="shared" si="0"/>
        <v>14.555011435624507</v>
      </c>
      <c r="V31" s="25">
        <f t="shared" si="0"/>
        <v>14.234204368213769</v>
      </c>
      <c r="W31" s="25">
        <f t="shared" si="0"/>
        <v>14.490471241995472</v>
      </c>
      <c r="X31" s="25">
        <f t="shared" si="0"/>
        <v>15.798533201361922</v>
      </c>
      <c r="Y31" s="25">
        <f t="shared" si="0"/>
        <v>15.366055796916259</v>
      </c>
      <c r="Z31" s="25">
        <f t="shared" si="0"/>
        <v>14.188271890231777</v>
      </c>
      <c r="AA31" s="25">
        <f t="shared" si="0"/>
        <v>10.636381761063227</v>
      </c>
      <c r="AB31" s="25">
        <f t="shared" si="0"/>
        <v>13.447266024775635</v>
      </c>
      <c r="AC31" s="25">
        <f t="shared" si="0"/>
        <v>15.748273918373483</v>
      </c>
      <c r="AD31" s="25">
        <f t="shared" si="0"/>
        <v>15.794441272671561</v>
      </c>
      <c r="AE31" s="25">
        <f t="shared" si="0"/>
        <v>14.893621803301121</v>
      </c>
      <c r="AF31" s="26">
        <f t="shared" si="0"/>
        <v>15.108797691062437</v>
      </c>
    </row>
    <row r="32" spans="1:32" ht="15.75">
      <c r="A32" s="27"/>
      <c r="B32" s="28"/>
      <c r="C32" s="28"/>
      <c r="D32" s="28"/>
      <c r="E32" s="28"/>
      <c r="F32" s="28"/>
      <c r="G32" s="28"/>
      <c r="H32" s="28"/>
      <c r="I32" s="28"/>
      <c r="J32" s="28"/>
      <c r="K32" s="28"/>
      <c r="L32" s="28"/>
      <c r="M32" s="28"/>
      <c r="N32" s="28"/>
      <c r="O32" s="28"/>
      <c r="P32" s="28"/>
      <c r="Q32" s="28"/>
      <c r="R32" s="28"/>
      <c r="S32" s="28"/>
      <c r="T32" s="28"/>
      <c r="U32" s="28"/>
      <c r="V32" s="28"/>
      <c r="W32" s="28"/>
      <c r="X32" s="28"/>
      <c r="Y32" s="28"/>
      <c r="Z32" s="28"/>
      <c r="AA32" s="28"/>
      <c r="AB32" s="28"/>
      <c r="AC32" s="28"/>
      <c r="AD32" s="28"/>
      <c r="AE32" s="28"/>
      <c r="AF32" s="29"/>
    </row>
    <row r="33" spans="1:32" ht="15.75">
      <c r="A33" s="27"/>
      <c r="B33" s="28"/>
      <c r="C33" s="28"/>
      <c r="D33" s="28"/>
      <c r="E33" s="28"/>
      <c r="F33" s="28"/>
      <c r="G33" s="28"/>
      <c r="H33" s="28"/>
      <c r="I33" s="28"/>
      <c r="J33" s="28"/>
      <c r="K33" s="28"/>
      <c r="L33" s="28"/>
      <c r="M33" s="28"/>
      <c r="N33" s="28"/>
      <c r="O33" s="28"/>
      <c r="P33" s="28"/>
      <c r="Q33" s="28"/>
      <c r="R33" s="28"/>
      <c r="S33" s="28"/>
      <c r="T33" s="28"/>
      <c r="U33" s="28"/>
      <c r="V33" s="28"/>
      <c r="W33" s="28"/>
      <c r="X33" s="28"/>
      <c r="Y33" s="28"/>
      <c r="Z33" s="28"/>
      <c r="AA33" s="28"/>
      <c r="AB33" s="28"/>
      <c r="AC33" s="28"/>
      <c r="AD33" s="28"/>
      <c r="AE33" s="28"/>
      <c r="AF33" s="29"/>
    </row>
    <row r="34" spans="1:32" ht="15.75">
      <c r="A34" s="24" t="s">
        <v>5</v>
      </c>
      <c r="B34" s="28"/>
      <c r="C34" s="28"/>
      <c r="D34" s="28"/>
      <c r="E34" s="28"/>
      <c r="F34" s="28"/>
      <c r="G34" s="28"/>
      <c r="H34" s="28"/>
      <c r="I34" s="28"/>
      <c r="J34" s="28"/>
      <c r="K34" s="28"/>
      <c r="L34" s="28"/>
      <c r="M34" s="28"/>
      <c r="N34" s="28"/>
      <c r="O34" s="28"/>
      <c r="P34" s="28"/>
      <c r="Q34" s="28"/>
      <c r="R34" s="28"/>
      <c r="S34" s="28"/>
      <c r="T34" s="28"/>
      <c r="U34" s="28"/>
      <c r="V34" s="28"/>
      <c r="W34" s="28"/>
      <c r="X34" s="28"/>
      <c r="Y34" s="28"/>
      <c r="Z34" s="28"/>
      <c r="AA34" s="28"/>
      <c r="AB34" s="28"/>
      <c r="AC34" s="28"/>
      <c r="AD34" s="28"/>
      <c r="AE34" s="28"/>
      <c r="AF34" s="29"/>
    </row>
    <row r="35" spans="1:32" ht="15.75">
      <c r="A35" s="24" t="s">
        <v>4</v>
      </c>
      <c r="B35" s="25">
        <f t="shared" ref="B35:AF35" si="1">MAX(B4:B27)</f>
        <v>17.17879827081666</v>
      </c>
      <c r="C35" s="25">
        <f t="shared" si="1"/>
        <v>17.195215448522799</v>
      </c>
      <c r="D35" s="25">
        <f t="shared" si="1"/>
        <v>16.070670510275853</v>
      </c>
      <c r="E35" s="25">
        <f t="shared" si="1"/>
        <v>16.634972126487249</v>
      </c>
      <c r="F35" s="25">
        <f t="shared" si="1"/>
        <v>13.349984816525762</v>
      </c>
      <c r="G35" s="25">
        <f t="shared" si="1"/>
        <v>12.181726079692382</v>
      </c>
      <c r="H35" s="25">
        <f t="shared" si="1"/>
        <v>12.032134149061369</v>
      </c>
      <c r="I35" s="25">
        <f t="shared" si="1"/>
        <v>13.94964230791828</v>
      </c>
      <c r="J35" s="25">
        <f t="shared" si="1"/>
        <v>14.117901918190508</v>
      </c>
      <c r="K35" s="25">
        <f t="shared" si="1"/>
        <v>17.215517764129054</v>
      </c>
      <c r="L35" s="25">
        <f t="shared" si="1"/>
        <v>15.852085716159936</v>
      </c>
      <c r="M35" s="25">
        <f t="shared" si="1"/>
        <v>16.584986710993476</v>
      </c>
      <c r="N35" s="25">
        <f t="shared" si="1"/>
        <v>17.566157518739782</v>
      </c>
      <c r="O35" s="25">
        <f t="shared" si="1"/>
        <v>16.909575866121628</v>
      </c>
      <c r="P35" s="25">
        <f t="shared" si="1"/>
        <v>18.18425095020114</v>
      </c>
      <c r="Q35" s="25">
        <f t="shared" si="1"/>
        <v>18.706275450522917</v>
      </c>
      <c r="R35" s="25">
        <f t="shared" si="1"/>
        <v>18.402995789526273</v>
      </c>
      <c r="S35" s="25">
        <f t="shared" si="1"/>
        <v>17.732728254628455</v>
      </c>
      <c r="T35" s="25">
        <f t="shared" si="1"/>
        <v>16.376543035425748</v>
      </c>
      <c r="U35" s="25">
        <f t="shared" si="1"/>
        <v>15.431714425170474</v>
      </c>
      <c r="V35" s="25">
        <f t="shared" si="1"/>
        <v>15.67172535840068</v>
      </c>
      <c r="W35" s="25">
        <f t="shared" si="1"/>
        <v>16.161821863438387</v>
      </c>
      <c r="X35" s="25">
        <f t="shared" si="1"/>
        <v>16.866711551445988</v>
      </c>
      <c r="Y35" s="25">
        <f t="shared" si="1"/>
        <v>17.494587908343156</v>
      </c>
      <c r="Z35" s="25">
        <f t="shared" si="1"/>
        <v>15.070373121719856</v>
      </c>
      <c r="AA35" s="25">
        <f t="shared" si="1"/>
        <v>12.797120580349224</v>
      </c>
      <c r="AB35" s="25">
        <f t="shared" si="1"/>
        <v>15.276482225510566</v>
      </c>
      <c r="AC35" s="25">
        <f t="shared" si="1"/>
        <v>17.498476198611016</v>
      </c>
      <c r="AD35" s="25">
        <f t="shared" si="1"/>
        <v>16.822276315890782</v>
      </c>
      <c r="AE35" s="25">
        <f t="shared" si="1"/>
        <v>16.405271134284458</v>
      </c>
      <c r="AF35" s="26">
        <f t="shared" si="1"/>
        <v>16.672508290557307</v>
      </c>
    </row>
    <row r="36" spans="1:32" ht="15.75">
      <c r="A36" s="24"/>
      <c r="B36" s="25"/>
      <c r="C36" s="25"/>
      <c r="D36" s="25"/>
      <c r="E36" s="25"/>
      <c r="F36" s="25"/>
      <c r="G36" s="25"/>
      <c r="H36" s="25"/>
      <c r="I36" s="25"/>
      <c r="J36" s="25"/>
      <c r="K36" s="25"/>
      <c r="L36" s="25"/>
      <c r="M36" s="25"/>
      <c r="N36" s="25"/>
      <c r="O36" s="25"/>
      <c r="P36" s="25"/>
      <c r="Q36" s="25"/>
      <c r="R36" s="25"/>
      <c r="S36" s="25"/>
      <c r="T36" s="25"/>
      <c r="U36" s="25"/>
      <c r="V36" s="25"/>
      <c r="W36" s="25"/>
      <c r="X36" s="25"/>
      <c r="Y36" s="25"/>
      <c r="Z36" s="25"/>
      <c r="AA36" s="25"/>
      <c r="AB36" s="25"/>
      <c r="AC36" s="25"/>
      <c r="AD36" s="25"/>
      <c r="AE36" s="25"/>
      <c r="AF36" s="26"/>
    </row>
    <row r="37" spans="1:32" ht="15.75">
      <c r="A37" s="27"/>
      <c r="B37" s="28"/>
      <c r="C37" s="28"/>
      <c r="D37" s="28"/>
      <c r="E37" s="28"/>
      <c r="F37" s="28"/>
      <c r="G37" s="28"/>
      <c r="H37" s="28"/>
      <c r="I37" s="28"/>
      <c r="J37" s="28"/>
      <c r="K37" s="28"/>
      <c r="L37" s="28"/>
      <c r="M37" s="28"/>
      <c r="N37" s="28"/>
      <c r="O37" s="28"/>
      <c r="P37" s="28"/>
      <c r="Q37" s="28"/>
      <c r="R37" s="28"/>
      <c r="S37" s="28"/>
      <c r="T37" s="28"/>
      <c r="U37" s="28"/>
      <c r="V37" s="28"/>
      <c r="W37" s="28"/>
      <c r="X37" s="28"/>
      <c r="Y37" s="28"/>
      <c r="Z37" s="28"/>
      <c r="AA37" s="28"/>
      <c r="AB37" s="28"/>
      <c r="AC37" s="28"/>
      <c r="AD37" s="28"/>
      <c r="AE37" s="28"/>
      <c r="AF37" s="29"/>
    </row>
    <row r="38" spans="1:32" ht="15.75">
      <c r="A38" s="24" t="s">
        <v>6</v>
      </c>
      <c r="B38" s="28"/>
      <c r="C38" s="28"/>
      <c r="D38" s="28"/>
      <c r="E38" s="28"/>
      <c r="F38" s="28"/>
      <c r="G38" s="28"/>
      <c r="H38" s="28"/>
      <c r="I38" s="28"/>
      <c r="J38" s="28"/>
      <c r="K38" s="28"/>
      <c r="L38" s="28"/>
      <c r="M38" s="28"/>
      <c r="N38" s="28"/>
      <c r="O38" s="28"/>
      <c r="P38" s="28"/>
      <c r="Q38" s="28"/>
      <c r="R38" s="28"/>
      <c r="S38" s="28"/>
      <c r="T38" s="28"/>
      <c r="U38" s="28"/>
      <c r="V38" s="28"/>
      <c r="W38" s="28"/>
      <c r="X38" s="28"/>
      <c r="Y38" s="28"/>
      <c r="Z38" s="28"/>
      <c r="AA38" s="28"/>
      <c r="AB38" s="28"/>
      <c r="AC38" s="28"/>
      <c r="AD38" s="28"/>
      <c r="AE38" s="28"/>
      <c r="AF38" s="29"/>
    </row>
    <row r="39" spans="1:32" ht="15.75">
      <c r="A39" s="24" t="s">
        <v>4</v>
      </c>
      <c r="B39" s="25">
        <f t="shared" ref="B39:AF39" si="2">MIN(B4:B27)</f>
        <v>12.357994754302949</v>
      </c>
      <c r="C39" s="25">
        <f t="shared" si="2"/>
        <v>12.84709120532346</v>
      </c>
      <c r="D39" s="25">
        <f t="shared" si="2"/>
        <v>13.659456859136139</v>
      </c>
      <c r="E39" s="25">
        <f t="shared" si="2"/>
        <v>12.492318818039111</v>
      </c>
      <c r="F39" s="25">
        <f t="shared" si="2"/>
        <v>11.405054824698627</v>
      </c>
      <c r="G39" s="25">
        <f t="shared" si="2"/>
        <v>9.7723461850913598</v>
      </c>
      <c r="H39" s="25">
        <f t="shared" si="2"/>
        <v>10.602164693562051</v>
      </c>
      <c r="I39" s="25">
        <f t="shared" si="2"/>
        <v>11.204195117791555</v>
      </c>
      <c r="J39" s="25">
        <f t="shared" si="2"/>
        <v>11.95043502238844</v>
      </c>
      <c r="K39" s="25">
        <f t="shared" si="2"/>
        <v>13.215893059377093</v>
      </c>
      <c r="L39" s="25">
        <f t="shared" si="2"/>
        <v>13.422088171261063</v>
      </c>
      <c r="M39" s="25">
        <f t="shared" si="2"/>
        <v>13.866702498550598</v>
      </c>
      <c r="N39" s="25">
        <f t="shared" si="2"/>
        <v>14.547655125606138</v>
      </c>
      <c r="O39" s="25">
        <f t="shared" si="2"/>
        <v>13.790172784926016</v>
      </c>
      <c r="P39" s="25">
        <f t="shared" si="2"/>
        <v>13.965557569933926</v>
      </c>
      <c r="Q39" s="25">
        <f t="shared" si="2"/>
        <v>14.223437893017087</v>
      </c>
      <c r="R39" s="25">
        <f t="shared" si="2"/>
        <v>14.249761039868512</v>
      </c>
      <c r="S39" s="25">
        <f t="shared" si="2"/>
        <v>14.352864758786735</v>
      </c>
      <c r="T39" s="25">
        <f t="shared" si="2"/>
        <v>13.282450700373014</v>
      </c>
      <c r="U39" s="25">
        <f t="shared" si="2"/>
        <v>13.552335970359518</v>
      </c>
      <c r="V39" s="25">
        <f t="shared" si="2"/>
        <v>13.123001869095049</v>
      </c>
      <c r="W39" s="25">
        <f t="shared" si="2"/>
        <v>11.930687603343522</v>
      </c>
      <c r="X39" s="25">
        <f t="shared" si="2"/>
        <v>14.379452023088009</v>
      </c>
      <c r="Y39" s="25">
        <f t="shared" si="2"/>
        <v>14.289902843689067</v>
      </c>
      <c r="Z39" s="25">
        <f t="shared" si="2"/>
        <v>13.342833175996208</v>
      </c>
      <c r="AA39" s="25">
        <f t="shared" si="2"/>
        <v>9.205860398033785</v>
      </c>
      <c r="AB39" s="25">
        <f t="shared" si="2"/>
        <v>11.208027559045826</v>
      </c>
      <c r="AC39" s="25">
        <f t="shared" si="2"/>
        <v>13.774828550841644</v>
      </c>
      <c r="AD39" s="25">
        <f t="shared" si="2"/>
        <v>14.427140584889647</v>
      </c>
      <c r="AE39" s="25">
        <f t="shared" si="2"/>
        <v>12.66714264834936</v>
      </c>
      <c r="AF39" s="26">
        <f t="shared" si="2"/>
        <v>13.726230242609443</v>
      </c>
    </row>
    <row r="40" spans="1:32" ht="15.75">
      <c r="A40" s="24"/>
      <c r="B40" s="25"/>
      <c r="C40" s="25"/>
      <c r="D40" s="25"/>
      <c r="E40" s="25"/>
      <c r="F40" s="25"/>
      <c r="G40" s="25"/>
      <c r="H40" s="25"/>
      <c r="I40" s="25"/>
      <c r="J40" s="25"/>
      <c r="K40" s="25"/>
      <c r="L40" s="25"/>
      <c r="M40" s="25"/>
      <c r="N40" s="25"/>
      <c r="O40" s="25"/>
      <c r="P40" s="25"/>
      <c r="Q40" s="25"/>
      <c r="R40" s="25"/>
      <c r="S40" s="25"/>
      <c r="T40" s="25"/>
      <c r="U40" s="25"/>
      <c r="V40" s="25"/>
      <c r="W40" s="25"/>
      <c r="X40" s="25"/>
      <c r="Y40" s="25"/>
      <c r="Z40" s="25"/>
      <c r="AA40" s="25"/>
      <c r="AB40" s="25"/>
      <c r="AC40" s="25"/>
      <c r="AD40" s="25"/>
      <c r="AE40" s="25"/>
      <c r="AF40" s="26"/>
    </row>
    <row r="41" spans="1:32" ht="15.75">
      <c r="A41" s="27"/>
      <c r="B41" s="28"/>
      <c r="C41" s="28"/>
      <c r="D41" s="28"/>
      <c r="E41" s="28"/>
      <c r="F41" s="28"/>
      <c r="G41" s="28"/>
      <c r="H41" s="28"/>
      <c r="I41" s="28"/>
      <c r="J41" s="28"/>
      <c r="K41" s="28"/>
      <c r="L41" s="28"/>
      <c r="M41" s="28"/>
      <c r="N41" s="28"/>
      <c r="O41" s="28"/>
      <c r="P41" s="28"/>
      <c r="Q41" s="28"/>
      <c r="R41" s="28"/>
      <c r="S41" s="28"/>
      <c r="T41" s="28"/>
      <c r="U41" s="28"/>
      <c r="V41" s="28"/>
      <c r="W41" s="28"/>
      <c r="X41" s="28"/>
      <c r="Y41" s="28"/>
      <c r="Z41" s="28"/>
      <c r="AA41" s="28"/>
      <c r="AB41" s="28"/>
      <c r="AC41" s="28"/>
      <c r="AD41" s="28"/>
      <c r="AE41" s="28"/>
      <c r="AF41" s="29"/>
    </row>
    <row r="42" spans="1:32" ht="15.75">
      <c r="A42" s="24" t="s">
        <v>7</v>
      </c>
      <c r="B42" s="28"/>
      <c r="C42" s="28"/>
      <c r="D42" s="28"/>
      <c r="E42" s="28"/>
      <c r="F42" s="28"/>
      <c r="G42" s="28"/>
      <c r="H42" s="28"/>
      <c r="I42" s="28"/>
      <c r="J42" s="28"/>
      <c r="K42" s="28"/>
      <c r="L42" s="28"/>
      <c r="M42" s="28"/>
      <c r="N42" s="28"/>
      <c r="O42" s="28"/>
      <c r="P42" s="28"/>
      <c r="Q42" s="28"/>
      <c r="R42" s="28"/>
      <c r="S42" s="28"/>
      <c r="T42" s="28"/>
      <c r="U42" s="28"/>
      <c r="V42" s="28"/>
      <c r="W42" s="28"/>
      <c r="X42" s="28"/>
      <c r="Y42" s="28"/>
      <c r="Z42" s="28"/>
      <c r="AA42" s="28"/>
      <c r="AB42" s="28"/>
      <c r="AC42" s="28"/>
      <c r="AD42" s="28"/>
      <c r="AE42" s="28"/>
      <c r="AF42" s="29"/>
    </row>
    <row r="43" spans="1:32" ht="15.75">
      <c r="A43" s="24" t="s">
        <v>4</v>
      </c>
      <c r="B43" s="25">
        <f t="shared" ref="B43:AF43" si="3">B35-B39</f>
        <v>4.8208035165137115</v>
      </c>
      <c r="C43" s="25">
        <f t="shared" si="3"/>
        <v>4.3481242431993383</v>
      </c>
      <c r="D43" s="25">
        <f t="shared" si="3"/>
        <v>2.4112136511397146</v>
      </c>
      <c r="E43" s="25">
        <f t="shared" si="3"/>
        <v>4.1426533084481374</v>
      </c>
      <c r="F43" s="25">
        <f t="shared" si="3"/>
        <v>1.9449299918271343</v>
      </c>
      <c r="G43" s="25">
        <f t="shared" si="3"/>
        <v>2.4093798946010221</v>
      </c>
      <c r="H43" s="25">
        <f t="shared" si="3"/>
        <v>1.4299694554993181</v>
      </c>
      <c r="I43" s="25">
        <f t="shared" si="3"/>
        <v>2.7454471901267254</v>
      </c>
      <c r="J43" s="25">
        <f t="shared" si="3"/>
        <v>2.1674668958020682</v>
      </c>
      <c r="K43" s="25">
        <f t="shared" si="3"/>
        <v>3.9996247047519606</v>
      </c>
      <c r="L43" s="25">
        <f t="shared" si="3"/>
        <v>2.4299975448988729</v>
      </c>
      <c r="M43" s="25">
        <f t="shared" si="3"/>
        <v>2.7182842124428781</v>
      </c>
      <c r="N43" s="25">
        <f t="shared" si="3"/>
        <v>3.0185023931336445</v>
      </c>
      <c r="O43" s="25">
        <f t="shared" si="3"/>
        <v>3.1194030811956122</v>
      </c>
      <c r="P43" s="25">
        <f t="shared" si="3"/>
        <v>4.2186933802672133</v>
      </c>
      <c r="Q43" s="25">
        <f t="shared" si="3"/>
        <v>4.4828375575058299</v>
      </c>
      <c r="R43" s="25">
        <f t="shared" si="3"/>
        <v>4.1532347496577611</v>
      </c>
      <c r="S43" s="25">
        <f t="shared" si="3"/>
        <v>3.37986349584172</v>
      </c>
      <c r="T43" s="25">
        <f t="shared" si="3"/>
        <v>3.0940923350527338</v>
      </c>
      <c r="U43" s="25">
        <f t="shared" si="3"/>
        <v>1.879378454810956</v>
      </c>
      <c r="V43" s="25">
        <f t="shared" si="3"/>
        <v>2.5487234893056314</v>
      </c>
      <c r="W43" s="25">
        <f t="shared" si="3"/>
        <v>4.2311342600948656</v>
      </c>
      <c r="X43" s="25">
        <f t="shared" si="3"/>
        <v>2.4872595283579795</v>
      </c>
      <c r="Y43" s="25">
        <f t="shared" si="3"/>
        <v>3.2046850646540896</v>
      </c>
      <c r="Z43" s="25">
        <f t="shared" si="3"/>
        <v>1.7275399457236471</v>
      </c>
      <c r="AA43" s="25">
        <f t="shared" si="3"/>
        <v>3.5912601823154393</v>
      </c>
      <c r="AB43" s="25">
        <f t="shared" si="3"/>
        <v>4.0684546664647403</v>
      </c>
      <c r="AC43" s="25">
        <f t="shared" si="3"/>
        <v>3.7236476477693721</v>
      </c>
      <c r="AD43" s="25">
        <f t="shared" si="3"/>
        <v>2.395135731001135</v>
      </c>
      <c r="AE43" s="25">
        <f t="shared" si="3"/>
        <v>3.7381284859350981</v>
      </c>
      <c r="AF43" s="26">
        <f t="shared" si="3"/>
        <v>2.9462780479478639</v>
      </c>
    </row>
    <row r="44" spans="1:32" ht="15.75">
      <c r="A44" s="24"/>
      <c r="B44" s="25"/>
      <c r="C44" s="25"/>
      <c r="D44" s="25"/>
      <c r="E44" s="25"/>
      <c r="F44" s="25"/>
      <c r="G44" s="25"/>
      <c r="H44" s="25"/>
      <c r="I44" s="25"/>
      <c r="J44" s="25"/>
      <c r="K44" s="25"/>
      <c r="L44" s="25"/>
      <c r="M44" s="25"/>
      <c r="N44" s="25"/>
      <c r="O44" s="25"/>
      <c r="P44" s="25"/>
      <c r="Q44" s="25"/>
      <c r="R44" s="25"/>
      <c r="S44" s="25"/>
      <c r="T44" s="25"/>
      <c r="U44" s="25"/>
      <c r="V44" s="25"/>
      <c r="W44" s="25"/>
      <c r="X44" s="25"/>
      <c r="Y44" s="25"/>
      <c r="Z44" s="25"/>
      <c r="AA44" s="25"/>
      <c r="AB44" s="25"/>
      <c r="AC44" s="25"/>
      <c r="AD44" s="25"/>
      <c r="AE44" s="25"/>
      <c r="AF44" s="26"/>
    </row>
    <row r="45" spans="1:32" ht="15.75">
      <c r="A45" s="22"/>
      <c r="B45" s="30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23"/>
    </row>
    <row r="46" spans="1:32" ht="15.75">
      <c r="A46" s="31"/>
      <c r="B46" s="30"/>
      <c r="C46" s="3"/>
      <c r="D46" s="3"/>
      <c r="E46" s="3"/>
      <c r="F46" s="3"/>
      <c r="G46" s="3"/>
      <c r="H46" s="32" t="s">
        <v>3</v>
      </c>
      <c r="I46" s="30"/>
      <c r="J46" s="33"/>
      <c r="K46" s="34" t="s">
        <v>5</v>
      </c>
      <c r="L46" s="33"/>
      <c r="M46" s="33"/>
      <c r="N46" s="34" t="s">
        <v>6</v>
      </c>
      <c r="O46" s="33"/>
      <c r="P46" s="33"/>
      <c r="Q46" s="34" t="s">
        <v>7</v>
      </c>
      <c r="R46" s="30"/>
      <c r="S46" s="30"/>
      <c r="T46" s="33" t="s">
        <v>3</v>
      </c>
      <c r="U46" s="33"/>
      <c r="V46" s="33" t="s">
        <v>3</v>
      </c>
      <c r="W46" s="33"/>
      <c r="X46" s="33" t="s">
        <v>8</v>
      </c>
      <c r="Y46" s="3"/>
      <c r="Z46" s="3"/>
      <c r="AA46" s="3"/>
      <c r="AB46" s="3"/>
      <c r="AC46" s="3"/>
      <c r="AD46" s="3"/>
      <c r="AE46" s="3"/>
      <c r="AF46" s="23"/>
    </row>
    <row r="47" spans="1:32" ht="15.75">
      <c r="A47" s="31"/>
      <c r="B47" s="30"/>
      <c r="C47" s="3"/>
      <c r="D47" s="3"/>
      <c r="E47" s="3"/>
      <c r="F47" s="3"/>
      <c r="G47" s="3"/>
      <c r="H47" s="35" t="s">
        <v>9</v>
      </c>
      <c r="I47" s="30"/>
      <c r="J47" s="33"/>
      <c r="K47" s="33" t="s">
        <v>9</v>
      </c>
      <c r="L47" s="33"/>
      <c r="M47" s="33"/>
      <c r="N47" s="33" t="s">
        <v>9</v>
      </c>
      <c r="O47" s="33"/>
      <c r="P47" s="33"/>
      <c r="Q47" s="33" t="s">
        <v>9</v>
      </c>
      <c r="R47" s="30"/>
      <c r="S47" s="30"/>
      <c r="T47" s="33" t="s">
        <v>10</v>
      </c>
      <c r="U47" s="33"/>
      <c r="V47" s="33" t="s">
        <v>11</v>
      </c>
      <c r="W47" s="33"/>
      <c r="X47" s="33" t="s">
        <v>12</v>
      </c>
      <c r="Y47" s="3"/>
      <c r="Z47" s="3"/>
      <c r="AA47" s="3"/>
      <c r="AB47" s="3"/>
      <c r="AC47" s="3"/>
      <c r="AD47" s="3"/>
      <c r="AE47" s="3"/>
      <c r="AF47" s="23"/>
    </row>
    <row r="48" spans="1:32" ht="15.75">
      <c r="A48" s="31"/>
      <c r="B48" s="30"/>
      <c r="C48" s="3"/>
      <c r="D48" s="3"/>
      <c r="E48" s="3"/>
      <c r="F48" s="3"/>
      <c r="G48" s="3"/>
      <c r="H48" s="28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23"/>
    </row>
    <row r="49" spans="1:32" ht="16.5" thickBot="1">
      <c r="A49" s="36"/>
      <c r="B49" s="37"/>
      <c r="C49" s="38"/>
      <c r="D49" s="38"/>
      <c r="E49" s="38"/>
      <c r="F49" s="38"/>
      <c r="G49" s="38"/>
      <c r="H49" s="39">
        <f>AVERAGE(B31:AF31)</f>
        <v>14.42243584851343</v>
      </c>
      <c r="I49" s="38"/>
      <c r="J49" s="40"/>
      <c r="K49" s="39">
        <f>MAX(B35:AF35)</f>
        <v>18.706275450522917</v>
      </c>
      <c r="L49" s="40"/>
      <c r="M49" s="40"/>
      <c r="N49" s="39">
        <f>MIN(B39:AF39)</f>
        <v>9.205860398033785</v>
      </c>
      <c r="O49" s="40"/>
      <c r="P49" s="40"/>
      <c r="Q49" s="39">
        <f>K49-N49</f>
        <v>9.5004150524891315</v>
      </c>
      <c r="R49" s="38"/>
      <c r="S49" s="39"/>
      <c r="T49" s="39">
        <f>AVERAGE(B35:AF35)</f>
        <v>16.077781666376165</v>
      </c>
      <c r="U49" s="39"/>
      <c r="V49" s="39">
        <f>AVERAGE(B39:AF39)</f>
        <v>12.930164017786286</v>
      </c>
      <c r="W49" s="39"/>
      <c r="X49" s="39">
        <f>T49-V49</f>
        <v>3.147617648589879</v>
      </c>
      <c r="Y49" s="38"/>
      <c r="Z49" s="38"/>
      <c r="AA49" s="38"/>
      <c r="AB49" s="38"/>
      <c r="AC49" s="38"/>
      <c r="AD49" s="38"/>
      <c r="AE49" s="38"/>
      <c r="AF49" s="41"/>
    </row>
    <row r="50" spans="1:32" ht="15.75" thickTop="1">
      <c r="B50" s="42"/>
    </row>
    <row r="51" spans="1:32">
      <c r="B51" s="42"/>
    </row>
    <row r="52" spans="1:32">
      <c r="B52" s="42"/>
    </row>
    <row r="53" spans="1:32">
      <c r="B53" s="42"/>
    </row>
    <row r="54" spans="1:32">
      <c r="B54" s="42"/>
    </row>
    <row r="55" spans="1:32">
      <c r="B55" s="42"/>
    </row>
    <row r="56" spans="1:32">
      <c r="B56" s="42"/>
    </row>
    <row r="57" spans="1:32">
      <c r="B57" s="42"/>
    </row>
    <row r="58" spans="1:32">
      <c r="B58" s="42"/>
    </row>
    <row r="59" spans="1:32">
      <c r="B59" s="42"/>
    </row>
    <row r="60" spans="1:32">
      <c r="B60" s="42"/>
    </row>
    <row r="61" spans="1:32">
      <c r="B61" s="42"/>
    </row>
    <row r="62" spans="1:32">
      <c r="B62" s="42"/>
    </row>
    <row r="63" spans="1:32">
      <c r="B63" s="42"/>
    </row>
    <row r="64" spans="1:32">
      <c r="B64" s="42"/>
    </row>
    <row r="65" spans="2:2">
      <c r="B65" s="42"/>
    </row>
    <row r="66" spans="2:2">
      <c r="B66" s="42"/>
    </row>
    <row r="67" spans="2:2">
      <c r="B67" s="42"/>
    </row>
    <row r="68" spans="2:2">
      <c r="B68" s="42"/>
    </row>
    <row r="69" spans="2:2">
      <c r="B69" s="42"/>
    </row>
    <row r="70" spans="2:2">
      <c r="B70" s="42"/>
    </row>
    <row r="71" spans="2:2">
      <c r="B71" s="42"/>
    </row>
    <row r="72" spans="2:2">
      <c r="B72" s="42"/>
    </row>
    <row r="73" spans="2:2">
      <c r="B73" s="42"/>
    </row>
    <row r="74" spans="2:2">
      <c r="B74" s="42"/>
    </row>
    <row r="75" spans="2:2">
      <c r="B75" s="42"/>
    </row>
    <row r="76" spans="2:2">
      <c r="B76" s="42"/>
    </row>
    <row r="77" spans="2:2">
      <c r="B77" s="42"/>
    </row>
    <row r="78" spans="2:2">
      <c r="B78" s="42"/>
    </row>
    <row r="79" spans="2:2">
      <c r="B79" s="42"/>
    </row>
    <row r="80" spans="2:2">
      <c r="B80" s="42"/>
    </row>
    <row r="81" spans="2:2">
      <c r="B81" s="42"/>
    </row>
    <row r="82" spans="2:2">
      <c r="B82" s="42"/>
    </row>
    <row r="83" spans="2:2">
      <c r="B83" s="42"/>
    </row>
    <row r="84" spans="2:2">
      <c r="B84" s="42"/>
    </row>
    <row r="85" spans="2:2">
      <c r="B85" s="42"/>
    </row>
    <row r="86" spans="2:2">
      <c r="B86" s="42"/>
    </row>
    <row r="87" spans="2:2">
      <c r="B87" s="42"/>
    </row>
    <row r="88" spans="2:2">
      <c r="B88" s="42"/>
    </row>
    <row r="89" spans="2:2">
      <c r="B89" s="42"/>
    </row>
    <row r="90" spans="2:2">
      <c r="B90" s="42"/>
    </row>
    <row r="91" spans="2:2">
      <c r="B91" s="42"/>
    </row>
    <row r="92" spans="2:2">
      <c r="B92" s="42"/>
    </row>
    <row r="93" spans="2:2">
      <c r="B93" s="42"/>
    </row>
    <row r="94" spans="2:2">
      <c r="B94" s="42"/>
    </row>
    <row r="95" spans="2:2">
      <c r="B95" s="42"/>
    </row>
    <row r="96" spans="2:2">
      <c r="B96" s="42"/>
    </row>
    <row r="97" spans="2:2">
      <c r="B97" s="42"/>
    </row>
    <row r="98" spans="2:2">
      <c r="B98" s="42"/>
    </row>
    <row r="99" spans="2:2">
      <c r="B99" s="42"/>
    </row>
    <row r="100" spans="2:2">
      <c r="B100" s="42"/>
    </row>
    <row r="101" spans="2:2">
      <c r="B101" s="42"/>
    </row>
    <row r="102" spans="2:2">
      <c r="B102" s="42"/>
    </row>
    <row r="103" spans="2:2">
      <c r="B103" s="42"/>
    </row>
    <row r="104" spans="2:2">
      <c r="B104" s="42"/>
    </row>
    <row r="105" spans="2:2">
      <c r="B105" s="42"/>
    </row>
    <row r="106" spans="2:2">
      <c r="B106" s="42"/>
    </row>
    <row r="107" spans="2:2">
      <c r="B107" s="42"/>
    </row>
    <row r="108" spans="2:2">
      <c r="B108" s="42"/>
    </row>
    <row r="109" spans="2:2">
      <c r="B109" s="42"/>
    </row>
    <row r="110" spans="2:2">
      <c r="B110" s="42"/>
    </row>
    <row r="111" spans="2:2">
      <c r="B111" s="42"/>
    </row>
    <row r="112" spans="2:2">
      <c r="B112" s="42"/>
    </row>
    <row r="113" spans="2:2">
      <c r="B113" s="42"/>
    </row>
    <row r="114" spans="2:2">
      <c r="B114" s="42"/>
    </row>
    <row r="115" spans="2:2">
      <c r="B115" s="42"/>
    </row>
    <row r="116" spans="2:2">
      <c r="B116" s="42"/>
    </row>
    <row r="117" spans="2:2">
      <c r="B117" s="42"/>
    </row>
    <row r="118" spans="2:2">
      <c r="B118" s="42"/>
    </row>
    <row r="119" spans="2:2">
      <c r="B119" s="42"/>
    </row>
    <row r="120" spans="2:2">
      <c r="B120" s="42"/>
    </row>
    <row r="121" spans="2:2">
      <c r="B121" s="42"/>
    </row>
    <row r="122" spans="2:2">
      <c r="B122" s="42"/>
    </row>
    <row r="123" spans="2:2">
      <c r="B123" s="42"/>
    </row>
    <row r="124" spans="2:2">
      <c r="B124" s="42"/>
    </row>
    <row r="125" spans="2:2">
      <c r="B125" s="42"/>
    </row>
    <row r="126" spans="2:2">
      <c r="B126" s="42"/>
    </row>
    <row r="127" spans="2:2">
      <c r="B127" s="42"/>
    </row>
    <row r="128" spans="2:2">
      <c r="B128" s="42"/>
    </row>
    <row r="129" spans="2:2">
      <c r="B129" s="42"/>
    </row>
    <row r="130" spans="2:2">
      <c r="B130" s="42"/>
    </row>
    <row r="131" spans="2:2">
      <c r="B131" s="42"/>
    </row>
    <row r="132" spans="2:2">
      <c r="B132" s="42"/>
    </row>
    <row r="133" spans="2:2">
      <c r="B133" s="42"/>
    </row>
    <row r="134" spans="2:2">
      <c r="B134" s="42"/>
    </row>
    <row r="135" spans="2:2">
      <c r="B135" s="42"/>
    </row>
    <row r="136" spans="2:2">
      <c r="B136" s="42"/>
    </row>
    <row r="137" spans="2:2">
      <c r="B137" s="42"/>
    </row>
    <row r="138" spans="2:2">
      <c r="B138" s="42"/>
    </row>
    <row r="139" spans="2:2">
      <c r="B139" s="42"/>
    </row>
    <row r="140" spans="2:2">
      <c r="B140" s="42"/>
    </row>
    <row r="141" spans="2:2">
      <c r="B141" s="42"/>
    </row>
    <row r="142" spans="2:2">
      <c r="B142" s="42"/>
    </row>
    <row r="143" spans="2:2">
      <c r="B143" s="42"/>
    </row>
    <row r="144" spans="2:2">
      <c r="B144" s="42"/>
    </row>
    <row r="145" spans="2:2">
      <c r="B145" s="42"/>
    </row>
    <row r="146" spans="2:2">
      <c r="B146" s="42"/>
    </row>
    <row r="147" spans="2:2">
      <c r="B147" s="42"/>
    </row>
    <row r="148" spans="2:2">
      <c r="B148" s="42"/>
    </row>
    <row r="149" spans="2:2">
      <c r="B149" s="42"/>
    </row>
    <row r="150" spans="2:2">
      <c r="B150" s="42"/>
    </row>
    <row r="151" spans="2:2">
      <c r="B151" s="42"/>
    </row>
    <row r="152" spans="2:2">
      <c r="B152" s="42"/>
    </row>
    <row r="153" spans="2:2">
      <c r="B153" s="42"/>
    </row>
    <row r="154" spans="2:2">
      <c r="B154" s="42"/>
    </row>
    <row r="155" spans="2:2">
      <c r="B155" s="42"/>
    </row>
    <row r="156" spans="2:2">
      <c r="B156" s="42"/>
    </row>
    <row r="157" spans="2:2">
      <c r="B157" s="42"/>
    </row>
    <row r="158" spans="2:2">
      <c r="B158" s="42"/>
    </row>
    <row r="159" spans="2:2">
      <c r="B159" s="42"/>
    </row>
    <row r="160" spans="2:2">
      <c r="B160" s="42"/>
    </row>
    <row r="161" spans="2:2">
      <c r="B161" s="42"/>
    </row>
    <row r="162" spans="2:2">
      <c r="B162" s="42"/>
    </row>
    <row r="163" spans="2:2">
      <c r="B163" s="42"/>
    </row>
    <row r="164" spans="2:2">
      <c r="B164" s="42"/>
    </row>
    <row r="165" spans="2:2">
      <c r="B165" s="42"/>
    </row>
    <row r="166" spans="2:2">
      <c r="B166" s="42"/>
    </row>
    <row r="167" spans="2:2">
      <c r="B167" s="42"/>
    </row>
    <row r="168" spans="2:2">
      <c r="B168" s="42"/>
    </row>
    <row r="169" spans="2:2">
      <c r="B169" s="42"/>
    </row>
    <row r="170" spans="2:2">
      <c r="B170" s="42"/>
    </row>
    <row r="171" spans="2:2">
      <c r="B171" s="42"/>
    </row>
    <row r="172" spans="2:2">
      <c r="B172" s="42"/>
    </row>
    <row r="173" spans="2:2">
      <c r="B173" s="42"/>
    </row>
    <row r="174" spans="2:2">
      <c r="B174" s="42"/>
    </row>
    <row r="175" spans="2:2">
      <c r="B175" s="42"/>
    </row>
    <row r="176" spans="2:2">
      <c r="B176" s="42"/>
    </row>
    <row r="177" spans="2:2">
      <c r="B177" s="42"/>
    </row>
    <row r="178" spans="2:2">
      <c r="B178" s="42"/>
    </row>
    <row r="179" spans="2:2">
      <c r="B179" s="42"/>
    </row>
    <row r="180" spans="2:2">
      <c r="B180" s="42"/>
    </row>
    <row r="181" spans="2:2">
      <c r="B181" s="42"/>
    </row>
    <row r="182" spans="2:2">
      <c r="B182" s="42"/>
    </row>
    <row r="183" spans="2:2">
      <c r="B183" s="42"/>
    </row>
    <row r="184" spans="2:2">
      <c r="B184" s="42"/>
    </row>
    <row r="185" spans="2:2">
      <c r="B185" s="42"/>
    </row>
    <row r="186" spans="2:2">
      <c r="B186" s="42"/>
    </row>
    <row r="187" spans="2:2">
      <c r="B187" s="42"/>
    </row>
    <row r="188" spans="2:2">
      <c r="B188" s="42"/>
    </row>
    <row r="189" spans="2:2">
      <c r="B189" s="42"/>
    </row>
    <row r="190" spans="2:2">
      <c r="B190" s="42"/>
    </row>
    <row r="191" spans="2:2">
      <c r="B191" s="42"/>
    </row>
    <row r="192" spans="2:2">
      <c r="B192" s="42"/>
    </row>
    <row r="193" spans="2:2">
      <c r="B193" s="42"/>
    </row>
    <row r="194" spans="2:2">
      <c r="B194" s="42"/>
    </row>
    <row r="195" spans="2:2">
      <c r="B195" s="42"/>
    </row>
    <row r="196" spans="2:2">
      <c r="B196" s="42"/>
    </row>
    <row r="197" spans="2:2">
      <c r="B197" s="42"/>
    </row>
    <row r="198" spans="2:2">
      <c r="B198" s="42"/>
    </row>
    <row r="199" spans="2:2">
      <c r="B199" s="42"/>
    </row>
    <row r="200" spans="2:2">
      <c r="B200" s="42"/>
    </row>
    <row r="201" spans="2:2">
      <c r="B201" s="42"/>
    </row>
    <row r="202" spans="2:2">
      <c r="B202" s="42"/>
    </row>
    <row r="203" spans="2:2">
      <c r="B203" s="42"/>
    </row>
    <row r="204" spans="2:2">
      <c r="B204" s="42"/>
    </row>
    <row r="205" spans="2:2">
      <c r="B205" s="42"/>
    </row>
    <row r="206" spans="2:2">
      <c r="B206" s="42"/>
    </row>
    <row r="207" spans="2:2">
      <c r="B207" s="42"/>
    </row>
    <row r="208" spans="2:2">
      <c r="B208" s="42"/>
    </row>
    <row r="209" spans="2:2">
      <c r="B209" s="42"/>
    </row>
    <row r="210" spans="2:2">
      <c r="B210" s="42"/>
    </row>
    <row r="211" spans="2:2">
      <c r="B211" s="42"/>
    </row>
    <row r="212" spans="2:2">
      <c r="B212" s="42"/>
    </row>
    <row r="213" spans="2:2">
      <c r="B213" s="42"/>
    </row>
    <row r="214" spans="2:2">
      <c r="B214" s="42"/>
    </row>
    <row r="215" spans="2:2">
      <c r="B215" s="42"/>
    </row>
    <row r="216" spans="2:2">
      <c r="B216" s="42"/>
    </row>
    <row r="217" spans="2:2">
      <c r="B217" s="42"/>
    </row>
    <row r="218" spans="2:2">
      <c r="B218" s="42"/>
    </row>
    <row r="219" spans="2:2">
      <c r="B219" s="42"/>
    </row>
    <row r="220" spans="2:2">
      <c r="B220" s="42"/>
    </row>
    <row r="221" spans="2:2">
      <c r="B221" s="42"/>
    </row>
    <row r="222" spans="2:2">
      <c r="B222" s="42"/>
    </row>
    <row r="223" spans="2:2">
      <c r="B223" s="42"/>
    </row>
    <row r="224" spans="2:2">
      <c r="B224" s="42"/>
    </row>
    <row r="225" spans="2:2">
      <c r="B225" s="42"/>
    </row>
    <row r="226" spans="2:2">
      <c r="B226" s="42"/>
    </row>
    <row r="227" spans="2:2">
      <c r="B227" s="42"/>
    </row>
    <row r="228" spans="2:2">
      <c r="B228" s="42"/>
    </row>
    <row r="229" spans="2:2">
      <c r="B229" s="42"/>
    </row>
    <row r="230" spans="2:2">
      <c r="B230" s="42"/>
    </row>
    <row r="231" spans="2:2">
      <c r="B231" s="42"/>
    </row>
    <row r="232" spans="2:2">
      <c r="B232" s="42"/>
    </row>
    <row r="233" spans="2:2">
      <c r="B233" s="42"/>
    </row>
    <row r="234" spans="2:2">
      <c r="B234" s="42"/>
    </row>
    <row r="235" spans="2:2">
      <c r="B235" s="42"/>
    </row>
    <row r="236" spans="2:2">
      <c r="B236" s="42"/>
    </row>
    <row r="237" spans="2:2">
      <c r="B237" s="42"/>
    </row>
    <row r="238" spans="2:2">
      <c r="B238" s="42"/>
    </row>
    <row r="239" spans="2:2">
      <c r="B239" s="42"/>
    </row>
    <row r="240" spans="2:2">
      <c r="B240" s="42"/>
    </row>
    <row r="241" spans="2:2">
      <c r="B241" s="42"/>
    </row>
    <row r="242" spans="2:2">
      <c r="B242" s="42"/>
    </row>
    <row r="243" spans="2:2">
      <c r="B243" s="42"/>
    </row>
    <row r="244" spans="2:2">
      <c r="B244" s="42"/>
    </row>
    <row r="245" spans="2:2">
      <c r="B245" s="42"/>
    </row>
    <row r="246" spans="2:2">
      <c r="B246" s="42"/>
    </row>
    <row r="247" spans="2:2">
      <c r="B247" s="42"/>
    </row>
    <row r="248" spans="2:2">
      <c r="B248" s="42"/>
    </row>
    <row r="249" spans="2:2">
      <c r="B249" s="42"/>
    </row>
    <row r="250" spans="2:2">
      <c r="B250" s="42"/>
    </row>
    <row r="251" spans="2:2">
      <c r="B251" s="42"/>
    </row>
    <row r="252" spans="2:2">
      <c r="B252" s="42"/>
    </row>
    <row r="253" spans="2:2">
      <c r="B253" s="42"/>
    </row>
    <row r="254" spans="2:2">
      <c r="B254" s="42"/>
    </row>
    <row r="255" spans="2:2">
      <c r="B255" s="42"/>
    </row>
    <row r="256" spans="2:2">
      <c r="B256" s="42"/>
    </row>
    <row r="257" spans="2:2">
      <c r="B257" s="42"/>
    </row>
    <row r="258" spans="2:2">
      <c r="B258" s="42"/>
    </row>
    <row r="259" spans="2:2">
      <c r="B259" s="42"/>
    </row>
    <row r="260" spans="2:2">
      <c r="B260" s="42"/>
    </row>
    <row r="261" spans="2:2">
      <c r="B261" s="42"/>
    </row>
    <row r="262" spans="2:2">
      <c r="B262" s="42"/>
    </row>
    <row r="263" spans="2:2">
      <c r="B263" s="42"/>
    </row>
    <row r="264" spans="2:2">
      <c r="B264" s="42"/>
    </row>
    <row r="265" spans="2:2">
      <c r="B265" s="42"/>
    </row>
    <row r="266" spans="2:2">
      <c r="B266" s="42"/>
    </row>
    <row r="267" spans="2:2">
      <c r="B267" s="42"/>
    </row>
    <row r="268" spans="2:2">
      <c r="B268" s="42"/>
    </row>
    <row r="269" spans="2:2">
      <c r="B269" s="42"/>
    </row>
    <row r="270" spans="2:2">
      <c r="B270" s="42"/>
    </row>
    <row r="271" spans="2:2">
      <c r="B271" s="42"/>
    </row>
    <row r="272" spans="2:2">
      <c r="B272" s="42"/>
    </row>
    <row r="273" spans="2:2">
      <c r="B273" s="42"/>
    </row>
    <row r="274" spans="2:2">
      <c r="B274" s="42"/>
    </row>
    <row r="275" spans="2:2">
      <c r="B275" s="42"/>
    </row>
    <row r="276" spans="2:2">
      <c r="B276" s="42"/>
    </row>
    <row r="277" spans="2:2">
      <c r="B277" s="42"/>
    </row>
    <row r="278" spans="2:2">
      <c r="B278" s="42"/>
    </row>
    <row r="279" spans="2:2">
      <c r="B279" s="42"/>
    </row>
    <row r="280" spans="2:2">
      <c r="B280" s="42"/>
    </row>
    <row r="281" spans="2:2">
      <c r="B281" s="42"/>
    </row>
    <row r="282" spans="2:2">
      <c r="B282" s="42"/>
    </row>
    <row r="283" spans="2:2">
      <c r="B283" s="42"/>
    </row>
    <row r="284" spans="2:2">
      <c r="B284" s="42"/>
    </row>
    <row r="285" spans="2:2">
      <c r="B285" s="42"/>
    </row>
    <row r="286" spans="2:2">
      <c r="B286" s="42"/>
    </row>
    <row r="287" spans="2:2">
      <c r="B287" s="42"/>
    </row>
    <row r="288" spans="2:2">
      <c r="B288" s="42"/>
    </row>
    <row r="289" spans="2:2">
      <c r="B289" s="42"/>
    </row>
    <row r="290" spans="2:2">
      <c r="B290" s="42"/>
    </row>
    <row r="291" spans="2:2">
      <c r="B291" s="42"/>
    </row>
    <row r="292" spans="2:2">
      <c r="B292" s="42"/>
    </row>
    <row r="293" spans="2:2">
      <c r="B293" s="42"/>
    </row>
    <row r="294" spans="2:2">
      <c r="B294" s="42"/>
    </row>
    <row r="295" spans="2:2">
      <c r="B295" s="42"/>
    </row>
    <row r="296" spans="2:2">
      <c r="B296" s="42"/>
    </row>
    <row r="297" spans="2:2">
      <c r="B297" s="42"/>
    </row>
    <row r="298" spans="2:2">
      <c r="B298" s="42"/>
    </row>
    <row r="299" spans="2:2">
      <c r="B299" s="42"/>
    </row>
    <row r="300" spans="2:2">
      <c r="B300" s="42"/>
    </row>
    <row r="301" spans="2:2">
      <c r="B301" s="42"/>
    </row>
    <row r="302" spans="2:2">
      <c r="B302" s="42"/>
    </row>
    <row r="303" spans="2:2">
      <c r="B303" s="42"/>
    </row>
    <row r="304" spans="2:2">
      <c r="B304" s="42"/>
    </row>
    <row r="305" spans="2:2">
      <c r="B305" s="42"/>
    </row>
    <row r="306" spans="2:2">
      <c r="B306" s="42"/>
    </row>
    <row r="307" spans="2:2">
      <c r="B307" s="42"/>
    </row>
    <row r="308" spans="2:2">
      <c r="B308" s="42"/>
    </row>
    <row r="309" spans="2:2">
      <c r="B309" s="42"/>
    </row>
    <row r="310" spans="2:2">
      <c r="B310" s="42"/>
    </row>
    <row r="311" spans="2:2">
      <c r="B311" s="42"/>
    </row>
    <row r="312" spans="2:2">
      <c r="B312" s="42"/>
    </row>
    <row r="313" spans="2:2">
      <c r="B313" s="42"/>
    </row>
    <row r="314" spans="2:2">
      <c r="B314" s="42"/>
    </row>
    <row r="315" spans="2:2">
      <c r="B315" s="42"/>
    </row>
    <row r="316" spans="2:2">
      <c r="B316" s="42"/>
    </row>
    <row r="317" spans="2:2">
      <c r="B317" s="42"/>
    </row>
    <row r="318" spans="2:2">
      <c r="B318" s="42"/>
    </row>
    <row r="319" spans="2:2">
      <c r="B319" s="42"/>
    </row>
    <row r="320" spans="2:2">
      <c r="B320" s="42"/>
    </row>
    <row r="321" spans="2:2">
      <c r="B321" s="42"/>
    </row>
    <row r="322" spans="2:2">
      <c r="B322" s="42"/>
    </row>
    <row r="323" spans="2:2">
      <c r="B323" s="42"/>
    </row>
    <row r="324" spans="2:2">
      <c r="B324" s="42"/>
    </row>
    <row r="325" spans="2:2">
      <c r="B325" s="42"/>
    </row>
    <row r="326" spans="2:2">
      <c r="B326" s="42"/>
    </row>
    <row r="327" spans="2:2">
      <c r="B327" s="42"/>
    </row>
    <row r="328" spans="2:2">
      <c r="B328" s="42"/>
    </row>
    <row r="329" spans="2:2">
      <c r="B329" s="42"/>
    </row>
    <row r="330" spans="2:2">
      <c r="B330" s="42"/>
    </row>
    <row r="331" spans="2:2">
      <c r="B331" s="42"/>
    </row>
    <row r="332" spans="2:2">
      <c r="B332" s="42"/>
    </row>
    <row r="333" spans="2:2">
      <c r="B333" s="42"/>
    </row>
    <row r="334" spans="2:2">
      <c r="B334" s="42"/>
    </row>
    <row r="335" spans="2:2">
      <c r="B335" s="42"/>
    </row>
    <row r="336" spans="2:2">
      <c r="B336" s="42"/>
    </row>
    <row r="337" spans="2:2">
      <c r="B337" s="42"/>
    </row>
    <row r="338" spans="2:2">
      <c r="B338" s="42"/>
    </row>
    <row r="339" spans="2:2">
      <c r="B339" s="42"/>
    </row>
    <row r="340" spans="2:2">
      <c r="B340" s="42"/>
    </row>
    <row r="341" spans="2:2">
      <c r="B341" s="42"/>
    </row>
    <row r="342" spans="2:2">
      <c r="B342" s="42"/>
    </row>
    <row r="343" spans="2:2">
      <c r="B343" s="42"/>
    </row>
    <row r="344" spans="2:2">
      <c r="B344" s="42"/>
    </row>
    <row r="345" spans="2:2">
      <c r="B345" s="42"/>
    </row>
    <row r="346" spans="2:2">
      <c r="B346" s="42"/>
    </row>
    <row r="347" spans="2:2">
      <c r="B347" s="42"/>
    </row>
    <row r="348" spans="2:2">
      <c r="B348" s="42"/>
    </row>
    <row r="349" spans="2:2">
      <c r="B349" s="42"/>
    </row>
    <row r="350" spans="2:2">
      <c r="B350" s="42"/>
    </row>
    <row r="351" spans="2:2">
      <c r="B351" s="42"/>
    </row>
    <row r="352" spans="2:2">
      <c r="B352" s="42"/>
    </row>
    <row r="353" spans="2:2">
      <c r="B353" s="42"/>
    </row>
    <row r="354" spans="2:2">
      <c r="B354" s="42"/>
    </row>
    <row r="355" spans="2:2">
      <c r="B355" s="42"/>
    </row>
    <row r="356" spans="2:2">
      <c r="B356" s="42"/>
    </row>
    <row r="357" spans="2:2">
      <c r="B357" s="42"/>
    </row>
    <row r="358" spans="2:2">
      <c r="B358" s="42"/>
    </row>
    <row r="359" spans="2:2">
      <c r="B359" s="42"/>
    </row>
    <row r="360" spans="2:2">
      <c r="B360" s="42"/>
    </row>
    <row r="361" spans="2:2">
      <c r="B361" s="42"/>
    </row>
    <row r="362" spans="2:2">
      <c r="B362" s="42"/>
    </row>
    <row r="363" spans="2:2">
      <c r="B363" s="42"/>
    </row>
    <row r="364" spans="2:2">
      <c r="B364" s="42"/>
    </row>
    <row r="365" spans="2:2">
      <c r="B365" s="42"/>
    </row>
    <row r="366" spans="2:2">
      <c r="B366" s="42"/>
    </row>
    <row r="367" spans="2:2">
      <c r="B367" s="42"/>
    </row>
    <row r="368" spans="2:2">
      <c r="B368" s="42"/>
    </row>
    <row r="369" spans="2:2">
      <c r="B369" s="42"/>
    </row>
    <row r="370" spans="2:2">
      <c r="B370" s="42"/>
    </row>
    <row r="371" spans="2:2">
      <c r="B371" s="42"/>
    </row>
    <row r="372" spans="2:2">
      <c r="B372" s="42"/>
    </row>
    <row r="373" spans="2:2">
      <c r="B373" s="42"/>
    </row>
    <row r="374" spans="2:2">
      <c r="B374" s="42"/>
    </row>
    <row r="375" spans="2:2">
      <c r="B375" s="42"/>
    </row>
    <row r="376" spans="2:2">
      <c r="B376" s="42"/>
    </row>
    <row r="377" spans="2:2">
      <c r="B377" s="42"/>
    </row>
    <row r="378" spans="2:2">
      <c r="B378" s="42"/>
    </row>
    <row r="379" spans="2:2">
      <c r="B379" s="42"/>
    </row>
    <row r="380" spans="2:2">
      <c r="B380" s="42"/>
    </row>
    <row r="381" spans="2:2">
      <c r="B381" s="42"/>
    </row>
    <row r="382" spans="2:2">
      <c r="B382" s="42"/>
    </row>
    <row r="383" spans="2:2">
      <c r="B383" s="42"/>
    </row>
    <row r="384" spans="2:2">
      <c r="B384" s="42"/>
    </row>
    <row r="385" spans="2:2">
      <c r="B385" s="42"/>
    </row>
    <row r="386" spans="2:2">
      <c r="B386" s="42"/>
    </row>
    <row r="387" spans="2:2">
      <c r="B387" s="42"/>
    </row>
    <row r="388" spans="2:2">
      <c r="B388" s="42"/>
    </row>
    <row r="389" spans="2:2">
      <c r="B389" s="42"/>
    </row>
    <row r="390" spans="2:2">
      <c r="B390" s="42"/>
    </row>
    <row r="391" spans="2:2">
      <c r="B391" s="42"/>
    </row>
    <row r="392" spans="2:2">
      <c r="B392" s="42"/>
    </row>
    <row r="393" spans="2:2">
      <c r="B393" s="42"/>
    </row>
    <row r="394" spans="2:2">
      <c r="B394" s="42"/>
    </row>
    <row r="395" spans="2:2">
      <c r="B395" s="42"/>
    </row>
    <row r="396" spans="2:2">
      <c r="B396" s="42"/>
    </row>
    <row r="397" spans="2:2">
      <c r="B397" s="42"/>
    </row>
    <row r="398" spans="2:2">
      <c r="B398" s="42"/>
    </row>
    <row r="399" spans="2:2">
      <c r="B399" s="42"/>
    </row>
    <row r="400" spans="2:2">
      <c r="B400" s="42"/>
    </row>
    <row r="401" spans="2:2">
      <c r="B401" s="42"/>
    </row>
    <row r="402" spans="2:2">
      <c r="B402" s="42"/>
    </row>
    <row r="403" spans="2:2">
      <c r="B403" s="42"/>
    </row>
    <row r="404" spans="2:2">
      <c r="B404" s="42"/>
    </row>
    <row r="405" spans="2:2">
      <c r="B405" s="42"/>
    </row>
    <row r="406" spans="2:2">
      <c r="B406" s="42"/>
    </row>
    <row r="407" spans="2:2">
      <c r="B407" s="42"/>
    </row>
    <row r="408" spans="2:2">
      <c r="B408" s="42"/>
    </row>
    <row r="409" spans="2:2">
      <c r="B409" s="42"/>
    </row>
    <row r="410" spans="2:2">
      <c r="B410" s="42"/>
    </row>
    <row r="411" spans="2:2">
      <c r="B411" s="42"/>
    </row>
    <row r="412" spans="2:2">
      <c r="B412" s="42"/>
    </row>
    <row r="413" spans="2:2">
      <c r="B413" s="42"/>
    </row>
    <row r="414" spans="2:2">
      <c r="B414" s="42"/>
    </row>
    <row r="415" spans="2:2">
      <c r="B415" s="42"/>
    </row>
    <row r="416" spans="2:2">
      <c r="B416" s="42"/>
    </row>
    <row r="417" spans="2:2">
      <c r="B417" s="42"/>
    </row>
    <row r="418" spans="2:2">
      <c r="B418" s="42"/>
    </row>
    <row r="419" spans="2:2">
      <c r="B419" s="42"/>
    </row>
    <row r="420" spans="2:2">
      <c r="B420" s="42"/>
    </row>
    <row r="421" spans="2:2">
      <c r="B421" s="42"/>
    </row>
    <row r="422" spans="2:2">
      <c r="B422" s="42"/>
    </row>
    <row r="423" spans="2:2">
      <c r="B423" s="42"/>
    </row>
    <row r="424" spans="2:2">
      <c r="B424" s="42"/>
    </row>
    <row r="425" spans="2:2">
      <c r="B425" s="42"/>
    </row>
    <row r="426" spans="2:2">
      <c r="B426" s="42"/>
    </row>
    <row r="427" spans="2:2">
      <c r="B427" s="42"/>
    </row>
    <row r="428" spans="2:2">
      <c r="B428" s="42"/>
    </row>
    <row r="429" spans="2:2">
      <c r="B429" s="42"/>
    </row>
    <row r="430" spans="2:2">
      <c r="B430" s="42"/>
    </row>
    <row r="431" spans="2:2">
      <c r="B431" s="42"/>
    </row>
    <row r="432" spans="2:2">
      <c r="B432" s="42"/>
    </row>
    <row r="433" spans="2:2">
      <c r="B433" s="42"/>
    </row>
    <row r="434" spans="2:2">
      <c r="B434" s="42"/>
    </row>
    <row r="435" spans="2:2">
      <c r="B435" s="42"/>
    </row>
    <row r="436" spans="2:2">
      <c r="B436" s="42"/>
    </row>
    <row r="437" spans="2:2">
      <c r="B437" s="42"/>
    </row>
    <row r="438" spans="2:2">
      <c r="B438" s="42"/>
    </row>
    <row r="439" spans="2:2">
      <c r="B439" s="42"/>
    </row>
    <row r="440" spans="2:2">
      <c r="B440" s="42"/>
    </row>
    <row r="441" spans="2:2">
      <c r="B441" s="42"/>
    </row>
    <row r="442" spans="2:2">
      <c r="B442" s="42"/>
    </row>
    <row r="443" spans="2:2">
      <c r="B443" s="42"/>
    </row>
    <row r="444" spans="2:2">
      <c r="B444" s="42"/>
    </row>
    <row r="445" spans="2:2">
      <c r="B445" s="42"/>
    </row>
    <row r="446" spans="2:2">
      <c r="B446" s="42"/>
    </row>
    <row r="447" spans="2:2">
      <c r="B447" s="42"/>
    </row>
    <row r="448" spans="2:2">
      <c r="B448" s="42"/>
    </row>
    <row r="449" spans="2:2">
      <c r="B449" s="42"/>
    </row>
    <row r="450" spans="2:2">
      <c r="B450" s="42"/>
    </row>
    <row r="451" spans="2:2">
      <c r="B451" s="42"/>
    </row>
    <row r="452" spans="2:2">
      <c r="B452" s="42"/>
    </row>
    <row r="453" spans="2:2">
      <c r="B453" s="42"/>
    </row>
    <row r="454" spans="2:2">
      <c r="B454" s="42"/>
    </row>
    <row r="455" spans="2:2">
      <c r="B455" s="42"/>
    </row>
    <row r="456" spans="2:2">
      <c r="B456" s="42"/>
    </row>
    <row r="457" spans="2:2">
      <c r="B457" s="42"/>
    </row>
    <row r="458" spans="2:2">
      <c r="B458" s="42"/>
    </row>
    <row r="459" spans="2:2">
      <c r="B459" s="42"/>
    </row>
    <row r="460" spans="2:2">
      <c r="B460" s="42"/>
    </row>
    <row r="461" spans="2:2">
      <c r="B461" s="42"/>
    </row>
    <row r="462" spans="2:2">
      <c r="B462" s="42"/>
    </row>
    <row r="463" spans="2:2">
      <c r="B463" s="42"/>
    </row>
    <row r="464" spans="2:2">
      <c r="B464" s="42"/>
    </row>
    <row r="465" spans="2:2">
      <c r="B465" s="42"/>
    </row>
    <row r="466" spans="2:2">
      <c r="B466" s="42"/>
    </row>
    <row r="467" spans="2:2">
      <c r="B467" s="42"/>
    </row>
    <row r="468" spans="2:2">
      <c r="B468" s="42"/>
    </row>
    <row r="469" spans="2:2">
      <c r="B469" s="42"/>
    </row>
    <row r="470" spans="2:2">
      <c r="B470" s="42"/>
    </row>
    <row r="471" spans="2:2">
      <c r="B471" s="42"/>
    </row>
    <row r="472" spans="2:2">
      <c r="B472" s="42"/>
    </row>
    <row r="473" spans="2:2">
      <c r="B473" s="42"/>
    </row>
    <row r="474" spans="2:2">
      <c r="B474" s="42"/>
    </row>
    <row r="475" spans="2:2">
      <c r="B475" s="42"/>
    </row>
    <row r="476" spans="2:2">
      <c r="B476" s="42"/>
    </row>
    <row r="477" spans="2:2">
      <c r="B477" s="42"/>
    </row>
    <row r="478" spans="2:2">
      <c r="B478" s="42"/>
    </row>
    <row r="479" spans="2:2">
      <c r="B479" s="42"/>
    </row>
    <row r="480" spans="2:2">
      <c r="B480" s="42"/>
    </row>
    <row r="481" spans="2:2">
      <c r="B481" s="42"/>
    </row>
    <row r="482" spans="2:2">
      <c r="B482" s="42"/>
    </row>
    <row r="483" spans="2:2">
      <c r="B483" s="42"/>
    </row>
    <row r="484" spans="2:2">
      <c r="B484" s="42"/>
    </row>
    <row r="485" spans="2:2">
      <c r="B485" s="42"/>
    </row>
    <row r="486" spans="2:2">
      <c r="B486" s="42"/>
    </row>
    <row r="487" spans="2:2">
      <c r="B487" s="42"/>
    </row>
    <row r="488" spans="2:2">
      <c r="B488" s="42"/>
    </row>
    <row r="489" spans="2:2">
      <c r="B489" s="42"/>
    </row>
    <row r="490" spans="2:2">
      <c r="B490" s="42"/>
    </row>
    <row r="491" spans="2:2">
      <c r="B491" s="42"/>
    </row>
    <row r="492" spans="2:2">
      <c r="B492" s="42"/>
    </row>
    <row r="493" spans="2:2">
      <c r="B493" s="42"/>
    </row>
    <row r="494" spans="2:2">
      <c r="B494" s="42"/>
    </row>
    <row r="495" spans="2:2">
      <c r="B495" s="42"/>
    </row>
    <row r="496" spans="2:2">
      <c r="B496" s="42"/>
    </row>
    <row r="497" spans="2:2">
      <c r="B497" s="42"/>
    </row>
  </sheetData>
  <pageMargins left="0.511811024" right="0.511811024" top="0.78740157499999996" bottom="0.78740157499999996" header="0.31496062000000002" footer="0.31496062000000002"/>
  <pageSetup paperSize="9" orientation="portrait" horizontalDpi="4294967295" verticalDpi="4294967295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AF497"/>
  <sheetViews>
    <sheetView zoomScale="70" zoomScaleNormal="70" workbookViewId="0">
      <selection activeCell="B4" sqref="B4:AF9"/>
    </sheetView>
  </sheetViews>
  <sheetFormatPr defaultColWidth="5.7109375" defaultRowHeight="15"/>
  <cols>
    <col min="1" max="1" width="11.5703125" customWidth="1"/>
    <col min="2" max="32" width="7.7109375" style="43" customWidth="1"/>
    <col min="33" max="33" width="12.7109375" customWidth="1"/>
    <col min="257" max="257" width="11.5703125" customWidth="1"/>
    <col min="258" max="288" width="7.7109375" customWidth="1"/>
    <col min="289" max="289" width="12.7109375" customWidth="1"/>
    <col min="513" max="513" width="11.5703125" customWidth="1"/>
    <col min="514" max="544" width="7.7109375" customWidth="1"/>
    <col min="545" max="545" width="12.7109375" customWidth="1"/>
    <col min="769" max="769" width="11.5703125" customWidth="1"/>
    <col min="770" max="800" width="7.7109375" customWidth="1"/>
    <col min="801" max="801" width="12.7109375" customWidth="1"/>
    <col min="1025" max="1025" width="11.5703125" customWidth="1"/>
    <col min="1026" max="1056" width="7.7109375" customWidth="1"/>
    <col min="1057" max="1057" width="12.7109375" customWidth="1"/>
    <col min="1281" max="1281" width="11.5703125" customWidth="1"/>
    <col min="1282" max="1312" width="7.7109375" customWidth="1"/>
    <col min="1313" max="1313" width="12.7109375" customWidth="1"/>
    <col min="1537" max="1537" width="11.5703125" customWidth="1"/>
    <col min="1538" max="1568" width="7.7109375" customWidth="1"/>
    <col min="1569" max="1569" width="12.7109375" customWidth="1"/>
    <col min="1793" max="1793" width="11.5703125" customWidth="1"/>
    <col min="1794" max="1824" width="7.7109375" customWidth="1"/>
    <col min="1825" max="1825" width="12.7109375" customWidth="1"/>
    <col min="2049" max="2049" width="11.5703125" customWidth="1"/>
    <col min="2050" max="2080" width="7.7109375" customWidth="1"/>
    <col min="2081" max="2081" width="12.7109375" customWidth="1"/>
    <col min="2305" max="2305" width="11.5703125" customWidth="1"/>
    <col min="2306" max="2336" width="7.7109375" customWidth="1"/>
    <col min="2337" max="2337" width="12.7109375" customWidth="1"/>
    <col min="2561" max="2561" width="11.5703125" customWidth="1"/>
    <col min="2562" max="2592" width="7.7109375" customWidth="1"/>
    <col min="2593" max="2593" width="12.7109375" customWidth="1"/>
    <col min="2817" max="2817" width="11.5703125" customWidth="1"/>
    <col min="2818" max="2848" width="7.7109375" customWidth="1"/>
    <col min="2849" max="2849" width="12.7109375" customWidth="1"/>
    <col min="3073" max="3073" width="11.5703125" customWidth="1"/>
    <col min="3074" max="3104" width="7.7109375" customWidth="1"/>
    <col min="3105" max="3105" width="12.7109375" customWidth="1"/>
    <col min="3329" max="3329" width="11.5703125" customWidth="1"/>
    <col min="3330" max="3360" width="7.7109375" customWidth="1"/>
    <col min="3361" max="3361" width="12.7109375" customWidth="1"/>
    <col min="3585" max="3585" width="11.5703125" customWidth="1"/>
    <col min="3586" max="3616" width="7.7109375" customWidth="1"/>
    <col min="3617" max="3617" width="12.7109375" customWidth="1"/>
    <col min="3841" max="3841" width="11.5703125" customWidth="1"/>
    <col min="3842" max="3872" width="7.7109375" customWidth="1"/>
    <col min="3873" max="3873" width="12.7109375" customWidth="1"/>
    <col min="4097" max="4097" width="11.5703125" customWidth="1"/>
    <col min="4098" max="4128" width="7.7109375" customWidth="1"/>
    <col min="4129" max="4129" width="12.7109375" customWidth="1"/>
    <col min="4353" max="4353" width="11.5703125" customWidth="1"/>
    <col min="4354" max="4384" width="7.7109375" customWidth="1"/>
    <col min="4385" max="4385" width="12.7109375" customWidth="1"/>
    <col min="4609" max="4609" width="11.5703125" customWidth="1"/>
    <col min="4610" max="4640" width="7.7109375" customWidth="1"/>
    <col min="4641" max="4641" width="12.7109375" customWidth="1"/>
    <col min="4865" max="4865" width="11.5703125" customWidth="1"/>
    <col min="4866" max="4896" width="7.7109375" customWidth="1"/>
    <col min="4897" max="4897" width="12.7109375" customWidth="1"/>
    <col min="5121" max="5121" width="11.5703125" customWidth="1"/>
    <col min="5122" max="5152" width="7.7109375" customWidth="1"/>
    <col min="5153" max="5153" width="12.7109375" customWidth="1"/>
    <col min="5377" max="5377" width="11.5703125" customWidth="1"/>
    <col min="5378" max="5408" width="7.7109375" customWidth="1"/>
    <col min="5409" max="5409" width="12.7109375" customWidth="1"/>
    <col min="5633" max="5633" width="11.5703125" customWidth="1"/>
    <col min="5634" max="5664" width="7.7109375" customWidth="1"/>
    <col min="5665" max="5665" width="12.7109375" customWidth="1"/>
    <col min="5889" max="5889" width="11.5703125" customWidth="1"/>
    <col min="5890" max="5920" width="7.7109375" customWidth="1"/>
    <col min="5921" max="5921" width="12.7109375" customWidth="1"/>
    <col min="6145" max="6145" width="11.5703125" customWidth="1"/>
    <col min="6146" max="6176" width="7.7109375" customWidth="1"/>
    <col min="6177" max="6177" width="12.7109375" customWidth="1"/>
    <col min="6401" max="6401" width="11.5703125" customWidth="1"/>
    <col min="6402" max="6432" width="7.7109375" customWidth="1"/>
    <col min="6433" max="6433" width="12.7109375" customWidth="1"/>
    <col min="6657" max="6657" width="11.5703125" customWidth="1"/>
    <col min="6658" max="6688" width="7.7109375" customWidth="1"/>
    <col min="6689" max="6689" width="12.7109375" customWidth="1"/>
    <col min="6913" max="6913" width="11.5703125" customWidth="1"/>
    <col min="6914" max="6944" width="7.7109375" customWidth="1"/>
    <col min="6945" max="6945" width="12.7109375" customWidth="1"/>
    <col min="7169" max="7169" width="11.5703125" customWidth="1"/>
    <col min="7170" max="7200" width="7.7109375" customWidth="1"/>
    <col min="7201" max="7201" width="12.7109375" customWidth="1"/>
    <col min="7425" max="7425" width="11.5703125" customWidth="1"/>
    <col min="7426" max="7456" width="7.7109375" customWidth="1"/>
    <col min="7457" max="7457" width="12.7109375" customWidth="1"/>
    <col min="7681" max="7681" width="11.5703125" customWidth="1"/>
    <col min="7682" max="7712" width="7.7109375" customWidth="1"/>
    <col min="7713" max="7713" width="12.7109375" customWidth="1"/>
    <col min="7937" max="7937" width="11.5703125" customWidth="1"/>
    <col min="7938" max="7968" width="7.7109375" customWidth="1"/>
    <col min="7969" max="7969" width="12.7109375" customWidth="1"/>
    <col min="8193" max="8193" width="11.5703125" customWidth="1"/>
    <col min="8194" max="8224" width="7.7109375" customWidth="1"/>
    <col min="8225" max="8225" width="12.7109375" customWidth="1"/>
    <col min="8449" max="8449" width="11.5703125" customWidth="1"/>
    <col min="8450" max="8480" width="7.7109375" customWidth="1"/>
    <col min="8481" max="8481" width="12.7109375" customWidth="1"/>
    <col min="8705" max="8705" width="11.5703125" customWidth="1"/>
    <col min="8706" max="8736" width="7.7109375" customWidth="1"/>
    <col min="8737" max="8737" width="12.7109375" customWidth="1"/>
    <col min="8961" max="8961" width="11.5703125" customWidth="1"/>
    <col min="8962" max="8992" width="7.7109375" customWidth="1"/>
    <col min="8993" max="8993" width="12.7109375" customWidth="1"/>
    <col min="9217" max="9217" width="11.5703125" customWidth="1"/>
    <col min="9218" max="9248" width="7.7109375" customWidth="1"/>
    <col min="9249" max="9249" width="12.7109375" customWidth="1"/>
    <col min="9473" max="9473" width="11.5703125" customWidth="1"/>
    <col min="9474" max="9504" width="7.7109375" customWidth="1"/>
    <col min="9505" max="9505" width="12.7109375" customWidth="1"/>
    <col min="9729" max="9729" width="11.5703125" customWidth="1"/>
    <col min="9730" max="9760" width="7.7109375" customWidth="1"/>
    <col min="9761" max="9761" width="12.7109375" customWidth="1"/>
    <col min="9985" max="9985" width="11.5703125" customWidth="1"/>
    <col min="9986" max="10016" width="7.7109375" customWidth="1"/>
    <col min="10017" max="10017" width="12.7109375" customWidth="1"/>
    <col min="10241" max="10241" width="11.5703125" customWidth="1"/>
    <col min="10242" max="10272" width="7.7109375" customWidth="1"/>
    <col min="10273" max="10273" width="12.7109375" customWidth="1"/>
    <col min="10497" max="10497" width="11.5703125" customWidth="1"/>
    <col min="10498" max="10528" width="7.7109375" customWidth="1"/>
    <col min="10529" max="10529" width="12.7109375" customWidth="1"/>
    <col min="10753" max="10753" width="11.5703125" customWidth="1"/>
    <col min="10754" max="10784" width="7.7109375" customWidth="1"/>
    <col min="10785" max="10785" width="12.7109375" customWidth="1"/>
    <col min="11009" max="11009" width="11.5703125" customWidth="1"/>
    <col min="11010" max="11040" width="7.7109375" customWidth="1"/>
    <col min="11041" max="11041" width="12.7109375" customWidth="1"/>
    <col min="11265" max="11265" width="11.5703125" customWidth="1"/>
    <col min="11266" max="11296" width="7.7109375" customWidth="1"/>
    <col min="11297" max="11297" width="12.7109375" customWidth="1"/>
    <col min="11521" max="11521" width="11.5703125" customWidth="1"/>
    <col min="11522" max="11552" width="7.7109375" customWidth="1"/>
    <col min="11553" max="11553" width="12.7109375" customWidth="1"/>
    <col min="11777" max="11777" width="11.5703125" customWidth="1"/>
    <col min="11778" max="11808" width="7.7109375" customWidth="1"/>
    <col min="11809" max="11809" width="12.7109375" customWidth="1"/>
    <col min="12033" max="12033" width="11.5703125" customWidth="1"/>
    <col min="12034" max="12064" width="7.7109375" customWidth="1"/>
    <col min="12065" max="12065" width="12.7109375" customWidth="1"/>
    <col min="12289" max="12289" width="11.5703125" customWidth="1"/>
    <col min="12290" max="12320" width="7.7109375" customWidth="1"/>
    <col min="12321" max="12321" width="12.7109375" customWidth="1"/>
    <col min="12545" max="12545" width="11.5703125" customWidth="1"/>
    <col min="12546" max="12576" width="7.7109375" customWidth="1"/>
    <col min="12577" max="12577" width="12.7109375" customWidth="1"/>
    <col min="12801" max="12801" width="11.5703125" customWidth="1"/>
    <col min="12802" max="12832" width="7.7109375" customWidth="1"/>
    <col min="12833" max="12833" width="12.7109375" customWidth="1"/>
    <col min="13057" max="13057" width="11.5703125" customWidth="1"/>
    <col min="13058" max="13088" width="7.7109375" customWidth="1"/>
    <col min="13089" max="13089" width="12.7109375" customWidth="1"/>
    <col min="13313" max="13313" width="11.5703125" customWidth="1"/>
    <col min="13314" max="13344" width="7.7109375" customWidth="1"/>
    <col min="13345" max="13345" width="12.7109375" customWidth="1"/>
    <col min="13569" max="13569" width="11.5703125" customWidth="1"/>
    <col min="13570" max="13600" width="7.7109375" customWidth="1"/>
    <col min="13601" max="13601" width="12.7109375" customWidth="1"/>
    <col min="13825" max="13825" width="11.5703125" customWidth="1"/>
    <col min="13826" max="13856" width="7.7109375" customWidth="1"/>
    <col min="13857" max="13857" width="12.7109375" customWidth="1"/>
    <col min="14081" max="14081" width="11.5703125" customWidth="1"/>
    <col min="14082" max="14112" width="7.7109375" customWidth="1"/>
    <col min="14113" max="14113" width="12.7109375" customWidth="1"/>
    <col min="14337" max="14337" width="11.5703125" customWidth="1"/>
    <col min="14338" max="14368" width="7.7109375" customWidth="1"/>
    <col min="14369" max="14369" width="12.7109375" customWidth="1"/>
    <col min="14593" max="14593" width="11.5703125" customWidth="1"/>
    <col min="14594" max="14624" width="7.7109375" customWidth="1"/>
    <col min="14625" max="14625" width="12.7109375" customWidth="1"/>
    <col min="14849" max="14849" width="11.5703125" customWidth="1"/>
    <col min="14850" max="14880" width="7.7109375" customWidth="1"/>
    <col min="14881" max="14881" width="12.7109375" customWidth="1"/>
    <col min="15105" max="15105" width="11.5703125" customWidth="1"/>
    <col min="15106" max="15136" width="7.7109375" customWidth="1"/>
    <col min="15137" max="15137" width="12.7109375" customWidth="1"/>
    <col min="15361" max="15361" width="11.5703125" customWidth="1"/>
    <col min="15362" max="15392" width="7.7109375" customWidth="1"/>
    <col min="15393" max="15393" width="12.7109375" customWidth="1"/>
    <col min="15617" max="15617" width="11.5703125" customWidth="1"/>
    <col min="15618" max="15648" width="7.7109375" customWidth="1"/>
    <col min="15649" max="15649" width="12.7109375" customWidth="1"/>
    <col min="15873" max="15873" width="11.5703125" customWidth="1"/>
    <col min="15874" max="15904" width="7.7109375" customWidth="1"/>
    <col min="15905" max="15905" width="12.7109375" customWidth="1"/>
    <col min="16129" max="16129" width="11.5703125" customWidth="1"/>
    <col min="16130" max="16160" width="7.7109375" customWidth="1"/>
    <col min="16161" max="16161" width="12.7109375" customWidth="1"/>
  </cols>
  <sheetData>
    <row r="1" spans="1:32" ht="18">
      <c r="A1" s="44"/>
      <c r="B1" s="45" t="str">
        <f>'[2]Dia 1 (b)'!C1</f>
        <v>FEVEREIRO DE 2023</v>
      </c>
      <c r="C1" s="46"/>
      <c r="D1" s="47"/>
      <c r="E1" s="48"/>
      <c r="F1" s="45"/>
      <c r="G1" s="46"/>
      <c r="H1" s="46"/>
      <c r="I1" s="46"/>
      <c r="J1" s="46"/>
      <c r="K1" s="3" t="s">
        <v>0</v>
      </c>
      <c r="L1" s="3"/>
      <c r="M1" s="3"/>
      <c r="N1" s="6"/>
      <c r="O1" s="49"/>
      <c r="P1" s="50"/>
      <c r="Q1" s="49"/>
      <c r="R1" s="49"/>
      <c r="S1" s="49"/>
      <c r="T1" s="49"/>
      <c r="U1" s="49"/>
      <c r="V1" s="51"/>
      <c r="W1" s="46"/>
      <c r="X1" s="46"/>
      <c r="Y1" s="46"/>
      <c r="Z1" s="46"/>
      <c r="AA1" s="46"/>
      <c r="AB1" s="46"/>
      <c r="AC1" s="46"/>
      <c r="AD1" s="46"/>
      <c r="AE1" s="46"/>
      <c r="AF1" s="46"/>
    </row>
    <row r="2" spans="1:32" ht="15.75" thickBot="1">
      <c r="A2" s="44"/>
      <c r="B2" s="46"/>
      <c r="C2" s="46"/>
      <c r="D2" s="46"/>
      <c r="E2" s="46"/>
      <c r="F2" s="46"/>
      <c r="G2" s="46"/>
      <c r="H2" s="46"/>
      <c r="I2" s="46"/>
      <c r="J2" s="46"/>
      <c r="K2" s="46"/>
      <c r="L2" s="46"/>
      <c r="M2" s="46"/>
      <c r="N2" s="46"/>
      <c r="O2" s="46"/>
      <c r="P2" s="46"/>
      <c r="Q2" s="46"/>
      <c r="R2" s="46"/>
      <c r="S2" s="46"/>
      <c r="T2" s="46"/>
      <c r="U2" s="46"/>
      <c r="V2" s="46"/>
      <c r="W2" s="46"/>
      <c r="X2" s="46"/>
      <c r="Y2" s="46"/>
      <c r="Z2" s="46"/>
      <c r="AA2" s="46"/>
      <c r="AB2" s="46"/>
      <c r="AC2" s="46"/>
      <c r="AD2" s="46"/>
      <c r="AE2" s="46"/>
      <c r="AF2" s="46"/>
    </row>
    <row r="3" spans="1:32" ht="20.100000000000001" customHeight="1" thickBot="1">
      <c r="A3" s="52" t="s">
        <v>1</v>
      </c>
      <c r="B3" s="53">
        <v>1</v>
      </c>
      <c r="C3" s="53">
        <v>2</v>
      </c>
      <c r="D3" s="53">
        <v>3</v>
      </c>
      <c r="E3" s="53">
        <v>4</v>
      </c>
      <c r="F3" s="53">
        <v>5</v>
      </c>
      <c r="G3" s="53">
        <v>6</v>
      </c>
      <c r="H3" s="53">
        <v>7</v>
      </c>
      <c r="I3" s="53">
        <v>8</v>
      </c>
      <c r="J3" s="53">
        <v>9</v>
      </c>
      <c r="K3" s="53">
        <v>10</v>
      </c>
      <c r="L3" s="53">
        <v>11</v>
      </c>
      <c r="M3" s="53">
        <v>12</v>
      </c>
      <c r="N3" s="53">
        <v>13</v>
      </c>
      <c r="O3" s="53">
        <v>14</v>
      </c>
      <c r="P3" s="53">
        <v>15</v>
      </c>
      <c r="Q3" s="53">
        <v>16</v>
      </c>
      <c r="R3" s="53">
        <v>17</v>
      </c>
      <c r="S3" s="53">
        <v>18</v>
      </c>
      <c r="T3" s="53">
        <v>19</v>
      </c>
      <c r="U3" s="53">
        <v>20</v>
      </c>
      <c r="V3" s="53">
        <v>21</v>
      </c>
      <c r="W3" s="53">
        <v>22</v>
      </c>
      <c r="X3" s="53">
        <v>23</v>
      </c>
      <c r="Y3" s="53">
        <v>24</v>
      </c>
      <c r="Z3" s="54">
        <v>25</v>
      </c>
      <c r="AA3" s="54">
        <v>26</v>
      </c>
      <c r="AB3" s="54">
        <v>27</v>
      </c>
      <c r="AC3" s="54">
        <v>28</v>
      </c>
      <c r="AD3" s="54"/>
      <c r="AE3" s="54"/>
      <c r="AF3" s="55"/>
    </row>
    <row r="4" spans="1:32" ht="20.100000000000001" customHeight="1">
      <c r="A4" s="56">
        <v>1</v>
      </c>
      <c r="B4" s="57">
        <f>'[2]Dia 1 (b)'!$X10</f>
        <v>15.799274090835315</v>
      </c>
      <c r="C4" s="57">
        <f>'[2]Dia 2 (b)'!$X10</f>
        <v>15.814303604487263</v>
      </c>
      <c r="D4" s="57">
        <f>'[2]Dia 3 (b)'!$X10</f>
        <v>15.077163065665406</v>
      </c>
      <c r="E4" s="57">
        <f>'[2]Dia 4 (b)'!$X10</f>
        <v>13.788235418021845</v>
      </c>
      <c r="F4" s="57">
        <f>'[2]Dia 5 (b)'!$X10</f>
        <v>16.286896387949838</v>
      </c>
      <c r="G4" s="57">
        <f>'[2]Dia 6 (b)'!$X10</f>
        <v>15.606389756075787</v>
      </c>
      <c r="H4" s="57">
        <f>'[2]Dia 7 (b)'!$X10</f>
        <v>15.177540910163414</v>
      </c>
      <c r="I4" s="57">
        <f>'[2]Dia 8 (b)'!$X10</f>
        <v>14.32522654433826</v>
      </c>
      <c r="J4" s="57">
        <f>'[2]Dia 9 (b)'!$X10</f>
        <v>13.771007157996014</v>
      </c>
      <c r="K4" s="57">
        <f>'[2]Dia 10 (b)'!$X10</f>
        <v>14.509475672517842</v>
      </c>
      <c r="L4" s="57">
        <f>'[2]Dia 11 (b)'!$X10</f>
        <v>13.113364085376379</v>
      </c>
      <c r="M4" s="57">
        <f>'[2]Dia 12 (b)'!$X10</f>
        <v>14.954006940615351</v>
      </c>
      <c r="N4" s="57">
        <f>'[2]Dia 13 (b)'!$X10</f>
        <v>14.818411339019445</v>
      </c>
      <c r="O4" s="57">
        <f>'[2]Dia 14 (b)'!$X10</f>
        <v>15.739697538605011</v>
      </c>
      <c r="P4" s="57">
        <f>'[2]Dia 15 (b)'!$X10</f>
        <v>14.828341067890646</v>
      </c>
      <c r="Q4" s="57">
        <f>'[2]Dia 16 (b)'!$X10</f>
        <v>14.250903555844175</v>
      </c>
      <c r="R4" s="57">
        <f>'[2]Dia 17 (b)'!$X10</f>
        <v>15.128071480405817</v>
      </c>
      <c r="S4" s="57">
        <f>'[2]Dia 18 (b)'!$X10</f>
        <v>16.732822376030782</v>
      </c>
      <c r="T4" s="57">
        <f>'[2]Dia 19 (b)'!$X10</f>
        <v>13.570856554804301</v>
      </c>
      <c r="U4" s="57">
        <f>'[2]Dia 20 (b)'!$X10</f>
        <v>13.867325278599258</v>
      </c>
      <c r="V4" s="57">
        <f>'[2]Dia 21 (b)'!$X10</f>
        <v>15.146603974934685</v>
      </c>
      <c r="W4" s="57">
        <f>'[2]Dia 22 (b)'!$X10</f>
        <v>14.790489131761168</v>
      </c>
      <c r="X4" s="57">
        <f>'[2]Dia 23 (b)'!$X10</f>
        <v>14.697684632570288</v>
      </c>
      <c r="Y4" s="57">
        <f>'[2]Dia 24 (b)'!$X10</f>
        <v>15.516125078831173</v>
      </c>
      <c r="Z4" s="57">
        <f>'[2]Dia 25 (b)'!$X10</f>
        <v>15.808182192409628</v>
      </c>
      <c r="AA4" s="57">
        <f>'[2]Dia 26 (b)'!$X10</f>
        <v>15.955070635399245</v>
      </c>
      <c r="AB4" s="57">
        <f>'[2]Dia 27 (b)'!$X10</f>
        <v>16.752796351259693</v>
      </c>
      <c r="AC4" s="57">
        <f>'[2]Dia 28 (b)'!$X10</f>
        <v>15.640220364161607</v>
      </c>
      <c r="AD4" s="57"/>
      <c r="AE4" s="57"/>
      <c r="AF4" s="57"/>
    </row>
    <row r="5" spans="1:32" ht="20.100000000000001" customHeight="1">
      <c r="A5" s="56">
        <v>2</v>
      </c>
      <c r="B5" s="57">
        <f>'[2]Dia 1 (b)'!$X11</f>
        <v>15.885844540052778</v>
      </c>
      <c r="C5" s="57">
        <f>'[2]Dia 2 (b)'!$X11</f>
        <v>15.745459610855697</v>
      </c>
      <c r="D5" s="57">
        <f>'[2]Dia 3 (b)'!$X11</f>
        <v>14.657503318594335</v>
      </c>
      <c r="E5" s="57">
        <f>'[2]Dia 4 (b)'!$X11</f>
        <v>14.126502467367381</v>
      </c>
      <c r="F5" s="57">
        <f>'[2]Dia 5 (b)'!$X11</f>
        <v>15.995033473399809</v>
      </c>
      <c r="G5" s="57">
        <f>'[2]Dia 6 (b)'!$X11</f>
        <v>15.403664288967786</v>
      </c>
      <c r="H5" s="57">
        <f>'[2]Dia 7 (b)'!$X11</f>
        <v>15.156370045679807</v>
      </c>
      <c r="I5" s="57">
        <f>'[2]Dia 8 (b)'!$X11</f>
        <v>14.397616618206293</v>
      </c>
      <c r="J5" s="57">
        <f>'[2]Dia 9 (b)'!$X11</f>
        <v>13.562478182643369</v>
      </c>
      <c r="K5" s="57">
        <f>'[2]Dia 10 (b)'!$X11</f>
        <v>14.181094381492072</v>
      </c>
      <c r="L5" s="57">
        <f>'[2]Dia 11 (b)'!$X11</f>
        <v>14.156263656272483</v>
      </c>
      <c r="M5" s="57">
        <f>'[2]Dia 12 (b)'!$X11</f>
        <v>14.805629610797833</v>
      </c>
      <c r="N5" s="57">
        <f>'[2]Dia 13 (b)'!$X11</f>
        <v>14.761353299738966</v>
      </c>
      <c r="O5" s="57">
        <f>'[2]Dia 14 (b)'!$X11</f>
        <v>15.336005789357484</v>
      </c>
      <c r="P5" s="57">
        <f>'[2]Dia 15 (b)'!$X11</f>
        <v>15.498170085460131</v>
      </c>
      <c r="Q5" s="57">
        <f>'[2]Dia 16 (b)'!$X11</f>
        <v>14.631011293004761</v>
      </c>
      <c r="R5" s="57">
        <f>'[2]Dia 17 (b)'!$X11</f>
        <v>15.143192326265744</v>
      </c>
      <c r="S5" s="57">
        <f>'[2]Dia 18 (b)'!$X11</f>
        <v>16.797725534961369</v>
      </c>
      <c r="T5" s="57">
        <f>'[2]Dia 19 (b)'!$X11</f>
        <v>13.06965851397425</v>
      </c>
      <c r="U5" s="57">
        <f>'[2]Dia 20 (b)'!$X11</f>
        <v>13.958554916531103</v>
      </c>
      <c r="V5" s="57">
        <f>'[2]Dia 21 (b)'!$X11</f>
        <v>15.157376728758637</v>
      </c>
      <c r="W5" s="57">
        <f>'[2]Dia 22 (b)'!$X11</f>
        <v>14.61487550715613</v>
      </c>
      <c r="X5" s="57">
        <f>'[2]Dia 23 (b)'!$X11</f>
        <v>14.703338161309651</v>
      </c>
      <c r="Y5" s="57">
        <f>'[2]Dia 24 (b)'!$X11</f>
        <v>15.336890024213236</v>
      </c>
      <c r="Z5" s="57">
        <f>'[2]Dia 25 (b)'!$X11</f>
        <v>16.278486928362408</v>
      </c>
      <c r="AA5" s="57">
        <f>'[2]Dia 26 (b)'!$X11</f>
        <v>15.388848508181939</v>
      </c>
      <c r="AB5" s="57">
        <f>'[2]Dia 27 (b)'!$X11</f>
        <v>16.697294672586501</v>
      </c>
      <c r="AC5" s="57">
        <f>'[2]Dia 28 (b)'!$X11</f>
        <v>15.489927981919257</v>
      </c>
      <c r="AD5" s="57"/>
      <c r="AE5" s="57"/>
      <c r="AF5" s="57"/>
    </row>
    <row r="6" spans="1:32" ht="20.100000000000001" customHeight="1">
      <c r="A6" s="56">
        <v>3</v>
      </c>
      <c r="B6" s="57">
        <f>'[2]Dia 1 (b)'!$X12</f>
        <v>15.53150383430105</v>
      </c>
      <c r="C6" s="57">
        <f>'[2]Dia 2 (b)'!$X12</f>
        <v>15.584972311862547</v>
      </c>
      <c r="D6" s="57">
        <f>'[2]Dia 3 (b)'!$X12</f>
        <v>14.23973262119725</v>
      </c>
      <c r="E6" s="57">
        <f>'[2]Dia 4 (b)'!$X12</f>
        <v>14.148665108882097</v>
      </c>
      <c r="F6" s="57">
        <f>'[2]Dia 5 (b)'!$X12</f>
        <v>16.098380720269898</v>
      </c>
      <c r="G6" s="57">
        <f>'[2]Dia 6 (b)'!$X12</f>
        <v>15.342288653641599</v>
      </c>
      <c r="H6" s="57">
        <f>'[2]Dia 7 (b)'!$X12</f>
        <v>15.190790851782777</v>
      </c>
      <c r="I6" s="57">
        <f>'[2]Dia 8 (b)'!$X12</f>
        <v>14.227521609412479</v>
      </c>
      <c r="J6" s="57">
        <f>'[2]Dia 9 (b)'!$X12</f>
        <v>13.710871916061219</v>
      </c>
      <c r="K6" s="57">
        <f>'[2]Dia 10 (b)'!$X12</f>
        <v>14.701155183262779</v>
      </c>
      <c r="L6" s="57">
        <f>'[2]Dia 11 (b)'!$X12</f>
        <v>13.926982290136856</v>
      </c>
      <c r="M6" s="57">
        <f>'[2]Dia 12 (b)'!$X12</f>
        <v>14.472945050835575</v>
      </c>
      <c r="N6" s="57">
        <f>'[2]Dia 13 (b)'!$X12</f>
        <v>14.52405172737866</v>
      </c>
      <c r="O6" s="57">
        <f>'[2]Dia 14 (b)'!$X12</f>
        <v>15.246409475136016</v>
      </c>
      <c r="P6" s="57">
        <f>'[2]Dia 15 (b)'!$X12</f>
        <v>15.499650816352668</v>
      </c>
      <c r="Q6" s="57">
        <f>'[2]Dia 16 (b)'!$X12</f>
        <v>14.374622286688444</v>
      </c>
      <c r="R6" s="57">
        <f>'[2]Dia 17 (b)'!$X12</f>
        <v>14.868236883733498</v>
      </c>
      <c r="S6" s="57">
        <f>'[2]Dia 18 (b)'!$X12</f>
        <v>16.740816048794052</v>
      </c>
      <c r="T6" s="57">
        <f>'[2]Dia 19 (b)'!$X12</f>
        <v>13.130424914955166</v>
      </c>
      <c r="U6" s="57">
        <f>'[2]Dia 20 (b)'!$X12</f>
        <v>14.054392278825681</v>
      </c>
      <c r="V6" s="57">
        <f>'[2]Dia 21 (b)'!$X12</f>
        <v>15.073993076610236</v>
      </c>
      <c r="W6" s="57">
        <f>'[2]Dia 22 (b)'!$X12</f>
        <v>14.348646809079108</v>
      </c>
      <c r="X6" s="57">
        <f>'[2]Dia 23 (b)'!$X12</f>
        <v>14.551132753817413</v>
      </c>
      <c r="Y6" s="57">
        <f>'[2]Dia 24 (b)'!$X12</f>
        <v>15.152872815999606</v>
      </c>
      <c r="Z6" s="57">
        <f>'[2]Dia 25 (b)'!$X12</f>
        <v>16.28755044865925</v>
      </c>
      <c r="AA6" s="57">
        <f>'[2]Dia 26 (b)'!$X12</f>
        <v>15.185791032131977</v>
      </c>
      <c r="AB6" s="57">
        <f>'[2]Dia 27 (b)'!$X12</f>
        <v>16.727328007946454</v>
      </c>
      <c r="AC6" s="57">
        <f>'[2]Dia 28 (b)'!$X12</f>
        <v>15.731377247966222</v>
      </c>
      <c r="AD6" s="57"/>
      <c r="AE6" s="57"/>
      <c r="AF6" s="57"/>
    </row>
    <row r="7" spans="1:32" ht="20.100000000000001" customHeight="1">
      <c r="A7" s="56">
        <v>4</v>
      </c>
      <c r="B7" s="57">
        <f>'[2]Dia 1 (b)'!$X13</f>
        <v>14.899718078361378</v>
      </c>
      <c r="C7" s="57">
        <f>'[2]Dia 2 (b)'!$X13</f>
        <v>15.855341881210327</v>
      </c>
      <c r="D7" s="57">
        <f>'[2]Dia 3 (b)'!$X13</f>
        <v>14.332284262021204</v>
      </c>
      <c r="E7" s="57">
        <f>'[2]Dia 4 (b)'!$X13</f>
        <v>14.229559203549918</v>
      </c>
      <c r="F7" s="57">
        <f>'[2]Dia 5 (b)'!$X13</f>
        <v>16.102731163442279</v>
      </c>
      <c r="G7" s="57">
        <f>'[2]Dia 6 (b)'!$X13</f>
        <v>15.608358964900358</v>
      </c>
      <c r="H7" s="57">
        <f>'[2]Dia 7 (b)'!$X13</f>
        <v>15.099420029514272</v>
      </c>
      <c r="I7" s="57">
        <f>'[2]Dia 8 (b)'!$X13</f>
        <v>14.291359593081644</v>
      </c>
      <c r="J7" s="57">
        <f>'[2]Dia 9 (b)'!$X13</f>
        <v>13.286880646728095</v>
      </c>
      <c r="K7" s="57">
        <f>'[2]Dia 10 (b)'!$X13</f>
        <v>14.656297064672508</v>
      </c>
      <c r="L7" s="57">
        <f>'[2]Dia 11 (b)'!$X13</f>
        <v>14.166543782083743</v>
      </c>
      <c r="M7" s="57">
        <f>'[2]Dia 12 (b)'!$X13</f>
        <v>14.884546114943292</v>
      </c>
      <c r="N7" s="57">
        <f>'[2]Dia 13 (b)'!$X13</f>
        <v>14.431300473469379</v>
      </c>
      <c r="O7" s="57">
        <f>'[2]Dia 14 (b)'!$X13</f>
        <v>15.501675455890158</v>
      </c>
      <c r="P7" s="57">
        <f>'[2]Dia 15 (b)'!$X13</f>
        <v>15.154478352159376</v>
      </c>
      <c r="Q7" s="57">
        <f>'[2]Dia 16 (b)'!$X13</f>
        <v>14.756328979444454</v>
      </c>
      <c r="R7" s="57">
        <f>'[2]Dia 17 (b)'!$X13</f>
        <v>14.961121882064692</v>
      </c>
      <c r="S7" s="57">
        <f>'[2]Dia 18 (b)'!$X13</f>
        <v>16.504155374466393</v>
      </c>
      <c r="T7" s="57">
        <f>'[2]Dia 19 (b)'!$X13</f>
        <v>13.356403794333552</v>
      </c>
      <c r="U7" s="57">
        <f>'[2]Dia 20 (b)'!$X13</f>
        <v>14.383582236301741</v>
      </c>
      <c r="V7" s="57">
        <f>'[2]Dia 21 (b)'!$X13</f>
        <v>15.332567727008</v>
      </c>
      <c r="W7" s="57">
        <f>'[2]Dia 22 (b)'!$X13</f>
        <v>14.163290914753276</v>
      </c>
      <c r="X7" s="57">
        <f>'[2]Dia 23 (b)'!$X13</f>
        <v>14.491194647511479</v>
      </c>
      <c r="Y7" s="57">
        <f>'[2]Dia 24 (b)'!$X13</f>
        <v>15.196225487740712</v>
      </c>
      <c r="Z7" s="57">
        <f>'[2]Dia 25 (b)'!$X13</f>
        <v>15.991261827133574</v>
      </c>
      <c r="AA7" s="57">
        <f>'[2]Dia 26 (b)'!$X13</f>
        <v>15.241138638757876</v>
      </c>
      <c r="AB7" s="57">
        <f>'[2]Dia 27 (b)'!$X13</f>
        <v>16.446698595235606</v>
      </c>
      <c r="AC7" s="57">
        <f>'[2]Dia 28 (b)'!$X13</f>
        <v>15.904282593377262</v>
      </c>
      <c r="AD7" s="57"/>
      <c r="AE7" s="57"/>
      <c r="AF7" s="57"/>
    </row>
    <row r="8" spans="1:32" ht="20.100000000000001" customHeight="1">
      <c r="A8" s="56">
        <v>5</v>
      </c>
      <c r="B8" s="57">
        <f>'[2]Dia 1 (b)'!$X14</f>
        <v>14.643837891756085</v>
      </c>
      <c r="C8" s="57">
        <f>'[2]Dia 2 (b)'!$X14</f>
        <v>15.852127690104538</v>
      </c>
      <c r="D8" s="57">
        <f>'[2]Dia 3 (b)'!$X14</f>
        <v>14.072832122730752</v>
      </c>
      <c r="E8" s="57">
        <f>'[2]Dia 4 (b)'!$X14</f>
        <v>14.062247747056633</v>
      </c>
      <c r="F8" s="57">
        <f>'[2]Dia 5 (b)'!$X14</f>
        <v>16.276366382144126</v>
      </c>
      <c r="G8" s="57">
        <f>'[2]Dia 6 (b)'!$X14</f>
        <v>15.504490314737216</v>
      </c>
      <c r="H8" s="57">
        <f>'[2]Dia 7 (b)'!$X14</f>
        <v>14.382076878580236</v>
      </c>
      <c r="I8" s="57">
        <f>'[2]Dia 8 (b)'!$X14</f>
        <v>14.382639924025741</v>
      </c>
      <c r="J8" s="57">
        <f>'[2]Dia 9 (b)'!$X14</f>
        <v>13.347965578084963</v>
      </c>
      <c r="K8" s="57">
        <f>'[2]Dia 10 (b)'!$X14</f>
        <v>14.565275828428282</v>
      </c>
      <c r="L8" s="57">
        <f>'[2]Dia 11 (b)'!$X14</f>
        <v>14.318417180659935</v>
      </c>
      <c r="M8" s="57">
        <f>'[2]Dia 12 (b)'!$X14</f>
        <v>14.721891981674659</v>
      </c>
      <c r="N8" s="57">
        <f>'[2]Dia 13 (b)'!$X14</f>
        <v>14.63221660232095</v>
      </c>
      <c r="O8" s="57">
        <f>'[2]Dia 14 (b)'!$X14</f>
        <v>14.959440076082144</v>
      </c>
      <c r="P8" s="57">
        <f>'[2]Dia 15 (b)'!$X14</f>
        <v>14.968397209660003</v>
      </c>
      <c r="Q8" s="57">
        <f>'[2]Dia 16 (b)'!$X14</f>
        <v>14.850375431024286</v>
      </c>
      <c r="R8" s="57">
        <f>'[2]Dia 17 (b)'!$X14</f>
        <v>14.817070701797737</v>
      </c>
      <c r="S8" s="57">
        <f>'[2]Dia 18 (b)'!$X14</f>
        <v>16.364421295597584</v>
      </c>
      <c r="T8" s="57">
        <f>'[2]Dia 19 (b)'!$X14</f>
        <v>13.348984938569483</v>
      </c>
      <c r="U8" s="57">
        <f>'[2]Dia 20 (b)'!$X14</f>
        <v>14.387153327631239</v>
      </c>
      <c r="V8" s="57">
        <f>'[2]Dia 21 (b)'!$X14</f>
        <v>15.494748797564435</v>
      </c>
      <c r="W8" s="57">
        <f>'[2]Dia 22 (b)'!$X14</f>
        <v>14.397700841259265</v>
      </c>
      <c r="X8" s="57">
        <f>'[2]Dia 23 (b)'!$X14</f>
        <v>14.469456834636068</v>
      </c>
      <c r="Y8" s="57">
        <f>'[2]Dia 24 (b)'!$X14</f>
        <v>15.038210722964934</v>
      </c>
      <c r="Z8" s="57">
        <f>'[2]Dia 25 (b)'!$X14</f>
        <v>15.990855966382332</v>
      </c>
      <c r="AA8" s="57">
        <f>'[2]Dia 26 (b)'!$X14</f>
        <v>14.665339410550388</v>
      </c>
      <c r="AB8" s="57">
        <f>'[2]Dia 27 (b)'!$X14</f>
        <v>16.600971513870974</v>
      </c>
      <c r="AC8" s="57">
        <f>'[2]Dia 28 (b)'!$X14</f>
        <v>15.739159012645006</v>
      </c>
      <c r="AD8" s="57"/>
      <c r="AE8" s="57"/>
      <c r="AF8" s="57"/>
    </row>
    <row r="9" spans="1:32" ht="20.100000000000001" customHeight="1">
      <c r="A9" s="56">
        <v>6</v>
      </c>
      <c r="B9" s="57">
        <f>'[2]Dia 1 (b)'!$X15</f>
        <v>14.229034470850447</v>
      </c>
      <c r="C9" s="57">
        <f>'[2]Dia 2 (b)'!$X15</f>
        <v>15.839709243773315</v>
      </c>
      <c r="D9" s="57">
        <f>'[2]Dia 3 (b)'!$X15</f>
        <v>14.495800194954482</v>
      </c>
      <c r="E9" s="57">
        <f>'[2]Dia 4 (b)'!$X15</f>
        <v>13.729079285725826</v>
      </c>
      <c r="F9" s="57">
        <f>'[2]Dia 5 (b)'!$X15</f>
        <v>15.989068862149198</v>
      </c>
      <c r="G9" s="57">
        <f>'[2]Dia 6 (b)'!$X15</f>
        <v>14.836999655012381</v>
      </c>
      <c r="H9" s="57">
        <f>'[2]Dia 7 (b)'!$X15</f>
        <v>14.2868374832921</v>
      </c>
      <c r="I9" s="57">
        <f>'[2]Dia 8 (b)'!$X15</f>
        <v>14.652863563151856</v>
      </c>
      <c r="J9" s="57">
        <f>'[2]Dia 9 (b)'!$X15</f>
        <v>13.574476527250956</v>
      </c>
      <c r="K9" s="57">
        <f>'[2]Dia 10 (b)'!$X15</f>
        <v>14.206094016153651</v>
      </c>
      <c r="L9" s="57">
        <f>'[2]Dia 11 (b)'!$X15</f>
        <v>14.561340136689124</v>
      </c>
      <c r="M9" s="57">
        <f>'[2]Dia 12 (b)'!$X15</f>
        <v>14.714727152821682</v>
      </c>
      <c r="N9" s="57">
        <f>'[2]Dia 13 (b)'!$X15</f>
        <v>14.375011528900011</v>
      </c>
      <c r="O9" s="57">
        <f>'[2]Dia 14 (b)'!$X15</f>
        <v>14.827573328291852</v>
      </c>
      <c r="P9" s="57">
        <f>'[2]Dia 15 (b)'!$X15</f>
        <v>14.658708329939069</v>
      </c>
      <c r="Q9" s="57">
        <f>'[2]Dia 16 (b)'!$X15</f>
        <v>14.84781199506258</v>
      </c>
      <c r="R9" s="57">
        <f>'[2]Dia 17 (b)'!$X15</f>
        <v>15.322857754020259</v>
      </c>
      <c r="S9" s="57">
        <f>'[2]Dia 18 (b)'!$X15</f>
        <v>16.257127036918959</v>
      </c>
      <c r="T9" s="57">
        <f>'[2]Dia 19 (b)'!$X15</f>
        <v>13.341574343669045</v>
      </c>
      <c r="U9" s="57">
        <f>'[2]Dia 20 (b)'!$X15</f>
        <v>14.47736133522476</v>
      </c>
      <c r="V9" s="57">
        <f>'[2]Dia 21 (b)'!$X15</f>
        <v>15.591280128454107</v>
      </c>
      <c r="W9" s="57">
        <f>'[2]Dia 22 (b)'!$X15</f>
        <v>14.29713073695803</v>
      </c>
      <c r="X9" s="57">
        <f>'[2]Dia 23 (b)'!$X15</f>
        <v>13.695163739187057</v>
      </c>
      <c r="Y9" s="57">
        <f>'[2]Dia 24 (b)'!$X15</f>
        <v>15.101937707784687</v>
      </c>
      <c r="Z9" s="57">
        <f>'[2]Dia 25 (b)'!$X15</f>
        <v>15.985796832371488</v>
      </c>
      <c r="AA9" s="57">
        <f>'[2]Dia 26 (b)'!$X15</f>
        <v>14.543272634526058</v>
      </c>
      <c r="AB9" s="57">
        <f>'[2]Dia 27 (b)'!$X15</f>
        <v>16.307658758049346</v>
      </c>
      <c r="AC9" s="57">
        <f>'[2]Dia 28 (b)'!$X15</f>
        <v>15.657290450919991</v>
      </c>
      <c r="AD9" s="57"/>
      <c r="AE9" s="57"/>
      <c r="AF9" s="57"/>
    </row>
    <row r="10" spans="1:32" ht="20.100000000000001" customHeight="1">
      <c r="A10" s="56">
        <v>7</v>
      </c>
      <c r="B10" s="57">
        <f>'[2]Dia 1 (b)'!$X16</f>
        <v>14.921254012495218</v>
      </c>
      <c r="C10" s="57">
        <f>'[2]Dia 2 (b)'!$X16</f>
        <v>16.027877899091266</v>
      </c>
      <c r="D10" s="57">
        <f>'[2]Dia 3 (b)'!$X16</f>
        <v>14.832793043699464</v>
      </c>
      <c r="E10" s="57">
        <f>'[2]Dia 4 (b)'!$X16</f>
        <v>13.775675267819851</v>
      </c>
      <c r="F10" s="57">
        <f>'[2]Dia 5 (b)'!$X16</f>
        <v>16.157566521780659</v>
      </c>
      <c r="G10" s="57">
        <f>'[2]Dia 6 (b)'!$X16</f>
        <v>16.0049364094445</v>
      </c>
      <c r="H10" s="57">
        <f>'[2]Dia 7 (b)'!$X16</f>
        <v>15.364286530875889</v>
      </c>
      <c r="I10" s="57">
        <f>'[2]Dia 8 (b)'!$X16</f>
        <v>15.074513488317081</v>
      </c>
      <c r="J10" s="57">
        <f>'[2]Dia 9 (b)'!$X16</f>
        <v>14.456585360562348</v>
      </c>
      <c r="K10" s="57">
        <f>'[2]Dia 10 (b)'!$X16</f>
        <v>15.096765784275494</v>
      </c>
      <c r="L10" s="57">
        <f>'[2]Dia 11 (b)'!$X16</f>
        <v>14.689093577191986</v>
      </c>
      <c r="M10" s="57">
        <f>'[2]Dia 12 (b)'!$X16</f>
        <v>14.884057221198209</v>
      </c>
      <c r="N10" s="57">
        <f>'[2]Dia 13 (b)'!$X16</f>
        <v>15.01657404178723</v>
      </c>
      <c r="O10" s="57">
        <f>'[2]Dia 14 (b)'!$X16</f>
        <v>15.82105327476094</v>
      </c>
      <c r="P10" s="57">
        <f>'[2]Dia 15 (b)'!$X16</f>
        <v>15.436550415389876</v>
      </c>
      <c r="Q10" s="57">
        <f>'[2]Dia 16 (b)'!$X16</f>
        <v>14.335294628379083</v>
      </c>
      <c r="R10" s="57">
        <f>'[2]Dia 17 (b)'!$X16</f>
        <v>14.330145448942019</v>
      </c>
      <c r="S10" s="57">
        <f>'[2]Dia 18 (b)'!$X16</f>
        <v>16.789312464128678</v>
      </c>
      <c r="T10" s="57">
        <f>'[2]Dia 19 (b)'!$X16</f>
        <v>13.296202212646499</v>
      </c>
      <c r="U10" s="57">
        <f>'[2]Dia 20 (b)'!$X16</f>
        <v>14.564952587765182</v>
      </c>
      <c r="V10" s="57">
        <f>'[2]Dia 21 (b)'!$X16</f>
        <v>15.613599607807803</v>
      </c>
      <c r="W10" s="57">
        <f>'[2]Dia 22 (b)'!$X16</f>
        <v>14.723453937201661</v>
      </c>
      <c r="X10" s="57">
        <f>'[2]Dia 23 (b)'!$X16</f>
        <v>14.550869122023597</v>
      </c>
      <c r="Y10" s="57">
        <f>'[2]Dia 24 (b)'!$X16</f>
        <v>15.439267901443646</v>
      </c>
      <c r="Z10" s="57">
        <f>'[2]Dia 25 (b)'!$X16</f>
        <v>15.718544514420842</v>
      </c>
      <c r="AA10" s="57">
        <f>'[2]Dia 26 (b)'!$X16</f>
        <v>15.116988929308816</v>
      </c>
      <c r="AB10" s="58">
        <f>'[2]Dia 27 (b)'!$X16</f>
        <v>16.074728497029071</v>
      </c>
      <c r="AC10" s="57">
        <f>'[2]Dia 28 (b)'!$X16</f>
        <v>15.682522286640889</v>
      </c>
      <c r="AD10" s="57"/>
      <c r="AE10" s="57"/>
      <c r="AF10" s="57"/>
    </row>
    <row r="11" spans="1:32" ht="20.100000000000001" customHeight="1">
      <c r="A11" s="56">
        <v>8</v>
      </c>
      <c r="B11" s="57">
        <f>'[2]Dia 1 (b)'!$X17</f>
        <v>14.844686084261694</v>
      </c>
      <c r="C11" s="57">
        <f>'[2]Dia 2 (b)'!$X17</f>
        <v>15.779535162391635</v>
      </c>
      <c r="D11" s="57">
        <f>'[2]Dia 3 (b)'!$X17</f>
        <v>14.812334387561892</v>
      </c>
      <c r="E11" s="57">
        <f>'[2]Dia 4 (b)'!$X17</f>
        <v>13.948342393649842</v>
      </c>
      <c r="F11" s="57">
        <f>'[2]Dia 5 (b)'!$X17</f>
        <v>16.718570869997503</v>
      </c>
      <c r="G11" s="57">
        <f>'[2]Dia 6 (b)'!$X17</f>
        <v>15.635168232235637</v>
      </c>
      <c r="H11" s="57">
        <f>'[2]Dia 7 (b)'!$X17</f>
        <v>15.284717230104281</v>
      </c>
      <c r="I11" s="57">
        <f>'[2]Dia 8 (b)'!$X17</f>
        <v>16.178992590300311</v>
      </c>
      <c r="J11" s="57">
        <f>'[2]Dia 9 (b)'!$X17</f>
        <v>14.831950965665317</v>
      </c>
      <c r="K11" s="57">
        <f>'[2]Dia 10 (b)'!$X17</f>
        <v>14.628346123616394</v>
      </c>
      <c r="L11" s="57">
        <f>'[2]Dia 11 (b)'!$X17</f>
        <v>15.088858554368773</v>
      </c>
      <c r="M11" s="57">
        <f>'[2]Dia 12 (b)'!$X17</f>
        <v>15.349658777718775</v>
      </c>
      <c r="N11" s="57">
        <f>'[2]Dia 13 (b)'!$X17</f>
        <v>15.415892003646348</v>
      </c>
      <c r="O11" s="57">
        <f>'[2]Dia 14 (b)'!$X17</f>
        <v>16.529474671108996</v>
      </c>
      <c r="P11" s="57">
        <f>'[2]Dia 15 (b)'!$X17</f>
        <v>16.685290847542795</v>
      </c>
      <c r="Q11" s="57">
        <f>'[2]Dia 16 (b)'!$X17</f>
        <v>14.498377621987869</v>
      </c>
      <c r="R11" s="57">
        <f>'[2]Dia 17 (b)'!$X17</f>
        <v>14.627584414014818</v>
      </c>
      <c r="S11" s="57">
        <f>'[2]Dia 18 (b)'!$X17</f>
        <v>17.098312953939349</v>
      </c>
      <c r="T11" s="57">
        <f>'[2]Dia 19 (b)'!$X17</f>
        <v>13.454279516758913</v>
      </c>
      <c r="U11" s="57">
        <f>'[2]Dia 20 (b)'!$X17</f>
        <v>14.76538020461914</v>
      </c>
      <c r="V11" s="57">
        <f>'[2]Dia 21 (b)'!$X17</f>
        <v>15.819670365365839</v>
      </c>
      <c r="W11" s="57">
        <f>'[2]Dia 22 (b)'!$X17</f>
        <v>14.843046630690559</v>
      </c>
      <c r="X11" s="57">
        <f>'[2]Dia 23 (b)'!$X17</f>
        <v>14.984704903625103</v>
      </c>
      <c r="Y11" s="57">
        <f>'[2]Dia 24 (b)'!$X17</f>
        <v>15.097897089550871</v>
      </c>
      <c r="Z11" s="57">
        <f>'[2]Dia 25 (b)'!$X17</f>
        <v>16.02783064787258</v>
      </c>
      <c r="AA11" s="57">
        <f>'[2]Dia 26 (b)'!$X17</f>
        <v>15.637987609927016</v>
      </c>
      <c r="AB11" s="58">
        <f>'[2]Dia 27 (b)'!$X17</f>
        <v>16.054820062502742</v>
      </c>
      <c r="AC11" s="57">
        <f>'[2]Dia 28 (b)'!$X17</f>
        <v>16.001755456406279</v>
      </c>
      <c r="AD11" s="57"/>
      <c r="AE11" s="57"/>
      <c r="AF11" s="57"/>
    </row>
    <row r="12" spans="1:32" ht="20.100000000000001" customHeight="1">
      <c r="A12" s="56">
        <v>9</v>
      </c>
      <c r="B12" s="57">
        <f>'[2]Dia 1 (b)'!$X18</f>
        <v>15.360693983798935</v>
      </c>
      <c r="C12" s="57">
        <f>'[2]Dia 2 (b)'!$X18</f>
        <v>15.713777131784202</v>
      </c>
      <c r="D12" s="57">
        <f>'[2]Dia 3 (b)'!$X18</f>
        <v>14.495069303425442</v>
      </c>
      <c r="E12" s="57">
        <f>'[2]Dia 4 (b)'!$X18</f>
        <v>14.395848549931982</v>
      </c>
      <c r="F12" s="57">
        <f>'[2]Dia 5 (b)'!$X18</f>
        <v>16.509125265362666</v>
      </c>
      <c r="G12" s="57">
        <f>'[2]Dia 6 (b)'!$X18</f>
        <v>16.218356876913607</v>
      </c>
      <c r="H12" s="57">
        <f>'[2]Dia 7 (b)'!$X18</f>
        <v>16.118258892912483</v>
      </c>
      <c r="I12" s="57">
        <f>'[2]Dia 8 (b)'!$X18</f>
        <v>15.406416834279149</v>
      </c>
      <c r="J12" s="57">
        <f>'[2]Dia 9 (b)'!$X18</f>
        <v>15.14847441787917</v>
      </c>
      <c r="K12" s="57">
        <f>'[2]Dia 10 (b)'!$X18</f>
        <v>14.808699875917675</v>
      </c>
      <c r="L12" s="57">
        <f>'[2]Dia 11 (b)'!$X18</f>
        <v>15.827300427125868</v>
      </c>
      <c r="M12" s="57">
        <f>'[2]Dia 12 (b)'!$X18</f>
        <v>16.04721205297836</v>
      </c>
      <c r="N12" s="57">
        <f>'[2]Dia 13 (b)'!$X18</f>
        <v>15.1507096598662</v>
      </c>
      <c r="O12" s="57">
        <f>'[2]Dia 14 (b)'!$X18</f>
        <v>15.089708677890927</v>
      </c>
      <c r="P12" s="57">
        <f>'[2]Dia 15 (b)'!$X18</f>
        <v>15.545260758295948</v>
      </c>
      <c r="Q12" s="57">
        <f>'[2]Dia 16 (b)'!$X18</f>
        <v>13.863643104675926</v>
      </c>
      <c r="R12" s="57">
        <f>'[2]Dia 17 (b)'!$X18</f>
        <v>14.557405895395355</v>
      </c>
      <c r="S12" s="57">
        <f>'[2]Dia 18 (b)'!$X18</f>
        <v>17.027206138944909</v>
      </c>
      <c r="T12" s="57">
        <f>'[2]Dia 19 (b)'!$X18</f>
        <v>13.540391569422225</v>
      </c>
      <c r="U12" s="57">
        <f>'[2]Dia 20 (b)'!$X18</f>
        <v>14.971616479502403</v>
      </c>
      <c r="V12" s="57">
        <f>'[2]Dia 21 (b)'!$X18</f>
        <v>15.564692674926341</v>
      </c>
      <c r="W12" s="57">
        <f>'[2]Dia 22 (b)'!$X18</f>
        <v>14.703187638085637</v>
      </c>
      <c r="X12" s="57">
        <f>'[2]Dia 23 (b)'!$X18</f>
        <v>14.494653688802261</v>
      </c>
      <c r="Y12" s="57">
        <f>'[2]Dia 24 (b)'!$X18</f>
        <v>15.475509509373726</v>
      </c>
      <c r="Z12" s="57">
        <f>'[2]Dia 25 (b)'!$X18</f>
        <v>15.746198329044606</v>
      </c>
      <c r="AA12" s="57">
        <f>'[2]Dia 26 (b)'!$X18</f>
        <v>15.022636804420278</v>
      </c>
      <c r="AB12" s="58">
        <f>'[2]Dia 27 (b)'!$X18</f>
        <v>15.86145880301776</v>
      </c>
      <c r="AC12" s="57">
        <f>'[2]Dia 28 (b)'!$X18</f>
        <v>15.86775759962241</v>
      </c>
      <c r="AD12" s="57"/>
      <c r="AE12" s="57"/>
      <c r="AF12" s="57"/>
    </row>
    <row r="13" spans="1:32" ht="20.100000000000001" customHeight="1">
      <c r="A13" s="56">
        <v>10</v>
      </c>
      <c r="B13" s="57">
        <f>'[2]Dia 1 (b)'!$X19</f>
        <v>15.193456169332794</v>
      </c>
      <c r="C13" s="57">
        <f>'[2]Dia 2 (b)'!$X19</f>
        <v>15.296558851350841</v>
      </c>
      <c r="D13" s="57">
        <f>'[2]Dia 3 (b)'!$X19</f>
        <v>14.608599615923358</v>
      </c>
      <c r="E13" s="57">
        <f>'[2]Dia 4 (b)'!$X19</f>
        <v>14.678208458997295</v>
      </c>
      <c r="F13" s="57">
        <f>'[2]Dia 5 (b)'!$X19</f>
        <v>15.868187487082634</v>
      </c>
      <c r="G13" s="57">
        <f>'[2]Dia 6 (b)'!$X19</f>
        <v>15.348307193511072</v>
      </c>
      <c r="H13" s="57">
        <f>'[2]Dia 7 (b)'!$X19</f>
        <v>15.984337502192828</v>
      </c>
      <c r="I13" s="57">
        <f>'[2]Dia 8 (b)'!$X19</f>
        <v>13.402356040948739</v>
      </c>
      <c r="J13" s="57">
        <f>'[2]Dia 9 (b)'!$X19</f>
        <v>15.506482589664783</v>
      </c>
      <c r="K13" s="57">
        <f>'[2]Dia 10 (b)'!$X19</f>
        <v>14.473988129479798</v>
      </c>
      <c r="L13" s="57">
        <f>'[2]Dia 11 (b)'!$X19</f>
        <v>15.186982054029285</v>
      </c>
      <c r="M13" s="57">
        <f>'[2]Dia 12 (b)'!$X19</f>
        <v>15.241514216519018</v>
      </c>
      <c r="N13" s="57">
        <f>'[2]Dia 13 (b)'!$X19</f>
        <v>15.375270997040531</v>
      </c>
      <c r="O13" s="57">
        <f>'[2]Dia 14 (b)'!$X19</f>
        <v>15.40710169386298</v>
      </c>
      <c r="P13" s="57">
        <f>'[2]Dia 15 (b)'!$X19</f>
        <v>15.493738577831323</v>
      </c>
      <c r="Q13" s="57">
        <f>'[2]Dia 16 (b)'!$X19</f>
        <v>14.587331023769895</v>
      </c>
      <c r="R13" s="57">
        <f>'[2]Dia 17 (b)'!$X19</f>
        <v>15.056970502236348</v>
      </c>
      <c r="S13" s="57">
        <f>'[2]Dia 18 (b)'!$X19</f>
        <v>17.219945491134556</v>
      </c>
      <c r="T13" s="57">
        <f>'[2]Dia 19 (b)'!$X19</f>
        <v>13.710282777291669</v>
      </c>
      <c r="U13" s="57">
        <f>'[2]Dia 20 (b)'!$X19</f>
        <v>15.623941920242702</v>
      </c>
      <c r="V13" s="57">
        <f>'[2]Dia 21 (b)'!$X19</f>
        <v>14.783656108547522</v>
      </c>
      <c r="W13" s="57">
        <f>'[2]Dia 22 (b)'!$X19</f>
        <v>14.720135789367744</v>
      </c>
      <c r="X13" s="57">
        <f>'[2]Dia 23 (b)'!$X19</f>
        <v>14.84600960015216</v>
      </c>
      <c r="Y13" s="57">
        <f>'[2]Dia 24 (b)'!$X19</f>
        <v>15.389334392367504</v>
      </c>
      <c r="Z13" s="57">
        <f>'[2]Dia 25 (b)'!$X19</f>
        <v>15.584366251810644</v>
      </c>
      <c r="AA13" s="57">
        <f>'[2]Dia 26 (b)'!$X19</f>
        <v>14.918827407467436</v>
      </c>
      <c r="AB13" s="58">
        <f>'[2]Dia 27 (b)'!$X19</f>
        <v>16.372967038605601</v>
      </c>
      <c r="AC13" s="57">
        <f>'[2]Dia 28 (b)'!$X19</f>
        <v>16.236492734149426</v>
      </c>
      <c r="AD13" s="57"/>
      <c r="AE13" s="57"/>
      <c r="AF13" s="57"/>
    </row>
    <row r="14" spans="1:32" ht="20.100000000000001" customHeight="1">
      <c r="A14" s="56">
        <v>11</v>
      </c>
      <c r="B14" s="57">
        <f>'[2]Dia 1 (b)'!$X20</f>
        <v>14.990799950807741</v>
      </c>
      <c r="C14" s="57">
        <f>'[2]Dia 2 (b)'!$X20</f>
        <v>14.704981565297402</v>
      </c>
      <c r="D14" s="57">
        <f>'[2]Dia 3 (b)'!$X20</f>
        <v>14.322885971771179</v>
      </c>
      <c r="E14" s="57">
        <f>'[2]Dia 4 (b)'!$X20</f>
        <v>14.564843525937665</v>
      </c>
      <c r="F14" s="57">
        <f>'[2]Dia 5 (b)'!$X20</f>
        <v>15.350657610162084</v>
      </c>
      <c r="G14" s="57">
        <f>'[2]Dia 6 (b)'!$X20</f>
        <v>14.301836022282176</v>
      </c>
      <c r="H14" s="57">
        <f>'[2]Dia 7 (b)'!$X20</f>
        <v>15.611004601274331</v>
      </c>
      <c r="I14" s="57">
        <f>'[2]Dia 8 (b)'!$X20</f>
        <v>16.078245633948885</v>
      </c>
      <c r="J14" s="57">
        <f>'[2]Dia 9 (b)'!$X20</f>
        <v>14.099064107736645</v>
      </c>
      <c r="K14" s="57">
        <f>'[2]Dia 10 (b)'!$X20</f>
        <v>14.68754465998976</v>
      </c>
      <c r="L14" s="57">
        <f>'[2]Dia 11 (b)'!$X20</f>
        <v>14.898574751934472</v>
      </c>
      <c r="M14" s="57">
        <f>'[2]Dia 12 (b)'!$X20</f>
        <v>14.994738418503704</v>
      </c>
      <c r="N14" s="57">
        <f>'[2]Dia 13 (b)'!$X20</f>
        <v>15.653087596140562</v>
      </c>
      <c r="O14" s="57">
        <f>'[2]Dia 14 (b)'!$X20</f>
        <v>15.630028177341933</v>
      </c>
      <c r="P14" s="57">
        <f>'[2]Dia 15 (b)'!$X20</f>
        <v>15.687900373999566</v>
      </c>
      <c r="Q14" s="57">
        <f>'[2]Dia 16 (b)'!$X20</f>
        <v>14.951921672515867</v>
      </c>
      <c r="R14" s="57">
        <f>'[2]Dia 17 (b)'!$X20</f>
        <v>14.883532359110211</v>
      </c>
      <c r="S14" s="57">
        <f>'[2]Dia 18 (b)'!$X20</f>
        <v>17.612059835270891</v>
      </c>
      <c r="T14" s="57">
        <f>'[2]Dia 19 (b)'!$X20</f>
        <v>13.708275846746583</v>
      </c>
      <c r="U14" s="57">
        <f>'[2]Dia 20 (b)'!$X20</f>
        <v>15.19338098838846</v>
      </c>
      <c r="V14" s="57">
        <f>'[2]Dia 21 (b)'!$X20</f>
        <v>15.477443518534685</v>
      </c>
      <c r="W14" s="57">
        <f>'[2]Dia 22 (b)'!$X20</f>
        <v>14.708028775414363</v>
      </c>
      <c r="X14" s="57">
        <f>'[2]Dia 23 (b)'!$X20</f>
        <v>14.935562832711058</v>
      </c>
      <c r="Y14" s="57">
        <f>'[2]Dia 24 (b)'!$X20</f>
        <v>15.157152486120987</v>
      </c>
      <c r="Z14" s="57">
        <f>'[2]Dia 25 (b)'!$X20</f>
        <v>15.408625303374331</v>
      </c>
      <c r="AA14" s="57">
        <f>'[2]Dia 26 (b)'!$X20</f>
        <v>15.943963306477064</v>
      </c>
      <c r="AB14" s="58">
        <f>'[2]Dia 27 (b)'!$X20</f>
        <v>16.545044581497997</v>
      </c>
      <c r="AC14" s="57">
        <f>'[2]Dia 28 (b)'!$X20</f>
        <v>15.312279901135458</v>
      </c>
      <c r="AD14" s="57"/>
      <c r="AE14" s="57"/>
      <c r="AF14" s="57"/>
    </row>
    <row r="15" spans="1:32" ht="20.100000000000001" customHeight="1">
      <c r="A15" s="56">
        <v>12</v>
      </c>
      <c r="B15" s="57">
        <f>'[2]Dia 1 (b)'!$X21</f>
        <v>14.653739622713948</v>
      </c>
      <c r="C15" s="57">
        <f>'[2]Dia 2 (b)'!$X21</f>
        <v>15.930128687848988</v>
      </c>
      <c r="D15" s="57">
        <f>'[2]Dia 3 (b)'!$X21</f>
        <v>14.895480800641012</v>
      </c>
      <c r="E15" s="57">
        <f>'[2]Dia 4 (b)'!$X21</f>
        <v>14.926515516450234</v>
      </c>
      <c r="F15" s="57">
        <f>'[2]Dia 5 (b)'!$X21</f>
        <v>15.735601076494934</v>
      </c>
      <c r="G15" s="57">
        <f>'[2]Dia 6 (b)'!$X21</f>
        <v>15.232525425558514</v>
      </c>
      <c r="H15" s="57">
        <f>'[2]Dia 7 (b)'!$X21</f>
        <v>15.158336037992109</v>
      </c>
      <c r="I15" s="57">
        <f>'[2]Dia 8 (b)'!$X21</f>
        <v>15.197279768930374</v>
      </c>
      <c r="J15" s="57">
        <f>'[2]Dia 9 (b)'!$X21</f>
        <v>13.521513462468787</v>
      </c>
      <c r="K15" s="57">
        <f>'[2]Dia 10 (b)'!$X21</f>
        <v>14.819640681045936</v>
      </c>
      <c r="L15" s="57">
        <f>'[2]Dia 11 (b)'!$X21</f>
        <v>14.906908322595644</v>
      </c>
      <c r="M15" s="57">
        <f>'[2]Dia 12 (b)'!$X21</f>
        <v>15.196112800113704</v>
      </c>
      <c r="N15" s="57">
        <f>'[2]Dia 13 (b)'!$X21</f>
        <v>15.577281174039205</v>
      </c>
      <c r="O15" s="57">
        <f>'[2]Dia 14 (b)'!$X21</f>
        <v>15.200000733427615</v>
      </c>
      <c r="P15" s="57">
        <f>'[2]Dia 15 (b)'!$X21</f>
        <v>15.551241396393872</v>
      </c>
      <c r="Q15" s="57">
        <f>'[2]Dia 16 (b)'!$X21</f>
        <v>15.392275106015099</v>
      </c>
      <c r="R15" s="57">
        <f>'[2]Dia 17 (b)'!$X21</f>
        <v>14.553211721750843</v>
      </c>
      <c r="S15" s="57">
        <f>'[2]Dia 18 (b)'!$X21</f>
        <v>17.439861624935165</v>
      </c>
      <c r="T15" s="57">
        <f>'[2]Dia 19 (b)'!$X21</f>
        <v>13.634343160055231</v>
      </c>
      <c r="U15" s="57">
        <f>'[2]Dia 20 (b)'!$X21</f>
        <v>14.504362917328864</v>
      </c>
      <c r="V15" s="57">
        <f>'[2]Dia 21 (b)'!$X21</f>
        <v>14.993867474518714</v>
      </c>
      <c r="W15" s="57">
        <f>'[2]Dia 22 (b)'!$X21</f>
        <v>14.755786929342998</v>
      </c>
      <c r="X15" s="57">
        <f>'[2]Dia 23 (b)'!$X21</f>
        <v>13.985419559865832</v>
      </c>
      <c r="Y15" s="57">
        <f>'[2]Dia 24 (b)'!$X21</f>
        <v>14.868039995855481</v>
      </c>
      <c r="Z15" s="57">
        <f>'[2]Dia 25 (b)'!$X21</f>
        <v>14.771735725891022</v>
      </c>
      <c r="AA15" s="57">
        <f>'[2]Dia 26 (b)'!$X21</f>
        <v>15.706911974981672</v>
      </c>
      <c r="AB15" s="58">
        <f>'[2]Dia 27 (b)'!$X21</f>
        <v>16.496659470491309</v>
      </c>
      <c r="AC15" s="57">
        <f>'[2]Dia 28 (b)'!$X21</f>
        <v>16.346357606917604</v>
      </c>
      <c r="AD15" s="57"/>
      <c r="AE15" s="57"/>
      <c r="AF15" s="57"/>
    </row>
    <row r="16" spans="1:32" ht="20.100000000000001" customHeight="1">
      <c r="A16" s="56">
        <v>13</v>
      </c>
      <c r="B16" s="57">
        <f>'[2]Dia 1 (b)'!$X22</f>
        <v>13.971354592553611</v>
      </c>
      <c r="C16" s="57">
        <f>'[2]Dia 2 (b)'!$X22</f>
        <v>14.223599645172763</v>
      </c>
      <c r="D16" s="57">
        <f>'[2]Dia 3 (b)'!$X22</f>
        <v>14.264176180060227</v>
      </c>
      <c r="E16" s="57">
        <f>'[2]Dia 4 (b)'!$X22</f>
        <v>15.05949664394309</v>
      </c>
      <c r="F16" s="57">
        <f>'[2]Dia 5 (b)'!$X22</f>
        <v>15.014577761024233</v>
      </c>
      <c r="G16" s="57">
        <f>'[2]Dia 6 (b)'!$X22</f>
        <v>16.052505117482458</v>
      </c>
      <c r="H16" s="57">
        <f>'[2]Dia 7 (b)'!$X22</f>
        <v>15.380409050603763</v>
      </c>
      <c r="I16" s="57">
        <f>'[2]Dia 8 (b)'!$X22</f>
        <v>14.515702378434838</v>
      </c>
      <c r="J16" s="57">
        <f>'[2]Dia 9 (b)'!$X22</f>
        <v>13.008620274087074</v>
      </c>
      <c r="K16" s="57">
        <f>'[2]Dia 10 (b)'!$X22</f>
        <v>14.965925684999952</v>
      </c>
      <c r="L16" s="57">
        <f>'[2]Dia 11 (b)'!$X22</f>
        <v>15.159942915558723</v>
      </c>
      <c r="M16" s="57">
        <f>'[2]Dia 12 (b)'!$X22</f>
        <v>15.020900419475327</v>
      </c>
      <c r="N16" s="57">
        <f>'[2]Dia 13 (b)'!$X22</f>
        <v>15.92167627792192</v>
      </c>
      <c r="O16" s="57">
        <f>'[2]Dia 14 (b)'!$X22</f>
        <v>14.516303263619765</v>
      </c>
      <c r="P16" s="57">
        <f>'[2]Dia 15 (b)'!$X22</f>
        <v>15.332497233090697</v>
      </c>
      <c r="Q16" s="57">
        <f>'[2]Dia 16 (b)'!$X22</f>
        <v>15.022039030772531</v>
      </c>
      <c r="R16" s="57">
        <f>'[2]Dia 17 (b)'!$X22</f>
        <v>14.010565594841577</v>
      </c>
      <c r="S16" s="57">
        <f>'[2]Dia 18 (b)'!$X22</f>
        <v>16.168798158065158</v>
      </c>
      <c r="T16" s="57">
        <f>'[2]Dia 19 (b)'!$X22</f>
        <v>13.734350302337553</v>
      </c>
      <c r="U16" s="57">
        <f>'[2]Dia 20 (b)'!$X22</f>
        <v>14.66568172945083</v>
      </c>
      <c r="V16" s="57">
        <f>'[2]Dia 21 (b)'!$X22</f>
        <v>14.35831574254102</v>
      </c>
      <c r="W16" s="57">
        <f>'[2]Dia 22 (b)'!$X22</f>
        <v>15.720212796132573</v>
      </c>
      <c r="X16" s="57">
        <f>'[2]Dia 23 (b)'!$X22</f>
        <v>13.852556807726945</v>
      </c>
      <c r="Y16" s="57">
        <f>'[2]Dia 24 (b)'!$X22</f>
        <v>15.739249804652053</v>
      </c>
      <c r="Z16" s="57">
        <f>'[2]Dia 25 (b)'!$X22</f>
        <v>14.724910359100663</v>
      </c>
      <c r="AA16" s="57">
        <f>'[2]Dia 26 (b)'!$X22</f>
        <v>15.78445581545712</v>
      </c>
      <c r="AB16" s="58">
        <f>'[2]Dia 27 (b)'!$X22</f>
        <v>16.536150307485787</v>
      </c>
      <c r="AC16" s="57">
        <f>'[2]Dia 28 (b)'!$X22</f>
        <v>16.462141989282461</v>
      </c>
      <c r="AD16" s="57"/>
      <c r="AE16" s="57"/>
      <c r="AF16" s="57"/>
    </row>
    <row r="17" spans="1:32" ht="20.100000000000001" customHeight="1">
      <c r="A17" s="56">
        <v>14</v>
      </c>
      <c r="B17" s="57">
        <f>'[2]Dia 1 (b)'!$X23</f>
        <v>14.022273383804379</v>
      </c>
      <c r="C17" s="57">
        <f>'[2]Dia 2 (b)'!$X23</f>
        <v>14.983734221521559</v>
      </c>
      <c r="D17" s="57">
        <f>'[2]Dia 3 (b)'!$X23</f>
        <v>14.567831152791653</v>
      </c>
      <c r="E17" s="57">
        <f>'[2]Dia 4 (b)'!$X23</f>
        <v>14.555356007639006</v>
      </c>
      <c r="F17" s="57">
        <f>'[2]Dia 5 (b)'!$X23</f>
        <v>13.969574497071706</v>
      </c>
      <c r="G17" s="57">
        <f>'[2]Dia 6 (b)'!$X23</f>
        <v>18.091447410289835</v>
      </c>
      <c r="H17" s="57">
        <f>'[2]Dia 7 (b)'!$X23</f>
        <v>15.191431802694504</v>
      </c>
      <c r="I17" s="57">
        <f>'[2]Dia 8 (b)'!$X23</f>
        <v>14.986368123934819</v>
      </c>
      <c r="J17" s="57">
        <f>'[2]Dia 9 (b)'!$X23</f>
        <v>15.862266752940778</v>
      </c>
      <c r="K17" s="57">
        <f>'[2]Dia 10 (b)'!$X23</f>
        <v>17.024293713147966</v>
      </c>
      <c r="L17" s="57">
        <f>'[2]Dia 11 (b)'!$X23</f>
        <v>16.259420267561133</v>
      </c>
      <c r="M17" s="57">
        <f>'[2]Dia 12 (b)'!$X23</f>
        <v>14.080088639741129</v>
      </c>
      <c r="N17" s="57">
        <f>'[2]Dia 13 (b)'!$X23</f>
        <v>15.275388206338111</v>
      </c>
      <c r="O17" s="57">
        <f>'[2]Dia 14 (b)'!$X23</f>
        <v>14.687001533900942</v>
      </c>
      <c r="P17" s="57">
        <f>'[2]Dia 15 (b)'!$X23</f>
        <v>14.304415363840882</v>
      </c>
      <c r="Q17" s="57">
        <f>'[2]Dia 16 (b)'!$X23</f>
        <v>15.143068631642409</v>
      </c>
      <c r="R17" s="57">
        <f>'[2]Dia 17 (b)'!$X23</f>
        <v>14.952518252483516</v>
      </c>
      <c r="S17" s="57">
        <f>'[2]Dia 18 (b)'!$X23</f>
        <v>17.216064856167947</v>
      </c>
      <c r="T17" s="57">
        <f>'[2]Dia 19 (b)'!$X23</f>
        <v>13.736387312287409</v>
      </c>
      <c r="U17" s="57">
        <f>'[2]Dia 20 (b)'!$X23</f>
        <v>14.19955824175476</v>
      </c>
      <c r="V17" s="57">
        <f>'[2]Dia 21 (b)'!$X23</f>
        <v>14.888500121684217</v>
      </c>
      <c r="W17" s="57">
        <f>'[2]Dia 22 (b)'!$X23</f>
        <v>15.490267913330083</v>
      </c>
      <c r="X17" s="57">
        <f>'[2]Dia 23 (b)'!$X23</f>
        <v>15.431546474579177</v>
      </c>
      <c r="Y17" s="57">
        <f>'[2]Dia 24 (b)'!$X23</f>
        <v>15.197651993890609</v>
      </c>
      <c r="Z17" s="57">
        <f>'[2]Dia 25 (b)'!$X23</f>
        <v>15.301583361309204</v>
      </c>
      <c r="AA17" s="57">
        <f>'[2]Dia 26 (b)'!$X23</f>
        <v>14.223559098319615</v>
      </c>
      <c r="AB17" s="58">
        <f>'[2]Dia 27 (b)'!$X23</f>
        <v>17.010647017941633</v>
      </c>
      <c r="AC17" s="57">
        <f>'[2]Dia 28 (b)'!$X23</f>
        <v>16.139159485762789</v>
      </c>
      <c r="AD17" s="57"/>
      <c r="AE17" s="57"/>
      <c r="AF17" s="57"/>
    </row>
    <row r="18" spans="1:32" ht="20.100000000000001" customHeight="1">
      <c r="A18" s="56">
        <v>15</v>
      </c>
      <c r="B18" s="57">
        <f>'[2]Dia 1 (b)'!$X24</f>
        <v>13.784038612795118</v>
      </c>
      <c r="C18" s="57">
        <f>'[2]Dia 2 (b)'!$X24</f>
        <v>14.231783496899384</v>
      </c>
      <c r="D18" s="57">
        <f>'[2]Dia 3 (b)'!$X24</f>
        <v>13.721287878560625</v>
      </c>
      <c r="E18" s="57">
        <f>'[2]Dia 4 (b)'!$X24</f>
        <v>14.301690696710562</v>
      </c>
      <c r="F18" s="57">
        <f>'[2]Dia 5 (b)'!$X24</f>
        <v>13.498730709127328</v>
      </c>
      <c r="G18" s="57">
        <f>'[2]Dia 6 (b)'!$X24</f>
        <v>16.92593203528093</v>
      </c>
      <c r="H18" s="57">
        <f>'[2]Dia 7 (b)'!$X24</f>
        <v>15.079442244962385</v>
      </c>
      <c r="I18" s="57">
        <f>'[2]Dia 8 (b)'!$X24</f>
        <v>14.953174398704004</v>
      </c>
      <c r="J18" s="57">
        <f>'[2]Dia 9 (b)'!$X24</f>
        <v>16.503235720976949</v>
      </c>
      <c r="K18" s="57">
        <f>'[2]Dia 10 (b)'!$X24</f>
        <v>16.751831302352109</v>
      </c>
      <c r="L18" s="57">
        <f>'[2]Dia 11 (b)'!$X24</f>
        <v>16.353136173312485</v>
      </c>
      <c r="M18" s="57">
        <f>'[2]Dia 12 (b)'!$X24</f>
        <v>16.712982434857107</v>
      </c>
      <c r="N18" s="57">
        <f>'[2]Dia 13 (b)'!$X24</f>
        <v>14.64416426535667</v>
      </c>
      <c r="O18" s="57">
        <f>'[2]Dia 14 (b)'!$X24</f>
        <v>15.145062799683965</v>
      </c>
      <c r="P18" s="57">
        <f>'[2]Dia 15 (b)'!$X24</f>
        <v>14.581076007579091</v>
      </c>
      <c r="Q18" s="57">
        <f>'[2]Dia 16 (b)'!$X24</f>
        <v>15.016004991239365</v>
      </c>
      <c r="R18" s="57">
        <f>'[2]Dia 17 (b)'!$X24</f>
        <v>14.441886874267405</v>
      </c>
      <c r="S18" s="57">
        <f>'[2]Dia 18 (b)'!$X24</f>
        <v>15.314411059807096</v>
      </c>
      <c r="T18" s="57">
        <f>'[2]Dia 19 (b)'!$X24</f>
        <v>13.558419697961117</v>
      </c>
      <c r="U18" s="57">
        <f>'[2]Dia 20 (b)'!$X24</f>
        <v>13.729087316989659</v>
      </c>
      <c r="V18" s="57">
        <f>'[2]Dia 21 (b)'!$X24</f>
        <v>14.207470083006331</v>
      </c>
      <c r="W18" s="57">
        <f>'[2]Dia 22 (b)'!$X24</f>
        <v>15.269160830531</v>
      </c>
      <c r="X18" s="57">
        <f>'[2]Dia 23 (b)'!$X24</f>
        <v>15.846755905394938</v>
      </c>
      <c r="Y18" s="57">
        <f>'[2]Dia 24 (b)'!$X24</f>
        <v>14.971958831906187</v>
      </c>
      <c r="Z18" s="57">
        <f>'[2]Dia 25 (b)'!$X24</f>
        <v>16.732238493881823</v>
      </c>
      <c r="AA18" s="57">
        <f>'[2]Dia 26 (b)'!$X24</f>
        <v>14.146405467615402</v>
      </c>
      <c r="AB18" s="58">
        <f>'[2]Dia 27 (b)'!$X24</f>
        <v>16.138424973979902</v>
      </c>
      <c r="AC18" s="57">
        <f>'[2]Dia 28 (b)'!$X24</f>
        <v>15.904915159089066</v>
      </c>
      <c r="AD18" s="57"/>
      <c r="AE18" s="57"/>
      <c r="AF18" s="57"/>
    </row>
    <row r="19" spans="1:32" ht="20.100000000000001" customHeight="1">
      <c r="A19" s="56">
        <v>16</v>
      </c>
      <c r="B19" s="57">
        <f>'[2]Dia 1 (b)'!$X25</f>
        <v>13.609804429718304</v>
      </c>
      <c r="C19" s="57">
        <f>'[2]Dia 2 (b)'!$X25</f>
        <v>14.897397806628788</v>
      </c>
      <c r="D19" s="57">
        <f>'[2]Dia 3 (b)'!$X25</f>
        <v>13.426413998005247</v>
      </c>
      <c r="E19" s="57">
        <f>'[2]Dia 4 (b)'!$X25</f>
        <v>15.032647931284997</v>
      </c>
      <c r="F19" s="57">
        <f>'[2]Dia 5 (b)'!$X25</f>
        <v>13.957347559232243</v>
      </c>
      <c r="G19" s="57">
        <f>'[2]Dia 6 (b)'!$X25</f>
        <v>17.194531041710622</v>
      </c>
      <c r="H19" s="57">
        <f>'[2]Dia 7 (b)'!$X25</f>
        <v>15.759255103599175</v>
      </c>
      <c r="I19" s="57">
        <f>'[2]Dia 8 (b)'!$X25</f>
        <v>13.667017488160143</v>
      </c>
      <c r="J19" s="57">
        <f>'[2]Dia 9 (b)'!$X25</f>
        <v>15.837958615389999</v>
      </c>
      <c r="K19" s="57">
        <f>'[2]Dia 10 (b)'!$X25</f>
        <v>16.713836202329503</v>
      </c>
      <c r="L19" s="57">
        <f>'[2]Dia 11 (b)'!$X25</f>
        <v>16.334774711228967</v>
      </c>
      <c r="M19" s="57">
        <f>'[2]Dia 12 (b)'!$X25</f>
        <v>16.261974573652992</v>
      </c>
      <c r="N19" s="57">
        <f>'[2]Dia 13 (b)'!$X25</f>
        <v>14.567657134018031</v>
      </c>
      <c r="O19" s="57">
        <f>'[2]Dia 14 (b)'!$X25</f>
        <v>14.259593641703919</v>
      </c>
      <c r="P19" s="57">
        <f>'[2]Dia 15 (b)'!$X25</f>
        <v>14.086044497831015</v>
      </c>
      <c r="Q19" s="57">
        <f>'[2]Dia 16 (b)'!$X25</f>
        <v>15.369463673201491</v>
      </c>
      <c r="R19" s="57">
        <f>'[2]Dia 17 (b)'!$X25</f>
        <v>13.561656546836959</v>
      </c>
      <c r="S19" s="57">
        <f>'[2]Dia 18 (b)'!$X25</f>
        <v>14.415501666889234</v>
      </c>
      <c r="T19" s="57">
        <f>'[2]Dia 19 (b)'!$X25</f>
        <v>13.345050250913012</v>
      </c>
      <c r="U19" s="57">
        <f>'[2]Dia 20 (b)'!$X25</f>
        <v>16.451847289598593</v>
      </c>
      <c r="V19" s="57">
        <f>'[2]Dia 21 (b)'!$X25</f>
        <v>15.383139160498029</v>
      </c>
      <c r="W19" s="57">
        <f>'[2]Dia 22 (b)'!$X25</f>
        <v>15.077673926272888</v>
      </c>
      <c r="X19" s="57">
        <f>'[2]Dia 23 (b)'!$X25</f>
        <v>15.531458959916824</v>
      </c>
      <c r="Y19" s="57">
        <f>'[2]Dia 24 (b)'!$X25</f>
        <v>13.843378760178823</v>
      </c>
      <c r="Z19" s="57">
        <f>'[2]Dia 25 (b)'!$X25</f>
        <v>16.705092685980766</v>
      </c>
      <c r="AA19" s="57">
        <f>'[2]Dia 26 (b)'!$X25</f>
        <v>13.851303626653751</v>
      </c>
      <c r="AB19" s="58">
        <f>'[2]Dia 27 (b)'!$X25</f>
        <v>16.028462373424944</v>
      </c>
      <c r="AC19" s="58">
        <f>'[2]Dia 28 (b)'!$X25</f>
        <v>15.407938034140981</v>
      </c>
      <c r="AD19" s="57"/>
      <c r="AE19" s="57"/>
      <c r="AF19" s="57"/>
    </row>
    <row r="20" spans="1:32" ht="20.100000000000001" customHeight="1">
      <c r="A20" s="56">
        <v>17</v>
      </c>
      <c r="B20" s="57">
        <f>'[2]Dia 1 (b)'!$X26</f>
        <v>14.465148334769902</v>
      </c>
      <c r="C20" s="57">
        <f>'[2]Dia 2 (b)'!$X26</f>
        <v>13.879262944185255</v>
      </c>
      <c r="D20" s="57">
        <f>'[2]Dia 3 (b)'!$X26</f>
        <v>14.898487977989962</v>
      </c>
      <c r="E20" s="57">
        <f>'[2]Dia 4 (b)'!$X26</f>
        <v>14.884877739895796</v>
      </c>
      <c r="F20" s="57">
        <f>'[2]Dia 5 (b)'!$X26</f>
        <v>13.451114292897479</v>
      </c>
      <c r="G20" s="57">
        <f>'[2]Dia 6 (b)'!$X26</f>
        <v>17.195285152257743</v>
      </c>
      <c r="H20" s="57">
        <f>'[2]Dia 7 (b)'!$X26</f>
        <v>16.215161286301193</v>
      </c>
      <c r="I20" s="57">
        <f>'[2]Dia 8 (b)'!$X26</f>
        <v>13.078289406595447</v>
      </c>
      <c r="J20" s="57">
        <f>'[2]Dia 9 (b)'!$X26</f>
        <v>15.509349466824268</v>
      </c>
      <c r="K20" s="57">
        <f>'[2]Dia 10 (b)'!$X26</f>
        <v>15.59454737575653</v>
      </c>
      <c r="L20" s="57">
        <f>'[2]Dia 11 (b)'!$X26</f>
        <v>16.175367985374848</v>
      </c>
      <c r="M20" s="57">
        <f>'[2]Dia 12 (b)'!$X26</f>
        <v>15.215079173900973</v>
      </c>
      <c r="N20" s="57">
        <f>'[2]Dia 13 (b)'!$X26</f>
        <v>16.690873907536538</v>
      </c>
      <c r="O20" s="57">
        <f>'[2]Dia 14 (b)'!$X26</f>
        <v>17.742732386877176</v>
      </c>
      <c r="P20" s="57">
        <f>'[2]Dia 15 (b)'!$X26</f>
        <v>16.971978935679104</v>
      </c>
      <c r="Q20" s="57">
        <f>'[2]Dia 16 (b)'!$X26</f>
        <v>17.773641631846424</v>
      </c>
      <c r="R20" s="57">
        <f>'[2]Dia 17 (b)'!$X26</f>
        <v>14.060879350453092</v>
      </c>
      <c r="S20" s="57">
        <f>'[2]Dia 18 (b)'!$X26</f>
        <v>14.269523902566045</v>
      </c>
      <c r="T20" s="57">
        <f>'[2]Dia 19 (b)'!$X26</f>
        <v>13.394369026200847</v>
      </c>
      <c r="U20" s="57">
        <f>'[2]Dia 20 (b)'!$X26</f>
        <v>16.372492438371399</v>
      </c>
      <c r="V20" s="57">
        <f>'[2]Dia 21 (b)'!$X26</f>
        <v>16.984039370408762</v>
      </c>
      <c r="W20" s="57">
        <f>'[2]Dia 22 (b)'!$X26</f>
        <v>14.956459384667237</v>
      </c>
      <c r="X20" s="57">
        <f>'[2]Dia 23 (b)'!$X26</f>
        <v>16.453643716731623</v>
      </c>
      <c r="Y20" s="57">
        <f>'[2]Dia 24 (b)'!$X26</f>
        <v>14.076948780511032</v>
      </c>
      <c r="Z20" s="57">
        <f>'[2]Dia 25 (b)'!$X26</f>
        <v>15.902950558819084</v>
      </c>
      <c r="AA20" s="57">
        <f>'[2]Dia 26 (b)'!$X26</f>
        <v>13.967231690653694</v>
      </c>
      <c r="AB20" s="58">
        <f>'[2]Dia 27 (b)'!$X26</f>
        <v>16.383261948033471</v>
      </c>
      <c r="AC20" s="58">
        <f>'[2]Dia 28 (b)'!$X26</f>
        <v>14.770414613193239</v>
      </c>
      <c r="AD20" s="57"/>
      <c r="AE20" s="57"/>
      <c r="AF20" s="57"/>
    </row>
    <row r="21" spans="1:32" ht="20.100000000000001" customHeight="1">
      <c r="A21" s="56">
        <v>18</v>
      </c>
      <c r="B21" s="57">
        <f>'[2]Dia 1 (b)'!$X27</f>
        <v>16.057931343436472</v>
      </c>
      <c r="C21" s="57">
        <f>'[2]Dia 2 (b)'!$X27</f>
        <v>13.696148479138206</v>
      </c>
      <c r="D21" s="57">
        <f>'[2]Dia 3 (b)'!$X27</f>
        <v>14.999004402034172</v>
      </c>
      <c r="E21" s="57">
        <f>'[2]Dia 4 (b)'!$X27</f>
        <v>14.878304640122243</v>
      </c>
      <c r="F21" s="57">
        <f>'[2]Dia 5 (b)'!$X27</f>
        <v>14.718679047607448</v>
      </c>
      <c r="G21" s="57">
        <f>'[2]Dia 6 (b)'!$X27</f>
        <v>16.191336474205794</v>
      </c>
      <c r="H21" s="57">
        <f>'[2]Dia 7 (b)'!$X27</f>
        <v>16.082696248449455</v>
      </c>
      <c r="I21" s="57">
        <f>'[2]Dia 8 (b)'!$X27</f>
        <v>12.538137300903223</v>
      </c>
      <c r="J21" s="57">
        <f>'[2]Dia 9 (b)'!$X27</f>
        <v>15.261870138412943</v>
      </c>
      <c r="K21" s="57">
        <f>'[2]Dia 10 (b)'!$X27</f>
        <v>15.51985614343349</v>
      </c>
      <c r="L21" s="57">
        <f>'[2]Dia 11 (b)'!$X27</f>
        <v>15.803399651414523</v>
      </c>
      <c r="M21" s="57">
        <f>'[2]Dia 12 (b)'!$X27</f>
        <v>15.851299091770462</v>
      </c>
      <c r="N21" s="57">
        <f>'[2]Dia 13 (b)'!$X27</f>
        <v>17.236635452666945</v>
      </c>
      <c r="O21" s="57">
        <f>'[2]Dia 14 (b)'!$X27</f>
        <v>17.241951459047907</v>
      </c>
      <c r="P21" s="57">
        <f>'[2]Dia 15 (b)'!$X27</f>
        <v>17.087185876112034</v>
      </c>
      <c r="Q21" s="57">
        <f>'[2]Dia 16 (b)'!$X27</f>
        <v>17.871217436309049</v>
      </c>
      <c r="R21" s="57">
        <f>'[2]Dia 17 (b)'!$X27</f>
        <v>14.646793340009593</v>
      </c>
      <c r="S21" s="57">
        <f>'[2]Dia 18 (b)'!$X27</f>
        <v>14.400818653924746</v>
      </c>
      <c r="T21" s="57">
        <f>'[2]Dia 19 (b)'!$X27</f>
        <v>13.527779983961036</v>
      </c>
      <c r="U21" s="57">
        <f>'[2]Dia 20 (b)'!$X27</f>
        <v>15.932153235403874</v>
      </c>
      <c r="V21" s="57">
        <f>'[2]Dia 21 (b)'!$X27</f>
        <v>15.954224368997181</v>
      </c>
      <c r="W21" s="57">
        <f>'[2]Dia 22 (b)'!$X27</f>
        <v>14.692717516265454</v>
      </c>
      <c r="X21" s="57">
        <f>'[2]Dia 23 (b)'!$X27</f>
        <v>16.757102058103897</v>
      </c>
      <c r="Y21" s="57">
        <f>'[2]Dia 24 (b)'!$X27</f>
        <v>14.071025652091292</v>
      </c>
      <c r="Z21" s="57">
        <f>'[2]Dia 25 (b)'!$X27</f>
        <v>15.763259257393042</v>
      </c>
      <c r="AA21" s="57">
        <f>'[2]Dia 26 (b)'!$X27</f>
        <v>14.803754935925806</v>
      </c>
      <c r="AB21" s="58">
        <f>'[2]Dia 27 (b)'!$X27</f>
        <v>16.271632018534902</v>
      </c>
      <c r="AC21" s="58">
        <f>'[2]Dia 28 (b)'!$X27</f>
        <v>15.099899213963836</v>
      </c>
      <c r="AD21" s="57"/>
      <c r="AE21" s="57"/>
      <c r="AF21" s="57"/>
    </row>
    <row r="22" spans="1:32" ht="20.100000000000001" customHeight="1">
      <c r="A22" s="56">
        <v>19</v>
      </c>
      <c r="B22" s="57">
        <f>'[2]Dia 1 (b)'!$X28</f>
        <v>16.426526687894238</v>
      </c>
      <c r="C22" s="57">
        <f>'[2]Dia 2 (b)'!$X28</f>
        <v>15.270983502740473</v>
      </c>
      <c r="D22" s="57">
        <f>'[2]Dia 3 (b)'!$X28</f>
        <v>14.750705270393773</v>
      </c>
      <c r="E22" s="57">
        <f>'[2]Dia 4 (b)'!$X28</f>
        <v>14.788913368022648</v>
      </c>
      <c r="F22" s="57">
        <f>'[2]Dia 5 (b)'!$X28</f>
        <v>15.786578632640703</v>
      </c>
      <c r="G22" s="57">
        <f>'[2]Dia 6 (b)'!$X28</f>
        <v>16.197155759058138</v>
      </c>
      <c r="H22" s="57">
        <f>'[2]Dia 7 (b)'!$X28</f>
        <v>15.773569590872599</v>
      </c>
      <c r="I22" s="57">
        <f>'[2]Dia 8 (b)'!$X28</f>
        <v>13.318150061667676</v>
      </c>
      <c r="J22" s="57">
        <f>'[2]Dia 9 (b)'!$X28</f>
        <v>14.664364142137307</v>
      </c>
      <c r="K22" s="57">
        <f>'[2]Dia 10 (b)'!$X28</f>
        <v>15.253020611057094</v>
      </c>
      <c r="L22" s="57">
        <f>'[2]Dia 11 (b)'!$X28</f>
        <v>16.133596666189288</v>
      </c>
      <c r="M22" s="57">
        <f>'[2]Dia 12 (b)'!$X28</f>
        <v>15.403796163166707</v>
      </c>
      <c r="N22" s="57">
        <f>'[2]Dia 13 (b)'!$X28</f>
        <v>17.813085281671722</v>
      </c>
      <c r="O22" s="57">
        <f>'[2]Dia 14 (b)'!$X28</f>
        <v>17.476423356366428</v>
      </c>
      <c r="P22" s="57">
        <f>'[2]Dia 15 (b)'!$X28</f>
        <v>16.709342128940353</v>
      </c>
      <c r="Q22" s="57">
        <f>'[2]Dia 16 (b)'!$X28</f>
        <v>16.872229699961935</v>
      </c>
      <c r="R22" s="57">
        <f>'[2]Dia 17 (b)'!$X28</f>
        <v>15.502106461812668</v>
      </c>
      <c r="S22" s="57">
        <f>'[2]Dia 18 (b)'!$X28</f>
        <v>14.20882997902824</v>
      </c>
      <c r="T22" s="57">
        <f>'[2]Dia 19 (b)'!$X28</f>
        <v>13.309109173108297</v>
      </c>
      <c r="U22" s="57">
        <f>'[2]Dia 20 (b)'!$X28</f>
        <v>16.313411257920833</v>
      </c>
      <c r="V22" s="57">
        <f>'[2]Dia 21 (b)'!$X28</f>
        <v>15.828501003883931</v>
      </c>
      <c r="W22" s="57">
        <f>'[2]Dia 22 (b)'!$X28</f>
        <v>14.655908526356811</v>
      </c>
      <c r="X22" s="57">
        <f>'[2]Dia 23 (b)'!$X28</f>
        <v>16.371955149037433</v>
      </c>
      <c r="Y22" s="57">
        <f>'[2]Dia 24 (b)'!$X28</f>
        <v>14.590005164423992</v>
      </c>
      <c r="Z22" s="57">
        <f>'[2]Dia 25 (b)'!$X28</f>
        <v>16.090406652974284</v>
      </c>
      <c r="AA22" s="57">
        <f>'[2]Dia 26 (b)'!$X28</f>
        <v>15.393099896180011</v>
      </c>
      <c r="AB22" s="58">
        <f>'[2]Dia 27 (b)'!$X28</f>
        <v>15.94196205972084</v>
      </c>
      <c r="AC22" s="58">
        <f>'[2]Dia 28 (b)'!$X28</f>
        <v>14.809976321233671</v>
      </c>
      <c r="AD22" s="57"/>
      <c r="AE22" s="57"/>
      <c r="AF22" s="57"/>
    </row>
    <row r="23" spans="1:32" ht="20.100000000000001" customHeight="1">
      <c r="A23" s="56">
        <v>20</v>
      </c>
      <c r="B23" s="57">
        <f>'[2]Dia 1 (b)'!$X29</f>
        <v>16.393493335474396</v>
      </c>
      <c r="C23" s="57">
        <f>'[2]Dia 2 (b)'!$X29</f>
        <v>16.828312239788247</v>
      </c>
      <c r="D23" s="57">
        <f>'[2]Dia 3 (b)'!$X29</f>
        <v>14.852045131807719</v>
      </c>
      <c r="E23" s="57">
        <f>'[2]Dia 4 (b)'!$X29</f>
        <v>15.974152669761965</v>
      </c>
      <c r="F23" s="57">
        <f>'[2]Dia 5 (b)'!$X29</f>
        <v>16.557155669187356</v>
      </c>
      <c r="G23" s="57">
        <f>'[2]Dia 6 (b)'!$X29</f>
        <v>15.502565645277333</v>
      </c>
      <c r="H23" s="57">
        <f>'[2]Dia 7 (b)'!$X29</f>
        <v>15.458759614341178</v>
      </c>
      <c r="I23" s="57">
        <f>'[2]Dia 8 (b)'!$X29</f>
        <v>13.606260224109123</v>
      </c>
      <c r="J23" s="57">
        <f>'[2]Dia 9 (b)'!$X29</f>
        <v>14.643910128924645</v>
      </c>
      <c r="K23" s="57">
        <f>'[2]Dia 10 (b)'!$X29</f>
        <v>15.466322828875024</v>
      </c>
      <c r="L23" s="57">
        <f>'[2]Dia 11 (b)'!$X29</f>
        <v>15.840947000461219</v>
      </c>
      <c r="M23" s="57">
        <f>'[2]Dia 12 (b)'!$X29</f>
        <v>15.273315845549964</v>
      </c>
      <c r="N23" s="57">
        <f>'[2]Dia 13 (b)'!$X29</f>
        <v>15.844364430255306</v>
      </c>
      <c r="O23" s="57">
        <f>'[2]Dia 14 (b)'!$X29</f>
        <v>17.161130561834135</v>
      </c>
      <c r="P23" s="57">
        <f>'[2]Dia 15 (b)'!$X29</f>
        <v>16.357710437475113</v>
      </c>
      <c r="Q23" s="57">
        <f>'[2]Dia 16 (b)'!$X29</f>
        <v>16.820026527953374</v>
      </c>
      <c r="R23" s="57">
        <f>'[2]Dia 17 (b)'!$X29</f>
        <v>16.564231932829639</v>
      </c>
      <c r="S23" s="57">
        <f>'[2]Dia 18 (b)'!$X29</f>
        <v>14.20025088981324</v>
      </c>
      <c r="T23" s="57">
        <f>'[2]Dia 19 (b)'!$X29</f>
        <v>13.348647728404286</v>
      </c>
      <c r="U23" s="57">
        <f>'[2]Dia 20 (b)'!$X29</f>
        <v>16.079705230606116</v>
      </c>
      <c r="V23" s="57">
        <f>'[2]Dia 21 (b)'!$X29</f>
        <v>15.268689129006063</v>
      </c>
      <c r="W23" s="57">
        <f>'[2]Dia 22 (b)'!$X29</f>
        <v>14.776701434781664</v>
      </c>
      <c r="X23" s="57">
        <f>'[2]Dia 23 (b)'!$X29</f>
        <v>16.001768445795232</v>
      </c>
      <c r="Y23" s="57">
        <f>'[2]Dia 24 (b)'!$X29</f>
        <v>16.696661535900031</v>
      </c>
      <c r="Z23" s="57">
        <f>'[2]Dia 25 (b)'!$X29</f>
        <v>17.491315928049264</v>
      </c>
      <c r="AA23" s="57">
        <f>'[2]Dia 26 (b)'!$X29</f>
        <v>15.605233467269263</v>
      </c>
      <c r="AB23" s="58">
        <f>'[2]Dia 27 (b)'!$X29</f>
        <v>15.358999382743562</v>
      </c>
      <c r="AC23" s="58">
        <f>'[2]Dia 28 (b)'!$X29</f>
        <v>14.71157786840601</v>
      </c>
      <c r="AD23" s="57"/>
      <c r="AE23" s="57"/>
      <c r="AF23" s="57"/>
    </row>
    <row r="24" spans="1:32" ht="20.100000000000001" customHeight="1">
      <c r="A24" s="56">
        <v>21</v>
      </c>
      <c r="B24" s="57">
        <f>'[2]Dia 1 (b)'!$X30</f>
        <v>15.982017649419197</v>
      </c>
      <c r="C24" s="57">
        <f>'[2]Dia 2 (b)'!$X30</f>
        <v>15.581785197279162</v>
      </c>
      <c r="D24" s="57">
        <f>'[2]Dia 3 (b)'!$X30</f>
        <v>15.133859044999479</v>
      </c>
      <c r="E24" s="57">
        <f>'[2]Dia 4 (b)'!$X30</f>
        <v>17.382497575917846</v>
      </c>
      <c r="F24" s="57">
        <f>'[2]Dia 5 (b)'!$X30</f>
        <v>15.749178598886296</v>
      </c>
      <c r="G24" s="57">
        <f>'[2]Dia 6 (b)'!$X30</f>
        <v>15.61418650502072</v>
      </c>
      <c r="H24" s="57">
        <f>'[2]Dia 7 (b)'!$X30</f>
        <v>15.60164784921156</v>
      </c>
      <c r="I24" s="57">
        <f>'[2]Dia 8 (b)'!$X30</f>
        <v>13.45214969485569</v>
      </c>
      <c r="J24" s="57">
        <f>'[2]Dia 9 (b)'!$X30</f>
        <v>14.81997696913019</v>
      </c>
      <c r="K24" s="57">
        <f>'[2]Dia 10 (b)'!$X30</f>
        <v>14.628091010052373</v>
      </c>
      <c r="L24" s="57">
        <f>'[2]Dia 11 (b)'!$X30</f>
        <v>15.775899187076844</v>
      </c>
      <c r="M24" s="57">
        <f>'[2]Dia 12 (b)'!$X30</f>
        <v>15.077487908137305</v>
      </c>
      <c r="N24" s="57">
        <f>'[2]Dia 13 (b)'!$X30</f>
        <v>15.898524335065423</v>
      </c>
      <c r="O24" s="57">
        <f>'[2]Dia 14 (b)'!$X30</f>
        <v>16.219210360142608</v>
      </c>
      <c r="P24" s="57">
        <f>'[2]Dia 15 (b)'!$X30</f>
        <v>16.651109094159395</v>
      </c>
      <c r="Q24" s="57">
        <f>'[2]Dia 16 (b)'!$X30</f>
        <v>15.655819579381895</v>
      </c>
      <c r="R24" s="57">
        <f>'[2]Dia 17 (b)'!$X30</f>
        <v>16.593815457992928</v>
      </c>
      <c r="S24" s="57">
        <f>'[2]Dia 18 (b)'!$X30</f>
        <v>14.231633615874584</v>
      </c>
      <c r="T24" s="57">
        <f>'[2]Dia 19 (b)'!$X30</f>
        <v>13.382297246560423</v>
      </c>
      <c r="U24" s="57">
        <f>'[2]Dia 20 (b)'!$X30</f>
        <v>15.469008036829083</v>
      </c>
      <c r="V24" s="57">
        <f>'[2]Dia 21 (b)'!$X30</f>
        <v>15.024662498401554</v>
      </c>
      <c r="W24" s="57">
        <f>'[2]Dia 22 (b)'!$X30</f>
        <v>14.85177537131519</v>
      </c>
      <c r="X24" s="57">
        <f>'[2]Dia 23 (b)'!$X30</f>
        <v>16.11866283284542</v>
      </c>
      <c r="Y24" s="57">
        <f>'[2]Dia 24 (b)'!$X30</f>
        <v>16.967619101067843</v>
      </c>
      <c r="Z24" s="57">
        <f>'[2]Dia 25 (b)'!$X30</f>
        <v>15.8350792594066</v>
      </c>
      <c r="AA24" s="57">
        <f>'[2]Dia 26 (b)'!$X30</f>
        <v>15.732228733977355</v>
      </c>
      <c r="AB24" s="58">
        <f>'[2]Dia 27 (b)'!$X30</f>
        <v>15.587730559036395</v>
      </c>
      <c r="AC24" s="58">
        <f>'[2]Dia 28 (b)'!$X30</f>
        <v>13.944719930061867</v>
      </c>
      <c r="AD24" s="57"/>
      <c r="AE24" s="57"/>
      <c r="AF24" s="57"/>
    </row>
    <row r="25" spans="1:32" ht="20.100000000000001" customHeight="1">
      <c r="A25" s="56">
        <v>22</v>
      </c>
      <c r="B25" s="57">
        <f>'[2]Dia 1 (b)'!$X31</f>
        <v>15.361905351609996</v>
      </c>
      <c r="C25" s="57">
        <f>'[2]Dia 2 (b)'!$X31</f>
        <v>15.493396727914101</v>
      </c>
      <c r="D25" s="57">
        <f>'[2]Dia 3 (b)'!$X31</f>
        <v>13.962331776194793</v>
      </c>
      <c r="E25" s="57">
        <f>'[2]Dia 4 (b)'!$X31</f>
        <v>16.426606364607263</v>
      </c>
      <c r="F25" s="57">
        <f>'[2]Dia 5 (b)'!$X31</f>
        <v>16.371646550583993</v>
      </c>
      <c r="G25" s="57">
        <f>'[2]Dia 6 (b)'!$X31</f>
        <v>15.607290687371876</v>
      </c>
      <c r="H25" s="57">
        <f>'[2]Dia 7 (b)'!$X31</f>
        <v>14.921927971742591</v>
      </c>
      <c r="I25" s="57">
        <f>'[2]Dia 8 (b)'!$X31</f>
        <v>13.474960036684855</v>
      </c>
      <c r="J25" s="57">
        <f>'[2]Dia 9 (b)'!$X31</f>
        <v>14.768017877066232</v>
      </c>
      <c r="K25" s="57">
        <f>'[2]Dia 10 (b)'!$X31</f>
        <v>14.441420353717794</v>
      </c>
      <c r="L25" s="57">
        <f>'[2]Dia 11 (b)'!$X31</f>
        <v>15.329033314268148</v>
      </c>
      <c r="M25" s="57">
        <f>'[2]Dia 12 (b)'!$X31</f>
        <v>15.273059789264023</v>
      </c>
      <c r="N25" s="57">
        <f>'[2]Dia 13 (b)'!$X31</f>
        <v>15.893804457802768</v>
      </c>
      <c r="O25" s="57">
        <f>'[2]Dia 14 (b)'!$X31</f>
        <v>15.516344770604725</v>
      </c>
      <c r="P25" s="57">
        <f>'[2]Dia 15 (b)'!$X31</f>
        <v>15.385546054939386</v>
      </c>
      <c r="Q25" s="57">
        <f>'[2]Dia 16 (b)'!$X31</f>
        <v>15.553212709777547</v>
      </c>
      <c r="R25" s="57">
        <f>'[2]Dia 17 (b)'!$X31</f>
        <v>16.812310360878815</v>
      </c>
      <c r="S25" s="57">
        <f>'[2]Dia 18 (b)'!$X31</f>
        <v>13.821898708849021</v>
      </c>
      <c r="T25" s="57">
        <f>'[2]Dia 19 (b)'!$X31</f>
        <v>13.64039596257985</v>
      </c>
      <c r="U25" s="57">
        <f>'[2]Dia 20 (b)'!$X31</f>
        <v>15.463373108282997</v>
      </c>
      <c r="V25" s="57">
        <f>'[2]Dia 21 (b)'!$X31</f>
        <v>15.024662498401554</v>
      </c>
      <c r="W25" s="57">
        <f>'[2]Dia 22 (b)'!$X31</f>
        <v>14.7435563909333</v>
      </c>
      <c r="X25" s="57">
        <f>'[2]Dia 23 (b)'!$X31</f>
        <v>15.955907886381654</v>
      </c>
      <c r="Y25" s="57">
        <f>'[2]Dia 24 (b)'!$X31</f>
        <v>16.536494065871885</v>
      </c>
      <c r="Z25" s="57">
        <f>'[2]Dia 25 (b)'!$X31</f>
        <v>15.914618033362501</v>
      </c>
      <c r="AA25" s="57">
        <f>'[2]Dia 26 (b)'!$X31</f>
        <v>16.089694927599712</v>
      </c>
      <c r="AB25" s="58">
        <f>'[2]Dia 27 (b)'!$X31</f>
        <v>15.62963687724983</v>
      </c>
      <c r="AC25" s="58">
        <f>'[2]Dia 28 (b)'!$X31</f>
        <v>13.946768330971569</v>
      </c>
      <c r="AD25" s="57"/>
      <c r="AE25" s="57"/>
      <c r="AF25" s="57"/>
    </row>
    <row r="26" spans="1:32" ht="20.100000000000001" customHeight="1">
      <c r="A26" s="56">
        <v>23</v>
      </c>
      <c r="B26" s="57">
        <f>'[2]Dia 1 (b)'!$X32</f>
        <v>15.600925318189738</v>
      </c>
      <c r="C26" s="57">
        <f>'[2]Dia 2 (b)'!$X32</f>
        <v>15.339303160391607</v>
      </c>
      <c r="D26" s="57">
        <f>'[2]Dia 3 (b)'!$X32</f>
        <v>14.177915178525893</v>
      </c>
      <c r="E26" s="57">
        <f>'[2]Dia 4 (b)'!$X32</f>
        <v>16.51054683902219</v>
      </c>
      <c r="F26" s="57">
        <f>'[2]Dia 5 (b)'!$X32</f>
        <v>16.269377583444552</v>
      </c>
      <c r="G26" s="57">
        <f>'[2]Dia 6 (b)'!$X32</f>
        <v>15.846823701758488</v>
      </c>
      <c r="H26" s="57">
        <f>'[2]Dia 7 (b)'!$X32</f>
        <v>14.591020894329969</v>
      </c>
      <c r="I26" s="57">
        <f>'[2]Dia 8 (b)'!$X32</f>
        <v>13.974153894701358</v>
      </c>
      <c r="J26" s="57">
        <f>'[2]Dia 9 (b)'!$X32</f>
        <v>14.82215285241997</v>
      </c>
      <c r="K26" s="57">
        <f>'[2]Dia 10 (b)'!$X32</f>
        <v>14.117881352101479</v>
      </c>
      <c r="L26" s="57">
        <f>'[2]Dia 11 (b)'!$X32</f>
        <v>15.410272064940463</v>
      </c>
      <c r="M26" s="57">
        <f>'[2]Dia 12 (b)'!$X32</f>
        <v>15.417207972728791</v>
      </c>
      <c r="N26" s="57">
        <f>'[2]Dia 13 (b)'!$X32</f>
        <v>15.489744614896065</v>
      </c>
      <c r="O26" s="57">
        <f>'[2]Dia 14 (b)'!$X32</f>
        <v>15.147215595193888</v>
      </c>
      <c r="P26" s="57">
        <f>'[2]Dia 15 (b)'!$X32</f>
        <v>15.068041452833658</v>
      </c>
      <c r="Q26" s="57">
        <f>'[2]Dia 16 (b)'!$X32</f>
        <v>15.337215517622848</v>
      </c>
      <c r="R26" s="57">
        <f>'[2]Dia 17 (b)'!$X32</f>
        <v>16.792435148892871</v>
      </c>
      <c r="S26" s="57">
        <f>'[2]Dia 18 (b)'!$X32</f>
        <v>14.176987553197886</v>
      </c>
      <c r="T26" s="57">
        <f>'[2]Dia 19 (b)'!$X32</f>
        <v>13.814767961181202</v>
      </c>
      <c r="U26" s="57">
        <f>'[2]Dia 20 (b)'!$X32</f>
        <v>15.461080711840646</v>
      </c>
      <c r="V26" s="57">
        <f>'[2]Dia 21 (b)'!$X32</f>
        <v>14.83631707391657</v>
      </c>
      <c r="W26" s="57">
        <f>'[2]Dia 22 (b)'!$X32</f>
        <v>14.406634690954075</v>
      </c>
      <c r="X26" s="57">
        <f>'[2]Dia 23 (b)'!$X32</f>
        <v>15.810416274639401</v>
      </c>
      <c r="Y26" s="57">
        <f>'[2]Dia 24 (b)'!$X32</f>
        <v>16.076763259131244</v>
      </c>
      <c r="Z26" s="57">
        <f>'[2]Dia 25 (b)'!$X32</f>
        <v>15.779535162391635</v>
      </c>
      <c r="AA26" s="57">
        <f>'[2]Dia 26 (b)'!$X32</f>
        <v>16.92107220256301</v>
      </c>
      <c r="AB26" s="58">
        <f>'[2]Dia 27 (b)'!$X32</f>
        <v>15.673845105417758</v>
      </c>
      <c r="AC26" s="58">
        <f>'[2]Dia 28 (b)'!$X32</f>
        <v>13.891555856740865</v>
      </c>
      <c r="AD26" s="57"/>
      <c r="AE26" s="57"/>
      <c r="AF26" s="57"/>
    </row>
    <row r="27" spans="1:32" ht="20.100000000000001" customHeight="1" thickBot="1">
      <c r="A27" s="56">
        <v>24</v>
      </c>
      <c r="B27" s="57">
        <f>'[2]Dia 1 (b)'!$X33</f>
        <v>15.812686551663012</v>
      </c>
      <c r="C27" s="57">
        <f>'[2]Dia 2 (b)'!$X33</f>
        <v>14.854927772231216</v>
      </c>
      <c r="D27" s="57">
        <f>'[2]Dia 3 (b)'!$X33</f>
        <v>14.263192349376906</v>
      </c>
      <c r="E27" s="57">
        <f>'[2]Dia 4 (b)'!$X33</f>
        <v>16.142769814744685</v>
      </c>
      <c r="F27" s="57">
        <f>'[2]Dia 5 (b)'!$X33</f>
        <v>15.818388497479777</v>
      </c>
      <c r="G27" s="57">
        <f>'[2]Dia 6 (b)'!$X33</f>
        <v>15.540799617341548</v>
      </c>
      <c r="H27" s="57">
        <f>'[2]Dia 7 (b)'!$X33</f>
        <v>14.139449607818927</v>
      </c>
      <c r="I27" s="57">
        <f>'[2]Dia 8 (b)'!$X33</f>
        <v>13.610261604276079</v>
      </c>
      <c r="J27" s="57">
        <f>'[2]Dia 9 (b)'!$X33</f>
        <v>14.512175557353483</v>
      </c>
      <c r="K27" s="57">
        <f>'[2]Dia 10 (b)'!$X33</f>
        <v>13.540085940522543</v>
      </c>
      <c r="L27" s="57">
        <f>'[2]Dia 11 (b)'!$X33</f>
        <v>15.122082933583046</v>
      </c>
      <c r="M27" s="57">
        <f>'[2]Dia 12 (b)'!$X33</f>
        <v>15.022800091336721</v>
      </c>
      <c r="N27" s="57">
        <f>'[2]Dia 13 (b)'!$X33</f>
        <v>15.587349387139968</v>
      </c>
      <c r="O27" s="57">
        <f>'[2]Dia 14 (b)'!$X33</f>
        <v>15.415954108059788</v>
      </c>
      <c r="P27" s="57">
        <f>'[2]Dia 15 (b)'!$X33</f>
        <v>14.33676167986215</v>
      </c>
      <c r="Q27" s="57">
        <f>'[2]Dia 16 (b)'!$X33</f>
        <v>15.062790630438752</v>
      </c>
      <c r="R27" s="57">
        <f>'[2]Dia 17 (b)'!$X33</f>
        <v>16.303952419815236</v>
      </c>
      <c r="S27" s="57">
        <f>'[2]Dia 18 (b)'!$X33</f>
        <v>13.77663213830281</v>
      </c>
      <c r="T27" s="57">
        <f>'[2]Dia 19 (b)'!$X33</f>
        <v>13.907634478686079</v>
      </c>
      <c r="U27" s="57">
        <f>'[2]Dia 20 (b)'!$X33</f>
        <v>15.359512131032819</v>
      </c>
      <c r="V27" s="57">
        <f>'[2]Dia 21 (b)'!$X33</f>
        <v>14.838491793698033</v>
      </c>
      <c r="W27" s="57">
        <f>'[2]Dia 22 (b)'!$X33</f>
        <v>14.403443029643761</v>
      </c>
      <c r="X27" s="57">
        <f>'[2]Dia 23 (b)'!$X33</f>
        <v>15.831406234761328</v>
      </c>
      <c r="Y27" s="57">
        <f>'[2]Dia 24 (b)'!$X33</f>
        <v>15.976907918888573</v>
      </c>
      <c r="Z27" s="57">
        <f>'[2]Dia 25 (b)'!$X33</f>
        <v>15.398632122114565</v>
      </c>
      <c r="AA27" s="57">
        <f>'[2]Dia 26 (b)'!$X33</f>
        <v>16.795086967497312</v>
      </c>
      <c r="AB27" s="58">
        <f>'[2]Dia 27 (b)'!$X33</f>
        <v>15.67101711132425</v>
      </c>
      <c r="AC27" s="58">
        <f>'[2]Dia 28 (b)'!$X33</f>
        <v>13.456523387287408</v>
      </c>
      <c r="AD27" s="57"/>
      <c r="AE27" s="57"/>
      <c r="AF27" s="57"/>
    </row>
    <row r="28" spans="1:32" ht="16.5" thickTop="1">
      <c r="A28" s="17"/>
      <c r="B28" s="19"/>
      <c r="C28" s="19"/>
      <c r="D28" s="19"/>
      <c r="E28" s="19"/>
      <c r="F28" s="19"/>
      <c r="G28" s="19"/>
      <c r="H28" s="19"/>
      <c r="I28" s="19"/>
      <c r="J28" s="19"/>
      <c r="K28" s="19"/>
      <c r="L28" s="19"/>
      <c r="M28" s="19"/>
      <c r="N28" s="19"/>
      <c r="O28" s="19"/>
      <c r="P28" s="19"/>
      <c r="Q28" s="19"/>
      <c r="R28" s="19"/>
      <c r="S28" s="19"/>
      <c r="T28" s="19"/>
      <c r="U28" s="19"/>
      <c r="V28" s="19"/>
      <c r="W28" s="19"/>
      <c r="X28" s="19"/>
      <c r="Y28" s="19"/>
      <c r="Z28" s="19"/>
      <c r="AA28" s="19"/>
      <c r="AB28" s="18" t="s">
        <v>2</v>
      </c>
      <c r="AC28" s="19"/>
      <c r="AD28" s="19"/>
      <c r="AE28" s="19"/>
      <c r="AF28" s="21"/>
    </row>
    <row r="29" spans="1:32" ht="15.75">
      <c r="A29" s="22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23"/>
    </row>
    <row r="30" spans="1:32" ht="15.75">
      <c r="A30" s="24" t="s">
        <v>3</v>
      </c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23"/>
    </row>
    <row r="31" spans="1:32" ht="15.75">
      <c r="A31" s="24" t="s">
        <v>4</v>
      </c>
      <c r="B31" s="25">
        <f t="shared" ref="B31:AC31" si="0">AVERAGE(B4:B27)</f>
        <v>15.101747846703992</v>
      </c>
      <c r="C31" s="25">
        <f t="shared" si="0"/>
        <v>15.309392034747868</v>
      </c>
      <c r="D31" s="25">
        <f t="shared" si="0"/>
        <v>14.494155377038593</v>
      </c>
      <c r="E31" s="25">
        <f t="shared" si="0"/>
        <v>14.846315968127618</v>
      </c>
      <c r="F31" s="25">
        <f t="shared" si="0"/>
        <v>15.593772300809114</v>
      </c>
      <c r="G31" s="25">
        <f t="shared" si="0"/>
        <v>15.875132539180674</v>
      </c>
      <c r="H31" s="25">
        <f t="shared" si="0"/>
        <v>15.292031177470491</v>
      </c>
      <c r="I31" s="25">
        <f t="shared" si="0"/>
        <v>14.282902367582004</v>
      </c>
      <c r="J31" s="25">
        <f t="shared" si="0"/>
        <v>14.542985392016893</v>
      </c>
      <c r="K31" s="25">
        <f t="shared" si="0"/>
        <v>14.972978746633254</v>
      </c>
      <c r="L31" s="25">
        <f t="shared" si="0"/>
        <v>15.189104237059757</v>
      </c>
      <c r="M31" s="25">
        <f t="shared" si="0"/>
        <v>15.203209685095905</v>
      </c>
      <c r="N31" s="25">
        <f t="shared" si="0"/>
        <v>15.441434508084036</v>
      </c>
      <c r="O31" s="25">
        <f t="shared" si="0"/>
        <v>15.659045530366305</v>
      </c>
      <c r="P31" s="25">
        <f t="shared" si="0"/>
        <v>15.494976541385753</v>
      </c>
      <c r="Q31" s="25">
        <f t="shared" si="0"/>
        <v>15.284859448273336</v>
      </c>
      <c r="R31" s="25">
        <f t="shared" si="0"/>
        <v>15.103856379618817</v>
      </c>
      <c r="S31" s="25">
        <f t="shared" si="0"/>
        <v>15.782713223233692</v>
      </c>
      <c r="T31" s="25">
        <f t="shared" si="0"/>
        <v>13.494203636142002</v>
      </c>
      <c r="U31" s="25">
        <f t="shared" si="0"/>
        <v>15.01037146662676</v>
      </c>
      <c r="V31" s="25">
        <f t="shared" si="0"/>
        <v>15.276938042811429</v>
      </c>
      <c r="W31" s="25">
        <f t="shared" si="0"/>
        <v>14.75459522717725</v>
      </c>
      <c r="X31" s="25">
        <f t="shared" si="0"/>
        <v>15.182015467588577</v>
      </c>
      <c r="Y31" s="25">
        <f t="shared" si="0"/>
        <v>15.313088670031673</v>
      </c>
      <c r="Z31" s="25">
        <f t="shared" si="0"/>
        <v>15.88496070177151</v>
      </c>
      <c r="AA31" s="25">
        <f t="shared" si="0"/>
        <v>15.276662655076741</v>
      </c>
      <c r="AB31" s="25">
        <f t="shared" si="0"/>
        <v>16.215424836957762</v>
      </c>
      <c r="AC31" s="25">
        <f t="shared" si="0"/>
        <v>15.339792226083134</v>
      </c>
      <c r="AD31" s="25"/>
      <c r="AE31" s="25"/>
      <c r="AF31" s="26"/>
    </row>
    <row r="32" spans="1:32" ht="15.75">
      <c r="A32" s="27"/>
      <c r="B32" s="28"/>
      <c r="C32" s="28"/>
      <c r="D32" s="28"/>
      <c r="E32" s="28"/>
      <c r="F32" s="28"/>
      <c r="G32" s="28"/>
      <c r="H32" s="28"/>
      <c r="I32" s="28"/>
      <c r="J32" s="28"/>
      <c r="K32" s="28"/>
      <c r="L32" s="28"/>
      <c r="M32" s="28"/>
      <c r="N32" s="28"/>
      <c r="O32" s="28"/>
      <c r="P32" s="28"/>
      <c r="Q32" s="28"/>
      <c r="R32" s="28"/>
      <c r="S32" s="28"/>
      <c r="T32" s="28"/>
      <c r="U32" s="28"/>
      <c r="V32" s="28"/>
      <c r="W32" s="28"/>
      <c r="X32" s="28"/>
      <c r="Y32" s="28"/>
      <c r="Z32" s="28"/>
      <c r="AA32" s="28"/>
      <c r="AB32" s="28"/>
      <c r="AC32" s="28"/>
      <c r="AD32" s="28"/>
      <c r="AE32" s="28"/>
      <c r="AF32" s="29"/>
    </row>
    <row r="33" spans="1:32" ht="15.75">
      <c r="A33" s="27"/>
      <c r="B33" s="28"/>
      <c r="C33" s="28"/>
      <c r="D33" s="28"/>
      <c r="E33" s="28"/>
      <c r="F33" s="28"/>
      <c r="G33" s="28"/>
      <c r="H33" s="28"/>
      <c r="I33" s="28"/>
      <c r="J33" s="28"/>
      <c r="K33" s="28"/>
      <c r="L33" s="28"/>
      <c r="M33" s="28"/>
      <c r="N33" s="28"/>
      <c r="O33" s="28"/>
      <c r="P33" s="28"/>
      <c r="Q33" s="28"/>
      <c r="R33" s="28"/>
      <c r="S33" s="28"/>
      <c r="T33" s="28"/>
      <c r="U33" s="28"/>
      <c r="V33" s="28"/>
      <c r="W33" s="28"/>
      <c r="X33" s="28"/>
      <c r="Y33" s="28"/>
      <c r="Z33" s="28"/>
      <c r="AA33" s="28"/>
      <c r="AB33" s="28"/>
      <c r="AC33" s="28"/>
      <c r="AD33" s="28"/>
      <c r="AE33" s="28"/>
      <c r="AF33" s="29"/>
    </row>
    <row r="34" spans="1:32" ht="15.75">
      <c r="A34" s="24" t="s">
        <v>5</v>
      </c>
      <c r="B34" s="28"/>
      <c r="C34" s="28"/>
      <c r="D34" s="28"/>
      <c r="E34" s="28"/>
      <c r="F34" s="28"/>
      <c r="G34" s="28"/>
      <c r="H34" s="28"/>
      <c r="I34" s="28"/>
      <c r="J34" s="28"/>
      <c r="K34" s="28"/>
      <c r="L34" s="28"/>
      <c r="M34" s="28"/>
      <c r="N34" s="28"/>
      <c r="O34" s="28"/>
      <c r="P34" s="28"/>
      <c r="Q34" s="28"/>
      <c r="R34" s="28"/>
      <c r="S34" s="28"/>
      <c r="T34" s="28"/>
      <c r="U34" s="28"/>
      <c r="V34" s="28"/>
      <c r="W34" s="28"/>
      <c r="X34" s="28"/>
      <c r="Y34" s="28"/>
      <c r="Z34" s="28"/>
      <c r="AA34" s="28"/>
      <c r="AB34" s="28"/>
      <c r="AC34" s="28"/>
      <c r="AD34" s="28"/>
      <c r="AE34" s="28"/>
      <c r="AF34" s="29"/>
    </row>
    <row r="35" spans="1:32" ht="15.75">
      <c r="A35" s="24" t="s">
        <v>4</v>
      </c>
      <c r="B35" s="25">
        <f t="shared" ref="B35:AC35" si="1">MAX(B4:B27)</f>
        <v>16.426526687894238</v>
      </c>
      <c r="C35" s="25">
        <f t="shared" si="1"/>
        <v>16.828312239788247</v>
      </c>
      <c r="D35" s="25">
        <f t="shared" si="1"/>
        <v>15.133859044999479</v>
      </c>
      <c r="E35" s="25">
        <f t="shared" si="1"/>
        <v>17.382497575917846</v>
      </c>
      <c r="F35" s="25">
        <f t="shared" si="1"/>
        <v>16.718570869997503</v>
      </c>
      <c r="G35" s="25">
        <f t="shared" si="1"/>
        <v>18.091447410289835</v>
      </c>
      <c r="H35" s="25">
        <f t="shared" si="1"/>
        <v>16.215161286301193</v>
      </c>
      <c r="I35" s="25">
        <f t="shared" si="1"/>
        <v>16.178992590300311</v>
      </c>
      <c r="J35" s="25">
        <f t="shared" si="1"/>
        <v>16.503235720976949</v>
      </c>
      <c r="K35" s="25">
        <f t="shared" si="1"/>
        <v>17.024293713147966</v>
      </c>
      <c r="L35" s="25">
        <f t="shared" si="1"/>
        <v>16.353136173312485</v>
      </c>
      <c r="M35" s="25">
        <f t="shared" si="1"/>
        <v>16.712982434857107</v>
      </c>
      <c r="N35" s="25">
        <f t="shared" si="1"/>
        <v>17.813085281671722</v>
      </c>
      <c r="O35" s="25">
        <f t="shared" si="1"/>
        <v>17.742732386877176</v>
      </c>
      <c r="P35" s="25">
        <f t="shared" si="1"/>
        <v>17.087185876112034</v>
      </c>
      <c r="Q35" s="25">
        <f t="shared" si="1"/>
        <v>17.871217436309049</v>
      </c>
      <c r="R35" s="25">
        <f t="shared" si="1"/>
        <v>16.812310360878815</v>
      </c>
      <c r="S35" s="25">
        <f t="shared" si="1"/>
        <v>17.612059835270891</v>
      </c>
      <c r="T35" s="25">
        <f t="shared" si="1"/>
        <v>13.907634478686079</v>
      </c>
      <c r="U35" s="25">
        <f t="shared" si="1"/>
        <v>16.451847289598593</v>
      </c>
      <c r="V35" s="25">
        <f t="shared" si="1"/>
        <v>16.984039370408762</v>
      </c>
      <c r="W35" s="25">
        <f t="shared" si="1"/>
        <v>15.720212796132573</v>
      </c>
      <c r="X35" s="25">
        <f t="shared" si="1"/>
        <v>16.757102058103897</v>
      </c>
      <c r="Y35" s="25">
        <f t="shared" si="1"/>
        <v>16.967619101067843</v>
      </c>
      <c r="Z35" s="25">
        <f t="shared" si="1"/>
        <v>17.491315928049264</v>
      </c>
      <c r="AA35" s="25">
        <f t="shared" si="1"/>
        <v>16.92107220256301</v>
      </c>
      <c r="AB35" s="25">
        <f t="shared" si="1"/>
        <v>17.010647017941633</v>
      </c>
      <c r="AC35" s="25">
        <f t="shared" si="1"/>
        <v>16.462141989282461</v>
      </c>
      <c r="AD35" s="25"/>
      <c r="AE35" s="25"/>
      <c r="AF35" s="26"/>
    </row>
    <row r="36" spans="1:32" ht="15.75">
      <c r="A36" s="24"/>
      <c r="B36" s="25"/>
      <c r="C36" s="25"/>
      <c r="D36" s="25"/>
      <c r="E36" s="25"/>
      <c r="F36" s="25"/>
      <c r="G36" s="25"/>
      <c r="H36" s="25"/>
      <c r="I36" s="25"/>
      <c r="J36" s="25"/>
      <c r="K36" s="25"/>
      <c r="L36" s="25"/>
      <c r="M36" s="25"/>
      <c r="N36" s="25"/>
      <c r="O36" s="25"/>
      <c r="P36" s="25"/>
      <c r="Q36" s="25"/>
      <c r="R36" s="25"/>
      <c r="S36" s="25"/>
      <c r="T36" s="25"/>
      <c r="U36" s="25"/>
      <c r="V36" s="25"/>
      <c r="W36" s="25"/>
      <c r="X36" s="25"/>
      <c r="Y36" s="25"/>
      <c r="Z36" s="25"/>
      <c r="AA36" s="25"/>
      <c r="AB36" s="25"/>
      <c r="AC36" s="25"/>
      <c r="AD36" s="25"/>
      <c r="AE36" s="25"/>
      <c r="AF36" s="26"/>
    </row>
    <row r="37" spans="1:32" ht="15.75">
      <c r="A37" s="27"/>
      <c r="B37" s="28"/>
      <c r="C37" s="28"/>
      <c r="D37" s="28"/>
      <c r="E37" s="28"/>
      <c r="F37" s="28"/>
      <c r="G37" s="28"/>
      <c r="H37" s="28"/>
      <c r="I37" s="28"/>
      <c r="J37" s="28"/>
      <c r="K37" s="28"/>
      <c r="L37" s="28"/>
      <c r="M37" s="28"/>
      <c r="N37" s="28"/>
      <c r="O37" s="28"/>
      <c r="P37" s="28"/>
      <c r="Q37" s="28"/>
      <c r="R37" s="28"/>
      <c r="S37" s="28"/>
      <c r="T37" s="28"/>
      <c r="U37" s="28"/>
      <c r="V37" s="28"/>
      <c r="W37" s="28"/>
      <c r="X37" s="28"/>
      <c r="Y37" s="28"/>
      <c r="Z37" s="28"/>
      <c r="AA37" s="28"/>
      <c r="AB37" s="28"/>
      <c r="AC37" s="28"/>
      <c r="AD37" s="28"/>
      <c r="AE37" s="28"/>
      <c r="AF37" s="29"/>
    </row>
    <row r="38" spans="1:32" ht="15.75">
      <c r="A38" s="24" t="s">
        <v>6</v>
      </c>
      <c r="B38" s="28"/>
      <c r="C38" s="28"/>
      <c r="D38" s="28"/>
      <c r="E38" s="28"/>
      <c r="F38" s="28"/>
      <c r="G38" s="28"/>
      <c r="H38" s="28"/>
      <c r="I38" s="28"/>
      <c r="J38" s="28"/>
      <c r="K38" s="28"/>
      <c r="L38" s="28"/>
      <c r="M38" s="28"/>
      <c r="N38" s="28"/>
      <c r="O38" s="28"/>
      <c r="P38" s="28"/>
      <c r="Q38" s="28"/>
      <c r="R38" s="28"/>
      <c r="S38" s="28"/>
      <c r="T38" s="28"/>
      <c r="U38" s="28"/>
      <c r="V38" s="28"/>
      <c r="W38" s="28"/>
      <c r="X38" s="28"/>
      <c r="Y38" s="28"/>
      <c r="Z38" s="28"/>
      <c r="AA38" s="28"/>
      <c r="AB38" s="28"/>
      <c r="AC38" s="28"/>
      <c r="AD38" s="28"/>
      <c r="AE38" s="28"/>
      <c r="AF38" s="29"/>
    </row>
    <row r="39" spans="1:32" ht="15.75">
      <c r="A39" s="24" t="s">
        <v>4</v>
      </c>
      <c r="B39" s="25">
        <f t="shared" ref="B39:AC39" si="2">MIN(B4:B27)</f>
        <v>13.609804429718304</v>
      </c>
      <c r="C39" s="25">
        <f t="shared" si="2"/>
        <v>13.696148479138206</v>
      </c>
      <c r="D39" s="25">
        <f t="shared" si="2"/>
        <v>13.426413998005247</v>
      </c>
      <c r="E39" s="25">
        <f t="shared" si="2"/>
        <v>13.729079285725826</v>
      </c>
      <c r="F39" s="25">
        <f t="shared" si="2"/>
        <v>13.451114292897479</v>
      </c>
      <c r="G39" s="25">
        <f t="shared" si="2"/>
        <v>14.301836022282176</v>
      </c>
      <c r="H39" s="25">
        <f t="shared" si="2"/>
        <v>14.139449607818927</v>
      </c>
      <c r="I39" s="25">
        <f t="shared" si="2"/>
        <v>12.538137300903223</v>
      </c>
      <c r="J39" s="25">
        <f t="shared" si="2"/>
        <v>13.008620274087074</v>
      </c>
      <c r="K39" s="25">
        <f t="shared" si="2"/>
        <v>13.540085940522543</v>
      </c>
      <c r="L39" s="25">
        <f t="shared" si="2"/>
        <v>13.113364085376379</v>
      </c>
      <c r="M39" s="25">
        <f t="shared" si="2"/>
        <v>14.080088639741129</v>
      </c>
      <c r="N39" s="25">
        <f t="shared" si="2"/>
        <v>14.375011528900011</v>
      </c>
      <c r="O39" s="25">
        <f t="shared" si="2"/>
        <v>14.259593641703919</v>
      </c>
      <c r="P39" s="25">
        <f t="shared" si="2"/>
        <v>14.086044497831015</v>
      </c>
      <c r="Q39" s="25">
        <f t="shared" si="2"/>
        <v>13.863643104675926</v>
      </c>
      <c r="R39" s="25">
        <f t="shared" si="2"/>
        <v>13.561656546836959</v>
      </c>
      <c r="S39" s="25">
        <f t="shared" si="2"/>
        <v>13.77663213830281</v>
      </c>
      <c r="T39" s="25">
        <f t="shared" si="2"/>
        <v>13.06965851397425</v>
      </c>
      <c r="U39" s="25">
        <f t="shared" si="2"/>
        <v>13.729087316989659</v>
      </c>
      <c r="V39" s="25">
        <f t="shared" si="2"/>
        <v>14.207470083006331</v>
      </c>
      <c r="W39" s="25">
        <f t="shared" si="2"/>
        <v>14.163290914753276</v>
      </c>
      <c r="X39" s="25">
        <f t="shared" si="2"/>
        <v>13.695163739187057</v>
      </c>
      <c r="Y39" s="25">
        <f t="shared" si="2"/>
        <v>13.843378760178823</v>
      </c>
      <c r="Z39" s="25">
        <f t="shared" si="2"/>
        <v>14.724910359100663</v>
      </c>
      <c r="AA39" s="25">
        <f t="shared" si="2"/>
        <v>13.851303626653751</v>
      </c>
      <c r="AB39" s="25">
        <f t="shared" si="2"/>
        <v>15.358999382743562</v>
      </c>
      <c r="AC39" s="25">
        <f t="shared" si="2"/>
        <v>13.456523387287408</v>
      </c>
      <c r="AD39" s="25"/>
      <c r="AE39" s="25"/>
      <c r="AF39" s="26"/>
    </row>
    <row r="40" spans="1:32" ht="15.75">
      <c r="A40" s="24"/>
      <c r="B40" s="25"/>
      <c r="C40" s="25"/>
      <c r="D40" s="25"/>
      <c r="E40" s="25"/>
      <c r="F40" s="25"/>
      <c r="G40" s="25"/>
      <c r="H40" s="25"/>
      <c r="I40" s="25"/>
      <c r="J40" s="25"/>
      <c r="K40" s="25"/>
      <c r="L40" s="25"/>
      <c r="M40" s="25"/>
      <c r="N40" s="25"/>
      <c r="O40" s="25"/>
      <c r="P40" s="25"/>
      <c r="Q40" s="25"/>
      <c r="R40" s="25"/>
      <c r="S40" s="25"/>
      <c r="T40" s="25"/>
      <c r="U40" s="25"/>
      <c r="V40" s="25"/>
      <c r="W40" s="25"/>
      <c r="X40" s="25"/>
      <c r="Y40" s="25"/>
      <c r="Z40" s="25"/>
      <c r="AA40" s="25"/>
      <c r="AB40" s="25"/>
      <c r="AC40" s="25"/>
      <c r="AD40" s="25"/>
      <c r="AE40" s="25"/>
      <c r="AF40" s="26"/>
    </row>
    <row r="41" spans="1:32" ht="15.75">
      <c r="A41" s="27"/>
      <c r="B41" s="28"/>
      <c r="C41" s="28"/>
      <c r="D41" s="28"/>
      <c r="E41" s="28"/>
      <c r="F41" s="28"/>
      <c r="G41" s="28"/>
      <c r="H41" s="28"/>
      <c r="I41" s="28"/>
      <c r="J41" s="28"/>
      <c r="K41" s="28"/>
      <c r="L41" s="28"/>
      <c r="M41" s="28"/>
      <c r="N41" s="28"/>
      <c r="O41" s="28"/>
      <c r="P41" s="28"/>
      <c r="Q41" s="28"/>
      <c r="R41" s="28"/>
      <c r="S41" s="28"/>
      <c r="T41" s="28"/>
      <c r="U41" s="28"/>
      <c r="V41" s="28"/>
      <c r="W41" s="28"/>
      <c r="X41" s="28"/>
      <c r="Y41" s="28"/>
      <c r="Z41" s="28"/>
      <c r="AA41" s="28"/>
      <c r="AB41" s="28"/>
      <c r="AC41" s="28"/>
      <c r="AD41" s="28"/>
      <c r="AE41" s="28"/>
      <c r="AF41" s="29"/>
    </row>
    <row r="42" spans="1:32" ht="15.75">
      <c r="A42" s="24" t="s">
        <v>7</v>
      </c>
      <c r="B42" s="28"/>
      <c r="C42" s="28"/>
      <c r="D42" s="28"/>
      <c r="E42" s="28"/>
      <c r="F42" s="28"/>
      <c r="G42" s="28"/>
      <c r="H42" s="28"/>
      <c r="I42" s="28"/>
      <c r="J42" s="28"/>
      <c r="K42" s="28"/>
      <c r="L42" s="28"/>
      <c r="M42" s="28"/>
      <c r="N42" s="28"/>
      <c r="O42" s="28"/>
      <c r="P42" s="28"/>
      <c r="Q42" s="28"/>
      <c r="R42" s="28"/>
      <c r="S42" s="28"/>
      <c r="T42" s="28"/>
      <c r="U42" s="28"/>
      <c r="V42" s="28"/>
      <c r="W42" s="28"/>
      <c r="X42" s="28"/>
      <c r="Y42" s="28"/>
      <c r="Z42" s="28"/>
      <c r="AA42" s="28"/>
      <c r="AB42" s="28"/>
      <c r="AC42" s="28"/>
      <c r="AD42" s="28"/>
      <c r="AE42" s="28"/>
      <c r="AF42" s="29"/>
    </row>
    <row r="43" spans="1:32" ht="15.75">
      <c r="A43" s="24" t="s">
        <v>4</v>
      </c>
      <c r="B43" s="25">
        <f t="shared" ref="B43:AC43" si="3">B35-B39</f>
        <v>2.8167222581759344</v>
      </c>
      <c r="C43" s="25">
        <f t="shared" si="3"/>
        <v>3.132163760650041</v>
      </c>
      <c r="D43" s="25">
        <f t="shared" si="3"/>
        <v>1.7074450469942324</v>
      </c>
      <c r="E43" s="25">
        <f t="shared" si="3"/>
        <v>3.65341829019202</v>
      </c>
      <c r="F43" s="25">
        <f t="shared" si="3"/>
        <v>3.2674565771000239</v>
      </c>
      <c r="G43" s="25">
        <f t="shared" si="3"/>
        <v>3.7896113880076587</v>
      </c>
      <c r="H43" s="25">
        <f t="shared" si="3"/>
        <v>2.075711678482266</v>
      </c>
      <c r="I43" s="25">
        <f t="shared" si="3"/>
        <v>3.6408552893970878</v>
      </c>
      <c r="J43" s="25">
        <f t="shared" si="3"/>
        <v>3.4946154468898758</v>
      </c>
      <c r="K43" s="25">
        <f t="shared" si="3"/>
        <v>3.4842077726254228</v>
      </c>
      <c r="L43" s="25">
        <f t="shared" si="3"/>
        <v>3.2397720879361067</v>
      </c>
      <c r="M43" s="25">
        <f t="shared" si="3"/>
        <v>2.6328937951159777</v>
      </c>
      <c r="N43" s="25">
        <f t="shared" si="3"/>
        <v>3.4380737527717109</v>
      </c>
      <c r="O43" s="25">
        <f t="shared" si="3"/>
        <v>3.4831387451732567</v>
      </c>
      <c r="P43" s="25">
        <f t="shared" si="3"/>
        <v>3.0011413782810195</v>
      </c>
      <c r="Q43" s="25">
        <f t="shared" si="3"/>
        <v>4.0075743316331227</v>
      </c>
      <c r="R43" s="25">
        <f t="shared" si="3"/>
        <v>3.2506538140418559</v>
      </c>
      <c r="S43" s="25">
        <f t="shared" si="3"/>
        <v>3.8354276969680807</v>
      </c>
      <c r="T43" s="25">
        <f t="shared" si="3"/>
        <v>0.83797596471182878</v>
      </c>
      <c r="U43" s="25">
        <f t="shared" si="3"/>
        <v>2.7227599726089338</v>
      </c>
      <c r="V43" s="25">
        <f t="shared" si="3"/>
        <v>2.776569287402431</v>
      </c>
      <c r="W43" s="25">
        <f t="shared" si="3"/>
        <v>1.5569218813792975</v>
      </c>
      <c r="X43" s="25">
        <f t="shared" si="3"/>
        <v>3.0619383189168392</v>
      </c>
      <c r="Y43" s="25">
        <f t="shared" si="3"/>
        <v>3.1242403408890205</v>
      </c>
      <c r="Z43" s="25">
        <f t="shared" si="3"/>
        <v>2.7664055689486009</v>
      </c>
      <c r="AA43" s="25">
        <f t="shared" si="3"/>
        <v>3.0697685759092597</v>
      </c>
      <c r="AB43" s="25">
        <f t="shared" si="3"/>
        <v>1.6516476351980707</v>
      </c>
      <c r="AC43" s="25">
        <f t="shared" si="3"/>
        <v>3.005618601995053</v>
      </c>
      <c r="AD43" s="25"/>
      <c r="AE43" s="25"/>
      <c r="AF43" s="26"/>
    </row>
    <row r="44" spans="1:32" ht="15.75">
      <c r="A44" s="24"/>
      <c r="B44" s="25"/>
      <c r="C44" s="25"/>
      <c r="D44" s="25"/>
      <c r="E44" s="25"/>
      <c r="F44" s="25"/>
      <c r="G44" s="25"/>
      <c r="H44" s="25"/>
      <c r="I44" s="25"/>
      <c r="J44" s="25"/>
      <c r="K44" s="25"/>
      <c r="L44" s="25"/>
      <c r="M44" s="25"/>
      <c r="N44" s="25"/>
      <c r="O44" s="25"/>
      <c r="P44" s="25"/>
      <c r="Q44" s="25"/>
      <c r="R44" s="25"/>
      <c r="S44" s="25"/>
      <c r="T44" s="25"/>
      <c r="U44" s="25"/>
      <c r="V44" s="25"/>
      <c r="W44" s="25"/>
      <c r="X44" s="25"/>
      <c r="Y44" s="25"/>
      <c r="Z44" s="25"/>
      <c r="AA44" s="25"/>
      <c r="AB44" s="25"/>
      <c r="AC44" s="25"/>
      <c r="AD44" s="25"/>
      <c r="AE44" s="25"/>
      <c r="AF44" s="26"/>
    </row>
    <row r="45" spans="1:32" ht="15.75">
      <c r="A45" s="22"/>
      <c r="B45" s="30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23"/>
    </row>
    <row r="46" spans="1:32" ht="15.75">
      <c r="A46" s="31"/>
      <c r="B46" s="30"/>
      <c r="C46" s="3"/>
      <c r="D46" s="3"/>
      <c r="E46" s="3"/>
      <c r="F46" s="3"/>
      <c r="G46" s="3"/>
      <c r="H46" s="32" t="s">
        <v>3</v>
      </c>
      <c r="I46" s="30"/>
      <c r="J46" s="33"/>
      <c r="K46" s="34" t="s">
        <v>5</v>
      </c>
      <c r="L46" s="33"/>
      <c r="M46" s="33"/>
      <c r="N46" s="34" t="s">
        <v>6</v>
      </c>
      <c r="O46" s="33"/>
      <c r="P46" s="33"/>
      <c r="Q46" s="34" t="s">
        <v>7</v>
      </c>
      <c r="R46" s="30"/>
      <c r="S46" s="30"/>
      <c r="T46" s="33" t="s">
        <v>3</v>
      </c>
      <c r="U46" s="33"/>
      <c r="V46" s="33" t="s">
        <v>3</v>
      </c>
      <c r="W46" s="33"/>
      <c r="X46" s="33" t="s">
        <v>8</v>
      </c>
      <c r="Y46" s="3"/>
      <c r="Z46" s="3"/>
      <c r="AA46" s="3"/>
      <c r="AB46" s="3"/>
      <c r="AC46" s="3"/>
      <c r="AD46" s="3"/>
      <c r="AE46" s="3"/>
      <c r="AF46" s="23"/>
    </row>
    <row r="47" spans="1:32" ht="15.75">
      <c r="A47" s="31"/>
      <c r="B47" s="30"/>
      <c r="C47" s="3"/>
      <c r="D47" s="3"/>
      <c r="E47" s="3"/>
      <c r="F47" s="3"/>
      <c r="G47" s="3"/>
      <c r="H47" s="35" t="s">
        <v>9</v>
      </c>
      <c r="I47" s="30"/>
      <c r="J47" s="33"/>
      <c r="K47" s="33" t="s">
        <v>9</v>
      </c>
      <c r="L47" s="33"/>
      <c r="M47" s="33"/>
      <c r="N47" s="33" t="s">
        <v>9</v>
      </c>
      <c r="O47" s="33"/>
      <c r="P47" s="33"/>
      <c r="Q47" s="33" t="s">
        <v>9</v>
      </c>
      <c r="R47" s="30"/>
      <c r="S47" s="30"/>
      <c r="T47" s="33" t="s">
        <v>10</v>
      </c>
      <c r="U47" s="33"/>
      <c r="V47" s="33" t="s">
        <v>11</v>
      </c>
      <c r="W47" s="33"/>
      <c r="X47" s="33" t="s">
        <v>12</v>
      </c>
      <c r="Y47" s="3"/>
      <c r="Z47" s="3"/>
      <c r="AA47" s="3"/>
      <c r="AB47" s="3"/>
      <c r="AC47" s="3"/>
      <c r="AD47" s="3"/>
      <c r="AE47" s="3"/>
      <c r="AF47" s="23"/>
    </row>
    <row r="48" spans="1:32" ht="15.75">
      <c r="A48" s="31"/>
      <c r="B48" s="30"/>
      <c r="C48" s="3"/>
      <c r="D48" s="3"/>
      <c r="E48" s="3"/>
      <c r="F48" s="3"/>
      <c r="G48" s="3"/>
      <c r="H48" s="28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23"/>
    </row>
    <row r="49" spans="1:32" ht="16.5" thickBot="1">
      <c r="A49" s="36"/>
      <c r="B49" s="37"/>
      <c r="C49" s="38"/>
      <c r="D49" s="38"/>
      <c r="E49" s="38"/>
      <c r="F49" s="38"/>
      <c r="G49" s="38"/>
      <c r="H49" s="39">
        <f>AVERAGE(B31:AF31)</f>
        <v>15.186380936917677</v>
      </c>
      <c r="I49" s="38"/>
      <c r="J49" s="40"/>
      <c r="K49" s="39">
        <f>MAX(B35:AF35)</f>
        <v>18.091447410289835</v>
      </c>
      <c r="L49" s="40"/>
      <c r="M49" s="40"/>
      <c r="N49" s="39">
        <f>MIN(B39:AF39)</f>
        <v>12.538137300903223</v>
      </c>
      <c r="O49" s="40"/>
      <c r="P49" s="40"/>
      <c r="Q49" s="39">
        <f>K49-N49</f>
        <v>5.5533101093866115</v>
      </c>
      <c r="R49" s="38"/>
      <c r="S49" s="39"/>
      <c r="T49" s="39">
        <f>AVERAGE(B35:AF35)</f>
        <v>16.756472827026322</v>
      </c>
      <c r="U49" s="39"/>
      <c r="V49" s="39">
        <f>AVERAGE(B39:AF39)</f>
        <v>13.809161067797927</v>
      </c>
      <c r="W49" s="39"/>
      <c r="X49" s="39">
        <f>T49-V49</f>
        <v>2.9473117592283948</v>
      </c>
      <c r="Y49" s="38"/>
      <c r="Z49" s="38"/>
      <c r="AA49" s="38"/>
      <c r="AB49" s="38"/>
      <c r="AC49" s="38"/>
      <c r="AD49" s="38"/>
      <c r="AE49" s="38"/>
      <c r="AF49" s="41"/>
    </row>
    <row r="50" spans="1:32" ht="15.75" thickTop="1">
      <c r="B50" s="42"/>
    </row>
    <row r="51" spans="1:32">
      <c r="B51" s="42"/>
    </row>
    <row r="52" spans="1:32">
      <c r="B52" s="42"/>
    </row>
    <row r="53" spans="1:32">
      <c r="B53" s="42"/>
    </row>
    <row r="54" spans="1:32">
      <c r="B54" s="42"/>
    </row>
    <row r="55" spans="1:32">
      <c r="B55" s="42"/>
    </row>
    <row r="56" spans="1:32">
      <c r="B56" s="42"/>
    </row>
    <row r="57" spans="1:32">
      <c r="B57" s="42"/>
    </row>
    <row r="58" spans="1:32">
      <c r="B58" s="42"/>
    </row>
    <row r="59" spans="1:32">
      <c r="B59" s="42"/>
    </row>
    <row r="60" spans="1:32">
      <c r="B60" s="42"/>
    </row>
    <row r="61" spans="1:32">
      <c r="B61" s="42"/>
    </row>
    <row r="62" spans="1:32">
      <c r="B62" s="42"/>
    </row>
    <row r="63" spans="1:32">
      <c r="B63" s="42"/>
    </row>
    <row r="64" spans="1:32">
      <c r="B64" s="42"/>
    </row>
    <row r="65" spans="2:2">
      <c r="B65" s="42"/>
    </row>
    <row r="66" spans="2:2">
      <c r="B66" s="42"/>
    </row>
    <row r="67" spans="2:2">
      <c r="B67" s="42"/>
    </row>
    <row r="68" spans="2:2">
      <c r="B68" s="42"/>
    </row>
    <row r="69" spans="2:2">
      <c r="B69" s="42"/>
    </row>
    <row r="70" spans="2:2">
      <c r="B70" s="42"/>
    </row>
    <row r="71" spans="2:2">
      <c r="B71" s="42"/>
    </row>
    <row r="72" spans="2:2">
      <c r="B72" s="42"/>
    </row>
    <row r="73" spans="2:2">
      <c r="B73" s="42"/>
    </row>
    <row r="74" spans="2:2">
      <c r="B74" s="42"/>
    </row>
    <row r="75" spans="2:2">
      <c r="B75" s="42"/>
    </row>
    <row r="76" spans="2:2">
      <c r="B76" s="42"/>
    </row>
    <row r="77" spans="2:2">
      <c r="B77" s="42"/>
    </row>
    <row r="78" spans="2:2">
      <c r="B78" s="42"/>
    </row>
    <row r="79" spans="2:2">
      <c r="B79" s="42"/>
    </row>
    <row r="80" spans="2:2">
      <c r="B80" s="42"/>
    </row>
    <row r="81" spans="2:2">
      <c r="B81" s="42"/>
    </row>
    <row r="82" spans="2:2">
      <c r="B82" s="42"/>
    </row>
    <row r="83" spans="2:2">
      <c r="B83" s="42"/>
    </row>
    <row r="84" spans="2:2">
      <c r="B84" s="42"/>
    </row>
    <row r="85" spans="2:2">
      <c r="B85" s="42"/>
    </row>
    <row r="86" spans="2:2">
      <c r="B86" s="42"/>
    </row>
    <row r="87" spans="2:2">
      <c r="B87" s="42"/>
    </row>
    <row r="88" spans="2:2">
      <c r="B88" s="42"/>
    </row>
    <row r="89" spans="2:2">
      <c r="B89" s="42"/>
    </row>
    <row r="90" spans="2:2">
      <c r="B90" s="42"/>
    </row>
    <row r="91" spans="2:2">
      <c r="B91" s="42"/>
    </row>
    <row r="92" spans="2:2">
      <c r="B92" s="42"/>
    </row>
    <row r="93" spans="2:2">
      <c r="B93" s="42"/>
    </row>
    <row r="94" spans="2:2">
      <c r="B94" s="42"/>
    </row>
    <row r="95" spans="2:2">
      <c r="B95" s="42"/>
    </row>
    <row r="96" spans="2:2">
      <c r="B96" s="42"/>
    </row>
    <row r="97" spans="2:2">
      <c r="B97" s="42"/>
    </row>
    <row r="98" spans="2:2">
      <c r="B98" s="42"/>
    </row>
    <row r="99" spans="2:2">
      <c r="B99" s="42"/>
    </row>
    <row r="100" spans="2:2">
      <c r="B100" s="42"/>
    </row>
    <row r="101" spans="2:2">
      <c r="B101" s="42"/>
    </row>
    <row r="102" spans="2:2">
      <c r="B102" s="42"/>
    </row>
    <row r="103" spans="2:2">
      <c r="B103" s="42"/>
    </row>
    <row r="104" spans="2:2">
      <c r="B104" s="42"/>
    </row>
    <row r="105" spans="2:2">
      <c r="B105" s="42"/>
    </row>
    <row r="106" spans="2:2">
      <c r="B106" s="42"/>
    </row>
    <row r="107" spans="2:2">
      <c r="B107" s="42"/>
    </row>
    <row r="108" spans="2:2">
      <c r="B108" s="42"/>
    </row>
    <row r="109" spans="2:2">
      <c r="B109" s="42"/>
    </row>
    <row r="110" spans="2:2">
      <c r="B110" s="42"/>
    </row>
    <row r="111" spans="2:2">
      <c r="B111" s="42"/>
    </row>
    <row r="112" spans="2:2">
      <c r="B112" s="42"/>
    </row>
    <row r="113" spans="2:2">
      <c r="B113" s="42"/>
    </row>
    <row r="114" spans="2:2">
      <c r="B114" s="42"/>
    </row>
    <row r="115" spans="2:2">
      <c r="B115" s="42"/>
    </row>
    <row r="116" spans="2:2">
      <c r="B116" s="42"/>
    </row>
    <row r="117" spans="2:2">
      <c r="B117" s="42"/>
    </row>
    <row r="118" spans="2:2">
      <c r="B118" s="42"/>
    </row>
    <row r="119" spans="2:2">
      <c r="B119" s="42"/>
    </row>
    <row r="120" spans="2:2">
      <c r="B120" s="42"/>
    </row>
    <row r="121" spans="2:2">
      <c r="B121" s="42"/>
    </row>
    <row r="122" spans="2:2">
      <c r="B122" s="42"/>
    </row>
    <row r="123" spans="2:2">
      <c r="B123" s="42"/>
    </row>
    <row r="124" spans="2:2">
      <c r="B124" s="42"/>
    </row>
    <row r="125" spans="2:2">
      <c r="B125" s="42"/>
    </row>
    <row r="126" spans="2:2">
      <c r="B126" s="42"/>
    </row>
    <row r="127" spans="2:2">
      <c r="B127" s="42"/>
    </row>
    <row r="128" spans="2:2">
      <c r="B128" s="42"/>
    </row>
    <row r="129" spans="2:2">
      <c r="B129" s="42"/>
    </row>
    <row r="130" spans="2:2">
      <c r="B130" s="42"/>
    </row>
    <row r="131" spans="2:2">
      <c r="B131" s="42"/>
    </row>
    <row r="132" spans="2:2">
      <c r="B132" s="42"/>
    </row>
    <row r="133" spans="2:2">
      <c r="B133" s="42"/>
    </row>
    <row r="134" spans="2:2">
      <c r="B134" s="42"/>
    </row>
    <row r="135" spans="2:2">
      <c r="B135" s="42"/>
    </row>
    <row r="136" spans="2:2">
      <c r="B136" s="42"/>
    </row>
    <row r="137" spans="2:2">
      <c r="B137" s="42"/>
    </row>
    <row r="138" spans="2:2">
      <c r="B138" s="42"/>
    </row>
    <row r="139" spans="2:2">
      <c r="B139" s="42"/>
    </row>
    <row r="140" spans="2:2">
      <c r="B140" s="42"/>
    </row>
    <row r="141" spans="2:2">
      <c r="B141" s="42"/>
    </row>
    <row r="142" spans="2:2">
      <c r="B142" s="42"/>
    </row>
    <row r="143" spans="2:2">
      <c r="B143" s="42"/>
    </row>
    <row r="144" spans="2:2">
      <c r="B144" s="42"/>
    </row>
    <row r="145" spans="2:2">
      <c r="B145" s="42"/>
    </row>
    <row r="146" spans="2:2">
      <c r="B146" s="42"/>
    </row>
    <row r="147" spans="2:2">
      <c r="B147" s="42"/>
    </row>
    <row r="148" spans="2:2">
      <c r="B148" s="42"/>
    </row>
    <row r="149" spans="2:2">
      <c r="B149" s="42"/>
    </row>
    <row r="150" spans="2:2">
      <c r="B150" s="42"/>
    </row>
    <row r="151" spans="2:2">
      <c r="B151" s="42"/>
    </row>
    <row r="152" spans="2:2">
      <c r="B152" s="42"/>
    </row>
    <row r="153" spans="2:2">
      <c r="B153" s="42"/>
    </row>
    <row r="154" spans="2:2">
      <c r="B154" s="42"/>
    </row>
    <row r="155" spans="2:2">
      <c r="B155" s="42"/>
    </row>
    <row r="156" spans="2:2">
      <c r="B156" s="42"/>
    </row>
    <row r="157" spans="2:2">
      <c r="B157" s="42"/>
    </row>
    <row r="158" spans="2:2">
      <c r="B158" s="42"/>
    </row>
    <row r="159" spans="2:2">
      <c r="B159" s="42"/>
    </row>
    <row r="160" spans="2:2">
      <c r="B160" s="42"/>
    </row>
    <row r="161" spans="2:2">
      <c r="B161" s="42"/>
    </row>
    <row r="162" spans="2:2">
      <c r="B162" s="42"/>
    </row>
    <row r="163" spans="2:2">
      <c r="B163" s="42"/>
    </row>
    <row r="164" spans="2:2">
      <c r="B164" s="42"/>
    </row>
    <row r="165" spans="2:2">
      <c r="B165" s="42"/>
    </row>
    <row r="166" spans="2:2">
      <c r="B166" s="42"/>
    </row>
    <row r="167" spans="2:2">
      <c r="B167" s="42"/>
    </row>
    <row r="168" spans="2:2">
      <c r="B168" s="42"/>
    </row>
    <row r="169" spans="2:2">
      <c r="B169" s="42"/>
    </row>
    <row r="170" spans="2:2">
      <c r="B170" s="42"/>
    </row>
    <row r="171" spans="2:2">
      <c r="B171" s="42"/>
    </row>
    <row r="172" spans="2:2">
      <c r="B172" s="42"/>
    </row>
    <row r="173" spans="2:2">
      <c r="B173" s="42"/>
    </row>
    <row r="174" spans="2:2">
      <c r="B174" s="42"/>
    </row>
    <row r="175" spans="2:2">
      <c r="B175" s="42"/>
    </row>
    <row r="176" spans="2:2">
      <c r="B176" s="42"/>
    </row>
    <row r="177" spans="2:2">
      <c r="B177" s="42"/>
    </row>
    <row r="178" spans="2:2">
      <c r="B178" s="42"/>
    </row>
    <row r="179" spans="2:2">
      <c r="B179" s="42"/>
    </row>
    <row r="180" spans="2:2">
      <c r="B180" s="42"/>
    </row>
    <row r="181" spans="2:2">
      <c r="B181" s="42"/>
    </row>
    <row r="182" spans="2:2">
      <c r="B182" s="42"/>
    </row>
    <row r="183" spans="2:2">
      <c r="B183" s="42"/>
    </row>
    <row r="184" spans="2:2">
      <c r="B184" s="42"/>
    </row>
    <row r="185" spans="2:2">
      <c r="B185" s="42"/>
    </row>
    <row r="186" spans="2:2">
      <c r="B186" s="42"/>
    </row>
    <row r="187" spans="2:2">
      <c r="B187" s="42"/>
    </row>
    <row r="188" spans="2:2">
      <c r="B188" s="42"/>
    </row>
    <row r="189" spans="2:2">
      <c r="B189" s="42"/>
    </row>
    <row r="190" spans="2:2">
      <c r="B190" s="42"/>
    </row>
    <row r="191" spans="2:2">
      <c r="B191" s="42"/>
    </row>
    <row r="192" spans="2:2">
      <c r="B192" s="42"/>
    </row>
    <row r="193" spans="2:2">
      <c r="B193" s="42"/>
    </row>
    <row r="194" spans="2:2">
      <c r="B194" s="42"/>
    </row>
    <row r="195" spans="2:2">
      <c r="B195" s="42"/>
    </row>
    <row r="196" spans="2:2">
      <c r="B196" s="42"/>
    </row>
    <row r="197" spans="2:2">
      <c r="B197" s="42"/>
    </row>
    <row r="198" spans="2:2">
      <c r="B198" s="42"/>
    </row>
    <row r="199" spans="2:2">
      <c r="B199" s="42"/>
    </row>
    <row r="200" spans="2:2">
      <c r="B200" s="42"/>
    </row>
    <row r="201" spans="2:2">
      <c r="B201" s="42"/>
    </row>
    <row r="202" spans="2:2">
      <c r="B202" s="42"/>
    </row>
    <row r="203" spans="2:2">
      <c r="B203" s="42"/>
    </row>
    <row r="204" spans="2:2">
      <c r="B204" s="42"/>
    </row>
    <row r="205" spans="2:2">
      <c r="B205" s="42"/>
    </row>
    <row r="206" spans="2:2">
      <c r="B206" s="42"/>
    </row>
    <row r="207" spans="2:2">
      <c r="B207" s="42"/>
    </row>
    <row r="208" spans="2:2">
      <c r="B208" s="42"/>
    </row>
    <row r="209" spans="2:2">
      <c r="B209" s="42"/>
    </row>
    <row r="210" spans="2:2">
      <c r="B210" s="42"/>
    </row>
    <row r="211" spans="2:2">
      <c r="B211" s="42"/>
    </row>
    <row r="212" spans="2:2">
      <c r="B212" s="42"/>
    </row>
    <row r="213" spans="2:2">
      <c r="B213" s="42"/>
    </row>
    <row r="214" spans="2:2">
      <c r="B214" s="42"/>
    </row>
    <row r="215" spans="2:2">
      <c r="B215" s="42"/>
    </row>
    <row r="216" spans="2:2">
      <c r="B216" s="42"/>
    </row>
    <row r="217" spans="2:2">
      <c r="B217" s="42"/>
    </row>
    <row r="218" spans="2:2">
      <c r="B218" s="42"/>
    </row>
    <row r="219" spans="2:2">
      <c r="B219" s="42"/>
    </row>
    <row r="220" spans="2:2">
      <c r="B220" s="42"/>
    </row>
    <row r="221" spans="2:2">
      <c r="B221" s="42"/>
    </row>
    <row r="222" spans="2:2">
      <c r="B222" s="42"/>
    </row>
    <row r="223" spans="2:2">
      <c r="B223" s="42"/>
    </row>
    <row r="224" spans="2:2">
      <c r="B224" s="42"/>
    </row>
    <row r="225" spans="2:2">
      <c r="B225" s="42"/>
    </row>
    <row r="226" spans="2:2">
      <c r="B226" s="42"/>
    </row>
    <row r="227" spans="2:2">
      <c r="B227" s="42"/>
    </row>
    <row r="228" spans="2:2">
      <c r="B228" s="42"/>
    </row>
    <row r="229" spans="2:2">
      <c r="B229" s="42"/>
    </row>
    <row r="230" spans="2:2">
      <c r="B230" s="42"/>
    </row>
    <row r="231" spans="2:2">
      <c r="B231" s="42"/>
    </row>
    <row r="232" spans="2:2">
      <c r="B232" s="42"/>
    </row>
    <row r="233" spans="2:2">
      <c r="B233" s="42"/>
    </row>
    <row r="234" spans="2:2">
      <c r="B234" s="42"/>
    </row>
    <row r="235" spans="2:2">
      <c r="B235" s="42"/>
    </row>
    <row r="236" spans="2:2">
      <c r="B236" s="42"/>
    </row>
    <row r="237" spans="2:2">
      <c r="B237" s="42"/>
    </row>
    <row r="238" spans="2:2">
      <c r="B238" s="42"/>
    </row>
    <row r="239" spans="2:2">
      <c r="B239" s="42"/>
    </row>
    <row r="240" spans="2:2">
      <c r="B240" s="42"/>
    </row>
    <row r="241" spans="2:2">
      <c r="B241" s="42"/>
    </row>
    <row r="242" spans="2:2">
      <c r="B242" s="42"/>
    </row>
    <row r="243" spans="2:2">
      <c r="B243" s="42"/>
    </row>
    <row r="244" spans="2:2">
      <c r="B244" s="42"/>
    </row>
    <row r="245" spans="2:2">
      <c r="B245" s="42"/>
    </row>
    <row r="246" spans="2:2">
      <c r="B246" s="42"/>
    </row>
    <row r="247" spans="2:2">
      <c r="B247" s="42"/>
    </row>
    <row r="248" spans="2:2">
      <c r="B248" s="42"/>
    </row>
    <row r="249" spans="2:2">
      <c r="B249" s="42"/>
    </row>
    <row r="250" spans="2:2">
      <c r="B250" s="42"/>
    </row>
    <row r="251" spans="2:2">
      <c r="B251" s="42"/>
    </row>
    <row r="252" spans="2:2">
      <c r="B252" s="42"/>
    </row>
    <row r="253" spans="2:2">
      <c r="B253" s="42"/>
    </row>
    <row r="254" spans="2:2">
      <c r="B254" s="42"/>
    </row>
    <row r="255" spans="2:2">
      <c r="B255" s="42"/>
    </row>
    <row r="256" spans="2:2">
      <c r="B256" s="42"/>
    </row>
    <row r="257" spans="2:2">
      <c r="B257" s="42"/>
    </row>
    <row r="258" spans="2:2">
      <c r="B258" s="42"/>
    </row>
    <row r="259" spans="2:2">
      <c r="B259" s="42"/>
    </row>
    <row r="260" spans="2:2">
      <c r="B260" s="42"/>
    </row>
    <row r="261" spans="2:2">
      <c r="B261" s="42"/>
    </row>
    <row r="262" spans="2:2">
      <c r="B262" s="42"/>
    </row>
    <row r="263" spans="2:2">
      <c r="B263" s="42"/>
    </row>
    <row r="264" spans="2:2">
      <c r="B264" s="42"/>
    </row>
    <row r="265" spans="2:2">
      <c r="B265" s="42"/>
    </row>
    <row r="266" spans="2:2">
      <c r="B266" s="42"/>
    </row>
    <row r="267" spans="2:2">
      <c r="B267" s="42"/>
    </row>
    <row r="268" spans="2:2">
      <c r="B268" s="42"/>
    </row>
    <row r="269" spans="2:2">
      <c r="B269" s="42"/>
    </row>
    <row r="270" spans="2:2">
      <c r="B270" s="42"/>
    </row>
    <row r="271" spans="2:2">
      <c r="B271" s="42"/>
    </row>
    <row r="272" spans="2:2">
      <c r="B272" s="42"/>
    </row>
    <row r="273" spans="2:2">
      <c r="B273" s="42"/>
    </row>
    <row r="274" spans="2:2">
      <c r="B274" s="42"/>
    </row>
    <row r="275" spans="2:2">
      <c r="B275" s="42"/>
    </row>
    <row r="276" spans="2:2">
      <c r="B276" s="42"/>
    </row>
    <row r="277" spans="2:2">
      <c r="B277" s="42"/>
    </row>
    <row r="278" spans="2:2">
      <c r="B278" s="42"/>
    </row>
    <row r="279" spans="2:2">
      <c r="B279" s="42"/>
    </row>
    <row r="280" spans="2:2">
      <c r="B280" s="42"/>
    </row>
    <row r="281" spans="2:2">
      <c r="B281" s="42"/>
    </row>
    <row r="282" spans="2:2">
      <c r="B282" s="42"/>
    </row>
    <row r="283" spans="2:2">
      <c r="B283" s="42"/>
    </row>
    <row r="284" spans="2:2">
      <c r="B284" s="42"/>
    </row>
    <row r="285" spans="2:2">
      <c r="B285" s="42"/>
    </row>
    <row r="286" spans="2:2">
      <c r="B286" s="42"/>
    </row>
    <row r="287" spans="2:2">
      <c r="B287" s="42"/>
    </row>
    <row r="288" spans="2:2">
      <c r="B288" s="42"/>
    </row>
    <row r="289" spans="2:2">
      <c r="B289" s="42"/>
    </row>
    <row r="290" spans="2:2">
      <c r="B290" s="42"/>
    </row>
    <row r="291" spans="2:2">
      <c r="B291" s="42"/>
    </row>
    <row r="292" spans="2:2">
      <c r="B292" s="42"/>
    </row>
    <row r="293" spans="2:2">
      <c r="B293" s="42"/>
    </row>
    <row r="294" spans="2:2">
      <c r="B294" s="42"/>
    </row>
    <row r="295" spans="2:2">
      <c r="B295" s="42"/>
    </row>
    <row r="296" spans="2:2">
      <c r="B296" s="42"/>
    </row>
    <row r="297" spans="2:2">
      <c r="B297" s="42"/>
    </row>
    <row r="298" spans="2:2">
      <c r="B298" s="42"/>
    </row>
    <row r="299" spans="2:2">
      <c r="B299" s="42"/>
    </row>
    <row r="300" spans="2:2">
      <c r="B300" s="42"/>
    </row>
    <row r="301" spans="2:2">
      <c r="B301" s="42"/>
    </row>
    <row r="302" spans="2:2">
      <c r="B302" s="42"/>
    </row>
    <row r="303" spans="2:2">
      <c r="B303" s="42"/>
    </row>
    <row r="304" spans="2:2">
      <c r="B304" s="42"/>
    </row>
    <row r="305" spans="2:2">
      <c r="B305" s="42"/>
    </row>
    <row r="306" spans="2:2">
      <c r="B306" s="42"/>
    </row>
    <row r="307" spans="2:2">
      <c r="B307" s="42"/>
    </row>
    <row r="308" spans="2:2">
      <c r="B308" s="42"/>
    </row>
    <row r="309" spans="2:2">
      <c r="B309" s="42"/>
    </row>
    <row r="310" spans="2:2">
      <c r="B310" s="42"/>
    </row>
    <row r="311" spans="2:2">
      <c r="B311" s="42"/>
    </row>
    <row r="312" spans="2:2">
      <c r="B312" s="42"/>
    </row>
    <row r="313" spans="2:2">
      <c r="B313" s="42"/>
    </row>
    <row r="314" spans="2:2">
      <c r="B314" s="42"/>
    </row>
    <row r="315" spans="2:2">
      <c r="B315" s="42"/>
    </row>
    <row r="316" spans="2:2">
      <c r="B316" s="42"/>
    </row>
    <row r="317" spans="2:2">
      <c r="B317" s="42"/>
    </row>
    <row r="318" spans="2:2">
      <c r="B318" s="42"/>
    </row>
    <row r="319" spans="2:2">
      <c r="B319" s="42"/>
    </row>
    <row r="320" spans="2:2">
      <c r="B320" s="42"/>
    </row>
    <row r="321" spans="2:2">
      <c r="B321" s="42"/>
    </row>
    <row r="322" spans="2:2">
      <c r="B322" s="42"/>
    </row>
    <row r="323" spans="2:2">
      <c r="B323" s="42"/>
    </row>
    <row r="324" spans="2:2">
      <c r="B324" s="42"/>
    </row>
    <row r="325" spans="2:2">
      <c r="B325" s="42"/>
    </row>
    <row r="326" spans="2:2">
      <c r="B326" s="42"/>
    </row>
    <row r="327" spans="2:2">
      <c r="B327" s="42"/>
    </row>
    <row r="328" spans="2:2">
      <c r="B328" s="42"/>
    </row>
    <row r="329" spans="2:2">
      <c r="B329" s="42"/>
    </row>
    <row r="330" spans="2:2">
      <c r="B330" s="42"/>
    </row>
    <row r="331" spans="2:2">
      <c r="B331" s="42"/>
    </row>
    <row r="332" spans="2:2">
      <c r="B332" s="42"/>
    </row>
    <row r="333" spans="2:2">
      <c r="B333" s="42"/>
    </row>
    <row r="334" spans="2:2">
      <c r="B334" s="42"/>
    </row>
    <row r="335" spans="2:2">
      <c r="B335" s="42"/>
    </row>
    <row r="336" spans="2:2">
      <c r="B336" s="42"/>
    </row>
    <row r="337" spans="2:2">
      <c r="B337" s="42"/>
    </row>
    <row r="338" spans="2:2">
      <c r="B338" s="42"/>
    </row>
    <row r="339" spans="2:2">
      <c r="B339" s="42"/>
    </row>
    <row r="340" spans="2:2">
      <c r="B340" s="42"/>
    </row>
    <row r="341" spans="2:2">
      <c r="B341" s="42"/>
    </row>
    <row r="342" spans="2:2">
      <c r="B342" s="42"/>
    </row>
    <row r="343" spans="2:2">
      <c r="B343" s="42"/>
    </row>
    <row r="344" spans="2:2">
      <c r="B344" s="42"/>
    </row>
    <row r="345" spans="2:2">
      <c r="B345" s="42"/>
    </row>
    <row r="346" spans="2:2">
      <c r="B346" s="42"/>
    </row>
    <row r="347" spans="2:2">
      <c r="B347" s="42"/>
    </row>
    <row r="348" spans="2:2">
      <c r="B348" s="42"/>
    </row>
    <row r="349" spans="2:2">
      <c r="B349" s="42"/>
    </row>
    <row r="350" spans="2:2">
      <c r="B350" s="42"/>
    </row>
    <row r="351" spans="2:2">
      <c r="B351" s="42"/>
    </row>
    <row r="352" spans="2:2">
      <c r="B352" s="42"/>
    </row>
    <row r="353" spans="2:2">
      <c r="B353" s="42"/>
    </row>
    <row r="354" spans="2:2">
      <c r="B354" s="42"/>
    </row>
    <row r="355" spans="2:2">
      <c r="B355" s="42"/>
    </row>
    <row r="356" spans="2:2">
      <c r="B356" s="42"/>
    </row>
    <row r="357" spans="2:2">
      <c r="B357" s="42"/>
    </row>
    <row r="358" spans="2:2">
      <c r="B358" s="42"/>
    </row>
    <row r="359" spans="2:2">
      <c r="B359" s="42"/>
    </row>
    <row r="360" spans="2:2">
      <c r="B360" s="42"/>
    </row>
    <row r="361" spans="2:2">
      <c r="B361" s="42"/>
    </row>
    <row r="362" spans="2:2">
      <c r="B362" s="42"/>
    </row>
    <row r="363" spans="2:2">
      <c r="B363" s="42"/>
    </row>
    <row r="364" spans="2:2">
      <c r="B364" s="42"/>
    </row>
    <row r="365" spans="2:2">
      <c r="B365" s="42"/>
    </row>
    <row r="366" spans="2:2">
      <c r="B366" s="42"/>
    </row>
    <row r="367" spans="2:2">
      <c r="B367" s="42"/>
    </row>
    <row r="368" spans="2:2">
      <c r="B368" s="42"/>
    </row>
    <row r="369" spans="2:2">
      <c r="B369" s="42"/>
    </row>
    <row r="370" spans="2:2">
      <c r="B370" s="42"/>
    </row>
    <row r="371" spans="2:2">
      <c r="B371" s="42"/>
    </row>
    <row r="372" spans="2:2">
      <c r="B372" s="42"/>
    </row>
    <row r="373" spans="2:2">
      <c r="B373" s="42"/>
    </row>
    <row r="374" spans="2:2">
      <c r="B374" s="42"/>
    </row>
    <row r="375" spans="2:2">
      <c r="B375" s="42"/>
    </row>
    <row r="376" spans="2:2">
      <c r="B376" s="42"/>
    </row>
    <row r="377" spans="2:2">
      <c r="B377" s="42"/>
    </row>
    <row r="378" spans="2:2">
      <c r="B378" s="42"/>
    </row>
    <row r="379" spans="2:2">
      <c r="B379" s="42"/>
    </row>
    <row r="380" spans="2:2">
      <c r="B380" s="42"/>
    </row>
    <row r="381" spans="2:2">
      <c r="B381" s="42"/>
    </row>
    <row r="382" spans="2:2">
      <c r="B382" s="42"/>
    </row>
    <row r="383" spans="2:2">
      <c r="B383" s="42"/>
    </row>
    <row r="384" spans="2:2">
      <c r="B384" s="42"/>
    </row>
    <row r="385" spans="2:2">
      <c r="B385" s="42"/>
    </row>
    <row r="386" spans="2:2">
      <c r="B386" s="42"/>
    </row>
    <row r="387" spans="2:2">
      <c r="B387" s="42"/>
    </row>
    <row r="388" spans="2:2">
      <c r="B388" s="42"/>
    </row>
    <row r="389" spans="2:2">
      <c r="B389" s="42"/>
    </row>
    <row r="390" spans="2:2">
      <c r="B390" s="42"/>
    </row>
    <row r="391" spans="2:2">
      <c r="B391" s="42"/>
    </row>
    <row r="392" spans="2:2">
      <c r="B392" s="42"/>
    </row>
    <row r="393" spans="2:2">
      <c r="B393" s="42"/>
    </row>
    <row r="394" spans="2:2">
      <c r="B394" s="42"/>
    </row>
    <row r="395" spans="2:2">
      <c r="B395" s="42"/>
    </row>
    <row r="396" spans="2:2">
      <c r="B396" s="42"/>
    </row>
    <row r="397" spans="2:2">
      <c r="B397" s="42"/>
    </row>
    <row r="398" spans="2:2">
      <c r="B398" s="42"/>
    </row>
    <row r="399" spans="2:2">
      <c r="B399" s="42"/>
    </row>
    <row r="400" spans="2:2">
      <c r="B400" s="42"/>
    </row>
    <row r="401" spans="2:2">
      <c r="B401" s="42"/>
    </row>
    <row r="402" spans="2:2">
      <c r="B402" s="42"/>
    </row>
    <row r="403" spans="2:2">
      <c r="B403" s="42"/>
    </row>
    <row r="404" spans="2:2">
      <c r="B404" s="42"/>
    </row>
    <row r="405" spans="2:2">
      <c r="B405" s="42"/>
    </row>
    <row r="406" spans="2:2">
      <c r="B406" s="42"/>
    </row>
    <row r="407" spans="2:2">
      <c r="B407" s="42"/>
    </row>
    <row r="408" spans="2:2">
      <c r="B408" s="42"/>
    </row>
    <row r="409" spans="2:2">
      <c r="B409" s="42"/>
    </row>
    <row r="410" spans="2:2">
      <c r="B410" s="42"/>
    </row>
    <row r="411" spans="2:2">
      <c r="B411" s="42"/>
    </row>
    <row r="412" spans="2:2">
      <c r="B412" s="42"/>
    </row>
    <row r="413" spans="2:2">
      <c r="B413" s="42"/>
    </row>
    <row r="414" spans="2:2">
      <c r="B414" s="42"/>
    </row>
    <row r="415" spans="2:2">
      <c r="B415" s="42"/>
    </row>
    <row r="416" spans="2:2">
      <c r="B416" s="42"/>
    </row>
    <row r="417" spans="2:2">
      <c r="B417" s="42"/>
    </row>
    <row r="418" spans="2:2">
      <c r="B418" s="42"/>
    </row>
    <row r="419" spans="2:2">
      <c r="B419" s="42"/>
    </row>
    <row r="420" spans="2:2">
      <c r="B420" s="42"/>
    </row>
    <row r="421" spans="2:2">
      <c r="B421" s="42"/>
    </row>
    <row r="422" spans="2:2">
      <c r="B422" s="42"/>
    </row>
    <row r="423" spans="2:2">
      <c r="B423" s="42"/>
    </row>
    <row r="424" spans="2:2">
      <c r="B424" s="42"/>
    </row>
    <row r="425" spans="2:2">
      <c r="B425" s="42"/>
    </row>
    <row r="426" spans="2:2">
      <c r="B426" s="42"/>
    </row>
    <row r="427" spans="2:2">
      <c r="B427" s="42"/>
    </row>
    <row r="428" spans="2:2">
      <c r="B428" s="42"/>
    </row>
    <row r="429" spans="2:2">
      <c r="B429" s="42"/>
    </row>
    <row r="430" spans="2:2">
      <c r="B430" s="42"/>
    </row>
    <row r="431" spans="2:2">
      <c r="B431" s="42"/>
    </row>
    <row r="432" spans="2:2">
      <c r="B432" s="42"/>
    </row>
    <row r="433" spans="2:2">
      <c r="B433" s="42"/>
    </row>
    <row r="434" spans="2:2">
      <c r="B434" s="42"/>
    </row>
    <row r="435" spans="2:2">
      <c r="B435" s="42"/>
    </row>
    <row r="436" spans="2:2">
      <c r="B436" s="42"/>
    </row>
    <row r="437" spans="2:2">
      <c r="B437" s="42"/>
    </row>
    <row r="438" spans="2:2">
      <c r="B438" s="42"/>
    </row>
    <row r="439" spans="2:2">
      <c r="B439" s="42"/>
    </row>
    <row r="440" spans="2:2">
      <c r="B440" s="42"/>
    </row>
    <row r="441" spans="2:2">
      <c r="B441" s="42"/>
    </row>
    <row r="442" spans="2:2">
      <c r="B442" s="42"/>
    </row>
    <row r="443" spans="2:2">
      <c r="B443" s="42"/>
    </row>
    <row r="444" spans="2:2">
      <c r="B444" s="42"/>
    </row>
    <row r="445" spans="2:2">
      <c r="B445" s="42"/>
    </row>
    <row r="446" spans="2:2">
      <c r="B446" s="42"/>
    </row>
    <row r="447" spans="2:2">
      <c r="B447" s="42"/>
    </row>
    <row r="448" spans="2:2">
      <c r="B448" s="42"/>
    </row>
    <row r="449" spans="2:2">
      <c r="B449" s="42"/>
    </row>
    <row r="450" spans="2:2">
      <c r="B450" s="42"/>
    </row>
    <row r="451" spans="2:2">
      <c r="B451" s="42"/>
    </row>
    <row r="452" spans="2:2">
      <c r="B452" s="42"/>
    </row>
    <row r="453" spans="2:2">
      <c r="B453" s="42"/>
    </row>
    <row r="454" spans="2:2">
      <c r="B454" s="42"/>
    </row>
    <row r="455" spans="2:2">
      <c r="B455" s="42"/>
    </row>
    <row r="456" spans="2:2">
      <c r="B456" s="42"/>
    </row>
    <row r="457" spans="2:2">
      <c r="B457" s="42"/>
    </row>
    <row r="458" spans="2:2">
      <c r="B458" s="42"/>
    </row>
    <row r="459" spans="2:2">
      <c r="B459" s="42"/>
    </row>
    <row r="460" spans="2:2">
      <c r="B460" s="42"/>
    </row>
    <row r="461" spans="2:2">
      <c r="B461" s="42"/>
    </row>
    <row r="462" spans="2:2">
      <c r="B462" s="42"/>
    </row>
    <row r="463" spans="2:2">
      <c r="B463" s="42"/>
    </row>
    <row r="464" spans="2:2">
      <c r="B464" s="42"/>
    </row>
    <row r="465" spans="2:2">
      <c r="B465" s="42"/>
    </row>
    <row r="466" spans="2:2">
      <c r="B466" s="42"/>
    </row>
    <row r="467" spans="2:2">
      <c r="B467" s="42"/>
    </row>
    <row r="468" spans="2:2">
      <c r="B468" s="42"/>
    </row>
    <row r="469" spans="2:2">
      <c r="B469" s="42"/>
    </row>
    <row r="470" spans="2:2">
      <c r="B470" s="42"/>
    </row>
    <row r="471" spans="2:2">
      <c r="B471" s="42"/>
    </row>
    <row r="472" spans="2:2">
      <c r="B472" s="42"/>
    </row>
    <row r="473" spans="2:2">
      <c r="B473" s="42"/>
    </row>
    <row r="474" spans="2:2">
      <c r="B474" s="42"/>
    </row>
    <row r="475" spans="2:2">
      <c r="B475" s="42"/>
    </row>
    <row r="476" spans="2:2">
      <c r="B476" s="42"/>
    </row>
    <row r="477" spans="2:2">
      <c r="B477" s="42"/>
    </row>
    <row r="478" spans="2:2">
      <c r="B478" s="42"/>
    </row>
    <row r="479" spans="2:2">
      <c r="B479" s="42"/>
    </row>
    <row r="480" spans="2:2">
      <c r="B480" s="42"/>
    </row>
    <row r="481" spans="2:2">
      <c r="B481" s="42"/>
    </row>
    <row r="482" spans="2:2">
      <c r="B482" s="42"/>
    </row>
    <row r="483" spans="2:2">
      <c r="B483" s="42"/>
    </row>
    <row r="484" spans="2:2">
      <c r="B484" s="42"/>
    </row>
    <row r="485" spans="2:2">
      <c r="B485" s="42"/>
    </row>
    <row r="486" spans="2:2">
      <c r="B486" s="42"/>
    </row>
    <row r="487" spans="2:2">
      <c r="B487" s="42"/>
    </row>
    <row r="488" spans="2:2">
      <c r="B488" s="42"/>
    </row>
    <row r="489" spans="2:2">
      <c r="B489" s="42"/>
    </row>
    <row r="490" spans="2:2">
      <c r="B490" s="42"/>
    </row>
    <row r="491" spans="2:2">
      <c r="B491" s="42"/>
    </row>
    <row r="492" spans="2:2">
      <c r="B492" s="42"/>
    </row>
    <row r="493" spans="2:2">
      <c r="B493" s="42"/>
    </row>
    <row r="494" spans="2:2">
      <c r="B494" s="42"/>
    </row>
    <row r="495" spans="2:2">
      <c r="B495" s="42"/>
    </row>
    <row r="496" spans="2:2">
      <c r="B496" s="42"/>
    </row>
    <row r="497" spans="2:2">
      <c r="B497" s="42"/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>
  <dimension ref="A1:AF497"/>
  <sheetViews>
    <sheetView zoomScale="70" zoomScaleNormal="70" workbookViewId="0">
      <selection activeCell="B4" sqref="B4:AF9"/>
    </sheetView>
  </sheetViews>
  <sheetFormatPr defaultColWidth="5.7109375" defaultRowHeight="15"/>
  <cols>
    <col min="1" max="1" width="11.5703125" customWidth="1"/>
    <col min="2" max="32" width="7.7109375" style="43" customWidth="1"/>
    <col min="33" max="33" width="12.7109375" customWidth="1"/>
    <col min="257" max="257" width="11.5703125" customWidth="1"/>
    <col min="258" max="288" width="7.7109375" customWidth="1"/>
    <col min="289" max="289" width="12.7109375" customWidth="1"/>
    <col min="513" max="513" width="11.5703125" customWidth="1"/>
    <col min="514" max="544" width="7.7109375" customWidth="1"/>
    <col min="545" max="545" width="12.7109375" customWidth="1"/>
    <col min="769" max="769" width="11.5703125" customWidth="1"/>
    <col min="770" max="800" width="7.7109375" customWidth="1"/>
    <col min="801" max="801" width="12.7109375" customWidth="1"/>
    <col min="1025" max="1025" width="11.5703125" customWidth="1"/>
    <col min="1026" max="1056" width="7.7109375" customWidth="1"/>
    <col min="1057" max="1057" width="12.7109375" customWidth="1"/>
    <col min="1281" max="1281" width="11.5703125" customWidth="1"/>
    <col min="1282" max="1312" width="7.7109375" customWidth="1"/>
    <col min="1313" max="1313" width="12.7109375" customWidth="1"/>
    <col min="1537" max="1537" width="11.5703125" customWidth="1"/>
    <col min="1538" max="1568" width="7.7109375" customWidth="1"/>
    <col min="1569" max="1569" width="12.7109375" customWidth="1"/>
    <col min="1793" max="1793" width="11.5703125" customWidth="1"/>
    <col min="1794" max="1824" width="7.7109375" customWidth="1"/>
    <col min="1825" max="1825" width="12.7109375" customWidth="1"/>
    <col min="2049" max="2049" width="11.5703125" customWidth="1"/>
    <col min="2050" max="2080" width="7.7109375" customWidth="1"/>
    <col min="2081" max="2081" width="12.7109375" customWidth="1"/>
    <col min="2305" max="2305" width="11.5703125" customWidth="1"/>
    <col min="2306" max="2336" width="7.7109375" customWidth="1"/>
    <col min="2337" max="2337" width="12.7109375" customWidth="1"/>
    <col min="2561" max="2561" width="11.5703125" customWidth="1"/>
    <col min="2562" max="2592" width="7.7109375" customWidth="1"/>
    <col min="2593" max="2593" width="12.7109375" customWidth="1"/>
    <col min="2817" max="2817" width="11.5703125" customWidth="1"/>
    <col min="2818" max="2848" width="7.7109375" customWidth="1"/>
    <col min="2849" max="2849" width="12.7109375" customWidth="1"/>
    <col min="3073" max="3073" width="11.5703125" customWidth="1"/>
    <col min="3074" max="3104" width="7.7109375" customWidth="1"/>
    <col min="3105" max="3105" width="12.7109375" customWidth="1"/>
    <col min="3329" max="3329" width="11.5703125" customWidth="1"/>
    <col min="3330" max="3360" width="7.7109375" customWidth="1"/>
    <col min="3361" max="3361" width="12.7109375" customWidth="1"/>
    <col min="3585" max="3585" width="11.5703125" customWidth="1"/>
    <col min="3586" max="3616" width="7.7109375" customWidth="1"/>
    <col min="3617" max="3617" width="12.7109375" customWidth="1"/>
    <col min="3841" max="3841" width="11.5703125" customWidth="1"/>
    <col min="3842" max="3872" width="7.7109375" customWidth="1"/>
    <col min="3873" max="3873" width="12.7109375" customWidth="1"/>
    <col min="4097" max="4097" width="11.5703125" customWidth="1"/>
    <col min="4098" max="4128" width="7.7109375" customWidth="1"/>
    <col min="4129" max="4129" width="12.7109375" customWidth="1"/>
    <col min="4353" max="4353" width="11.5703125" customWidth="1"/>
    <col min="4354" max="4384" width="7.7109375" customWidth="1"/>
    <col min="4385" max="4385" width="12.7109375" customWidth="1"/>
    <col min="4609" max="4609" width="11.5703125" customWidth="1"/>
    <col min="4610" max="4640" width="7.7109375" customWidth="1"/>
    <col min="4641" max="4641" width="12.7109375" customWidth="1"/>
    <col min="4865" max="4865" width="11.5703125" customWidth="1"/>
    <col min="4866" max="4896" width="7.7109375" customWidth="1"/>
    <col min="4897" max="4897" width="12.7109375" customWidth="1"/>
    <col min="5121" max="5121" width="11.5703125" customWidth="1"/>
    <col min="5122" max="5152" width="7.7109375" customWidth="1"/>
    <col min="5153" max="5153" width="12.7109375" customWidth="1"/>
    <col min="5377" max="5377" width="11.5703125" customWidth="1"/>
    <col min="5378" max="5408" width="7.7109375" customWidth="1"/>
    <col min="5409" max="5409" width="12.7109375" customWidth="1"/>
    <col min="5633" max="5633" width="11.5703125" customWidth="1"/>
    <col min="5634" max="5664" width="7.7109375" customWidth="1"/>
    <col min="5665" max="5665" width="12.7109375" customWidth="1"/>
    <col min="5889" max="5889" width="11.5703125" customWidth="1"/>
    <col min="5890" max="5920" width="7.7109375" customWidth="1"/>
    <col min="5921" max="5921" width="12.7109375" customWidth="1"/>
    <col min="6145" max="6145" width="11.5703125" customWidth="1"/>
    <col min="6146" max="6176" width="7.7109375" customWidth="1"/>
    <col min="6177" max="6177" width="12.7109375" customWidth="1"/>
    <col min="6401" max="6401" width="11.5703125" customWidth="1"/>
    <col min="6402" max="6432" width="7.7109375" customWidth="1"/>
    <col min="6433" max="6433" width="12.7109375" customWidth="1"/>
    <col min="6657" max="6657" width="11.5703125" customWidth="1"/>
    <col min="6658" max="6688" width="7.7109375" customWidth="1"/>
    <col min="6689" max="6689" width="12.7109375" customWidth="1"/>
    <col min="6913" max="6913" width="11.5703125" customWidth="1"/>
    <col min="6914" max="6944" width="7.7109375" customWidth="1"/>
    <col min="6945" max="6945" width="12.7109375" customWidth="1"/>
    <col min="7169" max="7169" width="11.5703125" customWidth="1"/>
    <col min="7170" max="7200" width="7.7109375" customWidth="1"/>
    <col min="7201" max="7201" width="12.7109375" customWidth="1"/>
    <col min="7425" max="7425" width="11.5703125" customWidth="1"/>
    <col min="7426" max="7456" width="7.7109375" customWidth="1"/>
    <col min="7457" max="7457" width="12.7109375" customWidth="1"/>
    <col min="7681" max="7681" width="11.5703125" customWidth="1"/>
    <col min="7682" max="7712" width="7.7109375" customWidth="1"/>
    <col min="7713" max="7713" width="12.7109375" customWidth="1"/>
    <col min="7937" max="7937" width="11.5703125" customWidth="1"/>
    <col min="7938" max="7968" width="7.7109375" customWidth="1"/>
    <col min="7969" max="7969" width="12.7109375" customWidth="1"/>
    <col min="8193" max="8193" width="11.5703125" customWidth="1"/>
    <col min="8194" max="8224" width="7.7109375" customWidth="1"/>
    <col min="8225" max="8225" width="12.7109375" customWidth="1"/>
    <col min="8449" max="8449" width="11.5703125" customWidth="1"/>
    <col min="8450" max="8480" width="7.7109375" customWidth="1"/>
    <col min="8481" max="8481" width="12.7109375" customWidth="1"/>
    <col min="8705" max="8705" width="11.5703125" customWidth="1"/>
    <col min="8706" max="8736" width="7.7109375" customWidth="1"/>
    <col min="8737" max="8737" width="12.7109375" customWidth="1"/>
    <col min="8961" max="8961" width="11.5703125" customWidth="1"/>
    <col min="8962" max="8992" width="7.7109375" customWidth="1"/>
    <col min="8993" max="8993" width="12.7109375" customWidth="1"/>
    <col min="9217" max="9217" width="11.5703125" customWidth="1"/>
    <col min="9218" max="9248" width="7.7109375" customWidth="1"/>
    <col min="9249" max="9249" width="12.7109375" customWidth="1"/>
    <col min="9473" max="9473" width="11.5703125" customWidth="1"/>
    <col min="9474" max="9504" width="7.7109375" customWidth="1"/>
    <col min="9505" max="9505" width="12.7109375" customWidth="1"/>
    <col min="9729" max="9729" width="11.5703125" customWidth="1"/>
    <col min="9730" max="9760" width="7.7109375" customWidth="1"/>
    <col min="9761" max="9761" width="12.7109375" customWidth="1"/>
    <col min="9985" max="9985" width="11.5703125" customWidth="1"/>
    <col min="9986" max="10016" width="7.7109375" customWidth="1"/>
    <col min="10017" max="10017" width="12.7109375" customWidth="1"/>
    <col min="10241" max="10241" width="11.5703125" customWidth="1"/>
    <col min="10242" max="10272" width="7.7109375" customWidth="1"/>
    <col min="10273" max="10273" width="12.7109375" customWidth="1"/>
    <col min="10497" max="10497" width="11.5703125" customWidth="1"/>
    <col min="10498" max="10528" width="7.7109375" customWidth="1"/>
    <col min="10529" max="10529" width="12.7109375" customWidth="1"/>
    <col min="10753" max="10753" width="11.5703125" customWidth="1"/>
    <col min="10754" max="10784" width="7.7109375" customWidth="1"/>
    <col min="10785" max="10785" width="12.7109375" customWidth="1"/>
    <col min="11009" max="11009" width="11.5703125" customWidth="1"/>
    <col min="11010" max="11040" width="7.7109375" customWidth="1"/>
    <col min="11041" max="11041" width="12.7109375" customWidth="1"/>
    <col min="11265" max="11265" width="11.5703125" customWidth="1"/>
    <col min="11266" max="11296" width="7.7109375" customWidth="1"/>
    <col min="11297" max="11297" width="12.7109375" customWidth="1"/>
    <col min="11521" max="11521" width="11.5703125" customWidth="1"/>
    <col min="11522" max="11552" width="7.7109375" customWidth="1"/>
    <col min="11553" max="11553" width="12.7109375" customWidth="1"/>
    <col min="11777" max="11777" width="11.5703125" customWidth="1"/>
    <col min="11778" max="11808" width="7.7109375" customWidth="1"/>
    <col min="11809" max="11809" width="12.7109375" customWidth="1"/>
    <col min="12033" max="12033" width="11.5703125" customWidth="1"/>
    <col min="12034" max="12064" width="7.7109375" customWidth="1"/>
    <col min="12065" max="12065" width="12.7109375" customWidth="1"/>
    <col min="12289" max="12289" width="11.5703125" customWidth="1"/>
    <col min="12290" max="12320" width="7.7109375" customWidth="1"/>
    <col min="12321" max="12321" width="12.7109375" customWidth="1"/>
    <col min="12545" max="12545" width="11.5703125" customWidth="1"/>
    <col min="12546" max="12576" width="7.7109375" customWidth="1"/>
    <col min="12577" max="12577" width="12.7109375" customWidth="1"/>
    <col min="12801" max="12801" width="11.5703125" customWidth="1"/>
    <col min="12802" max="12832" width="7.7109375" customWidth="1"/>
    <col min="12833" max="12833" width="12.7109375" customWidth="1"/>
    <col min="13057" max="13057" width="11.5703125" customWidth="1"/>
    <col min="13058" max="13088" width="7.7109375" customWidth="1"/>
    <col min="13089" max="13089" width="12.7109375" customWidth="1"/>
    <col min="13313" max="13313" width="11.5703125" customWidth="1"/>
    <col min="13314" max="13344" width="7.7109375" customWidth="1"/>
    <col min="13345" max="13345" width="12.7109375" customWidth="1"/>
    <col min="13569" max="13569" width="11.5703125" customWidth="1"/>
    <col min="13570" max="13600" width="7.7109375" customWidth="1"/>
    <col min="13601" max="13601" width="12.7109375" customWidth="1"/>
    <col min="13825" max="13825" width="11.5703125" customWidth="1"/>
    <col min="13826" max="13856" width="7.7109375" customWidth="1"/>
    <col min="13857" max="13857" width="12.7109375" customWidth="1"/>
    <col min="14081" max="14081" width="11.5703125" customWidth="1"/>
    <col min="14082" max="14112" width="7.7109375" customWidth="1"/>
    <col min="14113" max="14113" width="12.7109375" customWidth="1"/>
    <col min="14337" max="14337" width="11.5703125" customWidth="1"/>
    <col min="14338" max="14368" width="7.7109375" customWidth="1"/>
    <col min="14369" max="14369" width="12.7109375" customWidth="1"/>
    <col min="14593" max="14593" width="11.5703125" customWidth="1"/>
    <col min="14594" max="14624" width="7.7109375" customWidth="1"/>
    <col min="14625" max="14625" width="12.7109375" customWidth="1"/>
    <col min="14849" max="14849" width="11.5703125" customWidth="1"/>
    <col min="14850" max="14880" width="7.7109375" customWidth="1"/>
    <col min="14881" max="14881" width="12.7109375" customWidth="1"/>
    <col min="15105" max="15105" width="11.5703125" customWidth="1"/>
    <col min="15106" max="15136" width="7.7109375" customWidth="1"/>
    <col min="15137" max="15137" width="12.7109375" customWidth="1"/>
    <col min="15361" max="15361" width="11.5703125" customWidth="1"/>
    <col min="15362" max="15392" width="7.7109375" customWidth="1"/>
    <col min="15393" max="15393" width="12.7109375" customWidth="1"/>
    <col min="15617" max="15617" width="11.5703125" customWidth="1"/>
    <col min="15618" max="15648" width="7.7109375" customWidth="1"/>
    <col min="15649" max="15649" width="12.7109375" customWidth="1"/>
    <col min="15873" max="15873" width="11.5703125" customWidth="1"/>
    <col min="15874" max="15904" width="7.7109375" customWidth="1"/>
    <col min="15905" max="15905" width="12.7109375" customWidth="1"/>
    <col min="16129" max="16129" width="11.5703125" customWidth="1"/>
    <col min="16130" max="16160" width="7.7109375" customWidth="1"/>
    <col min="16161" max="16161" width="12.7109375" customWidth="1"/>
  </cols>
  <sheetData>
    <row r="1" spans="1:32" ht="18">
      <c r="A1" s="1"/>
      <c r="B1" s="2" t="str">
        <f>'[3]Dia 1 (b)'!C1</f>
        <v>MARÇO DE 2023</v>
      </c>
      <c r="C1" s="3"/>
      <c r="D1" s="4"/>
      <c r="E1" s="5"/>
      <c r="F1" s="2"/>
      <c r="G1" s="3"/>
      <c r="H1" s="3"/>
      <c r="I1" s="3"/>
      <c r="J1" s="3"/>
      <c r="K1" s="3" t="s">
        <v>0</v>
      </c>
      <c r="L1" s="3"/>
      <c r="M1" s="3"/>
      <c r="N1" s="6"/>
      <c r="O1" s="7"/>
      <c r="P1" s="8"/>
      <c r="Q1" s="7"/>
      <c r="R1" s="7"/>
      <c r="S1" s="7"/>
      <c r="T1" s="7"/>
      <c r="U1" s="7"/>
      <c r="V1" s="9"/>
      <c r="W1" s="3"/>
      <c r="X1" s="3"/>
      <c r="Y1" s="3"/>
      <c r="Z1" s="3"/>
      <c r="AA1" s="3"/>
      <c r="AB1" s="3"/>
      <c r="AC1" s="3"/>
      <c r="AD1" s="3"/>
      <c r="AE1" s="3"/>
      <c r="AF1" s="3"/>
    </row>
    <row r="2" spans="1:32" ht="15.75" thickBot="1">
      <c r="A2" s="1"/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</row>
    <row r="3" spans="1:32" ht="20.100000000000001" customHeight="1" thickBot="1">
      <c r="A3" s="10" t="s">
        <v>1</v>
      </c>
      <c r="B3" s="11">
        <v>1</v>
      </c>
      <c r="C3" s="11">
        <v>2</v>
      </c>
      <c r="D3" s="11">
        <v>3</v>
      </c>
      <c r="E3" s="11">
        <v>4</v>
      </c>
      <c r="F3" s="11">
        <v>5</v>
      </c>
      <c r="G3" s="11">
        <v>6</v>
      </c>
      <c r="H3" s="11">
        <v>7</v>
      </c>
      <c r="I3" s="11">
        <v>8</v>
      </c>
      <c r="J3" s="11">
        <v>9</v>
      </c>
      <c r="K3" s="11">
        <v>10</v>
      </c>
      <c r="L3" s="11">
        <v>11</v>
      </c>
      <c r="M3" s="11">
        <v>12</v>
      </c>
      <c r="N3" s="11">
        <v>13</v>
      </c>
      <c r="O3" s="11">
        <v>14</v>
      </c>
      <c r="P3" s="11">
        <v>15</v>
      </c>
      <c r="Q3" s="11">
        <v>16</v>
      </c>
      <c r="R3" s="11">
        <v>17</v>
      </c>
      <c r="S3" s="11">
        <v>18</v>
      </c>
      <c r="T3" s="11">
        <v>19</v>
      </c>
      <c r="U3" s="11">
        <v>20</v>
      </c>
      <c r="V3" s="11">
        <v>21</v>
      </c>
      <c r="W3" s="11">
        <v>22</v>
      </c>
      <c r="X3" s="11">
        <v>23</v>
      </c>
      <c r="Y3" s="11">
        <v>24</v>
      </c>
      <c r="Z3" s="12">
        <v>25</v>
      </c>
      <c r="AA3" s="12">
        <v>26</v>
      </c>
      <c r="AB3" s="12">
        <v>27</v>
      </c>
      <c r="AC3" s="12">
        <v>28</v>
      </c>
      <c r="AD3" s="12">
        <v>29</v>
      </c>
      <c r="AE3" s="12">
        <v>30</v>
      </c>
      <c r="AF3" s="13">
        <v>31</v>
      </c>
    </row>
    <row r="4" spans="1:32" ht="20.100000000000001" customHeight="1">
      <c r="A4" s="14">
        <v>1</v>
      </c>
      <c r="B4" s="15">
        <f>'[3]Dia 1 (b)'!$X10</f>
        <v>14.023576494653907</v>
      </c>
      <c r="C4" s="15">
        <f>'[3]Dia 2 (b)'!$X10</f>
        <v>14.347093685406415</v>
      </c>
      <c r="D4" s="15">
        <f>'[3]Dia 3 (b)'!$X10</f>
        <v>13.751194326844136</v>
      </c>
      <c r="E4" s="15">
        <f>'[3]Dia 4 (b)'!$X10</f>
        <v>16.6374751283272</v>
      </c>
      <c r="F4" s="15">
        <f>'[3]Dia 5 (b)'!$X10</f>
        <v>16.227294223309393</v>
      </c>
      <c r="G4" s="15">
        <f>'[3]Dia 6 (b)'!$X10</f>
        <v>13.92281799640757</v>
      </c>
      <c r="H4" s="15">
        <f>'[3]Dia 7 (b)'!$X10</f>
        <v>14.075799195593024</v>
      </c>
      <c r="I4" s="15">
        <f>'[3]Dia 8 (b)'!$X10</f>
        <v>13.602331068356635</v>
      </c>
      <c r="J4" s="15">
        <f>'[3]Dia 9 (b)'!$X10</f>
        <v>14.499132566239462</v>
      </c>
      <c r="K4" s="15">
        <f>'[3]Dia 10 (b)'!$X10</f>
        <v>15.525215390244293</v>
      </c>
      <c r="L4" s="15">
        <f>'[3]Dia 11 (b)'!$X10</f>
        <v>14.69979267117299</v>
      </c>
      <c r="M4" s="15">
        <f>'[3]Dia 12 (b)'!$X10</f>
        <v>14.905083297446028</v>
      </c>
      <c r="N4" s="15">
        <f>'[3]Dia 13 (b)'!$X10</f>
        <v>15.270090941220724</v>
      </c>
      <c r="O4" s="15">
        <f>'[3]Dia 14 (b)'!$X10</f>
        <v>15.738935862083023</v>
      </c>
      <c r="P4" s="15">
        <f>'[3]Dia 15 (b)'!$X10</f>
        <v>15.322813575584192</v>
      </c>
      <c r="Q4" s="15">
        <f>'[3]Dia 16 (b)'!$X10</f>
        <v>13.687356780937602</v>
      </c>
      <c r="R4" s="15">
        <f>'[3]Dia 17 (b)'!$X10</f>
        <v>13.222035211131031</v>
      </c>
      <c r="S4" s="15">
        <f>'[3]Dia 18 (b)'!$X10</f>
        <v>13.302244250108336</v>
      </c>
      <c r="T4" s="15">
        <f>'[3]Dia 19 (b)'!$X10</f>
        <v>13.639592031403883</v>
      </c>
      <c r="U4" s="15">
        <f>'[3]Dia 20 (b)'!$X10</f>
        <v>14.155044488325709</v>
      </c>
      <c r="V4" s="15">
        <f>'[3]Dia 21 (b)'!$X10</f>
        <v>14.03995290561677</v>
      </c>
      <c r="W4" s="15">
        <f>'[3]Dia 22 (b)'!$X10</f>
        <v>14.673910526729367</v>
      </c>
      <c r="X4" s="15">
        <f>'[3]Dia 23 (b)'!$X10</f>
        <v>13.971750588148655</v>
      </c>
      <c r="Y4" s="15">
        <f>'[3]Dia 24 (b)'!$X10</f>
        <v>13.291778439283018</v>
      </c>
      <c r="Z4" s="15">
        <f>'[3]Dia 25 (b)'!$X10</f>
        <v>14.004649919339776</v>
      </c>
      <c r="AA4" s="15">
        <f>'[3]Dia 26 (b)'!$X10</f>
        <v>14.950513809070856</v>
      </c>
      <c r="AB4" s="15">
        <f>'[3]Dia 27 (b)'!$X10</f>
        <v>15.684723246980996</v>
      </c>
      <c r="AC4" s="15">
        <f>'[3]Dia 28 (b)'!$X10</f>
        <v>13.229337203909324</v>
      </c>
      <c r="AD4" s="15">
        <f>'[3]Dia 29 (b)'!$X10</f>
        <v>14.308303528853774</v>
      </c>
      <c r="AE4" s="15">
        <f>'[3]Dia 30 (b)'!$X10</f>
        <v>14.574762525485216</v>
      </c>
      <c r="AF4" s="15">
        <f>'[3]Dia 31 (b)'!$X10</f>
        <v>14.343518955291541</v>
      </c>
    </row>
    <row r="5" spans="1:32" ht="20.100000000000001" customHeight="1">
      <c r="A5" s="14">
        <v>2</v>
      </c>
      <c r="B5" s="15">
        <f>'[3]Dia 1 (b)'!$X11</f>
        <v>14.207493042280435</v>
      </c>
      <c r="C5" s="15">
        <f>'[3]Dia 2 (b)'!$X11</f>
        <v>14.530975466084653</v>
      </c>
      <c r="D5" s="15">
        <f>'[3]Dia 3 (b)'!$X11</f>
        <v>14.420618619705008</v>
      </c>
      <c r="E5" s="15">
        <f>'[3]Dia 4 (b)'!$X11</f>
        <v>16.748601526702668</v>
      </c>
      <c r="F5" s="15">
        <f>'[3]Dia 5 (b)'!$X11</f>
        <v>15.702637969533775</v>
      </c>
      <c r="G5" s="15">
        <f>'[3]Dia 6 (b)'!$X11</f>
        <v>13.77193067017696</v>
      </c>
      <c r="H5" s="15">
        <f>'[3]Dia 7 (b)'!$X11</f>
        <v>13.794082370161126</v>
      </c>
      <c r="I5" s="15">
        <f>'[3]Dia 8 (b)'!$X11</f>
        <v>13.088697676653549</v>
      </c>
      <c r="J5" s="15">
        <f>'[3]Dia 9 (b)'!$X11</f>
        <v>14.318029223832166</v>
      </c>
      <c r="K5" s="15">
        <f>'[3]Dia 10 (b)'!$X11</f>
        <v>15.627437208600636</v>
      </c>
      <c r="L5" s="15">
        <f>'[3]Dia 11 (b)'!$X11</f>
        <v>14.808081978051499</v>
      </c>
      <c r="M5" s="15">
        <f>'[3]Dia 12 (b)'!$X11</f>
        <v>15.259499123334564</v>
      </c>
      <c r="N5" s="15">
        <f>'[3]Dia 13 (b)'!$X11</f>
        <v>15.37383998854207</v>
      </c>
      <c r="O5" s="15">
        <f>'[3]Dia 14 (b)'!$X11</f>
        <v>15.648015809133955</v>
      </c>
      <c r="P5" s="15">
        <f>'[3]Dia 15 (b)'!$X11</f>
        <v>14.888659176512935</v>
      </c>
      <c r="Q5" s="15">
        <f>'[3]Dia 16 (b)'!$X11</f>
        <v>13.668554675951126</v>
      </c>
      <c r="R5" s="15">
        <f>'[3]Dia 17 (b)'!$X11</f>
        <v>13.060261722785109</v>
      </c>
      <c r="S5" s="15">
        <f>'[3]Dia 18 (b)'!$X11</f>
        <v>12.791907345708383</v>
      </c>
      <c r="T5" s="15">
        <f>'[3]Dia 19 (b)'!$X11</f>
        <v>13.52804488028451</v>
      </c>
      <c r="U5" s="15">
        <f>'[3]Dia 20 (b)'!$X11</f>
        <v>14.110517158193716</v>
      </c>
      <c r="V5" s="15">
        <f>'[3]Dia 21 (b)'!$X11</f>
        <v>13.742209982242917</v>
      </c>
      <c r="W5" s="15">
        <f>'[3]Dia 22 (b)'!$X11</f>
        <v>14.272178731178666</v>
      </c>
      <c r="X5" s="15">
        <f>'[3]Dia 23 (b)'!$X11</f>
        <v>13.660304187705341</v>
      </c>
      <c r="Y5" s="15">
        <f>'[3]Dia 24 (b)'!$X11</f>
        <v>13.292587273481976</v>
      </c>
      <c r="Z5" s="15">
        <f>'[3]Dia 25 (b)'!$X11</f>
        <v>13.647035516887064</v>
      </c>
      <c r="AA5" s="15">
        <f>'[3]Dia 26 (b)'!$X11</f>
        <v>14.769161813391158</v>
      </c>
      <c r="AB5" s="15">
        <f>'[3]Dia 27 (b)'!$X11</f>
        <v>15.562296542004184</v>
      </c>
      <c r="AC5" s="15">
        <f>'[3]Dia 28 (b)'!$X11</f>
        <v>13.318239013262012</v>
      </c>
      <c r="AD5" s="15">
        <f>'[3]Dia 29 (b)'!$X11</f>
        <v>13.873071785304191</v>
      </c>
      <c r="AE5" s="15">
        <f>'[3]Dia 30 (b)'!$X11</f>
        <v>14.894237018096716</v>
      </c>
      <c r="AF5" s="15">
        <f>'[3]Dia 31 (b)'!$X11</f>
        <v>14.445185461692459</v>
      </c>
    </row>
    <row r="6" spans="1:32" ht="20.100000000000001" customHeight="1">
      <c r="A6" s="14">
        <v>3</v>
      </c>
      <c r="B6" s="15">
        <f>'[3]Dia 1 (b)'!$X12</f>
        <v>13.86181529886273</v>
      </c>
      <c r="C6" s="15">
        <f>'[3]Dia 2 (b)'!$X12</f>
        <v>14.294762236419258</v>
      </c>
      <c r="D6" s="15">
        <f>'[3]Dia 3 (b)'!$X12</f>
        <v>13.943639348770427</v>
      </c>
      <c r="E6" s="15">
        <f>'[3]Dia 4 (b)'!$X12</f>
        <v>16.024542410421077</v>
      </c>
      <c r="F6" s="15">
        <f>'[3]Dia 5 (b)'!$X12</f>
        <v>14.777487376592328</v>
      </c>
      <c r="G6" s="15">
        <f>'[3]Dia 6 (b)'!$X12</f>
        <v>13.917308513778682</v>
      </c>
      <c r="H6" s="15">
        <f>'[3]Dia 7 (b)'!$X12</f>
        <v>13.115292006071492</v>
      </c>
      <c r="I6" s="15">
        <f>'[3]Dia 8 (b)'!$X12</f>
        <v>12.931905640959414</v>
      </c>
      <c r="J6" s="15">
        <f>'[3]Dia 9 (b)'!$X12</f>
        <v>14.412503946486559</v>
      </c>
      <c r="K6" s="15">
        <f>'[3]Dia 10 (b)'!$X12</f>
        <v>15.374449224254626</v>
      </c>
      <c r="L6" s="15">
        <f>'[3]Dia 11 (b)'!$X12</f>
        <v>14.630678998590836</v>
      </c>
      <c r="M6" s="15">
        <f>'[3]Dia 12 (b)'!$X12</f>
        <v>15.261705269339396</v>
      </c>
      <c r="N6" s="15">
        <f>'[3]Dia 13 (b)'!$X12</f>
        <v>15.570362766999523</v>
      </c>
      <c r="O6" s="15">
        <f>'[3]Dia 14 (b)'!$X12</f>
        <v>15.365009738272443</v>
      </c>
      <c r="P6" s="15">
        <f>'[3]Dia 15 (b)'!$X12</f>
        <v>14.981804766753283</v>
      </c>
      <c r="Q6" s="15">
        <f>'[3]Dia 16 (b)'!$X12</f>
        <v>13.844039704734692</v>
      </c>
      <c r="R6" s="15">
        <f>'[3]Dia 17 (b)'!$X12</f>
        <v>12.455951103450086</v>
      </c>
      <c r="S6" s="15">
        <f>'[3]Dia 18 (b)'!$X12</f>
        <v>12.506866570664625</v>
      </c>
      <c r="T6" s="15">
        <f>'[3]Dia 19 (b)'!$X12</f>
        <v>13.722527099712167</v>
      </c>
      <c r="U6" s="15">
        <f>'[3]Dia 20 (b)'!$X12</f>
        <v>14.093391107191602</v>
      </c>
      <c r="V6" s="15">
        <f>'[3]Dia 21 (b)'!$X12</f>
        <v>13.088251320504158</v>
      </c>
      <c r="W6" s="15">
        <f>'[3]Dia 22 (b)'!$X12</f>
        <v>14.5720197154007</v>
      </c>
      <c r="X6" s="15">
        <f>'[3]Dia 23 (b)'!$X12</f>
        <v>13.70437344962791</v>
      </c>
      <c r="Y6" s="15">
        <f>'[3]Dia 24 (b)'!$X12</f>
        <v>13.265059254447793</v>
      </c>
      <c r="Z6" s="15">
        <f>'[3]Dia 25 (b)'!$X12</f>
        <v>14.737820877668474</v>
      </c>
      <c r="AA6" s="15">
        <f>'[3]Dia 26 (b)'!$X12</f>
        <v>15.033528035061027</v>
      </c>
      <c r="AB6" s="15">
        <f>'[3]Dia 27 (b)'!$X12</f>
        <v>15.670490058323951</v>
      </c>
      <c r="AC6" s="15">
        <f>'[3]Dia 28 (b)'!$X12</f>
        <v>13.61823282003358</v>
      </c>
      <c r="AD6" s="15">
        <f>'[3]Dia 29 (b)'!$X12</f>
        <v>14.412353602510315</v>
      </c>
      <c r="AE6" s="15">
        <f>'[3]Dia 30 (b)'!$X12</f>
        <v>14.637739721393158</v>
      </c>
      <c r="AF6" s="15">
        <f>'[3]Dia 31 (b)'!$X12</f>
        <v>14.199745662915916</v>
      </c>
    </row>
    <row r="7" spans="1:32" ht="20.100000000000001" customHeight="1">
      <c r="A7" s="14">
        <v>4</v>
      </c>
      <c r="B7" s="15">
        <f>'[3]Dia 1 (b)'!$X13</f>
        <v>13.695737354414847</v>
      </c>
      <c r="C7" s="15">
        <f>'[3]Dia 2 (b)'!$X13</f>
        <v>14.143287075068354</v>
      </c>
      <c r="D7" s="15">
        <f>'[3]Dia 3 (b)'!$X13</f>
        <v>14.408730746170564</v>
      </c>
      <c r="E7" s="15">
        <f>'[3]Dia 4 (b)'!$X13</f>
        <v>16.394022816394834</v>
      </c>
      <c r="F7" s="15">
        <f>'[3]Dia 5 (b)'!$X13</f>
        <v>14.085177348878009</v>
      </c>
      <c r="G7" s="15">
        <f>'[3]Dia 6 (b)'!$X13</f>
        <v>14.16497584258765</v>
      </c>
      <c r="H7" s="15">
        <f>'[3]Dia 7 (b)'!$X13</f>
        <v>13.167096172297756</v>
      </c>
      <c r="I7" s="15">
        <f>'[3]Dia 8 (b)'!$X13</f>
        <v>12.727143136250456</v>
      </c>
      <c r="J7" s="15">
        <f>'[3]Dia 9 (b)'!$X13</f>
        <v>14.474777912422462</v>
      </c>
      <c r="K7" s="15">
        <f>'[3]Dia 10 (b)'!$X13</f>
        <v>15.611092326063305</v>
      </c>
      <c r="L7" s="15">
        <f>'[3]Dia 11 (b)'!$X13</f>
        <v>14.604936825174327</v>
      </c>
      <c r="M7" s="15">
        <f>'[3]Dia 12 (b)'!$X13</f>
        <v>15.460103800520628</v>
      </c>
      <c r="N7" s="15">
        <f>'[3]Dia 13 (b)'!$X13</f>
        <v>15.769124709759542</v>
      </c>
      <c r="O7" s="15">
        <f>'[3]Dia 14 (b)'!$X13</f>
        <v>15.08652897298165</v>
      </c>
      <c r="P7" s="15">
        <f>'[3]Dia 15 (b)'!$X13</f>
        <v>14.66550013790115</v>
      </c>
      <c r="Q7" s="15">
        <f>'[3]Dia 16 (b)'!$X13</f>
        <v>14.044473738835368</v>
      </c>
      <c r="R7" s="15">
        <f>'[3]Dia 17 (b)'!$X13</f>
        <v>12.161891721142037</v>
      </c>
      <c r="S7" s="15">
        <f>'[3]Dia 18 (b)'!$X13</f>
        <v>12.219321433268901</v>
      </c>
      <c r="T7" s="15">
        <f>'[3]Dia 19 (b)'!$X13</f>
        <v>13.31220979724335</v>
      </c>
      <c r="U7" s="15">
        <f>'[3]Dia 20 (b)'!$X13</f>
        <v>14.546794080856058</v>
      </c>
      <c r="V7" s="15">
        <f>'[3]Dia 21 (b)'!$X13</f>
        <v>13.749080675621046</v>
      </c>
      <c r="W7" s="15">
        <f>'[3]Dia 22 (b)'!$X13</f>
        <v>13.887317556433137</v>
      </c>
      <c r="X7" s="15">
        <f>'[3]Dia 23 (b)'!$X13</f>
        <v>13.202266119822644</v>
      </c>
      <c r="Y7" s="15">
        <f>'[3]Dia 24 (b)'!$X13</f>
        <v>13.290368560925813</v>
      </c>
      <c r="Z7" s="15">
        <f>'[3]Dia 25 (b)'!$X13</f>
        <v>13.523770603108041</v>
      </c>
      <c r="AA7" s="15">
        <f>'[3]Dia 26 (b)'!$X13</f>
        <v>15.325911848389099</v>
      </c>
      <c r="AB7" s="15">
        <f>'[3]Dia 27 (b)'!$X13</f>
        <v>15.573054514372805</v>
      </c>
      <c r="AC7" s="15">
        <f>'[3]Dia 28 (b)'!$X13</f>
        <v>12.933138658945532</v>
      </c>
      <c r="AD7" s="15">
        <f>'[3]Dia 29 (b)'!$X13</f>
        <v>14.440530777701426</v>
      </c>
      <c r="AE7" s="15">
        <f>'[3]Dia 30 (b)'!$X13</f>
        <v>15.818701702004939</v>
      </c>
      <c r="AF7" s="15">
        <f>'[3]Dia 31 (b)'!$X13</f>
        <v>14.279252681715098</v>
      </c>
    </row>
    <row r="8" spans="1:32" ht="20.100000000000001" customHeight="1">
      <c r="A8" s="14">
        <v>5</v>
      </c>
      <c r="B8" s="15">
        <f>'[3]Dia 1 (b)'!$X14</f>
        <v>13.603511125074514</v>
      </c>
      <c r="C8" s="15">
        <f>'[3]Dia 2 (b)'!$X14</f>
        <v>13.873133822815369</v>
      </c>
      <c r="D8" s="15">
        <f>'[3]Dia 3 (b)'!$X14</f>
        <v>14.517439354146207</v>
      </c>
      <c r="E8" s="15">
        <f>'[3]Dia 4 (b)'!$X14</f>
        <v>16.043457028819521</v>
      </c>
      <c r="F8" s="15">
        <f>'[3]Dia 5 (b)'!$X14</f>
        <v>13.463909576370771</v>
      </c>
      <c r="G8" s="15">
        <f>'[3]Dia 6 (b)'!$X14</f>
        <v>14.062143987576498</v>
      </c>
      <c r="H8" s="15">
        <f>'[3]Dia 7 (b)'!$X14</f>
        <v>12.384145046669149</v>
      </c>
      <c r="I8" s="15">
        <f>'[3]Dia 8 (b)'!$X14</f>
        <v>12.997407737979646</v>
      </c>
      <c r="J8" s="15">
        <f>'[3]Dia 9 (b)'!$X14</f>
        <v>14.660007709145248</v>
      </c>
      <c r="K8" s="15">
        <f>'[3]Dia 10 (b)'!$X14</f>
        <v>15.519172849660654</v>
      </c>
      <c r="L8" s="15">
        <f>'[3]Dia 11 (b)'!$X14</f>
        <v>14.885628702993987</v>
      </c>
      <c r="M8" s="15">
        <f>'[3]Dia 12 (b)'!$X14</f>
        <v>15.370641562074152</v>
      </c>
      <c r="N8" s="15">
        <f>'[3]Dia 13 (b)'!$X14</f>
        <v>15.965515438353767</v>
      </c>
      <c r="O8" s="15">
        <f>'[3]Dia 14 (b)'!$X14</f>
        <v>15.339879012570373</v>
      </c>
      <c r="P8" s="15">
        <f>'[3]Dia 15 (b)'!$X14</f>
        <v>14.665291628986832</v>
      </c>
      <c r="Q8" s="15">
        <f>'[3]Dia 16 (b)'!$X14</f>
        <v>14.309290414570972</v>
      </c>
      <c r="R8" s="15">
        <f>'[3]Dia 17 (b)'!$X14</f>
        <v>11.659640991198382</v>
      </c>
      <c r="S8" s="15">
        <f>'[3]Dia 18 (b)'!$X14</f>
        <v>12.271047989083826</v>
      </c>
      <c r="T8" s="15">
        <f>'[3]Dia 19 (b)'!$X14</f>
        <v>13.479270268635247</v>
      </c>
      <c r="U8" s="15">
        <f>'[3]Dia 20 (b)'!$X14</f>
        <v>15.10500580430322</v>
      </c>
      <c r="V8" s="15">
        <f>'[3]Dia 21 (b)'!$X14</f>
        <v>13.959422342409571</v>
      </c>
      <c r="W8" s="15">
        <f>'[3]Dia 22 (b)'!$X14</f>
        <v>13.390923427196856</v>
      </c>
      <c r="X8" s="15">
        <f>'[3]Dia 23 (b)'!$X14</f>
        <v>13.128223578617405</v>
      </c>
      <c r="Y8" s="15">
        <f>'[3]Dia 24 (b)'!$X14</f>
        <v>13.369675605216923</v>
      </c>
      <c r="Z8" s="15">
        <f>'[3]Dia 25 (b)'!$X14</f>
        <v>13.270359710520895</v>
      </c>
      <c r="AA8" s="15">
        <f>'[3]Dia 26 (b)'!$X14</f>
        <v>15.515305976275176</v>
      </c>
      <c r="AB8" s="15">
        <f>'[3]Dia 27 (b)'!$X14</f>
        <v>15.250865891787008</v>
      </c>
      <c r="AC8" s="15">
        <f>'[3]Dia 28 (b)'!$X14</f>
        <v>13.016398846817241</v>
      </c>
      <c r="AD8" s="15">
        <f>'[3]Dia 29 (b)'!$X14</f>
        <v>14.280946243733554</v>
      </c>
      <c r="AE8" s="15">
        <f>'[3]Dia 30 (b)'!$X14</f>
        <v>15.8232780172451</v>
      </c>
      <c r="AF8" s="15">
        <f>'[3]Dia 31 (b)'!$X14</f>
        <v>14.166627568561815</v>
      </c>
    </row>
    <row r="9" spans="1:32" ht="20.100000000000001" customHeight="1">
      <c r="A9" s="14">
        <v>6</v>
      </c>
      <c r="B9" s="15">
        <f>'[3]Dia 1 (b)'!$X15</f>
        <v>13.51575561742108</v>
      </c>
      <c r="C9" s="15">
        <f>'[3]Dia 2 (b)'!$X15</f>
        <v>13.77231412028925</v>
      </c>
      <c r="D9" s="15">
        <f>'[3]Dia 3 (b)'!$X15</f>
        <v>14.881917683770135</v>
      </c>
      <c r="E9" s="15">
        <f>'[3]Dia 4 (b)'!$X15</f>
        <v>16.11626627981655</v>
      </c>
      <c r="F9" s="15">
        <f>'[3]Dia 5 (b)'!$X15</f>
        <v>13.138215993000342</v>
      </c>
      <c r="G9" s="15">
        <f>'[3]Dia 6 (b)'!$X15</f>
        <v>14.182099788004372</v>
      </c>
      <c r="H9" s="15">
        <f>'[3]Dia 7 (b)'!$X15</f>
        <v>13.034854260880627</v>
      </c>
      <c r="I9" s="15">
        <f>'[3]Dia 8 (b)'!$X15</f>
        <v>12.85584929692738</v>
      </c>
      <c r="J9" s="15">
        <f>'[3]Dia 9 (b)'!$X15</f>
        <v>14.750205665730016</v>
      </c>
      <c r="K9" s="15">
        <f>'[3]Dia 10 (b)'!$X15</f>
        <v>15.035645592167283</v>
      </c>
      <c r="L9" s="15">
        <f>'[3]Dia 11 (b)'!$X15</f>
        <v>15.103109484620379</v>
      </c>
      <c r="M9" s="15">
        <f>'[3]Dia 12 (b)'!$X15</f>
        <v>15.460089381269865</v>
      </c>
      <c r="N9" s="15">
        <f>'[3]Dia 13 (b)'!$X15</f>
        <v>15.888847040674221</v>
      </c>
      <c r="O9" s="15">
        <f>'[3]Dia 14 (b)'!$X15</f>
        <v>15.333030139807878</v>
      </c>
      <c r="P9" s="15">
        <f>'[3]Dia 15 (b)'!$X15</f>
        <v>14.21122364846852</v>
      </c>
      <c r="Q9" s="15">
        <f>'[3]Dia 16 (b)'!$X15</f>
        <v>13.975851850239305</v>
      </c>
      <c r="R9" s="15">
        <f>'[3]Dia 17 (b)'!$X15</f>
        <v>12.064334905021017</v>
      </c>
      <c r="S9" s="15">
        <f>'[3]Dia 18 (b)'!$X15</f>
        <v>12.47624526712386</v>
      </c>
      <c r="T9" s="15">
        <f>'[3]Dia 19 (b)'!$X15</f>
        <v>14.374092534988758</v>
      </c>
      <c r="U9" s="15">
        <f>'[3]Dia 20 (b)'!$X15</f>
        <v>14.976979478838325</v>
      </c>
      <c r="V9" s="15">
        <f>'[3]Dia 21 (b)'!$X15</f>
        <v>13.655224229450511</v>
      </c>
      <c r="W9" s="15">
        <f>'[3]Dia 22 (b)'!$X15</f>
        <v>13.013736673648001</v>
      </c>
      <c r="X9" s="15">
        <f>'[3]Dia 23 (b)'!$X15</f>
        <v>13.660154371553734</v>
      </c>
      <c r="Y9" s="15">
        <f>'[3]Dia 24 (b)'!$X15</f>
        <v>13.528710975962731</v>
      </c>
      <c r="Z9" s="15">
        <f>'[3]Dia 25 (b)'!$X15</f>
        <v>13.467076314555552</v>
      </c>
      <c r="AA9" s="15">
        <f>'[3]Dia 26 (b)'!$X15</f>
        <v>14.968785302638409</v>
      </c>
      <c r="AB9" s="15">
        <f>'[3]Dia 27 (b)'!$X15</f>
        <v>14.958584496709578</v>
      </c>
      <c r="AC9" s="15">
        <f>'[3]Dia 28 (b)'!$X15</f>
        <v>13.025986588395705</v>
      </c>
      <c r="AD9" s="15">
        <f>'[3]Dia 29 (b)'!$X15</f>
        <v>14.435892147666024</v>
      </c>
      <c r="AE9" s="15">
        <f>'[3]Dia 30 (b)'!$X15</f>
        <v>15.436022703712501</v>
      </c>
      <c r="AF9" s="15">
        <f>'[3]Dia 31 (b)'!$X15</f>
        <v>13.504175253851759</v>
      </c>
    </row>
    <row r="10" spans="1:32" ht="20.100000000000001" customHeight="1">
      <c r="A10" s="14">
        <v>7</v>
      </c>
      <c r="B10" s="15">
        <f>'[3]Dia 1 (b)'!$X16</f>
        <v>13.546632135700149</v>
      </c>
      <c r="C10" s="15">
        <f>'[3]Dia 2 (b)'!$X16</f>
        <v>14.784820660594338</v>
      </c>
      <c r="D10" s="15">
        <f>'[3]Dia 3 (b)'!$X16</f>
        <v>15.286437771588259</v>
      </c>
      <c r="E10" s="15">
        <f>'[3]Dia 4 (b)'!$X16</f>
        <v>16.357417285259011</v>
      </c>
      <c r="F10" s="15">
        <f>'[3]Dia 5 (b)'!$X16</f>
        <v>13.019031192195294</v>
      </c>
      <c r="G10" s="15">
        <f>'[3]Dia 6 (b)'!$X16</f>
        <v>13.749360721794615</v>
      </c>
      <c r="H10" s="15">
        <f>'[3]Dia 7 (b)'!$X16</f>
        <v>12.777436497711605</v>
      </c>
      <c r="I10" s="15">
        <f>'[3]Dia 8 (b)'!$X16</f>
        <v>13.684868451659217</v>
      </c>
      <c r="J10" s="15">
        <f>'[3]Dia 9 (b)'!$X16</f>
        <v>15.324223954194123</v>
      </c>
      <c r="K10" s="15">
        <f>'[3]Dia 10 (b)'!$X16</f>
        <v>15.82024007846713</v>
      </c>
      <c r="L10" s="15">
        <f>'[3]Dia 11 (b)'!$X16</f>
        <v>15.114663786095937</v>
      </c>
      <c r="M10" s="15">
        <f>'[3]Dia 12 (b)'!$X16</f>
        <v>15.593831674561111</v>
      </c>
      <c r="N10" s="15">
        <f>'[3]Dia 13 (b)'!$X16</f>
        <v>15.662775983043581</v>
      </c>
      <c r="O10" s="15">
        <f>'[3]Dia 14 (b)'!$X16</f>
        <v>15.363578737573864</v>
      </c>
      <c r="P10" s="15">
        <f>'[3]Dia 15 (b)'!$X16</f>
        <v>14.379553473988112</v>
      </c>
      <c r="Q10" s="15">
        <f>'[3]Dia 16 (b)'!$X16</f>
        <v>14.172546055025956</v>
      </c>
      <c r="R10" s="15">
        <f>'[3]Dia 17 (b)'!$X16</f>
        <v>12.590240476629944</v>
      </c>
      <c r="S10" s="15">
        <f>'[3]Dia 18 (b)'!$X16</f>
        <v>13.006532956383145</v>
      </c>
      <c r="T10" s="15">
        <f>'[3]Dia 19 (b)'!$X16</f>
        <v>14.328604033079568</v>
      </c>
      <c r="U10" s="15">
        <f>'[3]Dia 20 (b)'!$X16</f>
        <v>15.688797919508197</v>
      </c>
      <c r="V10" s="15">
        <f>'[3]Dia 21 (b)'!$X16</f>
        <v>13.721040406346573</v>
      </c>
      <c r="W10" s="15">
        <f>'[3]Dia 22 (b)'!$X16</f>
        <v>14.036828795477774</v>
      </c>
      <c r="X10" s="15">
        <f>'[3]Dia 23 (b)'!$X16</f>
        <v>13.38105104319434</v>
      </c>
      <c r="Y10" s="15">
        <f>'[3]Dia 24 (b)'!$X16</f>
        <v>14.063441776424051</v>
      </c>
      <c r="Z10" s="15">
        <f>'[3]Dia 25 (b)'!$X16</f>
        <v>13.878680497066</v>
      </c>
      <c r="AA10" s="15">
        <f>'[3]Dia 26 (b)'!$X16</f>
        <v>15.803910167245061</v>
      </c>
      <c r="AB10" s="15">
        <f>'[3]Dia 27 (b)'!$X16</f>
        <v>14.740575460417517</v>
      </c>
      <c r="AC10" s="15">
        <f>'[3]Dia 28 (b)'!$X16</f>
        <v>13.223647139763715</v>
      </c>
      <c r="AD10" s="15">
        <f>'[3]Dia 29 (b)'!$X16</f>
        <v>14.592191333660127</v>
      </c>
      <c r="AE10" s="15">
        <f>'[3]Dia 30 (b)'!$X16</f>
        <v>15.759505539217908</v>
      </c>
      <c r="AF10" s="15">
        <f>'[3]Dia 31 (b)'!$X16</f>
        <v>13.758993801300527</v>
      </c>
    </row>
    <row r="11" spans="1:32" ht="20.100000000000001" customHeight="1">
      <c r="A11" s="14">
        <v>8</v>
      </c>
      <c r="B11" s="15">
        <f>'[3]Dia 1 (b)'!$X17</f>
        <v>13.782384028393228</v>
      </c>
      <c r="C11" s="15">
        <f>'[3]Dia 2 (b)'!$X17</f>
        <v>15.365647491372343</v>
      </c>
      <c r="D11" s="15">
        <f>'[3]Dia 3 (b)'!$X17</f>
        <v>14.813960167915916</v>
      </c>
      <c r="E11" s="15">
        <f>'[3]Dia 4 (b)'!$X17</f>
        <v>17.134722329648081</v>
      </c>
      <c r="F11" s="15">
        <f>'[3]Dia 5 (b)'!$X17</f>
        <v>13.287777408202444</v>
      </c>
      <c r="G11" s="15">
        <f>'[3]Dia 6 (b)'!$X17</f>
        <v>13.559349449123108</v>
      </c>
      <c r="H11" s="15">
        <f>'[3]Dia 7 (b)'!$X17</f>
        <v>11.72279007268058</v>
      </c>
      <c r="I11" s="15">
        <f>'[3]Dia 8 (b)'!$X17</f>
        <v>13.819990992831459</v>
      </c>
      <c r="J11" s="15">
        <f>'[3]Dia 9 (b)'!$X17</f>
        <v>16.496906951447368</v>
      </c>
      <c r="K11" s="15">
        <f>'[3]Dia 10 (b)'!$X17</f>
        <v>15.977348972316816</v>
      </c>
      <c r="L11" s="15">
        <f>'[3]Dia 11 (b)'!$X17</f>
        <v>15.17259250999801</v>
      </c>
      <c r="M11" s="15">
        <f>'[3]Dia 12 (b)'!$X17</f>
        <v>15.47084262123488</v>
      </c>
      <c r="N11" s="15">
        <f>'[3]Dia 13 (b)'!$X17</f>
        <v>15.427093017778175</v>
      </c>
      <c r="O11" s="15">
        <f>'[3]Dia 14 (b)'!$X17</f>
        <v>15.438454732914533</v>
      </c>
      <c r="P11" s="15">
        <f>'[3]Dia 15 (b)'!$X17</f>
        <v>14.714287215368257</v>
      </c>
      <c r="Q11" s="15">
        <f>'[3]Dia 16 (b)'!$X17</f>
        <v>13.70842608901552</v>
      </c>
      <c r="R11" s="15">
        <f>'[3]Dia 17 (b)'!$X17</f>
        <v>12.466218429140691</v>
      </c>
      <c r="S11" s="15">
        <f>'[3]Dia 18 (b)'!$X17</f>
        <v>13.410725856939143</v>
      </c>
      <c r="T11" s="15">
        <f>'[3]Dia 19 (b)'!$X17</f>
        <v>14.294608340661291</v>
      </c>
      <c r="U11" s="15">
        <f>'[3]Dia 20 (b)'!$X17</f>
        <v>16.531312005141885</v>
      </c>
      <c r="V11" s="15">
        <f>'[3]Dia 21 (b)'!$X17</f>
        <v>13.991076945732058</v>
      </c>
      <c r="W11" s="15">
        <f>'[3]Dia 22 (b)'!$X17</f>
        <v>14.54425454854764</v>
      </c>
      <c r="X11" s="15">
        <f>'[3]Dia 23 (b)'!$X17</f>
        <v>13.225130173515659</v>
      </c>
      <c r="Y11" s="15">
        <f>'[3]Dia 24 (b)'!$X17</f>
        <v>15.142813179606222</v>
      </c>
      <c r="Z11" s="15">
        <f>'[3]Dia 25 (b)'!$X17</f>
        <v>15.13826001367968</v>
      </c>
      <c r="AA11" s="15">
        <f>'[3]Dia 26 (b)'!$X17</f>
        <v>14.582314832278968</v>
      </c>
      <c r="AB11" s="15">
        <f>'[3]Dia 27 (b)'!$X17</f>
        <v>15.069862589864389</v>
      </c>
      <c r="AC11" s="15">
        <f>'[3]Dia 28 (b)'!$X17</f>
        <v>13.22490236465848</v>
      </c>
      <c r="AD11" s="15">
        <f>'[3]Dia 29 (b)'!$X17</f>
        <v>14.996678892201222</v>
      </c>
      <c r="AE11" s="15">
        <f>'[3]Dia 30 (b)'!$X17</f>
        <v>15.237015144067126</v>
      </c>
      <c r="AF11" s="15">
        <f>'[3]Dia 31 (b)'!$X17</f>
        <v>14.119080601960707</v>
      </c>
    </row>
    <row r="12" spans="1:32" ht="20.100000000000001" customHeight="1">
      <c r="A12" s="14">
        <v>9</v>
      </c>
      <c r="B12" s="15">
        <f>'[3]Dia 1 (b)'!$X18</f>
        <v>13.767641861520206</v>
      </c>
      <c r="C12" s="15">
        <f>'[3]Dia 2 (b)'!$X18</f>
        <v>15.474555981084904</v>
      </c>
      <c r="D12" s="15">
        <f>'[3]Dia 3 (b)'!$X18</f>
        <v>14.303827608535535</v>
      </c>
      <c r="E12" s="15">
        <f>'[3]Dia 4 (b)'!$X18</f>
        <v>15.52724109434004</v>
      </c>
      <c r="F12" s="15">
        <f>'[3]Dia 5 (b)'!$X18</f>
        <v>13.466115623864088</v>
      </c>
      <c r="G12" s="15">
        <f>'[3]Dia 6 (b)'!$X18</f>
        <v>13.644257747428982</v>
      </c>
      <c r="H12" s="15">
        <f>'[3]Dia 7 (b)'!$X18</f>
        <v>12.192234768908691</v>
      </c>
      <c r="I12" s="15">
        <f>'[3]Dia 8 (b)'!$X18</f>
        <v>11.805476949053331</v>
      </c>
      <c r="J12" s="15">
        <f>'[3]Dia 9 (b)'!$X18</f>
        <v>15.933591761506642</v>
      </c>
      <c r="K12" s="15">
        <f>'[3]Dia 10 (b)'!$X18</f>
        <v>15.82132867669165</v>
      </c>
      <c r="L12" s="15">
        <f>'[3]Dia 11 (b)'!$X18</f>
        <v>14.994899590009467</v>
      </c>
      <c r="M12" s="15">
        <f>'[3]Dia 12 (b)'!$X18</f>
        <v>15.775926871052363</v>
      </c>
      <c r="N12" s="15">
        <f>'[3]Dia 13 (b)'!$X18</f>
        <v>14.881331211616116</v>
      </c>
      <c r="O12" s="15">
        <f>'[3]Dia 14 (b)'!$X18</f>
        <v>15.808298083395112</v>
      </c>
      <c r="P12" s="15">
        <f>'[3]Dia 15 (b)'!$X18</f>
        <v>14.942073777090828</v>
      </c>
      <c r="Q12" s="15">
        <f>'[3]Dia 16 (b)'!$X18</f>
        <v>14.12128466194231</v>
      </c>
      <c r="R12" s="15">
        <f>'[3]Dia 17 (b)'!$X18</f>
        <v>12.531412189676834</v>
      </c>
      <c r="S12" s="15">
        <f>'[3]Dia 18 (b)'!$X18</f>
        <v>13.382377547661935</v>
      </c>
      <c r="T12" s="15">
        <f>'[3]Dia 19 (b)'!$X18</f>
        <v>14.290023260538378</v>
      </c>
      <c r="U12" s="15">
        <f>'[3]Dia 20 (b)'!$X18</f>
        <v>15.408059122931579</v>
      </c>
      <c r="V12" s="15">
        <f>'[3]Dia 21 (b)'!$X18</f>
        <v>13.714517532638528</v>
      </c>
      <c r="W12" s="15">
        <f>'[3]Dia 22 (b)'!$X18</f>
        <v>13.541877845894861</v>
      </c>
      <c r="X12" s="15">
        <f>'[3]Dia 23 (b)'!$X18</f>
        <v>13.424871304904219</v>
      </c>
      <c r="Y12" s="15">
        <f>'[3]Dia 24 (b)'!$X18</f>
        <v>14.183814643684007</v>
      </c>
      <c r="Z12" s="15">
        <f>'[3]Dia 25 (b)'!$X18</f>
        <v>14.413009907888595</v>
      </c>
      <c r="AA12" s="15">
        <f>'[3]Dia 26 (b)'!$X18</f>
        <v>15.706465050284343</v>
      </c>
      <c r="AB12" s="15">
        <f>'[3]Dia 27 (b)'!$X18</f>
        <v>15.326236298077905</v>
      </c>
      <c r="AC12" s="15">
        <f>'[3]Dia 28 (b)'!$X18</f>
        <v>13.228357208545441</v>
      </c>
      <c r="AD12" s="15">
        <f>'[3]Dia 29 (b)'!$X18</f>
        <v>15.11948709130565</v>
      </c>
      <c r="AE12" s="15">
        <f>'[3]Dia 30 (b)'!$X18</f>
        <v>15.054916384660993</v>
      </c>
      <c r="AF12" s="15">
        <f>'[3]Dia 31 (b)'!$X18</f>
        <v>14.441913865247338</v>
      </c>
    </row>
    <row r="13" spans="1:32" ht="20.100000000000001" customHeight="1">
      <c r="A13" s="14">
        <v>10</v>
      </c>
      <c r="B13" s="15">
        <f>'[3]Dia 1 (b)'!$X19</f>
        <v>13.964042904260651</v>
      </c>
      <c r="C13" s="15">
        <f>'[3]Dia 2 (b)'!$X19</f>
        <v>14.84299749459829</v>
      </c>
      <c r="D13" s="15">
        <f>'[3]Dia 3 (b)'!$X19</f>
        <v>14.514738263034355</v>
      </c>
      <c r="E13" s="15">
        <f>'[3]Dia 4 (b)'!$X19</f>
        <v>15.737220924120816</v>
      </c>
      <c r="F13" s="15">
        <f>'[3]Dia 5 (b)'!$X19</f>
        <v>13.541762707318163</v>
      </c>
      <c r="G13" s="15">
        <f>'[3]Dia 6 (b)'!$X19</f>
        <v>13.616363841643327</v>
      </c>
      <c r="H13" s="15">
        <f>'[3]Dia 7 (b)'!$X19</f>
        <v>13.410733711749799</v>
      </c>
      <c r="I13" s="15">
        <f>'[3]Dia 8 (b)'!$X19</f>
        <v>11.907112933049856</v>
      </c>
      <c r="J13" s="15">
        <f>'[3]Dia 9 (b)'!$X19</f>
        <v>14.549343898847493</v>
      </c>
      <c r="K13" s="15">
        <f>'[3]Dia 10 (b)'!$X19</f>
        <v>15.712592877164077</v>
      </c>
      <c r="L13" s="15">
        <f>'[3]Dia 11 (b)'!$X19</f>
        <v>15.491580439368764</v>
      </c>
      <c r="M13" s="15">
        <f>'[3]Dia 12 (b)'!$X19</f>
        <v>15.279314480591252</v>
      </c>
      <c r="N13" s="15">
        <f>'[3]Dia 13 (b)'!$X19</f>
        <v>14.883489256619624</v>
      </c>
      <c r="O13" s="15">
        <f>'[3]Dia 14 (b)'!$X19</f>
        <v>16.029162727815319</v>
      </c>
      <c r="P13" s="15">
        <f>'[3]Dia 15 (b)'!$X19</f>
        <v>15.544027733218762</v>
      </c>
      <c r="Q13" s="15">
        <f>'[3]Dia 16 (b)'!$X19</f>
        <v>13.913006131377239</v>
      </c>
      <c r="R13" s="15">
        <f>'[3]Dia 17 (b)'!$X19</f>
        <v>11.890511407132308</v>
      </c>
      <c r="S13" s="15">
        <f>'[3]Dia 18 (b)'!$X19</f>
        <v>13.122340660815489</v>
      </c>
      <c r="T13" s="15">
        <f>'[3]Dia 19 (b)'!$X19</f>
        <v>14.284618698077406</v>
      </c>
      <c r="U13" s="15">
        <f>'[3]Dia 20 (b)'!$X19</f>
        <v>15.461903414477138</v>
      </c>
      <c r="V13" s="15">
        <f>'[3]Dia 21 (b)'!$X19</f>
        <v>12.123947048449322</v>
      </c>
      <c r="W13" s="15">
        <f>'[3]Dia 22 (b)'!$X19</f>
        <v>13.003038604881361</v>
      </c>
      <c r="X13" s="15">
        <f>'[3]Dia 23 (b)'!$X19</f>
        <v>12.785883419007146</v>
      </c>
      <c r="Y13" s="15">
        <f>'[3]Dia 24 (b)'!$X19</f>
        <v>13.808858835102367</v>
      </c>
      <c r="Z13" s="15">
        <f>'[3]Dia 25 (b)'!$X19</f>
        <v>14.537003420817264</v>
      </c>
      <c r="AA13" s="15">
        <f>'[3]Dia 26 (b)'!$X19</f>
        <v>14.335551031884428</v>
      </c>
      <c r="AB13" s="15">
        <f>'[3]Dia 27 (b)'!$X19</f>
        <v>15.085160886297638</v>
      </c>
      <c r="AC13" s="15">
        <f>'[3]Dia 28 (b)'!$X19</f>
        <v>13.570162077156432</v>
      </c>
      <c r="AD13" s="15">
        <f>'[3]Dia 29 (b)'!$X19</f>
        <v>14.787011371553501</v>
      </c>
      <c r="AE13" s="15">
        <f>'[3]Dia 30 (b)'!$X19</f>
        <v>13.768882066091262</v>
      </c>
      <c r="AF13" s="15">
        <f>'[3]Dia 31 (b)'!$X19</f>
        <v>14.814026430857256</v>
      </c>
    </row>
    <row r="14" spans="1:32" ht="20.100000000000001" customHeight="1">
      <c r="A14" s="14">
        <v>11</v>
      </c>
      <c r="B14" s="15">
        <f>'[3]Dia 1 (b)'!$X20</f>
        <v>14.265399066259524</v>
      </c>
      <c r="C14" s="15">
        <f>'[3]Dia 2 (b)'!$X20</f>
        <v>14.333629443665894</v>
      </c>
      <c r="D14" s="15">
        <f>'[3]Dia 3 (b)'!$X20</f>
        <v>14.241470785784797</v>
      </c>
      <c r="E14" s="15">
        <f>'[3]Dia 4 (b)'!$X20</f>
        <v>14.854324069246442</v>
      </c>
      <c r="F14" s="15">
        <f>'[3]Dia 5 (b)'!$X20</f>
        <v>13.430767296658294</v>
      </c>
      <c r="G14" s="15">
        <f>'[3]Dia 6 (b)'!$X20</f>
        <v>13.704681409008412</v>
      </c>
      <c r="H14" s="15">
        <f>'[3]Dia 7 (b)'!$X20</f>
        <v>13.772391093805197</v>
      </c>
      <c r="I14" s="15">
        <f>'[3]Dia 8 (b)'!$X20</f>
        <v>13.21998611441103</v>
      </c>
      <c r="J14" s="15">
        <f>'[3]Dia 9 (b)'!$X20</f>
        <v>13.423200380758271</v>
      </c>
      <c r="K14" s="15">
        <f>'[3]Dia 10 (b)'!$X20</f>
        <v>14.999242758145677</v>
      </c>
      <c r="L14" s="15">
        <f>'[3]Dia 11 (b)'!$X20</f>
        <v>15.287274478995361</v>
      </c>
      <c r="M14" s="15">
        <f>'[3]Dia 12 (b)'!$X20</f>
        <v>14.640080177955479</v>
      </c>
      <c r="N14" s="15">
        <f>'[3]Dia 13 (b)'!$X20</f>
        <v>14.951333687809939</v>
      </c>
      <c r="O14" s="15">
        <f>'[3]Dia 14 (b)'!$X20</f>
        <v>14.921759067513326</v>
      </c>
      <c r="P14" s="15">
        <f>'[3]Dia 15 (b)'!$X20</f>
        <v>14.873314904236217</v>
      </c>
      <c r="Q14" s="15">
        <f>'[3]Dia 16 (b)'!$X20</f>
        <v>13.54390739375995</v>
      </c>
      <c r="R14" s="15">
        <f>'[3]Dia 17 (b)'!$X20</f>
        <v>11.654115802607937</v>
      </c>
      <c r="S14" s="15">
        <f>'[3]Dia 18 (b)'!$X20</f>
        <v>12.963820608119006</v>
      </c>
      <c r="T14" s="15">
        <f>'[3]Dia 19 (b)'!$X20</f>
        <v>14.277813744890274</v>
      </c>
      <c r="U14" s="15">
        <f>'[3]Dia 20 (b)'!$X20</f>
        <v>13.659659039280248</v>
      </c>
      <c r="V14" s="15">
        <f>'[3]Dia 21 (b)'!$X20</f>
        <v>12.946301221634815</v>
      </c>
      <c r="W14" s="15">
        <f>'[3]Dia 22 (b)'!$X20</f>
        <v>12.765635682971773</v>
      </c>
      <c r="X14" s="15">
        <f>'[3]Dia 23 (b)'!$X20</f>
        <v>12.459965820998343</v>
      </c>
      <c r="Y14" s="15">
        <f>'[3]Dia 24 (b)'!$X20</f>
        <v>12.893487214738448</v>
      </c>
      <c r="Z14" s="15">
        <f>'[3]Dia 25 (b)'!$X20</f>
        <v>13.478982422146716</v>
      </c>
      <c r="AA14" s="15">
        <f>'[3]Dia 26 (b)'!$X20</f>
        <v>13.713554519238714</v>
      </c>
      <c r="AB14" s="15">
        <f>'[3]Dia 27 (b)'!$X20</f>
        <v>13.415778011449326</v>
      </c>
      <c r="AC14" s="15">
        <f>'[3]Dia 28 (b)'!$X20</f>
        <v>13.381461585410731</v>
      </c>
      <c r="AD14" s="15">
        <f>'[3]Dia 29 (b)'!$X20</f>
        <v>14.530100043651059</v>
      </c>
      <c r="AE14" s="15">
        <f>'[3]Dia 30 (b)'!$X20</f>
        <v>13.217670133182091</v>
      </c>
      <c r="AF14" s="15">
        <f>'[3]Dia 31 (b)'!$X20</f>
        <v>14.974493372525497</v>
      </c>
    </row>
    <row r="15" spans="1:32" ht="20.100000000000001" customHeight="1">
      <c r="A15" s="14">
        <v>12</v>
      </c>
      <c r="B15" s="15">
        <f>'[3]Dia 1 (b)'!$X21</f>
        <v>13.334158743389644</v>
      </c>
      <c r="C15" s="15">
        <f>'[3]Dia 2 (b)'!$X21</f>
        <v>13.720129465185186</v>
      </c>
      <c r="D15" s="15">
        <f>'[3]Dia 3 (b)'!$X21</f>
        <v>13.531990705708857</v>
      </c>
      <c r="E15" s="15">
        <f>'[3]Dia 4 (b)'!$X21</f>
        <v>14.885498199628197</v>
      </c>
      <c r="F15" s="15">
        <f>'[3]Dia 5 (b)'!$X21</f>
        <v>13.822379318751713</v>
      </c>
      <c r="G15" s="15">
        <f>'[3]Dia 6 (b)'!$X21</f>
        <v>13.828951153777204</v>
      </c>
      <c r="H15" s="15">
        <f>'[3]Dia 7 (b)'!$X21</f>
        <v>13.197225126580527</v>
      </c>
      <c r="I15" s="15">
        <f>'[3]Dia 8 (b)'!$X21</f>
        <v>13.503432790744998</v>
      </c>
      <c r="J15" s="15">
        <f>'[3]Dia 9 (b)'!$X21</f>
        <v>13.083446027979306</v>
      </c>
      <c r="K15" s="15">
        <f>'[3]Dia 10 (b)'!$X21</f>
        <v>15.853425123044214</v>
      </c>
      <c r="L15" s="15">
        <f>'[3]Dia 11 (b)'!$X21</f>
        <v>14.688553065087437</v>
      </c>
      <c r="M15" s="15">
        <f>'[3]Dia 12 (b)'!$X21</f>
        <v>15.076107688911007</v>
      </c>
      <c r="N15" s="15">
        <f>'[3]Dia 13 (b)'!$X21</f>
        <v>14.778640422169829</v>
      </c>
      <c r="O15" s="15">
        <f>'[3]Dia 14 (b)'!$X21</f>
        <v>15.286085248076864</v>
      </c>
      <c r="P15" s="15">
        <f>'[3]Dia 15 (b)'!$X21</f>
        <v>14.734912365871157</v>
      </c>
      <c r="Q15" s="15">
        <f>'[3]Dia 16 (b)'!$X21</f>
        <v>13.403400209437367</v>
      </c>
      <c r="R15" s="15">
        <f>'[3]Dia 17 (b)'!$X21</f>
        <v>11.254224191839434</v>
      </c>
      <c r="S15" s="15">
        <f>'[3]Dia 18 (b)'!$X21</f>
        <v>12.651702773805583</v>
      </c>
      <c r="T15" s="15">
        <f>'[3]Dia 19 (b)'!$X21</f>
        <v>13.535234474701813</v>
      </c>
      <c r="U15" s="15">
        <f>'[3]Dia 20 (b)'!$X21</f>
        <v>12.492911686836223</v>
      </c>
      <c r="V15" s="15">
        <f>'[3]Dia 21 (b)'!$X21</f>
        <v>13.068138544055238</v>
      </c>
      <c r="W15" s="15">
        <f>'[3]Dia 22 (b)'!$X21</f>
        <v>14.44173212818283</v>
      </c>
      <c r="X15" s="15">
        <f>'[3]Dia 23 (b)'!$X21</f>
        <v>11.365093485293675</v>
      </c>
      <c r="Y15" s="15">
        <f>'[3]Dia 24 (b)'!$X21</f>
        <v>13.304375100689812</v>
      </c>
      <c r="Z15" s="15">
        <f>'[3]Dia 25 (b)'!$X21</f>
        <v>13.651978673697606</v>
      </c>
      <c r="AA15" s="15">
        <f>'[3]Dia 26 (b)'!$X21</f>
        <v>13.684249070320281</v>
      </c>
      <c r="AB15" s="15">
        <f>'[3]Dia 27 (b)'!$X21</f>
        <v>14.238396899871761</v>
      </c>
      <c r="AC15" s="15">
        <f>'[3]Dia 28 (b)'!$X21</f>
        <v>13.734577713525939</v>
      </c>
      <c r="AD15" s="15">
        <f>'[3]Dia 29 (b)'!$X21</f>
        <v>13.736501923747777</v>
      </c>
      <c r="AE15" s="15">
        <f>'[3]Dia 30 (b)'!$X21</f>
        <v>13.283362355558539</v>
      </c>
      <c r="AF15" s="15">
        <f>'[3]Dia 31 (b)'!$X21</f>
        <v>14.566284157575168</v>
      </c>
    </row>
    <row r="16" spans="1:32" ht="20.100000000000001" customHeight="1">
      <c r="A16" s="14">
        <v>13</v>
      </c>
      <c r="B16" s="15">
        <f>'[3]Dia 1 (b)'!$X22</f>
        <v>14.327928012998211</v>
      </c>
      <c r="C16" s="15">
        <f>'[3]Dia 2 (b)'!$X22</f>
        <v>13.648733309204486</v>
      </c>
      <c r="D16" s="15">
        <f>'[3]Dia 3 (b)'!$X22</f>
        <v>14.244457069166179</v>
      </c>
      <c r="E16" s="15">
        <f>'[3]Dia 4 (b)'!$X22</f>
        <v>15.508451110600406</v>
      </c>
      <c r="F16" s="15">
        <f>'[3]Dia 5 (b)'!$X22</f>
        <v>14.950821459224974</v>
      </c>
      <c r="G16" s="15">
        <f>'[3]Dia 6 (b)'!$X22</f>
        <v>14.042758111129121</v>
      </c>
      <c r="H16" s="15">
        <f>'[3]Dia 7 (b)'!$X22</f>
        <v>12.980231898288313</v>
      </c>
      <c r="I16" s="15">
        <f>'[3]Dia 8 (b)'!$X22</f>
        <v>12.93120734410992</v>
      </c>
      <c r="J16" s="15">
        <f>'[3]Dia 9 (b)'!$X22</f>
        <v>14.44476780498325</v>
      </c>
      <c r="K16" s="15">
        <f>'[3]Dia 10 (b)'!$X22</f>
        <v>17.60118000575924</v>
      </c>
      <c r="L16" s="15">
        <f>'[3]Dia 11 (b)'!$X22</f>
        <v>14.075308377101594</v>
      </c>
      <c r="M16" s="15">
        <f>'[3]Dia 12 (b)'!$X22</f>
        <v>15.195840191953833</v>
      </c>
      <c r="N16" s="15">
        <f>'[3]Dia 13 (b)'!$X22</f>
        <v>14.858779944234007</v>
      </c>
      <c r="O16" s="15">
        <f>'[3]Dia 14 (b)'!$X22</f>
        <v>14.962157917934581</v>
      </c>
      <c r="P16" s="15">
        <f>'[3]Dia 15 (b)'!$X22</f>
        <v>16.246546591185705</v>
      </c>
      <c r="Q16" s="15">
        <f>'[3]Dia 16 (b)'!$X22</f>
        <v>13.336847826878639</v>
      </c>
      <c r="R16" s="15">
        <f>'[3]Dia 17 (b)'!$X22</f>
        <v>14.144999680598396</v>
      </c>
      <c r="S16" s="15">
        <f>'[3]Dia 18 (b)'!$X22</f>
        <v>12.14188540330642</v>
      </c>
      <c r="T16" s="15">
        <f>'[3]Dia 19 (b)'!$X22</f>
        <v>13.312079366263427</v>
      </c>
      <c r="U16" s="15">
        <f>'[3]Dia 20 (b)'!$X22</f>
        <v>12.096367337540022</v>
      </c>
      <c r="V16" s="15">
        <f>'[3]Dia 21 (b)'!$X22</f>
        <v>14.382487906878222</v>
      </c>
      <c r="W16" s="15">
        <f>'[3]Dia 22 (b)'!$X22</f>
        <v>14.040636824496755</v>
      </c>
      <c r="X16" s="15">
        <f>'[3]Dia 23 (b)'!$X22</f>
        <v>13.210170868983477</v>
      </c>
      <c r="Y16" s="15">
        <f>'[3]Dia 24 (b)'!$X22</f>
        <v>13.218119989148466</v>
      </c>
      <c r="Z16" s="15">
        <f>'[3]Dia 25 (b)'!$X22</f>
        <v>14.166058146846032</v>
      </c>
      <c r="AA16" s="15">
        <f>'[3]Dia 26 (b)'!$X22</f>
        <v>13.974446538156361</v>
      </c>
      <c r="AB16" s="15">
        <f>'[3]Dia 27 (b)'!$X22</f>
        <v>14.370792707848032</v>
      </c>
      <c r="AC16" s="15">
        <f>'[3]Dia 28 (b)'!$X22</f>
        <v>13.758690974384672</v>
      </c>
      <c r="AD16" s="15">
        <f>'[3]Dia 29 (b)'!$X22</f>
        <v>13.857036700081039</v>
      </c>
      <c r="AE16" s="15">
        <f>'[3]Dia 30 (b)'!$X22</f>
        <v>13.078353695346967</v>
      </c>
      <c r="AF16" s="15">
        <f>'[3]Dia 31 (b)'!$X22</f>
        <v>14.353505616591505</v>
      </c>
    </row>
    <row r="17" spans="1:32" ht="20.100000000000001" customHeight="1">
      <c r="A17" s="14">
        <v>14</v>
      </c>
      <c r="B17" s="15">
        <f>'[3]Dia 1 (b)'!$X23</f>
        <v>14.680513751490976</v>
      </c>
      <c r="C17" s="15">
        <f>'[3]Dia 2 (b)'!$X23</f>
        <v>12.866376179879968</v>
      </c>
      <c r="D17" s="15">
        <f>'[3]Dia 3 (b)'!$X23</f>
        <v>18.109072665977479</v>
      </c>
      <c r="E17" s="15">
        <f>'[3]Dia 4 (b)'!$X23</f>
        <v>14.718640707357192</v>
      </c>
      <c r="F17" s="15">
        <f>'[3]Dia 5 (b)'!$X23</f>
        <v>14.180949824691636</v>
      </c>
      <c r="G17" s="15">
        <f>'[3]Dia 6 (b)'!$X23</f>
        <v>13.823083032268293</v>
      </c>
      <c r="H17" s="15">
        <f>'[3]Dia 7 (b)'!$X23</f>
        <v>14.031299979019035</v>
      </c>
      <c r="I17" s="15">
        <f>'[3]Dia 8 (b)'!$X23</f>
        <v>12.671172244027973</v>
      </c>
      <c r="J17" s="15">
        <f>'[3]Dia 9 (b)'!$X23</f>
        <v>14.935100587643598</v>
      </c>
      <c r="K17" s="15">
        <f>'[3]Dia 10 (b)'!$X23</f>
        <v>14.906394232994367</v>
      </c>
      <c r="L17" s="15">
        <f>'[3]Dia 11 (b)'!$X23</f>
        <v>15.718518991253015</v>
      </c>
      <c r="M17" s="15">
        <f>'[3]Dia 12 (b)'!$X23</f>
        <v>16.234378614018034</v>
      </c>
      <c r="N17" s="15">
        <f>'[3]Dia 13 (b)'!$X23</f>
        <v>15.877549842087275</v>
      </c>
      <c r="O17" s="15">
        <f>'[3]Dia 14 (b)'!$X23</f>
        <v>14.267825072363683</v>
      </c>
      <c r="P17" s="15">
        <f>'[3]Dia 15 (b)'!$X23</f>
        <v>15.429385313416669</v>
      </c>
      <c r="Q17" s="15">
        <f>'[3]Dia 16 (b)'!$X23</f>
        <v>15.526823357704973</v>
      </c>
      <c r="R17" s="15">
        <f>'[3]Dia 17 (b)'!$X23</f>
        <v>14.563575327781598</v>
      </c>
      <c r="S17" s="15">
        <f>'[3]Dia 18 (b)'!$X23</f>
        <v>15.584300808096925</v>
      </c>
      <c r="T17" s="15">
        <f>'[3]Dia 19 (b)'!$X23</f>
        <v>13.28238815137342</v>
      </c>
      <c r="U17" s="15">
        <f>'[3]Dia 20 (b)'!$X23</f>
        <v>11.823235845906744</v>
      </c>
      <c r="V17" s="15">
        <f>'[3]Dia 21 (b)'!$X23</f>
        <v>14.752266813731611</v>
      </c>
      <c r="W17" s="15">
        <f>'[3]Dia 22 (b)'!$X23</f>
        <v>14.172413523361818</v>
      </c>
      <c r="X17" s="15">
        <f>'[3]Dia 23 (b)'!$X23</f>
        <v>15.238543734381464</v>
      </c>
      <c r="Y17" s="15">
        <f>'[3]Dia 24 (b)'!$X23</f>
        <v>13.163338991972456</v>
      </c>
      <c r="Z17" s="15">
        <f>'[3]Dia 25 (b)'!$X23</f>
        <v>15.578101938982046</v>
      </c>
      <c r="AA17" s="15">
        <f>'[3]Dia 26 (b)'!$X23</f>
        <v>13.146854105985197</v>
      </c>
      <c r="AB17" s="15">
        <f>'[3]Dia 27 (b)'!$X23</f>
        <v>14.32326774475948</v>
      </c>
      <c r="AC17" s="15">
        <f>'[3]Dia 28 (b)'!$X23</f>
        <v>14.384751381469782</v>
      </c>
      <c r="AD17" s="15">
        <f>'[3]Dia 29 (b)'!$X23</f>
        <v>13.849060954053757</v>
      </c>
      <c r="AE17" s="15">
        <f>'[3]Dia 30 (b)'!$X23</f>
        <v>12.926737685856253</v>
      </c>
      <c r="AF17" s="15">
        <f>'[3]Dia 31 (b)'!$X23</f>
        <v>14.845576321755056</v>
      </c>
    </row>
    <row r="18" spans="1:32" ht="20.100000000000001" customHeight="1">
      <c r="A18" s="14">
        <v>15</v>
      </c>
      <c r="B18" s="15">
        <f>'[3]Dia 1 (b)'!$X24</f>
        <v>16.086570050312908</v>
      </c>
      <c r="C18" s="15">
        <f>'[3]Dia 2 (b)'!$X24</f>
        <v>13.339473586480317</v>
      </c>
      <c r="D18" s="15">
        <f>'[3]Dia 3 (b)'!$X24</f>
        <v>18.218232095347261</v>
      </c>
      <c r="E18" s="15">
        <f>'[3]Dia 4 (b)'!$X24</f>
        <v>15.325191370592483</v>
      </c>
      <c r="F18" s="15">
        <f>'[3]Dia 5 (b)'!$X24</f>
        <v>13.221820904999422</v>
      </c>
      <c r="G18" s="15">
        <f>'[3]Dia 6 (b)'!$X24</f>
        <v>13.183115184058941</v>
      </c>
      <c r="H18" s="15">
        <f>'[3]Dia 7 (b)'!$X24</f>
        <v>13.311239541404374</v>
      </c>
      <c r="I18" s="15">
        <f>'[3]Dia 8 (b)'!$X24</f>
        <v>14.299263835551622</v>
      </c>
      <c r="J18" s="15">
        <f>'[3]Dia 9 (b)'!$X24</f>
        <v>15.760023212586912</v>
      </c>
      <c r="K18" s="15">
        <f>'[3]Dia 10 (b)'!$X24</f>
        <v>15.567427040191923</v>
      </c>
      <c r="L18" s="15">
        <f>'[3]Dia 11 (b)'!$X24</f>
        <v>16.282104492283178</v>
      </c>
      <c r="M18" s="15">
        <f>'[3]Dia 12 (b)'!$X24</f>
        <v>16.174827301822646</v>
      </c>
      <c r="N18" s="15">
        <f>'[3]Dia 13 (b)'!$X24</f>
        <v>16.861305312517356</v>
      </c>
      <c r="O18" s="15">
        <f>'[3]Dia 14 (b)'!$X24</f>
        <v>16.229000744331465</v>
      </c>
      <c r="P18" s="15">
        <f>'[3]Dia 15 (b)'!$X24</f>
        <v>15.489895881399667</v>
      </c>
      <c r="Q18" s="15">
        <f>'[3]Dia 16 (b)'!$X24</f>
        <v>15.243451619206079</v>
      </c>
      <c r="R18" s="15">
        <f>'[3]Dia 17 (b)'!$X24</f>
        <v>14.349536248822389</v>
      </c>
      <c r="S18" s="15">
        <f>'[3]Dia 18 (b)'!$X24</f>
        <v>15.284533123053087</v>
      </c>
      <c r="T18" s="15">
        <f>'[3]Dia 19 (b)'!$X24</f>
        <v>16.339625396245967</v>
      </c>
      <c r="U18" s="15">
        <f>'[3]Dia 20 (b)'!$X24</f>
        <v>12.723462144181052</v>
      </c>
      <c r="V18" s="15">
        <f>'[3]Dia 21 (b)'!$X24</f>
        <v>14.23764530217052</v>
      </c>
      <c r="W18" s="15">
        <f>'[3]Dia 22 (b)'!$X24</f>
        <v>14.455001899712734</v>
      </c>
      <c r="X18" s="15">
        <f>'[3]Dia 23 (b)'!$X24</f>
        <v>15.615260995596962</v>
      </c>
      <c r="Y18" s="15">
        <f>'[3]Dia 24 (b)'!$X24</f>
        <v>12.942046658885371</v>
      </c>
      <c r="Z18" s="15">
        <f>'[3]Dia 25 (b)'!$X24</f>
        <v>16.326290366205733</v>
      </c>
      <c r="AA18" s="15">
        <f>'[3]Dia 26 (b)'!$X24</f>
        <v>13.093134181160888</v>
      </c>
      <c r="AB18" s="15">
        <f>'[3]Dia 27 (b)'!$X24</f>
        <v>13.946236051596053</v>
      </c>
      <c r="AC18" s="15">
        <f>'[3]Dia 28 (b)'!$X24</f>
        <v>14.777480915515588</v>
      </c>
      <c r="AD18" s="15">
        <f>'[3]Dia 29 (b)'!$X24</f>
        <v>16.264785658945254</v>
      </c>
      <c r="AE18" s="15">
        <f>'[3]Dia 30 (b)'!$X24</f>
        <v>12.828141975627849</v>
      </c>
      <c r="AF18" s="15">
        <f>'[3]Dia 31 (b)'!$X24</f>
        <v>15.662215821774293</v>
      </c>
    </row>
    <row r="19" spans="1:32" ht="20.100000000000001" customHeight="1">
      <c r="A19" s="14">
        <v>16</v>
      </c>
      <c r="B19" s="15">
        <f>'[3]Dia 1 (b)'!$X25</f>
        <v>16.102706071540961</v>
      </c>
      <c r="C19" s="15">
        <f>'[3]Dia 2 (b)'!$X25</f>
        <v>17.377526367302941</v>
      </c>
      <c r="D19" s="15">
        <f>'[3]Dia 3 (b)'!$X25</f>
        <v>18.029246915708274</v>
      </c>
      <c r="E19" s="15">
        <f>'[3]Dia 4 (b)'!$X25</f>
        <v>14.327760737924184</v>
      </c>
      <c r="F19" s="15">
        <f>'[3]Dia 5 (b)'!$X25</f>
        <v>13.977145047333993</v>
      </c>
      <c r="G19" s="15">
        <f>'[3]Dia 6 (b)'!$X25</f>
        <v>13.801021604280955</v>
      </c>
      <c r="H19" s="15">
        <f>'[3]Dia 7 (b)'!$X25</f>
        <v>13.188248728564952</v>
      </c>
      <c r="I19" s="15">
        <f>'[3]Dia 8 (b)'!$X25</f>
        <v>16.113446021496777</v>
      </c>
      <c r="J19" s="15">
        <f>'[3]Dia 9 (b)'!$X25</f>
        <v>15.290200122871058</v>
      </c>
      <c r="K19" s="15">
        <f>'[3]Dia 10 (b)'!$X25</f>
        <v>15.843626859924854</v>
      </c>
      <c r="L19" s="15">
        <f>'[3]Dia 11 (b)'!$X25</f>
        <v>16.149881081346305</v>
      </c>
      <c r="M19" s="15">
        <f>'[3]Dia 12 (b)'!$X25</f>
        <v>15.771240670386353</v>
      </c>
      <c r="N19" s="15">
        <f>'[3]Dia 13 (b)'!$X25</f>
        <v>16.855732203505294</v>
      </c>
      <c r="O19" s="15">
        <f>'[3]Dia 14 (b)'!$X25</f>
        <v>16.771408833237423</v>
      </c>
      <c r="P19" s="15">
        <f>'[3]Dia 15 (b)'!$X25</f>
        <v>14.991608189246216</v>
      </c>
      <c r="Q19" s="15">
        <f>'[3]Dia 16 (b)'!$X25</f>
        <v>15.073767964170072</v>
      </c>
      <c r="R19" s="15">
        <f>'[3]Dia 17 (b)'!$X25</f>
        <v>14.331096959321362</v>
      </c>
      <c r="S19" s="15">
        <f>'[3]Dia 18 (b)'!$X25</f>
        <v>15.155402976002053</v>
      </c>
      <c r="T19" s="15">
        <f>'[3]Dia 19 (b)'!$X25</f>
        <v>16.403875333183368</v>
      </c>
      <c r="U19" s="15">
        <f>'[3]Dia 20 (b)'!$X25</f>
        <v>14.556836253888976</v>
      </c>
      <c r="V19" s="15">
        <f>'[3]Dia 21 (b)'!$X25</f>
        <v>15.250551589243972</v>
      </c>
      <c r="W19" s="15">
        <f>'[3]Dia 22 (b)'!$X25</f>
        <v>15.253574386188705</v>
      </c>
      <c r="X19" s="15">
        <f>'[3]Dia 23 (b)'!$X25</f>
        <v>15.335423472145518</v>
      </c>
      <c r="Y19" s="15">
        <f>'[3]Dia 24 (b)'!$X25</f>
        <v>13.603971796637216</v>
      </c>
      <c r="Z19" s="15">
        <f>'[3]Dia 25 (b)'!$X25</f>
        <v>16.2289055599961</v>
      </c>
      <c r="AA19" s="15">
        <f>'[3]Dia 26 (b)'!$X25</f>
        <v>12.67550053948878</v>
      </c>
      <c r="AB19" s="15">
        <f>'[3]Dia 27 (b)'!$X25</f>
        <v>14.184592968445353</v>
      </c>
      <c r="AC19" s="15">
        <f>'[3]Dia 28 (b)'!$X25</f>
        <v>14.798001463509447</v>
      </c>
      <c r="AD19" s="15">
        <f>'[3]Dia 29 (b)'!$X25</f>
        <v>16.668832532352745</v>
      </c>
      <c r="AE19" s="15">
        <f>'[3]Dia 30 (b)'!$X25</f>
        <v>11.971564081095584</v>
      </c>
      <c r="AF19" s="15">
        <f>'[3]Dia 31 (b)'!$X25</f>
        <v>15.905940728745481</v>
      </c>
    </row>
    <row r="20" spans="1:32" ht="20.100000000000001" customHeight="1">
      <c r="A20" s="14">
        <v>17</v>
      </c>
      <c r="B20" s="15">
        <f>'[3]Dia 1 (b)'!$X26</f>
        <v>15.939168700172246</v>
      </c>
      <c r="C20" s="15">
        <f>'[3]Dia 2 (b)'!$X26</f>
        <v>16.979039102975275</v>
      </c>
      <c r="D20" s="15">
        <f>'[3]Dia 3 (b)'!$X26</f>
        <v>18.139957278109712</v>
      </c>
      <c r="E20" s="15">
        <f>'[3]Dia 4 (b)'!$X26</f>
        <v>14.127928543635091</v>
      </c>
      <c r="F20" s="15">
        <f>'[3]Dia 5 (b)'!$X26</f>
        <v>14.146477800039305</v>
      </c>
      <c r="G20" s="15">
        <f>'[3]Dia 6 (b)'!$X26</f>
        <v>13.36060926053263</v>
      </c>
      <c r="H20" s="15">
        <f>'[3]Dia 7 (b)'!$X26</f>
        <v>13.641667799152646</v>
      </c>
      <c r="I20" s="15">
        <f>'[3]Dia 8 (b)'!$X26</f>
        <v>14.262207803010995</v>
      </c>
      <c r="J20" s="15">
        <f>'[3]Dia 9 (b)'!$X26</f>
        <v>15.388418852948091</v>
      </c>
      <c r="K20" s="15">
        <f>'[3]Dia 10 (b)'!$X26</f>
        <v>16.512482344160546</v>
      </c>
      <c r="L20" s="15">
        <f>'[3]Dia 11 (b)'!$X26</f>
        <v>15.820675451761966</v>
      </c>
      <c r="M20" s="15">
        <f>'[3]Dia 12 (b)'!$X26</f>
        <v>15.570975011791438</v>
      </c>
      <c r="N20" s="15">
        <f>'[3]Dia 13 (b)'!$X26</f>
        <v>16.10220146155509</v>
      </c>
      <c r="O20" s="15">
        <f>'[3]Dia 14 (b)'!$X26</f>
        <v>16.613556549341652</v>
      </c>
      <c r="P20" s="15">
        <f>'[3]Dia 15 (b)'!$X26</f>
        <v>14.485220850747906</v>
      </c>
      <c r="Q20" s="15">
        <f>'[3]Dia 16 (b)'!$X26</f>
        <v>14.767206203407783</v>
      </c>
      <c r="R20" s="15">
        <f>'[3]Dia 17 (b)'!$X26</f>
        <v>14.090408017054948</v>
      </c>
      <c r="S20" s="15">
        <f>'[3]Dia 18 (b)'!$X26</f>
        <v>15.027743376502213</v>
      </c>
      <c r="T20" s="15">
        <f>'[3]Dia 19 (b)'!$X26</f>
        <v>15.99220196369415</v>
      </c>
      <c r="U20" s="15">
        <f>'[3]Dia 20 (b)'!$X26</f>
        <v>16.772305096754994</v>
      </c>
      <c r="V20" s="15">
        <f>'[3]Dia 21 (b)'!$X26</f>
        <v>15.58647612942355</v>
      </c>
      <c r="W20" s="15">
        <f>'[3]Dia 22 (b)'!$X26</f>
        <v>14.644084185992485</v>
      </c>
      <c r="X20" s="15">
        <f>'[3]Dia 23 (b)'!$X26</f>
        <v>15.254911743615834</v>
      </c>
      <c r="Y20" s="15">
        <f>'[3]Dia 24 (b)'!$X26</f>
        <v>15.479999135970983</v>
      </c>
      <c r="Z20" s="15">
        <f>'[3]Dia 25 (b)'!$X26</f>
        <v>16.017450034713487</v>
      </c>
      <c r="AA20" s="15">
        <f>'[3]Dia 26 (b)'!$X26</f>
        <v>13.164179493629039</v>
      </c>
      <c r="AB20" s="15">
        <f>'[3]Dia 27 (b)'!$X26</f>
        <v>14.008568595250914</v>
      </c>
      <c r="AC20" s="15">
        <f>'[3]Dia 28 (b)'!$X26</f>
        <v>14.824279739629674</v>
      </c>
      <c r="AD20" s="15">
        <f>'[3]Dia 29 (b)'!$X26</f>
        <v>13.583008470502994</v>
      </c>
      <c r="AE20" s="15">
        <f>'[3]Dia 30 (b)'!$X26</f>
        <v>12.017498119363875</v>
      </c>
      <c r="AF20" s="15">
        <f>'[3]Dia 31 (b)'!$X26</f>
        <v>15.627370529687038</v>
      </c>
    </row>
    <row r="21" spans="1:32" ht="20.100000000000001" customHeight="1">
      <c r="A21" s="14">
        <v>18</v>
      </c>
      <c r="B21" s="15">
        <f>'[3]Dia 1 (b)'!$X27</f>
        <v>15.777066527854005</v>
      </c>
      <c r="C21" s="15">
        <f>'[3]Dia 2 (b)'!$X27</f>
        <v>16.256361554914999</v>
      </c>
      <c r="D21" s="15">
        <f>'[3]Dia 3 (b)'!$X27</f>
        <v>17.923036037422392</v>
      </c>
      <c r="E21" s="15">
        <f>'[3]Dia 4 (b)'!$X27</f>
        <v>14.517253109330611</v>
      </c>
      <c r="F21" s="15">
        <f>'[3]Dia 5 (b)'!$X27</f>
        <v>13.616528932521224</v>
      </c>
      <c r="G21" s="15">
        <f>'[3]Dia 6 (b)'!$X27</f>
        <v>15.960276354624744</v>
      </c>
      <c r="H21" s="15">
        <f>'[3]Dia 7 (b)'!$X27</f>
        <v>14.190655219328645</v>
      </c>
      <c r="I21" s="15">
        <f>'[3]Dia 8 (b)'!$X27</f>
        <v>14.011453294537654</v>
      </c>
      <c r="J21" s="15">
        <f>'[3]Dia 9 (b)'!$X27</f>
        <v>15.771240670386353</v>
      </c>
      <c r="K21" s="15">
        <f>'[3]Dia 10 (b)'!$X27</f>
        <v>16.761147083056976</v>
      </c>
      <c r="L21" s="15">
        <f>'[3]Dia 11 (b)'!$X27</f>
        <v>15.760330932287697</v>
      </c>
      <c r="M21" s="15">
        <f>'[3]Dia 12 (b)'!$X27</f>
        <v>15.326504906521867</v>
      </c>
      <c r="N21" s="15">
        <f>'[3]Dia 13 (b)'!$X27</f>
        <v>15.737935048431357</v>
      </c>
      <c r="O21" s="15">
        <f>'[3]Dia 14 (b)'!$X27</f>
        <v>16.925353581440323</v>
      </c>
      <c r="P21" s="15">
        <f>'[3]Dia 15 (b)'!$X27</f>
        <v>14.222962457897186</v>
      </c>
      <c r="Q21" s="15">
        <f>'[3]Dia 16 (b)'!$X27</f>
        <v>14.90238535923811</v>
      </c>
      <c r="R21" s="15">
        <f>'[3]Dia 17 (b)'!$X27</f>
        <v>14.114461646939407</v>
      </c>
      <c r="S21" s="15">
        <f>'[3]Dia 18 (b)'!$X27</f>
        <v>14.930058110734233</v>
      </c>
      <c r="T21" s="15">
        <f>'[3]Dia 19 (b)'!$X27</f>
        <v>15.758103900253918</v>
      </c>
      <c r="U21" s="15">
        <f>'[3]Dia 20 (b)'!$X27</f>
        <v>14.77876476205746</v>
      </c>
      <c r="V21" s="15">
        <f>'[3]Dia 21 (b)'!$X27</f>
        <v>14.806759576745787</v>
      </c>
      <c r="W21" s="15">
        <f>'[3]Dia 22 (b)'!$X27</f>
        <v>14.374706821076385</v>
      </c>
      <c r="X21" s="15">
        <f>'[3]Dia 23 (b)'!$X27</f>
        <v>15.168305508365219</v>
      </c>
      <c r="Y21" s="15">
        <f>'[3]Dia 24 (b)'!$X27</f>
        <v>14.632660188063468</v>
      </c>
      <c r="Z21" s="15">
        <f>'[3]Dia 25 (b)'!$X27</f>
        <v>15.958637288265638</v>
      </c>
      <c r="AA21" s="15">
        <f>'[3]Dia 26 (b)'!$X27</f>
        <v>12.756923066691492</v>
      </c>
      <c r="AB21" s="15">
        <f>'[3]Dia 27 (b)'!$X27</f>
        <v>13.861204760002659</v>
      </c>
      <c r="AC21" s="15">
        <f>'[3]Dia 28 (b)'!$X27</f>
        <v>14.56430080205304</v>
      </c>
      <c r="AD21" s="15">
        <f>'[3]Dia 29 (b)'!$X27</f>
        <v>13.742036062161992</v>
      </c>
      <c r="AE21" s="15">
        <f>'[3]Dia 30 (b)'!$X27</f>
        <v>13.856203570301398</v>
      </c>
      <c r="AF21" s="15">
        <f>'[3]Dia 31 (b)'!$X27</f>
        <v>16.579374850237457</v>
      </c>
    </row>
    <row r="22" spans="1:32" ht="20.100000000000001" customHeight="1">
      <c r="A22" s="14">
        <v>19</v>
      </c>
      <c r="B22" s="15">
        <f>'[3]Dia 1 (b)'!$X28</f>
        <v>15.10464106408614</v>
      </c>
      <c r="C22" s="15">
        <f>'[3]Dia 2 (b)'!$X28</f>
        <v>16.390662285169402</v>
      </c>
      <c r="D22" s="15">
        <f>'[3]Dia 3 (b)'!$X28</f>
        <v>17.77333606769314</v>
      </c>
      <c r="E22" s="15">
        <f>'[3]Dia 4 (b)'!$X28</f>
        <v>15.70735066002389</v>
      </c>
      <c r="F22" s="15">
        <f>'[3]Dia 5 (b)'!$X28</f>
        <v>13.255374520462528</v>
      </c>
      <c r="G22" s="15">
        <f>'[3]Dia 6 (b)'!$X28</f>
        <v>14.766127904165579</v>
      </c>
      <c r="H22" s="15">
        <f>'[3]Dia 7 (b)'!$X28</f>
        <v>14.37567930637351</v>
      </c>
      <c r="I22" s="15">
        <f>'[3]Dia 8 (b)'!$X28</f>
        <v>14.60352488753059</v>
      </c>
      <c r="J22" s="15">
        <f>'[3]Dia 9 (b)'!$X28</f>
        <v>15.549391344422549</v>
      </c>
      <c r="K22" s="15">
        <f>'[3]Dia 10 (b)'!$X28</f>
        <v>16.186620208424166</v>
      </c>
      <c r="L22" s="15">
        <f>'[3]Dia 11 (b)'!$X28</f>
        <v>15.711214437118068</v>
      </c>
      <c r="M22" s="15">
        <f>'[3]Dia 12 (b)'!$X28</f>
        <v>15.408262201986329</v>
      </c>
      <c r="N22" s="15">
        <f>'[3]Dia 13 (b)'!$X28</f>
        <v>15.938600312705136</v>
      </c>
      <c r="O22" s="15">
        <f>'[3]Dia 14 (b)'!$X28</f>
        <v>16.503524541247366</v>
      </c>
      <c r="P22" s="15">
        <f>'[3]Dia 15 (b)'!$X28</f>
        <v>14.427146880708952</v>
      </c>
      <c r="Q22" s="15">
        <f>'[3]Dia 16 (b)'!$X28</f>
        <v>14.437503641665906</v>
      </c>
      <c r="R22" s="15">
        <f>'[3]Dia 17 (b)'!$X28</f>
        <v>13.813101810819933</v>
      </c>
      <c r="S22" s="15">
        <f>'[3]Dia 18 (b)'!$X28</f>
        <v>14.547525131845534</v>
      </c>
      <c r="T22" s="15">
        <f>'[3]Dia 19 (b)'!$X28</f>
        <v>15.633140786721153</v>
      </c>
      <c r="U22" s="15">
        <f>'[3]Dia 20 (b)'!$X28</f>
        <v>13.783988249167583</v>
      </c>
      <c r="V22" s="15">
        <f>'[3]Dia 21 (b)'!$X28</f>
        <v>14.707460637575556</v>
      </c>
      <c r="W22" s="15">
        <f>'[3]Dia 22 (b)'!$X28</f>
        <v>14.813238218838555</v>
      </c>
      <c r="X22" s="15">
        <f>'[3]Dia 23 (b)'!$X28</f>
        <v>14.638835971569085</v>
      </c>
      <c r="Y22" s="15">
        <f>'[3]Dia 24 (b)'!$X28</f>
        <v>16.435106792393025</v>
      </c>
      <c r="Z22" s="15">
        <f>'[3]Dia 25 (b)'!$X28</f>
        <v>16.078797608015584</v>
      </c>
      <c r="AA22" s="15">
        <f>'[3]Dia 26 (b)'!$X28</f>
        <v>14.21590222060715</v>
      </c>
      <c r="AB22" s="15">
        <f>'[3]Dia 27 (b)'!$X28</f>
        <v>13.613752109999897</v>
      </c>
      <c r="AC22" s="15">
        <f>'[3]Dia 28 (b)'!$X28</f>
        <v>14.458422800188742</v>
      </c>
      <c r="AD22" s="15">
        <f>'[3]Dia 29 (b)'!$X28</f>
        <v>13.579153529834228</v>
      </c>
      <c r="AE22" s="15">
        <f>'[3]Dia 30 (b)'!$X28</f>
        <v>16.279249898224425</v>
      </c>
      <c r="AF22" s="15">
        <f>'[3]Dia 31 (b)'!$X28</f>
        <v>15.655888257231988</v>
      </c>
    </row>
    <row r="23" spans="1:32" ht="20.100000000000001" customHeight="1">
      <c r="A23" s="14">
        <v>20</v>
      </c>
      <c r="B23" s="15">
        <f>'[3]Dia 1 (b)'!$X29</f>
        <v>14.938841863473652</v>
      </c>
      <c r="C23" s="15">
        <f>'[3]Dia 2 (b)'!$X29</f>
        <v>16.094344176732509</v>
      </c>
      <c r="D23" s="15">
        <f>'[3]Dia 3 (b)'!$X29</f>
        <v>17.769008680828733</v>
      </c>
      <c r="E23" s="15">
        <f>'[3]Dia 4 (b)'!$X29</f>
        <v>15.420180784189672</v>
      </c>
      <c r="F23" s="15">
        <f>'[3]Dia 5 (b)'!$X29</f>
        <v>15.526083066180353</v>
      </c>
      <c r="G23" s="15">
        <f>'[3]Dia 6 (b)'!$X29</f>
        <v>12.89547105259874</v>
      </c>
      <c r="H23" s="15">
        <f>'[3]Dia 7 (b)'!$X29</f>
        <v>14.899100843463362</v>
      </c>
      <c r="I23" s="15">
        <f>'[3]Dia 8 (b)'!$X29</f>
        <v>15.067676567243961</v>
      </c>
      <c r="J23" s="15">
        <f>'[3]Dia 9 (b)'!$X29</f>
        <v>15.878380066421457</v>
      </c>
      <c r="K23" s="15">
        <f>'[3]Dia 10 (b)'!$X29</f>
        <v>14.586959221647055</v>
      </c>
      <c r="L23" s="15">
        <f>'[3]Dia 11 (b)'!$X29</f>
        <v>15.886150115121229</v>
      </c>
      <c r="M23" s="15">
        <f>'[3]Dia 12 (b)'!$X29</f>
        <v>15.443087061759844</v>
      </c>
      <c r="N23" s="15">
        <f>'[3]Dia 13 (b)'!$X29</f>
        <v>16.278595408252286</v>
      </c>
      <c r="O23" s="15">
        <f>'[3]Dia 14 (b)'!$X29</f>
        <v>16.145893400178338</v>
      </c>
      <c r="P23" s="15">
        <f>'[3]Dia 15 (b)'!$X29</f>
        <v>13.94963113446444</v>
      </c>
      <c r="Q23" s="15">
        <f>'[3]Dia 16 (b)'!$X29</f>
        <v>14.226521175191515</v>
      </c>
      <c r="R23" s="15">
        <f>'[3]Dia 17 (b)'!$X29</f>
        <v>13.534137248553296</v>
      </c>
      <c r="S23" s="15">
        <f>'[3]Dia 18 (b)'!$X29</f>
        <v>14.484483470395087</v>
      </c>
      <c r="T23" s="15">
        <f>'[3]Dia 19 (b)'!$X29</f>
        <v>15.279897663585075</v>
      </c>
      <c r="U23" s="15">
        <f>'[3]Dia 20 (b)'!$X29</f>
        <v>13.307201637418764</v>
      </c>
      <c r="V23" s="15">
        <f>'[3]Dia 21 (b)'!$X29</f>
        <v>14.357981713363737</v>
      </c>
      <c r="W23" s="15">
        <f>'[3]Dia 22 (b)'!$X29</f>
        <v>13.962588261385637</v>
      </c>
      <c r="X23" s="15">
        <f>'[3]Dia 23 (b)'!$X29</f>
        <v>14.555321862714443</v>
      </c>
      <c r="Y23" s="15">
        <f>'[3]Dia 24 (b)'!$X29</f>
        <v>15.665956298606465</v>
      </c>
      <c r="Z23" s="15">
        <f>'[3]Dia 25 (b)'!$X29</f>
        <v>15.705529022118737</v>
      </c>
      <c r="AA23" s="15">
        <f>'[3]Dia 26 (b)'!$X29</f>
        <v>15.389993620744843</v>
      </c>
      <c r="AB23" s="15">
        <f>'[3]Dia 27 (b)'!$X29</f>
        <v>13.000821849595166</v>
      </c>
      <c r="AC23" s="15">
        <f>'[3]Dia 28 (b)'!$X29</f>
        <v>14.548560444996626</v>
      </c>
      <c r="AD23" s="15">
        <f>'[3]Dia 29 (b)'!$X29</f>
        <v>14.209875682735015</v>
      </c>
      <c r="AE23" s="15">
        <f>'[3]Dia 30 (b)'!$X29</f>
        <v>14.699592404925086</v>
      </c>
      <c r="AF23" s="15">
        <f>'[3]Dia 31 (b)'!$X29</f>
        <v>15.701502900707585</v>
      </c>
    </row>
    <row r="24" spans="1:32" ht="20.100000000000001" customHeight="1">
      <c r="A24" s="14">
        <v>21</v>
      </c>
      <c r="B24" s="15">
        <f>'[3]Dia 1 (b)'!$X30</f>
        <v>14.576880114289072</v>
      </c>
      <c r="C24" s="15">
        <f>'[3]Dia 2 (b)'!$X30</f>
        <v>15.462622581553509</v>
      </c>
      <c r="D24" s="15">
        <f>'[3]Dia 3 (b)'!$X30</f>
        <v>17.75247150686134</v>
      </c>
      <c r="E24" s="15">
        <f>'[3]Dia 4 (b)'!$X30</f>
        <v>16.000098249268095</v>
      </c>
      <c r="F24" s="15">
        <f>'[3]Dia 5 (b)'!$X30</f>
        <v>15.043019785675419</v>
      </c>
      <c r="G24" s="15">
        <f>'[3]Dia 6 (b)'!$X30</f>
        <v>13.953272784829601</v>
      </c>
      <c r="H24" s="15">
        <f>'[3]Dia 7 (b)'!$X30</f>
        <v>12.899530627451426</v>
      </c>
      <c r="I24" s="15">
        <f>'[3]Dia 8 (b)'!$X30</f>
        <v>14.627243743739694</v>
      </c>
      <c r="J24" s="15">
        <f>'[3]Dia 9 (b)'!$X30</f>
        <v>15.911276470993542</v>
      </c>
      <c r="K24" s="15">
        <f>'[3]Dia 10 (b)'!$X30</f>
        <v>14.721886970521473</v>
      </c>
      <c r="L24" s="15">
        <f>'[3]Dia 11 (b)'!$X30</f>
        <v>15.67705864386172</v>
      </c>
      <c r="M24" s="15">
        <f>'[3]Dia 12 (b)'!$X30</f>
        <v>15.431244776916254</v>
      </c>
      <c r="N24" s="15">
        <f>'[3]Dia 13 (b)'!$X30</f>
        <v>16.164785822538875</v>
      </c>
      <c r="O24" s="15">
        <f>'[3]Dia 14 (b)'!$X30</f>
        <v>16.059275502765811</v>
      </c>
      <c r="P24" s="15">
        <f>'[3]Dia 15 (b)'!$X30</f>
        <v>14.106856860635169</v>
      </c>
      <c r="Q24" s="15">
        <f>'[3]Dia 16 (b)'!$X30</f>
        <v>13.829307228294915</v>
      </c>
      <c r="R24" s="15">
        <f>'[3]Dia 17 (b)'!$X30</f>
        <v>13.605231858872276</v>
      </c>
      <c r="S24" s="15">
        <f>'[3]Dia 18 (b)'!$X30</f>
        <v>14.433146171575082</v>
      </c>
      <c r="T24" s="15">
        <f>'[3]Dia 19 (b)'!$X30</f>
        <v>14.9708734511296</v>
      </c>
      <c r="U24" s="15">
        <f>'[3]Dia 20 (b)'!$X30</f>
        <v>14.161598418877579</v>
      </c>
      <c r="V24" s="15">
        <f>'[3]Dia 21 (b)'!$X30</f>
        <v>14.602613869419992</v>
      </c>
      <c r="W24" s="15">
        <f>'[3]Dia 22 (b)'!$X30</f>
        <v>13.715790744766144</v>
      </c>
      <c r="X24" s="15">
        <f>'[3]Dia 23 (b)'!$X30</f>
        <v>14.484582807484749</v>
      </c>
      <c r="Y24" s="15">
        <f>'[3]Dia 24 (b)'!$X30</f>
        <v>14.834572777180805</v>
      </c>
      <c r="Z24" s="15">
        <f>'[3]Dia 25 (b)'!$X30</f>
        <v>15.659859257369201</v>
      </c>
      <c r="AA24" s="15">
        <f>'[3]Dia 26 (b)'!$X30</f>
        <v>15.829756494821472</v>
      </c>
      <c r="AB24" s="15">
        <f>'[3]Dia 27 (b)'!$X30</f>
        <v>12.57156182369717</v>
      </c>
      <c r="AC24" s="15">
        <f>'[3]Dia 28 (b)'!$X30</f>
        <v>14.206874804464508</v>
      </c>
      <c r="AD24" s="15">
        <f>'[3]Dia 29 (b)'!$X30</f>
        <v>14.004068747884311</v>
      </c>
      <c r="AE24" s="15">
        <f>'[3]Dia 30 (b)'!$X30</f>
        <v>14.480680435905159</v>
      </c>
      <c r="AF24" s="15">
        <f>'[3]Dia 31 (b)'!$X30</f>
        <v>15.491337293313171</v>
      </c>
    </row>
    <row r="25" spans="1:32" ht="20.100000000000001" customHeight="1">
      <c r="A25" s="14">
        <v>22</v>
      </c>
      <c r="B25" s="15">
        <f>'[3]Dia 1 (b)'!$X31</f>
        <v>15.925915610114609</v>
      </c>
      <c r="C25" s="15">
        <f>'[3]Dia 2 (b)'!$X31</f>
        <v>15.694456442920572</v>
      </c>
      <c r="D25" s="15">
        <f>'[3]Dia 3 (b)'!$X31</f>
        <v>17.534188218488914</v>
      </c>
      <c r="E25" s="15">
        <f>'[3]Dia 4 (b)'!$X31</f>
        <v>16.207947510276522</v>
      </c>
      <c r="F25" s="15">
        <f>'[3]Dia 5 (b)'!$X31</f>
        <v>15.26986296630446</v>
      </c>
      <c r="G25" s="15">
        <f>'[3]Dia 6 (b)'!$X31</f>
        <v>14.400527856515938</v>
      </c>
      <c r="H25" s="15">
        <f>'[3]Dia 7 (b)'!$X31</f>
        <v>12.875807213794912</v>
      </c>
      <c r="I25" s="15">
        <f>'[3]Dia 8 (b)'!$X31</f>
        <v>14.860833289869339</v>
      </c>
      <c r="J25" s="15">
        <f>'[3]Dia 9 (b)'!$X31</f>
        <v>15.813580030218349</v>
      </c>
      <c r="K25" s="15">
        <f>'[3]Dia 10 (b)'!$X31</f>
        <v>14.858341719632016</v>
      </c>
      <c r="L25" s="15">
        <f>'[3]Dia 11 (b)'!$X31</f>
        <v>15.672472506228296</v>
      </c>
      <c r="M25" s="15">
        <f>'[3]Dia 12 (b)'!$X31</f>
        <v>15.273344905198384</v>
      </c>
      <c r="N25" s="15">
        <f>'[3]Dia 13 (b)'!$X31</f>
        <v>16.018616996303262</v>
      </c>
      <c r="O25" s="15">
        <f>'[3]Dia 14 (b)'!$X31</f>
        <v>15.925377231075501</v>
      </c>
      <c r="P25" s="15">
        <f>'[3]Dia 15 (b)'!$X31</f>
        <v>14.176888087890498</v>
      </c>
      <c r="Q25" s="15">
        <f>'[3]Dia 16 (b)'!$X31</f>
        <v>13.549451425274684</v>
      </c>
      <c r="R25" s="15">
        <f>'[3]Dia 17 (b)'!$X31</f>
        <v>13.370940516841385</v>
      </c>
      <c r="S25" s="15">
        <f>'[3]Dia 18 (b)'!$X31</f>
        <v>13.789201680828018</v>
      </c>
      <c r="T25" s="15">
        <f>'[3]Dia 19 (b)'!$X31</f>
        <v>15.063807940720187</v>
      </c>
      <c r="U25" s="15">
        <f>'[3]Dia 20 (b)'!$X31</f>
        <v>14.396515641390316</v>
      </c>
      <c r="V25" s="15">
        <f>'[3]Dia 21 (b)'!$X31</f>
        <v>14.796691362826206</v>
      </c>
      <c r="W25" s="15">
        <f>'[3]Dia 22 (b)'!$X31</f>
        <v>13.516196642822221</v>
      </c>
      <c r="X25" s="15">
        <f>'[3]Dia 23 (b)'!$X31</f>
        <v>14.181453790950322</v>
      </c>
      <c r="Y25" s="15">
        <f>'[3]Dia 24 (b)'!$X31</f>
        <v>13.880642886612145</v>
      </c>
      <c r="Z25" s="15">
        <f>'[3]Dia 25 (b)'!$X31</f>
        <v>15.31389853817371</v>
      </c>
      <c r="AA25" s="15">
        <f>'[3]Dia 26 (b)'!$X31</f>
        <v>15.721796241266421</v>
      </c>
      <c r="AB25" s="15">
        <f>'[3]Dia 27 (b)'!$X31</f>
        <v>12.652252911595022</v>
      </c>
      <c r="AC25" s="15">
        <f>'[3]Dia 28 (b)'!$X31</f>
        <v>14.030696627939269</v>
      </c>
      <c r="AD25" s="15">
        <f>'[3]Dia 29 (b)'!$X31</f>
        <v>14.090019428862005</v>
      </c>
      <c r="AE25" s="15">
        <f>'[3]Dia 30 (b)'!$X31</f>
        <v>14.697596945288485</v>
      </c>
      <c r="AF25" s="15">
        <f>'[3]Dia 31 (b)'!$X31</f>
        <v>14.949665831979861</v>
      </c>
    </row>
    <row r="26" spans="1:32" ht="20.100000000000001" customHeight="1">
      <c r="A26" s="14">
        <v>23</v>
      </c>
      <c r="B26" s="15">
        <f>'[3]Dia 1 (b)'!$X32</f>
        <v>15.210324931522278</v>
      </c>
      <c r="C26" s="15">
        <f>'[3]Dia 2 (b)'!$X32</f>
        <v>14.761322424041051</v>
      </c>
      <c r="D26" s="15">
        <f>'[3]Dia 3 (b)'!$X32</f>
        <v>17.307220811446744</v>
      </c>
      <c r="E26" s="15">
        <f>'[3]Dia 4 (b)'!$X32</f>
        <v>14.909937874349117</v>
      </c>
      <c r="F26" s="15">
        <f>'[3]Dia 5 (b)'!$X32</f>
        <v>14.389371728877858</v>
      </c>
      <c r="G26" s="15">
        <f>'[3]Dia 6 (b)'!$X32</f>
        <v>14.303728137676993</v>
      </c>
      <c r="H26" s="15">
        <f>'[3]Dia 7 (b)'!$X32</f>
        <v>13.719338956292489</v>
      </c>
      <c r="I26" s="15">
        <f>'[3]Dia 8 (b)'!$X32</f>
        <v>14.913645380580521</v>
      </c>
      <c r="J26" s="15">
        <f>'[3]Dia 9 (b)'!$X32</f>
        <v>15.432020817164231</v>
      </c>
      <c r="K26" s="15">
        <f>'[3]Dia 10 (b)'!$X32</f>
        <v>14.669384944722271</v>
      </c>
      <c r="L26" s="15">
        <f>'[3]Dia 11 (b)'!$X32</f>
        <v>15.38162930496723</v>
      </c>
      <c r="M26" s="15">
        <f>'[3]Dia 12 (b)'!$X32</f>
        <v>15.122107612972522</v>
      </c>
      <c r="N26" s="15">
        <f>'[3]Dia 13 (b)'!$X32</f>
        <v>16.095711734054774</v>
      </c>
      <c r="O26" s="15">
        <f>'[3]Dia 14 (b)'!$X32</f>
        <v>15.663763063316178</v>
      </c>
      <c r="P26" s="15">
        <f>'[3]Dia 15 (b)'!$X32</f>
        <v>13.632833287767991</v>
      </c>
      <c r="Q26" s="15">
        <f>'[3]Dia 16 (b)'!$X32</f>
        <v>13.537061123445183</v>
      </c>
      <c r="R26" s="15">
        <f>'[3]Dia 17 (b)'!$X32</f>
        <v>13.489305758212977</v>
      </c>
      <c r="S26" s="15">
        <f>'[3]Dia 18 (b)'!$X32</f>
        <v>13.831226210745639</v>
      </c>
      <c r="T26" s="15">
        <f>'[3]Dia 19 (b)'!$X32</f>
        <v>14.730167848695874</v>
      </c>
      <c r="U26" s="15">
        <f>'[3]Dia 20 (b)'!$X32</f>
        <v>14.46714671251195</v>
      </c>
      <c r="V26" s="15">
        <f>'[3]Dia 21 (b)'!$X32</f>
        <v>14.6127847572909</v>
      </c>
      <c r="W26" s="15">
        <f>'[3]Dia 22 (b)'!$X32</f>
        <v>13.551229953013804</v>
      </c>
      <c r="X26" s="15">
        <f>'[3]Dia 23 (b)'!$X32</f>
        <v>13.908716246900386</v>
      </c>
      <c r="Y26" s="15">
        <f>'[3]Dia 24 (b)'!$X32</f>
        <v>13.896265027198096</v>
      </c>
      <c r="Z26" s="15">
        <f>'[3]Dia 25 (b)'!$X32</f>
        <v>14.860394094537471</v>
      </c>
      <c r="AA26" s="15">
        <f>'[3]Dia 26 (b)'!$X32</f>
        <v>16.182547170066531</v>
      </c>
      <c r="AB26" s="15">
        <f>'[3]Dia 27 (b)'!$X32</f>
        <v>12.354123034935622</v>
      </c>
      <c r="AC26" s="15">
        <f>'[3]Dia 28 (b)'!$X32</f>
        <v>14.164594101474137</v>
      </c>
      <c r="AD26" s="15">
        <f>'[3]Dia 29 (b)'!$X32</f>
        <v>13.945509481430095</v>
      </c>
      <c r="AE26" s="15">
        <f>'[3]Dia 30 (b)'!$X32</f>
        <v>15.2000157996572</v>
      </c>
      <c r="AF26" s="15">
        <f>'[3]Dia 31 (b)'!$X32</f>
        <v>14.39242045212816</v>
      </c>
    </row>
    <row r="27" spans="1:32" ht="20.100000000000001" customHeight="1" thickBot="1">
      <c r="A27" s="14">
        <v>24</v>
      </c>
      <c r="B27" s="15">
        <f>'[3]Dia 1 (b)'!$X33</f>
        <v>14.71576979501932</v>
      </c>
      <c r="C27" s="15">
        <f>'[3]Dia 2 (b)'!$X33</f>
        <v>15.076258127363564</v>
      </c>
      <c r="D27" s="15">
        <f>'[3]Dia 3 (b)'!$X33</f>
        <v>16.803556570921501</v>
      </c>
      <c r="E27" s="15">
        <f>'[3]Dia 4 (b)'!$X33</f>
        <v>15.519865004548885</v>
      </c>
      <c r="F27" s="15">
        <f>'[3]Dia 5 (b)'!$X33</f>
        <v>15.20658683878144</v>
      </c>
      <c r="G27" s="15">
        <f>'[3]Dia 6 (b)'!$X33</f>
        <v>14.678724624645648</v>
      </c>
      <c r="H27" s="15">
        <f>'[3]Dia 7 (b)'!$X33</f>
        <v>13.842541616333486</v>
      </c>
      <c r="I27" s="15">
        <f>'[3]Dia 8 (b)'!$X33</f>
        <v>14.567198395960153</v>
      </c>
      <c r="J27" s="15">
        <f>'[3]Dia 9 (b)'!$X33</f>
        <v>15.567967960075364</v>
      </c>
      <c r="K27" s="15">
        <f>'[3]Dia 10 (b)'!$X33</f>
        <v>14.526960044925856</v>
      </c>
      <c r="L27" s="15">
        <f>'[3]Dia 11 (b)'!$X33</f>
        <v>14.860584095754215</v>
      </c>
      <c r="M27" s="15">
        <f>'[3]Dia 12 (b)'!$X33</f>
        <v>15.040088578177139</v>
      </c>
      <c r="N27" s="15">
        <f>'[3]Dia 13 (b)'!$X33</f>
        <v>16.053509817494401</v>
      </c>
      <c r="O27" s="15">
        <f>'[3]Dia 14 (b)'!$X33</f>
        <v>15.415934736628412</v>
      </c>
      <c r="P27" s="15">
        <f>'[3]Dia 15 (b)'!$X33</f>
        <v>13.75503925391042</v>
      </c>
      <c r="Q27" s="15">
        <f>'[3]Dia 16 (b)'!$X33</f>
        <v>13.397554349663146</v>
      </c>
      <c r="R27" s="15">
        <f>'[3]Dia 17 (b)'!$X33</f>
        <v>13.314708891916997</v>
      </c>
      <c r="S27" s="15">
        <f>'[3]Dia 18 (b)'!$X33</f>
        <v>13.607057522672219</v>
      </c>
      <c r="T27" s="15">
        <f>'[3]Dia 19 (b)'!$X33</f>
        <v>14.348170927437778</v>
      </c>
      <c r="U27" s="15">
        <f>'[3]Dia 20 (b)'!$X33</f>
        <v>14.374104906791219</v>
      </c>
      <c r="V27" s="15">
        <f>'[3]Dia 21 (b)'!$X33</f>
        <v>14.611285444231616</v>
      </c>
      <c r="W27" s="15">
        <f>'[3]Dia 22 (b)'!$X33</f>
        <v>13.898957473949508</v>
      </c>
      <c r="X27" s="15">
        <f>'[3]Dia 23 (b)'!$X33</f>
        <v>13.460768845855203</v>
      </c>
      <c r="Y27" s="15">
        <f>'[3]Dia 24 (b)'!$X33</f>
        <v>13.944134891042863</v>
      </c>
      <c r="Z27" s="15">
        <f>'[3]Dia 25 (b)'!$X33</f>
        <v>14.95820549853698</v>
      </c>
      <c r="AA27" s="15">
        <f>'[3]Dia 26 (b)'!$X33</f>
        <v>15.945972674168587</v>
      </c>
      <c r="AB27" s="15">
        <f>'[3]Dia 27 (b)'!$X33</f>
        <v>12.864043141655769</v>
      </c>
      <c r="AC27" s="15">
        <f>'[3]Dia 28 (b)'!$X33</f>
        <v>13.80001568753301</v>
      </c>
      <c r="AD27" s="15">
        <f>'[3]Dia 29 (b)'!$X33</f>
        <v>14.046104169308972</v>
      </c>
      <c r="AE27" s="15">
        <f>'[3]Dia 30 (b)'!$X33</f>
        <v>13.800103601716058</v>
      </c>
      <c r="AF27" s="15">
        <f>'[3]Dia 31 (b)'!$X33</f>
        <v>13.987387430258554</v>
      </c>
    </row>
    <row r="28" spans="1:32" ht="16.5" thickTop="1">
      <c r="A28" s="17"/>
      <c r="B28" s="19"/>
      <c r="C28" s="19"/>
      <c r="D28" s="19"/>
      <c r="E28" s="19"/>
      <c r="F28" s="19"/>
      <c r="G28" s="19"/>
      <c r="H28" s="19"/>
      <c r="I28" s="19"/>
      <c r="J28" s="19"/>
      <c r="K28" s="19"/>
      <c r="L28" s="19"/>
      <c r="M28" s="19"/>
      <c r="N28" s="19"/>
      <c r="O28" s="19"/>
      <c r="P28" s="19"/>
      <c r="Q28" s="19"/>
      <c r="R28" s="19"/>
      <c r="S28" s="19"/>
      <c r="T28" s="19"/>
      <c r="U28" s="19"/>
      <c r="V28" s="19"/>
      <c r="W28" s="19"/>
      <c r="X28" s="19"/>
      <c r="Y28" s="19"/>
      <c r="Z28" s="19"/>
      <c r="AA28" s="19"/>
      <c r="AB28" s="19"/>
      <c r="AC28" s="19"/>
      <c r="AD28" s="19"/>
      <c r="AE28" s="19"/>
      <c r="AF28" s="21"/>
    </row>
    <row r="29" spans="1:32" ht="15.75">
      <c r="A29" s="22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23"/>
    </row>
    <row r="30" spans="1:32" ht="15.75">
      <c r="A30" s="24" t="s">
        <v>3</v>
      </c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23"/>
    </row>
    <row r="31" spans="1:32" ht="15.75">
      <c r="A31" s="24" t="s">
        <v>4</v>
      </c>
      <c r="B31" s="25">
        <f t="shared" ref="B31:AF31" si="0">AVERAGE(B4:B27)</f>
        <v>14.539769756879386</v>
      </c>
      <c r="C31" s="25">
        <f t="shared" si="0"/>
        <v>14.892938461713454</v>
      </c>
      <c r="D31" s="25">
        <f t="shared" si="0"/>
        <v>15.925822887497747</v>
      </c>
      <c r="E31" s="25">
        <f t="shared" si="0"/>
        <v>15.614641448117524</v>
      </c>
      <c r="F31" s="25">
        <f t="shared" si="0"/>
        <v>14.197774954573633</v>
      </c>
      <c r="G31" s="25">
        <f t="shared" si="0"/>
        <v>13.97053987619311</v>
      </c>
      <c r="H31" s="25">
        <f t="shared" si="0"/>
        <v>13.358309252190699</v>
      </c>
      <c r="I31" s="25">
        <f t="shared" si="0"/>
        <v>13.711378149855674</v>
      </c>
      <c r="J31" s="25">
        <f t="shared" si="0"/>
        <v>15.069489080804329</v>
      </c>
      <c r="K31" s="25">
        <f t="shared" si="0"/>
        <v>15.567483406365879</v>
      </c>
      <c r="L31" s="25">
        <f t="shared" si="0"/>
        <v>15.26990503996848</v>
      </c>
      <c r="M31" s="25">
        <f t="shared" si="0"/>
        <v>15.397713657574803</v>
      </c>
      <c r="N31" s="25">
        <f t="shared" si="0"/>
        <v>15.719407015344423</v>
      </c>
      <c r="O31" s="25">
        <f t="shared" si="0"/>
        <v>15.701742054416629</v>
      </c>
      <c r="P31" s="25">
        <f t="shared" si="0"/>
        <v>14.701561549718797</v>
      </c>
      <c r="Q31" s="25">
        <f t="shared" si="0"/>
        <v>14.092500790832018</v>
      </c>
      <c r="R31" s="25">
        <f t="shared" si="0"/>
        <v>13.072180921562074</v>
      </c>
      <c r="S31" s="25">
        <f t="shared" si="0"/>
        <v>13.621737385226611</v>
      </c>
      <c r="T31" s="25">
        <f t="shared" si="0"/>
        <v>14.507540495563356</v>
      </c>
      <c r="U31" s="25">
        <f t="shared" si="0"/>
        <v>14.311329263015439</v>
      </c>
      <c r="V31" s="25">
        <f t="shared" si="0"/>
        <v>14.104340344066799</v>
      </c>
      <c r="W31" s="25">
        <f t="shared" si="0"/>
        <v>14.022578048839486</v>
      </c>
      <c r="X31" s="25">
        <f t="shared" si="0"/>
        <v>13.875890141289657</v>
      </c>
      <c r="Y31" s="25">
        <f t="shared" si="0"/>
        <v>13.963824428886438</v>
      </c>
      <c r="Z31" s="25">
        <f t="shared" si="0"/>
        <v>14.775031467964018</v>
      </c>
      <c r="AA31" s="25">
        <f t="shared" si="0"/>
        <v>14.603594075119346</v>
      </c>
      <c r="AB31" s="25">
        <f t="shared" si="0"/>
        <v>14.263635108147426</v>
      </c>
      <c r="AC31" s="25">
        <f t="shared" si="0"/>
        <v>13.825879623482606</v>
      </c>
      <c r="AD31" s="25">
        <f t="shared" si="0"/>
        <v>14.389690006668376</v>
      </c>
      <c r="AE31" s="25">
        <f t="shared" si="0"/>
        <v>14.30590964683433</v>
      </c>
      <c r="AF31" s="26">
        <f t="shared" si="0"/>
        <v>14.781895160329384</v>
      </c>
    </row>
    <row r="32" spans="1:32" ht="15.75">
      <c r="A32" s="27"/>
      <c r="B32" s="28"/>
      <c r="C32" s="28"/>
      <c r="D32" s="28"/>
      <c r="E32" s="28"/>
      <c r="F32" s="28"/>
      <c r="G32" s="28"/>
      <c r="H32" s="28"/>
      <c r="I32" s="28"/>
      <c r="J32" s="28"/>
      <c r="K32" s="28"/>
      <c r="L32" s="28"/>
      <c r="M32" s="28"/>
      <c r="N32" s="28"/>
      <c r="O32" s="28"/>
      <c r="P32" s="28"/>
      <c r="Q32" s="28"/>
      <c r="R32" s="28"/>
      <c r="S32" s="28"/>
      <c r="T32" s="28"/>
      <c r="U32" s="28"/>
      <c r="V32" s="28"/>
      <c r="W32" s="28"/>
      <c r="X32" s="28"/>
      <c r="Y32" s="28"/>
      <c r="Z32" s="28"/>
      <c r="AA32" s="28"/>
      <c r="AB32" s="28"/>
      <c r="AC32" s="28"/>
      <c r="AD32" s="28"/>
      <c r="AE32" s="28"/>
      <c r="AF32" s="29"/>
    </row>
    <row r="33" spans="1:32" ht="15.75">
      <c r="A33" s="27"/>
      <c r="B33" s="28"/>
      <c r="C33" s="28"/>
      <c r="D33" s="28"/>
      <c r="E33" s="28"/>
      <c r="F33" s="28"/>
      <c r="G33" s="28"/>
      <c r="H33" s="28"/>
      <c r="I33" s="28"/>
      <c r="J33" s="28"/>
      <c r="K33" s="28"/>
      <c r="L33" s="28"/>
      <c r="M33" s="28"/>
      <c r="N33" s="28"/>
      <c r="O33" s="28"/>
      <c r="P33" s="28"/>
      <c r="Q33" s="28"/>
      <c r="R33" s="28"/>
      <c r="S33" s="28"/>
      <c r="T33" s="28"/>
      <c r="U33" s="28"/>
      <c r="V33" s="28"/>
      <c r="W33" s="28"/>
      <c r="X33" s="28"/>
      <c r="Y33" s="28"/>
      <c r="Z33" s="28"/>
      <c r="AA33" s="28"/>
      <c r="AB33" s="28"/>
      <c r="AC33" s="28"/>
      <c r="AD33" s="28"/>
      <c r="AE33" s="28"/>
      <c r="AF33" s="29"/>
    </row>
    <row r="34" spans="1:32" ht="15.75">
      <c r="A34" s="24" t="s">
        <v>5</v>
      </c>
      <c r="B34" s="28"/>
      <c r="C34" s="28"/>
      <c r="D34" s="28"/>
      <c r="E34" s="28"/>
      <c r="F34" s="28"/>
      <c r="G34" s="28"/>
      <c r="H34" s="28"/>
      <c r="I34" s="28"/>
      <c r="J34" s="28"/>
      <c r="K34" s="28"/>
      <c r="L34" s="28"/>
      <c r="M34" s="28"/>
      <c r="N34" s="28"/>
      <c r="O34" s="28"/>
      <c r="P34" s="28"/>
      <c r="Q34" s="28"/>
      <c r="R34" s="28"/>
      <c r="S34" s="28"/>
      <c r="T34" s="28"/>
      <c r="U34" s="28"/>
      <c r="V34" s="28"/>
      <c r="W34" s="28"/>
      <c r="X34" s="28"/>
      <c r="Y34" s="28"/>
      <c r="Z34" s="28"/>
      <c r="AA34" s="28"/>
      <c r="AB34" s="28"/>
      <c r="AC34" s="28"/>
      <c r="AD34" s="28"/>
      <c r="AE34" s="28"/>
      <c r="AF34" s="29"/>
    </row>
    <row r="35" spans="1:32" ht="15.75">
      <c r="A35" s="24" t="s">
        <v>4</v>
      </c>
      <c r="B35" s="25">
        <f t="shared" ref="B35:AF35" si="1">MAX(B4:B27)</f>
        <v>16.102706071540961</v>
      </c>
      <c r="C35" s="25">
        <f t="shared" si="1"/>
        <v>17.377526367302941</v>
      </c>
      <c r="D35" s="25">
        <f t="shared" si="1"/>
        <v>18.218232095347261</v>
      </c>
      <c r="E35" s="25">
        <f t="shared" si="1"/>
        <v>17.134722329648081</v>
      </c>
      <c r="F35" s="25">
        <f t="shared" si="1"/>
        <v>16.227294223309393</v>
      </c>
      <c r="G35" s="25">
        <f t="shared" si="1"/>
        <v>15.960276354624744</v>
      </c>
      <c r="H35" s="25">
        <f t="shared" si="1"/>
        <v>14.899100843463362</v>
      </c>
      <c r="I35" s="25">
        <f t="shared" si="1"/>
        <v>16.113446021496777</v>
      </c>
      <c r="J35" s="25">
        <f t="shared" si="1"/>
        <v>16.496906951447368</v>
      </c>
      <c r="K35" s="25">
        <f t="shared" si="1"/>
        <v>17.60118000575924</v>
      </c>
      <c r="L35" s="25">
        <f t="shared" si="1"/>
        <v>16.282104492283178</v>
      </c>
      <c r="M35" s="25">
        <f t="shared" si="1"/>
        <v>16.234378614018034</v>
      </c>
      <c r="N35" s="25">
        <f t="shared" si="1"/>
        <v>16.861305312517356</v>
      </c>
      <c r="O35" s="25">
        <f t="shared" si="1"/>
        <v>16.925353581440323</v>
      </c>
      <c r="P35" s="25">
        <f t="shared" si="1"/>
        <v>16.246546591185705</v>
      </c>
      <c r="Q35" s="25">
        <f t="shared" si="1"/>
        <v>15.526823357704973</v>
      </c>
      <c r="R35" s="25">
        <f t="shared" si="1"/>
        <v>14.563575327781598</v>
      </c>
      <c r="S35" s="25">
        <f t="shared" si="1"/>
        <v>15.584300808096925</v>
      </c>
      <c r="T35" s="25">
        <f t="shared" si="1"/>
        <v>16.403875333183368</v>
      </c>
      <c r="U35" s="25">
        <f t="shared" si="1"/>
        <v>16.772305096754994</v>
      </c>
      <c r="V35" s="25">
        <f t="shared" si="1"/>
        <v>15.58647612942355</v>
      </c>
      <c r="W35" s="25">
        <f t="shared" si="1"/>
        <v>15.253574386188705</v>
      </c>
      <c r="X35" s="25">
        <f t="shared" si="1"/>
        <v>15.615260995596962</v>
      </c>
      <c r="Y35" s="25">
        <f t="shared" si="1"/>
        <v>16.435106792393025</v>
      </c>
      <c r="Z35" s="25">
        <f t="shared" si="1"/>
        <v>16.326290366205733</v>
      </c>
      <c r="AA35" s="25">
        <f t="shared" si="1"/>
        <v>16.182547170066531</v>
      </c>
      <c r="AB35" s="25">
        <f t="shared" si="1"/>
        <v>15.684723246980996</v>
      </c>
      <c r="AC35" s="25">
        <f t="shared" si="1"/>
        <v>14.824279739629674</v>
      </c>
      <c r="AD35" s="25">
        <f t="shared" si="1"/>
        <v>16.668832532352745</v>
      </c>
      <c r="AE35" s="25">
        <f t="shared" si="1"/>
        <v>16.279249898224425</v>
      </c>
      <c r="AF35" s="26">
        <f t="shared" si="1"/>
        <v>16.579374850237457</v>
      </c>
    </row>
    <row r="36" spans="1:32" ht="15.75">
      <c r="A36" s="24"/>
      <c r="B36" s="25"/>
      <c r="C36" s="25"/>
      <c r="D36" s="25"/>
      <c r="E36" s="25"/>
      <c r="F36" s="25"/>
      <c r="G36" s="25"/>
      <c r="H36" s="25"/>
      <c r="I36" s="25"/>
      <c r="J36" s="25"/>
      <c r="K36" s="25"/>
      <c r="L36" s="25"/>
      <c r="M36" s="25"/>
      <c r="N36" s="25"/>
      <c r="O36" s="25"/>
      <c r="P36" s="25"/>
      <c r="Q36" s="25"/>
      <c r="R36" s="25"/>
      <c r="S36" s="25"/>
      <c r="T36" s="25"/>
      <c r="U36" s="25"/>
      <c r="V36" s="25"/>
      <c r="W36" s="25"/>
      <c r="X36" s="25"/>
      <c r="Y36" s="25"/>
      <c r="Z36" s="25"/>
      <c r="AA36" s="25"/>
      <c r="AB36" s="25"/>
      <c r="AC36" s="25"/>
      <c r="AD36" s="25"/>
      <c r="AE36" s="25"/>
      <c r="AF36" s="26"/>
    </row>
    <row r="37" spans="1:32" ht="15.75">
      <c r="A37" s="27"/>
      <c r="B37" s="28"/>
      <c r="C37" s="28"/>
      <c r="D37" s="28"/>
      <c r="E37" s="28"/>
      <c r="F37" s="28"/>
      <c r="G37" s="28"/>
      <c r="H37" s="28"/>
      <c r="I37" s="28"/>
      <c r="J37" s="28"/>
      <c r="K37" s="28"/>
      <c r="L37" s="28"/>
      <c r="M37" s="28"/>
      <c r="N37" s="28"/>
      <c r="O37" s="28"/>
      <c r="P37" s="28"/>
      <c r="Q37" s="28"/>
      <c r="R37" s="28"/>
      <c r="S37" s="28"/>
      <c r="T37" s="28"/>
      <c r="U37" s="28"/>
      <c r="V37" s="28"/>
      <c r="W37" s="28"/>
      <c r="X37" s="28"/>
      <c r="Y37" s="28"/>
      <c r="Z37" s="28"/>
      <c r="AA37" s="28"/>
      <c r="AB37" s="28"/>
      <c r="AC37" s="28"/>
      <c r="AD37" s="28"/>
      <c r="AE37" s="28"/>
      <c r="AF37" s="29"/>
    </row>
    <row r="38" spans="1:32" ht="15.75">
      <c r="A38" s="24" t="s">
        <v>6</v>
      </c>
      <c r="B38" s="28"/>
      <c r="C38" s="28"/>
      <c r="D38" s="28"/>
      <c r="E38" s="28"/>
      <c r="F38" s="28"/>
      <c r="G38" s="28"/>
      <c r="H38" s="28"/>
      <c r="I38" s="28"/>
      <c r="J38" s="28"/>
      <c r="K38" s="28"/>
      <c r="L38" s="28"/>
      <c r="M38" s="28"/>
      <c r="N38" s="28"/>
      <c r="O38" s="28"/>
      <c r="P38" s="28"/>
      <c r="Q38" s="28"/>
      <c r="R38" s="28"/>
      <c r="S38" s="28"/>
      <c r="T38" s="28"/>
      <c r="U38" s="28"/>
      <c r="V38" s="28"/>
      <c r="W38" s="28"/>
      <c r="X38" s="28"/>
      <c r="Y38" s="28"/>
      <c r="Z38" s="28"/>
      <c r="AA38" s="28"/>
      <c r="AB38" s="28"/>
      <c r="AC38" s="28"/>
      <c r="AD38" s="28"/>
      <c r="AE38" s="28"/>
      <c r="AF38" s="29"/>
    </row>
    <row r="39" spans="1:32" ht="15.75">
      <c r="A39" s="24" t="s">
        <v>4</v>
      </c>
      <c r="B39" s="25">
        <f t="shared" ref="B39:AF39" si="2">MIN(B4:B27)</f>
        <v>13.334158743389644</v>
      </c>
      <c r="C39" s="25">
        <f t="shared" si="2"/>
        <v>12.866376179879968</v>
      </c>
      <c r="D39" s="25">
        <f t="shared" si="2"/>
        <v>13.531990705708857</v>
      </c>
      <c r="E39" s="25">
        <f t="shared" si="2"/>
        <v>14.127928543635091</v>
      </c>
      <c r="F39" s="25">
        <f t="shared" si="2"/>
        <v>13.019031192195294</v>
      </c>
      <c r="G39" s="25">
        <f t="shared" si="2"/>
        <v>12.89547105259874</v>
      </c>
      <c r="H39" s="25">
        <f t="shared" si="2"/>
        <v>11.72279007268058</v>
      </c>
      <c r="I39" s="25">
        <f t="shared" si="2"/>
        <v>11.805476949053331</v>
      </c>
      <c r="J39" s="25">
        <f t="shared" si="2"/>
        <v>13.083446027979306</v>
      </c>
      <c r="K39" s="25">
        <f t="shared" si="2"/>
        <v>14.526960044925856</v>
      </c>
      <c r="L39" s="25">
        <f t="shared" si="2"/>
        <v>14.075308377101594</v>
      </c>
      <c r="M39" s="25">
        <f t="shared" si="2"/>
        <v>14.640080177955479</v>
      </c>
      <c r="N39" s="25">
        <f t="shared" si="2"/>
        <v>14.778640422169829</v>
      </c>
      <c r="O39" s="25">
        <f t="shared" si="2"/>
        <v>14.267825072363683</v>
      </c>
      <c r="P39" s="25">
        <f t="shared" si="2"/>
        <v>13.632833287767991</v>
      </c>
      <c r="Q39" s="25">
        <f t="shared" si="2"/>
        <v>13.336847826878639</v>
      </c>
      <c r="R39" s="25">
        <f t="shared" si="2"/>
        <v>11.254224191839434</v>
      </c>
      <c r="S39" s="25">
        <f t="shared" si="2"/>
        <v>12.14188540330642</v>
      </c>
      <c r="T39" s="25">
        <f t="shared" si="2"/>
        <v>13.28238815137342</v>
      </c>
      <c r="U39" s="25">
        <f t="shared" si="2"/>
        <v>11.823235845906744</v>
      </c>
      <c r="V39" s="25">
        <f t="shared" si="2"/>
        <v>12.123947048449322</v>
      </c>
      <c r="W39" s="25">
        <f t="shared" si="2"/>
        <v>12.765635682971773</v>
      </c>
      <c r="X39" s="25">
        <f t="shared" si="2"/>
        <v>11.365093485293675</v>
      </c>
      <c r="Y39" s="25">
        <f t="shared" si="2"/>
        <v>12.893487214738448</v>
      </c>
      <c r="Z39" s="25">
        <f t="shared" si="2"/>
        <v>13.270359710520895</v>
      </c>
      <c r="AA39" s="25">
        <f t="shared" si="2"/>
        <v>12.67550053948878</v>
      </c>
      <c r="AB39" s="25">
        <f t="shared" si="2"/>
        <v>12.354123034935622</v>
      </c>
      <c r="AC39" s="25">
        <f t="shared" si="2"/>
        <v>12.933138658945532</v>
      </c>
      <c r="AD39" s="25">
        <f t="shared" si="2"/>
        <v>13.579153529834228</v>
      </c>
      <c r="AE39" s="25">
        <f t="shared" si="2"/>
        <v>11.971564081095584</v>
      </c>
      <c r="AF39" s="26">
        <f t="shared" si="2"/>
        <v>13.504175253851759</v>
      </c>
    </row>
    <row r="40" spans="1:32" ht="15.75">
      <c r="A40" s="24"/>
      <c r="B40" s="25"/>
      <c r="C40" s="25"/>
      <c r="D40" s="25"/>
      <c r="E40" s="25"/>
      <c r="F40" s="25"/>
      <c r="G40" s="25"/>
      <c r="H40" s="25"/>
      <c r="I40" s="25"/>
      <c r="J40" s="25"/>
      <c r="K40" s="25"/>
      <c r="L40" s="25"/>
      <c r="M40" s="25"/>
      <c r="N40" s="25"/>
      <c r="O40" s="25"/>
      <c r="P40" s="25"/>
      <c r="Q40" s="25"/>
      <c r="R40" s="25"/>
      <c r="S40" s="25"/>
      <c r="T40" s="25"/>
      <c r="U40" s="25"/>
      <c r="V40" s="25"/>
      <c r="W40" s="25"/>
      <c r="X40" s="25"/>
      <c r="Y40" s="25"/>
      <c r="Z40" s="25"/>
      <c r="AA40" s="25"/>
      <c r="AB40" s="25"/>
      <c r="AC40" s="25"/>
      <c r="AD40" s="25"/>
      <c r="AE40" s="25"/>
      <c r="AF40" s="26"/>
    </row>
    <row r="41" spans="1:32" ht="15.75">
      <c r="A41" s="27"/>
      <c r="B41" s="28"/>
      <c r="C41" s="28"/>
      <c r="D41" s="28"/>
      <c r="E41" s="28"/>
      <c r="F41" s="28"/>
      <c r="G41" s="28"/>
      <c r="H41" s="28"/>
      <c r="I41" s="28"/>
      <c r="J41" s="28"/>
      <c r="K41" s="28"/>
      <c r="L41" s="28"/>
      <c r="M41" s="28"/>
      <c r="N41" s="28"/>
      <c r="O41" s="28"/>
      <c r="P41" s="28"/>
      <c r="Q41" s="28"/>
      <c r="R41" s="28"/>
      <c r="S41" s="28"/>
      <c r="T41" s="28"/>
      <c r="U41" s="28"/>
      <c r="V41" s="28"/>
      <c r="W41" s="28"/>
      <c r="X41" s="28"/>
      <c r="Y41" s="28"/>
      <c r="Z41" s="28"/>
      <c r="AA41" s="28"/>
      <c r="AB41" s="28"/>
      <c r="AC41" s="28"/>
      <c r="AD41" s="28"/>
      <c r="AE41" s="28"/>
      <c r="AF41" s="29"/>
    </row>
    <row r="42" spans="1:32" ht="15.75">
      <c r="A42" s="24" t="s">
        <v>7</v>
      </c>
      <c r="B42" s="28"/>
      <c r="C42" s="28"/>
      <c r="D42" s="28"/>
      <c r="E42" s="28"/>
      <c r="F42" s="28"/>
      <c r="G42" s="28"/>
      <c r="H42" s="28"/>
      <c r="I42" s="28"/>
      <c r="J42" s="28"/>
      <c r="K42" s="28"/>
      <c r="L42" s="28"/>
      <c r="M42" s="28"/>
      <c r="N42" s="28"/>
      <c r="O42" s="28"/>
      <c r="P42" s="28"/>
      <c r="Q42" s="28"/>
      <c r="R42" s="28"/>
      <c r="S42" s="28"/>
      <c r="T42" s="28"/>
      <c r="U42" s="28"/>
      <c r="V42" s="28"/>
      <c r="W42" s="28"/>
      <c r="X42" s="28"/>
      <c r="Y42" s="28"/>
      <c r="Z42" s="28"/>
      <c r="AA42" s="28"/>
      <c r="AB42" s="28"/>
      <c r="AC42" s="28"/>
      <c r="AD42" s="28"/>
      <c r="AE42" s="28"/>
      <c r="AF42" s="29"/>
    </row>
    <row r="43" spans="1:32" ht="15.75">
      <c r="A43" s="24" t="s">
        <v>4</v>
      </c>
      <c r="B43" s="25">
        <f t="shared" ref="B43:AF43" si="3">B35-B39</f>
        <v>2.7685473281513175</v>
      </c>
      <c r="C43" s="25">
        <f t="shared" si="3"/>
        <v>4.5111501874229738</v>
      </c>
      <c r="D43" s="25">
        <f t="shared" si="3"/>
        <v>4.6862413896384041</v>
      </c>
      <c r="E43" s="25">
        <f t="shared" si="3"/>
        <v>3.0067937860129899</v>
      </c>
      <c r="F43" s="25">
        <f t="shared" si="3"/>
        <v>3.2082630311140985</v>
      </c>
      <c r="G43" s="25">
        <f t="shared" si="3"/>
        <v>3.064805302026004</v>
      </c>
      <c r="H43" s="25">
        <f t="shared" si="3"/>
        <v>3.1763107707827825</v>
      </c>
      <c r="I43" s="25">
        <f t="shared" si="3"/>
        <v>4.3079690724434467</v>
      </c>
      <c r="J43" s="25">
        <f t="shared" si="3"/>
        <v>3.4134609234680617</v>
      </c>
      <c r="K43" s="25">
        <f t="shared" si="3"/>
        <v>3.0742199608333838</v>
      </c>
      <c r="L43" s="25">
        <f t="shared" si="3"/>
        <v>2.206796115181584</v>
      </c>
      <c r="M43" s="25">
        <f t="shared" si="3"/>
        <v>1.5942984360625552</v>
      </c>
      <c r="N43" s="25">
        <f t="shared" si="3"/>
        <v>2.0826648903475267</v>
      </c>
      <c r="O43" s="25">
        <f t="shared" si="3"/>
        <v>2.6575285090766396</v>
      </c>
      <c r="P43" s="25">
        <f t="shared" si="3"/>
        <v>2.6137133034177147</v>
      </c>
      <c r="Q43" s="25">
        <f t="shared" si="3"/>
        <v>2.1899755308263344</v>
      </c>
      <c r="R43" s="25">
        <f t="shared" si="3"/>
        <v>3.3093511359421637</v>
      </c>
      <c r="S43" s="25">
        <f t="shared" si="3"/>
        <v>3.4424154047905056</v>
      </c>
      <c r="T43" s="25">
        <f t="shared" si="3"/>
        <v>3.1214871818099486</v>
      </c>
      <c r="U43" s="25">
        <f t="shared" si="3"/>
        <v>4.9490692508482503</v>
      </c>
      <c r="V43" s="25">
        <f t="shared" si="3"/>
        <v>3.4625290809742282</v>
      </c>
      <c r="W43" s="25">
        <f t="shared" si="3"/>
        <v>2.4879387032169316</v>
      </c>
      <c r="X43" s="25">
        <f t="shared" si="3"/>
        <v>4.250167510303287</v>
      </c>
      <c r="Y43" s="25">
        <f t="shared" si="3"/>
        <v>3.5416195776545774</v>
      </c>
      <c r="Z43" s="25">
        <f t="shared" si="3"/>
        <v>3.055930655684838</v>
      </c>
      <c r="AA43" s="25">
        <f t="shared" si="3"/>
        <v>3.5070466305777508</v>
      </c>
      <c r="AB43" s="25">
        <f t="shared" si="3"/>
        <v>3.3306002120453737</v>
      </c>
      <c r="AC43" s="25">
        <f t="shared" si="3"/>
        <v>1.8911410806841413</v>
      </c>
      <c r="AD43" s="25">
        <f t="shared" si="3"/>
        <v>3.0896790025185172</v>
      </c>
      <c r="AE43" s="25">
        <f t="shared" si="3"/>
        <v>4.3076858171288404</v>
      </c>
      <c r="AF43" s="26">
        <f t="shared" si="3"/>
        <v>3.0751995963856977</v>
      </c>
    </row>
    <row r="44" spans="1:32" ht="15.75">
      <c r="A44" s="24"/>
      <c r="B44" s="25"/>
      <c r="C44" s="25"/>
      <c r="D44" s="25"/>
      <c r="E44" s="25"/>
      <c r="F44" s="25"/>
      <c r="G44" s="25"/>
      <c r="H44" s="25"/>
      <c r="I44" s="25"/>
      <c r="J44" s="25"/>
      <c r="K44" s="25"/>
      <c r="L44" s="25"/>
      <c r="M44" s="25"/>
      <c r="N44" s="25"/>
      <c r="O44" s="25"/>
      <c r="P44" s="25"/>
      <c r="Q44" s="25"/>
      <c r="R44" s="25"/>
      <c r="S44" s="25"/>
      <c r="T44" s="25"/>
      <c r="U44" s="25"/>
      <c r="V44" s="25"/>
      <c r="W44" s="25"/>
      <c r="X44" s="25"/>
      <c r="Y44" s="25"/>
      <c r="Z44" s="25"/>
      <c r="AA44" s="25"/>
      <c r="AB44" s="25"/>
      <c r="AC44" s="25"/>
      <c r="AD44" s="25"/>
      <c r="AE44" s="25"/>
      <c r="AF44" s="26"/>
    </row>
    <row r="45" spans="1:32" ht="15.75">
      <c r="A45" s="22"/>
      <c r="B45" s="30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23"/>
    </row>
    <row r="46" spans="1:32" ht="15.75">
      <c r="A46" s="31"/>
      <c r="B46" s="30"/>
      <c r="C46" s="3"/>
      <c r="D46" s="3"/>
      <c r="E46" s="3"/>
      <c r="F46" s="3"/>
      <c r="G46" s="3"/>
      <c r="H46" s="32" t="s">
        <v>3</v>
      </c>
      <c r="I46" s="30"/>
      <c r="J46" s="33"/>
      <c r="K46" s="34" t="s">
        <v>5</v>
      </c>
      <c r="L46" s="33"/>
      <c r="M46" s="33"/>
      <c r="N46" s="34" t="s">
        <v>6</v>
      </c>
      <c r="O46" s="33"/>
      <c r="P46" s="33"/>
      <c r="Q46" s="34" t="s">
        <v>7</v>
      </c>
      <c r="R46" s="30"/>
      <c r="S46" s="30"/>
      <c r="T46" s="33" t="s">
        <v>3</v>
      </c>
      <c r="U46" s="33"/>
      <c r="V46" s="33" t="s">
        <v>3</v>
      </c>
      <c r="W46" s="33"/>
      <c r="X46" s="33" t="s">
        <v>8</v>
      </c>
      <c r="Y46" s="3"/>
      <c r="Z46" s="3"/>
      <c r="AA46" s="3"/>
      <c r="AB46" s="3"/>
      <c r="AC46" s="3"/>
      <c r="AD46" s="3"/>
      <c r="AE46" s="3"/>
      <c r="AF46" s="23"/>
    </row>
    <row r="47" spans="1:32" ht="15.75">
      <c r="A47" s="31"/>
      <c r="B47" s="30"/>
      <c r="C47" s="3"/>
      <c r="D47" s="3"/>
      <c r="E47" s="3"/>
      <c r="F47" s="3"/>
      <c r="G47" s="3"/>
      <c r="H47" s="35" t="s">
        <v>9</v>
      </c>
      <c r="I47" s="30"/>
      <c r="J47" s="33"/>
      <c r="K47" s="33" t="s">
        <v>9</v>
      </c>
      <c r="L47" s="33"/>
      <c r="M47" s="33"/>
      <c r="N47" s="33" t="s">
        <v>9</v>
      </c>
      <c r="O47" s="33"/>
      <c r="P47" s="33"/>
      <c r="Q47" s="33" t="s">
        <v>9</v>
      </c>
      <c r="R47" s="30"/>
      <c r="S47" s="30"/>
      <c r="T47" s="33" t="s">
        <v>10</v>
      </c>
      <c r="U47" s="33"/>
      <c r="V47" s="33" t="s">
        <v>11</v>
      </c>
      <c r="W47" s="33"/>
      <c r="X47" s="33" t="s">
        <v>12</v>
      </c>
      <c r="Y47" s="3"/>
      <c r="Z47" s="3"/>
      <c r="AA47" s="3"/>
      <c r="AB47" s="3"/>
      <c r="AC47" s="3"/>
      <c r="AD47" s="3"/>
      <c r="AE47" s="3"/>
      <c r="AF47" s="23"/>
    </row>
    <row r="48" spans="1:32" ht="15.75">
      <c r="A48" s="31"/>
      <c r="B48" s="30"/>
      <c r="C48" s="3"/>
      <c r="D48" s="3"/>
      <c r="E48" s="3"/>
      <c r="F48" s="3"/>
      <c r="G48" s="3"/>
      <c r="H48" s="28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23"/>
    </row>
    <row r="49" spans="1:32" ht="16.5" thickBot="1">
      <c r="A49" s="36"/>
      <c r="B49" s="37"/>
      <c r="C49" s="38"/>
      <c r="D49" s="38"/>
      <c r="E49" s="38"/>
      <c r="F49" s="38"/>
      <c r="G49" s="38"/>
      <c r="H49" s="39">
        <f>AVERAGE(B31:AF31)</f>
        <v>14.521162370936835</v>
      </c>
      <c r="I49" s="38"/>
      <c r="J49" s="40"/>
      <c r="K49" s="39">
        <f>MAX(B35:AF35)</f>
        <v>18.218232095347261</v>
      </c>
      <c r="L49" s="40"/>
      <c r="M49" s="40"/>
      <c r="N49" s="39">
        <f>MIN(B39:AF39)</f>
        <v>11.254224191839434</v>
      </c>
      <c r="O49" s="40"/>
      <c r="P49" s="40"/>
      <c r="Q49" s="39">
        <f>K49-N49</f>
        <v>6.9640079035078273</v>
      </c>
      <c r="R49" s="38"/>
      <c r="S49" s="39"/>
      <c r="T49" s="39">
        <f>AVERAGE(B35:AF35)</f>
        <v>16.22476373826472</v>
      </c>
      <c r="U49" s="39"/>
      <c r="V49" s="39">
        <f>AVERAGE(B39:AF39)</f>
        <v>13.018808919639859</v>
      </c>
      <c r="W49" s="39"/>
      <c r="X49" s="39">
        <f>T49-V49</f>
        <v>3.2059548186248605</v>
      </c>
      <c r="Y49" s="38"/>
      <c r="Z49" s="38"/>
      <c r="AA49" s="38"/>
      <c r="AB49" s="38"/>
      <c r="AC49" s="38"/>
      <c r="AD49" s="38"/>
      <c r="AE49" s="38"/>
      <c r="AF49" s="41"/>
    </row>
    <row r="50" spans="1:32" ht="15.75" thickTop="1">
      <c r="B50" s="42"/>
    </row>
    <row r="51" spans="1:32">
      <c r="B51" s="42"/>
    </row>
    <row r="52" spans="1:32">
      <c r="B52" s="42"/>
    </row>
    <row r="53" spans="1:32">
      <c r="B53" s="42"/>
    </row>
    <row r="54" spans="1:32">
      <c r="B54" s="42"/>
    </row>
    <row r="55" spans="1:32">
      <c r="B55" s="42"/>
    </row>
    <row r="56" spans="1:32">
      <c r="B56" s="42"/>
    </row>
    <row r="57" spans="1:32">
      <c r="B57" s="42"/>
    </row>
    <row r="58" spans="1:32">
      <c r="B58" s="42"/>
    </row>
    <row r="59" spans="1:32">
      <c r="B59" s="42"/>
    </row>
    <row r="60" spans="1:32">
      <c r="B60" s="42"/>
    </row>
    <row r="61" spans="1:32">
      <c r="B61" s="42"/>
    </row>
    <row r="62" spans="1:32">
      <c r="B62" s="42"/>
    </row>
    <row r="63" spans="1:32">
      <c r="B63" s="42"/>
    </row>
    <row r="64" spans="1:32">
      <c r="B64" s="42"/>
    </row>
    <row r="65" spans="2:2">
      <c r="B65" s="42"/>
    </row>
    <row r="66" spans="2:2">
      <c r="B66" s="42"/>
    </row>
    <row r="67" spans="2:2">
      <c r="B67" s="42"/>
    </row>
    <row r="68" spans="2:2">
      <c r="B68" s="42"/>
    </row>
    <row r="69" spans="2:2">
      <c r="B69" s="42"/>
    </row>
    <row r="70" spans="2:2">
      <c r="B70" s="42"/>
    </row>
    <row r="71" spans="2:2">
      <c r="B71" s="42"/>
    </row>
    <row r="72" spans="2:2">
      <c r="B72" s="42"/>
    </row>
    <row r="73" spans="2:2">
      <c r="B73" s="42"/>
    </row>
    <row r="74" spans="2:2">
      <c r="B74" s="42"/>
    </row>
    <row r="75" spans="2:2">
      <c r="B75" s="42"/>
    </row>
    <row r="76" spans="2:2">
      <c r="B76" s="42"/>
    </row>
    <row r="77" spans="2:2">
      <c r="B77" s="42"/>
    </row>
    <row r="78" spans="2:2">
      <c r="B78" s="42"/>
    </row>
    <row r="79" spans="2:2">
      <c r="B79" s="42"/>
    </row>
    <row r="80" spans="2:2">
      <c r="B80" s="42"/>
    </row>
    <row r="81" spans="2:2">
      <c r="B81" s="42"/>
    </row>
    <row r="82" spans="2:2">
      <c r="B82" s="42"/>
    </row>
    <row r="83" spans="2:2">
      <c r="B83" s="42"/>
    </row>
    <row r="84" spans="2:2">
      <c r="B84" s="42"/>
    </row>
    <row r="85" spans="2:2">
      <c r="B85" s="42"/>
    </row>
    <row r="86" spans="2:2">
      <c r="B86" s="42"/>
    </row>
    <row r="87" spans="2:2">
      <c r="B87" s="42"/>
    </row>
    <row r="88" spans="2:2">
      <c r="B88" s="42"/>
    </row>
    <row r="89" spans="2:2">
      <c r="B89" s="42"/>
    </row>
    <row r="90" spans="2:2">
      <c r="B90" s="42"/>
    </row>
    <row r="91" spans="2:2">
      <c r="B91" s="42"/>
    </row>
    <row r="92" spans="2:2">
      <c r="B92" s="42"/>
    </row>
    <row r="93" spans="2:2">
      <c r="B93" s="42"/>
    </row>
    <row r="94" spans="2:2">
      <c r="B94" s="42"/>
    </row>
    <row r="95" spans="2:2">
      <c r="B95" s="42"/>
    </row>
    <row r="96" spans="2:2">
      <c r="B96" s="42"/>
    </row>
    <row r="97" spans="2:2">
      <c r="B97" s="42"/>
    </row>
    <row r="98" spans="2:2">
      <c r="B98" s="42"/>
    </row>
    <row r="99" spans="2:2">
      <c r="B99" s="42"/>
    </row>
    <row r="100" spans="2:2">
      <c r="B100" s="42"/>
    </row>
    <row r="101" spans="2:2">
      <c r="B101" s="42"/>
    </row>
    <row r="102" spans="2:2">
      <c r="B102" s="42"/>
    </row>
    <row r="103" spans="2:2">
      <c r="B103" s="42"/>
    </row>
    <row r="104" spans="2:2">
      <c r="B104" s="42"/>
    </row>
    <row r="105" spans="2:2">
      <c r="B105" s="42"/>
    </row>
    <row r="106" spans="2:2">
      <c r="B106" s="42"/>
    </row>
    <row r="107" spans="2:2">
      <c r="B107" s="42"/>
    </row>
    <row r="108" spans="2:2">
      <c r="B108" s="42"/>
    </row>
    <row r="109" spans="2:2">
      <c r="B109" s="42"/>
    </row>
    <row r="110" spans="2:2">
      <c r="B110" s="42"/>
    </row>
    <row r="111" spans="2:2">
      <c r="B111" s="42"/>
    </row>
    <row r="112" spans="2:2">
      <c r="B112" s="42"/>
    </row>
    <row r="113" spans="2:2">
      <c r="B113" s="42"/>
    </row>
    <row r="114" spans="2:2">
      <c r="B114" s="42"/>
    </row>
    <row r="115" spans="2:2">
      <c r="B115" s="42"/>
    </row>
    <row r="116" spans="2:2">
      <c r="B116" s="42"/>
    </row>
    <row r="117" spans="2:2">
      <c r="B117" s="42"/>
    </row>
    <row r="118" spans="2:2">
      <c r="B118" s="42"/>
    </row>
    <row r="119" spans="2:2">
      <c r="B119" s="42"/>
    </row>
    <row r="120" spans="2:2">
      <c r="B120" s="42"/>
    </row>
    <row r="121" spans="2:2">
      <c r="B121" s="42"/>
    </row>
    <row r="122" spans="2:2">
      <c r="B122" s="42"/>
    </row>
    <row r="123" spans="2:2">
      <c r="B123" s="42"/>
    </row>
    <row r="124" spans="2:2">
      <c r="B124" s="42"/>
    </row>
    <row r="125" spans="2:2">
      <c r="B125" s="42"/>
    </row>
    <row r="126" spans="2:2">
      <c r="B126" s="42"/>
    </row>
    <row r="127" spans="2:2">
      <c r="B127" s="42"/>
    </row>
    <row r="128" spans="2:2">
      <c r="B128" s="42"/>
    </row>
    <row r="129" spans="2:2">
      <c r="B129" s="42"/>
    </row>
    <row r="130" spans="2:2">
      <c r="B130" s="42"/>
    </row>
    <row r="131" spans="2:2">
      <c r="B131" s="42"/>
    </row>
    <row r="132" spans="2:2">
      <c r="B132" s="42"/>
    </row>
    <row r="133" spans="2:2">
      <c r="B133" s="42"/>
    </row>
    <row r="134" spans="2:2">
      <c r="B134" s="42"/>
    </row>
    <row r="135" spans="2:2">
      <c r="B135" s="42"/>
    </row>
    <row r="136" spans="2:2">
      <c r="B136" s="42"/>
    </row>
    <row r="137" spans="2:2">
      <c r="B137" s="42"/>
    </row>
    <row r="138" spans="2:2">
      <c r="B138" s="42"/>
    </row>
    <row r="139" spans="2:2">
      <c r="B139" s="42"/>
    </row>
    <row r="140" spans="2:2">
      <c r="B140" s="42"/>
    </row>
    <row r="141" spans="2:2">
      <c r="B141" s="42"/>
    </row>
    <row r="142" spans="2:2">
      <c r="B142" s="42"/>
    </row>
    <row r="143" spans="2:2">
      <c r="B143" s="42"/>
    </row>
    <row r="144" spans="2:2">
      <c r="B144" s="42"/>
    </row>
    <row r="145" spans="2:2">
      <c r="B145" s="42"/>
    </row>
    <row r="146" spans="2:2">
      <c r="B146" s="42"/>
    </row>
    <row r="147" spans="2:2">
      <c r="B147" s="42"/>
    </row>
    <row r="148" spans="2:2">
      <c r="B148" s="42"/>
    </row>
    <row r="149" spans="2:2">
      <c r="B149" s="42"/>
    </row>
    <row r="150" spans="2:2">
      <c r="B150" s="42"/>
    </row>
    <row r="151" spans="2:2">
      <c r="B151" s="42"/>
    </row>
    <row r="152" spans="2:2">
      <c r="B152" s="42"/>
    </row>
    <row r="153" spans="2:2">
      <c r="B153" s="42"/>
    </row>
    <row r="154" spans="2:2">
      <c r="B154" s="42"/>
    </row>
    <row r="155" spans="2:2">
      <c r="B155" s="42"/>
    </row>
    <row r="156" spans="2:2">
      <c r="B156" s="42"/>
    </row>
    <row r="157" spans="2:2">
      <c r="B157" s="42"/>
    </row>
    <row r="158" spans="2:2">
      <c r="B158" s="42"/>
    </row>
    <row r="159" spans="2:2">
      <c r="B159" s="42"/>
    </row>
    <row r="160" spans="2:2">
      <c r="B160" s="42"/>
    </row>
    <row r="161" spans="2:2">
      <c r="B161" s="42"/>
    </row>
    <row r="162" spans="2:2">
      <c r="B162" s="42"/>
    </row>
    <row r="163" spans="2:2">
      <c r="B163" s="42"/>
    </row>
    <row r="164" spans="2:2">
      <c r="B164" s="42"/>
    </row>
    <row r="165" spans="2:2">
      <c r="B165" s="42"/>
    </row>
    <row r="166" spans="2:2">
      <c r="B166" s="42"/>
    </row>
    <row r="167" spans="2:2">
      <c r="B167" s="42"/>
    </row>
    <row r="168" spans="2:2">
      <c r="B168" s="42"/>
    </row>
    <row r="169" spans="2:2">
      <c r="B169" s="42"/>
    </row>
    <row r="170" spans="2:2">
      <c r="B170" s="42"/>
    </row>
    <row r="171" spans="2:2">
      <c r="B171" s="42"/>
    </row>
    <row r="172" spans="2:2">
      <c r="B172" s="42"/>
    </row>
    <row r="173" spans="2:2">
      <c r="B173" s="42"/>
    </row>
    <row r="174" spans="2:2">
      <c r="B174" s="42"/>
    </row>
    <row r="175" spans="2:2">
      <c r="B175" s="42"/>
    </row>
    <row r="176" spans="2:2">
      <c r="B176" s="42"/>
    </row>
    <row r="177" spans="2:2">
      <c r="B177" s="42"/>
    </row>
    <row r="178" spans="2:2">
      <c r="B178" s="42"/>
    </row>
    <row r="179" spans="2:2">
      <c r="B179" s="42"/>
    </row>
    <row r="180" spans="2:2">
      <c r="B180" s="42"/>
    </row>
    <row r="181" spans="2:2">
      <c r="B181" s="42"/>
    </row>
    <row r="182" spans="2:2">
      <c r="B182" s="42"/>
    </row>
    <row r="183" spans="2:2">
      <c r="B183" s="42"/>
    </row>
    <row r="184" spans="2:2">
      <c r="B184" s="42"/>
    </row>
    <row r="185" spans="2:2">
      <c r="B185" s="42"/>
    </row>
    <row r="186" spans="2:2">
      <c r="B186" s="42"/>
    </row>
    <row r="187" spans="2:2">
      <c r="B187" s="42"/>
    </row>
    <row r="188" spans="2:2">
      <c r="B188" s="42"/>
    </row>
    <row r="189" spans="2:2">
      <c r="B189" s="42"/>
    </row>
    <row r="190" spans="2:2">
      <c r="B190" s="42"/>
    </row>
    <row r="191" spans="2:2">
      <c r="B191" s="42"/>
    </row>
    <row r="192" spans="2:2">
      <c r="B192" s="42"/>
    </row>
    <row r="193" spans="2:2">
      <c r="B193" s="42"/>
    </row>
    <row r="194" spans="2:2">
      <c r="B194" s="42"/>
    </row>
    <row r="195" spans="2:2">
      <c r="B195" s="42"/>
    </row>
    <row r="196" spans="2:2">
      <c r="B196" s="42"/>
    </row>
    <row r="197" spans="2:2">
      <c r="B197" s="42"/>
    </row>
    <row r="198" spans="2:2">
      <c r="B198" s="42"/>
    </row>
    <row r="199" spans="2:2">
      <c r="B199" s="42"/>
    </row>
    <row r="200" spans="2:2">
      <c r="B200" s="42"/>
    </row>
    <row r="201" spans="2:2">
      <c r="B201" s="42"/>
    </row>
    <row r="202" spans="2:2">
      <c r="B202" s="42"/>
    </row>
    <row r="203" spans="2:2">
      <c r="B203" s="42"/>
    </row>
    <row r="204" spans="2:2">
      <c r="B204" s="42"/>
    </row>
    <row r="205" spans="2:2">
      <c r="B205" s="42"/>
    </row>
    <row r="206" spans="2:2">
      <c r="B206" s="42"/>
    </row>
    <row r="207" spans="2:2">
      <c r="B207" s="42"/>
    </row>
    <row r="208" spans="2:2">
      <c r="B208" s="42"/>
    </row>
    <row r="209" spans="2:2">
      <c r="B209" s="42"/>
    </row>
    <row r="210" spans="2:2">
      <c r="B210" s="42"/>
    </row>
    <row r="211" spans="2:2">
      <c r="B211" s="42"/>
    </row>
    <row r="212" spans="2:2">
      <c r="B212" s="42"/>
    </row>
    <row r="213" spans="2:2">
      <c r="B213" s="42"/>
    </row>
    <row r="214" spans="2:2">
      <c r="B214" s="42"/>
    </row>
    <row r="215" spans="2:2">
      <c r="B215" s="42"/>
    </row>
    <row r="216" spans="2:2">
      <c r="B216" s="42"/>
    </row>
    <row r="217" spans="2:2">
      <c r="B217" s="42"/>
    </row>
    <row r="218" spans="2:2">
      <c r="B218" s="42"/>
    </row>
    <row r="219" spans="2:2">
      <c r="B219" s="42"/>
    </row>
    <row r="220" spans="2:2">
      <c r="B220" s="42"/>
    </row>
    <row r="221" spans="2:2">
      <c r="B221" s="42"/>
    </row>
    <row r="222" spans="2:2">
      <c r="B222" s="42"/>
    </row>
    <row r="223" spans="2:2">
      <c r="B223" s="42"/>
    </row>
    <row r="224" spans="2:2">
      <c r="B224" s="42"/>
    </row>
    <row r="225" spans="2:2">
      <c r="B225" s="42"/>
    </row>
    <row r="226" spans="2:2">
      <c r="B226" s="42"/>
    </row>
    <row r="227" spans="2:2">
      <c r="B227" s="42"/>
    </row>
    <row r="228" spans="2:2">
      <c r="B228" s="42"/>
    </row>
    <row r="229" spans="2:2">
      <c r="B229" s="42"/>
    </row>
    <row r="230" spans="2:2">
      <c r="B230" s="42"/>
    </row>
    <row r="231" spans="2:2">
      <c r="B231" s="42"/>
    </row>
    <row r="232" spans="2:2">
      <c r="B232" s="42"/>
    </row>
    <row r="233" spans="2:2">
      <c r="B233" s="42"/>
    </row>
    <row r="234" spans="2:2">
      <c r="B234" s="42"/>
    </row>
    <row r="235" spans="2:2">
      <c r="B235" s="42"/>
    </row>
    <row r="236" spans="2:2">
      <c r="B236" s="42"/>
    </row>
    <row r="237" spans="2:2">
      <c r="B237" s="42"/>
    </row>
    <row r="238" spans="2:2">
      <c r="B238" s="42"/>
    </row>
    <row r="239" spans="2:2">
      <c r="B239" s="42"/>
    </row>
    <row r="240" spans="2:2">
      <c r="B240" s="42"/>
    </row>
    <row r="241" spans="2:2">
      <c r="B241" s="42"/>
    </row>
    <row r="242" spans="2:2">
      <c r="B242" s="42"/>
    </row>
    <row r="243" spans="2:2">
      <c r="B243" s="42"/>
    </row>
    <row r="244" spans="2:2">
      <c r="B244" s="42"/>
    </row>
    <row r="245" spans="2:2">
      <c r="B245" s="42"/>
    </row>
    <row r="246" spans="2:2">
      <c r="B246" s="42"/>
    </row>
    <row r="247" spans="2:2">
      <c r="B247" s="42"/>
    </row>
    <row r="248" spans="2:2">
      <c r="B248" s="42"/>
    </row>
    <row r="249" spans="2:2">
      <c r="B249" s="42"/>
    </row>
    <row r="250" spans="2:2">
      <c r="B250" s="42"/>
    </row>
    <row r="251" spans="2:2">
      <c r="B251" s="42"/>
    </row>
    <row r="252" spans="2:2">
      <c r="B252" s="42"/>
    </row>
    <row r="253" spans="2:2">
      <c r="B253" s="42"/>
    </row>
    <row r="254" spans="2:2">
      <c r="B254" s="42"/>
    </row>
    <row r="255" spans="2:2">
      <c r="B255" s="42"/>
    </row>
    <row r="256" spans="2:2">
      <c r="B256" s="42"/>
    </row>
    <row r="257" spans="2:2">
      <c r="B257" s="42"/>
    </row>
    <row r="258" spans="2:2">
      <c r="B258" s="42"/>
    </row>
    <row r="259" spans="2:2">
      <c r="B259" s="42"/>
    </row>
    <row r="260" spans="2:2">
      <c r="B260" s="42"/>
    </row>
    <row r="261" spans="2:2">
      <c r="B261" s="42"/>
    </row>
    <row r="262" spans="2:2">
      <c r="B262" s="42"/>
    </row>
    <row r="263" spans="2:2">
      <c r="B263" s="42"/>
    </row>
    <row r="264" spans="2:2">
      <c r="B264" s="42"/>
    </row>
    <row r="265" spans="2:2">
      <c r="B265" s="42"/>
    </row>
    <row r="266" spans="2:2">
      <c r="B266" s="42"/>
    </row>
    <row r="267" spans="2:2">
      <c r="B267" s="42"/>
    </row>
    <row r="268" spans="2:2">
      <c r="B268" s="42"/>
    </row>
    <row r="269" spans="2:2">
      <c r="B269" s="42"/>
    </row>
    <row r="270" spans="2:2">
      <c r="B270" s="42"/>
    </row>
    <row r="271" spans="2:2">
      <c r="B271" s="42"/>
    </row>
    <row r="272" spans="2:2">
      <c r="B272" s="42"/>
    </row>
    <row r="273" spans="2:2">
      <c r="B273" s="42"/>
    </row>
    <row r="274" spans="2:2">
      <c r="B274" s="42"/>
    </row>
    <row r="275" spans="2:2">
      <c r="B275" s="42"/>
    </row>
    <row r="276" spans="2:2">
      <c r="B276" s="42"/>
    </row>
    <row r="277" spans="2:2">
      <c r="B277" s="42"/>
    </row>
    <row r="278" spans="2:2">
      <c r="B278" s="42"/>
    </row>
    <row r="279" spans="2:2">
      <c r="B279" s="42"/>
    </row>
    <row r="280" spans="2:2">
      <c r="B280" s="42"/>
    </row>
    <row r="281" spans="2:2">
      <c r="B281" s="42"/>
    </row>
    <row r="282" spans="2:2">
      <c r="B282" s="42"/>
    </row>
    <row r="283" spans="2:2">
      <c r="B283" s="42"/>
    </row>
    <row r="284" spans="2:2">
      <c r="B284" s="42"/>
    </row>
    <row r="285" spans="2:2">
      <c r="B285" s="42"/>
    </row>
    <row r="286" spans="2:2">
      <c r="B286" s="42"/>
    </row>
    <row r="287" spans="2:2">
      <c r="B287" s="42"/>
    </row>
    <row r="288" spans="2:2">
      <c r="B288" s="42"/>
    </row>
    <row r="289" spans="2:2">
      <c r="B289" s="42"/>
    </row>
    <row r="290" spans="2:2">
      <c r="B290" s="42"/>
    </row>
    <row r="291" spans="2:2">
      <c r="B291" s="42"/>
    </row>
    <row r="292" spans="2:2">
      <c r="B292" s="42"/>
    </row>
    <row r="293" spans="2:2">
      <c r="B293" s="42"/>
    </row>
    <row r="294" spans="2:2">
      <c r="B294" s="42"/>
    </row>
    <row r="295" spans="2:2">
      <c r="B295" s="42"/>
    </row>
    <row r="296" spans="2:2">
      <c r="B296" s="42"/>
    </row>
    <row r="297" spans="2:2">
      <c r="B297" s="42"/>
    </row>
    <row r="298" spans="2:2">
      <c r="B298" s="42"/>
    </row>
    <row r="299" spans="2:2">
      <c r="B299" s="42"/>
    </row>
    <row r="300" spans="2:2">
      <c r="B300" s="42"/>
    </row>
    <row r="301" spans="2:2">
      <c r="B301" s="42"/>
    </row>
    <row r="302" spans="2:2">
      <c r="B302" s="42"/>
    </row>
    <row r="303" spans="2:2">
      <c r="B303" s="42"/>
    </row>
    <row r="304" spans="2:2">
      <c r="B304" s="42"/>
    </row>
    <row r="305" spans="2:2">
      <c r="B305" s="42"/>
    </row>
    <row r="306" spans="2:2">
      <c r="B306" s="42"/>
    </row>
    <row r="307" spans="2:2">
      <c r="B307" s="42"/>
    </row>
    <row r="308" spans="2:2">
      <c r="B308" s="42"/>
    </row>
    <row r="309" spans="2:2">
      <c r="B309" s="42"/>
    </row>
    <row r="310" spans="2:2">
      <c r="B310" s="42"/>
    </row>
    <row r="311" spans="2:2">
      <c r="B311" s="42"/>
    </row>
    <row r="312" spans="2:2">
      <c r="B312" s="42"/>
    </row>
    <row r="313" spans="2:2">
      <c r="B313" s="42"/>
    </row>
    <row r="314" spans="2:2">
      <c r="B314" s="42"/>
    </row>
    <row r="315" spans="2:2">
      <c r="B315" s="42"/>
    </row>
    <row r="316" spans="2:2">
      <c r="B316" s="42"/>
    </row>
    <row r="317" spans="2:2">
      <c r="B317" s="42"/>
    </row>
    <row r="318" spans="2:2">
      <c r="B318" s="42"/>
    </row>
    <row r="319" spans="2:2">
      <c r="B319" s="42"/>
    </row>
    <row r="320" spans="2:2">
      <c r="B320" s="42"/>
    </row>
    <row r="321" spans="2:2">
      <c r="B321" s="42"/>
    </row>
    <row r="322" spans="2:2">
      <c r="B322" s="42"/>
    </row>
    <row r="323" spans="2:2">
      <c r="B323" s="42"/>
    </row>
    <row r="324" spans="2:2">
      <c r="B324" s="42"/>
    </row>
    <row r="325" spans="2:2">
      <c r="B325" s="42"/>
    </row>
    <row r="326" spans="2:2">
      <c r="B326" s="42"/>
    </row>
    <row r="327" spans="2:2">
      <c r="B327" s="42"/>
    </row>
    <row r="328" spans="2:2">
      <c r="B328" s="42"/>
    </row>
    <row r="329" spans="2:2">
      <c r="B329" s="42"/>
    </row>
    <row r="330" spans="2:2">
      <c r="B330" s="42"/>
    </row>
    <row r="331" spans="2:2">
      <c r="B331" s="42"/>
    </row>
    <row r="332" spans="2:2">
      <c r="B332" s="42"/>
    </row>
    <row r="333" spans="2:2">
      <c r="B333" s="42"/>
    </row>
    <row r="334" spans="2:2">
      <c r="B334" s="42"/>
    </row>
    <row r="335" spans="2:2">
      <c r="B335" s="42"/>
    </row>
    <row r="336" spans="2:2">
      <c r="B336" s="42"/>
    </row>
    <row r="337" spans="2:2">
      <c r="B337" s="42"/>
    </row>
    <row r="338" spans="2:2">
      <c r="B338" s="42"/>
    </row>
    <row r="339" spans="2:2">
      <c r="B339" s="42"/>
    </row>
    <row r="340" spans="2:2">
      <c r="B340" s="42"/>
    </row>
    <row r="341" spans="2:2">
      <c r="B341" s="42"/>
    </row>
    <row r="342" spans="2:2">
      <c r="B342" s="42"/>
    </row>
    <row r="343" spans="2:2">
      <c r="B343" s="42"/>
    </row>
    <row r="344" spans="2:2">
      <c r="B344" s="42"/>
    </row>
    <row r="345" spans="2:2">
      <c r="B345" s="42"/>
    </row>
    <row r="346" spans="2:2">
      <c r="B346" s="42"/>
    </row>
    <row r="347" spans="2:2">
      <c r="B347" s="42"/>
    </row>
    <row r="348" spans="2:2">
      <c r="B348" s="42"/>
    </row>
    <row r="349" spans="2:2">
      <c r="B349" s="42"/>
    </row>
    <row r="350" spans="2:2">
      <c r="B350" s="42"/>
    </row>
    <row r="351" spans="2:2">
      <c r="B351" s="42"/>
    </row>
    <row r="352" spans="2:2">
      <c r="B352" s="42"/>
    </row>
    <row r="353" spans="2:2">
      <c r="B353" s="42"/>
    </row>
    <row r="354" spans="2:2">
      <c r="B354" s="42"/>
    </row>
    <row r="355" spans="2:2">
      <c r="B355" s="42"/>
    </row>
    <row r="356" spans="2:2">
      <c r="B356" s="42"/>
    </row>
    <row r="357" spans="2:2">
      <c r="B357" s="42"/>
    </row>
    <row r="358" spans="2:2">
      <c r="B358" s="42"/>
    </row>
    <row r="359" spans="2:2">
      <c r="B359" s="42"/>
    </row>
    <row r="360" spans="2:2">
      <c r="B360" s="42"/>
    </row>
    <row r="361" spans="2:2">
      <c r="B361" s="42"/>
    </row>
    <row r="362" spans="2:2">
      <c r="B362" s="42"/>
    </row>
    <row r="363" spans="2:2">
      <c r="B363" s="42"/>
    </row>
    <row r="364" spans="2:2">
      <c r="B364" s="42"/>
    </row>
    <row r="365" spans="2:2">
      <c r="B365" s="42"/>
    </row>
    <row r="366" spans="2:2">
      <c r="B366" s="42"/>
    </row>
    <row r="367" spans="2:2">
      <c r="B367" s="42"/>
    </row>
    <row r="368" spans="2:2">
      <c r="B368" s="42"/>
    </row>
    <row r="369" spans="2:2">
      <c r="B369" s="42"/>
    </row>
    <row r="370" spans="2:2">
      <c r="B370" s="42"/>
    </row>
    <row r="371" spans="2:2">
      <c r="B371" s="42"/>
    </row>
    <row r="372" spans="2:2">
      <c r="B372" s="42"/>
    </row>
    <row r="373" spans="2:2">
      <c r="B373" s="42"/>
    </row>
    <row r="374" spans="2:2">
      <c r="B374" s="42"/>
    </row>
    <row r="375" spans="2:2">
      <c r="B375" s="42"/>
    </row>
    <row r="376" spans="2:2">
      <c r="B376" s="42"/>
    </row>
    <row r="377" spans="2:2">
      <c r="B377" s="42"/>
    </row>
    <row r="378" spans="2:2">
      <c r="B378" s="42"/>
    </row>
    <row r="379" spans="2:2">
      <c r="B379" s="42"/>
    </row>
    <row r="380" spans="2:2">
      <c r="B380" s="42"/>
    </row>
    <row r="381" spans="2:2">
      <c r="B381" s="42"/>
    </row>
    <row r="382" spans="2:2">
      <c r="B382" s="42"/>
    </row>
    <row r="383" spans="2:2">
      <c r="B383" s="42"/>
    </row>
    <row r="384" spans="2:2">
      <c r="B384" s="42"/>
    </row>
    <row r="385" spans="2:2">
      <c r="B385" s="42"/>
    </row>
    <row r="386" spans="2:2">
      <c r="B386" s="42"/>
    </row>
    <row r="387" spans="2:2">
      <c r="B387" s="42"/>
    </row>
    <row r="388" spans="2:2">
      <c r="B388" s="42"/>
    </row>
    <row r="389" spans="2:2">
      <c r="B389" s="42"/>
    </row>
    <row r="390" spans="2:2">
      <c r="B390" s="42"/>
    </row>
    <row r="391" spans="2:2">
      <c r="B391" s="42"/>
    </row>
    <row r="392" spans="2:2">
      <c r="B392" s="42"/>
    </row>
    <row r="393" spans="2:2">
      <c r="B393" s="42"/>
    </row>
    <row r="394" spans="2:2">
      <c r="B394" s="42"/>
    </row>
    <row r="395" spans="2:2">
      <c r="B395" s="42"/>
    </row>
    <row r="396" spans="2:2">
      <c r="B396" s="42"/>
    </row>
    <row r="397" spans="2:2">
      <c r="B397" s="42"/>
    </row>
    <row r="398" spans="2:2">
      <c r="B398" s="42"/>
    </row>
    <row r="399" spans="2:2">
      <c r="B399" s="42"/>
    </row>
    <row r="400" spans="2:2">
      <c r="B400" s="42"/>
    </row>
    <row r="401" spans="2:2">
      <c r="B401" s="42"/>
    </row>
    <row r="402" spans="2:2">
      <c r="B402" s="42"/>
    </row>
    <row r="403" spans="2:2">
      <c r="B403" s="42"/>
    </row>
    <row r="404" spans="2:2">
      <c r="B404" s="42"/>
    </row>
    <row r="405" spans="2:2">
      <c r="B405" s="42"/>
    </row>
    <row r="406" spans="2:2">
      <c r="B406" s="42"/>
    </row>
    <row r="407" spans="2:2">
      <c r="B407" s="42"/>
    </row>
    <row r="408" spans="2:2">
      <c r="B408" s="42"/>
    </row>
    <row r="409" spans="2:2">
      <c r="B409" s="42"/>
    </row>
    <row r="410" spans="2:2">
      <c r="B410" s="42"/>
    </row>
    <row r="411" spans="2:2">
      <c r="B411" s="42"/>
    </row>
    <row r="412" spans="2:2">
      <c r="B412" s="42"/>
    </row>
    <row r="413" spans="2:2">
      <c r="B413" s="42"/>
    </row>
    <row r="414" spans="2:2">
      <c r="B414" s="42"/>
    </row>
    <row r="415" spans="2:2">
      <c r="B415" s="42"/>
    </row>
    <row r="416" spans="2:2">
      <c r="B416" s="42"/>
    </row>
    <row r="417" spans="2:2">
      <c r="B417" s="42"/>
    </row>
    <row r="418" spans="2:2">
      <c r="B418" s="42"/>
    </row>
    <row r="419" spans="2:2">
      <c r="B419" s="42"/>
    </row>
    <row r="420" spans="2:2">
      <c r="B420" s="42"/>
    </row>
    <row r="421" spans="2:2">
      <c r="B421" s="42"/>
    </row>
    <row r="422" spans="2:2">
      <c r="B422" s="42"/>
    </row>
    <row r="423" spans="2:2">
      <c r="B423" s="42"/>
    </row>
    <row r="424" spans="2:2">
      <c r="B424" s="42"/>
    </row>
    <row r="425" spans="2:2">
      <c r="B425" s="42"/>
    </row>
    <row r="426" spans="2:2">
      <c r="B426" s="42"/>
    </row>
    <row r="427" spans="2:2">
      <c r="B427" s="42"/>
    </row>
    <row r="428" spans="2:2">
      <c r="B428" s="42"/>
    </row>
    <row r="429" spans="2:2">
      <c r="B429" s="42"/>
    </row>
    <row r="430" spans="2:2">
      <c r="B430" s="42"/>
    </row>
    <row r="431" spans="2:2">
      <c r="B431" s="42"/>
    </row>
    <row r="432" spans="2:2">
      <c r="B432" s="42"/>
    </row>
    <row r="433" spans="2:2">
      <c r="B433" s="42"/>
    </row>
    <row r="434" spans="2:2">
      <c r="B434" s="42"/>
    </row>
    <row r="435" spans="2:2">
      <c r="B435" s="42"/>
    </row>
    <row r="436" spans="2:2">
      <c r="B436" s="42"/>
    </row>
    <row r="437" spans="2:2">
      <c r="B437" s="42"/>
    </row>
    <row r="438" spans="2:2">
      <c r="B438" s="42"/>
    </row>
    <row r="439" spans="2:2">
      <c r="B439" s="42"/>
    </row>
    <row r="440" spans="2:2">
      <c r="B440" s="42"/>
    </row>
    <row r="441" spans="2:2">
      <c r="B441" s="42"/>
    </row>
    <row r="442" spans="2:2">
      <c r="B442" s="42"/>
    </row>
    <row r="443" spans="2:2">
      <c r="B443" s="42"/>
    </row>
    <row r="444" spans="2:2">
      <c r="B444" s="42"/>
    </row>
    <row r="445" spans="2:2">
      <c r="B445" s="42"/>
    </row>
    <row r="446" spans="2:2">
      <c r="B446" s="42"/>
    </row>
    <row r="447" spans="2:2">
      <c r="B447" s="42"/>
    </row>
    <row r="448" spans="2:2">
      <c r="B448" s="42"/>
    </row>
    <row r="449" spans="2:2">
      <c r="B449" s="42"/>
    </row>
    <row r="450" spans="2:2">
      <c r="B450" s="42"/>
    </row>
    <row r="451" spans="2:2">
      <c r="B451" s="42"/>
    </row>
    <row r="452" spans="2:2">
      <c r="B452" s="42"/>
    </row>
    <row r="453" spans="2:2">
      <c r="B453" s="42"/>
    </row>
    <row r="454" spans="2:2">
      <c r="B454" s="42"/>
    </row>
    <row r="455" spans="2:2">
      <c r="B455" s="42"/>
    </row>
    <row r="456" spans="2:2">
      <c r="B456" s="42"/>
    </row>
    <row r="457" spans="2:2">
      <c r="B457" s="42"/>
    </row>
    <row r="458" spans="2:2">
      <c r="B458" s="42"/>
    </row>
    <row r="459" spans="2:2">
      <c r="B459" s="42"/>
    </row>
    <row r="460" spans="2:2">
      <c r="B460" s="42"/>
    </row>
    <row r="461" spans="2:2">
      <c r="B461" s="42"/>
    </row>
    <row r="462" spans="2:2">
      <c r="B462" s="42"/>
    </row>
    <row r="463" spans="2:2">
      <c r="B463" s="42"/>
    </row>
    <row r="464" spans="2:2">
      <c r="B464" s="42"/>
    </row>
    <row r="465" spans="2:2">
      <c r="B465" s="42"/>
    </row>
    <row r="466" spans="2:2">
      <c r="B466" s="42"/>
    </row>
    <row r="467" spans="2:2">
      <c r="B467" s="42"/>
    </row>
    <row r="468" spans="2:2">
      <c r="B468" s="42"/>
    </row>
    <row r="469" spans="2:2">
      <c r="B469" s="42"/>
    </row>
    <row r="470" spans="2:2">
      <c r="B470" s="42"/>
    </row>
    <row r="471" spans="2:2">
      <c r="B471" s="42"/>
    </row>
    <row r="472" spans="2:2">
      <c r="B472" s="42"/>
    </row>
    <row r="473" spans="2:2">
      <c r="B473" s="42"/>
    </row>
    <row r="474" spans="2:2">
      <c r="B474" s="42"/>
    </row>
    <row r="475" spans="2:2">
      <c r="B475" s="42"/>
    </row>
    <row r="476" spans="2:2">
      <c r="B476" s="42"/>
    </row>
    <row r="477" spans="2:2">
      <c r="B477" s="42"/>
    </row>
    <row r="478" spans="2:2">
      <c r="B478" s="42"/>
    </row>
    <row r="479" spans="2:2">
      <c r="B479" s="42"/>
    </row>
    <row r="480" spans="2:2">
      <c r="B480" s="42"/>
    </row>
    <row r="481" spans="2:2">
      <c r="B481" s="42"/>
    </row>
    <row r="482" spans="2:2">
      <c r="B482" s="42"/>
    </row>
    <row r="483" spans="2:2">
      <c r="B483" s="42"/>
    </row>
    <row r="484" spans="2:2">
      <c r="B484" s="42"/>
    </row>
    <row r="485" spans="2:2">
      <c r="B485" s="42"/>
    </row>
    <row r="486" spans="2:2">
      <c r="B486" s="42"/>
    </row>
    <row r="487" spans="2:2">
      <c r="B487" s="42"/>
    </row>
    <row r="488" spans="2:2">
      <c r="B488" s="42"/>
    </row>
    <row r="489" spans="2:2">
      <c r="B489" s="42"/>
    </row>
    <row r="490" spans="2:2">
      <c r="B490" s="42"/>
    </row>
    <row r="491" spans="2:2">
      <c r="B491" s="42"/>
    </row>
    <row r="492" spans="2:2">
      <c r="B492" s="42"/>
    </row>
    <row r="493" spans="2:2">
      <c r="B493" s="42"/>
    </row>
    <row r="494" spans="2:2">
      <c r="B494" s="42"/>
    </row>
    <row r="495" spans="2:2">
      <c r="B495" s="42"/>
    </row>
    <row r="496" spans="2:2">
      <c r="B496" s="42"/>
    </row>
    <row r="497" spans="2:2">
      <c r="B497" s="42"/>
    </row>
  </sheetData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>
  <dimension ref="A1:AF497"/>
  <sheetViews>
    <sheetView zoomScale="70" zoomScaleNormal="70" workbookViewId="0">
      <selection activeCell="B4" sqref="B4:AF9"/>
    </sheetView>
  </sheetViews>
  <sheetFormatPr defaultColWidth="5.7109375" defaultRowHeight="15"/>
  <cols>
    <col min="1" max="1" width="11.5703125" customWidth="1"/>
    <col min="2" max="32" width="7.7109375" style="43" customWidth="1"/>
    <col min="33" max="33" width="12.7109375" customWidth="1"/>
    <col min="257" max="257" width="11.5703125" customWidth="1"/>
    <col min="258" max="288" width="7.7109375" customWidth="1"/>
    <col min="289" max="289" width="12.7109375" customWidth="1"/>
    <col min="513" max="513" width="11.5703125" customWidth="1"/>
    <col min="514" max="544" width="7.7109375" customWidth="1"/>
    <col min="545" max="545" width="12.7109375" customWidth="1"/>
    <col min="769" max="769" width="11.5703125" customWidth="1"/>
    <col min="770" max="800" width="7.7109375" customWidth="1"/>
    <col min="801" max="801" width="12.7109375" customWidth="1"/>
    <col min="1025" max="1025" width="11.5703125" customWidth="1"/>
    <col min="1026" max="1056" width="7.7109375" customWidth="1"/>
    <col min="1057" max="1057" width="12.7109375" customWidth="1"/>
    <col min="1281" max="1281" width="11.5703125" customWidth="1"/>
    <col min="1282" max="1312" width="7.7109375" customWidth="1"/>
    <col min="1313" max="1313" width="12.7109375" customWidth="1"/>
    <col min="1537" max="1537" width="11.5703125" customWidth="1"/>
    <col min="1538" max="1568" width="7.7109375" customWidth="1"/>
    <col min="1569" max="1569" width="12.7109375" customWidth="1"/>
    <col min="1793" max="1793" width="11.5703125" customWidth="1"/>
    <col min="1794" max="1824" width="7.7109375" customWidth="1"/>
    <col min="1825" max="1825" width="12.7109375" customWidth="1"/>
    <col min="2049" max="2049" width="11.5703125" customWidth="1"/>
    <col min="2050" max="2080" width="7.7109375" customWidth="1"/>
    <col min="2081" max="2081" width="12.7109375" customWidth="1"/>
    <col min="2305" max="2305" width="11.5703125" customWidth="1"/>
    <col min="2306" max="2336" width="7.7109375" customWidth="1"/>
    <col min="2337" max="2337" width="12.7109375" customWidth="1"/>
    <col min="2561" max="2561" width="11.5703125" customWidth="1"/>
    <col min="2562" max="2592" width="7.7109375" customWidth="1"/>
    <col min="2593" max="2593" width="12.7109375" customWidth="1"/>
    <col min="2817" max="2817" width="11.5703125" customWidth="1"/>
    <col min="2818" max="2848" width="7.7109375" customWidth="1"/>
    <col min="2849" max="2849" width="12.7109375" customWidth="1"/>
    <col min="3073" max="3073" width="11.5703125" customWidth="1"/>
    <col min="3074" max="3104" width="7.7109375" customWidth="1"/>
    <col min="3105" max="3105" width="12.7109375" customWidth="1"/>
    <col min="3329" max="3329" width="11.5703125" customWidth="1"/>
    <col min="3330" max="3360" width="7.7109375" customWidth="1"/>
    <col min="3361" max="3361" width="12.7109375" customWidth="1"/>
    <col min="3585" max="3585" width="11.5703125" customWidth="1"/>
    <col min="3586" max="3616" width="7.7109375" customWidth="1"/>
    <col min="3617" max="3617" width="12.7109375" customWidth="1"/>
    <col min="3841" max="3841" width="11.5703125" customWidth="1"/>
    <col min="3842" max="3872" width="7.7109375" customWidth="1"/>
    <col min="3873" max="3873" width="12.7109375" customWidth="1"/>
    <col min="4097" max="4097" width="11.5703125" customWidth="1"/>
    <col min="4098" max="4128" width="7.7109375" customWidth="1"/>
    <col min="4129" max="4129" width="12.7109375" customWidth="1"/>
    <col min="4353" max="4353" width="11.5703125" customWidth="1"/>
    <col min="4354" max="4384" width="7.7109375" customWidth="1"/>
    <col min="4385" max="4385" width="12.7109375" customWidth="1"/>
    <col min="4609" max="4609" width="11.5703125" customWidth="1"/>
    <col min="4610" max="4640" width="7.7109375" customWidth="1"/>
    <col min="4641" max="4641" width="12.7109375" customWidth="1"/>
    <col min="4865" max="4865" width="11.5703125" customWidth="1"/>
    <col min="4866" max="4896" width="7.7109375" customWidth="1"/>
    <col min="4897" max="4897" width="12.7109375" customWidth="1"/>
    <col min="5121" max="5121" width="11.5703125" customWidth="1"/>
    <col min="5122" max="5152" width="7.7109375" customWidth="1"/>
    <col min="5153" max="5153" width="12.7109375" customWidth="1"/>
    <col min="5377" max="5377" width="11.5703125" customWidth="1"/>
    <col min="5378" max="5408" width="7.7109375" customWidth="1"/>
    <col min="5409" max="5409" width="12.7109375" customWidth="1"/>
    <col min="5633" max="5633" width="11.5703125" customWidth="1"/>
    <col min="5634" max="5664" width="7.7109375" customWidth="1"/>
    <col min="5665" max="5665" width="12.7109375" customWidth="1"/>
    <col min="5889" max="5889" width="11.5703125" customWidth="1"/>
    <col min="5890" max="5920" width="7.7109375" customWidth="1"/>
    <col min="5921" max="5921" width="12.7109375" customWidth="1"/>
    <col min="6145" max="6145" width="11.5703125" customWidth="1"/>
    <col min="6146" max="6176" width="7.7109375" customWidth="1"/>
    <col min="6177" max="6177" width="12.7109375" customWidth="1"/>
    <col min="6401" max="6401" width="11.5703125" customWidth="1"/>
    <col min="6402" max="6432" width="7.7109375" customWidth="1"/>
    <col min="6433" max="6433" width="12.7109375" customWidth="1"/>
    <col min="6657" max="6657" width="11.5703125" customWidth="1"/>
    <col min="6658" max="6688" width="7.7109375" customWidth="1"/>
    <col min="6689" max="6689" width="12.7109375" customWidth="1"/>
    <col min="6913" max="6913" width="11.5703125" customWidth="1"/>
    <col min="6914" max="6944" width="7.7109375" customWidth="1"/>
    <col min="6945" max="6945" width="12.7109375" customWidth="1"/>
    <col min="7169" max="7169" width="11.5703125" customWidth="1"/>
    <col min="7170" max="7200" width="7.7109375" customWidth="1"/>
    <col min="7201" max="7201" width="12.7109375" customWidth="1"/>
    <col min="7425" max="7425" width="11.5703125" customWidth="1"/>
    <col min="7426" max="7456" width="7.7109375" customWidth="1"/>
    <col min="7457" max="7457" width="12.7109375" customWidth="1"/>
    <col min="7681" max="7681" width="11.5703125" customWidth="1"/>
    <col min="7682" max="7712" width="7.7109375" customWidth="1"/>
    <col min="7713" max="7713" width="12.7109375" customWidth="1"/>
    <col min="7937" max="7937" width="11.5703125" customWidth="1"/>
    <col min="7938" max="7968" width="7.7109375" customWidth="1"/>
    <col min="7969" max="7969" width="12.7109375" customWidth="1"/>
    <col min="8193" max="8193" width="11.5703125" customWidth="1"/>
    <col min="8194" max="8224" width="7.7109375" customWidth="1"/>
    <col min="8225" max="8225" width="12.7109375" customWidth="1"/>
    <col min="8449" max="8449" width="11.5703125" customWidth="1"/>
    <col min="8450" max="8480" width="7.7109375" customWidth="1"/>
    <col min="8481" max="8481" width="12.7109375" customWidth="1"/>
    <col min="8705" max="8705" width="11.5703125" customWidth="1"/>
    <col min="8706" max="8736" width="7.7109375" customWidth="1"/>
    <col min="8737" max="8737" width="12.7109375" customWidth="1"/>
    <col min="8961" max="8961" width="11.5703125" customWidth="1"/>
    <col min="8962" max="8992" width="7.7109375" customWidth="1"/>
    <col min="8993" max="8993" width="12.7109375" customWidth="1"/>
    <col min="9217" max="9217" width="11.5703125" customWidth="1"/>
    <col min="9218" max="9248" width="7.7109375" customWidth="1"/>
    <col min="9249" max="9249" width="12.7109375" customWidth="1"/>
    <col min="9473" max="9473" width="11.5703125" customWidth="1"/>
    <col min="9474" max="9504" width="7.7109375" customWidth="1"/>
    <col min="9505" max="9505" width="12.7109375" customWidth="1"/>
    <col min="9729" max="9729" width="11.5703125" customWidth="1"/>
    <col min="9730" max="9760" width="7.7109375" customWidth="1"/>
    <col min="9761" max="9761" width="12.7109375" customWidth="1"/>
    <col min="9985" max="9985" width="11.5703125" customWidth="1"/>
    <col min="9986" max="10016" width="7.7109375" customWidth="1"/>
    <col min="10017" max="10017" width="12.7109375" customWidth="1"/>
    <col min="10241" max="10241" width="11.5703125" customWidth="1"/>
    <col min="10242" max="10272" width="7.7109375" customWidth="1"/>
    <col min="10273" max="10273" width="12.7109375" customWidth="1"/>
    <col min="10497" max="10497" width="11.5703125" customWidth="1"/>
    <col min="10498" max="10528" width="7.7109375" customWidth="1"/>
    <col min="10529" max="10529" width="12.7109375" customWidth="1"/>
    <col min="10753" max="10753" width="11.5703125" customWidth="1"/>
    <col min="10754" max="10784" width="7.7109375" customWidth="1"/>
    <col min="10785" max="10785" width="12.7109375" customWidth="1"/>
    <col min="11009" max="11009" width="11.5703125" customWidth="1"/>
    <col min="11010" max="11040" width="7.7109375" customWidth="1"/>
    <col min="11041" max="11041" width="12.7109375" customWidth="1"/>
    <col min="11265" max="11265" width="11.5703125" customWidth="1"/>
    <col min="11266" max="11296" width="7.7109375" customWidth="1"/>
    <col min="11297" max="11297" width="12.7109375" customWidth="1"/>
    <col min="11521" max="11521" width="11.5703125" customWidth="1"/>
    <col min="11522" max="11552" width="7.7109375" customWidth="1"/>
    <col min="11553" max="11553" width="12.7109375" customWidth="1"/>
    <col min="11777" max="11777" width="11.5703125" customWidth="1"/>
    <col min="11778" max="11808" width="7.7109375" customWidth="1"/>
    <col min="11809" max="11809" width="12.7109375" customWidth="1"/>
    <col min="12033" max="12033" width="11.5703125" customWidth="1"/>
    <col min="12034" max="12064" width="7.7109375" customWidth="1"/>
    <col min="12065" max="12065" width="12.7109375" customWidth="1"/>
    <col min="12289" max="12289" width="11.5703125" customWidth="1"/>
    <col min="12290" max="12320" width="7.7109375" customWidth="1"/>
    <col min="12321" max="12321" width="12.7109375" customWidth="1"/>
    <col min="12545" max="12545" width="11.5703125" customWidth="1"/>
    <col min="12546" max="12576" width="7.7109375" customWidth="1"/>
    <col min="12577" max="12577" width="12.7109375" customWidth="1"/>
    <col min="12801" max="12801" width="11.5703125" customWidth="1"/>
    <col min="12802" max="12832" width="7.7109375" customWidth="1"/>
    <col min="12833" max="12833" width="12.7109375" customWidth="1"/>
    <col min="13057" max="13057" width="11.5703125" customWidth="1"/>
    <col min="13058" max="13088" width="7.7109375" customWidth="1"/>
    <col min="13089" max="13089" width="12.7109375" customWidth="1"/>
    <col min="13313" max="13313" width="11.5703125" customWidth="1"/>
    <col min="13314" max="13344" width="7.7109375" customWidth="1"/>
    <col min="13345" max="13345" width="12.7109375" customWidth="1"/>
    <col min="13569" max="13569" width="11.5703125" customWidth="1"/>
    <col min="13570" max="13600" width="7.7109375" customWidth="1"/>
    <col min="13601" max="13601" width="12.7109375" customWidth="1"/>
    <col min="13825" max="13825" width="11.5703125" customWidth="1"/>
    <col min="13826" max="13856" width="7.7109375" customWidth="1"/>
    <col min="13857" max="13857" width="12.7109375" customWidth="1"/>
    <col min="14081" max="14081" width="11.5703125" customWidth="1"/>
    <col min="14082" max="14112" width="7.7109375" customWidth="1"/>
    <col min="14113" max="14113" width="12.7109375" customWidth="1"/>
    <col min="14337" max="14337" width="11.5703125" customWidth="1"/>
    <col min="14338" max="14368" width="7.7109375" customWidth="1"/>
    <col min="14369" max="14369" width="12.7109375" customWidth="1"/>
    <col min="14593" max="14593" width="11.5703125" customWidth="1"/>
    <col min="14594" max="14624" width="7.7109375" customWidth="1"/>
    <col min="14625" max="14625" width="12.7109375" customWidth="1"/>
    <col min="14849" max="14849" width="11.5703125" customWidth="1"/>
    <col min="14850" max="14880" width="7.7109375" customWidth="1"/>
    <col min="14881" max="14881" width="12.7109375" customWidth="1"/>
    <col min="15105" max="15105" width="11.5703125" customWidth="1"/>
    <col min="15106" max="15136" width="7.7109375" customWidth="1"/>
    <col min="15137" max="15137" width="12.7109375" customWidth="1"/>
    <col min="15361" max="15361" width="11.5703125" customWidth="1"/>
    <col min="15362" max="15392" width="7.7109375" customWidth="1"/>
    <col min="15393" max="15393" width="12.7109375" customWidth="1"/>
    <col min="15617" max="15617" width="11.5703125" customWidth="1"/>
    <col min="15618" max="15648" width="7.7109375" customWidth="1"/>
    <col min="15649" max="15649" width="12.7109375" customWidth="1"/>
    <col min="15873" max="15873" width="11.5703125" customWidth="1"/>
    <col min="15874" max="15904" width="7.7109375" customWidth="1"/>
    <col min="15905" max="15905" width="12.7109375" customWidth="1"/>
    <col min="16129" max="16129" width="11.5703125" customWidth="1"/>
    <col min="16130" max="16160" width="7.7109375" customWidth="1"/>
    <col min="16161" max="16161" width="12.7109375" customWidth="1"/>
  </cols>
  <sheetData>
    <row r="1" spans="1:32" ht="18">
      <c r="A1" s="1"/>
      <c r="B1" s="2" t="str">
        <f>'[4]Dia 1 (b)'!C1</f>
        <v>ABRIL DE 2023</v>
      </c>
      <c r="C1" s="3"/>
      <c r="D1" s="4"/>
      <c r="E1" s="5"/>
      <c r="F1" s="2"/>
      <c r="G1" s="3"/>
      <c r="H1" s="3"/>
      <c r="I1" s="3"/>
      <c r="J1" s="3"/>
      <c r="K1" s="3" t="s">
        <v>0</v>
      </c>
      <c r="L1" s="3"/>
      <c r="M1" s="3"/>
      <c r="N1" s="6"/>
      <c r="O1" s="7"/>
      <c r="P1" s="8"/>
      <c r="Q1" s="7"/>
      <c r="R1" s="7"/>
      <c r="S1" s="7"/>
      <c r="T1" s="7"/>
      <c r="U1" s="7"/>
      <c r="V1" s="9"/>
      <c r="W1" s="3"/>
      <c r="X1" s="3"/>
      <c r="Y1" s="3"/>
      <c r="Z1" s="3"/>
      <c r="AA1" s="3"/>
      <c r="AB1" s="3"/>
      <c r="AC1" s="3"/>
      <c r="AD1" s="3"/>
      <c r="AE1" s="3"/>
      <c r="AF1" s="3"/>
    </row>
    <row r="2" spans="1:32" ht="15.75" thickBot="1">
      <c r="A2" s="1"/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</row>
    <row r="3" spans="1:32" ht="20.100000000000001" customHeight="1" thickBot="1">
      <c r="A3" s="10" t="s">
        <v>1</v>
      </c>
      <c r="B3" s="11">
        <v>1</v>
      </c>
      <c r="C3" s="11">
        <v>2</v>
      </c>
      <c r="D3" s="11">
        <v>3</v>
      </c>
      <c r="E3" s="11">
        <v>4</v>
      </c>
      <c r="F3" s="11">
        <v>5</v>
      </c>
      <c r="G3" s="11">
        <v>6</v>
      </c>
      <c r="H3" s="11">
        <v>7</v>
      </c>
      <c r="I3" s="11">
        <v>8</v>
      </c>
      <c r="J3" s="11">
        <v>9</v>
      </c>
      <c r="K3" s="11">
        <v>10</v>
      </c>
      <c r="L3" s="11">
        <v>11</v>
      </c>
      <c r="M3" s="11">
        <v>12</v>
      </c>
      <c r="N3" s="11">
        <v>13</v>
      </c>
      <c r="O3" s="11">
        <v>14</v>
      </c>
      <c r="P3" s="11">
        <v>15</v>
      </c>
      <c r="Q3" s="11">
        <v>16</v>
      </c>
      <c r="R3" s="11">
        <v>17</v>
      </c>
      <c r="S3" s="11">
        <v>18</v>
      </c>
      <c r="T3" s="11">
        <v>19</v>
      </c>
      <c r="U3" s="11">
        <v>20</v>
      </c>
      <c r="V3" s="11">
        <v>21</v>
      </c>
      <c r="W3" s="11">
        <v>22</v>
      </c>
      <c r="X3" s="11">
        <v>23</v>
      </c>
      <c r="Y3" s="11">
        <v>24</v>
      </c>
      <c r="Z3" s="12">
        <v>25</v>
      </c>
      <c r="AA3" s="12">
        <v>26</v>
      </c>
      <c r="AB3" s="12">
        <v>27</v>
      </c>
      <c r="AC3" s="12">
        <v>28</v>
      </c>
      <c r="AD3" s="12">
        <v>29</v>
      </c>
      <c r="AE3" s="12">
        <v>30</v>
      </c>
      <c r="AF3" s="13"/>
    </row>
    <row r="4" spans="1:32" ht="20.100000000000001" customHeight="1">
      <c r="A4" s="14">
        <v>1</v>
      </c>
      <c r="B4" s="15">
        <f>'[4]Dia 1 (b)'!$X10</f>
        <v>13.749149693718046</v>
      </c>
      <c r="C4" s="15">
        <f>'[4]Dia 2 (b)'!$X10</f>
        <v>12.060538848765148</v>
      </c>
      <c r="D4" s="15">
        <f>'[4]Dia 3 (b)'!$X10</f>
        <v>11.335351165246143</v>
      </c>
      <c r="E4" s="15">
        <f>'[4]Dia 4 (b)'!$X10</f>
        <v>13.437663359652186</v>
      </c>
      <c r="F4" s="15">
        <f>'[4]Dia 5 (b)'!$X10</f>
        <v>11.952506427925719</v>
      </c>
      <c r="G4" s="15">
        <f>'[4]Dia 6 (b)'!$X10</f>
        <v>12.732023376550909</v>
      </c>
      <c r="H4" s="15">
        <f>'[4]Dia 7 (b)'!$X10</f>
        <v>13.063490569040967</v>
      </c>
      <c r="I4" s="15">
        <f>'[4]Dia 8 (b)'!$X10</f>
        <v>14.450103694656901</v>
      </c>
      <c r="J4" s="15">
        <f>'[4]Dia 9 (b)'!$X10</f>
        <v>13.3202062126042</v>
      </c>
      <c r="K4" s="15">
        <f>'[4]Dia 10 (b)'!$X10</f>
        <v>11.915842242348656</v>
      </c>
      <c r="L4" s="15">
        <f>'[4]Dia 11 (b)'!$X10</f>
        <v>11.32763711149053</v>
      </c>
      <c r="M4" s="15">
        <f>'[4]Dia 12 (b)'!$X10</f>
        <v>11.86667383216195</v>
      </c>
      <c r="N4" s="15">
        <f>'[4]Dia 13 (b)'!$X10</f>
        <v>15.474070527191094</v>
      </c>
      <c r="O4" s="15">
        <f>'[4]Dia 14 (b)'!$X10</f>
        <v>14.607300860038263</v>
      </c>
      <c r="P4" s="15">
        <f>'[4]Dia 15 (b)'!$X10</f>
        <v>14.633333707482587</v>
      </c>
      <c r="Q4" s="15">
        <f>'[4]Dia 16 (b)'!$X10</f>
        <v>13.477672086176893</v>
      </c>
      <c r="R4" s="15">
        <f>'[4]Dia 17 (b)'!$X10</f>
        <v>14.035873806655344</v>
      </c>
      <c r="S4" s="15">
        <f>'[4]Dia 18 (b)'!$X10</f>
        <v>14.106858577218707</v>
      </c>
      <c r="T4" s="15">
        <f>'[4]Dia 19 (b)'!$X10</f>
        <v>13.881110133128619</v>
      </c>
      <c r="U4" s="15">
        <f>'[4]Dia 20 (b)'!$X10</f>
        <v>7.7886518402079226</v>
      </c>
      <c r="V4" s="15">
        <f>'[4]Dia 21 (b)'!$X10</f>
        <v>9.0531220965073089</v>
      </c>
      <c r="W4" s="15">
        <f>'[4]Dia 22 (b)'!$X10</f>
        <v>9.9540393314531119</v>
      </c>
      <c r="X4" s="15">
        <f>'[4]Dia 23 (b)'!$X10</f>
        <v>11.414914692226063</v>
      </c>
      <c r="Y4" s="15">
        <f>'[4]Dia 24 (b)'!$X10</f>
        <v>11.337167370269576</v>
      </c>
      <c r="Z4" s="15">
        <f>'[4]Dia 25 (b)'!$X10</f>
        <v>10.913473561173854</v>
      </c>
      <c r="AA4" s="15">
        <f>'[4]Dia 26 (b)'!$X10</f>
        <v>11.637493508718416</v>
      </c>
      <c r="AB4" s="15">
        <f>'[4]Dia 27 (b)'!$X10</f>
        <v>13.084986009292113</v>
      </c>
      <c r="AC4" s="15">
        <f>'[4]Dia 28 (b)'!$X10</f>
        <v>12.468177223089892</v>
      </c>
      <c r="AD4" s="15">
        <f>'[4]Dia 29 (b)'!$X10</f>
        <v>11.942750473922043</v>
      </c>
      <c r="AE4" s="15">
        <f>'[4]Dia 30 (b)'!$X10</f>
        <v>12.684710200874923</v>
      </c>
      <c r="AF4" s="15"/>
    </row>
    <row r="5" spans="1:32" ht="20.100000000000001" customHeight="1">
      <c r="A5" s="14">
        <v>2</v>
      </c>
      <c r="B5" s="15">
        <f>'[4]Dia 1 (b)'!$X11</f>
        <v>13.643550255216317</v>
      </c>
      <c r="C5" s="15">
        <f>'[4]Dia 2 (b)'!$X11</f>
        <v>11.134154540211069</v>
      </c>
      <c r="D5" s="15">
        <f>'[4]Dia 3 (b)'!$X11</f>
        <v>11.026641692137424</v>
      </c>
      <c r="E5" s="15">
        <f>'[4]Dia 4 (b)'!$X11</f>
        <v>12.99771535170612</v>
      </c>
      <c r="F5" s="15">
        <f>'[4]Dia 5 (b)'!$X11</f>
        <v>11.532867453095159</v>
      </c>
      <c r="G5" s="15">
        <f>'[4]Dia 6 (b)'!$X11</f>
        <v>12.936952811737308</v>
      </c>
      <c r="H5" s="15">
        <f>'[4]Dia 7 (b)'!$X11</f>
        <v>13.950907228040702</v>
      </c>
      <c r="I5" s="15">
        <f>'[4]Dia 8 (b)'!$X11</f>
        <v>14.452530573251121</v>
      </c>
      <c r="J5" s="15">
        <f>'[4]Dia 9 (b)'!$X11</f>
        <v>13.181318841360875</v>
      </c>
      <c r="K5" s="15">
        <f>'[4]Dia 10 (b)'!$X11</f>
        <v>11.717950069915837</v>
      </c>
      <c r="L5" s="15">
        <f>'[4]Dia 11 (b)'!$X11</f>
        <v>11.093163552919837</v>
      </c>
      <c r="M5" s="15">
        <f>'[4]Dia 12 (b)'!$X11</f>
        <v>11.643407410105205</v>
      </c>
      <c r="N5" s="15">
        <f>'[4]Dia 13 (b)'!$X11</f>
        <v>15.361412467116828</v>
      </c>
      <c r="O5" s="15">
        <f>'[4]Dia 14 (b)'!$X11</f>
        <v>14.594216692744848</v>
      </c>
      <c r="P5" s="15">
        <f>'[4]Dia 15 (b)'!$X11</f>
        <v>14.43482433769214</v>
      </c>
      <c r="Q5" s="15">
        <f>'[4]Dia 16 (b)'!$X11</f>
        <v>12.844752954562995</v>
      </c>
      <c r="R5" s="15">
        <f>'[4]Dia 17 (b)'!$X11</f>
        <v>13.783992426266396</v>
      </c>
      <c r="S5" s="15">
        <f>'[4]Dia 18 (b)'!$X11</f>
        <v>14.214452968969914</v>
      </c>
      <c r="T5" s="15">
        <f>'[4]Dia 19 (b)'!$X11</f>
        <v>13.644314528101752</v>
      </c>
      <c r="U5" s="15">
        <f>'[4]Dia 20 (b)'!$X11</f>
        <v>8.2308418433862389</v>
      </c>
      <c r="V5" s="15">
        <f>'[4]Dia 21 (b)'!$X11</f>
        <v>8.9325771427204081</v>
      </c>
      <c r="W5" s="15">
        <f>'[4]Dia 22 (b)'!$X11</f>
        <v>9.8514114564050015</v>
      </c>
      <c r="X5" s="15">
        <f>'[4]Dia 23 (b)'!$X11</f>
        <v>11.877324580210823</v>
      </c>
      <c r="Y5" s="15">
        <f>'[4]Dia 24 (b)'!$X11</f>
        <v>11.394208167295149</v>
      </c>
      <c r="Z5" s="15">
        <f>'[4]Dia 25 (b)'!$X11</f>
        <v>10.188238767864558</v>
      </c>
      <c r="AA5" s="15">
        <f>'[4]Dia 26 (b)'!$X11</f>
        <v>11.770047364025734</v>
      </c>
      <c r="AB5" s="15">
        <f>'[4]Dia 27 (b)'!$X11</f>
        <v>12.888574076784751</v>
      </c>
      <c r="AC5" s="15">
        <f>'[4]Dia 28 (b)'!$X11</f>
        <v>12.045990505189446</v>
      </c>
      <c r="AD5" s="15">
        <f>'[4]Dia 29 (b)'!$X11</f>
        <v>12.000525518933802</v>
      </c>
      <c r="AE5" s="15">
        <f>'[4]Dia 30 (b)'!$X11</f>
        <v>12.98187365988484</v>
      </c>
      <c r="AF5" s="15"/>
    </row>
    <row r="6" spans="1:32" ht="20.100000000000001" customHeight="1">
      <c r="A6" s="14">
        <v>3</v>
      </c>
      <c r="B6" s="15">
        <f>'[4]Dia 1 (b)'!$X12</f>
        <v>13.477254316906087</v>
      </c>
      <c r="C6" s="15">
        <f>'[4]Dia 2 (b)'!$X12</f>
        <v>10.81364578574445</v>
      </c>
      <c r="D6" s="15">
        <f>'[4]Dia 3 (b)'!$X12</f>
        <v>10.716002656191455</v>
      </c>
      <c r="E6" s="15">
        <f>'[4]Dia 4 (b)'!$X12</f>
        <v>12.76585453539348</v>
      </c>
      <c r="F6" s="15">
        <f>'[4]Dia 5 (b)'!$X12</f>
        <v>11.437033874556183</v>
      </c>
      <c r="G6" s="15">
        <f>'[4]Dia 6 (b)'!$X12</f>
        <v>12.88126362042183</v>
      </c>
      <c r="H6" s="15">
        <f>'[4]Dia 7 (b)'!$X12</f>
        <v>13.84640865889536</v>
      </c>
      <c r="I6" s="15">
        <f>'[4]Dia 8 (b)'!$X12</f>
        <v>14.370751553643274</v>
      </c>
      <c r="J6" s="15">
        <f>'[4]Dia 9 (b)'!$X12</f>
        <v>13.10567972885589</v>
      </c>
      <c r="K6" s="15">
        <f>'[4]Dia 10 (b)'!$X12</f>
        <v>11.324662354316853</v>
      </c>
      <c r="L6" s="15">
        <f>'[4]Dia 11 (b)'!$X12</f>
        <v>11.052836755097703</v>
      </c>
      <c r="M6" s="15">
        <f>'[4]Dia 12 (b)'!$X12</f>
        <v>11.694618305428882</v>
      </c>
      <c r="N6" s="15">
        <f>'[4]Dia 13 (b)'!$X12</f>
        <v>14.991932083640904</v>
      </c>
      <c r="O6" s="15">
        <f>'[4]Dia 14 (b)'!$X12</f>
        <v>14.460804648641405</v>
      </c>
      <c r="P6" s="15">
        <f>'[4]Dia 15 (b)'!$X12</f>
        <v>14.506718864872644</v>
      </c>
      <c r="Q6" s="15">
        <f>'[4]Dia 16 (b)'!$X12</f>
        <v>12.966091598662636</v>
      </c>
      <c r="R6" s="15">
        <f>'[4]Dia 17 (b)'!$X12</f>
        <v>13.849805037836234</v>
      </c>
      <c r="S6" s="15">
        <f>'[4]Dia 18 (b)'!$X12</f>
        <v>14.124869802532221</v>
      </c>
      <c r="T6" s="15">
        <f>'[4]Dia 19 (b)'!$X12</f>
        <v>13.645280757115955</v>
      </c>
      <c r="U6" s="15">
        <f>'[4]Dia 20 (b)'!$X12</f>
        <v>8.0229499101388768</v>
      </c>
      <c r="V6" s="15">
        <f>'[4]Dia 21 (b)'!$X12</f>
        <v>8.7253468540621615</v>
      </c>
      <c r="W6" s="15">
        <f>'[4]Dia 22 (b)'!$X12</f>
        <v>9.791108704481486</v>
      </c>
      <c r="X6" s="15">
        <f>'[4]Dia 23 (b)'!$X12</f>
        <v>11.43083618689294</v>
      </c>
      <c r="Y6" s="15">
        <f>'[4]Dia 24 (b)'!$X12</f>
        <v>11.202639296464593</v>
      </c>
      <c r="Z6" s="15">
        <f>'[4]Dia 25 (b)'!$X12</f>
        <v>9.929148281552477</v>
      </c>
      <c r="AA6" s="15">
        <f>'[4]Dia 26 (b)'!$X12</f>
        <v>12.372877815184335</v>
      </c>
      <c r="AB6" s="15">
        <f>'[4]Dia 27 (b)'!$X12</f>
        <v>12.936238275796198</v>
      </c>
      <c r="AC6" s="15">
        <f>'[4]Dia 28 (b)'!$X12</f>
        <v>12.31507571941227</v>
      </c>
      <c r="AD6" s="15">
        <f>'[4]Dia 29 (b)'!$X12</f>
        <v>11.775150696685113</v>
      </c>
      <c r="AE6" s="15">
        <f>'[4]Dia 30 (b)'!$X12</f>
        <v>12.841180754915769</v>
      </c>
      <c r="AF6" s="15"/>
    </row>
    <row r="7" spans="1:32" ht="20.100000000000001" customHeight="1">
      <c r="A7" s="14">
        <v>4</v>
      </c>
      <c r="B7" s="15">
        <f>'[4]Dia 1 (b)'!$X13</f>
        <v>13.478678828330789</v>
      </c>
      <c r="C7" s="15">
        <f>'[4]Dia 2 (b)'!$X13</f>
        <v>10.884821059762793</v>
      </c>
      <c r="D7" s="15">
        <f>'[4]Dia 3 (b)'!$X13</f>
        <v>11.003246685654807</v>
      </c>
      <c r="E7" s="15">
        <f>'[4]Dia 4 (b)'!$X13</f>
        <v>12.910314947926155</v>
      </c>
      <c r="F7" s="15">
        <f>'[4]Dia 5 (b)'!$X13</f>
        <v>11.658606735893766</v>
      </c>
      <c r="G7" s="15">
        <f>'[4]Dia 6 (b)'!$X13</f>
        <v>12.682215032926921</v>
      </c>
      <c r="H7" s="15">
        <f>'[4]Dia 7 (b)'!$X13</f>
        <v>13.763092912397239</v>
      </c>
      <c r="I7" s="15">
        <f>'[4]Dia 8 (b)'!$X13</f>
        <v>14.3773380636902</v>
      </c>
      <c r="J7" s="15">
        <f>'[4]Dia 9 (b)'!$X13</f>
        <v>12.737590011198192</v>
      </c>
      <c r="K7" s="15">
        <f>'[4]Dia 10 (b)'!$X13</f>
        <v>11.070493179415211</v>
      </c>
      <c r="L7" s="15">
        <f>'[4]Dia 11 (b)'!$X13</f>
        <v>11.71618917574024</v>
      </c>
      <c r="M7" s="15">
        <f>'[4]Dia 12 (b)'!$X13</f>
        <v>11.925628597616887</v>
      </c>
      <c r="N7" s="15">
        <f>'[4]Dia 13 (b)'!$X13</f>
        <v>14.694692359780644</v>
      </c>
      <c r="O7" s="15">
        <f>'[4]Dia 14 (b)'!$X13</f>
        <v>14.374493017497267</v>
      </c>
      <c r="P7" s="15">
        <f>'[4]Dia 15 (b)'!$X13</f>
        <v>14.330187790018497</v>
      </c>
      <c r="Q7" s="15">
        <f>'[4]Dia 16 (b)'!$X13</f>
        <v>12.886766517894866</v>
      </c>
      <c r="R7" s="15">
        <f>'[4]Dia 17 (b)'!$X13</f>
        <v>13.613765833270305</v>
      </c>
      <c r="S7" s="15">
        <f>'[4]Dia 18 (b)'!$X13</f>
        <v>14.541401483241849</v>
      </c>
      <c r="T7" s="15">
        <f>'[4]Dia 19 (b)'!$X13</f>
        <v>13.412907866369011</v>
      </c>
      <c r="U7" s="15">
        <f>'[4]Dia 20 (b)'!$X13</f>
        <v>7.7673258213562884</v>
      </c>
      <c r="V7" s="15">
        <f>'[4]Dia 21 (b)'!$X13</f>
        <v>8.1893212310119345</v>
      </c>
      <c r="W7" s="15">
        <f>'[4]Dia 22 (b)'!$X13</f>
        <v>9.351616836574637</v>
      </c>
      <c r="X7" s="15">
        <f>'[4]Dia 23 (b)'!$X13</f>
        <v>10.859707976754196</v>
      </c>
      <c r="Y7" s="15">
        <f>'[4]Dia 24 (b)'!$X13</f>
        <v>10.751384909491543</v>
      </c>
      <c r="Z7" s="15">
        <f>'[4]Dia 25 (b)'!$X13</f>
        <v>9.9537868843312545</v>
      </c>
      <c r="AA7" s="15">
        <f>'[4]Dia 26 (b)'!$X13</f>
        <v>12.42761270922786</v>
      </c>
      <c r="AB7" s="15">
        <f>'[4]Dia 27 (b)'!$X13</f>
        <v>12.937453655472638</v>
      </c>
      <c r="AC7" s="15">
        <f>'[4]Dia 28 (b)'!$X13</f>
        <v>12.233830496862392</v>
      </c>
      <c r="AD7" s="15">
        <f>'[4]Dia 29 (b)'!$X13</f>
        <v>11.854320076955352</v>
      </c>
      <c r="AE7" s="15">
        <f>'[4]Dia 30 (b)'!$X13</f>
        <v>12.665343041069084</v>
      </c>
      <c r="AF7" s="15"/>
    </row>
    <row r="8" spans="1:32" ht="20.100000000000001" customHeight="1">
      <c r="A8" s="14">
        <v>5</v>
      </c>
      <c r="B8" s="15">
        <f>'[4]Dia 1 (b)'!$X14</f>
        <v>13.563761105499921</v>
      </c>
      <c r="C8" s="15">
        <f>'[4]Dia 2 (b)'!$X14</f>
        <v>11.163331082405641</v>
      </c>
      <c r="D8" s="15">
        <f>'[4]Dia 3 (b)'!$X14</f>
        <v>11.052322790837035</v>
      </c>
      <c r="E8" s="15">
        <f>'[4]Dia 4 (b)'!$X14</f>
        <v>13.12973876799847</v>
      </c>
      <c r="F8" s="15">
        <f>'[4]Dia 5 (b)'!$X14</f>
        <v>11.73233582263561</v>
      </c>
      <c r="G8" s="15">
        <f>'[4]Dia 6 (b)'!$X14</f>
        <v>12.39900761308262</v>
      </c>
      <c r="H8" s="15">
        <f>'[4]Dia 7 (b)'!$X14</f>
        <v>13.853986603121424</v>
      </c>
      <c r="I8" s="15">
        <f>'[4]Dia 8 (b)'!$X14</f>
        <v>14.371412755605894</v>
      </c>
      <c r="J8" s="15">
        <f>'[4]Dia 9 (b)'!$X14</f>
        <v>12.798810056374592</v>
      </c>
      <c r="K8" s="15">
        <f>'[4]Dia 10 (b)'!$X14</f>
        <v>11.118350760192662</v>
      </c>
      <c r="L8" s="15">
        <f>'[4]Dia 11 (b)'!$X14</f>
        <v>11.666008239909671</v>
      </c>
      <c r="M8" s="15">
        <f>'[4]Dia 12 (b)'!$X14</f>
        <v>12.634428783182384</v>
      </c>
      <c r="N8" s="15">
        <f>'[4]Dia 13 (b)'!$X14</f>
        <v>14.669345959243705</v>
      </c>
      <c r="O8" s="15">
        <f>'[4]Dia 14 (b)'!$X14</f>
        <v>14.220458189139672</v>
      </c>
      <c r="P8" s="15">
        <f>'[4]Dia 15 (b)'!$X14</f>
        <v>14.083728682119363</v>
      </c>
      <c r="Q8" s="15">
        <f>'[4]Dia 16 (b)'!$X14</f>
        <v>13.217179369554728</v>
      </c>
      <c r="R8" s="15">
        <f>'[4]Dia 17 (b)'!$X14</f>
        <v>14.109028210808688</v>
      </c>
      <c r="S8" s="15">
        <f>'[4]Dia 18 (b)'!$X14</f>
        <v>15.051620496374637</v>
      </c>
      <c r="T8" s="15">
        <f>'[4]Dia 19 (b)'!$X14</f>
        <v>13.46397839264195</v>
      </c>
      <c r="U8" s="15">
        <f>'[4]Dia 20 (b)'!$X14</f>
        <v>7.6362665769979596</v>
      </c>
      <c r="V8" s="15">
        <f>'[4]Dia 21 (b)'!$X14</f>
        <v>8.0090878403296628</v>
      </c>
      <c r="W8" s="15">
        <f>'[4]Dia 22 (b)'!$X14</f>
        <v>9.267635520033819</v>
      </c>
      <c r="X8" s="15">
        <f>'[4]Dia 23 (b)'!$X14</f>
        <v>10.651001530016407</v>
      </c>
      <c r="Y8" s="15">
        <f>'[4]Dia 24 (b)'!$X14</f>
        <v>10.475168836235531</v>
      </c>
      <c r="Z8" s="15">
        <f>'[4]Dia 25 (b)'!$X14</f>
        <v>9.933794509655284</v>
      </c>
      <c r="AA8" s="15">
        <f>'[4]Dia 26 (b)'!$X14</f>
        <v>12.268206029626997</v>
      </c>
      <c r="AB8" s="15">
        <f>'[4]Dia 27 (b)'!$X14</f>
        <v>12.754801087888582</v>
      </c>
      <c r="AC8" s="15">
        <f>'[4]Dia 28 (b)'!$X14</f>
        <v>11.389977205574978</v>
      </c>
      <c r="AD8" s="15">
        <f>'[4]Dia 29 (b)'!$X14</f>
        <v>11.854242720054138</v>
      </c>
      <c r="AE8" s="15">
        <f>'[4]Dia 30 (b)'!$X14</f>
        <v>12.668127395994942</v>
      </c>
      <c r="AF8" s="15"/>
    </row>
    <row r="9" spans="1:32" ht="20.100000000000001" customHeight="1">
      <c r="A9" s="14">
        <v>6</v>
      </c>
      <c r="B9" s="15">
        <f>'[4]Dia 1 (b)'!$X15</f>
        <v>13.822959020359361</v>
      </c>
      <c r="C9" s="15">
        <f>'[4]Dia 2 (b)'!$X15</f>
        <v>11.135083847201956</v>
      </c>
      <c r="D9" s="15">
        <f>'[4]Dia 3 (b)'!$X15</f>
        <v>10.446681503690632</v>
      </c>
      <c r="E9" s="15">
        <f>'[4]Dia 4 (b)'!$X15</f>
        <v>12.972829491842383</v>
      </c>
      <c r="F9" s="15">
        <f>'[4]Dia 5 (b)'!$X15</f>
        <v>12.342470152018276</v>
      </c>
      <c r="G9" s="15">
        <f>'[4]Dia 6 (b)'!$X15</f>
        <v>12.532467542737495</v>
      </c>
      <c r="H9" s="15">
        <f>'[4]Dia 7 (b)'!$X15</f>
        <v>13.618540743749122</v>
      </c>
      <c r="I9" s="15">
        <f>'[4]Dia 8 (b)'!$X15</f>
        <v>14.549033407268983</v>
      </c>
      <c r="J9" s="15">
        <f>'[4]Dia 9 (b)'!$X15</f>
        <v>12.434427087569835</v>
      </c>
      <c r="K9" s="15">
        <f>'[4]Dia 10 (b)'!$X15</f>
        <v>10.996072402323986</v>
      </c>
      <c r="L9" s="15">
        <f>'[4]Dia 11 (b)'!$X15</f>
        <v>11.663411204960731</v>
      </c>
      <c r="M9" s="15">
        <f>'[4]Dia 12 (b)'!$X15</f>
        <v>12.956588369209271</v>
      </c>
      <c r="N9" s="15">
        <f>'[4]Dia 13 (b)'!$X15</f>
        <v>14.581553807453895</v>
      </c>
      <c r="O9" s="15">
        <f>'[4]Dia 14 (b)'!$X15</f>
        <v>14.644396498686099</v>
      </c>
      <c r="P9" s="15">
        <f>'[4]Dia 15 (b)'!$X15</f>
        <v>14.293012772238496</v>
      </c>
      <c r="Q9" s="15">
        <f>'[4]Dia 16 (b)'!$X15</f>
        <v>12.913060659618832</v>
      </c>
      <c r="R9" s="15">
        <f>'[4]Dia 17 (b)'!$X15</f>
        <v>14.010424369900328</v>
      </c>
      <c r="S9" s="15">
        <f>'[4]Dia 18 (b)'!$X15</f>
        <v>15.333414657152174</v>
      </c>
      <c r="T9" s="15">
        <f>'[4]Dia 19 (b)'!$X15</f>
        <v>12.893889826124125</v>
      </c>
      <c r="U9" s="15">
        <f>'[4]Dia 20 (b)'!$X15</f>
        <v>7.6754084112447094</v>
      </c>
      <c r="V9" s="15">
        <f>'[4]Dia 21 (b)'!$X15</f>
        <v>8.3128876578231239</v>
      </c>
      <c r="W9" s="15">
        <f>'[4]Dia 22 (b)'!$X15</f>
        <v>9.0558583564544239</v>
      </c>
      <c r="X9" s="15">
        <f>'[4]Dia 23 (b)'!$X15</f>
        <v>10.349089295146836</v>
      </c>
      <c r="Y9" s="15">
        <f>'[4]Dia 24 (b)'!$X15</f>
        <v>10.332547197867587</v>
      </c>
      <c r="Z9" s="15">
        <f>'[4]Dia 25 (b)'!$X15</f>
        <v>9.6710814021351936</v>
      </c>
      <c r="AA9" s="15">
        <f>'[4]Dia 26 (b)'!$X15</f>
        <v>12.147605874710118</v>
      </c>
      <c r="AB9" s="15">
        <f>'[4]Dia 27 (b)'!$X15</f>
        <v>12.808611642570614</v>
      </c>
      <c r="AC9" s="15">
        <f>'[4]Dia 28 (b)'!$X15</f>
        <v>11.788633555966504</v>
      </c>
      <c r="AD9" s="15">
        <f>'[4]Dia 29 (b)'!$X15</f>
        <v>11.972933470994919</v>
      </c>
      <c r="AE9" s="15">
        <f>'[4]Dia 30 (b)'!$X15</f>
        <v>12.661758926766298</v>
      </c>
      <c r="AF9" s="15"/>
    </row>
    <row r="10" spans="1:32" ht="20.100000000000001" customHeight="1">
      <c r="A10" s="14">
        <v>7</v>
      </c>
      <c r="B10" s="15">
        <f>'[4]Dia 1 (b)'!$X16</f>
        <v>14.74610766934877</v>
      </c>
      <c r="C10" s="15">
        <f>'[4]Dia 2 (b)'!$X16</f>
        <v>11.620316985487959</v>
      </c>
      <c r="D10" s="15">
        <f>'[4]Dia 3 (b)'!$X16</f>
        <v>10.864224933057104</v>
      </c>
      <c r="E10" s="15">
        <f>'[4]Dia 4 (b)'!$X16</f>
        <v>12.864294350852012</v>
      </c>
      <c r="F10" s="15">
        <f>'[4]Dia 5 (b)'!$X16</f>
        <v>13.109644622418333</v>
      </c>
      <c r="G10" s="15">
        <f>'[4]Dia 6 (b)'!$X16</f>
        <v>12.800703615031706</v>
      </c>
      <c r="H10" s="15">
        <f>'[4]Dia 7 (b)'!$X16</f>
        <v>13.830980885727651</v>
      </c>
      <c r="I10" s="15">
        <f>'[4]Dia 8 (b)'!$X16</f>
        <v>14.494082872944032</v>
      </c>
      <c r="J10" s="15">
        <f>'[4]Dia 9 (b)'!$X16</f>
        <v>12.447724102541155</v>
      </c>
      <c r="K10" s="15">
        <f>'[4]Dia 10 (b)'!$X16</f>
        <v>11.152751336524414</v>
      </c>
      <c r="L10" s="15">
        <f>'[4]Dia 11 (b)'!$X16</f>
        <v>11.930696720367253</v>
      </c>
      <c r="M10" s="15">
        <f>'[4]Dia 12 (b)'!$X16</f>
        <v>13.281177408159495</v>
      </c>
      <c r="N10" s="15">
        <f>'[4]Dia 13 (b)'!$X16</f>
        <v>14.347591341240241</v>
      </c>
      <c r="O10" s="15">
        <f>'[4]Dia 14 (b)'!$X16</f>
        <v>14.823033894284171</v>
      </c>
      <c r="P10" s="15">
        <f>'[4]Dia 15 (b)'!$X16</f>
        <v>14.589591635077706</v>
      </c>
      <c r="Q10" s="15">
        <f>'[4]Dia 16 (b)'!$X16</f>
        <v>13.055603111064418</v>
      </c>
      <c r="R10" s="15">
        <f>'[4]Dia 17 (b)'!$X16</f>
        <v>14.153593893173436</v>
      </c>
      <c r="S10" s="15">
        <f>'[4]Dia 18 (b)'!$X16</f>
        <v>15.329440620900467</v>
      </c>
      <c r="T10" s="15">
        <f>'[4]Dia 19 (b)'!$X16</f>
        <v>12.914191670007346</v>
      </c>
      <c r="U10" s="15">
        <f>'[4]Dia 20 (b)'!$X16</f>
        <v>8.3076868768149463</v>
      </c>
      <c r="V10" s="15">
        <f>'[4]Dia 21 (b)'!$X16</f>
        <v>8.0853012482221729</v>
      </c>
      <c r="W10" s="15">
        <f>'[4]Dia 22 (b)'!$X16</f>
        <v>9.9259586031786213</v>
      </c>
      <c r="X10" s="15">
        <f>'[4]Dia 23 (b)'!$X16</f>
        <v>10.869469151222402</v>
      </c>
      <c r="Y10" s="15">
        <f>'[4]Dia 24 (b)'!$X16</f>
        <v>10.224063263779325</v>
      </c>
      <c r="Z10" s="15">
        <f>'[4]Dia 25 (b)'!$X16</f>
        <v>9.8349593786930054</v>
      </c>
      <c r="AA10" s="15">
        <f>'[4]Dia 26 (b)'!$X16</f>
        <v>12.392427506066154</v>
      </c>
      <c r="AB10" s="15">
        <f>'[4]Dia 27 (b)'!$X16</f>
        <v>13.087407475432288</v>
      </c>
      <c r="AC10" s="15">
        <f>'[4]Dia 28 (b)'!$X16</f>
        <v>12.236087440652366</v>
      </c>
      <c r="AD10" s="15">
        <f>'[4]Dia 29 (b)'!$X16</f>
        <v>12.138261422622213</v>
      </c>
      <c r="AE10" s="15">
        <f>'[4]Dia 30 (b)'!$X16</f>
        <v>12.868502815137996</v>
      </c>
      <c r="AF10" s="15"/>
    </row>
    <row r="11" spans="1:32" ht="20.100000000000001" customHeight="1">
      <c r="A11" s="14">
        <v>8</v>
      </c>
      <c r="B11" s="15">
        <f>'[4]Dia 1 (b)'!$X17</f>
        <v>15.076030035828939</v>
      </c>
      <c r="C11" s="15">
        <f>'[4]Dia 2 (b)'!$X17</f>
        <v>11.281170177755117</v>
      </c>
      <c r="D11" s="15">
        <f>'[4]Dia 3 (b)'!$X17</f>
        <v>11.185834280222172</v>
      </c>
      <c r="E11" s="15">
        <f>'[4]Dia 4 (b)'!$X17</f>
        <v>12.830342445095077</v>
      </c>
      <c r="F11" s="15">
        <f>'[4]Dia 5 (b)'!$X17</f>
        <v>13.88419403655066</v>
      </c>
      <c r="G11" s="15">
        <f>'[4]Dia 6 (b)'!$X17</f>
        <v>12.805665250523631</v>
      </c>
      <c r="H11" s="15">
        <f>'[4]Dia 7 (b)'!$X17</f>
        <v>13.826104190398047</v>
      </c>
      <c r="I11" s="15">
        <f>'[4]Dia 8 (b)'!$X17</f>
        <v>14.450055399069951</v>
      </c>
      <c r="J11" s="15">
        <f>'[4]Dia 9 (b)'!$X17</f>
        <v>12.602688282526179</v>
      </c>
      <c r="K11" s="15">
        <f>'[4]Dia 10 (b)'!$X17</f>
        <v>10.874803843188818</v>
      </c>
      <c r="L11" s="15">
        <f>'[4]Dia 11 (b)'!$X17</f>
        <v>12.318377336606272</v>
      </c>
      <c r="M11" s="15">
        <f>'[4]Dia 12 (b)'!$X17</f>
        <v>13.855724325052586</v>
      </c>
      <c r="N11" s="15">
        <f>'[4]Dia 13 (b)'!$X17</f>
        <v>15.067893254126814</v>
      </c>
      <c r="O11" s="15">
        <f>'[4]Dia 14 (b)'!$X17</f>
        <v>15.073156685737047</v>
      </c>
      <c r="P11" s="15">
        <f>'[4]Dia 15 (b)'!$X17</f>
        <v>14.762839066634449</v>
      </c>
      <c r="Q11" s="15">
        <f>'[4]Dia 16 (b)'!$X17</f>
        <v>13.16369898631206</v>
      </c>
      <c r="R11" s="15">
        <f>'[4]Dia 17 (b)'!$X17</f>
        <v>14.08683315735062</v>
      </c>
      <c r="S11" s="15">
        <f>'[4]Dia 18 (b)'!$X17</f>
        <v>15.608396398941339</v>
      </c>
      <c r="T11" s="15">
        <f>'[4]Dia 19 (b)'!$X17</f>
        <v>13.130759569018906</v>
      </c>
      <c r="U11" s="15">
        <f>'[4]Dia 20 (b)'!$X17</f>
        <v>7.634644778887167</v>
      </c>
      <c r="V11" s="15">
        <f>'[4]Dia 21 (b)'!$X17</f>
        <v>9.3071801583612217</v>
      </c>
      <c r="W11" s="15">
        <f>'[4]Dia 22 (b)'!$X17</f>
        <v>10.009017060494317</v>
      </c>
      <c r="X11" s="15">
        <f>'[4]Dia 23 (b)'!$X17</f>
        <v>11.92438664398677</v>
      </c>
      <c r="Y11" s="15">
        <f>'[4]Dia 24 (b)'!$X17</f>
        <v>10.917694757865897</v>
      </c>
      <c r="Z11" s="15">
        <f>'[4]Dia 25 (b)'!$X17</f>
        <v>11.145895633265972</v>
      </c>
      <c r="AA11" s="15">
        <f>'[4]Dia 26 (b)'!$X17</f>
        <v>12.986487187419357</v>
      </c>
      <c r="AB11" s="15">
        <f>'[4]Dia 27 (b)'!$X17</f>
        <v>13.262369671192101</v>
      </c>
      <c r="AC11" s="15">
        <f>'[4]Dia 28 (b)'!$X17</f>
        <v>11.981285091247869</v>
      </c>
      <c r="AD11" s="15">
        <f>'[4]Dia 29 (b)'!$X17</f>
        <v>12.246287865401996</v>
      </c>
      <c r="AE11" s="15">
        <f>'[4]Dia 30 (b)'!$X17</f>
        <v>12.576637908282375</v>
      </c>
      <c r="AF11" s="15"/>
    </row>
    <row r="12" spans="1:32" ht="20.100000000000001" customHeight="1">
      <c r="A12" s="14">
        <v>9</v>
      </c>
      <c r="B12" s="15">
        <f>'[4]Dia 1 (b)'!$X18</f>
        <v>14.984544472848443</v>
      </c>
      <c r="C12" s="15">
        <f>'[4]Dia 2 (b)'!$X18</f>
        <v>11.407098576182285</v>
      </c>
      <c r="D12" s="15">
        <f>'[4]Dia 3 (b)'!$X18</f>
        <v>11.37334583066349</v>
      </c>
      <c r="E12" s="15">
        <f>'[4]Dia 4 (b)'!$X18</f>
        <v>12.891630443010213</v>
      </c>
      <c r="F12" s="15">
        <f>'[4]Dia 5 (b)'!$X18</f>
        <v>13.63197147618242</v>
      </c>
      <c r="G12" s="15">
        <f>'[4]Dia 6 (b)'!$X18</f>
        <v>13.032022459083345</v>
      </c>
      <c r="H12" s="15">
        <f>'[4]Dia 7 (b)'!$X18</f>
        <v>14.139152106749679</v>
      </c>
      <c r="I12" s="15">
        <f>'[4]Dia 8 (b)'!$X18</f>
        <v>14.630463020064468</v>
      </c>
      <c r="J12" s="15">
        <f>'[4]Dia 9 (b)'!$X18</f>
        <v>12.515067825368428</v>
      </c>
      <c r="K12" s="15">
        <f>'[4]Dia 10 (b)'!$X18</f>
        <v>10.966587507902172</v>
      </c>
      <c r="L12" s="15">
        <f>'[4]Dia 11 (b)'!$X18</f>
        <v>11.974474587234038</v>
      </c>
      <c r="M12" s="15">
        <f>'[4]Dia 12 (b)'!$X18</f>
        <v>13.871949046553095</v>
      </c>
      <c r="N12" s="15">
        <f>'[4]Dia 13 (b)'!$X18</f>
        <v>15.080262791253125</v>
      </c>
      <c r="O12" s="15">
        <f>'[4]Dia 14 (b)'!$X18</f>
        <v>13.971220953997928</v>
      </c>
      <c r="P12" s="15">
        <f>'[4]Dia 15 (b)'!$X18</f>
        <v>14.614037050970536</v>
      </c>
      <c r="Q12" s="15">
        <f>'[4]Dia 16 (b)'!$X18</f>
        <v>13.187454765669601</v>
      </c>
      <c r="R12" s="15">
        <f>'[4]Dia 17 (b)'!$X18</f>
        <v>13.301538113211462</v>
      </c>
      <c r="S12" s="15">
        <f>'[4]Dia 18 (b)'!$X18</f>
        <v>15.966028288933824</v>
      </c>
      <c r="T12" s="15">
        <f>'[4]Dia 19 (b)'!$X18</f>
        <v>12.660314136319684</v>
      </c>
      <c r="U12" s="15">
        <f>'[4]Dia 20 (b)'!$X18</f>
        <v>7.6945380934529402</v>
      </c>
      <c r="V12" s="15">
        <f>'[4]Dia 21 (b)'!$X18</f>
        <v>9.250743787915761</v>
      </c>
      <c r="W12" s="15">
        <f>'[4]Dia 22 (b)'!$X18</f>
        <v>10.586018918370335</v>
      </c>
      <c r="X12" s="15">
        <f>'[4]Dia 23 (b)'!$X18</f>
        <v>11.743699690466817</v>
      </c>
      <c r="Y12" s="15">
        <f>'[4]Dia 24 (b)'!$X18</f>
        <v>10.395375996995648</v>
      </c>
      <c r="Z12" s="15">
        <f>'[4]Dia 25 (b)'!$X18</f>
        <v>10.712765446594883</v>
      </c>
      <c r="AA12" s="15">
        <f>'[4]Dia 26 (b)'!$X18</f>
        <v>12.56101369297228</v>
      </c>
      <c r="AB12" s="15">
        <f>'[4]Dia 27 (b)'!$X18</f>
        <v>12.893916416830459</v>
      </c>
      <c r="AC12" s="15">
        <f>'[4]Dia 28 (b)'!$X18</f>
        <v>11.888368999457059</v>
      </c>
      <c r="AD12" s="15">
        <f>'[4]Dia 29 (b)'!$X18</f>
        <v>12.607109772954566</v>
      </c>
      <c r="AE12" s="15">
        <f>'[4]Dia 30 (b)'!$X18</f>
        <v>12.716227414616887</v>
      </c>
      <c r="AF12" s="15"/>
    </row>
    <row r="13" spans="1:32" ht="20.100000000000001" customHeight="1">
      <c r="A13" s="14">
        <v>10</v>
      </c>
      <c r="B13" s="15">
        <f>'[4]Dia 1 (b)'!$X19</f>
        <v>13.440238097419209</v>
      </c>
      <c r="C13" s="15">
        <f>'[4]Dia 2 (b)'!$X19</f>
        <v>11.399513658654469</v>
      </c>
      <c r="D13" s="15">
        <f>'[4]Dia 3 (b)'!$X19</f>
        <v>11.284867040767775</v>
      </c>
      <c r="E13" s="15">
        <f>'[4]Dia 4 (b)'!$X19</f>
        <v>12.579910958802509</v>
      </c>
      <c r="F13" s="15">
        <f>'[4]Dia 5 (b)'!$X19</f>
        <v>12.959495161087869</v>
      </c>
      <c r="G13" s="15">
        <f>'[4]Dia 6 (b)'!$X19</f>
        <v>12.582717850294754</v>
      </c>
      <c r="H13" s="15">
        <f>'[4]Dia 7 (b)'!$X19</f>
        <v>14.333666947811697</v>
      </c>
      <c r="I13" s="15">
        <f>'[4]Dia 8 (b)'!$X19</f>
        <v>14.384057462611679</v>
      </c>
      <c r="J13" s="15">
        <f>'[4]Dia 9 (b)'!$X19</f>
        <v>12.475856264295873</v>
      </c>
      <c r="K13" s="15">
        <f>'[4]Dia 10 (b)'!$X19</f>
        <v>9.9737329377804489</v>
      </c>
      <c r="L13" s="15">
        <f>'[4]Dia 11 (b)'!$X19</f>
        <v>11.935125785034838</v>
      </c>
      <c r="M13" s="15">
        <f>'[4]Dia 12 (b)'!$X19</f>
        <v>14.116024157949832</v>
      </c>
      <c r="N13" s="15">
        <f>'[4]Dia 13 (b)'!$X19</f>
        <v>14.101354190092804</v>
      </c>
      <c r="O13" s="15">
        <f>'[4]Dia 14 (b)'!$X19</f>
        <v>14.913937446761778</v>
      </c>
      <c r="P13" s="15">
        <f>'[4]Dia 15 (b)'!$X19</f>
        <v>14.638439605553112</v>
      </c>
      <c r="Q13" s="15">
        <f>'[4]Dia 16 (b)'!$X19</f>
        <v>12.632193048286258</v>
      </c>
      <c r="R13" s="15">
        <f>'[4]Dia 17 (b)'!$X19</f>
        <v>13.714928114287069</v>
      </c>
      <c r="S13" s="15">
        <f>'[4]Dia 18 (b)'!$X19</f>
        <v>15.87429447954074</v>
      </c>
      <c r="T13" s="15">
        <f>'[4]Dia 19 (b)'!$X19</f>
        <v>12.548541103539597</v>
      </c>
      <c r="U13" s="15">
        <f>'[4]Dia 20 (b)'!$X19</f>
        <v>7.6350056723378161</v>
      </c>
      <c r="V13" s="15">
        <f>'[4]Dia 21 (b)'!$X19</f>
        <v>8.9152613791798156</v>
      </c>
      <c r="W13" s="15">
        <f>'[4]Dia 22 (b)'!$X19</f>
        <v>10.643240702543942</v>
      </c>
      <c r="X13" s="15">
        <f>'[4]Dia 23 (b)'!$X19</f>
        <v>11.993742179690273</v>
      </c>
      <c r="Y13" s="15">
        <f>'[4]Dia 24 (b)'!$X19</f>
        <v>9.4387845658159346</v>
      </c>
      <c r="Z13" s="15">
        <f>'[4]Dia 25 (b)'!$X19</f>
        <v>10.874831233925686</v>
      </c>
      <c r="AA13" s="15">
        <f>'[4]Dia 26 (b)'!$X19</f>
        <v>12.975900590682809</v>
      </c>
      <c r="AB13" s="15">
        <f>'[4]Dia 27 (b)'!$X19</f>
        <v>12.380833764076639</v>
      </c>
      <c r="AC13" s="15">
        <f>'[4]Dia 28 (b)'!$X19</f>
        <v>11.554656506184388</v>
      </c>
      <c r="AD13" s="15">
        <f>'[4]Dia 29 (b)'!$X19</f>
        <v>12.185902505870907</v>
      </c>
      <c r="AE13" s="15">
        <f>'[4]Dia 30 (b)'!$X19</f>
        <v>12.676019634661888</v>
      </c>
      <c r="AF13" s="15"/>
    </row>
    <row r="14" spans="1:32" ht="20.100000000000001" customHeight="1">
      <c r="A14" s="14">
        <v>11</v>
      </c>
      <c r="B14" s="15">
        <f>'[4]Dia 1 (b)'!$X20</f>
        <v>10.255886804758571</v>
      </c>
      <c r="C14" s="15">
        <f>'[4]Dia 2 (b)'!$X20</f>
        <v>11.778207731216247</v>
      </c>
      <c r="D14" s="15">
        <f>'[4]Dia 3 (b)'!$X20</f>
        <v>11.12482391479937</v>
      </c>
      <c r="E14" s="15">
        <f>'[4]Dia 4 (b)'!$X20</f>
        <v>11.73359219166181</v>
      </c>
      <c r="F14" s="15">
        <f>'[4]Dia 5 (b)'!$X20</f>
        <v>12.44658623987956</v>
      </c>
      <c r="G14" s="15">
        <f>'[4]Dia 6 (b)'!$X20</f>
        <v>12.554338627045771</v>
      </c>
      <c r="H14" s="15">
        <f>'[4]Dia 7 (b)'!$X20</f>
        <v>14.9691181344485</v>
      </c>
      <c r="I14" s="15">
        <f>'[4]Dia 8 (b)'!$X20</f>
        <v>14.425878965429066</v>
      </c>
      <c r="J14" s="15">
        <f>'[4]Dia 9 (b)'!$X20</f>
        <v>12.311097910061514</v>
      </c>
      <c r="K14" s="15">
        <f>'[4]Dia 10 (b)'!$X20</f>
        <v>10.743696994962528</v>
      </c>
      <c r="L14" s="15">
        <f>'[4]Dia 11 (b)'!$X20</f>
        <v>12.61856209317896</v>
      </c>
      <c r="M14" s="15">
        <f>'[4]Dia 12 (b)'!$X20</f>
        <v>13.463081693434493</v>
      </c>
      <c r="N14" s="15">
        <f>'[4]Dia 13 (b)'!$X20</f>
        <v>14.03328460661119</v>
      </c>
      <c r="O14" s="15">
        <f>'[4]Dia 14 (b)'!$X20</f>
        <v>14.892366324167099</v>
      </c>
      <c r="P14" s="15">
        <f>'[4]Dia 15 (b)'!$X20</f>
        <v>14.00915638603124</v>
      </c>
      <c r="Q14" s="15">
        <f>'[4]Dia 16 (b)'!$X20</f>
        <v>12.65492877556404</v>
      </c>
      <c r="R14" s="15">
        <f>'[4]Dia 17 (b)'!$X20</f>
        <v>13.941988418479463</v>
      </c>
      <c r="S14" s="15">
        <f>'[4]Dia 18 (b)'!$X20</f>
        <v>15.534397169760092</v>
      </c>
      <c r="T14" s="15">
        <f>'[4]Dia 19 (b)'!$X20</f>
        <v>11.993619621517796</v>
      </c>
      <c r="U14" s="15">
        <f>'[4]Dia 20 (b)'!$X20</f>
        <v>7.0685301034929839</v>
      </c>
      <c r="V14" s="15">
        <f>'[4]Dia 21 (b)'!$X20</f>
        <v>8.1288688910416536</v>
      </c>
      <c r="W14" s="15">
        <f>'[4]Dia 22 (b)'!$X20</f>
        <v>10.511508367505897</v>
      </c>
      <c r="X14" s="15">
        <f>'[4]Dia 23 (b)'!$X20</f>
        <v>11.711171206299706</v>
      </c>
      <c r="Y14" s="15">
        <f>'[4]Dia 24 (b)'!$X20</f>
        <v>9.5048026020557383</v>
      </c>
      <c r="Z14" s="15">
        <f>'[4]Dia 25 (b)'!$X20</f>
        <v>10.82250867320694</v>
      </c>
      <c r="AA14" s="15">
        <f>'[4]Dia 26 (b)'!$X20</f>
        <v>12.424970314299273</v>
      </c>
      <c r="AB14" s="15">
        <f>'[4]Dia 27 (b)'!$X20</f>
        <v>11.763969350777639</v>
      </c>
      <c r="AC14" s="15">
        <f>'[4]Dia 28 (b)'!$X20</f>
        <v>11.755520239374265</v>
      </c>
      <c r="AD14" s="15">
        <f>'[4]Dia 29 (b)'!$X20</f>
        <v>12.152081771503909</v>
      </c>
      <c r="AE14" s="15">
        <f>'[4]Dia 30 (b)'!$X20</f>
        <v>12.348261902695585</v>
      </c>
      <c r="AF14" s="15"/>
    </row>
    <row r="15" spans="1:32" ht="20.100000000000001" customHeight="1">
      <c r="A15" s="14">
        <v>12</v>
      </c>
      <c r="B15" s="15">
        <f>'[4]Dia 1 (b)'!$X21</f>
        <v>11.344501787894243</v>
      </c>
      <c r="C15" s="15">
        <f>'[4]Dia 2 (b)'!$X21</f>
        <v>12.329806742551833</v>
      </c>
      <c r="D15" s="15">
        <f>'[4]Dia 3 (b)'!$X21</f>
        <v>11.311507559891375</v>
      </c>
      <c r="E15" s="15">
        <f>'[4]Dia 4 (b)'!$X21</f>
        <v>11.068696142274646</v>
      </c>
      <c r="F15" s="15">
        <f>'[4]Dia 5 (b)'!$X21</f>
        <v>12.252076808222295</v>
      </c>
      <c r="G15" s="15">
        <f>'[4]Dia 6 (b)'!$X21</f>
        <v>12.47942944395459</v>
      </c>
      <c r="H15" s="15">
        <f>'[4]Dia 7 (b)'!$X21</f>
        <v>14.935855444939078</v>
      </c>
      <c r="I15" s="15">
        <f>'[4]Dia 8 (b)'!$X21</f>
        <v>14.446346074276875</v>
      </c>
      <c r="J15" s="15">
        <f>'[4]Dia 9 (b)'!$X21</f>
        <v>12.531895354116648</v>
      </c>
      <c r="K15" s="15">
        <f>'[4]Dia 10 (b)'!$X21</f>
        <v>10.746840502972786</v>
      </c>
      <c r="L15" s="15">
        <f>'[4]Dia 11 (b)'!$X21</f>
        <v>12.445235650892823</v>
      </c>
      <c r="M15" s="15">
        <f>'[4]Dia 12 (b)'!$X21</f>
        <v>13.607032275815195</v>
      </c>
      <c r="N15" s="15">
        <f>'[4]Dia 13 (b)'!$X21</f>
        <v>14.224088602692854</v>
      </c>
      <c r="O15" s="15">
        <f>'[4]Dia 14 (b)'!$X21</f>
        <v>14.136654063613127</v>
      </c>
      <c r="P15" s="15">
        <f>'[4]Dia 15 (b)'!$X21</f>
        <v>13.995482012744898</v>
      </c>
      <c r="Q15" s="15">
        <f>'[4]Dia 16 (b)'!$X21</f>
        <v>12.213622332403585</v>
      </c>
      <c r="R15" s="15">
        <f>'[4]Dia 17 (b)'!$X21</f>
        <v>13.868143225737757</v>
      </c>
      <c r="S15" s="15">
        <f>'[4]Dia 18 (b)'!$X21</f>
        <v>16.148720271274517</v>
      </c>
      <c r="T15" s="15">
        <f>'[4]Dia 19 (b)'!$X21</f>
        <v>11.309430892134037</v>
      </c>
      <c r="U15" s="15">
        <f>'[4]Dia 20 (b)'!$X21</f>
        <v>7.4002039914735791</v>
      </c>
      <c r="V15" s="15">
        <f>'[4]Dia 21 (b)'!$X21</f>
        <v>8.8399248268830668</v>
      </c>
      <c r="W15" s="15">
        <f>'[4]Dia 22 (b)'!$X21</f>
        <v>9.980763571746408</v>
      </c>
      <c r="X15" s="15">
        <f>'[4]Dia 23 (b)'!$X21</f>
        <v>11.829693744377563</v>
      </c>
      <c r="Y15" s="15">
        <f>'[4]Dia 24 (b)'!$X21</f>
        <v>8.8279783138514389</v>
      </c>
      <c r="Z15" s="15">
        <f>'[4]Dia 25 (b)'!$X21</f>
        <v>10.504032614180355</v>
      </c>
      <c r="AA15" s="15">
        <f>'[4]Dia 26 (b)'!$X21</f>
        <v>12.211412654613364</v>
      </c>
      <c r="AB15" s="15">
        <f>'[4]Dia 27 (b)'!$X21</f>
        <v>11.77293623713066</v>
      </c>
      <c r="AC15" s="15">
        <f>'[4]Dia 28 (b)'!$X21</f>
        <v>11.396450793210809</v>
      </c>
      <c r="AD15" s="15">
        <f>'[4]Dia 29 (b)'!$X21</f>
        <v>11.822612529971597</v>
      </c>
      <c r="AE15" s="15">
        <f>'[4]Dia 30 (b)'!$X21</f>
        <v>13.162287283327132</v>
      </c>
      <c r="AF15" s="15"/>
    </row>
    <row r="16" spans="1:32" ht="20.100000000000001" customHeight="1">
      <c r="A16" s="14">
        <v>13</v>
      </c>
      <c r="B16" s="15">
        <f>'[4]Dia 1 (b)'!$X22</f>
        <v>11.054108364563907</v>
      </c>
      <c r="C16" s="15">
        <f>'[4]Dia 2 (b)'!$X22</f>
        <v>11.750319710820566</v>
      </c>
      <c r="D16" s="15">
        <f>'[4]Dia 3 (b)'!$X22</f>
        <v>12.548070390953805</v>
      </c>
      <c r="E16" s="15">
        <f>'[4]Dia 4 (b)'!$X22</f>
        <v>11.396393712290607</v>
      </c>
      <c r="F16" s="15">
        <f>'[4]Dia 5 (b)'!$X22</f>
        <v>12.553909017543626</v>
      </c>
      <c r="G16" s="15">
        <f>'[4]Dia 6 (b)'!$X22</f>
        <v>13.343539894273128</v>
      </c>
      <c r="H16" s="15">
        <f>'[4]Dia 7 (b)'!$X22</f>
        <v>15.789586476196741</v>
      </c>
      <c r="I16" s="15">
        <f>'[4]Dia 8 (b)'!$X22</f>
        <v>14.35525342444652</v>
      </c>
      <c r="J16" s="15">
        <f>'[4]Dia 9 (b)'!$X22</f>
        <v>12.934534189180255</v>
      </c>
      <c r="K16" s="15">
        <f>'[4]Dia 10 (b)'!$X22</f>
        <v>10.795877727317135</v>
      </c>
      <c r="L16" s="15">
        <f>'[4]Dia 11 (b)'!$X22</f>
        <v>12.295476452026646</v>
      </c>
      <c r="M16" s="15">
        <f>'[4]Dia 12 (b)'!$X22</f>
        <v>13.501237769695528</v>
      </c>
      <c r="N16" s="15">
        <f>'[4]Dia 13 (b)'!$X22</f>
        <v>13.320475046766369</v>
      </c>
      <c r="O16" s="15">
        <f>'[4]Dia 14 (b)'!$X22</f>
        <v>13.568232406661041</v>
      </c>
      <c r="P16" s="15">
        <f>'[4]Dia 15 (b)'!$X22</f>
        <v>13.236621899665078</v>
      </c>
      <c r="Q16" s="15">
        <f>'[4]Dia 16 (b)'!$X22</f>
        <v>12.167883139176254</v>
      </c>
      <c r="R16" s="15">
        <f>'[4]Dia 17 (b)'!$X22</f>
        <v>13.498487297779421</v>
      </c>
      <c r="S16" s="15">
        <f>'[4]Dia 18 (b)'!$X22</f>
        <v>14.722679054003661</v>
      </c>
      <c r="T16" s="15">
        <f>'[4]Dia 19 (b)'!$X22</f>
        <v>10.722945756067405</v>
      </c>
      <c r="U16" s="15">
        <f>'[4]Dia 20 (b)'!$X22</f>
        <v>7.5977200968733438</v>
      </c>
      <c r="V16" s="15">
        <f>'[4]Dia 21 (b)'!$X22</f>
        <v>9.5239022647773179</v>
      </c>
      <c r="W16" s="15">
        <f>'[4]Dia 22 (b)'!$X22</f>
        <v>11.01995441058904</v>
      </c>
      <c r="X16" s="15">
        <f>'[4]Dia 23 (b)'!$X22</f>
        <v>12.118494989475002</v>
      </c>
      <c r="Y16" s="15">
        <f>'[4]Dia 24 (b)'!$X22</f>
        <v>10.670666875070092</v>
      </c>
      <c r="Z16" s="15">
        <f>'[4]Dia 25 (b)'!$X22</f>
        <v>9.7612914489978788</v>
      </c>
      <c r="AA16" s="15">
        <f>'[4]Dia 26 (b)'!$X22</f>
        <v>13.409726809963059</v>
      </c>
      <c r="AB16" s="15">
        <f>'[4]Dia 27 (b)'!$X22</f>
        <v>11.811690000975151</v>
      </c>
      <c r="AC16" s="15">
        <f>'[4]Dia 28 (b)'!$X22</f>
        <v>12.133891609381957</v>
      </c>
      <c r="AD16" s="15">
        <f>'[4]Dia 29 (b)'!$X22</f>
        <v>12.047119291175697</v>
      </c>
      <c r="AE16" s="15">
        <f>'[4]Dia 30 (b)'!$X22</f>
        <v>12.464700192366948</v>
      </c>
      <c r="AF16" s="15"/>
    </row>
    <row r="17" spans="1:32" ht="20.100000000000001" customHeight="1">
      <c r="A17" s="14">
        <v>14</v>
      </c>
      <c r="B17" s="15">
        <f>'[4]Dia 1 (b)'!$X23</f>
        <v>11.730641482969862</v>
      </c>
      <c r="C17" s="15">
        <f>'[4]Dia 2 (b)'!$X23</f>
        <v>12.192622863374151</v>
      </c>
      <c r="D17" s="15">
        <f>'[4]Dia 3 (b)'!$X23</f>
        <v>12.426910490440848</v>
      </c>
      <c r="E17" s="15">
        <f>'[4]Dia 4 (b)'!$X23</f>
        <v>11.036798005759172</v>
      </c>
      <c r="F17" s="15">
        <f>'[4]Dia 5 (b)'!$X23</f>
        <v>12.248235019177383</v>
      </c>
      <c r="G17" s="15">
        <f>'[4]Dia 6 (b)'!$X23</f>
        <v>13.395211120256212</v>
      </c>
      <c r="H17" s="15">
        <f>'[4]Dia 7 (b)'!$X23</f>
        <v>15.359345973657348</v>
      </c>
      <c r="I17" s="15">
        <f>'[4]Dia 8 (b)'!$X23</f>
        <v>14.322199860902137</v>
      </c>
      <c r="J17" s="15">
        <f>'[4]Dia 9 (b)'!$X23</f>
        <v>11.438495342061065</v>
      </c>
      <c r="K17" s="15">
        <f>'[4]Dia 10 (b)'!$X23</f>
        <v>10.509180704874563</v>
      </c>
      <c r="L17" s="15">
        <f>'[4]Dia 11 (b)'!$X23</f>
        <v>12.372748122344156</v>
      </c>
      <c r="M17" s="15">
        <f>'[4]Dia 12 (b)'!$X23</f>
        <v>13.332239966960509</v>
      </c>
      <c r="N17" s="15">
        <f>'[4]Dia 13 (b)'!$X23</f>
        <v>13.073971582406742</v>
      </c>
      <c r="O17" s="15">
        <f>'[4]Dia 14 (b)'!$X23</f>
        <v>13.778044660947458</v>
      </c>
      <c r="P17" s="15">
        <f>'[4]Dia 15 (b)'!$X23</f>
        <v>13.152304899230693</v>
      </c>
      <c r="Q17" s="15">
        <f>'[4]Dia 16 (b)'!$X23</f>
        <v>14.090444094155032</v>
      </c>
      <c r="R17" s="15">
        <f>'[4]Dia 17 (b)'!$X23</f>
        <v>13.14150495461182</v>
      </c>
      <c r="S17" s="15">
        <f>'[4]Dia 18 (b)'!$X23</f>
        <v>16.974788842707163</v>
      </c>
      <c r="T17" s="15">
        <f>'[4]Dia 19 (b)'!$X23</f>
        <v>10.986945229019781</v>
      </c>
      <c r="U17" s="15">
        <f>'[4]Dia 20 (b)'!$X23</f>
        <v>8.3248777970436425</v>
      </c>
      <c r="V17" s="15">
        <f>'[4]Dia 21 (b)'!$X23</f>
        <v>9.7327845068496135</v>
      </c>
      <c r="W17" s="15">
        <f>'[4]Dia 22 (b)'!$X23</f>
        <v>11.507356989376985</v>
      </c>
      <c r="X17" s="15">
        <f>'[4]Dia 23 (b)'!$X23</f>
        <v>12.272605538149756</v>
      </c>
      <c r="Y17" s="15">
        <f>'[4]Dia 24 (b)'!$X23</f>
        <v>10.633261487245541</v>
      </c>
      <c r="Z17" s="15">
        <f>'[4]Dia 25 (b)'!$X23</f>
        <v>9.7721541408977615</v>
      </c>
      <c r="AA17" s="15">
        <f>'[4]Dia 26 (b)'!$X23</f>
        <v>12.597451152692392</v>
      </c>
      <c r="AB17" s="15">
        <f>'[4]Dia 27 (b)'!$X23</f>
        <v>12.097103011860366</v>
      </c>
      <c r="AC17" s="15">
        <f>'[4]Dia 28 (b)'!$X23</f>
        <v>10.358227747490877</v>
      </c>
      <c r="AD17" s="15">
        <f>'[4]Dia 29 (b)'!$X23</f>
        <v>12.744797821735833</v>
      </c>
      <c r="AE17" s="15">
        <f>'[4]Dia 30 (b)'!$X23</f>
        <v>12.934552079552647</v>
      </c>
      <c r="AF17" s="15"/>
    </row>
    <row r="18" spans="1:32" ht="20.100000000000001" customHeight="1">
      <c r="A18" s="14">
        <v>15</v>
      </c>
      <c r="B18" s="15">
        <f>'[4]Dia 1 (b)'!$X24</f>
        <v>15.40635567024774</v>
      </c>
      <c r="C18" s="15">
        <f>'[4]Dia 2 (b)'!$X24</f>
        <v>12.224494257285599</v>
      </c>
      <c r="D18" s="15">
        <f>'[4]Dia 3 (b)'!$X24</f>
        <v>12.565794963744581</v>
      </c>
      <c r="E18" s="15">
        <f>'[4]Dia 4 (b)'!$X24</f>
        <v>14.307289464424926</v>
      </c>
      <c r="F18" s="15">
        <f>'[4]Dia 5 (b)'!$X24</f>
        <v>13.699864549916906</v>
      </c>
      <c r="G18" s="15">
        <f>'[4]Dia 6 (b)'!$X24</f>
        <v>13.591739791918839</v>
      </c>
      <c r="H18" s="15">
        <f>'[4]Dia 7 (b)'!$X24</f>
        <v>16.02579170975682</v>
      </c>
      <c r="I18" s="15">
        <f>'[4]Dia 8 (b)'!$X24</f>
        <v>14.71872555002145</v>
      </c>
      <c r="J18" s="15">
        <f>'[4]Dia 9 (b)'!$X24</f>
        <v>11.026915409024349</v>
      </c>
      <c r="K18" s="15">
        <f>'[4]Dia 10 (b)'!$X24</f>
        <v>10.349566039211068</v>
      </c>
      <c r="L18" s="15">
        <f>'[4]Dia 11 (b)'!$X24</f>
        <v>13.152356341910316</v>
      </c>
      <c r="M18" s="15">
        <f>'[4]Dia 12 (b)'!$X24</f>
        <v>13.390039730343293</v>
      </c>
      <c r="N18" s="15">
        <f>'[4]Dia 13 (b)'!$X24</f>
        <v>12.909671659809018</v>
      </c>
      <c r="O18" s="15">
        <f>'[4]Dia 14 (b)'!$X24</f>
        <v>14.982899537669681</v>
      </c>
      <c r="P18" s="15">
        <f>'[4]Dia 15 (b)'!$X24</f>
        <v>13.012134121053528</v>
      </c>
      <c r="Q18" s="15">
        <f>'[4]Dia 16 (b)'!$X24</f>
        <v>14.179879697544196</v>
      </c>
      <c r="R18" s="15">
        <f>'[4]Dia 17 (b)'!$X24</f>
        <v>13.330895223886044</v>
      </c>
      <c r="S18" s="15">
        <f>'[4]Dia 18 (b)'!$X24</f>
        <v>16.684314937590734</v>
      </c>
      <c r="T18" s="15">
        <f>'[4]Dia 19 (b)'!$X24</f>
        <v>10.1533745390651</v>
      </c>
      <c r="U18" s="15">
        <f>'[4]Dia 20 (b)'!$X24</f>
        <v>8.2025627274607409</v>
      </c>
      <c r="V18" s="15">
        <f>'[4]Dia 21 (b)'!$X24</f>
        <v>9.6429996910210054</v>
      </c>
      <c r="W18" s="15">
        <f>'[4]Dia 22 (b)'!$X24</f>
        <v>11.663714055412793</v>
      </c>
      <c r="X18" s="15">
        <f>'[4]Dia 23 (b)'!$X24</f>
        <v>12.068033748316601</v>
      </c>
      <c r="Y18" s="15">
        <f>'[4]Dia 24 (b)'!$X24</f>
        <v>11.515683720857339</v>
      </c>
      <c r="Z18" s="15">
        <f>'[4]Dia 25 (b)'!$X24</f>
        <v>9.5276248918594622</v>
      </c>
      <c r="AA18" s="15">
        <f>'[4]Dia 26 (b)'!$X24</f>
        <v>13.28570882940279</v>
      </c>
      <c r="AB18" s="15">
        <f>'[4]Dia 27 (b)'!$X24</f>
        <v>13.213472747128105</v>
      </c>
      <c r="AC18" s="15">
        <f>'[4]Dia 28 (b)'!$X24</f>
        <v>11.313154358327266</v>
      </c>
      <c r="AD18" s="15">
        <f>'[4]Dia 29 (b)'!$X24</f>
        <v>13.061381159296662</v>
      </c>
      <c r="AE18" s="15">
        <f>'[4]Dia 30 (b)'!$X24</f>
        <v>13.684652345945818</v>
      </c>
      <c r="AF18" s="15"/>
    </row>
    <row r="19" spans="1:32" ht="20.100000000000001" customHeight="1">
      <c r="A19" s="14">
        <v>16</v>
      </c>
      <c r="B19" s="15">
        <f>'[4]Dia 1 (b)'!$X25</f>
        <v>15.213750602053166</v>
      </c>
      <c r="C19" s="15">
        <f>'[4]Dia 2 (b)'!$X25</f>
        <v>12.355150221447289</v>
      </c>
      <c r="D19" s="15">
        <f>'[4]Dia 3 (b)'!$X25</f>
        <v>13.099414623075489</v>
      </c>
      <c r="E19" s="15">
        <f>'[4]Dia 4 (b)'!$X25</f>
        <v>15.029320801619825</v>
      </c>
      <c r="F19" s="15">
        <f>'[4]Dia 5 (b)'!$X25</f>
        <v>13.334217967283934</v>
      </c>
      <c r="G19" s="15">
        <f>'[4]Dia 6 (b)'!$X25</f>
        <v>13.331601721042897</v>
      </c>
      <c r="H19" s="15">
        <f>'[4]Dia 7 (b)'!$X25</f>
        <v>15.545654478155058</v>
      </c>
      <c r="I19" s="15">
        <f>'[4]Dia 8 (b)'!$X25</f>
        <v>14.219602504194807</v>
      </c>
      <c r="J19" s="15">
        <f>'[4]Dia 9 (b)'!$X25</f>
        <v>11.697147364729959</v>
      </c>
      <c r="K19" s="15">
        <f>'[4]Dia 10 (b)'!$X25</f>
        <v>10.684106132695131</v>
      </c>
      <c r="L19" s="15">
        <f>'[4]Dia 11 (b)'!$X25</f>
        <v>14.624276944978659</v>
      </c>
      <c r="M19" s="15">
        <f>'[4]Dia 12 (b)'!$X25</f>
        <v>13.554103105960364</v>
      </c>
      <c r="N19" s="15">
        <f>'[4]Dia 13 (b)'!$X25</f>
        <v>12.646531904286066</v>
      </c>
      <c r="O19" s="15">
        <f>'[4]Dia 14 (b)'!$X25</f>
        <v>15.642485123648528</v>
      </c>
      <c r="P19" s="15">
        <f>'[4]Dia 15 (b)'!$X25</f>
        <v>13.236970075325878</v>
      </c>
      <c r="Q19" s="15">
        <f>'[4]Dia 16 (b)'!$X25</f>
        <v>15.53006676258504</v>
      </c>
      <c r="R19" s="15">
        <f>'[4]Dia 17 (b)'!$X25</f>
        <v>14.015350754212584</v>
      </c>
      <c r="S19" s="15">
        <f>'[4]Dia 18 (b)'!$X25</f>
        <v>16.479794698925367</v>
      </c>
      <c r="T19" s="15">
        <f>'[4]Dia 19 (b)'!$X25</f>
        <v>10.325375136221924</v>
      </c>
      <c r="U19" s="15">
        <f>'[4]Dia 20 (b)'!$X25</f>
        <v>8.71411408760979</v>
      </c>
      <c r="V19" s="15">
        <f>'[4]Dia 21 (b)'!$X25</f>
        <v>10.2428039897278</v>
      </c>
      <c r="W19" s="15">
        <f>'[4]Dia 22 (b)'!$X25</f>
        <v>11.487225963395653</v>
      </c>
      <c r="X19" s="15">
        <f>'[4]Dia 23 (b)'!$X25</f>
        <v>12.294226325204166</v>
      </c>
      <c r="Y19" s="15">
        <f>'[4]Dia 24 (b)'!$X25</f>
        <v>11.722388420367</v>
      </c>
      <c r="Z19" s="15">
        <f>'[4]Dia 25 (b)'!$X25</f>
        <v>13.214106874223157</v>
      </c>
      <c r="AA19" s="15">
        <f>'[4]Dia 26 (b)'!$X25</f>
        <v>13.162079993805978</v>
      </c>
      <c r="AB19" s="15">
        <f>'[4]Dia 27 (b)'!$X25</f>
        <v>13.740047592920495</v>
      </c>
      <c r="AC19" s="15">
        <f>'[4]Dia 28 (b)'!$X25</f>
        <v>11.253462285849009</v>
      </c>
      <c r="AD19" s="15">
        <f>'[4]Dia 29 (b)'!$X25</f>
        <v>12.739031191724868</v>
      </c>
      <c r="AE19" s="15">
        <f>'[4]Dia 30 (b)'!$X25</f>
        <v>13.975066269447135</v>
      </c>
      <c r="AF19" s="15"/>
    </row>
    <row r="20" spans="1:32" ht="20.100000000000001" customHeight="1">
      <c r="A20" s="14">
        <v>17</v>
      </c>
      <c r="B20" s="15">
        <f>'[4]Dia 1 (b)'!$X26</f>
        <v>15.304297221097038</v>
      </c>
      <c r="C20" s="15">
        <f>'[4]Dia 2 (b)'!$X26</f>
        <v>12.514329364489551</v>
      </c>
      <c r="D20" s="15">
        <f>'[4]Dia 3 (b)'!$X26</f>
        <v>12.889962258909279</v>
      </c>
      <c r="E20" s="15">
        <f>'[4]Dia 4 (b)'!$X26</f>
        <v>14.344114443766403</v>
      </c>
      <c r="F20" s="15">
        <f>'[4]Dia 5 (b)'!$X26</f>
        <v>13.127208236193395</v>
      </c>
      <c r="G20" s="15">
        <f>'[4]Dia 6 (b)'!$X26</f>
        <v>12.770219612215662</v>
      </c>
      <c r="H20" s="15">
        <f>'[4]Dia 7 (b)'!$X26</f>
        <v>15.391571574701191</v>
      </c>
      <c r="I20" s="15">
        <f>'[4]Dia 8 (b)'!$X26</f>
        <v>13.935061006084592</v>
      </c>
      <c r="J20" s="15">
        <f>'[4]Dia 9 (b)'!$X26</f>
        <v>12.242903442500959</v>
      </c>
      <c r="K20" s="15">
        <f>'[4]Dia 10 (b)'!$X26</f>
        <v>11.025191860506613</v>
      </c>
      <c r="L20" s="15">
        <f>'[4]Dia 11 (b)'!$X26</f>
        <v>13.838275127517498</v>
      </c>
      <c r="M20" s="15">
        <f>'[4]Dia 12 (b)'!$X26</f>
        <v>13.34796474385846</v>
      </c>
      <c r="N20" s="15">
        <f>'[4]Dia 13 (b)'!$X26</f>
        <v>15.031184181372016</v>
      </c>
      <c r="O20" s="15">
        <f>'[4]Dia 14 (b)'!$X26</f>
        <v>15.924263030828223</v>
      </c>
      <c r="P20" s="15">
        <f>'[4]Dia 15 (b)'!$X26</f>
        <v>13.293102279347233</v>
      </c>
      <c r="Q20" s="15">
        <f>'[4]Dia 16 (b)'!$X26</f>
        <v>15.114952569243872</v>
      </c>
      <c r="R20" s="15">
        <f>'[4]Dia 17 (b)'!$X26</f>
        <v>14.02868393801382</v>
      </c>
      <c r="S20" s="15">
        <f>'[4]Dia 18 (b)'!$X26</f>
        <v>15.686556217093129</v>
      </c>
      <c r="T20" s="15">
        <f>'[4]Dia 19 (b)'!$X26</f>
        <v>8.3811245681775901</v>
      </c>
      <c r="U20" s="15">
        <f>'[4]Dia 20 (b)'!$X26</f>
        <v>9.4386644446424395</v>
      </c>
      <c r="V20" s="15">
        <f>'[4]Dia 21 (b)'!$X26</f>
        <v>10.286611255421979</v>
      </c>
      <c r="W20" s="15">
        <f>'[4]Dia 22 (b)'!$X26</f>
        <v>11.375292075469655</v>
      </c>
      <c r="X20" s="15">
        <f>'[4]Dia 23 (b)'!$X26</f>
        <v>11.892445155554729</v>
      </c>
      <c r="Y20" s="15">
        <f>'[4]Dia 24 (b)'!$X26</f>
        <v>11.552804408956723</v>
      </c>
      <c r="Z20" s="15">
        <f>'[4]Dia 25 (b)'!$X26</f>
        <v>12.975441146612253</v>
      </c>
      <c r="AA20" s="15">
        <f>'[4]Dia 26 (b)'!$X26</f>
        <v>12.765587790924005</v>
      </c>
      <c r="AB20" s="15">
        <f>'[4]Dia 27 (b)'!$X26</f>
        <v>13.469172766578893</v>
      </c>
      <c r="AC20" s="15">
        <f>'[4]Dia 28 (b)'!$X26</f>
        <v>10.019469960257281</v>
      </c>
      <c r="AD20" s="15">
        <f>'[4]Dia 29 (b)'!$X26</f>
        <v>12.547139450529476</v>
      </c>
      <c r="AE20" s="15">
        <f>'[4]Dia 30 (b)'!$X26</f>
        <v>13.950003604758461</v>
      </c>
      <c r="AF20" s="15"/>
    </row>
    <row r="21" spans="1:32" ht="20.100000000000001" customHeight="1">
      <c r="A21" s="14">
        <v>18</v>
      </c>
      <c r="B21" s="15">
        <f>'[4]Dia 1 (b)'!$X27</f>
        <v>15.535799603472094</v>
      </c>
      <c r="C21" s="15">
        <f>'[4]Dia 2 (b)'!$X27</f>
        <v>11.847281783074063</v>
      </c>
      <c r="D21" s="15">
        <f>'[4]Dia 3 (b)'!$X27</f>
        <v>12.620831462901528</v>
      </c>
      <c r="E21" s="15">
        <f>'[4]Dia 4 (b)'!$X27</f>
        <v>14.118488364854901</v>
      </c>
      <c r="F21" s="15">
        <f>'[4]Dia 5 (b)'!$X27</f>
        <v>12.924253063880689</v>
      </c>
      <c r="G21" s="15">
        <f>'[4]Dia 6 (b)'!$X27</f>
        <v>12.540718046390644</v>
      </c>
      <c r="H21" s="15">
        <f>'[4]Dia 7 (b)'!$X27</f>
        <v>15.29325468504293</v>
      </c>
      <c r="I21" s="15">
        <f>'[4]Dia 8 (b)'!$X27</f>
        <v>13.769523657345939</v>
      </c>
      <c r="J21" s="15">
        <f>'[4]Dia 9 (b)'!$X27</f>
        <v>12.364868113575305</v>
      </c>
      <c r="K21" s="15">
        <f>'[4]Dia 10 (b)'!$X27</f>
        <v>11.321232327606095</v>
      </c>
      <c r="L21" s="15">
        <f>'[4]Dia 11 (b)'!$X27</f>
        <v>14.062356217602751</v>
      </c>
      <c r="M21" s="15">
        <f>'[4]Dia 12 (b)'!$X27</f>
        <v>12.930357574125003</v>
      </c>
      <c r="N21" s="15">
        <f>'[4]Dia 13 (b)'!$X27</f>
        <v>15.38789758410034</v>
      </c>
      <c r="O21" s="15">
        <f>'[4]Dia 14 (b)'!$X27</f>
        <v>15.603231188589954</v>
      </c>
      <c r="P21" s="15">
        <f>'[4]Dia 15 (b)'!$X27</f>
        <v>13.497543920557552</v>
      </c>
      <c r="Q21" s="15">
        <f>'[4]Dia 16 (b)'!$X27</f>
        <v>14.874854926484971</v>
      </c>
      <c r="R21" s="15">
        <f>'[4]Dia 17 (b)'!$X27</f>
        <v>14.503285286161296</v>
      </c>
      <c r="S21" s="15">
        <f>'[4]Dia 18 (b)'!$X27</f>
        <v>16.241754009409512</v>
      </c>
      <c r="T21" s="15">
        <f>'[4]Dia 19 (b)'!$X27</f>
        <v>6.8207857143647415</v>
      </c>
      <c r="U21" s="15">
        <f>'[4]Dia 20 (b)'!$X27</f>
        <v>9.0951447912480479</v>
      </c>
      <c r="V21" s="15">
        <f>'[4]Dia 21 (b)'!$X27</f>
        <v>10.179754568515909</v>
      </c>
      <c r="W21" s="15">
        <f>'[4]Dia 22 (b)'!$X27</f>
        <v>11.506186888517133</v>
      </c>
      <c r="X21" s="15">
        <f>'[4]Dia 23 (b)'!$X27</f>
        <v>12.140166271563309</v>
      </c>
      <c r="Y21" s="15">
        <f>'[4]Dia 24 (b)'!$X27</f>
        <v>11.522078677048038</v>
      </c>
      <c r="Z21" s="15">
        <f>'[4]Dia 25 (b)'!$X27</f>
        <v>12.831041937617222</v>
      </c>
      <c r="AA21" s="15">
        <f>'[4]Dia 26 (b)'!$X27</f>
        <v>12.884916006169334</v>
      </c>
      <c r="AB21" s="15">
        <f>'[4]Dia 27 (b)'!$X27</f>
        <v>13.584455844012403</v>
      </c>
      <c r="AC21" s="15">
        <f>'[4]Dia 28 (b)'!$X27</f>
        <v>10.165739782491924</v>
      </c>
      <c r="AD21" s="15">
        <f>'[4]Dia 29 (b)'!$X27</f>
        <v>12.88002399211557</v>
      </c>
      <c r="AE21" s="15">
        <f>'[4]Dia 30 (b)'!$X27</f>
        <v>13.97547891585986</v>
      </c>
      <c r="AF21" s="15"/>
    </row>
    <row r="22" spans="1:32" ht="20.100000000000001" customHeight="1">
      <c r="A22" s="14">
        <v>19</v>
      </c>
      <c r="B22" s="15">
        <f>'[4]Dia 1 (b)'!$X28</f>
        <v>15.265038909829647</v>
      </c>
      <c r="C22" s="15">
        <f>'[4]Dia 2 (b)'!$X28</f>
        <v>12.379881105949028</v>
      </c>
      <c r="D22" s="15">
        <f>'[4]Dia 3 (b)'!$X28</f>
        <v>12.525514911968378</v>
      </c>
      <c r="E22" s="15">
        <f>'[4]Dia 4 (b)'!$X28</f>
        <v>14.099621280561587</v>
      </c>
      <c r="F22" s="15">
        <f>'[4]Dia 5 (b)'!$X28</f>
        <v>13.221293379418217</v>
      </c>
      <c r="G22" s="15">
        <f>'[4]Dia 6 (b)'!$X28</f>
        <v>13.010994751178767</v>
      </c>
      <c r="H22" s="15">
        <f>'[4]Dia 7 (b)'!$X28</f>
        <v>14.941671817501527</v>
      </c>
      <c r="I22" s="15">
        <f>'[4]Dia 8 (b)'!$X28</f>
        <v>13.665860117461696</v>
      </c>
      <c r="J22" s="15">
        <f>'[4]Dia 9 (b)'!$X28</f>
        <v>12.064282936236076</v>
      </c>
      <c r="K22" s="15">
        <f>'[4]Dia 10 (b)'!$X28</f>
        <v>10.939961804301181</v>
      </c>
      <c r="L22" s="15">
        <f>'[4]Dia 11 (b)'!$X28</f>
        <v>13.391132382928685</v>
      </c>
      <c r="M22" s="15">
        <f>'[4]Dia 12 (b)'!$X28</f>
        <v>14.16584300295716</v>
      </c>
      <c r="N22" s="15">
        <f>'[4]Dia 13 (b)'!$X28</f>
        <v>15.26633614098569</v>
      </c>
      <c r="O22" s="15">
        <f>'[4]Dia 14 (b)'!$X28</f>
        <v>15.440086607075399</v>
      </c>
      <c r="P22" s="15">
        <f>'[4]Dia 15 (b)'!$X28</f>
        <v>13.278892697010908</v>
      </c>
      <c r="Q22" s="15">
        <f>'[4]Dia 16 (b)'!$X28</f>
        <v>15.042285554316496</v>
      </c>
      <c r="R22" s="15">
        <f>'[4]Dia 17 (b)'!$X28</f>
        <v>14.613026888513307</v>
      </c>
      <c r="S22" s="15">
        <f>'[4]Dia 18 (b)'!$X28</f>
        <v>16.418688361360918</v>
      </c>
      <c r="T22" s="15">
        <f>'[4]Dia 19 (b)'!$X28</f>
        <v>7.4918041291170354</v>
      </c>
      <c r="U22" s="15">
        <f>'[4]Dia 20 (b)'!$X28</f>
        <v>9.1001102207549778</v>
      </c>
      <c r="V22" s="15">
        <f>'[4]Dia 21 (b)'!$X28</f>
        <v>10.344492577595885</v>
      </c>
      <c r="W22" s="15">
        <f>'[4]Dia 22 (b)'!$X28</f>
        <v>11.388293059088808</v>
      </c>
      <c r="X22" s="15">
        <f>'[4]Dia 23 (b)'!$X28</f>
        <v>12.140722064987107</v>
      </c>
      <c r="Y22" s="15">
        <f>'[4]Dia 24 (b)'!$X28</f>
        <v>11.524502229970953</v>
      </c>
      <c r="Z22" s="15">
        <f>'[4]Dia 25 (b)'!$X28</f>
        <v>12.700318702218471</v>
      </c>
      <c r="AA22" s="15">
        <f>'[4]Dia 26 (b)'!$X28</f>
        <v>13.010713592961546</v>
      </c>
      <c r="AB22" s="15">
        <f>'[4]Dia 27 (b)'!$X28</f>
        <v>13.306497395662536</v>
      </c>
      <c r="AC22" s="15">
        <f>'[4]Dia 28 (b)'!$X28</f>
        <v>10.481111392102658</v>
      </c>
      <c r="AD22" s="15">
        <f>'[4]Dia 29 (b)'!$X28</f>
        <v>12.788907381143272</v>
      </c>
      <c r="AE22" s="15">
        <f>'[4]Dia 30 (b)'!$X28</f>
        <v>13.703619826448003</v>
      </c>
      <c r="AF22" s="15"/>
    </row>
    <row r="23" spans="1:32" ht="20.100000000000001" customHeight="1">
      <c r="A23" s="14">
        <v>20</v>
      </c>
      <c r="B23" s="15">
        <f>'[4]Dia 1 (b)'!$X29</f>
        <v>15.078818465419232</v>
      </c>
      <c r="C23" s="15">
        <f>'[4]Dia 2 (b)'!$X29</f>
        <v>11.757418312125068</v>
      </c>
      <c r="D23" s="15">
        <f>'[4]Dia 3 (b)'!$X29</f>
        <v>12.39616397271759</v>
      </c>
      <c r="E23" s="15">
        <f>'[4]Dia 4 (b)'!$X29</f>
        <v>13.543036144875797</v>
      </c>
      <c r="F23" s="15">
        <f>'[4]Dia 5 (b)'!$X29</f>
        <v>13.473363388007245</v>
      </c>
      <c r="G23" s="15">
        <f>'[4]Dia 6 (b)'!$X29</f>
        <v>12.87233190622921</v>
      </c>
      <c r="H23" s="15">
        <f>'[4]Dia 7 (b)'!$X29</f>
        <v>14.735525652988702</v>
      </c>
      <c r="I23" s="15">
        <f>'[4]Dia 8 (b)'!$X29</f>
        <v>13.570729277581359</v>
      </c>
      <c r="J23" s="15">
        <f>'[4]Dia 9 (b)'!$X29</f>
        <v>11.896519282837799</v>
      </c>
      <c r="K23" s="15">
        <f>'[4]Dia 10 (b)'!$X29</f>
        <v>11.017565068464279</v>
      </c>
      <c r="L23" s="15">
        <f>'[4]Dia 11 (b)'!$X29</f>
        <v>13.592698526127705</v>
      </c>
      <c r="M23" s="15">
        <f>'[4]Dia 12 (b)'!$X29</f>
        <v>14.830216254858273</v>
      </c>
      <c r="N23" s="15">
        <f>'[4]Dia 13 (b)'!$X29</f>
        <v>15.129088650451967</v>
      </c>
      <c r="O23" s="15">
        <f>'[4]Dia 14 (b)'!$X29</f>
        <v>15.477419961468591</v>
      </c>
      <c r="P23" s="15">
        <f>'[4]Dia 15 (b)'!$X29</f>
        <v>14.011197234947595</v>
      </c>
      <c r="Q23" s="15">
        <f>'[4]Dia 16 (b)'!$X29</f>
        <v>14.652241359489912</v>
      </c>
      <c r="R23" s="15">
        <f>'[4]Dia 17 (b)'!$X29</f>
        <v>14.746318933885334</v>
      </c>
      <c r="S23" s="15">
        <f>'[4]Dia 18 (b)'!$X29</f>
        <v>16.054201121317302</v>
      </c>
      <c r="T23" s="15">
        <f>'[4]Dia 19 (b)'!$X29</f>
        <v>7.8783748990206677</v>
      </c>
      <c r="U23" s="15">
        <f>'[4]Dia 20 (b)'!$X29</f>
        <v>8.9601782760722077</v>
      </c>
      <c r="V23" s="15">
        <f>'[4]Dia 21 (b)'!$X29</f>
        <v>10.278461068681947</v>
      </c>
      <c r="W23" s="15">
        <f>'[4]Dia 22 (b)'!$X29</f>
        <v>11.619581750203471</v>
      </c>
      <c r="X23" s="15">
        <f>'[4]Dia 23 (b)'!$X29</f>
        <v>11.965248403206044</v>
      </c>
      <c r="Y23" s="15">
        <f>'[4]Dia 24 (b)'!$X29</f>
        <v>11.329654720119473</v>
      </c>
      <c r="Z23" s="15">
        <f>'[4]Dia 25 (b)'!$X29</f>
        <v>12.74254268265517</v>
      </c>
      <c r="AA23" s="15">
        <f>'[4]Dia 26 (b)'!$X29</f>
        <v>13.09637919144844</v>
      </c>
      <c r="AB23" s="15">
        <f>'[4]Dia 27 (b)'!$X29</f>
        <v>13.383543826507568</v>
      </c>
      <c r="AC23" s="15">
        <f>'[4]Dia 28 (b)'!$X29</f>
        <v>11.056517831139047</v>
      </c>
      <c r="AD23" s="15">
        <f>'[4]Dia 29 (b)'!$X29</f>
        <v>12.823640905861129</v>
      </c>
      <c r="AE23" s="15">
        <f>'[4]Dia 30 (b)'!$X29</f>
        <v>13.426533177921838</v>
      </c>
      <c r="AF23" s="15"/>
    </row>
    <row r="24" spans="1:32" ht="20.100000000000001" customHeight="1">
      <c r="A24" s="14">
        <v>21</v>
      </c>
      <c r="B24" s="15">
        <f>'[4]Dia 1 (b)'!$X30</f>
        <v>15.140861571048392</v>
      </c>
      <c r="C24" s="15">
        <f>'[4]Dia 2 (b)'!$X30</f>
        <v>11.593025954837939</v>
      </c>
      <c r="D24" s="15">
        <f>'[4]Dia 3 (b)'!$X30</f>
        <v>12.812651259396805</v>
      </c>
      <c r="E24" s="15">
        <f>'[4]Dia 4 (b)'!$X30</f>
        <v>13.521622745515712</v>
      </c>
      <c r="F24" s="15">
        <f>'[4]Dia 5 (b)'!$X30</f>
        <v>13.060128787375406</v>
      </c>
      <c r="G24" s="15">
        <f>'[4]Dia 6 (b)'!$X30</f>
        <v>13.254272850373109</v>
      </c>
      <c r="H24" s="15">
        <f>'[4]Dia 7 (b)'!$X30</f>
        <v>14.733660901372573</v>
      </c>
      <c r="I24" s="15">
        <f>'[4]Dia 8 (b)'!$X30</f>
        <v>13.773129899181423</v>
      </c>
      <c r="J24" s="15">
        <f>'[4]Dia 9 (b)'!$X30</f>
        <v>12.218584994592767</v>
      </c>
      <c r="K24" s="15">
        <f>'[4]Dia 10 (b)'!$X30</f>
        <v>10.99519245160587</v>
      </c>
      <c r="L24" s="15">
        <f>'[4]Dia 11 (b)'!$X30</f>
        <v>13.414049201429453</v>
      </c>
      <c r="M24" s="15">
        <f>'[4]Dia 12 (b)'!$X30</f>
        <v>14.936088654240795</v>
      </c>
      <c r="N24" s="15">
        <f>'[4]Dia 13 (b)'!$X30</f>
        <v>15.195125569405473</v>
      </c>
      <c r="O24" s="15">
        <f>'[4]Dia 14 (b)'!$X30</f>
        <v>15.425913170047918</v>
      </c>
      <c r="P24" s="15">
        <f>'[4]Dia 15 (b)'!$X30</f>
        <v>13.638089755323524</v>
      </c>
      <c r="Q24" s="15">
        <f>'[4]Dia 16 (b)'!$X30</f>
        <v>14.952784169240942</v>
      </c>
      <c r="R24" s="15">
        <f>'[4]Dia 17 (b)'!$X30</f>
        <v>14.413537765189494</v>
      </c>
      <c r="S24" s="15">
        <f>'[4]Dia 18 (b)'!$X30</f>
        <v>15.892384899900868</v>
      </c>
      <c r="T24" s="15">
        <f>'[4]Dia 19 (b)'!$X30</f>
        <v>7.7472561931182193</v>
      </c>
      <c r="U24" s="15">
        <f>'[4]Dia 20 (b)'!$X30</f>
        <v>8.8273751110149039</v>
      </c>
      <c r="V24" s="15">
        <f>'[4]Dia 21 (b)'!$X30</f>
        <v>10.217159384031236</v>
      </c>
      <c r="W24" s="15">
        <f>'[4]Dia 22 (b)'!$X30</f>
        <v>11.377438475302284</v>
      </c>
      <c r="X24" s="15">
        <f>'[4]Dia 23 (b)'!$X30</f>
        <v>11.885510027961464</v>
      </c>
      <c r="Y24" s="15">
        <f>'[4]Dia 24 (b)'!$X30</f>
        <v>11.180597851252491</v>
      </c>
      <c r="Z24" s="15">
        <f>'[4]Dia 25 (b)'!$X30</f>
        <v>12.657029714730172</v>
      </c>
      <c r="AA24" s="15">
        <f>'[4]Dia 26 (b)'!$X30</f>
        <v>13.042824671694826</v>
      </c>
      <c r="AB24" s="15">
        <f>'[4]Dia 27 (b)'!$X30</f>
        <v>13.030523240103777</v>
      </c>
      <c r="AC24" s="15">
        <f>'[4]Dia 28 (b)'!$X30</f>
        <v>11.199986693466888</v>
      </c>
      <c r="AD24" s="15">
        <f>'[4]Dia 29 (b)'!$X30</f>
        <v>13.075609668548489</v>
      </c>
      <c r="AE24" s="15">
        <f>'[4]Dia 30 (b)'!$X30</f>
        <v>13.502095065583156</v>
      </c>
      <c r="AF24" s="15"/>
    </row>
    <row r="25" spans="1:32" ht="20.100000000000001" customHeight="1">
      <c r="A25" s="14">
        <v>22</v>
      </c>
      <c r="B25" s="15">
        <f>'[4]Dia 1 (b)'!$X31</f>
        <v>14.234529071957322</v>
      </c>
      <c r="C25" s="15">
        <f>'[4]Dia 2 (b)'!$X31</f>
        <v>11.627855158575748</v>
      </c>
      <c r="D25" s="15">
        <f>'[4]Dia 3 (b)'!$X31</f>
        <v>13.151490027374184</v>
      </c>
      <c r="E25" s="15">
        <f>'[4]Dia 4 (b)'!$X31</f>
        <v>12.869534857501305</v>
      </c>
      <c r="F25" s="15">
        <f>'[4]Dia 5 (b)'!$X31</f>
        <v>13.057040286743755</v>
      </c>
      <c r="G25" s="15">
        <f>'[4]Dia 6 (b)'!$X31</f>
        <v>13.743370680243412</v>
      </c>
      <c r="H25" s="15">
        <f>'[4]Dia 7 (b)'!$X31</f>
        <v>14.313399585802062</v>
      </c>
      <c r="I25" s="15">
        <f>'[4]Dia 8 (b)'!$X31</f>
        <v>13.631637889601286</v>
      </c>
      <c r="J25" s="15">
        <f>'[4]Dia 9 (b)'!$X31</f>
        <v>12.094034421715532</v>
      </c>
      <c r="K25" s="15">
        <f>'[4]Dia 10 (b)'!$X31</f>
        <v>10.996058488265463</v>
      </c>
      <c r="L25" s="15">
        <f>'[4]Dia 11 (b)'!$X31</f>
        <v>13.06517502986061</v>
      </c>
      <c r="M25" s="15">
        <f>'[4]Dia 12 (b)'!$X31</f>
        <v>14.876095324066611</v>
      </c>
      <c r="N25" s="15">
        <f>'[4]Dia 13 (b)'!$X31</f>
        <v>14.8972372843754</v>
      </c>
      <c r="O25" s="15">
        <f>'[4]Dia 14 (b)'!$X31</f>
        <v>14.936320133065447</v>
      </c>
      <c r="P25" s="15">
        <f>'[4]Dia 15 (b)'!$X31</f>
        <v>13.506358652822277</v>
      </c>
      <c r="Q25" s="15">
        <f>'[4]Dia 16 (b)'!$X31</f>
        <v>14.843303494635384</v>
      </c>
      <c r="R25" s="15">
        <f>'[4]Dia 17 (b)'!$X31</f>
        <v>14.314186882426947</v>
      </c>
      <c r="S25" s="15">
        <f>'[4]Dia 18 (b)'!$X31</f>
        <v>15.748512409809615</v>
      </c>
      <c r="T25" s="15">
        <f>'[4]Dia 19 (b)'!$X31</f>
        <v>7.0030651409390572</v>
      </c>
      <c r="U25" s="15">
        <f>'[4]Dia 20 (b)'!$X31</f>
        <v>8.7147018529259022</v>
      </c>
      <c r="V25" s="15">
        <f>'[4]Dia 21 (b)'!$X31</f>
        <v>10.161758912674896</v>
      </c>
      <c r="W25" s="15">
        <f>'[4]Dia 22 (b)'!$X31</f>
        <v>11.774636573662242</v>
      </c>
      <c r="X25" s="15">
        <f>'[4]Dia 23 (b)'!$X31</f>
        <v>11.770203697535447</v>
      </c>
      <c r="Y25" s="15">
        <f>'[4]Dia 24 (b)'!$X31</f>
        <v>10.962525572474807</v>
      </c>
      <c r="Z25" s="15">
        <f>'[4]Dia 25 (b)'!$X31</f>
        <v>12.093117576861479</v>
      </c>
      <c r="AA25" s="15">
        <f>'[4]Dia 26 (b)'!$X31</f>
        <v>13.257446678344458</v>
      </c>
      <c r="AB25" s="15">
        <f>'[4]Dia 27 (b)'!$X31</f>
        <v>13.413553473923386</v>
      </c>
      <c r="AC25" s="15">
        <f>'[4]Dia 28 (b)'!$X31</f>
        <v>11.503614279359571</v>
      </c>
      <c r="AD25" s="15">
        <f>'[4]Dia 29 (b)'!$X31</f>
        <v>12.943218582219032</v>
      </c>
      <c r="AE25" s="15">
        <f>'[4]Dia 30 (b)'!$X31</f>
        <v>13.322218947714275</v>
      </c>
      <c r="AF25" s="15"/>
    </row>
    <row r="26" spans="1:32" ht="20.100000000000001" customHeight="1">
      <c r="A26" s="14">
        <v>23</v>
      </c>
      <c r="B26" s="15">
        <f>'[4]Dia 1 (b)'!$X32</f>
        <v>13.546330864515815</v>
      </c>
      <c r="C26" s="15">
        <f>'[4]Dia 2 (b)'!$X32</f>
        <v>11.313929545125156</v>
      </c>
      <c r="D26" s="15">
        <f>'[4]Dia 3 (b)'!$X32</f>
        <v>13.287290276694664</v>
      </c>
      <c r="E26" s="15">
        <f>'[4]Dia 4 (b)'!$X32</f>
        <v>12.450398695173252</v>
      </c>
      <c r="F26" s="15">
        <f>'[4]Dia 5 (b)'!$X32</f>
        <v>12.922860941290832</v>
      </c>
      <c r="G26" s="15">
        <f>'[4]Dia 6 (b)'!$X32</f>
        <v>12.482688419705784</v>
      </c>
      <c r="H26" s="15">
        <f>'[4]Dia 7 (b)'!$X32</f>
        <v>14.261059363501763</v>
      </c>
      <c r="I26" s="15">
        <f>'[4]Dia 8 (b)'!$X32</f>
        <v>13.503918851858053</v>
      </c>
      <c r="J26" s="15">
        <f>'[4]Dia 9 (b)'!$X32</f>
        <v>11.977086718811204</v>
      </c>
      <c r="K26" s="15">
        <f>'[4]Dia 10 (b)'!$X32</f>
        <v>11.015815050905667</v>
      </c>
      <c r="L26" s="15">
        <f>'[4]Dia 11 (b)'!$X32</f>
        <v>12.56082285452648</v>
      </c>
      <c r="M26" s="15">
        <f>'[4]Dia 12 (b)'!$X32</f>
        <v>14.581406424086062</v>
      </c>
      <c r="N26" s="15">
        <f>'[4]Dia 13 (b)'!$X32</f>
        <v>14.872148425832195</v>
      </c>
      <c r="O26" s="15">
        <f>'[4]Dia 14 (b)'!$X32</f>
        <v>15.172864705074867</v>
      </c>
      <c r="P26" s="15">
        <f>'[4]Dia 15 (b)'!$X32</f>
        <v>13.728140963006458</v>
      </c>
      <c r="Q26" s="15">
        <f>'[4]Dia 16 (b)'!$X32</f>
        <v>14.555606979507093</v>
      </c>
      <c r="R26" s="15">
        <f>'[4]Dia 17 (b)'!$X32</f>
        <v>14.793387238612331</v>
      </c>
      <c r="S26" s="15">
        <f>'[4]Dia 18 (b)'!$X32</f>
        <v>14.138768843055599</v>
      </c>
      <c r="T26" s="15">
        <f>'[4]Dia 19 (b)'!$X32</f>
        <v>7.2435023216142671</v>
      </c>
      <c r="U26" s="15">
        <f>'[4]Dia 20 (b)'!$X32</f>
        <v>8.7344342951924965</v>
      </c>
      <c r="V26" s="15">
        <f>'[4]Dia 21 (b)'!$X32</f>
        <v>10.241293437425398</v>
      </c>
      <c r="W26" s="15">
        <f>'[4]Dia 22 (b)'!$X32</f>
        <v>11.25794505393668</v>
      </c>
      <c r="X26" s="15">
        <f>'[4]Dia 23 (b)'!$X32</f>
        <v>11.574931616565706</v>
      </c>
      <c r="Y26" s="15">
        <f>'[4]Dia 24 (b)'!$X32</f>
        <v>10.806644570008805</v>
      </c>
      <c r="Z26" s="15">
        <f>'[4]Dia 25 (b)'!$X32</f>
        <v>11.810741006257796</v>
      </c>
      <c r="AA26" s="15">
        <f>'[4]Dia 26 (b)'!$X32</f>
        <v>13.173317067412439</v>
      </c>
      <c r="AB26" s="15">
        <f>'[4]Dia 27 (b)'!$X32</f>
        <v>12.776416273495345</v>
      </c>
      <c r="AC26" s="15">
        <f>'[4]Dia 28 (b)'!$X32</f>
        <v>12.214173531597167</v>
      </c>
      <c r="AD26" s="15">
        <f>'[4]Dia 29 (b)'!$X32</f>
        <v>12.819601380996904</v>
      </c>
      <c r="AE26" s="15">
        <f>'[4]Dia 30 (b)'!$X32</f>
        <v>13.404145126491862</v>
      </c>
      <c r="AF26" s="15"/>
    </row>
    <row r="27" spans="1:32" ht="20.100000000000001" customHeight="1" thickBot="1">
      <c r="A27" s="14">
        <v>24</v>
      </c>
      <c r="B27" s="15">
        <f>'[4]Dia 1 (b)'!$X33</f>
        <v>12.806935184964788</v>
      </c>
      <c r="C27" s="15">
        <f>'[4]Dia 2 (b)'!$X33</f>
        <v>11.277354302103259</v>
      </c>
      <c r="D27" s="15">
        <f>'[4]Dia 3 (b)'!$X33</f>
        <v>13.198825699298345</v>
      </c>
      <c r="E27" s="15">
        <f>'[4]Dia 4 (b)'!$X33</f>
        <v>12.370365878599069</v>
      </c>
      <c r="F27" s="15">
        <f>'[4]Dia 5 (b)'!$X33</f>
        <v>12.884575580343135</v>
      </c>
      <c r="G27" s="15">
        <f>'[4]Dia 6 (b)'!$X33</f>
        <v>12.738315556322659</v>
      </c>
      <c r="H27" s="15">
        <f>'[4]Dia 7 (b)'!$X33</f>
        <v>14.131449160844793</v>
      </c>
      <c r="I27" s="15">
        <f>'[4]Dia 8 (b)'!$X33</f>
        <v>13.287743996257632</v>
      </c>
      <c r="J27" s="15">
        <f>'[4]Dia 9 (b)'!$X33</f>
        <v>11.981018977184492</v>
      </c>
      <c r="K27" s="15">
        <f>'[4]Dia 10 (b)'!$X33</f>
        <v>11.320556468925009</v>
      </c>
      <c r="L27" s="15">
        <f>'[4]Dia 11 (b)'!$X33</f>
        <v>12.205157759056668</v>
      </c>
      <c r="M27" s="15">
        <f>'[4]Dia 12 (b)'!$X33</f>
        <v>14.983839621795644</v>
      </c>
      <c r="N27" s="15">
        <f>'[4]Dia 13 (b)'!$X33</f>
        <v>14.432906242754605</v>
      </c>
      <c r="O27" s="15">
        <f>'[4]Dia 14 (b)'!$X33</f>
        <v>15.034112960950038</v>
      </c>
      <c r="P27" s="15">
        <f>'[4]Dia 15 (b)'!$X33</f>
        <v>13.685613817902089</v>
      </c>
      <c r="Q27" s="15">
        <f>'[4]Dia 16 (b)'!$X33</f>
        <v>13.950911597461552</v>
      </c>
      <c r="R27" s="15">
        <f>'[4]Dia 17 (b)'!$X33</f>
        <v>14.593433665873018</v>
      </c>
      <c r="S27" s="15">
        <f>'[4]Dia 18 (b)'!$X33</f>
        <v>13.949978138005891</v>
      </c>
      <c r="T27" s="15">
        <f>'[4]Dia 19 (b)'!$X33</f>
        <v>7.5194032141528728</v>
      </c>
      <c r="U27" s="15">
        <f>'[4]Dia 20 (b)'!$X33</f>
        <v>9.1276658783870488</v>
      </c>
      <c r="V27" s="15">
        <f>'[4]Dia 21 (b)'!$X33</f>
        <v>10.135127760383908</v>
      </c>
      <c r="W27" s="15">
        <f>'[4]Dia 22 (b)'!$X33</f>
        <v>11.072613255279093</v>
      </c>
      <c r="X27" s="15">
        <f>'[4]Dia 23 (b)'!$X33</f>
        <v>11.438733178488121</v>
      </c>
      <c r="Y27" s="15">
        <f>'[4]Dia 24 (b)'!$X33</f>
        <v>10.807692728198345</v>
      </c>
      <c r="Z27" s="15">
        <f>'[4]Dia 25 (b)'!$X33</f>
        <v>11.740113860802811</v>
      </c>
      <c r="AA27" s="15">
        <f>'[4]Dia 26 (b)'!$X33</f>
        <v>13.085827603788053</v>
      </c>
      <c r="AB27" s="15">
        <f>'[4]Dia 27 (b)'!$X33</f>
        <v>12.614667684319368</v>
      </c>
      <c r="AC27" s="15">
        <f>'[4]Dia 28 (b)'!$X33</f>
        <v>12.053389509735144</v>
      </c>
      <c r="AD27" s="15">
        <f>'[4]Dia 29 (b)'!$X33</f>
        <v>12.735781534043765</v>
      </c>
      <c r="AE27" s="15">
        <f>'[4]Dia 30 (b)'!$X33</f>
        <v>13.310176515586788</v>
      </c>
      <c r="AF27" s="15"/>
    </row>
    <row r="28" spans="1:32" ht="16.5" thickTop="1">
      <c r="A28" s="17"/>
      <c r="B28" s="19"/>
      <c r="C28" s="19"/>
      <c r="D28" s="19"/>
      <c r="E28" s="19"/>
      <c r="F28" s="19"/>
      <c r="G28" s="19"/>
      <c r="H28" s="19"/>
      <c r="I28" s="19"/>
      <c r="J28" s="19"/>
      <c r="K28" s="19"/>
      <c r="L28" s="19"/>
      <c r="M28" s="19"/>
      <c r="N28" s="19"/>
      <c r="O28" s="19"/>
      <c r="P28" s="19"/>
      <c r="Q28" s="19"/>
      <c r="R28" s="19"/>
      <c r="S28" s="19"/>
      <c r="T28" s="20"/>
      <c r="U28" s="19"/>
      <c r="V28" s="19"/>
      <c r="W28" s="19"/>
      <c r="X28" s="19"/>
      <c r="Y28" s="19"/>
      <c r="Z28" s="19"/>
      <c r="AA28" s="19"/>
      <c r="AB28" s="19"/>
      <c r="AC28" s="19"/>
      <c r="AD28" s="19"/>
      <c r="AE28" s="19"/>
      <c r="AF28" s="21"/>
    </row>
    <row r="29" spans="1:32" ht="15.75">
      <c r="A29" s="22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23"/>
    </row>
    <row r="30" spans="1:32" ht="15.75">
      <c r="A30" s="24" t="s">
        <v>3</v>
      </c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23"/>
    </row>
    <row r="31" spans="1:32" ht="15.75">
      <c r="A31" s="24" t="s">
        <v>4</v>
      </c>
      <c r="B31" s="25">
        <f t="shared" ref="B31:AE31" si="0">AVERAGE(B4:B27)</f>
        <v>13.829172045844487</v>
      </c>
      <c r="C31" s="25">
        <f t="shared" si="0"/>
        <v>11.660056317297768</v>
      </c>
      <c r="D31" s="25">
        <f t="shared" si="0"/>
        <v>11.926990432943095</v>
      </c>
      <c r="E31" s="25">
        <f t="shared" si="0"/>
        <v>12.969565307548232</v>
      </c>
      <c r="F31" s="25">
        <f t="shared" si="0"/>
        <v>12.726947459485013</v>
      </c>
      <c r="G31" s="25">
        <f t="shared" si="0"/>
        <v>12.895575483064219</v>
      </c>
      <c r="H31" s="25">
        <f t="shared" si="0"/>
        <v>14.52721982520171</v>
      </c>
      <c r="I31" s="25">
        <f t="shared" si="0"/>
        <v>14.173143328227054</v>
      </c>
      <c r="J31" s="25">
        <f t="shared" si="0"/>
        <v>12.349948036221798</v>
      </c>
      <c r="K31" s="25">
        <f t="shared" si="0"/>
        <v>10.982170344021768</v>
      </c>
      <c r="L31" s="25">
        <f t="shared" si="0"/>
        <v>12.513176798905933</v>
      </c>
      <c r="M31" s="25">
        <f t="shared" si="0"/>
        <v>13.472740265734044</v>
      </c>
      <c r="N31" s="25">
        <f t="shared" si="0"/>
        <v>14.532919010957919</v>
      </c>
      <c r="O31" s="25">
        <f t="shared" si="0"/>
        <v>14.82074636505566</v>
      </c>
      <c r="P31" s="25">
        <f t="shared" si="0"/>
        <v>13.923680092817852</v>
      </c>
      <c r="Q31" s="25">
        <f t="shared" si="0"/>
        <v>13.715343272900485</v>
      </c>
      <c r="R31" s="25">
        <f t="shared" si="0"/>
        <v>14.019250559839277</v>
      </c>
      <c r="S31" s="25">
        <f t="shared" si="0"/>
        <v>15.451096531167513</v>
      </c>
      <c r="T31" s="25">
        <f t="shared" si="0"/>
        <v>10.740512305704064</v>
      </c>
      <c r="U31" s="25">
        <f t="shared" si="0"/>
        <v>8.2374834791257072</v>
      </c>
      <c r="V31" s="25">
        <f t="shared" si="0"/>
        <v>9.3640321887985483</v>
      </c>
      <c r="W31" s="25">
        <f t="shared" si="0"/>
        <v>10.665767332478158</v>
      </c>
      <c r="X31" s="25">
        <f t="shared" si="0"/>
        <v>11.675681578929094</v>
      </c>
      <c r="Y31" s="25">
        <f t="shared" si="0"/>
        <v>10.792929855814897</v>
      </c>
      <c r="Z31" s="25">
        <f t="shared" si="0"/>
        <v>11.09625168209638</v>
      </c>
      <c r="AA31" s="25">
        <f t="shared" si="0"/>
        <v>12.70616810983975</v>
      </c>
      <c r="AB31" s="25">
        <f t="shared" si="0"/>
        <v>12.875551730030503</v>
      </c>
      <c r="AC31" s="25">
        <f t="shared" si="0"/>
        <v>11.533616364892543</v>
      </c>
      <c r="AD31" s="25">
        <f t="shared" si="0"/>
        <v>12.406601299385889</v>
      </c>
      <c r="AE31" s="25">
        <f t="shared" si="0"/>
        <v>13.104340541912684</v>
      </c>
      <c r="AF31" s="26"/>
    </row>
    <row r="32" spans="1:32" ht="15.75">
      <c r="A32" s="27"/>
      <c r="B32" s="28"/>
      <c r="C32" s="28"/>
      <c r="D32" s="28"/>
      <c r="E32" s="28"/>
      <c r="F32" s="28"/>
      <c r="G32" s="28"/>
      <c r="H32" s="28"/>
      <c r="I32" s="28"/>
      <c r="J32" s="28"/>
      <c r="K32" s="28"/>
      <c r="L32" s="28"/>
      <c r="M32" s="28"/>
      <c r="N32" s="28"/>
      <c r="O32" s="28"/>
      <c r="P32" s="28"/>
      <c r="Q32" s="28"/>
      <c r="R32" s="28"/>
      <c r="S32" s="28"/>
      <c r="T32" s="28"/>
      <c r="U32" s="28"/>
      <c r="V32" s="28"/>
      <c r="W32" s="28"/>
      <c r="X32" s="28"/>
      <c r="Y32" s="28"/>
      <c r="Z32" s="28"/>
      <c r="AA32" s="28"/>
      <c r="AB32" s="28"/>
      <c r="AC32" s="28"/>
      <c r="AD32" s="28"/>
      <c r="AE32" s="28"/>
      <c r="AF32" s="29"/>
    </row>
    <row r="33" spans="1:32" ht="15.75">
      <c r="A33" s="27"/>
      <c r="B33" s="28"/>
      <c r="C33" s="28"/>
      <c r="D33" s="28"/>
      <c r="E33" s="28"/>
      <c r="F33" s="28"/>
      <c r="G33" s="28"/>
      <c r="H33" s="28"/>
      <c r="I33" s="28"/>
      <c r="J33" s="28"/>
      <c r="K33" s="28"/>
      <c r="L33" s="28"/>
      <c r="M33" s="28"/>
      <c r="N33" s="28"/>
      <c r="O33" s="28"/>
      <c r="P33" s="28"/>
      <c r="Q33" s="28"/>
      <c r="R33" s="28"/>
      <c r="S33" s="28"/>
      <c r="T33" s="28"/>
      <c r="U33" s="28"/>
      <c r="V33" s="28"/>
      <c r="W33" s="28"/>
      <c r="X33" s="28"/>
      <c r="Y33" s="28"/>
      <c r="Z33" s="28"/>
      <c r="AA33" s="28"/>
      <c r="AB33" s="28"/>
      <c r="AC33" s="28"/>
      <c r="AD33" s="28"/>
      <c r="AE33" s="28"/>
      <c r="AF33" s="29"/>
    </row>
    <row r="34" spans="1:32" ht="15.75">
      <c r="A34" s="24" t="s">
        <v>5</v>
      </c>
      <c r="B34" s="28"/>
      <c r="C34" s="28"/>
      <c r="D34" s="28"/>
      <c r="E34" s="28"/>
      <c r="F34" s="28"/>
      <c r="G34" s="28"/>
      <c r="H34" s="28"/>
      <c r="I34" s="28"/>
      <c r="J34" s="28"/>
      <c r="K34" s="28"/>
      <c r="L34" s="28"/>
      <c r="M34" s="28"/>
      <c r="N34" s="28"/>
      <c r="O34" s="28"/>
      <c r="P34" s="28"/>
      <c r="Q34" s="28"/>
      <c r="R34" s="28"/>
      <c r="S34" s="28"/>
      <c r="T34" s="28"/>
      <c r="U34" s="28"/>
      <c r="V34" s="28"/>
      <c r="W34" s="28"/>
      <c r="X34" s="28"/>
      <c r="Y34" s="28"/>
      <c r="Z34" s="28"/>
      <c r="AA34" s="28"/>
      <c r="AB34" s="28"/>
      <c r="AC34" s="28"/>
      <c r="AD34" s="28"/>
      <c r="AE34" s="28"/>
      <c r="AF34" s="29"/>
    </row>
    <row r="35" spans="1:32" ht="15.75">
      <c r="A35" s="24" t="s">
        <v>4</v>
      </c>
      <c r="B35" s="25">
        <f t="shared" ref="B35:AE35" si="1">MAX(B4:B27)</f>
        <v>15.535799603472094</v>
      </c>
      <c r="C35" s="25">
        <f t="shared" si="1"/>
        <v>12.514329364489551</v>
      </c>
      <c r="D35" s="25">
        <f t="shared" si="1"/>
        <v>13.287290276694664</v>
      </c>
      <c r="E35" s="25">
        <f t="shared" si="1"/>
        <v>15.029320801619825</v>
      </c>
      <c r="F35" s="25">
        <f t="shared" si="1"/>
        <v>13.88419403655066</v>
      </c>
      <c r="G35" s="25">
        <f t="shared" si="1"/>
        <v>13.743370680243412</v>
      </c>
      <c r="H35" s="25">
        <f t="shared" si="1"/>
        <v>16.02579170975682</v>
      </c>
      <c r="I35" s="25">
        <f t="shared" si="1"/>
        <v>14.71872555002145</v>
      </c>
      <c r="J35" s="25">
        <f t="shared" si="1"/>
        <v>13.3202062126042</v>
      </c>
      <c r="K35" s="25">
        <f t="shared" si="1"/>
        <v>11.915842242348656</v>
      </c>
      <c r="L35" s="25">
        <f t="shared" si="1"/>
        <v>14.624276944978659</v>
      </c>
      <c r="M35" s="25">
        <f t="shared" si="1"/>
        <v>14.983839621795644</v>
      </c>
      <c r="N35" s="25">
        <f t="shared" si="1"/>
        <v>15.474070527191094</v>
      </c>
      <c r="O35" s="25">
        <f t="shared" si="1"/>
        <v>15.924263030828223</v>
      </c>
      <c r="P35" s="25">
        <f t="shared" si="1"/>
        <v>14.762839066634449</v>
      </c>
      <c r="Q35" s="25">
        <f t="shared" si="1"/>
        <v>15.53006676258504</v>
      </c>
      <c r="R35" s="25">
        <f t="shared" si="1"/>
        <v>14.793387238612331</v>
      </c>
      <c r="S35" s="25">
        <f t="shared" si="1"/>
        <v>16.974788842707163</v>
      </c>
      <c r="T35" s="25">
        <f t="shared" si="1"/>
        <v>13.881110133128619</v>
      </c>
      <c r="U35" s="25">
        <f t="shared" si="1"/>
        <v>9.4386644446424395</v>
      </c>
      <c r="V35" s="25">
        <f t="shared" si="1"/>
        <v>10.344492577595885</v>
      </c>
      <c r="W35" s="25">
        <f t="shared" si="1"/>
        <v>11.774636573662242</v>
      </c>
      <c r="X35" s="25">
        <f t="shared" si="1"/>
        <v>12.294226325204166</v>
      </c>
      <c r="Y35" s="25">
        <f t="shared" si="1"/>
        <v>11.722388420367</v>
      </c>
      <c r="Z35" s="25">
        <f t="shared" si="1"/>
        <v>13.214106874223157</v>
      </c>
      <c r="AA35" s="25">
        <f t="shared" si="1"/>
        <v>13.409726809963059</v>
      </c>
      <c r="AB35" s="25">
        <f t="shared" si="1"/>
        <v>13.740047592920495</v>
      </c>
      <c r="AC35" s="25">
        <f t="shared" si="1"/>
        <v>12.468177223089892</v>
      </c>
      <c r="AD35" s="25">
        <f t="shared" si="1"/>
        <v>13.075609668548489</v>
      </c>
      <c r="AE35" s="25">
        <f t="shared" si="1"/>
        <v>13.97547891585986</v>
      </c>
      <c r="AF35" s="26"/>
    </row>
    <row r="36" spans="1:32" ht="15.75">
      <c r="A36" s="24"/>
      <c r="B36" s="25"/>
      <c r="C36" s="25"/>
      <c r="D36" s="25"/>
      <c r="E36" s="25"/>
      <c r="F36" s="25"/>
      <c r="G36" s="25"/>
      <c r="H36" s="25"/>
      <c r="I36" s="25"/>
      <c r="J36" s="25"/>
      <c r="K36" s="25"/>
      <c r="L36" s="25"/>
      <c r="M36" s="25"/>
      <c r="N36" s="25"/>
      <c r="O36" s="25"/>
      <c r="P36" s="25"/>
      <c r="Q36" s="25"/>
      <c r="R36" s="25"/>
      <c r="S36" s="25"/>
      <c r="T36" s="25"/>
      <c r="U36" s="25"/>
      <c r="V36" s="25"/>
      <c r="W36" s="25"/>
      <c r="X36" s="25"/>
      <c r="Y36" s="25"/>
      <c r="Z36" s="25"/>
      <c r="AA36" s="25"/>
      <c r="AB36" s="25"/>
      <c r="AC36" s="25"/>
      <c r="AD36" s="25"/>
      <c r="AE36" s="25"/>
      <c r="AF36" s="26"/>
    </row>
    <row r="37" spans="1:32" ht="15.75">
      <c r="A37" s="27"/>
      <c r="B37" s="28"/>
      <c r="C37" s="28"/>
      <c r="D37" s="28"/>
      <c r="E37" s="28"/>
      <c r="F37" s="28"/>
      <c r="G37" s="28"/>
      <c r="H37" s="28"/>
      <c r="I37" s="28"/>
      <c r="J37" s="28"/>
      <c r="K37" s="28"/>
      <c r="L37" s="28"/>
      <c r="M37" s="28"/>
      <c r="N37" s="28"/>
      <c r="O37" s="28"/>
      <c r="P37" s="28"/>
      <c r="Q37" s="28"/>
      <c r="R37" s="28"/>
      <c r="S37" s="28"/>
      <c r="T37" s="28"/>
      <c r="U37" s="28"/>
      <c r="V37" s="28"/>
      <c r="W37" s="28"/>
      <c r="X37" s="28"/>
      <c r="Y37" s="28"/>
      <c r="Z37" s="28"/>
      <c r="AA37" s="28"/>
      <c r="AB37" s="28"/>
      <c r="AC37" s="28"/>
      <c r="AD37" s="28"/>
      <c r="AE37" s="28"/>
      <c r="AF37" s="29"/>
    </row>
    <row r="38" spans="1:32" ht="15.75">
      <c r="A38" s="24" t="s">
        <v>6</v>
      </c>
      <c r="B38" s="28"/>
      <c r="C38" s="28"/>
      <c r="D38" s="28"/>
      <c r="E38" s="28"/>
      <c r="F38" s="28"/>
      <c r="G38" s="28"/>
      <c r="H38" s="28"/>
      <c r="I38" s="28"/>
      <c r="J38" s="28"/>
      <c r="K38" s="28"/>
      <c r="L38" s="28"/>
      <c r="M38" s="28"/>
      <c r="N38" s="28"/>
      <c r="O38" s="28"/>
      <c r="P38" s="28"/>
      <c r="Q38" s="28"/>
      <c r="R38" s="28"/>
      <c r="S38" s="28"/>
      <c r="T38" s="28"/>
      <c r="U38" s="28"/>
      <c r="V38" s="28"/>
      <c r="W38" s="28"/>
      <c r="X38" s="28"/>
      <c r="Y38" s="28"/>
      <c r="Z38" s="28"/>
      <c r="AA38" s="28"/>
      <c r="AB38" s="28"/>
      <c r="AC38" s="28"/>
      <c r="AD38" s="28"/>
      <c r="AE38" s="28"/>
      <c r="AF38" s="29"/>
    </row>
    <row r="39" spans="1:32" ht="15.75">
      <c r="A39" s="24" t="s">
        <v>4</v>
      </c>
      <c r="B39" s="25">
        <f t="shared" ref="B39:AE39" si="2">MIN(B4:B27)</f>
        <v>10.255886804758571</v>
      </c>
      <c r="C39" s="25">
        <f t="shared" si="2"/>
        <v>10.81364578574445</v>
      </c>
      <c r="D39" s="25">
        <f t="shared" si="2"/>
        <v>10.446681503690632</v>
      </c>
      <c r="E39" s="25">
        <f t="shared" si="2"/>
        <v>11.036798005759172</v>
      </c>
      <c r="F39" s="25">
        <f t="shared" si="2"/>
        <v>11.437033874556183</v>
      </c>
      <c r="G39" s="25">
        <f t="shared" si="2"/>
        <v>12.39900761308262</v>
      </c>
      <c r="H39" s="25">
        <f t="shared" si="2"/>
        <v>13.063490569040967</v>
      </c>
      <c r="I39" s="25">
        <f t="shared" si="2"/>
        <v>13.287743996257632</v>
      </c>
      <c r="J39" s="25">
        <f t="shared" si="2"/>
        <v>11.026915409024349</v>
      </c>
      <c r="K39" s="25">
        <f t="shared" si="2"/>
        <v>9.9737329377804489</v>
      </c>
      <c r="L39" s="25">
        <f t="shared" si="2"/>
        <v>11.052836755097703</v>
      </c>
      <c r="M39" s="25">
        <f t="shared" si="2"/>
        <v>11.643407410105205</v>
      </c>
      <c r="N39" s="25">
        <f t="shared" si="2"/>
        <v>12.646531904286066</v>
      </c>
      <c r="O39" s="25">
        <f t="shared" si="2"/>
        <v>13.568232406661041</v>
      </c>
      <c r="P39" s="25">
        <f t="shared" si="2"/>
        <v>13.012134121053528</v>
      </c>
      <c r="Q39" s="25">
        <f t="shared" si="2"/>
        <v>12.167883139176254</v>
      </c>
      <c r="R39" s="25">
        <f t="shared" si="2"/>
        <v>13.14150495461182</v>
      </c>
      <c r="S39" s="25">
        <f t="shared" si="2"/>
        <v>13.949978138005891</v>
      </c>
      <c r="T39" s="25">
        <f t="shared" si="2"/>
        <v>6.8207857143647415</v>
      </c>
      <c r="U39" s="25">
        <f t="shared" si="2"/>
        <v>7.0685301034929839</v>
      </c>
      <c r="V39" s="25">
        <f t="shared" si="2"/>
        <v>8.0090878403296628</v>
      </c>
      <c r="W39" s="25">
        <f t="shared" si="2"/>
        <v>9.0558583564544239</v>
      </c>
      <c r="X39" s="25">
        <f t="shared" si="2"/>
        <v>10.349089295146836</v>
      </c>
      <c r="Y39" s="25">
        <f t="shared" si="2"/>
        <v>8.8279783138514389</v>
      </c>
      <c r="Z39" s="25">
        <f t="shared" si="2"/>
        <v>9.5276248918594622</v>
      </c>
      <c r="AA39" s="25">
        <f t="shared" si="2"/>
        <v>11.637493508718416</v>
      </c>
      <c r="AB39" s="25">
        <f t="shared" si="2"/>
        <v>11.763969350777639</v>
      </c>
      <c r="AC39" s="25">
        <f t="shared" si="2"/>
        <v>10.019469960257281</v>
      </c>
      <c r="AD39" s="25">
        <f t="shared" si="2"/>
        <v>11.775150696685113</v>
      </c>
      <c r="AE39" s="25">
        <f t="shared" si="2"/>
        <v>12.348261902695585</v>
      </c>
      <c r="AF39" s="26"/>
    </row>
    <row r="40" spans="1:32" ht="15.75">
      <c r="A40" s="24"/>
      <c r="B40" s="25"/>
      <c r="C40" s="25"/>
      <c r="D40" s="25"/>
      <c r="E40" s="25"/>
      <c r="F40" s="25"/>
      <c r="G40" s="25"/>
      <c r="H40" s="25"/>
      <c r="I40" s="25"/>
      <c r="J40" s="25"/>
      <c r="K40" s="25"/>
      <c r="L40" s="25"/>
      <c r="M40" s="25"/>
      <c r="N40" s="25"/>
      <c r="O40" s="25"/>
      <c r="P40" s="25"/>
      <c r="Q40" s="25"/>
      <c r="R40" s="25"/>
      <c r="S40" s="25"/>
      <c r="T40" s="25"/>
      <c r="U40" s="25"/>
      <c r="V40" s="25"/>
      <c r="W40" s="25"/>
      <c r="X40" s="25"/>
      <c r="Y40" s="25"/>
      <c r="Z40" s="25"/>
      <c r="AA40" s="25"/>
      <c r="AB40" s="25"/>
      <c r="AC40" s="25"/>
      <c r="AD40" s="25"/>
      <c r="AE40" s="25"/>
      <c r="AF40" s="26"/>
    </row>
    <row r="41" spans="1:32" ht="15.75">
      <c r="A41" s="27"/>
      <c r="B41" s="28"/>
      <c r="C41" s="28"/>
      <c r="D41" s="28"/>
      <c r="E41" s="28"/>
      <c r="F41" s="28"/>
      <c r="G41" s="28"/>
      <c r="H41" s="28"/>
      <c r="I41" s="28"/>
      <c r="J41" s="28"/>
      <c r="K41" s="28"/>
      <c r="L41" s="28"/>
      <c r="M41" s="28"/>
      <c r="N41" s="28"/>
      <c r="O41" s="28"/>
      <c r="P41" s="28"/>
      <c r="Q41" s="28"/>
      <c r="R41" s="28"/>
      <c r="S41" s="28"/>
      <c r="T41" s="28"/>
      <c r="U41" s="28"/>
      <c r="V41" s="28"/>
      <c r="W41" s="28"/>
      <c r="X41" s="28"/>
      <c r="Y41" s="28"/>
      <c r="Z41" s="28"/>
      <c r="AA41" s="28"/>
      <c r="AB41" s="28"/>
      <c r="AC41" s="28"/>
      <c r="AD41" s="28"/>
      <c r="AE41" s="28"/>
      <c r="AF41" s="29"/>
    </row>
    <row r="42" spans="1:32" ht="15.75">
      <c r="A42" s="24" t="s">
        <v>7</v>
      </c>
      <c r="B42" s="28"/>
      <c r="C42" s="28"/>
      <c r="D42" s="28"/>
      <c r="E42" s="28"/>
      <c r="F42" s="28"/>
      <c r="G42" s="28"/>
      <c r="H42" s="28"/>
      <c r="I42" s="28"/>
      <c r="J42" s="28"/>
      <c r="K42" s="28"/>
      <c r="L42" s="28"/>
      <c r="M42" s="28"/>
      <c r="N42" s="28"/>
      <c r="O42" s="28"/>
      <c r="P42" s="28"/>
      <c r="Q42" s="28"/>
      <c r="R42" s="28"/>
      <c r="S42" s="28"/>
      <c r="T42" s="28"/>
      <c r="U42" s="28"/>
      <c r="V42" s="28"/>
      <c r="W42" s="28"/>
      <c r="X42" s="28"/>
      <c r="Y42" s="28"/>
      <c r="Z42" s="28"/>
      <c r="AA42" s="28"/>
      <c r="AB42" s="28"/>
      <c r="AC42" s="28"/>
      <c r="AD42" s="28"/>
      <c r="AE42" s="28"/>
      <c r="AF42" s="29"/>
    </row>
    <row r="43" spans="1:32" ht="15.75">
      <c r="A43" s="24" t="s">
        <v>4</v>
      </c>
      <c r="B43" s="25">
        <f t="shared" ref="B43:AE43" si="3">B35-B39</f>
        <v>5.2799127987135233</v>
      </c>
      <c r="C43" s="25">
        <f t="shared" si="3"/>
        <v>1.7006835787451013</v>
      </c>
      <c r="D43" s="25">
        <f t="shared" si="3"/>
        <v>2.8406087730040319</v>
      </c>
      <c r="E43" s="25">
        <f t="shared" si="3"/>
        <v>3.9925227958606531</v>
      </c>
      <c r="F43" s="25">
        <f t="shared" si="3"/>
        <v>2.4471601619944767</v>
      </c>
      <c r="G43" s="25">
        <f t="shared" si="3"/>
        <v>1.344363067160792</v>
      </c>
      <c r="H43" s="25">
        <f t="shared" si="3"/>
        <v>2.9623011407158533</v>
      </c>
      <c r="I43" s="25">
        <f t="shared" si="3"/>
        <v>1.430981553763818</v>
      </c>
      <c r="J43" s="25">
        <f t="shared" si="3"/>
        <v>2.2932908035798505</v>
      </c>
      <c r="K43" s="25">
        <f t="shared" si="3"/>
        <v>1.9421093045682074</v>
      </c>
      <c r="L43" s="25">
        <f t="shared" si="3"/>
        <v>3.5714401898809562</v>
      </c>
      <c r="M43" s="25">
        <f t="shared" si="3"/>
        <v>3.3404322116904392</v>
      </c>
      <c r="N43" s="25">
        <f t="shared" si="3"/>
        <v>2.8275386229050277</v>
      </c>
      <c r="O43" s="25">
        <f t="shared" si="3"/>
        <v>2.3560306241671825</v>
      </c>
      <c r="P43" s="25">
        <f t="shared" si="3"/>
        <v>1.7507049455809209</v>
      </c>
      <c r="Q43" s="25">
        <f t="shared" si="3"/>
        <v>3.3621836234087858</v>
      </c>
      <c r="R43" s="25">
        <f t="shared" si="3"/>
        <v>1.6518822840005107</v>
      </c>
      <c r="S43" s="25">
        <f t="shared" si="3"/>
        <v>3.024810704701272</v>
      </c>
      <c r="T43" s="25">
        <f t="shared" si="3"/>
        <v>7.0603244187638774</v>
      </c>
      <c r="U43" s="25">
        <f t="shared" si="3"/>
        <v>2.3701343411494555</v>
      </c>
      <c r="V43" s="25">
        <f t="shared" si="3"/>
        <v>2.3354047372662219</v>
      </c>
      <c r="W43" s="25">
        <f t="shared" si="3"/>
        <v>2.7187782172078183</v>
      </c>
      <c r="X43" s="25">
        <f t="shared" si="3"/>
        <v>1.9451370300573299</v>
      </c>
      <c r="Y43" s="25">
        <f t="shared" si="3"/>
        <v>2.8944101065155614</v>
      </c>
      <c r="Z43" s="25">
        <f t="shared" si="3"/>
        <v>3.686481982363695</v>
      </c>
      <c r="AA43" s="25">
        <f t="shared" si="3"/>
        <v>1.7722333012446434</v>
      </c>
      <c r="AB43" s="25">
        <f t="shared" si="3"/>
        <v>1.9760782421428562</v>
      </c>
      <c r="AC43" s="25">
        <f t="shared" si="3"/>
        <v>2.4487072628326114</v>
      </c>
      <c r="AD43" s="25">
        <f t="shared" si="3"/>
        <v>1.3004589718633763</v>
      </c>
      <c r="AE43" s="25">
        <f t="shared" si="3"/>
        <v>1.6272170131642749</v>
      </c>
      <c r="AF43" s="26"/>
    </row>
    <row r="44" spans="1:32" ht="15.75">
      <c r="A44" s="24"/>
      <c r="B44" s="25"/>
      <c r="C44" s="25"/>
      <c r="D44" s="25"/>
      <c r="E44" s="25"/>
      <c r="F44" s="25"/>
      <c r="G44" s="25"/>
      <c r="H44" s="25"/>
      <c r="I44" s="25"/>
      <c r="J44" s="25"/>
      <c r="K44" s="25"/>
      <c r="L44" s="25"/>
      <c r="M44" s="25"/>
      <c r="N44" s="25"/>
      <c r="O44" s="25"/>
      <c r="P44" s="25"/>
      <c r="Q44" s="25"/>
      <c r="R44" s="25"/>
      <c r="S44" s="25"/>
      <c r="T44" s="25"/>
      <c r="U44" s="25"/>
      <c r="V44" s="25"/>
      <c r="W44" s="25"/>
      <c r="X44" s="25"/>
      <c r="Y44" s="25"/>
      <c r="Z44" s="25"/>
      <c r="AA44" s="25"/>
      <c r="AB44" s="25"/>
      <c r="AC44" s="25"/>
      <c r="AD44" s="25"/>
      <c r="AE44" s="25"/>
      <c r="AF44" s="26"/>
    </row>
    <row r="45" spans="1:32" ht="15.75">
      <c r="A45" s="22"/>
      <c r="B45" s="30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23"/>
    </row>
    <row r="46" spans="1:32" ht="15.75">
      <c r="A46" s="31"/>
      <c r="B46" s="30"/>
      <c r="C46" s="3"/>
      <c r="D46" s="3"/>
      <c r="E46" s="3"/>
      <c r="F46" s="3"/>
      <c r="G46" s="3"/>
      <c r="H46" s="32" t="s">
        <v>3</v>
      </c>
      <c r="I46" s="30"/>
      <c r="J46" s="33"/>
      <c r="K46" s="34" t="s">
        <v>5</v>
      </c>
      <c r="L46" s="33"/>
      <c r="M46" s="33"/>
      <c r="N46" s="34" t="s">
        <v>6</v>
      </c>
      <c r="O46" s="33"/>
      <c r="P46" s="33"/>
      <c r="Q46" s="34" t="s">
        <v>7</v>
      </c>
      <c r="R46" s="30"/>
      <c r="S46" s="30"/>
      <c r="T46" s="33" t="s">
        <v>3</v>
      </c>
      <c r="U46" s="33"/>
      <c r="V46" s="33" t="s">
        <v>3</v>
      </c>
      <c r="W46" s="33"/>
      <c r="X46" s="33" t="s">
        <v>8</v>
      </c>
      <c r="Y46" s="3"/>
      <c r="Z46" s="3"/>
      <c r="AA46" s="3"/>
      <c r="AB46" s="3"/>
      <c r="AC46" s="3"/>
      <c r="AD46" s="3"/>
      <c r="AE46" s="3"/>
      <c r="AF46" s="23"/>
    </row>
    <row r="47" spans="1:32" ht="15.75">
      <c r="A47" s="31"/>
      <c r="B47" s="30"/>
      <c r="C47" s="3"/>
      <c r="D47" s="3"/>
      <c r="E47" s="3"/>
      <c r="F47" s="3"/>
      <c r="G47" s="3"/>
      <c r="H47" s="35" t="s">
        <v>9</v>
      </c>
      <c r="I47" s="30"/>
      <c r="J47" s="33"/>
      <c r="K47" s="33" t="s">
        <v>9</v>
      </c>
      <c r="L47" s="33"/>
      <c r="M47" s="33"/>
      <c r="N47" s="33" t="s">
        <v>9</v>
      </c>
      <c r="O47" s="33"/>
      <c r="P47" s="33"/>
      <c r="Q47" s="33" t="s">
        <v>9</v>
      </c>
      <c r="R47" s="30"/>
      <c r="S47" s="30"/>
      <c r="T47" s="33" t="s">
        <v>10</v>
      </c>
      <c r="U47" s="33"/>
      <c r="V47" s="33" t="s">
        <v>11</v>
      </c>
      <c r="W47" s="33"/>
      <c r="X47" s="33" t="s">
        <v>12</v>
      </c>
      <c r="Y47" s="3"/>
      <c r="Z47" s="3"/>
      <c r="AA47" s="3"/>
      <c r="AB47" s="3"/>
      <c r="AC47" s="3"/>
      <c r="AD47" s="3"/>
      <c r="AE47" s="3"/>
      <c r="AF47" s="23"/>
    </row>
    <row r="48" spans="1:32" ht="15.75">
      <c r="A48" s="31"/>
      <c r="B48" s="30"/>
      <c r="C48" s="3"/>
      <c r="D48" s="3"/>
      <c r="E48" s="3"/>
      <c r="F48" s="3"/>
      <c r="G48" s="3"/>
      <c r="H48" s="28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23"/>
    </row>
    <row r="49" spans="1:32" ht="16.5" thickBot="1">
      <c r="A49" s="36"/>
      <c r="B49" s="37"/>
      <c r="C49" s="38"/>
      <c r="D49" s="38"/>
      <c r="E49" s="38"/>
      <c r="F49" s="38"/>
      <c r="G49" s="38"/>
      <c r="H49" s="39">
        <f>AVERAGE(B31:AF31)</f>
        <v>12.522955931541402</v>
      </c>
      <c r="I49" s="38"/>
      <c r="J49" s="40"/>
      <c r="K49" s="39">
        <f>MAX(B35:AF35)</f>
        <v>16.974788842707163</v>
      </c>
      <c r="L49" s="40"/>
      <c r="M49" s="40"/>
      <c r="N49" s="39">
        <f>MIN(B39:AF39)</f>
        <v>6.8207857143647415</v>
      </c>
      <c r="O49" s="40"/>
      <c r="P49" s="40"/>
      <c r="Q49" s="39">
        <f>K49-N49</f>
        <v>10.154003128342421</v>
      </c>
      <c r="R49" s="38"/>
      <c r="S49" s="39"/>
      <c r="T49" s="39">
        <f>AVERAGE(B35:AF35)</f>
        <v>13.746035602411308</v>
      </c>
      <c r="U49" s="39"/>
      <c r="V49" s="39">
        <f>AVERAGE(B39:AF39)</f>
        <v>11.070891508777539</v>
      </c>
      <c r="W49" s="39"/>
      <c r="X49" s="39">
        <f>T49-V49</f>
        <v>2.6751440936337687</v>
      </c>
      <c r="Y49" s="38"/>
      <c r="Z49" s="38"/>
      <c r="AA49" s="38"/>
      <c r="AB49" s="38"/>
      <c r="AC49" s="38"/>
      <c r="AD49" s="38"/>
      <c r="AE49" s="38"/>
      <c r="AF49" s="41"/>
    </row>
    <row r="50" spans="1:32" ht="15.75" thickTop="1">
      <c r="B50" s="42"/>
    </row>
    <row r="51" spans="1:32">
      <c r="B51" s="42"/>
    </row>
    <row r="52" spans="1:32">
      <c r="B52" s="42"/>
    </row>
    <row r="53" spans="1:32">
      <c r="B53" s="42"/>
    </row>
    <row r="54" spans="1:32">
      <c r="B54" s="42"/>
    </row>
    <row r="55" spans="1:32">
      <c r="B55" s="42"/>
    </row>
    <row r="56" spans="1:32">
      <c r="B56" s="42"/>
    </row>
    <row r="57" spans="1:32">
      <c r="B57" s="42"/>
    </row>
    <row r="58" spans="1:32">
      <c r="B58" s="42"/>
    </row>
    <row r="59" spans="1:32">
      <c r="B59" s="42"/>
    </row>
    <row r="60" spans="1:32">
      <c r="B60" s="42"/>
    </row>
    <row r="61" spans="1:32">
      <c r="B61" s="42"/>
    </row>
    <row r="62" spans="1:32">
      <c r="B62" s="42"/>
    </row>
    <row r="63" spans="1:32">
      <c r="B63" s="42"/>
    </row>
    <row r="64" spans="1:32">
      <c r="B64" s="42"/>
    </row>
    <row r="65" spans="2:2">
      <c r="B65" s="42"/>
    </row>
    <row r="66" spans="2:2">
      <c r="B66" s="42"/>
    </row>
    <row r="67" spans="2:2">
      <c r="B67" s="42"/>
    </row>
    <row r="68" spans="2:2">
      <c r="B68" s="42"/>
    </row>
    <row r="69" spans="2:2">
      <c r="B69" s="42"/>
    </row>
    <row r="70" spans="2:2">
      <c r="B70" s="42"/>
    </row>
    <row r="71" spans="2:2">
      <c r="B71" s="42"/>
    </row>
    <row r="72" spans="2:2">
      <c r="B72" s="42"/>
    </row>
    <row r="73" spans="2:2">
      <c r="B73" s="42"/>
    </row>
    <row r="74" spans="2:2">
      <c r="B74" s="42"/>
    </row>
    <row r="75" spans="2:2">
      <c r="B75" s="42"/>
    </row>
    <row r="76" spans="2:2">
      <c r="B76" s="42"/>
    </row>
    <row r="77" spans="2:2">
      <c r="B77" s="42"/>
    </row>
    <row r="78" spans="2:2">
      <c r="B78" s="42"/>
    </row>
    <row r="79" spans="2:2">
      <c r="B79" s="42"/>
    </row>
    <row r="80" spans="2:2">
      <c r="B80" s="42"/>
    </row>
    <row r="81" spans="2:2">
      <c r="B81" s="42"/>
    </row>
    <row r="82" spans="2:2">
      <c r="B82" s="42"/>
    </row>
    <row r="83" spans="2:2">
      <c r="B83" s="42"/>
    </row>
    <row r="84" spans="2:2">
      <c r="B84" s="42"/>
    </row>
    <row r="85" spans="2:2">
      <c r="B85" s="42"/>
    </row>
    <row r="86" spans="2:2">
      <c r="B86" s="42"/>
    </row>
    <row r="87" spans="2:2">
      <c r="B87" s="42"/>
    </row>
    <row r="88" spans="2:2">
      <c r="B88" s="42"/>
    </row>
    <row r="89" spans="2:2">
      <c r="B89" s="42"/>
    </row>
    <row r="90" spans="2:2">
      <c r="B90" s="42"/>
    </row>
    <row r="91" spans="2:2">
      <c r="B91" s="42"/>
    </row>
    <row r="92" spans="2:2">
      <c r="B92" s="42"/>
    </row>
    <row r="93" spans="2:2">
      <c r="B93" s="42"/>
    </row>
    <row r="94" spans="2:2">
      <c r="B94" s="42"/>
    </row>
    <row r="95" spans="2:2">
      <c r="B95" s="42"/>
    </row>
    <row r="96" spans="2:2">
      <c r="B96" s="42"/>
    </row>
    <row r="97" spans="2:2">
      <c r="B97" s="42"/>
    </row>
    <row r="98" spans="2:2">
      <c r="B98" s="42"/>
    </row>
    <row r="99" spans="2:2">
      <c r="B99" s="42"/>
    </row>
    <row r="100" spans="2:2">
      <c r="B100" s="42"/>
    </row>
    <row r="101" spans="2:2">
      <c r="B101" s="42"/>
    </row>
    <row r="102" spans="2:2">
      <c r="B102" s="42"/>
    </row>
    <row r="103" spans="2:2">
      <c r="B103" s="42"/>
    </row>
    <row r="104" spans="2:2">
      <c r="B104" s="42"/>
    </row>
    <row r="105" spans="2:2">
      <c r="B105" s="42"/>
    </row>
    <row r="106" spans="2:2">
      <c r="B106" s="42"/>
    </row>
    <row r="107" spans="2:2">
      <c r="B107" s="42"/>
    </row>
    <row r="108" spans="2:2">
      <c r="B108" s="42"/>
    </row>
    <row r="109" spans="2:2">
      <c r="B109" s="42"/>
    </row>
    <row r="110" spans="2:2">
      <c r="B110" s="42"/>
    </row>
    <row r="111" spans="2:2">
      <c r="B111" s="42"/>
    </row>
    <row r="112" spans="2:2">
      <c r="B112" s="42"/>
    </row>
    <row r="113" spans="2:2">
      <c r="B113" s="42"/>
    </row>
    <row r="114" spans="2:2">
      <c r="B114" s="42"/>
    </row>
    <row r="115" spans="2:2">
      <c r="B115" s="42"/>
    </row>
    <row r="116" spans="2:2">
      <c r="B116" s="42"/>
    </row>
    <row r="117" spans="2:2">
      <c r="B117" s="42"/>
    </row>
    <row r="118" spans="2:2">
      <c r="B118" s="42"/>
    </row>
    <row r="119" spans="2:2">
      <c r="B119" s="42"/>
    </row>
    <row r="120" spans="2:2">
      <c r="B120" s="42"/>
    </row>
    <row r="121" spans="2:2">
      <c r="B121" s="42"/>
    </row>
    <row r="122" spans="2:2">
      <c r="B122" s="42"/>
    </row>
    <row r="123" spans="2:2">
      <c r="B123" s="42"/>
    </row>
    <row r="124" spans="2:2">
      <c r="B124" s="42"/>
    </row>
    <row r="125" spans="2:2">
      <c r="B125" s="42"/>
    </row>
    <row r="126" spans="2:2">
      <c r="B126" s="42"/>
    </row>
    <row r="127" spans="2:2">
      <c r="B127" s="42"/>
    </row>
    <row r="128" spans="2:2">
      <c r="B128" s="42"/>
    </row>
    <row r="129" spans="2:2">
      <c r="B129" s="42"/>
    </row>
    <row r="130" spans="2:2">
      <c r="B130" s="42"/>
    </row>
    <row r="131" spans="2:2">
      <c r="B131" s="42"/>
    </row>
    <row r="132" spans="2:2">
      <c r="B132" s="42"/>
    </row>
    <row r="133" spans="2:2">
      <c r="B133" s="42"/>
    </row>
    <row r="134" spans="2:2">
      <c r="B134" s="42"/>
    </row>
    <row r="135" spans="2:2">
      <c r="B135" s="42"/>
    </row>
    <row r="136" spans="2:2">
      <c r="B136" s="42"/>
    </row>
    <row r="137" spans="2:2">
      <c r="B137" s="42"/>
    </row>
    <row r="138" spans="2:2">
      <c r="B138" s="42"/>
    </row>
    <row r="139" spans="2:2">
      <c r="B139" s="42"/>
    </row>
    <row r="140" spans="2:2">
      <c r="B140" s="42"/>
    </row>
    <row r="141" spans="2:2">
      <c r="B141" s="42"/>
    </row>
    <row r="142" spans="2:2">
      <c r="B142" s="42"/>
    </row>
    <row r="143" spans="2:2">
      <c r="B143" s="42"/>
    </row>
    <row r="144" spans="2:2">
      <c r="B144" s="42"/>
    </row>
    <row r="145" spans="2:2">
      <c r="B145" s="42"/>
    </row>
    <row r="146" spans="2:2">
      <c r="B146" s="42"/>
    </row>
    <row r="147" spans="2:2">
      <c r="B147" s="42"/>
    </row>
    <row r="148" spans="2:2">
      <c r="B148" s="42"/>
    </row>
    <row r="149" spans="2:2">
      <c r="B149" s="42"/>
    </row>
    <row r="150" spans="2:2">
      <c r="B150" s="42"/>
    </row>
    <row r="151" spans="2:2">
      <c r="B151" s="42"/>
    </row>
    <row r="152" spans="2:2">
      <c r="B152" s="42"/>
    </row>
    <row r="153" spans="2:2">
      <c r="B153" s="42"/>
    </row>
    <row r="154" spans="2:2">
      <c r="B154" s="42"/>
    </row>
    <row r="155" spans="2:2">
      <c r="B155" s="42"/>
    </row>
    <row r="156" spans="2:2">
      <c r="B156" s="42"/>
    </row>
    <row r="157" spans="2:2">
      <c r="B157" s="42"/>
    </row>
    <row r="158" spans="2:2">
      <c r="B158" s="42"/>
    </row>
    <row r="159" spans="2:2">
      <c r="B159" s="42"/>
    </row>
    <row r="160" spans="2:2">
      <c r="B160" s="42"/>
    </row>
    <row r="161" spans="2:2">
      <c r="B161" s="42"/>
    </row>
    <row r="162" spans="2:2">
      <c r="B162" s="42"/>
    </row>
    <row r="163" spans="2:2">
      <c r="B163" s="42"/>
    </row>
    <row r="164" spans="2:2">
      <c r="B164" s="42"/>
    </row>
    <row r="165" spans="2:2">
      <c r="B165" s="42"/>
    </row>
    <row r="166" spans="2:2">
      <c r="B166" s="42"/>
    </row>
    <row r="167" spans="2:2">
      <c r="B167" s="42"/>
    </row>
    <row r="168" spans="2:2">
      <c r="B168" s="42"/>
    </row>
    <row r="169" spans="2:2">
      <c r="B169" s="42"/>
    </row>
    <row r="170" spans="2:2">
      <c r="B170" s="42"/>
    </row>
    <row r="171" spans="2:2">
      <c r="B171" s="42"/>
    </row>
    <row r="172" spans="2:2">
      <c r="B172" s="42"/>
    </row>
    <row r="173" spans="2:2">
      <c r="B173" s="42"/>
    </row>
    <row r="174" spans="2:2">
      <c r="B174" s="42"/>
    </row>
    <row r="175" spans="2:2">
      <c r="B175" s="42"/>
    </row>
    <row r="176" spans="2:2">
      <c r="B176" s="42"/>
    </row>
    <row r="177" spans="2:2">
      <c r="B177" s="42"/>
    </row>
    <row r="178" spans="2:2">
      <c r="B178" s="42"/>
    </row>
    <row r="179" spans="2:2">
      <c r="B179" s="42"/>
    </row>
    <row r="180" spans="2:2">
      <c r="B180" s="42"/>
    </row>
    <row r="181" spans="2:2">
      <c r="B181" s="42"/>
    </row>
    <row r="182" spans="2:2">
      <c r="B182" s="42"/>
    </row>
    <row r="183" spans="2:2">
      <c r="B183" s="42"/>
    </row>
    <row r="184" spans="2:2">
      <c r="B184" s="42"/>
    </row>
    <row r="185" spans="2:2">
      <c r="B185" s="42"/>
    </row>
    <row r="186" spans="2:2">
      <c r="B186" s="42"/>
    </row>
    <row r="187" spans="2:2">
      <c r="B187" s="42"/>
    </row>
    <row r="188" spans="2:2">
      <c r="B188" s="42"/>
    </row>
    <row r="189" spans="2:2">
      <c r="B189" s="42"/>
    </row>
    <row r="190" spans="2:2">
      <c r="B190" s="42"/>
    </row>
    <row r="191" spans="2:2">
      <c r="B191" s="42"/>
    </row>
    <row r="192" spans="2:2">
      <c r="B192" s="42"/>
    </row>
    <row r="193" spans="2:2">
      <c r="B193" s="42"/>
    </row>
    <row r="194" spans="2:2">
      <c r="B194" s="42"/>
    </row>
    <row r="195" spans="2:2">
      <c r="B195" s="42"/>
    </row>
    <row r="196" spans="2:2">
      <c r="B196" s="42"/>
    </row>
    <row r="197" spans="2:2">
      <c r="B197" s="42"/>
    </row>
    <row r="198" spans="2:2">
      <c r="B198" s="42"/>
    </row>
    <row r="199" spans="2:2">
      <c r="B199" s="42"/>
    </row>
    <row r="200" spans="2:2">
      <c r="B200" s="42"/>
    </row>
    <row r="201" spans="2:2">
      <c r="B201" s="42"/>
    </row>
    <row r="202" spans="2:2">
      <c r="B202" s="42"/>
    </row>
    <row r="203" spans="2:2">
      <c r="B203" s="42"/>
    </row>
    <row r="204" spans="2:2">
      <c r="B204" s="42"/>
    </row>
    <row r="205" spans="2:2">
      <c r="B205" s="42"/>
    </row>
    <row r="206" spans="2:2">
      <c r="B206" s="42"/>
    </row>
    <row r="207" spans="2:2">
      <c r="B207" s="42"/>
    </row>
    <row r="208" spans="2:2">
      <c r="B208" s="42"/>
    </row>
    <row r="209" spans="2:2">
      <c r="B209" s="42"/>
    </row>
    <row r="210" spans="2:2">
      <c r="B210" s="42"/>
    </row>
    <row r="211" spans="2:2">
      <c r="B211" s="42"/>
    </row>
    <row r="212" spans="2:2">
      <c r="B212" s="42"/>
    </row>
    <row r="213" spans="2:2">
      <c r="B213" s="42"/>
    </row>
    <row r="214" spans="2:2">
      <c r="B214" s="42"/>
    </row>
    <row r="215" spans="2:2">
      <c r="B215" s="42"/>
    </row>
    <row r="216" spans="2:2">
      <c r="B216" s="42"/>
    </row>
    <row r="217" spans="2:2">
      <c r="B217" s="42"/>
    </row>
    <row r="218" spans="2:2">
      <c r="B218" s="42"/>
    </row>
    <row r="219" spans="2:2">
      <c r="B219" s="42"/>
    </row>
    <row r="220" spans="2:2">
      <c r="B220" s="42"/>
    </row>
    <row r="221" spans="2:2">
      <c r="B221" s="42"/>
    </row>
    <row r="222" spans="2:2">
      <c r="B222" s="42"/>
    </row>
    <row r="223" spans="2:2">
      <c r="B223" s="42"/>
    </row>
    <row r="224" spans="2:2">
      <c r="B224" s="42"/>
    </row>
    <row r="225" spans="2:2">
      <c r="B225" s="42"/>
    </row>
    <row r="226" spans="2:2">
      <c r="B226" s="42"/>
    </row>
    <row r="227" spans="2:2">
      <c r="B227" s="42"/>
    </row>
    <row r="228" spans="2:2">
      <c r="B228" s="42"/>
    </row>
    <row r="229" spans="2:2">
      <c r="B229" s="42"/>
    </row>
    <row r="230" spans="2:2">
      <c r="B230" s="42"/>
    </row>
    <row r="231" spans="2:2">
      <c r="B231" s="42"/>
    </row>
    <row r="232" spans="2:2">
      <c r="B232" s="42"/>
    </row>
    <row r="233" spans="2:2">
      <c r="B233" s="42"/>
    </row>
    <row r="234" spans="2:2">
      <c r="B234" s="42"/>
    </row>
    <row r="235" spans="2:2">
      <c r="B235" s="42"/>
    </row>
    <row r="236" spans="2:2">
      <c r="B236" s="42"/>
    </row>
    <row r="237" spans="2:2">
      <c r="B237" s="42"/>
    </row>
    <row r="238" spans="2:2">
      <c r="B238" s="42"/>
    </row>
    <row r="239" spans="2:2">
      <c r="B239" s="42"/>
    </row>
    <row r="240" spans="2:2">
      <c r="B240" s="42"/>
    </row>
    <row r="241" spans="2:2">
      <c r="B241" s="42"/>
    </row>
    <row r="242" spans="2:2">
      <c r="B242" s="42"/>
    </row>
    <row r="243" spans="2:2">
      <c r="B243" s="42"/>
    </row>
    <row r="244" spans="2:2">
      <c r="B244" s="42"/>
    </row>
    <row r="245" spans="2:2">
      <c r="B245" s="42"/>
    </row>
    <row r="246" spans="2:2">
      <c r="B246" s="42"/>
    </row>
    <row r="247" spans="2:2">
      <c r="B247" s="42"/>
    </row>
    <row r="248" spans="2:2">
      <c r="B248" s="42"/>
    </row>
    <row r="249" spans="2:2">
      <c r="B249" s="42"/>
    </row>
    <row r="250" spans="2:2">
      <c r="B250" s="42"/>
    </row>
    <row r="251" spans="2:2">
      <c r="B251" s="42"/>
    </row>
    <row r="252" spans="2:2">
      <c r="B252" s="42"/>
    </row>
    <row r="253" spans="2:2">
      <c r="B253" s="42"/>
    </row>
    <row r="254" spans="2:2">
      <c r="B254" s="42"/>
    </row>
    <row r="255" spans="2:2">
      <c r="B255" s="42"/>
    </row>
    <row r="256" spans="2:2">
      <c r="B256" s="42"/>
    </row>
    <row r="257" spans="2:2">
      <c r="B257" s="42"/>
    </row>
    <row r="258" spans="2:2">
      <c r="B258" s="42"/>
    </row>
    <row r="259" spans="2:2">
      <c r="B259" s="42"/>
    </row>
    <row r="260" spans="2:2">
      <c r="B260" s="42"/>
    </row>
    <row r="261" spans="2:2">
      <c r="B261" s="42"/>
    </row>
    <row r="262" spans="2:2">
      <c r="B262" s="42"/>
    </row>
    <row r="263" spans="2:2">
      <c r="B263" s="42"/>
    </row>
    <row r="264" spans="2:2">
      <c r="B264" s="42"/>
    </row>
    <row r="265" spans="2:2">
      <c r="B265" s="42"/>
    </row>
    <row r="266" spans="2:2">
      <c r="B266" s="42"/>
    </row>
    <row r="267" spans="2:2">
      <c r="B267" s="42"/>
    </row>
    <row r="268" spans="2:2">
      <c r="B268" s="42"/>
    </row>
    <row r="269" spans="2:2">
      <c r="B269" s="42"/>
    </row>
    <row r="270" spans="2:2">
      <c r="B270" s="42"/>
    </row>
    <row r="271" spans="2:2">
      <c r="B271" s="42"/>
    </row>
    <row r="272" spans="2:2">
      <c r="B272" s="42"/>
    </row>
    <row r="273" spans="2:2">
      <c r="B273" s="42"/>
    </row>
    <row r="274" spans="2:2">
      <c r="B274" s="42"/>
    </row>
    <row r="275" spans="2:2">
      <c r="B275" s="42"/>
    </row>
    <row r="276" spans="2:2">
      <c r="B276" s="42"/>
    </row>
    <row r="277" spans="2:2">
      <c r="B277" s="42"/>
    </row>
    <row r="278" spans="2:2">
      <c r="B278" s="42"/>
    </row>
    <row r="279" spans="2:2">
      <c r="B279" s="42"/>
    </row>
    <row r="280" spans="2:2">
      <c r="B280" s="42"/>
    </row>
    <row r="281" spans="2:2">
      <c r="B281" s="42"/>
    </row>
    <row r="282" spans="2:2">
      <c r="B282" s="42"/>
    </row>
    <row r="283" spans="2:2">
      <c r="B283" s="42"/>
    </row>
    <row r="284" spans="2:2">
      <c r="B284" s="42"/>
    </row>
    <row r="285" spans="2:2">
      <c r="B285" s="42"/>
    </row>
    <row r="286" spans="2:2">
      <c r="B286" s="42"/>
    </row>
    <row r="287" spans="2:2">
      <c r="B287" s="42"/>
    </row>
    <row r="288" spans="2:2">
      <c r="B288" s="42"/>
    </row>
    <row r="289" spans="2:2">
      <c r="B289" s="42"/>
    </row>
    <row r="290" spans="2:2">
      <c r="B290" s="42"/>
    </row>
    <row r="291" spans="2:2">
      <c r="B291" s="42"/>
    </row>
    <row r="292" spans="2:2">
      <c r="B292" s="42"/>
    </row>
    <row r="293" spans="2:2">
      <c r="B293" s="42"/>
    </row>
    <row r="294" spans="2:2">
      <c r="B294" s="42"/>
    </row>
    <row r="295" spans="2:2">
      <c r="B295" s="42"/>
    </row>
    <row r="296" spans="2:2">
      <c r="B296" s="42"/>
    </row>
    <row r="297" spans="2:2">
      <c r="B297" s="42"/>
    </row>
    <row r="298" spans="2:2">
      <c r="B298" s="42"/>
    </row>
    <row r="299" spans="2:2">
      <c r="B299" s="42"/>
    </row>
    <row r="300" spans="2:2">
      <c r="B300" s="42"/>
    </row>
    <row r="301" spans="2:2">
      <c r="B301" s="42"/>
    </row>
    <row r="302" spans="2:2">
      <c r="B302" s="42"/>
    </row>
    <row r="303" spans="2:2">
      <c r="B303" s="42"/>
    </row>
    <row r="304" spans="2:2">
      <c r="B304" s="42"/>
    </row>
    <row r="305" spans="2:2">
      <c r="B305" s="42"/>
    </row>
    <row r="306" spans="2:2">
      <c r="B306" s="42"/>
    </row>
    <row r="307" spans="2:2">
      <c r="B307" s="42"/>
    </row>
    <row r="308" spans="2:2">
      <c r="B308" s="42"/>
    </row>
    <row r="309" spans="2:2">
      <c r="B309" s="42"/>
    </row>
    <row r="310" spans="2:2">
      <c r="B310" s="42"/>
    </row>
    <row r="311" spans="2:2">
      <c r="B311" s="42"/>
    </row>
    <row r="312" spans="2:2">
      <c r="B312" s="42"/>
    </row>
    <row r="313" spans="2:2">
      <c r="B313" s="42"/>
    </row>
    <row r="314" spans="2:2">
      <c r="B314" s="42"/>
    </row>
    <row r="315" spans="2:2">
      <c r="B315" s="42"/>
    </row>
    <row r="316" spans="2:2">
      <c r="B316" s="42"/>
    </row>
    <row r="317" spans="2:2">
      <c r="B317" s="42"/>
    </row>
    <row r="318" spans="2:2">
      <c r="B318" s="42"/>
    </row>
    <row r="319" spans="2:2">
      <c r="B319" s="42"/>
    </row>
    <row r="320" spans="2:2">
      <c r="B320" s="42"/>
    </row>
    <row r="321" spans="2:2">
      <c r="B321" s="42"/>
    </row>
    <row r="322" spans="2:2">
      <c r="B322" s="42"/>
    </row>
    <row r="323" spans="2:2">
      <c r="B323" s="42"/>
    </row>
    <row r="324" spans="2:2">
      <c r="B324" s="42"/>
    </row>
    <row r="325" spans="2:2">
      <c r="B325" s="42"/>
    </row>
    <row r="326" spans="2:2">
      <c r="B326" s="42"/>
    </row>
    <row r="327" spans="2:2">
      <c r="B327" s="42"/>
    </row>
    <row r="328" spans="2:2">
      <c r="B328" s="42"/>
    </row>
    <row r="329" spans="2:2">
      <c r="B329" s="42"/>
    </row>
    <row r="330" spans="2:2">
      <c r="B330" s="42"/>
    </row>
    <row r="331" spans="2:2">
      <c r="B331" s="42"/>
    </row>
    <row r="332" spans="2:2">
      <c r="B332" s="42"/>
    </row>
    <row r="333" spans="2:2">
      <c r="B333" s="42"/>
    </row>
    <row r="334" spans="2:2">
      <c r="B334" s="42"/>
    </row>
    <row r="335" spans="2:2">
      <c r="B335" s="42"/>
    </row>
    <row r="336" spans="2:2">
      <c r="B336" s="42"/>
    </row>
    <row r="337" spans="2:2">
      <c r="B337" s="42"/>
    </row>
    <row r="338" spans="2:2">
      <c r="B338" s="42"/>
    </row>
    <row r="339" spans="2:2">
      <c r="B339" s="42"/>
    </row>
    <row r="340" spans="2:2">
      <c r="B340" s="42"/>
    </row>
    <row r="341" spans="2:2">
      <c r="B341" s="42"/>
    </row>
    <row r="342" spans="2:2">
      <c r="B342" s="42"/>
    </row>
    <row r="343" spans="2:2">
      <c r="B343" s="42"/>
    </row>
    <row r="344" spans="2:2">
      <c r="B344" s="42"/>
    </row>
    <row r="345" spans="2:2">
      <c r="B345" s="42"/>
    </row>
    <row r="346" spans="2:2">
      <c r="B346" s="42"/>
    </row>
    <row r="347" spans="2:2">
      <c r="B347" s="42"/>
    </row>
    <row r="348" spans="2:2">
      <c r="B348" s="42"/>
    </row>
    <row r="349" spans="2:2">
      <c r="B349" s="42"/>
    </row>
    <row r="350" spans="2:2">
      <c r="B350" s="42"/>
    </row>
    <row r="351" spans="2:2">
      <c r="B351" s="42"/>
    </row>
    <row r="352" spans="2:2">
      <c r="B352" s="42"/>
    </row>
    <row r="353" spans="2:2">
      <c r="B353" s="42"/>
    </row>
    <row r="354" spans="2:2">
      <c r="B354" s="42"/>
    </row>
    <row r="355" spans="2:2">
      <c r="B355" s="42"/>
    </row>
    <row r="356" spans="2:2">
      <c r="B356" s="42"/>
    </row>
    <row r="357" spans="2:2">
      <c r="B357" s="42"/>
    </row>
    <row r="358" spans="2:2">
      <c r="B358" s="42"/>
    </row>
    <row r="359" spans="2:2">
      <c r="B359" s="42"/>
    </row>
    <row r="360" spans="2:2">
      <c r="B360" s="42"/>
    </row>
    <row r="361" spans="2:2">
      <c r="B361" s="42"/>
    </row>
    <row r="362" spans="2:2">
      <c r="B362" s="42"/>
    </row>
    <row r="363" spans="2:2">
      <c r="B363" s="42"/>
    </row>
    <row r="364" spans="2:2">
      <c r="B364" s="42"/>
    </row>
    <row r="365" spans="2:2">
      <c r="B365" s="42"/>
    </row>
    <row r="366" spans="2:2">
      <c r="B366" s="42"/>
    </row>
    <row r="367" spans="2:2">
      <c r="B367" s="42"/>
    </row>
    <row r="368" spans="2:2">
      <c r="B368" s="42"/>
    </row>
    <row r="369" spans="2:2">
      <c r="B369" s="42"/>
    </row>
    <row r="370" spans="2:2">
      <c r="B370" s="42"/>
    </row>
    <row r="371" spans="2:2">
      <c r="B371" s="42"/>
    </row>
    <row r="372" spans="2:2">
      <c r="B372" s="42"/>
    </row>
    <row r="373" spans="2:2">
      <c r="B373" s="42"/>
    </row>
    <row r="374" spans="2:2">
      <c r="B374" s="42"/>
    </row>
    <row r="375" spans="2:2">
      <c r="B375" s="42"/>
    </row>
    <row r="376" spans="2:2">
      <c r="B376" s="42"/>
    </row>
    <row r="377" spans="2:2">
      <c r="B377" s="42"/>
    </row>
    <row r="378" spans="2:2">
      <c r="B378" s="42"/>
    </row>
    <row r="379" spans="2:2">
      <c r="B379" s="42"/>
    </row>
    <row r="380" spans="2:2">
      <c r="B380" s="42"/>
    </row>
    <row r="381" spans="2:2">
      <c r="B381" s="42"/>
    </row>
    <row r="382" spans="2:2">
      <c r="B382" s="42"/>
    </row>
    <row r="383" spans="2:2">
      <c r="B383" s="42"/>
    </row>
    <row r="384" spans="2:2">
      <c r="B384" s="42"/>
    </row>
    <row r="385" spans="2:2">
      <c r="B385" s="42"/>
    </row>
    <row r="386" spans="2:2">
      <c r="B386" s="42"/>
    </row>
    <row r="387" spans="2:2">
      <c r="B387" s="42"/>
    </row>
    <row r="388" spans="2:2">
      <c r="B388" s="42"/>
    </row>
    <row r="389" spans="2:2">
      <c r="B389" s="42"/>
    </row>
    <row r="390" spans="2:2">
      <c r="B390" s="42"/>
    </row>
    <row r="391" spans="2:2">
      <c r="B391" s="42"/>
    </row>
    <row r="392" spans="2:2">
      <c r="B392" s="42"/>
    </row>
    <row r="393" spans="2:2">
      <c r="B393" s="42"/>
    </row>
    <row r="394" spans="2:2">
      <c r="B394" s="42"/>
    </row>
    <row r="395" spans="2:2">
      <c r="B395" s="42"/>
    </row>
    <row r="396" spans="2:2">
      <c r="B396" s="42"/>
    </row>
    <row r="397" spans="2:2">
      <c r="B397" s="42"/>
    </row>
    <row r="398" spans="2:2">
      <c r="B398" s="42"/>
    </row>
    <row r="399" spans="2:2">
      <c r="B399" s="42"/>
    </row>
    <row r="400" spans="2:2">
      <c r="B400" s="42"/>
    </row>
    <row r="401" spans="2:2">
      <c r="B401" s="42"/>
    </row>
    <row r="402" spans="2:2">
      <c r="B402" s="42"/>
    </row>
    <row r="403" spans="2:2">
      <c r="B403" s="42"/>
    </row>
    <row r="404" spans="2:2">
      <c r="B404" s="42"/>
    </row>
    <row r="405" spans="2:2">
      <c r="B405" s="42"/>
    </row>
    <row r="406" spans="2:2">
      <c r="B406" s="42"/>
    </row>
    <row r="407" spans="2:2">
      <c r="B407" s="42"/>
    </row>
    <row r="408" spans="2:2">
      <c r="B408" s="42"/>
    </row>
    <row r="409" spans="2:2">
      <c r="B409" s="42"/>
    </row>
    <row r="410" spans="2:2">
      <c r="B410" s="42"/>
    </row>
    <row r="411" spans="2:2">
      <c r="B411" s="42"/>
    </row>
    <row r="412" spans="2:2">
      <c r="B412" s="42"/>
    </row>
    <row r="413" spans="2:2">
      <c r="B413" s="42"/>
    </row>
    <row r="414" spans="2:2">
      <c r="B414" s="42"/>
    </row>
    <row r="415" spans="2:2">
      <c r="B415" s="42"/>
    </row>
    <row r="416" spans="2:2">
      <c r="B416" s="42"/>
    </row>
    <row r="417" spans="2:2">
      <c r="B417" s="42"/>
    </row>
    <row r="418" spans="2:2">
      <c r="B418" s="42"/>
    </row>
    <row r="419" spans="2:2">
      <c r="B419" s="42"/>
    </row>
    <row r="420" spans="2:2">
      <c r="B420" s="42"/>
    </row>
    <row r="421" spans="2:2">
      <c r="B421" s="42"/>
    </row>
    <row r="422" spans="2:2">
      <c r="B422" s="42"/>
    </row>
    <row r="423" spans="2:2">
      <c r="B423" s="42"/>
    </row>
    <row r="424" spans="2:2">
      <c r="B424" s="42"/>
    </row>
    <row r="425" spans="2:2">
      <c r="B425" s="42"/>
    </row>
    <row r="426" spans="2:2">
      <c r="B426" s="42"/>
    </row>
    <row r="427" spans="2:2">
      <c r="B427" s="42"/>
    </row>
    <row r="428" spans="2:2">
      <c r="B428" s="42"/>
    </row>
    <row r="429" spans="2:2">
      <c r="B429" s="42"/>
    </row>
    <row r="430" spans="2:2">
      <c r="B430" s="42"/>
    </row>
    <row r="431" spans="2:2">
      <c r="B431" s="42"/>
    </row>
    <row r="432" spans="2:2">
      <c r="B432" s="42"/>
    </row>
    <row r="433" spans="2:2">
      <c r="B433" s="42"/>
    </row>
    <row r="434" spans="2:2">
      <c r="B434" s="42"/>
    </row>
    <row r="435" spans="2:2">
      <c r="B435" s="42"/>
    </row>
    <row r="436" spans="2:2">
      <c r="B436" s="42"/>
    </row>
    <row r="437" spans="2:2">
      <c r="B437" s="42"/>
    </row>
    <row r="438" spans="2:2">
      <c r="B438" s="42"/>
    </row>
    <row r="439" spans="2:2">
      <c r="B439" s="42"/>
    </row>
    <row r="440" spans="2:2">
      <c r="B440" s="42"/>
    </row>
    <row r="441" spans="2:2">
      <c r="B441" s="42"/>
    </row>
    <row r="442" spans="2:2">
      <c r="B442" s="42"/>
    </row>
    <row r="443" spans="2:2">
      <c r="B443" s="42"/>
    </row>
    <row r="444" spans="2:2">
      <c r="B444" s="42"/>
    </row>
    <row r="445" spans="2:2">
      <c r="B445" s="42"/>
    </row>
    <row r="446" spans="2:2">
      <c r="B446" s="42"/>
    </row>
    <row r="447" spans="2:2">
      <c r="B447" s="42"/>
    </row>
    <row r="448" spans="2:2">
      <c r="B448" s="42"/>
    </row>
    <row r="449" spans="2:2">
      <c r="B449" s="42"/>
    </row>
    <row r="450" spans="2:2">
      <c r="B450" s="42"/>
    </row>
    <row r="451" spans="2:2">
      <c r="B451" s="42"/>
    </row>
    <row r="452" spans="2:2">
      <c r="B452" s="42"/>
    </row>
    <row r="453" spans="2:2">
      <c r="B453" s="42"/>
    </row>
    <row r="454" spans="2:2">
      <c r="B454" s="42"/>
    </row>
    <row r="455" spans="2:2">
      <c r="B455" s="42"/>
    </row>
    <row r="456" spans="2:2">
      <c r="B456" s="42"/>
    </row>
    <row r="457" spans="2:2">
      <c r="B457" s="42"/>
    </row>
    <row r="458" spans="2:2">
      <c r="B458" s="42"/>
    </row>
    <row r="459" spans="2:2">
      <c r="B459" s="42"/>
    </row>
    <row r="460" spans="2:2">
      <c r="B460" s="42"/>
    </row>
    <row r="461" spans="2:2">
      <c r="B461" s="42"/>
    </row>
    <row r="462" spans="2:2">
      <c r="B462" s="42"/>
    </row>
    <row r="463" spans="2:2">
      <c r="B463" s="42"/>
    </row>
    <row r="464" spans="2:2">
      <c r="B464" s="42"/>
    </row>
    <row r="465" spans="2:2">
      <c r="B465" s="42"/>
    </row>
    <row r="466" spans="2:2">
      <c r="B466" s="42"/>
    </row>
    <row r="467" spans="2:2">
      <c r="B467" s="42"/>
    </row>
    <row r="468" spans="2:2">
      <c r="B468" s="42"/>
    </row>
    <row r="469" spans="2:2">
      <c r="B469" s="42"/>
    </row>
    <row r="470" spans="2:2">
      <c r="B470" s="42"/>
    </row>
    <row r="471" spans="2:2">
      <c r="B471" s="42"/>
    </row>
    <row r="472" spans="2:2">
      <c r="B472" s="42"/>
    </row>
    <row r="473" spans="2:2">
      <c r="B473" s="42"/>
    </row>
    <row r="474" spans="2:2">
      <c r="B474" s="42"/>
    </row>
    <row r="475" spans="2:2">
      <c r="B475" s="42"/>
    </row>
    <row r="476" spans="2:2">
      <c r="B476" s="42"/>
    </row>
    <row r="477" spans="2:2">
      <c r="B477" s="42"/>
    </row>
    <row r="478" spans="2:2">
      <c r="B478" s="42"/>
    </row>
    <row r="479" spans="2:2">
      <c r="B479" s="42"/>
    </row>
    <row r="480" spans="2:2">
      <c r="B480" s="42"/>
    </row>
    <row r="481" spans="2:2">
      <c r="B481" s="42"/>
    </row>
    <row r="482" spans="2:2">
      <c r="B482" s="42"/>
    </row>
    <row r="483" spans="2:2">
      <c r="B483" s="42"/>
    </row>
    <row r="484" spans="2:2">
      <c r="B484" s="42"/>
    </row>
    <row r="485" spans="2:2">
      <c r="B485" s="42"/>
    </row>
    <row r="486" spans="2:2">
      <c r="B486" s="42"/>
    </row>
    <row r="487" spans="2:2">
      <c r="B487" s="42"/>
    </row>
    <row r="488" spans="2:2">
      <c r="B488" s="42"/>
    </row>
    <row r="489" spans="2:2">
      <c r="B489" s="42"/>
    </row>
    <row r="490" spans="2:2">
      <c r="B490" s="42"/>
    </row>
    <row r="491" spans="2:2">
      <c r="B491" s="42"/>
    </row>
    <row r="492" spans="2:2">
      <c r="B492" s="42"/>
    </row>
    <row r="493" spans="2:2">
      <c r="B493" s="42"/>
    </row>
    <row r="494" spans="2:2">
      <c r="B494" s="42"/>
    </row>
    <row r="495" spans="2:2">
      <c r="B495" s="42"/>
    </row>
    <row r="496" spans="2:2">
      <c r="B496" s="42"/>
    </row>
    <row r="497" spans="2:2">
      <c r="B497" s="42"/>
    </row>
  </sheetData>
  <pageMargins left="0.511811024" right="0.511811024" top="0.78740157499999996" bottom="0.78740157499999996" header="0.31496062000000002" footer="0.31496062000000002"/>
  <pageSetup paperSize="9" orientation="portrait" horizontalDpi="4294967295" verticalDpi="4294967295"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A1:AF497"/>
  <sheetViews>
    <sheetView zoomScale="70" zoomScaleNormal="70" workbookViewId="0">
      <selection activeCell="B4" sqref="B4:AF9"/>
    </sheetView>
  </sheetViews>
  <sheetFormatPr defaultColWidth="5.7109375" defaultRowHeight="15"/>
  <cols>
    <col min="1" max="1" width="11.5703125" customWidth="1"/>
    <col min="2" max="32" width="7.7109375" style="43" customWidth="1"/>
    <col min="33" max="33" width="12.7109375" customWidth="1"/>
    <col min="257" max="257" width="11.5703125" customWidth="1"/>
    <col min="258" max="288" width="7.7109375" customWidth="1"/>
    <col min="289" max="289" width="12.7109375" customWidth="1"/>
    <col min="513" max="513" width="11.5703125" customWidth="1"/>
    <col min="514" max="544" width="7.7109375" customWidth="1"/>
    <col min="545" max="545" width="12.7109375" customWidth="1"/>
    <col min="769" max="769" width="11.5703125" customWidth="1"/>
    <col min="770" max="800" width="7.7109375" customWidth="1"/>
    <col min="801" max="801" width="12.7109375" customWidth="1"/>
    <col min="1025" max="1025" width="11.5703125" customWidth="1"/>
    <col min="1026" max="1056" width="7.7109375" customWidth="1"/>
    <col min="1057" max="1057" width="12.7109375" customWidth="1"/>
    <col min="1281" max="1281" width="11.5703125" customWidth="1"/>
    <col min="1282" max="1312" width="7.7109375" customWidth="1"/>
    <col min="1313" max="1313" width="12.7109375" customWidth="1"/>
    <col min="1537" max="1537" width="11.5703125" customWidth="1"/>
    <col min="1538" max="1568" width="7.7109375" customWidth="1"/>
    <col min="1569" max="1569" width="12.7109375" customWidth="1"/>
    <col min="1793" max="1793" width="11.5703125" customWidth="1"/>
    <col min="1794" max="1824" width="7.7109375" customWidth="1"/>
    <col min="1825" max="1825" width="12.7109375" customWidth="1"/>
    <col min="2049" max="2049" width="11.5703125" customWidth="1"/>
    <col min="2050" max="2080" width="7.7109375" customWidth="1"/>
    <col min="2081" max="2081" width="12.7109375" customWidth="1"/>
    <col min="2305" max="2305" width="11.5703125" customWidth="1"/>
    <col min="2306" max="2336" width="7.7109375" customWidth="1"/>
    <col min="2337" max="2337" width="12.7109375" customWidth="1"/>
    <col min="2561" max="2561" width="11.5703125" customWidth="1"/>
    <col min="2562" max="2592" width="7.7109375" customWidth="1"/>
    <col min="2593" max="2593" width="12.7109375" customWidth="1"/>
    <col min="2817" max="2817" width="11.5703125" customWidth="1"/>
    <col min="2818" max="2848" width="7.7109375" customWidth="1"/>
    <col min="2849" max="2849" width="12.7109375" customWidth="1"/>
    <col min="3073" max="3073" width="11.5703125" customWidth="1"/>
    <col min="3074" max="3104" width="7.7109375" customWidth="1"/>
    <col min="3105" max="3105" width="12.7109375" customWidth="1"/>
    <col min="3329" max="3329" width="11.5703125" customWidth="1"/>
    <col min="3330" max="3360" width="7.7109375" customWidth="1"/>
    <col min="3361" max="3361" width="12.7109375" customWidth="1"/>
    <col min="3585" max="3585" width="11.5703125" customWidth="1"/>
    <col min="3586" max="3616" width="7.7109375" customWidth="1"/>
    <col min="3617" max="3617" width="12.7109375" customWidth="1"/>
    <col min="3841" max="3841" width="11.5703125" customWidth="1"/>
    <col min="3842" max="3872" width="7.7109375" customWidth="1"/>
    <col min="3873" max="3873" width="12.7109375" customWidth="1"/>
    <col min="4097" max="4097" width="11.5703125" customWidth="1"/>
    <col min="4098" max="4128" width="7.7109375" customWidth="1"/>
    <col min="4129" max="4129" width="12.7109375" customWidth="1"/>
    <col min="4353" max="4353" width="11.5703125" customWidth="1"/>
    <col min="4354" max="4384" width="7.7109375" customWidth="1"/>
    <col min="4385" max="4385" width="12.7109375" customWidth="1"/>
    <col min="4609" max="4609" width="11.5703125" customWidth="1"/>
    <col min="4610" max="4640" width="7.7109375" customWidth="1"/>
    <col min="4641" max="4641" width="12.7109375" customWidth="1"/>
    <col min="4865" max="4865" width="11.5703125" customWidth="1"/>
    <col min="4866" max="4896" width="7.7109375" customWidth="1"/>
    <col min="4897" max="4897" width="12.7109375" customWidth="1"/>
    <col min="5121" max="5121" width="11.5703125" customWidth="1"/>
    <col min="5122" max="5152" width="7.7109375" customWidth="1"/>
    <col min="5153" max="5153" width="12.7109375" customWidth="1"/>
    <col min="5377" max="5377" width="11.5703125" customWidth="1"/>
    <col min="5378" max="5408" width="7.7109375" customWidth="1"/>
    <col min="5409" max="5409" width="12.7109375" customWidth="1"/>
    <col min="5633" max="5633" width="11.5703125" customWidth="1"/>
    <col min="5634" max="5664" width="7.7109375" customWidth="1"/>
    <col min="5665" max="5665" width="12.7109375" customWidth="1"/>
    <col min="5889" max="5889" width="11.5703125" customWidth="1"/>
    <col min="5890" max="5920" width="7.7109375" customWidth="1"/>
    <col min="5921" max="5921" width="12.7109375" customWidth="1"/>
    <col min="6145" max="6145" width="11.5703125" customWidth="1"/>
    <col min="6146" max="6176" width="7.7109375" customWidth="1"/>
    <col min="6177" max="6177" width="12.7109375" customWidth="1"/>
    <col min="6401" max="6401" width="11.5703125" customWidth="1"/>
    <col min="6402" max="6432" width="7.7109375" customWidth="1"/>
    <col min="6433" max="6433" width="12.7109375" customWidth="1"/>
    <col min="6657" max="6657" width="11.5703125" customWidth="1"/>
    <col min="6658" max="6688" width="7.7109375" customWidth="1"/>
    <col min="6689" max="6689" width="12.7109375" customWidth="1"/>
    <col min="6913" max="6913" width="11.5703125" customWidth="1"/>
    <col min="6914" max="6944" width="7.7109375" customWidth="1"/>
    <col min="6945" max="6945" width="12.7109375" customWidth="1"/>
    <col min="7169" max="7169" width="11.5703125" customWidth="1"/>
    <col min="7170" max="7200" width="7.7109375" customWidth="1"/>
    <col min="7201" max="7201" width="12.7109375" customWidth="1"/>
    <col min="7425" max="7425" width="11.5703125" customWidth="1"/>
    <col min="7426" max="7456" width="7.7109375" customWidth="1"/>
    <col min="7457" max="7457" width="12.7109375" customWidth="1"/>
    <col min="7681" max="7681" width="11.5703125" customWidth="1"/>
    <col min="7682" max="7712" width="7.7109375" customWidth="1"/>
    <col min="7713" max="7713" width="12.7109375" customWidth="1"/>
    <col min="7937" max="7937" width="11.5703125" customWidth="1"/>
    <col min="7938" max="7968" width="7.7109375" customWidth="1"/>
    <col min="7969" max="7969" width="12.7109375" customWidth="1"/>
    <col min="8193" max="8193" width="11.5703125" customWidth="1"/>
    <col min="8194" max="8224" width="7.7109375" customWidth="1"/>
    <col min="8225" max="8225" width="12.7109375" customWidth="1"/>
    <col min="8449" max="8449" width="11.5703125" customWidth="1"/>
    <col min="8450" max="8480" width="7.7109375" customWidth="1"/>
    <col min="8481" max="8481" width="12.7109375" customWidth="1"/>
    <col min="8705" max="8705" width="11.5703125" customWidth="1"/>
    <col min="8706" max="8736" width="7.7109375" customWidth="1"/>
    <col min="8737" max="8737" width="12.7109375" customWidth="1"/>
    <col min="8961" max="8961" width="11.5703125" customWidth="1"/>
    <col min="8962" max="8992" width="7.7109375" customWidth="1"/>
    <col min="8993" max="8993" width="12.7109375" customWidth="1"/>
    <col min="9217" max="9217" width="11.5703125" customWidth="1"/>
    <col min="9218" max="9248" width="7.7109375" customWidth="1"/>
    <col min="9249" max="9249" width="12.7109375" customWidth="1"/>
    <col min="9473" max="9473" width="11.5703125" customWidth="1"/>
    <col min="9474" max="9504" width="7.7109375" customWidth="1"/>
    <col min="9505" max="9505" width="12.7109375" customWidth="1"/>
    <col min="9729" max="9729" width="11.5703125" customWidth="1"/>
    <col min="9730" max="9760" width="7.7109375" customWidth="1"/>
    <col min="9761" max="9761" width="12.7109375" customWidth="1"/>
    <col min="9985" max="9985" width="11.5703125" customWidth="1"/>
    <col min="9986" max="10016" width="7.7109375" customWidth="1"/>
    <col min="10017" max="10017" width="12.7109375" customWidth="1"/>
    <col min="10241" max="10241" width="11.5703125" customWidth="1"/>
    <col min="10242" max="10272" width="7.7109375" customWidth="1"/>
    <col min="10273" max="10273" width="12.7109375" customWidth="1"/>
    <col min="10497" max="10497" width="11.5703125" customWidth="1"/>
    <col min="10498" max="10528" width="7.7109375" customWidth="1"/>
    <col min="10529" max="10529" width="12.7109375" customWidth="1"/>
    <col min="10753" max="10753" width="11.5703125" customWidth="1"/>
    <col min="10754" max="10784" width="7.7109375" customWidth="1"/>
    <col min="10785" max="10785" width="12.7109375" customWidth="1"/>
    <col min="11009" max="11009" width="11.5703125" customWidth="1"/>
    <col min="11010" max="11040" width="7.7109375" customWidth="1"/>
    <col min="11041" max="11041" width="12.7109375" customWidth="1"/>
    <col min="11265" max="11265" width="11.5703125" customWidth="1"/>
    <col min="11266" max="11296" width="7.7109375" customWidth="1"/>
    <col min="11297" max="11297" width="12.7109375" customWidth="1"/>
    <col min="11521" max="11521" width="11.5703125" customWidth="1"/>
    <col min="11522" max="11552" width="7.7109375" customWidth="1"/>
    <col min="11553" max="11553" width="12.7109375" customWidth="1"/>
    <col min="11777" max="11777" width="11.5703125" customWidth="1"/>
    <col min="11778" max="11808" width="7.7109375" customWidth="1"/>
    <col min="11809" max="11809" width="12.7109375" customWidth="1"/>
    <col min="12033" max="12033" width="11.5703125" customWidth="1"/>
    <col min="12034" max="12064" width="7.7109375" customWidth="1"/>
    <col min="12065" max="12065" width="12.7109375" customWidth="1"/>
    <col min="12289" max="12289" width="11.5703125" customWidth="1"/>
    <col min="12290" max="12320" width="7.7109375" customWidth="1"/>
    <col min="12321" max="12321" width="12.7109375" customWidth="1"/>
    <col min="12545" max="12545" width="11.5703125" customWidth="1"/>
    <col min="12546" max="12576" width="7.7109375" customWidth="1"/>
    <col min="12577" max="12577" width="12.7109375" customWidth="1"/>
    <col min="12801" max="12801" width="11.5703125" customWidth="1"/>
    <col min="12802" max="12832" width="7.7109375" customWidth="1"/>
    <col min="12833" max="12833" width="12.7109375" customWidth="1"/>
    <col min="13057" max="13057" width="11.5703125" customWidth="1"/>
    <col min="13058" max="13088" width="7.7109375" customWidth="1"/>
    <col min="13089" max="13089" width="12.7109375" customWidth="1"/>
    <col min="13313" max="13313" width="11.5703125" customWidth="1"/>
    <col min="13314" max="13344" width="7.7109375" customWidth="1"/>
    <col min="13345" max="13345" width="12.7109375" customWidth="1"/>
    <col min="13569" max="13569" width="11.5703125" customWidth="1"/>
    <col min="13570" max="13600" width="7.7109375" customWidth="1"/>
    <col min="13601" max="13601" width="12.7109375" customWidth="1"/>
    <col min="13825" max="13825" width="11.5703125" customWidth="1"/>
    <col min="13826" max="13856" width="7.7109375" customWidth="1"/>
    <col min="13857" max="13857" width="12.7109375" customWidth="1"/>
    <col min="14081" max="14081" width="11.5703125" customWidth="1"/>
    <col min="14082" max="14112" width="7.7109375" customWidth="1"/>
    <col min="14113" max="14113" width="12.7109375" customWidth="1"/>
    <col min="14337" max="14337" width="11.5703125" customWidth="1"/>
    <col min="14338" max="14368" width="7.7109375" customWidth="1"/>
    <col min="14369" max="14369" width="12.7109375" customWidth="1"/>
    <col min="14593" max="14593" width="11.5703125" customWidth="1"/>
    <col min="14594" max="14624" width="7.7109375" customWidth="1"/>
    <col min="14625" max="14625" width="12.7109375" customWidth="1"/>
    <col min="14849" max="14849" width="11.5703125" customWidth="1"/>
    <col min="14850" max="14880" width="7.7109375" customWidth="1"/>
    <col min="14881" max="14881" width="12.7109375" customWidth="1"/>
    <col min="15105" max="15105" width="11.5703125" customWidth="1"/>
    <col min="15106" max="15136" width="7.7109375" customWidth="1"/>
    <col min="15137" max="15137" width="12.7109375" customWidth="1"/>
    <col min="15361" max="15361" width="11.5703125" customWidth="1"/>
    <col min="15362" max="15392" width="7.7109375" customWidth="1"/>
    <col min="15393" max="15393" width="12.7109375" customWidth="1"/>
    <col min="15617" max="15617" width="11.5703125" customWidth="1"/>
    <col min="15618" max="15648" width="7.7109375" customWidth="1"/>
    <col min="15649" max="15649" width="12.7109375" customWidth="1"/>
    <col min="15873" max="15873" width="11.5703125" customWidth="1"/>
    <col min="15874" max="15904" width="7.7109375" customWidth="1"/>
    <col min="15905" max="15905" width="12.7109375" customWidth="1"/>
    <col min="16129" max="16129" width="11.5703125" customWidth="1"/>
    <col min="16130" max="16160" width="7.7109375" customWidth="1"/>
    <col min="16161" max="16161" width="12.7109375" customWidth="1"/>
  </cols>
  <sheetData>
    <row r="1" spans="1:32" ht="18">
      <c r="A1" s="1"/>
      <c r="B1" s="2" t="str">
        <f>'[5]Dia 1 (b)'!C1</f>
        <v>MAIO DE 2023</v>
      </c>
      <c r="C1" s="3"/>
      <c r="D1" s="4"/>
      <c r="E1" s="5"/>
      <c r="F1" s="2"/>
      <c r="G1" s="3"/>
      <c r="H1" s="3"/>
      <c r="I1" s="3"/>
      <c r="J1" s="3"/>
      <c r="K1" s="3" t="s">
        <v>0</v>
      </c>
      <c r="L1" s="3"/>
      <c r="M1" s="3"/>
      <c r="N1" s="6"/>
      <c r="O1" s="7"/>
      <c r="P1" s="8"/>
      <c r="Q1" s="7"/>
      <c r="R1" s="7"/>
      <c r="S1" s="7"/>
      <c r="T1" s="7"/>
      <c r="U1" s="7"/>
      <c r="V1" s="9"/>
      <c r="W1" s="3"/>
      <c r="X1" s="3"/>
      <c r="Y1" s="3"/>
      <c r="Z1" s="3"/>
      <c r="AA1" s="3"/>
      <c r="AB1" s="3"/>
      <c r="AC1" s="3"/>
      <c r="AD1" s="3"/>
      <c r="AE1" s="3"/>
      <c r="AF1" s="3"/>
    </row>
    <row r="2" spans="1:32" ht="15.75" thickBot="1">
      <c r="A2" s="1"/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</row>
    <row r="3" spans="1:32" ht="20.100000000000001" customHeight="1" thickBot="1">
      <c r="A3" s="10" t="s">
        <v>1</v>
      </c>
      <c r="B3" s="11">
        <v>1</v>
      </c>
      <c r="C3" s="11">
        <v>2</v>
      </c>
      <c r="D3" s="11">
        <v>3</v>
      </c>
      <c r="E3" s="11">
        <v>4</v>
      </c>
      <c r="F3" s="11">
        <v>5</v>
      </c>
      <c r="G3" s="11">
        <v>6</v>
      </c>
      <c r="H3" s="11">
        <v>7</v>
      </c>
      <c r="I3" s="11">
        <v>8</v>
      </c>
      <c r="J3" s="11">
        <v>9</v>
      </c>
      <c r="K3" s="11">
        <v>10</v>
      </c>
      <c r="L3" s="11">
        <v>11</v>
      </c>
      <c r="M3" s="11">
        <v>12</v>
      </c>
      <c r="N3" s="11">
        <v>13</v>
      </c>
      <c r="O3" s="11">
        <v>14</v>
      </c>
      <c r="P3" s="11">
        <v>15</v>
      </c>
      <c r="Q3" s="11">
        <v>16</v>
      </c>
      <c r="R3" s="11">
        <v>17</v>
      </c>
      <c r="S3" s="11">
        <v>18</v>
      </c>
      <c r="T3" s="11">
        <v>19</v>
      </c>
      <c r="U3" s="11">
        <v>20</v>
      </c>
      <c r="V3" s="11">
        <v>21</v>
      </c>
      <c r="W3" s="11">
        <v>22</v>
      </c>
      <c r="X3" s="11">
        <v>23</v>
      </c>
      <c r="Y3" s="11">
        <v>24</v>
      </c>
      <c r="Z3" s="12">
        <v>25</v>
      </c>
      <c r="AA3" s="12">
        <v>26</v>
      </c>
      <c r="AB3" s="12">
        <v>27</v>
      </c>
      <c r="AC3" s="12">
        <v>28</v>
      </c>
      <c r="AD3" s="12">
        <v>29</v>
      </c>
      <c r="AE3" s="12">
        <v>30</v>
      </c>
      <c r="AF3" s="13">
        <v>31</v>
      </c>
    </row>
    <row r="4" spans="1:32" ht="20.100000000000001" customHeight="1">
      <c r="A4" s="14">
        <v>1</v>
      </c>
      <c r="B4" s="15">
        <f>'[5]Dia 1 (b)'!$X10</f>
        <v>13.098833348756717</v>
      </c>
      <c r="C4" s="15">
        <f>'[5]Dia 2 (b)'!$X10</f>
        <v>13.276316772360769</v>
      </c>
      <c r="D4" s="15">
        <f>'[5]Dia 3 (b)'!$X10</f>
        <v>13.25654291589262</v>
      </c>
      <c r="E4" s="15">
        <f>'[5]Dia 4 (b)'!$X10</f>
        <v>13.890572324894228</v>
      </c>
      <c r="F4" s="15">
        <f>'[5]Dia 5 (b)'!$X10</f>
        <v>12.816078695339927</v>
      </c>
      <c r="G4" s="15">
        <f>'[5]Dia 6 (b)'!$X10</f>
        <v>14.02473642016907</v>
      </c>
      <c r="H4" s="15">
        <f>'[5]Dia 7 (b)'!$X10</f>
        <v>13.747668415969899</v>
      </c>
      <c r="I4" s="15">
        <f>'[5]Dia 8 (b)'!$X10</f>
        <v>12.782225313457346</v>
      </c>
      <c r="J4" s="15">
        <f>'[5]Dia 9 (b)'!$X10</f>
        <v>13.228261694887507</v>
      </c>
      <c r="K4" s="15">
        <f>'[5]Dia 10 (b)'!$X10</f>
        <v>14.662808405597502</v>
      </c>
      <c r="L4" s="15">
        <f>'[5]Dia 11 (b)'!$X10</f>
        <v>12.473254317848703</v>
      </c>
      <c r="M4" s="15">
        <f>'[5]Dia 12 (b)'!$X10</f>
        <v>10.557390888701789</v>
      </c>
      <c r="N4" s="15">
        <f>'[5]Dia 13 (b)'!$X10</f>
        <v>9.1988482807748539</v>
      </c>
      <c r="O4" s="15">
        <f>'[5]Dia 14 (b)'!$X10</f>
        <v>9.0555950201796946</v>
      </c>
      <c r="P4" s="15">
        <f>'[5]Dia 15 (b)'!$X10</f>
        <v>8.6558358570459966</v>
      </c>
      <c r="Q4" s="15">
        <f>'[5]Dia 16 (b)'!$X10</f>
        <v>7.707234521772107</v>
      </c>
      <c r="R4" s="15">
        <f>'[5]Dia 17 (b)'!$X10</f>
        <v>9.8349826529145101</v>
      </c>
      <c r="S4" s="15">
        <f>'[5]Dia 18 (b)'!$X10</f>
        <v>8.6604472797930683</v>
      </c>
      <c r="T4" s="15">
        <f>'[5]Dia 19 (b)'!$X10</f>
        <v>8.9121511183084419</v>
      </c>
      <c r="U4" s="15">
        <f>'[5]Dia 20 (b)'!$X10</f>
        <v>10.064442768657347</v>
      </c>
      <c r="V4" s="15">
        <f>'[5]Dia 21 (b)'!$X10</f>
        <v>8.8056536011401771</v>
      </c>
      <c r="W4" s="15">
        <f>'[5]Dia 22 (b)'!$X10</f>
        <v>9.6271991290276944</v>
      </c>
      <c r="X4" s="15">
        <f>'[5]Dia 23 (b)'!$X10</f>
        <v>10.097611108904385</v>
      </c>
      <c r="Y4" s="15">
        <f>'[5]Dia 24 (b)'!$X10</f>
        <v>9.8050104166568701</v>
      </c>
      <c r="Z4" s="15">
        <f>'[5]Dia 25 (b)'!$X10</f>
        <v>12.397398945180218</v>
      </c>
      <c r="AA4" s="15">
        <f>'[5]Dia 26 (b)'!$X10</f>
        <v>10.845229385275717</v>
      </c>
      <c r="AB4" s="15">
        <f>'[5]Dia 27 (b)'!$X10</f>
        <v>10.87511666924379</v>
      </c>
      <c r="AC4" s="15">
        <f>'[5]Dia 28 (b)'!$X10</f>
        <v>10.703724786507829</v>
      </c>
      <c r="AD4" s="15">
        <f>'[5]Dia 29 (b)'!$X10</f>
        <v>11.38292720613147</v>
      </c>
      <c r="AE4" s="15">
        <f>'[5]Dia 30 (b)'!$X10</f>
        <v>10.157573158624714</v>
      </c>
      <c r="AF4" s="15">
        <f>'[5]Dia 31 (b)'!$X10</f>
        <v>11.043411001062223</v>
      </c>
    </row>
    <row r="5" spans="1:32" ht="20.100000000000001" customHeight="1">
      <c r="A5" s="14">
        <v>2</v>
      </c>
      <c r="B5" s="15">
        <f>'[5]Dia 1 (b)'!$X11</f>
        <v>13.277385545400513</v>
      </c>
      <c r="C5" s="15">
        <f>'[5]Dia 2 (b)'!$X11</f>
        <v>12.841249185443276</v>
      </c>
      <c r="D5" s="15">
        <f>'[5]Dia 3 (b)'!$X11</f>
        <v>12.984493370082614</v>
      </c>
      <c r="E5" s="15">
        <f>'[5]Dia 4 (b)'!$X11</f>
        <v>13.672009717939428</v>
      </c>
      <c r="F5" s="15">
        <f>'[5]Dia 5 (b)'!$X11</f>
        <v>12.742450567266355</v>
      </c>
      <c r="G5" s="15">
        <f>'[5]Dia 6 (b)'!$X11</f>
        <v>14.599262727034034</v>
      </c>
      <c r="H5" s="15">
        <f>'[5]Dia 7 (b)'!$X11</f>
        <v>13.247688187762389</v>
      </c>
      <c r="I5" s="15">
        <f>'[5]Dia 8 (b)'!$X11</f>
        <v>13.278085033446033</v>
      </c>
      <c r="J5" s="15">
        <f>'[5]Dia 9 (b)'!$X11</f>
        <v>13.122014190315959</v>
      </c>
      <c r="K5" s="15">
        <f>'[5]Dia 10 (b)'!$X11</f>
        <v>14.573547893756267</v>
      </c>
      <c r="L5" s="15">
        <f>'[5]Dia 11 (b)'!$X11</f>
        <v>12.742985035202048</v>
      </c>
      <c r="M5" s="15">
        <f>'[5]Dia 12 (b)'!$X11</f>
        <v>10.6099717142929</v>
      </c>
      <c r="N5" s="15">
        <f>'[5]Dia 13 (b)'!$X11</f>
        <v>9.5233313439967375</v>
      </c>
      <c r="O5" s="15">
        <f>'[5]Dia 14 (b)'!$X11</f>
        <v>8.9350461323451462</v>
      </c>
      <c r="P5" s="15">
        <f>'[5]Dia 15 (b)'!$X11</f>
        <v>8.5007291195415178</v>
      </c>
      <c r="Q5" s="15">
        <f>'[5]Dia 16 (b)'!$X11</f>
        <v>7.6159902045708581</v>
      </c>
      <c r="R5" s="15">
        <f>'[5]Dia 17 (b)'!$X11</f>
        <v>10.340932964274931</v>
      </c>
      <c r="S5" s="15">
        <f>'[5]Dia 18 (b)'!$X11</f>
        <v>8.6267849669058414</v>
      </c>
      <c r="T5" s="15">
        <f>'[5]Dia 19 (b)'!$X11</f>
        <v>8.3821757556296248</v>
      </c>
      <c r="U5" s="15">
        <f>'[5]Dia 20 (b)'!$X11</f>
        <v>9.8081504643983841</v>
      </c>
      <c r="V5" s="15">
        <f>'[5]Dia 21 (b)'!$X11</f>
        <v>8.9030694269117081</v>
      </c>
      <c r="W5" s="15">
        <f>'[5]Dia 22 (b)'!$X11</f>
        <v>9.4175477362641526</v>
      </c>
      <c r="X5" s="15">
        <f>'[5]Dia 23 (b)'!$X11</f>
        <v>9.8816417733041177</v>
      </c>
      <c r="Y5" s="15">
        <f>'[5]Dia 24 (b)'!$X11</f>
        <v>9.7835904462000869</v>
      </c>
      <c r="Z5" s="15">
        <f>'[5]Dia 25 (b)'!$X11</f>
        <v>11.532434822714343</v>
      </c>
      <c r="AA5" s="15">
        <f>'[5]Dia 26 (b)'!$X11</f>
        <v>10.718543546737616</v>
      </c>
      <c r="AB5" s="15">
        <f>'[5]Dia 27 (b)'!$X11</f>
        <v>11.489673932601741</v>
      </c>
      <c r="AC5" s="15">
        <f>'[5]Dia 28 (b)'!$X11</f>
        <v>10.828284995691519</v>
      </c>
      <c r="AD5" s="15">
        <f>'[5]Dia 29 (b)'!$X11</f>
        <v>11.240253984298324</v>
      </c>
      <c r="AE5" s="15">
        <f>'[5]Dia 30 (b)'!$X11</f>
        <v>9.9134588826302945</v>
      </c>
      <c r="AF5" s="15">
        <f>'[5]Dia 31 (b)'!$X11</f>
        <v>11.163242880278592</v>
      </c>
    </row>
    <row r="6" spans="1:32" ht="20.100000000000001" customHeight="1">
      <c r="A6" s="14">
        <v>3</v>
      </c>
      <c r="B6" s="15">
        <f>'[5]Dia 1 (b)'!$X12</f>
        <v>13.192920175617877</v>
      </c>
      <c r="C6" s="15">
        <f>'[5]Dia 2 (b)'!$X12</f>
        <v>13.201535599848938</v>
      </c>
      <c r="D6" s="15">
        <f>'[5]Dia 3 (b)'!$X12</f>
        <v>12.742956369557806</v>
      </c>
      <c r="E6" s="15">
        <f>'[5]Dia 4 (b)'!$X12</f>
        <v>13.183575455925407</v>
      </c>
      <c r="F6" s="15">
        <f>'[5]Dia 5 (b)'!$X12</f>
        <v>12.564527101766279</v>
      </c>
      <c r="G6" s="15">
        <f>'[5]Dia 6 (b)'!$X12</f>
        <v>13.897331581559696</v>
      </c>
      <c r="H6" s="15">
        <f>'[5]Dia 7 (b)'!$X12</f>
        <v>12.956076261237119</v>
      </c>
      <c r="I6" s="15">
        <f>'[5]Dia 8 (b)'!$X12</f>
        <v>13.197734343538066</v>
      </c>
      <c r="J6" s="15">
        <f>'[5]Dia 9 (b)'!$X12</f>
        <v>12.820721539352871</v>
      </c>
      <c r="K6" s="15">
        <f>'[5]Dia 10 (b)'!$X12</f>
        <v>14.580206189947553</v>
      </c>
      <c r="L6" s="15">
        <f>'[5]Dia 11 (b)'!$X12</f>
        <v>12.883175739257645</v>
      </c>
      <c r="M6" s="15">
        <f>'[5]Dia 12 (b)'!$X12</f>
        <v>10.518585411898213</v>
      </c>
      <c r="N6" s="15">
        <f>'[5]Dia 13 (b)'!$X12</f>
        <v>9.5906345414280505</v>
      </c>
      <c r="O6" s="15">
        <f>'[5]Dia 14 (b)'!$X12</f>
        <v>8.4223420640806683</v>
      </c>
      <c r="P6" s="15">
        <f>'[5]Dia 15 (b)'!$X12</f>
        <v>8.3900361140442214</v>
      </c>
      <c r="Q6" s="15">
        <f>'[5]Dia 16 (b)'!$X12</f>
        <v>7.4670998615720441</v>
      </c>
      <c r="R6" s="15">
        <f>'[5]Dia 17 (b)'!$X12</f>
        <v>10.323188113711613</v>
      </c>
      <c r="S6" s="15">
        <f>'[5]Dia 18 (b)'!$X12</f>
        <v>8.491565347113001</v>
      </c>
      <c r="T6" s="15">
        <f>'[5]Dia 19 (b)'!$X12</f>
        <v>8.2704919052936212</v>
      </c>
      <c r="U6" s="15">
        <f>'[5]Dia 20 (b)'!$X12</f>
        <v>9.2522258566040279</v>
      </c>
      <c r="V6" s="15">
        <f>'[5]Dia 21 (b)'!$X12</f>
        <v>8.7642199327101622</v>
      </c>
      <c r="W6" s="15">
        <f>'[5]Dia 22 (b)'!$X12</f>
        <v>9.3967109232913018</v>
      </c>
      <c r="X6" s="15">
        <f>'[5]Dia 23 (b)'!$X12</f>
        <v>9.5030276506476632</v>
      </c>
      <c r="Y6" s="15">
        <f>'[5]Dia 24 (b)'!$X12</f>
        <v>9.5968253297210371</v>
      </c>
      <c r="Z6" s="15">
        <f>'[5]Dia 25 (b)'!$X12</f>
        <v>11.784567346607542</v>
      </c>
      <c r="AA6" s="15">
        <f>'[5]Dia 26 (b)'!$X12</f>
        <v>10.52648513541755</v>
      </c>
      <c r="AB6" s="15">
        <f>'[5]Dia 27 (b)'!$X12</f>
        <v>11.503421668415607</v>
      </c>
      <c r="AC6" s="15">
        <f>'[5]Dia 28 (b)'!$X12</f>
        <v>11.655156282503516</v>
      </c>
      <c r="AD6" s="15">
        <f>'[5]Dia 29 (b)'!$X12</f>
        <v>11.17593615912946</v>
      </c>
      <c r="AE6" s="15">
        <f>'[5]Dia 30 (b)'!$X12</f>
        <v>9.9662673113532918</v>
      </c>
      <c r="AF6" s="15">
        <f>'[5]Dia 31 (b)'!$X12</f>
        <v>11.240347436074341</v>
      </c>
    </row>
    <row r="7" spans="1:32" ht="20.100000000000001" customHeight="1">
      <c r="A7" s="14">
        <v>4</v>
      </c>
      <c r="B7" s="15">
        <f>'[5]Dia 1 (b)'!$X13</f>
        <v>13.786323620038546</v>
      </c>
      <c r="C7" s="15">
        <f>'[5]Dia 2 (b)'!$X13</f>
        <v>13.068032371121266</v>
      </c>
      <c r="D7" s="15">
        <f>'[5]Dia 3 (b)'!$X13</f>
        <v>12.189884915428902</v>
      </c>
      <c r="E7" s="15">
        <f>'[5]Dia 4 (b)'!$X13</f>
        <v>14.174388024534515</v>
      </c>
      <c r="F7" s="15">
        <f>'[5]Dia 5 (b)'!$X13</f>
        <v>12.589160385340421</v>
      </c>
      <c r="G7" s="15">
        <f>'[5]Dia 6 (b)'!$X13</f>
        <v>13.363883093546278</v>
      </c>
      <c r="H7" s="15">
        <f>'[5]Dia 7 (b)'!$X13</f>
        <v>12.796923901113985</v>
      </c>
      <c r="I7" s="15">
        <f>'[5]Dia 8 (b)'!$X13</f>
        <v>13.144188969874836</v>
      </c>
      <c r="J7" s="15">
        <f>'[5]Dia 9 (b)'!$X13</f>
        <v>12.905929532886173</v>
      </c>
      <c r="K7" s="15">
        <f>'[5]Dia 10 (b)'!$X13</f>
        <v>14.582648045707941</v>
      </c>
      <c r="L7" s="15">
        <f>'[5]Dia 11 (b)'!$X13</f>
        <v>12.352679968015758</v>
      </c>
      <c r="M7" s="15">
        <f>'[5]Dia 12 (b)'!$X13</f>
        <v>10.154973828132835</v>
      </c>
      <c r="N7" s="15">
        <f>'[5]Dia 13 (b)'!$X13</f>
        <v>9.5307465903625896</v>
      </c>
      <c r="O7" s="15">
        <f>'[5]Dia 14 (b)'!$X13</f>
        <v>8.3997645878974918</v>
      </c>
      <c r="P7" s="15">
        <f>'[5]Dia 15 (b)'!$X13</f>
        <v>8.0861458715776475</v>
      </c>
      <c r="Q7" s="15">
        <f>'[5]Dia 16 (b)'!$X13</f>
        <v>7.3960592894255601</v>
      </c>
      <c r="R7" s="15">
        <f>'[5]Dia 17 (b)'!$X13</f>
        <v>9.7151541926607763</v>
      </c>
      <c r="S7" s="15">
        <f>'[5]Dia 18 (b)'!$X13</f>
        <v>8.7299665796150805</v>
      </c>
      <c r="T7" s="15">
        <f>'[5]Dia 19 (b)'!$X13</f>
        <v>7.9474254871187675</v>
      </c>
      <c r="U7" s="15">
        <f>'[5]Dia 20 (b)'!$X13</f>
        <v>9.1199849284719985</v>
      </c>
      <c r="V7" s="15">
        <f>'[5]Dia 21 (b)'!$X13</f>
        <v>8.6217228441728757</v>
      </c>
      <c r="W7" s="15">
        <f>'[5]Dia 22 (b)'!$X13</f>
        <v>9.3746608380894632</v>
      </c>
      <c r="X7" s="15">
        <f>'[5]Dia 23 (b)'!$X13</f>
        <v>9.5428492201487032</v>
      </c>
      <c r="Y7" s="15">
        <f>'[5]Dia 24 (b)'!$X13</f>
        <v>9.347390598405001</v>
      </c>
      <c r="Z7" s="15">
        <f>'[5]Dia 25 (b)'!$X13</f>
        <v>11.689713497872697</v>
      </c>
      <c r="AA7" s="15">
        <f>'[5]Dia 26 (b)'!$X13</f>
        <v>10.794450036797954</v>
      </c>
      <c r="AB7" s="15">
        <f>'[5]Dia 27 (b)'!$X13</f>
        <v>11.338382628450585</v>
      </c>
      <c r="AC7" s="15">
        <f>'[5]Dia 28 (b)'!$X13</f>
        <v>12.160037217469862</v>
      </c>
      <c r="AD7" s="15">
        <f>'[5]Dia 29 (b)'!$X13</f>
        <v>11.221602284161419</v>
      </c>
      <c r="AE7" s="15">
        <f>'[5]Dia 30 (b)'!$X13</f>
        <v>9.9676996069931132</v>
      </c>
      <c r="AF7" s="15">
        <f>'[5]Dia 31 (b)'!$X13</f>
        <v>11.122774393895281</v>
      </c>
    </row>
    <row r="8" spans="1:32" ht="20.100000000000001" customHeight="1">
      <c r="A8" s="14">
        <v>5</v>
      </c>
      <c r="B8" s="15">
        <f>'[5]Dia 1 (b)'!$X14</f>
        <v>13.727417817214247</v>
      </c>
      <c r="C8" s="15">
        <f>'[5]Dia 2 (b)'!$X14</f>
        <v>13.069353143632503</v>
      </c>
      <c r="D8" s="15">
        <f>'[5]Dia 3 (b)'!$X14</f>
        <v>12.266425922531305</v>
      </c>
      <c r="E8" s="15">
        <f>'[5]Dia 4 (b)'!$X14</f>
        <v>13.873240520961486</v>
      </c>
      <c r="F8" s="15">
        <f>'[5]Dia 5 (b)'!$X14</f>
        <v>12.587407159236152</v>
      </c>
      <c r="G8" s="15">
        <f>'[5]Dia 6 (b)'!$X14</f>
        <v>13.424280965873958</v>
      </c>
      <c r="H8" s="15">
        <f>'[5]Dia 7 (b)'!$X14</f>
        <v>13.265535858923126</v>
      </c>
      <c r="I8" s="15">
        <f>'[5]Dia 8 (b)'!$X14</f>
        <v>13.145786402629959</v>
      </c>
      <c r="J8" s="15">
        <f>'[5]Dia 9 (b)'!$X14</f>
        <v>13.044134655287221</v>
      </c>
      <c r="K8" s="15">
        <f>'[5]Dia 10 (b)'!$X14</f>
        <v>14.585090721880617</v>
      </c>
      <c r="L8" s="15">
        <f>'[5]Dia 11 (b)'!$X14</f>
        <v>12.353898500071693</v>
      </c>
      <c r="M8" s="15">
        <f>'[5]Dia 12 (b)'!$X14</f>
        <v>10.035706302721788</v>
      </c>
      <c r="N8" s="15">
        <f>'[5]Dia 13 (b)'!$X14</f>
        <v>9.7237307639732773</v>
      </c>
      <c r="O8" s="15">
        <f>'[5]Dia 14 (b)'!$X14</f>
        <v>8.4287065479362262</v>
      </c>
      <c r="P8" s="15">
        <f>'[5]Dia 15 (b)'!$X14</f>
        <v>7.979225842355322</v>
      </c>
      <c r="Q8" s="15">
        <f>'[5]Dia 16 (b)'!$X14</f>
        <v>7.2708638836040533</v>
      </c>
      <c r="R8" s="15">
        <f>'[5]Dia 17 (b)'!$X14</f>
        <v>9.5309307125835332</v>
      </c>
      <c r="S8" s="15">
        <f>'[5]Dia 18 (b)'!$X14</f>
        <v>8.7858077916049062</v>
      </c>
      <c r="T8" s="15">
        <f>'[5]Dia 19 (b)'!$X14</f>
        <v>8.3922086187618028</v>
      </c>
      <c r="U8" s="15">
        <f>'[5]Dia 20 (b)'!$X14</f>
        <v>9.1244112903192072</v>
      </c>
      <c r="V8" s="15">
        <f>'[5]Dia 21 (b)'!$X14</f>
        <v>8.6205383750050437</v>
      </c>
      <c r="W8" s="15">
        <f>'[5]Dia 22 (b)'!$X14</f>
        <v>9.3749433215730384</v>
      </c>
      <c r="X8" s="15">
        <f>'[5]Dia 23 (b)'!$X14</f>
        <v>9.3325025394661001</v>
      </c>
      <c r="Y8" s="15">
        <f>'[5]Dia 24 (b)'!$X14</f>
        <v>9.2610631134969186</v>
      </c>
      <c r="Z8" s="15">
        <f>'[5]Dia 25 (b)'!$X14</f>
        <v>11.742674510827637</v>
      </c>
      <c r="AA8" s="15">
        <f>'[5]Dia 26 (b)'!$X14</f>
        <v>10.650862125876463</v>
      </c>
      <c r="AB8" s="15">
        <f>'[5]Dia 27 (b)'!$X14</f>
        <v>11.293822301885907</v>
      </c>
      <c r="AC8" s="15">
        <f>'[5]Dia 28 (b)'!$X14</f>
        <v>12.632902622501978</v>
      </c>
      <c r="AD8" s="15">
        <f>'[5]Dia 29 (b)'!$X14</f>
        <v>11.367451995589217</v>
      </c>
      <c r="AE8" s="15">
        <f>'[5]Dia 30 (b)'!$X14</f>
        <v>10.145983827155582</v>
      </c>
      <c r="AF8" s="15">
        <f>'[5]Dia 31 (b)'!$X14</f>
        <v>11.127531660446582</v>
      </c>
    </row>
    <row r="9" spans="1:32" ht="20.100000000000001" customHeight="1">
      <c r="A9" s="14">
        <v>6</v>
      </c>
      <c r="B9" s="15">
        <f>'[5]Dia 1 (b)'!$X15</f>
        <v>13.156759216587082</v>
      </c>
      <c r="C9" s="15">
        <f>'[5]Dia 2 (b)'!$X15</f>
        <v>13.231783529051066</v>
      </c>
      <c r="D9" s="15">
        <f>'[5]Dia 3 (b)'!$X15</f>
        <v>12.338029072095091</v>
      </c>
      <c r="E9" s="15">
        <f>'[5]Dia 4 (b)'!$X15</f>
        <v>13.862980726323244</v>
      </c>
      <c r="F9" s="15">
        <f>'[5]Dia 5 (b)'!$X15</f>
        <v>13.036618677922734</v>
      </c>
      <c r="G9" s="15">
        <f>'[5]Dia 6 (b)'!$X15</f>
        <v>13.354387724360256</v>
      </c>
      <c r="H9" s="15">
        <f>'[5]Dia 7 (b)'!$X15</f>
        <v>12.780057908373859</v>
      </c>
      <c r="I9" s="15">
        <f>'[5]Dia 8 (b)'!$X15</f>
        <v>12.895966471380806</v>
      </c>
      <c r="J9" s="15">
        <f>'[5]Dia 9 (b)'!$X15</f>
        <v>12.795816535881702</v>
      </c>
      <c r="K9" s="15">
        <f>'[5]Dia 10 (b)'!$X15</f>
        <v>14.215104744459055</v>
      </c>
      <c r="L9" s="15">
        <f>'[5]Dia 11 (b)'!$X15</f>
        <v>12.349745528817497</v>
      </c>
      <c r="M9" s="15">
        <f>'[5]Dia 12 (b)'!$X15</f>
        <v>9.9693147909459849</v>
      </c>
      <c r="N9" s="15">
        <f>'[5]Dia 13 (b)'!$X15</f>
        <v>9.7226106570273334</v>
      </c>
      <c r="O9" s="15">
        <f>'[5]Dia 14 (b)'!$X15</f>
        <v>8.2552021641020605</v>
      </c>
      <c r="P9" s="15">
        <f>'[5]Dia 15 (b)'!$X15</f>
        <v>7.9209154164422415</v>
      </c>
      <c r="Q9" s="15">
        <f>'[5]Dia 16 (b)'!$X15</f>
        <v>7.169303048569879</v>
      </c>
      <c r="R9" s="15">
        <f>'[5]Dia 17 (b)'!$X15</f>
        <v>9.2028972046014754</v>
      </c>
      <c r="S9" s="15">
        <f>'[5]Dia 18 (b)'!$X15</f>
        <v>8.8381512696368585</v>
      </c>
      <c r="T9" s="15">
        <f>'[5]Dia 19 (b)'!$X15</f>
        <v>9.1467359611702292</v>
      </c>
      <c r="U9" s="15">
        <f>'[5]Dia 20 (b)'!$X15</f>
        <v>8.9419027612245596</v>
      </c>
      <c r="V9" s="15">
        <f>'[5]Dia 21 (b)'!$X15</f>
        <v>8.5013979235509574</v>
      </c>
      <c r="W9" s="15">
        <f>'[5]Dia 22 (b)'!$X15</f>
        <v>9.204433961827819</v>
      </c>
      <c r="X9" s="15">
        <f>'[5]Dia 23 (b)'!$X15</f>
        <v>9.2614490737403621</v>
      </c>
      <c r="Y9" s="15">
        <f>'[5]Dia 24 (b)'!$X15</f>
        <v>9.104833061686044</v>
      </c>
      <c r="Z9" s="15">
        <f>'[5]Dia 25 (b)'!$X15</f>
        <v>11.614764317425813</v>
      </c>
      <c r="AA9" s="15">
        <f>'[5]Dia 26 (b)'!$X15</f>
        <v>10.689899374578308</v>
      </c>
      <c r="AB9" s="15">
        <f>'[5]Dia 27 (b)'!$X15</f>
        <v>11.620039025430584</v>
      </c>
      <c r="AC9" s="15">
        <f>'[5]Dia 28 (b)'!$X15</f>
        <v>12.569564729776712</v>
      </c>
      <c r="AD9" s="15">
        <f>'[5]Dia 29 (b)'!$X15</f>
        <v>11.21342179986183</v>
      </c>
      <c r="AE9" s="15">
        <f>'[5]Dia 30 (b)'!$X15</f>
        <v>10.371381446900919</v>
      </c>
      <c r="AF9" s="15">
        <f>'[5]Dia 31 (b)'!$X15</f>
        <v>11.268659625557097</v>
      </c>
    </row>
    <row r="10" spans="1:32" ht="20.100000000000001" customHeight="1">
      <c r="A10" s="14">
        <v>7</v>
      </c>
      <c r="B10" s="15">
        <f>'[5]Dia 1 (b)'!$X16</f>
        <v>13.180847156668262</v>
      </c>
      <c r="C10" s="15">
        <f>'[5]Dia 2 (b)'!$X16</f>
        <v>13.410960238132985</v>
      </c>
      <c r="D10" s="15">
        <f>'[5]Dia 3 (b)'!$X16</f>
        <v>12.896745963440267</v>
      </c>
      <c r="E10" s="15">
        <f>'[5]Dia 4 (b)'!$X16</f>
        <v>13.396700774486147</v>
      </c>
      <c r="F10" s="15">
        <f>'[5]Dia 5 (b)'!$X16</f>
        <v>13.265699495609718</v>
      </c>
      <c r="G10" s="15">
        <f>'[5]Dia 6 (b)'!$X16</f>
        <v>13.146725240849833</v>
      </c>
      <c r="H10" s="15">
        <f>'[5]Dia 7 (b)'!$X16</f>
        <v>12.663219422413102</v>
      </c>
      <c r="I10" s="15">
        <f>'[5]Dia 8 (b)'!$X16</f>
        <v>12.952337437851932</v>
      </c>
      <c r="J10" s="15">
        <f>'[5]Dia 9 (b)'!$X16</f>
        <v>12.834817894477851</v>
      </c>
      <c r="K10" s="15">
        <f>'[5]Dia 10 (b)'!$X16</f>
        <v>14.269745700678506</v>
      </c>
      <c r="L10" s="15">
        <f>'[5]Dia 11 (b)'!$X16</f>
        <v>11.772899378425915</v>
      </c>
      <c r="M10" s="15">
        <f>'[5]Dia 12 (b)'!$X16</f>
        <v>9.3416616155956653</v>
      </c>
      <c r="N10" s="15">
        <f>'[5]Dia 13 (b)'!$X16</f>
        <v>9.6967503686637251</v>
      </c>
      <c r="O10" s="15">
        <f>'[5]Dia 14 (b)'!$X16</f>
        <v>9.1700113527431188</v>
      </c>
      <c r="P10" s="15">
        <f>'[5]Dia 15 (b)'!$X16</f>
        <v>7.8382522132806658</v>
      </c>
      <c r="Q10" s="15">
        <f>'[5]Dia 16 (b)'!$X16</f>
        <v>7.2859482812481042</v>
      </c>
      <c r="R10" s="15">
        <f>'[5]Dia 17 (b)'!$X16</f>
        <v>9.6465638546765664</v>
      </c>
      <c r="S10" s="15">
        <f>'[5]Dia 18 (b)'!$X16</f>
        <v>9.5376016947170186</v>
      </c>
      <c r="T10" s="15">
        <f>'[5]Dia 19 (b)'!$X16</f>
        <v>8.837624994072554</v>
      </c>
      <c r="U10" s="15">
        <f>'[5]Dia 20 (b)'!$X16</f>
        <v>8.8890878990526936</v>
      </c>
      <c r="V10" s="15">
        <f>'[5]Dia 21 (b)'!$X16</f>
        <v>8.8692565253326752</v>
      </c>
      <c r="W10" s="15">
        <f>'[5]Dia 22 (b)'!$X16</f>
        <v>9.4525476771234018</v>
      </c>
      <c r="X10" s="15">
        <f>'[5]Dia 23 (b)'!$X16</f>
        <v>9.4747230966441549</v>
      </c>
      <c r="Y10" s="15">
        <f>'[5]Dia 24 (b)'!$X16</f>
        <v>9.1659968552167115</v>
      </c>
      <c r="Z10" s="15">
        <f>'[5]Dia 25 (b)'!$X16</f>
        <v>11.593896971563916</v>
      </c>
      <c r="AA10" s="15">
        <f>'[5]Dia 26 (b)'!$X16</f>
        <v>10.780274146018153</v>
      </c>
      <c r="AB10" s="15">
        <f>'[5]Dia 27 (b)'!$X16</f>
        <v>11.59725880836222</v>
      </c>
      <c r="AC10" s="15">
        <f>'[5]Dia 28 (b)'!$X16</f>
        <v>12.744260770412385</v>
      </c>
      <c r="AD10" s="15">
        <f>'[5]Dia 29 (b)'!$X16</f>
        <v>11.242243957654766</v>
      </c>
      <c r="AE10" s="15">
        <f>'[5]Dia 30 (b)'!$X16</f>
        <v>10.254951732998943</v>
      </c>
      <c r="AF10" s="15">
        <f>'[5]Dia 31 (b)'!$X16</f>
        <v>11.276612501184699</v>
      </c>
    </row>
    <row r="11" spans="1:32" ht="20.100000000000001" customHeight="1">
      <c r="A11" s="14">
        <v>8</v>
      </c>
      <c r="B11" s="15">
        <f>'[5]Dia 1 (b)'!$X17</f>
        <v>13.0194694534276</v>
      </c>
      <c r="C11" s="15">
        <f>'[5]Dia 2 (b)'!$X17</f>
        <v>13.508045915725944</v>
      </c>
      <c r="D11" s="15">
        <f>'[5]Dia 3 (b)'!$X17</f>
        <v>13.710342418484545</v>
      </c>
      <c r="E11" s="15">
        <f>'[5]Dia 4 (b)'!$X17</f>
        <v>13.313069997245751</v>
      </c>
      <c r="F11" s="15">
        <f>'[5]Dia 5 (b)'!$X17</f>
        <v>13.612150897590615</v>
      </c>
      <c r="G11" s="15">
        <f>'[5]Dia 6 (b)'!$X17</f>
        <v>13.322827863930963</v>
      </c>
      <c r="H11" s="15">
        <f>'[5]Dia 7 (b)'!$X17</f>
        <v>12.651211265746465</v>
      </c>
      <c r="I11" s="15">
        <f>'[5]Dia 8 (b)'!$X17</f>
        <v>14.01714294659047</v>
      </c>
      <c r="J11" s="15">
        <f>'[5]Dia 9 (b)'!$X17</f>
        <v>14.403695441026617</v>
      </c>
      <c r="K11" s="15">
        <f>'[5]Dia 10 (b)'!$X17</f>
        <v>14.171735841358283</v>
      </c>
      <c r="L11" s="15">
        <f>'[5]Dia 11 (b)'!$X17</f>
        <v>11.345723129524005</v>
      </c>
      <c r="M11" s="15">
        <f>'[5]Dia 12 (b)'!$X17</f>
        <v>9.6523637803838458</v>
      </c>
      <c r="N11" s="15">
        <f>'[5]Dia 13 (b)'!$X17</f>
        <v>9.5736446403565179</v>
      </c>
      <c r="O11" s="15">
        <f>'[5]Dia 14 (b)'!$X17</f>
        <v>9.5939199989666015</v>
      </c>
      <c r="P11" s="15">
        <f>'[5]Dia 15 (b)'!$X17</f>
        <v>9.7985577645312976</v>
      </c>
      <c r="Q11" s="15">
        <f>'[5]Dia 16 (b)'!$X17</f>
        <v>9.350204194215026</v>
      </c>
      <c r="R11" s="15">
        <f>'[5]Dia 17 (b)'!$X17</f>
        <v>10.371137664766598</v>
      </c>
      <c r="S11" s="15">
        <f>'[5]Dia 18 (b)'!$X17</f>
        <v>10.370902751365625</v>
      </c>
      <c r="T11" s="15">
        <f>'[5]Dia 19 (b)'!$X17</f>
        <v>8.7900385265514132</v>
      </c>
      <c r="U11" s="15">
        <f>'[5]Dia 20 (b)'!$X17</f>
        <v>8.9233098243386202</v>
      </c>
      <c r="V11" s="15">
        <f>'[5]Dia 21 (b)'!$X17</f>
        <v>10.205047928546726</v>
      </c>
      <c r="W11" s="15">
        <f>'[5]Dia 22 (b)'!$X17</f>
        <v>10.604814213973862</v>
      </c>
      <c r="X11" s="15">
        <f>'[5]Dia 23 (b)'!$X17</f>
        <v>10.753764300462224</v>
      </c>
      <c r="Y11" s="15">
        <f>'[5]Dia 24 (b)'!$X17</f>
        <v>10.793503566499437</v>
      </c>
      <c r="Z11" s="15">
        <f>'[5]Dia 25 (b)'!$X17</f>
        <v>11.538319196393829</v>
      </c>
      <c r="AA11" s="15">
        <f>'[5]Dia 26 (b)'!$X17</f>
        <v>10.721707424545203</v>
      </c>
      <c r="AB11" s="15">
        <f>'[5]Dia 27 (b)'!$X17</f>
        <v>11.931562244407294</v>
      </c>
      <c r="AC11" s="15">
        <f>'[5]Dia 28 (b)'!$X17</f>
        <v>12.908125629412684</v>
      </c>
      <c r="AD11" s="15">
        <f>'[5]Dia 29 (b)'!$X17</f>
        <v>11.456012692700851</v>
      </c>
      <c r="AE11" s="15">
        <f>'[5]Dia 30 (b)'!$X17</f>
        <v>10.205872539071017</v>
      </c>
      <c r="AF11" s="15">
        <f>'[5]Dia 31 (b)'!$X17</f>
        <v>11.511860210922334</v>
      </c>
    </row>
    <row r="12" spans="1:32" ht="20.100000000000001" customHeight="1">
      <c r="A12" s="14">
        <v>9</v>
      </c>
      <c r="B12" s="15">
        <f>'[5]Dia 1 (b)'!$X18</f>
        <v>13.04119285506118</v>
      </c>
      <c r="C12" s="15">
        <f>'[5]Dia 2 (b)'!$X18</f>
        <v>12.617243144741332</v>
      </c>
      <c r="D12" s="15">
        <f>'[5]Dia 3 (b)'!$X18</f>
        <v>13.552895887550831</v>
      </c>
      <c r="E12" s="15">
        <f>'[5]Dia 4 (b)'!$X18</f>
        <v>13.295172600994333</v>
      </c>
      <c r="F12" s="15">
        <f>'[5]Dia 5 (b)'!$X18</f>
        <v>13.936847886226426</v>
      </c>
      <c r="G12" s="15">
        <f>'[5]Dia 6 (b)'!$X18</f>
        <v>13.459604730983594</v>
      </c>
      <c r="H12" s="15">
        <f>'[5]Dia 7 (b)'!$X18</f>
        <v>13.086004585454569</v>
      </c>
      <c r="I12" s="15">
        <f>'[5]Dia 8 (b)'!$X18</f>
        <v>13.738698554780203</v>
      </c>
      <c r="J12" s="15">
        <f>'[5]Dia 9 (b)'!$X18</f>
        <v>14.001112717599002</v>
      </c>
      <c r="K12" s="15">
        <f>'[5]Dia 10 (b)'!$X18</f>
        <v>14.351358338225143</v>
      </c>
      <c r="L12" s="15">
        <f>'[5]Dia 11 (b)'!$X18</f>
        <v>11.65726093669657</v>
      </c>
      <c r="M12" s="15">
        <f>'[5]Dia 12 (b)'!$X18</f>
        <v>9.2558338520872727</v>
      </c>
      <c r="N12" s="15">
        <f>'[5]Dia 13 (b)'!$X18</f>
        <v>9.1479479492213365</v>
      </c>
      <c r="O12" s="15">
        <f>'[5]Dia 14 (b)'!$X18</f>
        <v>9.4350924238558775</v>
      </c>
      <c r="P12" s="15">
        <f>'[5]Dia 15 (b)'!$X18</f>
        <v>10.64128176753383</v>
      </c>
      <c r="Q12" s="15">
        <f>'[5]Dia 16 (b)'!$X18</f>
        <v>8.9088883810623489</v>
      </c>
      <c r="R12" s="15">
        <f>'[5]Dia 17 (b)'!$X18</f>
        <v>10.342742120650074</v>
      </c>
      <c r="S12" s="15">
        <f>'[5]Dia 18 (b)'!$X18</f>
        <v>8.8713792305275927</v>
      </c>
      <c r="T12" s="15">
        <f>'[5]Dia 19 (b)'!$X18</f>
        <v>8.4959137786593075</v>
      </c>
      <c r="U12" s="15">
        <f>'[5]Dia 20 (b)'!$X18</f>
        <v>8.9633953498946131</v>
      </c>
      <c r="V12" s="15">
        <f>'[5]Dia 21 (b)'!$X18</f>
        <v>10.105381953580229</v>
      </c>
      <c r="W12" s="15">
        <f>'[5]Dia 22 (b)'!$X18</f>
        <v>10.573250863598838</v>
      </c>
      <c r="X12" s="15">
        <f>'[5]Dia 23 (b)'!$X18</f>
        <v>10.633719457100703</v>
      </c>
      <c r="Y12" s="15">
        <f>'[5]Dia 24 (b)'!$X18</f>
        <v>10.927841467930397</v>
      </c>
      <c r="Z12" s="15">
        <f>'[5]Dia 25 (b)'!$X18</f>
        <v>11.695815697405658</v>
      </c>
      <c r="AA12" s="15">
        <f>'[5]Dia 26 (b)'!$X18</f>
        <v>10.807119222760884</v>
      </c>
      <c r="AB12" s="15">
        <f>'[5]Dia 27 (b)'!$X18</f>
        <v>11.676193953044173</v>
      </c>
      <c r="AC12" s="15">
        <f>'[5]Dia 28 (b)'!$X18</f>
        <v>12.743307834933134</v>
      </c>
      <c r="AD12" s="15">
        <f>'[5]Dia 29 (b)'!$X18</f>
        <v>10.909315651365747</v>
      </c>
      <c r="AE12" s="15">
        <f>'[5]Dia 30 (b)'!$X18</f>
        <v>10.398495530934039</v>
      </c>
      <c r="AF12" s="15">
        <f>'[5]Dia 31 (b)'!$X18</f>
        <v>11.573513903417714</v>
      </c>
    </row>
    <row r="13" spans="1:32" ht="20.100000000000001" customHeight="1">
      <c r="A13" s="14">
        <v>10</v>
      </c>
      <c r="B13" s="15">
        <f>'[5]Dia 1 (b)'!$X19</f>
        <v>12.560914860076357</v>
      </c>
      <c r="C13" s="15">
        <f>'[5]Dia 2 (b)'!$X19</f>
        <v>12.965800973259967</v>
      </c>
      <c r="D13" s="15">
        <f>'[5]Dia 3 (b)'!$X19</f>
        <v>13.626448547011622</v>
      </c>
      <c r="E13" s="15">
        <f>'[5]Dia 4 (b)'!$X19</f>
        <v>13.162319484330309</v>
      </c>
      <c r="F13" s="15">
        <f>'[5]Dia 5 (b)'!$X19</f>
        <v>12.435957716221882</v>
      </c>
      <c r="G13" s="15">
        <f>'[5]Dia 6 (b)'!$X19</f>
        <v>13.380462988871088</v>
      </c>
      <c r="H13" s="15">
        <f>'[5]Dia 7 (b)'!$X19</f>
        <v>13.024035200723066</v>
      </c>
      <c r="I13" s="15">
        <f>'[5]Dia 8 (b)'!$X19</f>
        <v>12.531124552784714</v>
      </c>
      <c r="J13" s="15">
        <f>'[5]Dia 9 (b)'!$X19</f>
        <v>14.084481576090443</v>
      </c>
      <c r="K13" s="15">
        <f>'[5]Dia 10 (b)'!$X19</f>
        <v>14.543461764015907</v>
      </c>
      <c r="L13" s="15">
        <f>'[5]Dia 11 (b)'!$X19</f>
        <v>11.002819101848948</v>
      </c>
      <c r="M13" s="15">
        <f>'[5]Dia 12 (b)'!$X19</f>
        <v>9.8273808001213769</v>
      </c>
      <c r="N13" s="15">
        <f>'[5]Dia 13 (b)'!$X19</f>
        <v>9.1450867266725044</v>
      </c>
      <c r="O13" s="15">
        <f>'[5]Dia 14 (b)'!$X19</f>
        <v>9.6731543372393958</v>
      </c>
      <c r="P13" s="15">
        <f>'[5]Dia 15 (b)'!$X19</f>
        <v>6.938244983726725</v>
      </c>
      <c r="Q13" s="15">
        <f>'[5]Dia 16 (b)'!$X19</f>
        <v>6.6033184256970996</v>
      </c>
      <c r="R13" s="15">
        <f>'[5]Dia 17 (b)'!$X19</f>
        <v>9.6986470761941348</v>
      </c>
      <c r="S13" s="15">
        <f>'[5]Dia 18 (b)'!$X19</f>
        <v>8.9884836236370766</v>
      </c>
      <c r="T13" s="15">
        <f>'[5]Dia 19 (b)'!$X19</f>
        <v>9.0820988634210309</v>
      </c>
      <c r="U13" s="15">
        <f>'[5]Dia 20 (b)'!$X19</f>
        <v>9.0460138197395175</v>
      </c>
      <c r="V13" s="15">
        <f>'[5]Dia 21 (b)'!$X19</f>
        <v>9.9089010129313131</v>
      </c>
      <c r="W13" s="15">
        <f>'[5]Dia 22 (b)'!$X19</f>
        <v>9.9449792736354006</v>
      </c>
      <c r="X13" s="15">
        <f>'[5]Dia 23 (b)'!$X19</f>
        <v>10.399669087933445</v>
      </c>
      <c r="Y13" s="15">
        <f>'[5]Dia 24 (b)'!$X19</f>
        <v>10.860505047952579</v>
      </c>
      <c r="Z13" s="15">
        <f>'[5]Dia 25 (b)'!$X19</f>
        <v>11.436067114812268</v>
      </c>
      <c r="AA13" s="15">
        <f>'[5]Dia 26 (b)'!$X19</f>
        <v>10.904423976281723</v>
      </c>
      <c r="AB13" s="15">
        <f>'[5]Dia 27 (b)'!$X19</f>
        <v>11.506663953586834</v>
      </c>
      <c r="AC13" s="15">
        <f>'[5]Dia 28 (b)'!$X19</f>
        <v>12.618528884841602</v>
      </c>
      <c r="AD13" s="15">
        <f>'[5]Dia 29 (b)'!$X19</f>
        <v>10.960634819013819</v>
      </c>
      <c r="AE13" s="15">
        <f>'[5]Dia 30 (b)'!$X19</f>
        <v>10.511469416646115</v>
      </c>
      <c r="AF13" s="15">
        <f>'[5]Dia 31 (b)'!$X19</f>
        <v>11.569002392313928</v>
      </c>
    </row>
    <row r="14" spans="1:32" ht="20.100000000000001" customHeight="1">
      <c r="A14" s="14">
        <v>11</v>
      </c>
      <c r="B14" s="15">
        <f>'[5]Dia 1 (b)'!$X20</f>
        <v>12.498674881442271</v>
      </c>
      <c r="C14" s="15">
        <f>'[5]Dia 2 (b)'!$X20</f>
        <v>13.009296589764352</v>
      </c>
      <c r="D14" s="15">
        <f>'[5]Dia 3 (b)'!$X20</f>
        <v>13.449810003206462</v>
      </c>
      <c r="E14" s="15">
        <f>'[5]Dia 4 (b)'!$X20</f>
        <v>13.022133458624223</v>
      </c>
      <c r="F14" s="15">
        <f>'[5]Dia 5 (b)'!$X20</f>
        <v>12.580569410638315</v>
      </c>
      <c r="G14" s="15">
        <f>'[5]Dia 6 (b)'!$X20</f>
        <v>13.182281118590804</v>
      </c>
      <c r="H14" s="15">
        <f>'[5]Dia 7 (b)'!$X20</f>
        <v>13.150965353983315</v>
      </c>
      <c r="I14" s="15">
        <f>'[5]Dia 8 (b)'!$X20</f>
        <v>12.172051894485985</v>
      </c>
      <c r="J14" s="15">
        <f>'[5]Dia 9 (b)'!$X20</f>
        <v>13.737677921453685</v>
      </c>
      <c r="K14" s="15">
        <f>'[5]Dia 10 (b)'!$X20</f>
        <v>14.246283120151112</v>
      </c>
      <c r="L14" s="15">
        <f>'[5]Dia 11 (b)'!$X20</f>
        <v>11.231993929761922</v>
      </c>
      <c r="M14" s="15">
        <f>'[5]Dia 12 (b)'!$X20</f>
        <v>9.6830531087313005</v>
      </c>
      <c r="N14" s="15">
        <f>'[5]Dia 13 (b)'!$X20</f>
        <v>9.5770441141633622</v>
      </c>
      <c r="O14" s="15">
        <f>'[5]Dia 14 (b)'!$X20</f>
        <v>9.1785850256440629</v>
      </c>
      <c r="P14" s="15">
        <f>'[5]Dia 15 (b)'!$X20</f>
        <v>7.392650505958315</v>
      </c>
      <c r="Q14" s="15">
        <f>'[5]Dia 16 (b)'!$X20</f>
        <v>6.3608123843636806</v>
      </c>
      <c r="R14" s="15">
        <f>'[5]Dia 17 (b)'!$X20</f>
        <v>8.5177015170396952</v>
      </c>
      <c r="S14" s="15">
        <f>'[5]Dia 18 (b)'!$X20</f>
        <v>8.8497448772545138</v>
      </c>
      <c r="T14" s="15">
        <f>'[5]Dia 19 (b)'!$X20</f>
        <v>8.6728909946236161</v>
      </c>
      <c r="U14" s="15">
        <f>'[5]Dia 20 (b)'!$X20</f>
        <v>9.0157096135706016</v>
      </c>
      <c r="V14" s="15">
        <f>'[5]Dia 21 (b)'!$X20</f>
        <v>8.6476718783384339</v>
      </c>
      <c r="W14" s="15">
        <f>'[5]Dia 22 (b)'!$X20</f>
        <v>9.3518205451109822</v>
      </c>
      <c r="X14" s="15">
        <f>'[5]Dia 23 (b)'!$X20</f>
        <v>8.906145247277184</v>
      </c>
      <c r="Y14" s="15">
        <f>'[5]Dia 24 (b)'!$X20</f>
        <v>10.406459058752144</v>
      </c>
      <c r="Z14" s="15">
        <f>'[5]Dia 25 (b)'!$X20</f>
        <v>11.647702856990227</v>
      </c>
      <c r="AA14" s="15">
        <f>'[5]Dia 26 (b)'!$X20</f>
        <v>10.654958246829075</v>
      </c>
      <c r="AB14" s="15">
        <f>'[5]Dia 27 (b)'!$X20</f>
        <v>11.270907570426491</v>
      </c>
      <c r="AC14" s="15">
        <f>'[5]Dia 28 (b)'!$X20</f>
        <v>11.908894719917164</v>
      </c>
      <c r="AD14" s="15">
        <f>'[5]Dia 29 (b)'!$X20</f>
        <v>10.834365137606046</v>
      </c>
      <c r="AE14" s="15">
        <f>'[5]Dia 30 (b)'!$X20</f>
        <v>9.9506081957972068</v>
      </c>
      <c r="AF14" s="15">
        <f>'[5]Dia 31 (b)'!$X20</f>
        <v>11.807710353882513</v>
      </c>
    </row>
    <row r="15" spans="1:32" ht="20.100000000000001" customHeight="1">
      <c r="A15" s="14">
        <v>12</v>
      </c>
      <c r="B15" s="15">
        <f>'[5]Dia 1 (b)'!$X21</f>
        <v>12.619394364182597</v>
      </c>
      <c r="C15" s="15">
        <f>'[5]Dia 2 (b)'!$X21</f>
        <v>12.479450558191527</v>
      </c>
      <c r="D15" s="15">
        <f>'[5]Dia 3 (b)'!$X21</f>
        <v>13.008363765398895</v>
      </c>
      <c r="E15" s="15">
        <f>'[5]Dia 4 (b)'!$X21</f>
        <v>11.156836396138244</v>
      </c>
      <c r="F15" s="15">
        <f>'[5]Dia 5 (b)'!$X21</f>
        <v>12.770224053452962</v>
      </c>
      <c r="G15" s="15">
        <f>'[5]Dia 6 (b)'!$X21</f>
        <v>13.498146724859396</v>
      </c>
      <c r="H15" s="15">
        <f>'[5]Dia 7 (b)'!$X21</f>
        <v>12.764912827193852</v>
      </c>
      <c r="I15" s="15">
        <f>'[5]Dia 8 (b)'!$X21</f>
        <v>13.110760483700238</v>
      </c>
      <c r="J15" s="15">
        <f>'[5]Dia 9 (b)'!$X21</f>
        <v>13.232981153002942</v>
      </c>
      <c r="K15" s="15">
        <f>'[5]Dia 10 (b)'!$X21</f>
        <v>14.111242556556173</v>
      </c>
      <c r="L15" s="15">
        <f>'[5]Dia 11 (b)'!$X21</f>
        <v>11.239103683969084</v>
      </c>
      <c r="M15" s="15">
        <f>'[5]Dia 12 (b)'!$X21</f>
        <v>9.127149792538539</v>
      </c>
      <c r="N15" s="15">
        <f>'[5]Dia 13 (b)'!$X21</f>
        <v>9.8378091829002781</v>
      </c>
      <c r="O15" s="15">
        <f>'[5]Dia 14 (b)'!$X21</f>
        <v>8.6009658626812016</v>
      </c>
      <c r="P15" s="15">
        <f>'[5]Dia 15 (b)'!$X21</f>
        <v>6.0783448207660227</v>
      </c>
      <c r="Q15" s="15">
        <f>'[5]Dia 16 (b)'!$X21</f>
        <v>6.7068313880451411</v>
      </c>
      <c r="R15" s="15">
        <f>'[5]Dia 17 (b)'!$X21</f>
        <v>8.5929943313239967</v>
      </c>
      <c r="S15" s="15">
        <f>'[5]Dia 18 (b)'!$X21</f>
        <v>8.7875242135899985</v>
      </c>
      <c r="T15" s="15">
        <f>'[5]Dia 19 (b)'!$X21</f>
        <v>8.6009176565722001</v>
      </c>
      <c r="U15" s="15">
        <f>'[5]Dia 20 (b)'!$X21</f>
        <v>8.749137204758572</v>
      </c>
      <c r="V15" s="15">
        <f>'[5]Dia 21 (b)'!$X21</f>
        <v>7.9192532404468894</v>
      </c>
      <c r="W15" s="15">
        <f>'[5]Dia 22 (b)'!$X21</f>
        <v>9.5817340825198478</v>
      </c>
      <c r="X15" s="15">
        <f>'[5]Dia 23 (b)'!$X21</f>
        <v>8.662371190545235</v>
      </c>
      <c r="Y15" s="15">
        <f>'[5]Dia 24 (b)'!$X21</f>
        <v>10.331587790210776</v>
      </c>
      <c r="Z15" s="15">
        <f>'[5]Dia 25 (b)'!$X21</f>
        <v>11.501714524701876</v>
      </c>
      <c r="AA15" s="15">
        <f>'[5]Dia 26 (b)'!$X21</f>
        <v>10.417230309453132</v>
      </c>
      <c r="AB15" s="15">
        <f>'[5]Dia 27 (b)'!$X21</f>
        <v>10.964783893983991</v>
      </c>
      <c r="AC15" s="15">
        <f>'[5]Dia 28 (b)'!$X21</f>
        <v>12.658090937562305</v>
      </c>
      <c r="AD15" s="15">
        <f>'[5]Dia 29 (b)'!$X21</f>
        <v>10.729746009331029</v>
      </c>
      <c r="AE15" s="15">
        <f>'[5]Dia 30 (b)'!$X21</f>
        <v>9.6773942347045541</v>
      </c>
      <c r="AF15" s="15">
        <f>'[5]Dia 31 (b)'!$X21</f>
        <v>11.970099347214409</v>
      </c>
    </row>
    <row r="16" spans="1:32" ht="20.100000000000001" customHeight="1">
      <c r="A16" s="14">
        <v>13</v>
      </c>
      <c r="B16" s="15">
        <f>'[5]Dia 1 (b)'!$X22</f>
        <v>11.787295036301598</v>
      </c>
      <c r="C16" s="15">
        <f>'[5]Dia 2 (b)'!$X22</f>
        <v>12.306417228724928</v>
      </c>
      <c r="D16" s="15">
        <f>'[5]Dia 3 (b)'!$X22</f>
        <v>12.951202671146898</v>
      </c>
      <c r="E16" s="15">
        <f>'[5]Dia 4 (b)'!$X22</f>
        <v>10.272766438724828</v>
      </c>
      <c r="F16" s="15">
        <f>'[5]Dia 5 (b)'!$X22</f>
        <v>12.23223134682703</v>
      </c>
      <c r="G16" s="15">
        <f>'[5]Dia 6 (b)'!$X22</f>
        <v>13.241965700926473</v>
      </c>
      <c r="H16" s="15">
        <f>'[5]Dia 7 (b)'!$X22</f>
        <v>13.237817374595545</v>
      </c>
      <c r="I16" s="15">
        <f>'[5]Dia 8 (b)'!$X22</f>
        <v>12.722460348503589</v>
      </c>
      <c r="J16" s="15">
        <f>'[5]Dia 9 (b)'!$X22</f>
        <v>13.785275024885266</v>
      </c>
      <c r="K16" s="15">
        <f>'[5]Dia 10 (b)'!$X22</f>
        <v>14.044344534212685</v>
      </c>
      <c r="L16" s="15">
        <f>'[5]Dia 11 (b)'!$X22</f>
        <v>10.343847521600795</v>
      </c>
      <c r="M16" s="15">
        <f>'[5]Dia 12 (b)'!$X22</f>
        <v>9.6467778280060283</v>
      </c>
      <c r="N16" s="15">
        <f>'[5]Dia 13 (b)'!$X22</f>
        <v>9.0642263103615281</v>
      </c>
      <c r="O16" s="15">
        <f>'[5]Dia 14 (b)'!$X22</f>
        <v>7.8057231858927771</v>
      </c>
      <c r="P16" s="15">
        <f>'[5]Dia 15 (b)'!$X22</f>
        <v>6.7857144268728167</v>
      </c>
      <c r="Q16" s="15">
        <f>'[5]Dia 16 (b)'!$X22</f>
        <v>6.9529208593055953</v>
      </c>
      <c r="R16" s="15">
        <f>'[5]Dia 17 (b)'!$X22</f>
        <v>8.3829088596832779</v>
      </c>
      <c r="S16" s="15">
        <f>'[5]Dia 18 (b)'!$X22</f>
        <v>8.5724088698468055</v>
      </c>
      <c r="T16" s="15">
        <f>'[5]Dia 19 (b)'!$X22</f>
        <v>8.5420746075478018</v>
      </c>
      <c r="U16" s="15">
        <f>'[5]Dia 20 (b)'!$X22</f>
        <v>8.0698740225155543</v>
      </c>
      <c r="V16" s="15">
        <f>'[5]Dia 21 (b)'!$X22</f>
        <v>7.4546887161198061</v>
      </c>
      <c r="W16" s="15">
        <f>'[5]Dia 22 (b)'!$X22</f>
        <v>8.3666120348095312</v>
      </c>
      <c r="X16" s="15">
        <f>'[5]Dia 23 (b)'!$X22</f>
        <v>8.297415889251873</v>
      </c>
      <c r="Y16" s="15">
        <f>'[5]Dia 24 (b)'!$X22</f>
        <v>10.470823774377635</v>
      </c>
      <c r="Z16" s="15">
        <f>'[5]Dia 25 (b)'!$X22</f>
        <v>11.225588918842563</v>
      </c>
      <c r="AA16" s="15">
        <f>'[5]Dia 26 (b)'!$X22</f>
        <v>10.10251096720557</v>
      </c>
      <c r="AB16" s="15">
        <f>'[5]Dia 27 (b)'!$X22</f>
        <v>10.46068958942141</v>
      </c>
      <c r="AC16" s="15">
        <f>'[5]Dia 28 (b)'!$X22</f>
        <v>12.700815405995289</v>
      </c>
      <c r="AD16" s="15">
        <f>'[5]Dia 29 (b)'!$X22</f>
        <v>10.911928888364358</v>
      </c>
      <c r="AE16" s="15">
        <f>'[5]Dia 30 (b)'!$X22</f>
        <v>10.336530079733047</v>
      </c>
      <c r="AF16" s="15">
        <f>'[5]Dia 31 (b)'!$X22</f>
        <v>12.050608000026392</v>
      </c>
    </row>
    <row r="17" spans="1:32" ht="20.100000000000001" customHeight="1">
      <c r="A17" s="14">
        <v>14</v>
      </c>
      <c r="B17" s="15">
        <f>'[5]Dia 1 (b)'!$X23</f>
        <v>13.898032370614047</v>
      </c>
      <c r="C17" s="15">
        <f>'[5]Dia 2 (b)'!$X23</f>
        <v>13.351619740871493</v>
      </c>
      <c r="D17" s="15">
        <f>'[5]Dia 3 (b)'!$X23</f>
        <v>11.041084950778005</v>
      </c>
      <c r="E17" s="15">
        <f>'[5]Dia 4 (b)'!$X23</f>
        <v>10.070648960572736</v>
      </c>
      <c r="F17" s="15">
        <f>'[5]Dia 5 (b)'!$X23</f>
        <v>14.817349653183419</v>
      </c>
      <c r="G17" s="15">
        <f>'[5]Dia 6 (b)'!$X23</f>
        <v>12.83265789291932</v>
      </c>
      <c r="H17" s="15">
        <f>'[5]Dia 7 (b)'!$X23</f>
        <v>12.541320400976591</v>
      </c>
      <c r="I17" s="15">
        <f>'[5]Dia 8 (b)'!$X23</f>
        <v>11.301051295738644</v>
      </c>
      <c r="J17" s="15">
        <f>'[5]Dia 9 (b)'!$X23</f>
        <v>13.500713291390152</v>
      </c>
      <c r="K17" s="15">
        <f>'[5]Dia 10 (b)'!$X23</f>
        <v>13.933339634981207</v>
      </c>
      <c r="L17" s="15">
        <f>'[5]Dia 11 (b)'!$X23</f>
        <v>9.4407426965216139</v>
      </c>
      <c r="M17" s="15">
        <f>'[5]Dia 12 (b)'!$X23</f>
        <v>9.5076962554916431</v>
      </c>
      <c r="N17" s="15">
        <f>'[5]Dia 13 (b)'!$X23</f>
        <v>8.7377145922286541</v>
      </c>
      <c r="O17" s="15">
        <f>'[5]Dia 14 (b)'!$X23</f>
        <v>7.119705978472366</v>
      </c>
      <c r="P17" s="15">
        <f>'[5]Dia 15 (b)'!$X23</f>
        <v>6.4323011146131988</v>
      </c>
      <c r="Q17" s="15">
        <f>'[5]Dia 16 (b)'!$X23</f>
        <v>8.3074012398909645</v>
      </c>
      <c r="R17" s="15">
        <f>'[5]Dia 17 (b)'!$X23</f>
        <v>8.3334692117131155</v>
      </c>
      <c r="S17" s="15">
        <f>'[5]Dia 18 (b)'!$X23</f>
        <v>9.4585770185723579</v>
      </c>
      <c r="T17" s="15">
        <f>'[5]Dia 19 (b)'!$X23</f>
        <v>9.8766202913895711</v>
      </c>
      <c r="U17" s="15">
        <f>'[5]Dia 20 (b)'!$X23</f>
        <v>7.9268812002576023</v>
      </c>
      <c r="V17" s="15">
        <f>'[5]Dia 21 (b)'!$X23</f>
        <v>7.2899522288913605</v>
      </c>
      <c r="W17" s="15">
        <f>'[5]Dia 22 (b)'!$X23</f>
        <v>8.9328612645565038</v>
      </c>
      <c r="X17" s="15">
        <f>'[5]Dia 23 (b)'!$X23</f>
        <v>8.1846038590005392</v>
      </c>
      <c r="Y17" s="15">
        <f>'[5]Dia 24 (b)'!$X23</f>
        <v>10.358209178188106</v>
      </c>
      <c r="Z17" s="15">
        <f>'[5]Dia 25 (b)'!$X23</f>
        <v>11.382723476952538</v>
      </c>
      <c r="AA17" s="15">
        <f>'[5]Dia 26 (b)'!$X23</f>
        <v>9.6513509260987806</v>
      </c>
      <c r="AB17" s="15">
        <f>'[5]Dia 27 (b)'!$X23</f>
        <v>10.0480274512317</v>
      </c>
      <c r="AC17" s="15">
        <f>'[5]Dia 28 (b)'!$X23</f>
        <v>13.082267057083628</v>
      </c>
      <c r="AD17" s="15">
        <f>'[5]Dia 29 (b)'!$X23</f>
        <v>10.692661086889688</v>
      </c>
      <c r="AE17" s="15">
        <f>'[5]Dia 30 (b)'!$X23</f>
        <v>10.63527695875524</v>
      </c>
      <c r="AF17" s="15">
        <f>'[5]Dia 31 (b)'!$X23</f>
        <v>12.059461900092229</v>
      </c>
    </row>
    <row r="18" spans="1:32" ht="20.100000000000001" customHeight="1">
      <c r="A18" s="14">
        <v>15</v>
      </c>
      <c r="B18" s="15">
        <f>'[5]Dia 1 (b)'!$X24</f>
        <v>14.379041005213162</v>
      </c>
      <c r="C18" s="15">
        <f>'[5]Dia 2 (b)'!$X24</f>
        <v>14.529981977725495</v>
      </c>
      <c r="D18" s="15">
        <f>'[5]Dia 3 (b)'!$X24</f>
        <v>11.469193270173299</v>
      </c>
      <c r="E18" s="15">
        <f>'[5]Dia 4 (b)'!$X24</f>
        <v>10.381610429793199</v>
      </c>
      <c r="F18" s="15">
        <f>'[5]Dia 5 (b)'!$X24</f>
        <v>15.223603627639703</v>
      </c>
      <c r="G18" s="15">
        <f>'[5]Dia 6 (b)'!$X24</f>
        <v>13.202387563448195</v>
      </c>
      <c r="H18" s="15">
        <f>'[5]Dia 7 (b)'!$X24</f>
        <v>11.779609531452159</v>
      </c>
      <c r="I18" s="15">
        <f>'[5]Dia 8 (b)'!$X24</f>
        <v>11.962616879052053</v>
      </c>
      <c r="J18" s="15">
        <f>'[5]Dia 9 (b)'!$X24</f>
        <v>14.869096666004273</v>
      </c>
      <c r="K18" s="15">
        <f>'[5]Dia 10 (b)'!$X24</f>
        <v>13.619910449129664</v>
      </c>
      <c r="L18" s="15">
        <f>'[5]Dia 11 (b)'!$X24</f>
        <v>11.08445531686734</v>
      </c>
      <c r="M18" s="15">
        <f>'[5]Dia 12 (b)'!$X24</f>
        <v>9.9455927411855072</v>
      </c>
      <c r="N18" s="15">
        <f>'[5]Dia 13 (b)'!$X24</f>
        <v>8.4944739976787904</v>
      </c>
      <c r="O18" s="15">
        <f>'[5]Dia 14 (b)'!$X24</f>
        <v>7.3999787670957984</v>
      </c>
      <c r="P18" s="15">
        <f>'[5]Dia 15 (b)'!$X24</f>
        <v>6.3661805780307139</v>
      </c>
      <c r="Q18" s="15">
        <f>'[5]Dia 16 (b)'!$X24</f>
        <v>9.4040629470295372</v>
      </c>
      <c r="R18" s="15">
        <f>'[5]Dia 17 (b)'!$X24</f>
        <v>8.6690238405679185</v>
      </c>
      <c r="S18" s="15">
        <f>'[5]Dia 18 (b)'!$X24</f>
        <v>9.4387021524187809</v>
      </c>
      <c r="T18" s="15">
        <f>'[5]Dia 19 (b)'!$X24</f>
        <v>10.215567613035343</v>
      </c>
      <c r="U18" s="15">
        <f>'[5]Dia 20 (b)'!$X24</f>
        <v>7.7234224934488811</v>
      </c>
      <c r="V18" s="15">
        <f>'[5]Dia 21 (b)'!$X24</f>
        <v>7.2051306824359367</v>
      </c>
      <c r="W18" s="15">
        <f>'[5]Dia 22 (b)'!$X24</f>
        <v>8.8598257087531707</v>
      </c>
      <c r="X18" s="15">
        <f>'[5]Dia 23 (b)'!$X24</f>
        <v>8.9589663952446852</v>
      </c>
      <c r="Y18" s="15">
        <f>'[5]Dia 24 (b)'!$X24</f>
        <v>10.402390809863675</v>
      </c>
      <c r="Z18" s="15">
        <f>'[5]Dia 25 (b)'!$X24</f>
        <v>11.556915569612775</v>
      </c>
      <c r="AA18" s="15">
        <f>'[5]Dia 26 (b)'!$X24</f>
        <v>8.6975327428058176</v>
      </c>
      <c r="AB18" s="15">
        <f>'[5]Dia 27 (b)'!$X24</f>
        <v>10.603263437418246</v>
      </c>
      <c r="AC18" s="15">
        <f>'[5]Dia 28 (b)'!$X24</f>
        <v>13.401594672201419</v>
      </c>
      <c r="AD18" s="15">
        <f>'[5]Dia 29 (b)'!$X24</f>
        <v>11.461664178351949</v>
      </c>
      <c r="AE18" s="15">
        <f>'[5]Dia 30 (b)'!$X24</f>
        <v>10.721826747890976</v>
      </c>
      <c r="AF18" s="15">
        <f>'[5]Dia 31 (b)'!$X24</f>
        <v>11.746719021460144</v>
      </c>
    </row>
    <row r="19" spans="1:32" ht="20.100000000000001" customHeight="1">
      <c r="A19" s="14">
        <v>16</v>
      </c>
      <c r="B19" s="15">
        <f>'[5]Dia 1 (b)'!$X25</f>
        <v>13.866429558622245</v>
      </c>
      <c r="C19" s="15">
        <f>'[5]Dia 2 (b)'!$X25</f>
        <v>14.356206873308162</v>
      </c>
      <c r="D19" s="15">
        <f>'[5]Dia 3 (b)'!$X25</f>
        <v>15.040661512356756</v>
      </c>
      <c r="E19" s="15">
        <f>'[5]Dia 4 (b)'!$X25</f>
        <v>10.111874496827843</v>
      </c>
      <c r="F19" s="15">
        <f>'[5]Dia 5 (b)'!$X25</f>
        <v>15.325308976687335</v>
      </c>
      <c r="G19" s="15">
        <f>'[5]Dia 6 (b)'!$X25</f>
        <v>15.163824172695444</v>
      </c>
      <c r="H19" s="15">
        <f>'[5]Dia 7 (b)'!$X25</f>
        <v>13.390331807072437</v>
      </c>
      <c r="I19" s="15">
        <f>'[5]Dia 8 (b)'!$X25</f>
        <v>11.781090143274152</v>
      </c>
      <c r="J19" s="15">
        <f>'[5]Dia 9 (b)'!$X25</f>
        <v>14.338512418057309</v>
      </c>
      <c r="K19" s="15">
        <f>'[5]Dia 10 (b)'!$X25</f>
        <v>13.518471762871998</v>
      </c>
      <c r="L19" s="15">
        <f>'[5]Dia 11 (b)'!$X25</f>
        <v>11.045655283079444</v>
      </c>
      <c r="M19" s="15">
        <f>'[5]Dia 12 (b)'!$X25</f>
        <v>9.8677667571154739</v>
      </c>
      <c r="N19" s="15">
        <f>'[5]Dia 13 (b)'!$X25</f>
        <v>9.8547992770905779</v>
      </c>
      <c r="O19" s="15">
        <f>'[5]Dia 14 (b)'!$X25</f>
        <v>7.8713406420989127</v>
      </c>
      <c r="P19" s="15">
        <f>'[5]Dia 15 (b)'!$X25</f>
        <v>6.8764662402738761</v>
      </c>
      <c r="Q19" s="15">
        <f>'[5]Dia 16 (b)'!$X25</f>
        <v>8.8805913201243367</v>
      </c>
      <c r="R19" s="15">
        <f>'[5]Dia 17 (b)'!$X25</f>
        <v>8.8353887769700314</v>
      </c>
      <c r="S19" s="15">
        <f>'[5]Dia 18 (b)'!$X25</f>
        <v>9.0590405664122109</v>
      </c>
      <c r="T19" s="15">
        <f>'[5]Dia 19 (b)'!$X25</f>
        <v>9.5502436392777881</v>
      </c>
      <c r="U19" s="15">
        <f>'[5]Dia 20 (b)'!$X25</f>
        <v>7.8081509138400822</v>
      </c>
      <c r="V19" s="15">
        <f>'[5]Dia 21 (b)'!$X25</f>
        <v>6.8761762763538945</v>
      </c>
      <c r="W19" s="15">
        <f>'[5]Dia 22 (b)'!$X25</f>
        <v>11.113273519604569</v>
      </c>
      <c r="X19" s="15">
        <f>'[5]Dia 23 (b)'!$X25</f>
        <v>9.0186562695004326</v>
      </c>
      <c r="Y19" s="15">
        <f>'[5]Dia 24 (b)'!$X25</f>
        <v>10.322774404367536</v>
      </c>
      <c r="Z19" s="15">
        <f>'[5]Dia 25 (b)'!$X25</f>
        <v>13.197171084618086</v>
      </c>
      <c r="AA19" s="15">
        <f>'[5]Dia 26 (b)'!$X25</f>
        <v>8.6229855094236889</v>
      </c>
      <c r="AB19" s="15">
        <f>'[5]Dia 27 (b)'!$X25</f>
        <v>10.821307531303843</v>
      </c>
      <c r="AC19" s="15">
        <f>'[5]Dia 28 (b)'!$X25</f>
        <v>13.06552315802756</v>
      </c>
      <c r="AD19" s="15">
        <f>'[5]Dia 29 (b)'!$X25</f>
        <v>10.921089058839957</v>
      </c>
      <c r="AE19" s="15">
        <f>'[5]Dia 30 (b)'!$X25</f>
        <v>10.701501186957758</v>
      </c>
      <c r="AF19" s="15">
        <f>'[5]Dia 31 (b)'!$X25</f>
        <v>11.859687531320033</v>
      </c>
    </row>
    <row r="20" spans="1:32" ht="20.100000000000001" customHeight="1">
      <c r="A20" s="14">
        <v>17</v>
      </c>
      <c r="B20" s="15">
        <f>'[5]Dia 1 (b)'!$X26</f>
        <v>13.844176571887147</v>
      </c>
      <c r="C20" s="15">
        <f>'[5]Dia 2 (b)'!$X26</f>
        <v>13.921832929622727</v>
      </c>
      <c r="D20" s="15">
        <f>'[5]Dia 3 (b)'!$X26</f>
        <v>14.450240686443292</v>
      </c>
      <c r="E20" s="15">
        <f>'[5]Dia 4 (b)'!$X26</f>
        <v>10.779787124217354</v>
      </c>
      <c r="F20" s="15">
        <f>'[5]Dia 5 (b)'!$X26</f>
        <v>15.168174043476567</v>
      </c>
      <c r="G20" s="15">
        <f>'[5]Dia 6 (b)'!$X26</f>
        <v>14.424251781124154</v>
      </c>
      <c r="H20" s="15">
        <f>'[5]Dia 7 (b)'!$X26</f>
        <v>14.786299041265842</v>
      </c>
      <c r="I20" s="15">
        <f>'[5]Dia 8 (b)'!$X26</f>
        <v>12.784955525574825</v>
      </c>
      <c r="J20" s="15">
        <f>'[5]Dia 9 (b)'!$X26</f>
        <v>14.36780408906794</v>
      </c>
      <c r="K20" s="15">
        <f>'[5]Dia 10 (b)'!$X26</f>
        <v>12.860031875088218</v>
      </c>
      <c r="L20" s="15">
        <f>'[5]Dia 11 (b)'!$X26</f>
        <v>10.759134987946355</v>
      </c>
      <c r="M20" s="15">
        <f>'[5]Dia 12 (b)'!$X26</f>
        <v>9.7793833218231345</v>
      </c>
      <c r="N20" s="15">
        <f>'[5]Dia 13 (b)'!$X26</f>
        <v>9.9857572038270543</v>
      </c>
      <c r="O20" s="15">
        <f>'[5]Dia 14 (b)'!$X26</f>
        <v>10.976206814335374</v>
      </c>
      <c r="P20" s="15">
        <f>'[5]Dia 15 (b)'!$X26</f>
        <v>9.0447060118402209</v>
      </c>
      <c r="Q20" s="15">
        <f>'[5]Dia 16 (b)'!$X26</f>
        <v>9.415189456340876</v>
      </c>
      <c r="R20" s="15">
        <f>'[5]Dia 17 (b)'!$X26</f>
        <v>9.2052081097109006</v>
      </c>
      <c r="S20" s="15">
        <f>'[5]Dia 18 (b)'!$X26</f>
        <v>9.2605744881441581</v>
      </c>
      <c r="T20" s="15">
        <f>'[5]Dia 19 (b)'!$X26</f>
        <v>10.027868446247954</v>
      </c>
      <c r="U20" s="15">
        <f>'[5]Dia 20 (b)'!$X26</f>
        <v>9.6284976904994455</v>
      </c>
      <c r="V20" s="15">
        <f>'[5]Dia 21 (b)'!$X26</f>
        <v>11.118282968762886</v>
      </c>
      <c r="W20" s="15">
        <f>'[5]Dia 22 (b)'!$X26</f>
        <v>11.35843965518808</v>
      </c>
      <c r="X20" s="15">
        <f>'[5]Dia 23 (b)'!$X26</f>
        <v>9.3005858344860748</v>
      </c>
      <c r="Y20" s="15">
        <f>'[5]Dia 24 (b)'!$X26</f>
        <v>12.973370101020882</v>
      </c>
      <c r="Z20" s="15">
        <f>'[5]Dia 25 (b)'!$X26</f>
        <v>13.59918898230279</v>
      </c>
      <c r="AA20" s="15">
        <f>'[5]Dia 26 (b)'!$X26</f>
        <v>10.98966533554502</v>
      </c>
      <c r="AB20" s="15">
        <f>'[5]Dia 27 (b)'!$X26</f>
        <v>11.045114028363288</v>
      </c>
      <c r="AC20" s="15">
        <f>'[5]Dia 28 (b)'!$X26</f>
        <v>12.969693678711501</v>
      </c>
      <c r="AD20" s="15">
        <f>'[5]Dia 29 (b)'!$X26</f>
        <v>10.668757087871212</v>
      </c>
      <c r="AE20" s="15">
        <f>'[5]Dia 30 (b)'!$X26</f>
        <v>10.749996829552144</v>
      </c>
      <c r="AF20" s="15">
        <f>'[5]Dia 31 (b)'!$X26</f>
        <v>12.007202025327658</v>
      </c>
    </row>
    <row r="21" spans="1:32" ht="20.100000000000001" customHeight="1">
      <c r="A21" s="14">
        <v>18</v>
      </c>
      <c r="B21" s="15">
        <f>'[5]Dia 1 (b)'!$X27</f>
        <v>13.99069088656843</v>
      </c>
      <c r="C21" s="15">
        <f>'[5]Dia 2 (b)'!$X27</f>
        <v>13.985998479723881</v>
      </c>
      <c r="D21" s="15">
        <f>'[5]Dia 3 (b)'!$X27</f>
        <v>14.134575406207393</v>
      </c>
      <c r="E21" s="15">
        <f>'[5]Dia 4 (b)'!$X27</f>
        <v>13.422498136155925</v>
      </c>
      <c r="F21" s="15">
        <f>'[5]Dia 5 (b)'!$X27</f>
        <v>15.21171003949283</v>
      </c>
      <c r="G21" s="15">
        <f>'[5]Dia 6 (b)'!$X27</f>
        <v>14.277581259199707</v>
      </c>
      <c r="H21" s="15">
        <f>'[5]Dia 7 (b)'!$X27</f>
        <v>14.78296226489225</v>
      </c>
      <c r="I21" s="15">
        <f>'[5]Dia 8 (b)'!$X27</f>
        <v>12.735011692440807</v>
      </c>
      <c r="J21" s="15">
        <f>'[5]Dia 9 (b)'!$X27</f>
        <v>14.397620188682248</v>
      </c>
      <c r="K21" s="15">
        <f>'[5]Dia 10 (b)'!$X27</f>
        <v>12.686194683162459</v>
      </c>
      <c r="L21" s="15">
        <f>'[5]Dia 11 (b)'!$X27</f>
        <v>10.995704737903329</v>
      </c>
      <c r="M21" s="15">
        <f>'[5]Dia 12 (b)'!$X27</f>
        <v>9.4006820389425947</v>
      </c>
      <c r="N21" s="15">
        <f>'[5]Dia 13 (b)'!$X27</f>
        <v>9.6480518112507987</v>
      </c>
      <c r="O21" s="15">
        <f>'[5]Dia 14 (b)'!$X27</f>
        <v>10.904001470250655</v>
      </c>
      <c r="P21" s="15">
        <f>'[5]Dia 15 (b)'!$X27</f>
        <v>9.5126272253934268</v>
      </c>
      <c r="Q21" s="15">
        <f>'[5]Dia 16 (b)'!$X27</f>
        <v>10.106605321465842</v>
      </c>
      <c r="R21" s="15">
        <f>'[5]Dia 17 (b)'!$X27</f>
        <v>9.2181829993157898</v>
      </c>
      <c r="S21" s="15">
        <f>'[5]Dia 18 (b)'!$X27</f>
        <v>9.2290510510072998</v>
      </c>
      <c r="T21" s="15">
        <f>'[5]Dia 19 (b)'!$X27</f>
        <v>10.095301163528124</v>
      </c>
      <c r="U21" s="15">
        <f>'[5]Dia 20 (b)'!$X27</f>
        <v>10.402266605936299</v>
      </c>
      <c r="V21" s="15">
        <f>'[5]Dia 21 (b)'!$X27</f>
        <v>11.103212959640885</v>
      </c>
      <c r="W21" s="15">
        <f>'[5]Dia 22 (b)'!$X27</f>
        <v>11.854679407243562</v>
      </c>
      <c r="X21" s="15">
        <f>'[5]Dia 23 (b)'!$X27</f>
        <v>9.8441953836201694</v>
      </c>
      <c r="Y21" s="15">
        <f>'[5]Dia 24 (b)'!$X27</f>
        <v>12.867888674851962</v>
      </c>
      <c r="Z21" s="15">
        <f>'[5]Dia 25 (b)'!$X27</f>
        <v>13.292512713667801</v>
      </c>
      <c r="AA21" s="15">
        <f>'[5]Dia 26 (b)'!$X27</f>
        <v>10.218590815873343</v>
      </c>
      <c r="AB21" s="15">
        <f>'[5]Dia 27 (b)'!$X27</f>
        <v>10.883220875169037</v>
      </c>
      <c r="AC21" s="15">
        <f>'[5]Dia 28 (b)'!$X27</f>
        <v>12.708904437960081</v>
      </c>
      <c r="AD21" s="15">
        <f>'[5]Dia 29 (b)'!$X27</f>
        <v>10.686281218314233</v>
      </c>
      <c r="AE21" s="15">
        <f>'[5]Dia 30 (b)'!$X27</f>
        <v>10.714964276210626</v>
      </c>
      <c r="AF21" s="15">
        <f>'[5]Dia 31 (b)'!$X27</f>
        <v>11.925196272250819</v>
      </c>
    </row>
    <row r="22" spans="1:32" ht="20.100000000000001" customHeight="1">
      <c r="A22" s="14">
        <v>19</v>
      </c>
      <c r="B22" s="15">
        <f>'[5]Dia 1 (b)'!$X28</f>
        <v>13.801273323415545</v>
      </c>
      <c r="C22" s="15">
        <f>'[5]Dia 2 (b)'!$X28</f>
        <v>14.151052234324627</v>
      </c>
      <c r="D22" s="15">
        <f>'[5]Dia 3 (b)'!$X28</f>
        <v>14.380195990932569</v>
      </c>
      <c r="E22" s="15">
        <f>'[5]Dia 4 (b)'!$X28</f>
        <v>14.215548807336639</v>
      </c>
      <c r="F22" s="15">
        <f>'[5]Dia 5 (b)'!$X28</f>
        <v>15.024438587269071</v>
      </c>
      <c r="G22" s="15">
        <f>'[5]Dia 6 (b)'!$X28</f>
        <v>14.356630664056102</v>
      </c>
      <c r="H22" s="15">
        <f>'[5]Dia 7 (b)'!$X28</f>
        <v>14.681511489072919</v>
      </c>
      <c r="I22" s="15">
        <f>'[5]Dia 8 (b)'!$X28</f>
        <v>14.616924090478893</v>
      </c>
      <c r="J22" s="15">
        <f>'[5]Dia 9 (b)'!$X28</f>
        <v>14.67013977490334</v>
      </c>
      <c r="K22" s="15">
        <f>'[5]Dia 10 (b)'!$X28</f>
        <v>12.521015785687471</v>
      </c>
      <c r="L22" s="15">
        <f>'[5]Dia 11 (b)'!$X28</f>
        <v>10.963172447625729</v>
      </c>
      <c r="M22" s="15">
        <f>'[5]Dia 12 (b)'!$X28</f>
        <v>9.6763021804844129</v>
      </c>
      <c r="N22" s="15">
        <f>'[5]Dia 13 (b)'!$X28</f>
        <v>9.7236308266565459</v>
      </c>
      <c r="O22" s="15">
        <f>'[5]Dia 14 (b)'!$X28</f>
        <v>10.750739050110537</v>
      </c>
      <c r="P22" s="15">
        <f>'[5]Dia 15 (b)'!$X28</f>
        <v>8.9576624317053621</v>
      </c>
      <c r="Q22" s="15">
        <f>'[5]Dia 16 (b)'!$X28</f>
        <v>10.06867840759973</v>
      </c>
      <c r="R22" s="15">
        <f>'[5]Dia 17 (b)'!$X28</f>
        <v>9.6619463177446843</v>
      </c>
      <c r="S22" s="15">
        <f>'[5]Dia 18 (b)'!$X28</f>
        <v>9.3529348944705291</v>
      </c>
      <c r="T22" s="15">
        <f>'[5]Dia 19 (b)'!$X28</f>
        <v>10.050075183939446</v>
      </c>
      <c r="U22" s="15">
        <f>'[5]Dia 20 (b)'!$X28</f>
        <v>10.235619200007164</v>
      </c>
      <c r="V22" s="15">
        <f>'[5]Dia 21 (b)'!$X28</f>
        <v>10.968579058603407</v>
      </c>
      <c r="W22" s="15">
        <f>'[5]Dia 22 (b)'!$X28</f>
        <v>11.852749693331235</v>
      </c>
      <c r="X22" s="15">
        <f>'[5]Dia 23 (b)'!$X28</f>
        <v>10.367362022697108</v>
      </c>
      <c r="Y22" s="15">
        <f>'[5]Dia 24 (b)'!$X28</f>
        <v>12.890996269374588</v>
      </c>
      <c r="Z22" s="15">
        <f>'[5]Dia 25 (b)'!$X28</f>
        <v>13.021927164937102</v>
      </c>
      <c r="AA22" s="15">
        <f>'[5]Dia 26 (b)'!$X28</f>
        <v>10.794023678276229</v>
      </c>
      <c r="AB22" s="15">
        <f>'[5]Dia 27 (b)'!$X28</f>
        <v>11.218244005893238</v>
      </c>
      <c r="AC22" s="15">
        <f>'[5]Dia 28 (b)'!$X28</f>
        <v>12.457728873157693</v>
      </c>
      <c r="AD22" s="15">
        <f>'[5]Dia 29 (b)'!$X28</f>
        <v>10.455730368223156</v>
      </c>
      <c r="AE22" s="15">
        <f>'[5]Dia 30 (b)'!$X28</f>
        <v>10.711379766984905</v>
      </c>
      <c r="AF22" s="15">
        <f>'[5]Dia 31 (b)'!$X28</f>
        <v>11.727740337045033</v>
      </c>
    </row>
    <row r="23" spans="1:32" ht="20.100000000000001" customHeight="1">
      <c r="A23" s="14">
        <v>20</v>
      </c>
      <c r="B23" s="15">
        <f>'[5]Dia 1 (b)'!$X29</f>
        <v>13.830113567843851</v>
      </c>
      <c r="C23" s="15">
        <f>'[5]Dia 2 (b)'!$X29</f>
        <v>13.432874708709834</v>
      </c>
      <c r="D23" s="15">
        <f>'[5]Dia 3 (b)'!$X29</f>
        <v>14.14449100283867</v>
      </c>
      <c r="E23" s="15">
        <f>'[5]Dia 4 (b)'!$X29</f>
        <v>14.30847622812054</v>
      </c>
      <c r="F23" s="15">
        <f>'[5]Dia 5 (b)'!$X29</f>
        <v>14.849046687625094</v>
      </c>
      <c r="G23" s="15">
        <f>'[5]Dia 6 (b)'!$X29</f>
        <v>13.893887846601364</v>
      </c>
      <c r="H23" s="15">
        <f>'[5]Dia 7 (b)'!$X29</f>
        <v>14.392655014970726</v>
      </c>
      <c r="I23" s="15">
        <f>'[5]Dia 8 (b)'!$X29</f>
        <v>14.026114760404273</v>
      </c>
      <c r="J23" s="15">
        <f>'[5]Dia 9 (b)'!$X29</f>
        <v>14.389037313378632</v>
      </c>
      <c r="K23" s="15">
        <f>'[5]Dia 10 (b)'!$X29</f>
        <v>12.520306751854569</v>
      </c>
      <c r="L23" s="15">
        <f>'[5]Dia 11 (b)'!$X29</f>
        <v>10.807269198665001</v>
      </c>
      <c r="M23" s="15">
        <f>'[5]Dia 12 (b)'!$X29</f>
        <v>9.7123472418416306</v>
      </c>
      <c r="N23" s="15">
        <f>'[5]Dia 13 (b)'!$X29</f>
        <v>9.5392403059407851</v>
      </c>
      <c r="O23" s="15">
        <f>'[5]Dia 14 (b)'!$X29</f>
        <v>10.368316222259407</v>
      </c>
      <c r="P23" s="15">
        <f>'[5]Dia 15 (b)'!$X29</f>
        <v>8.9056634549258185</v>
      </c>
      <c r="Q23" s="15">
        <f>'[5]Dia 16 (b)'!$X29</f>
        <v>10.104829494720098</v>
      </c>
      <c r="R23" s="15">
        <f>'[5]Dia 17 (b)'!$X29</f>
        <v>9.2422798962118726</v>
      </c>
      <c r="S23" s="15">
        <f>'[5]Dia 18 (b)'!$X29</f>
        <v>9.294075979971538</v>
      </c>
      <c r="T23" s="15">
        <f>'[5]Dia 19 (b)'!$X29</f>
        <v>10.032286816234713</v>
      </c>
      <c r="U23" s="15">
        <f>'[5]Dia 20 (b)'!$X29</f>
        <v>9.9314486006938978</v>
      </c>
      <c r="V23" s="15">
        <f>'[5]Dia 21 (b)'!$X29</f>
        <v>10.749214967455185</v>
      </c>
      <c r="W23" s="15">
        <f>'[5]Dia 22 (b)'!$X29</f>
        <v>11.337396041051012</v>
      </c>
      <c r="X23" s="15">
        <f>'[5]Dia 23 (b)'!$X29</f>
        <v>10.708446465472854</v>
      </c>
      <c r="Y23" s="15">
        <f>'[5]Dia 24 (b)'!$X29</f>
        <v>12.835826860095338</v>
      </c>
      <c r="Z23" s="15">
        <f>'[5]Dia 25 (b)'!$X29</f>
        <v>12.509170532319297</v>
      </c>
      <c r="AA23" s="15">
        <f>'[5]Dia 26 (b)'!$X29</f>
        <v>10.050607695348676</v>
      </c>
      <c r="AB23" s="15">
        <f>'[5]Dia 27 (b)'!$X29</f>
        <v>11.075945575645216</v>
      </c>
      <c r="AC23" s="15">
        <f>'[5]Dia 28 (b)'!$X29</f>
        <v>12.28610928399441</v>
      </c>
      <c r="AD23" s="15">
        <f>'[5]Dia 29 (b)'!$X29</f>
        <v>10.418129431022681</v>
      </c>
      <c r="AE23" s="15">
        <f>'[5]Dia 30 (b)'!$X29</f>
        <v>10.794424553710323</v>
      </c>
      <c r="AF23" s="15">
        <f>'[5]Dia 31 (b)'!$X29</f>
        <v>11.723738145935213</v>
      </c>
    </row>
    <row r="24" spans="1:32" ht="20.100000000000001" customHeight="1">
      <c r="A24" s="14">
        <v>21</v>
      </c>
      <c r="B24" s="15">
        <f>'[5]Dia 1 (b)'!$X30</f>
        <v>13.60722212896275</v>
      </c>
      <c r="C24" s="15">
        <f>'[5]Dia 2 (b)'!$X30</f>
        <v>14.039716237963431</v>
      </c>
      <c r="D24" s="15">
        <f>'[5]Dia 3 (b)'!$X30</f>
        <v>14.039975381843073</v>
      </c>
      <c r="E24" s="15">
        <f>'[5]Dia 4 (b)'!$X30</f>
        <v>13.922934113607374</v>
      </c>
      <c r="F24" s="15">
        <f>'[5]Dia 5 (b)'!$X30</f>
        <v>14.183538764760462</v>
      </c>
      <c r="G24" s="15">
        <f>'[5]Dia 6 (b)'!$X30</f>
        <v>13.665776104453968</v>
      </c>
      <c r="H24" s="15">
        <f>'[5]Dia 7 (b)'!$X30</f>
        <v>13.967646687026363</v>
      </c>
      <c r="I24" s="15">
        <f>'[5]Dia 8 (b)'!$X30</f>
        <v>13.98334873362074</v>
      </c>
      <c r="J24" s="15">
        <f>'[5]Dia 9 (b)'!$X30</f>
        <v>14.380464353271805</v>
      </c>
      <c r="K24" s="15">
        <f>'[5]Dia 10 (b)'!$X30</f>
        <v>12.393054328474882</v>
      </c>
      <c r="L24" s="15">
        <f>'[5]Dia 11 (b)'!$X30</f>
        <v>10.736282227758347</v>
      </c>
      <c r="M24" s="15">
        <f>'[5]Dia 12 (b)'!$X30</f>
        <v>9.7921029427356672</v>
      </c>
      <c r="N24" s="15">
        <f>'[5]Dia 13 (b)'!$X30</f>
        <v>9.5374343641765815</v>
      </c>
      <c r="O24" s="15">
        <f>'[5]Dia 14 (b)'!$X30</f>
        <v>9.8984581232456446</v>
      </c>
      <c r="P24" s="15">
        <f>'[5]Dia 15 (b)'!$X30</f>
        <v>8.2250746425328245</v>
      </c>
      <c r="Q24" s="15">
        <f>'[5]Dia 16 (b)'!$X30</f>
        <v>9.7452038015098026</v>
      </c>
      <c r="R24" s="15">
        <f>'[5]Dia 17 (b)'!$X30</f>
        <v>9.2994054624863391</v>
      </c>
      <c r="S24" s="15">
        <f>'[5]Dia 18 (b)'!$X30</f>
        <v>9.3534013517726429</v>
      </c>
      <c r="T24" s="15">
        <f>'[5]Dia 19 (b)'!$X30</f>
        <v>9.8272774674754171</v>
      </c>
      <c r="U24" s="15">
        <f>'[5]Dia 20 (b)'!$X30</f>
        <v>9.3961856585298822</v>
      </c>
      <c r="V24" s="15">
        <f>'[5]Dia 21 (b)'!$X30</f>
        <v>10.541229168533006</v>
      </c>
      <c r="W24" s="15">
        <f>'[5]Dia 22 (b)'!$X30</f>
        <v>11.150451746486162</v>
      </c>
      <c r="X24" s="15">
        <f>'[5]Dia 23 (b)'!$X30</f>
        <v>10.34283995367872</v>
      </c>
      <c r="Y24" s="15">
        <f>'[5]Dia 24 (b)'!$X30</f>
        <v>12.418344463063946</v>
      </c>
      <c r="Z24" s="15">
        <f>'[5]Dia 25 (b)'!$X30</f>
        <v>12.345494961782126</v>
      </c>
      <c r="AA24" s="15">
        <f>'[5]Dia 26 (b)'!$X30</f>
        <v>10.135788236675211</v>
      </c>
      <c r="AB24" s="15">
        <f>'[5]Dia 27 (b)'!$X30</f>
        <v>11.088154109222087</v>
      </c>
      <c r="AC24" s="15">
        <f>'[5]Dia 28 (b)'!$X30</f>
        <v>11.976585775215954</v>
      </c>
      <c r="AD24" s="15">
        <f>'[5]Dia 29 (b)'!$X30</f>
        <v>10.454217330842328</v>
      </c>
      <c r="AE24" s="15">
        <f>'[5]Dia 30 (b)'!$X30</f>
        <v>10.639922401713699</v>
      </c>
      <c r="AF24" s="15">
        <f>'[5]Dia 31 (b)'!$X30</f>
        <v>11.524622915656783</v>
      </c>
    </row>
    <row r="25" spans="1:32" ht="20.100000000000001" customHeight="1">
      <c r="A25" s="14">
        <v>22</v>
      </c>
      <c r="B25" s="15">
        <f>'[5]Dia 1 (b)'!$X31</f>
        <v>13.643072065626184</v>
      </c>
      <c r="C25" s="15">
        <f>'[5]Dia 2 (b)'!$X31</f>
        <v>13.723643652076168</v>
      </c>
      <c r="D25" s="15">
        <f>'[5]Dia 3 (b)'!$X31</f>
        <v>14.181800040361106</v>
      </c>
      <c r="E25" s="15">
        <f>'[5]Dia 4 (b)'!$X31</f>
        <v>13.728538375526757</v>
      </c>
      <c r="F25" s="15">
        <f>'[5]Dia 5 (b)'!$X31</f>
        <v>14.180671784394853</v>
      </c>
      <c r="G25" s="15">
        <f>'[5]Dia 6 (b)'!$X31</f>
        <v>13.751645384823814</v>
      </c>
      <c r="H25" s="15">
        <f>'[5]Dia 7 (b)'!$X31</f>
        <v>13.650956707437182</v>
      </c>
      <c r="I25" s="15">
        <f>'[5]Dia 8 (b)'!$X31</f>
        <v>13.610354981664232</v>
      </c>
      <c r="J25" s="15">
        <f>'[5]Dia 9 (b)'!$X31</f>
        <v>14.464591097975545</v>
      </c>
      <c r="K25" s="15">
        <f>'[5]Dia 10 (b)'!$X31</f>
        <v>12.232671253731175</v>
      </c>
      <c r="L25" s="15">
        <f>'[5]Dia 11 (b)'!$X31</f>
        <v>10.711161963636711</v>
      </c>
      <c r="M25" s="15">
        <f>'[5]Dia 12 (b)'!$X31</f>
        <v>9.5522117929686861</v>
      </c>
      <c r="N25" s="15">
        <f>'[5]Dia 13 (b)'!$X31</f>
        <v>9.4540882236280979</v>
      </c>
      <c r="O25" s="15">
        <f>'[5]Dia 14 (b)'!$X31</f>
        <v>9.5022029265734798</v>
      </c>
      <c r="P25" s="15">
        <f>'[5]Dia 15 (b)'!$X31</f>
        <v>7.9669194275563893</v>
      </c>
      <c r="Q25" s="15">
        <f>'[5]Dia 16 (b)'!$X31</f>
        <v>9.5751930705466766</v>
      </c>
      <c r="R25" s="15">
        <f>'[5]Dia 17 (b)'!$X31</f>
        <v>9.1244508678785099</v>
      </c>
      <c r="S25" s="15">
        <f>'[5]Dia 18 (b)'!$X31</f>
        <v>9.3499151501683002</v>
      </c>
      <c r="T25" s="15">
        <f>'[5]Dia 19 (b)'!$X31</f>
        <v>9.8412019261528005</v>
      </c>
      <c r="U25" s="15">
        <f>'[5]Dia 20 (b)'!$X31</f>
        <v>9.2304420977464776</v>
      </c>
      <c r="V25" s="15">
        <f>'[5]Dia 21 (b)'!$X31</f>
        <v>10.48555713673897</v>
      </c>
      <c r="W25" s="15">
        <f>'[5]Dia 22 (b)'!$X31</f>
        <v>10.708844168832892</v>
      </c>
      <c r="X25" s="15">
        <f>'[5]Dia 23 (b)'!$X31</f>
        <v>10.103952589049447</v>
      </c>
      <c r="Y25" s="15">
        <f>'[5]Dia 24 (b)'!$X31</f>
        <v>12.135449667440087</v>
      </c>
      <c r="Z25" s="15">
        <f>'[5]Dia 25 (b)'!$X31</f>
        <v>12.023627892870572</v>
      </c>
      <c r="AA25" s="15">
        <f>'[5]Dia 26 (b)'!$X31</f>
        <v>10.720103601552983</v>
      </c>
      <c r="AB25" s="15">
        <f>'[5]Dia 27 (b)'!$X31</f>
        <v>10.952779454725325</v>
      </c>
      <c r="AC25" s="15">
        <f>'[5]Dia 28 (b)'!$X31</f>
        <v>11.581919647005396</v>
      </c>
      <c r="AD25" s="15">
        <f>'[5]Dia 29 (b)'!$X31</f>
        <v>10.380151665821501</v>
      </c>
      <c r="AE25" s="15">
        <f>'[5]Dia 30 (b)'!$X31</f>
        <v>10.526138628415177</v>
      </c>
      <c r="AF25" s="15">
        <f>'[5]Dia 31 (b)'!$X31</f>
        <v>11.524430018565637</v>
      </c>
    </row>
    <row r="26" spans="1:32" ht="20.100000000000001" customHeight="1">
      <c r="A26" s="14">
        <v>23</v>
      </c>
      <c r="B26" s="15">
        <f>'[5]Dia 1 (b)'!$X32</f>
        <v>13.331904029142054</v>
      </c>
      <c r="C26" s="15">
        <f>'[5]Dia 2 (b)'!$X32</f>
        <v>13.592698526127705</v>
      </c>
      <c r="D26" s="15">
        <f>'[5]Dia 3 (b)'!$X32</f>
        <v>14.316795318289259</v>
      </c>
      <c r="E26" s="15">
        <f>'[5]Dia 4 (b)'!$X32</f>
        <v>13.499551267151737</v>
      </c>
      <c r="F26" s="15">
        <f>'[5]Dia 5 (b)'!$X32</f>
        <v>14.18018237507688</v>
      </c>
      <c r="G26" s="15">
        <f>'[5]Dia 6 (b)'!$X32</f>
        <v>14.154230215457893</v>
      </c>
      <c r="H26" s="15">
        <f>'[5]Dia 7 (b)'!$X32</f>
        <v>13.169993809607053</v>
      </c>
      <c r="I26" s="15">
        <f>'[5]Dia 8 (b)'!$X32</f>
        <v>13.126119776417378</v>
      </c>
      <c r="J26" s="15">
        <f>'[5]Dia 9 (b)'!$X32</f>
        <v>14.732594778135624</v>
      </c>
      <c r="K26" s="15">
        <f>'[5]Dia 10 (b)'!$X32</f>
        <v>12.324390589916579</v>
      </c>
      <c r="L26" s="15">
        <f>'[5]Dia 11 (b)'!$X32</f>
        <v>10.693770942497592</v>
      </c>
      <c r="M26" s="15">
        <f>'[5]Dia 12 (b)'!$X32</f>
        <v>9.8410561874540292</v>
      </c>
      <c r="N26" s="15">
        <f>'[5]Dia 13 (b)'!$X32</f>
        <v>9.6861044156734675</v>
      </c>
      <c r="O26" s="15">
        <f>'[5]Dia 14 (b)'!$X32</f>
        <v>9.1626836893980528</v>
      </c>
      <c r="P26" s="15">
        <f>'[5]Dia 15 (b)'!$X32</f>
        <v>7.9115209707818934</v>
      </c>
      <c r="Q26" s="15">
        <f>'[5]Dia 16 (b)'!$X32</f>
        <v>9.6423910054035993</v>
      </c>
      <c r="R26" s="15">
        <f>'[5]Dia 17 (b)'!$X32</f>
        <v>8.9762128722065757</v>
      </c>
      <c r="S26" s="15">
        <f>'[5]Dia 18 (b)'!$X32</f>
        <v>9.7907278724687696</v>
      </c>
      <c r="T26" s="15">
        <f>'[5]Dia 19 (b)'!$X32</f>
        <v>9.8917728856370779</v>
      </c>
      <c r="U26" s="15">
        <f>'[5]Dia 20 (b)'!$X32</f>
        <v>9.2515451473301731</v>
      </c>
      <c r="V26" s="15">
        <f>'[5]Dia 21 (b)'!$X32</f>
        <v>10.387015861376218</v>
      </c>
      <c r="W26" s="15">
        <f>'[5]Dia 22 (b)'!$X32</f>
        <v>10.687880089145144</v>
      </c>
      <c r="X26" s="15">
        <f>'[5]Dia 23 (b)'!$X32</f>
        <v>9.9246136002708152</v>
      </c>
      <c r="Y26" s="15">
        <f>'[5]Dia 24 (b)'!$X32</f>
        <v>11.469524363064396</v>
      </c>
      <c r="Z26" s="15">
        <f>'[5]Dia 25 (b)'!$X32</f>
        <v>11.94831037234192</v>
      </c>
      <c r="AA26" s="15">
        <f>'[5]Dia 26 (b)'!$X32</f>
        <v>10.211403880159363</v>
      </c>
      <c r="AB26" s="15">
        <f>'[5]Dia 27 (b)'!$X32</f>
        <v>10.659753363491216</v>
      </c>
      <c r="AC26" s="15">
        <f>'[5]Dia 28 (b)'!$X32</f>
        <v>11.345045533082393</v>
      </c>
      <c r="AD26" s="15">
        <f>'[5]Dia 29 (b)'!$X32</f>
        <v>10.308080062937989</v>
      </c>
      <c r="AE26" s="15">
        <f>'[5]Dia 30 (b)'!$X32</f>
        <v>10.910512377084425</v>
      </c>
      <c r="AF26" s="15">
        <f>'[5]Dia 31 (b)'!$X32</f>
        <v>11.566010874819892</v>
      </c>
    </row>
    <row r="27" spans="1:32" ht="20.100000000000001" customHeight="1" thickBot="1">
      <c r="A27" s="14">
        <v>24</v>
      </c>
      <c r="B27" s="15">
        <f>'[5]Dia 1 (b)'!$X33</f>
        <v>13.592237004373116</v>
      </c>
      <c r="C27" s="15">
        <f>'[5]Dia 2 (b)'!$X33</f>
        <v>13.409664280556363</v>
      </c>
      <c r="D27" s="15">
        <f>'[5]Dia 3 (b)'!$X33</f>
        <v>13.915517324488983</v>
      </c>
      <c r="E27" s="15">
        <f>'[5]Dia 4 (b)'!$X33</f>
        <v>13.065224267001472</v>
      </c>
      <c r="F27" s="15">
        <f>'[5]Dia 5 (b)'!$X33</f>
        <v>14.285868203216902</v>
      </c>
      <c r="G27" s="15">
        <f>'[5]Dia 6 (b)'!$X33</f>
        <v>13.516346289249233</v>
      </c>
      <c r="H27" s="15">
        <f>'[5]Dia 7 (b)'!$X33</f>
        <v>13.163750859204621</v>
      </c>
      <c r="I27" s="15">
        <f>'[5]Dia 8 (b)'!$X33</f>
        <v>12.910750233043926</v>
      </c>
      <c r="J27" s="15">
        <f>'[5]Dia 9 (b)'!$X33</f>
        <v>14.45258495198269</v>
      </c>
      <c r="K27" s="15">
        <f>'[5]Dia 10 (b)'!$X33</f>
        <v>12.207351272401969</v>
      </c>
      <c r="L27" s="15">
        <f>'[5]Dia 11 (b)'!$X33</f>
        <v>10.40800233676798</v>
      </c>
      <c r="M27" s="15">
        <f>'[5]Dia 12 (b)'!$X33</f>
        <v>9.4968269024683725</v>
      </c>
      <c r="N27" s="15">
        <f>'[5]Dia 13 (b)'!$X33</f>
        <v>9.4306819905444126</v>
      </c>
      <c r="O27" s="15">
        <f>'[5]Dia 14 (b)'!$X33</f>
        <v>8.8979591954046509</v>
      </c>
      <c r="P27" s="15">
        <f>'[5]Dia 15 (b)'!$X33</f>
        <v>7.8188872450921272</v>
      </c>
      <c r="Q27" s="15">
        <f>'[5]Dia 16 (b)'!$X33</f>
        <v>9.7698964129252079</v>
      </c>
      <c r="R27" s="15">
        <f>'[5]Dia 17 (b)'!$X33</f>
        <v>8.9152823585429495</v>
      </c>
      <c r="S27" s="15">
        <f>'[5]Dia 18 (b)'!$X33</f>
        <v>9.5121445440942605</v>
      </c>
      <c r="T27" s="15">
        <f>'[5]Dia 19 (b)'!$X33</f>
        <v>10.277960297590596</v>
      </c>
      <c r="U27" s="15">
        <f>'[5]Dia 20 (b)'!$X33</f>
        <v>8.9643872133296032</v>
      </c>
      <c r="V27" s="15">
        <f>'[5]Dia 21 (b)'!$X33</f>
        <v>10.180885777244503</v>
      </c>
      <c r="W27" s="15">
        <f>'[5]Dia 22 (b)'!$X33</f>
        <v>10.41581568959784</v>
      </c>
      <c r="X27" s="15">
        <f>'[5]Dia 23 (b)'!$X33</f>
        <v>10.390277478961274</v>
      </c>
      <c r="Y27" s="15">
        <f>'[5]Dia 24 (b)'!$X33</f>
        <v>11.404977286934306</v>
      </c>
      <c r="Z27" s="15">
        <f>'[5]Dia 25 (b)'!$X33</f>
        <v>11.687334191725077</v>
      </c>
      <c r="AA27" s="15">
        <f>'[5]Dia 26 (b)'!$X33</f>
        <v>10.800472650132463</v>
      </c>
      <c r="AB27" s="15">
        <f>'[5]Dia 27 (b)'!$X33</f>
        <v>10.600980835542844</v>
      </c>
      <c r="AC27" s="15">
        <f>'[5]Dia 28 (b)'!$X33</f>
        <v>11.278507448025929</v>
      </c>
      <c r="AD27" s="15">
        <f>'[5]Dia 29 (b)'!$X33</f>
        <v>10.394489465308601</v>
      </c>
      <c r="AE27" s="15">
        <f>'[5]Dia 30 (b)'!$X33</f>
        <v>11.073866028753081</v>
      </c>
      <c r="AF27" s="15">
        <f>'[5]Dia 31 (b)'!$X33</f>
        <v>11.448691371666916</v>
      </c>
    </row>
    <row r="28" spans="1:32" ht="16.5" thickTop="1">
      <c r="A28" s="17"/>
      <c r="B28" s="19"/>
      <c r="C28" s="19"/>
      <c r="D28" s="19"/>
      <c r="E28" s="19"/>
      <c r="F28" s="19"/>
      <c r="G28" s="19"/>
      <c r="H28" s="19"/>
      <c r="I28" s="19"/>
      <c r="J28" s="19"/>
      <c r="K28" s="19"/>
      <c r="L28" s="19"/>
      <c r="M28" s="19"/>
      <c r="N28" s="19"/>
      <c r="O28" s="19"/>
      <c r="P28" s="19"/>
      <c r="Q28" s="19"/>
      <c r="R28" s="19"/>
      <c r="S28" s="19"/>
      <c r="T28" s="19"/>
      <c r="U28" s="19"/>
      <c r="V28" s="19"/>
      <c r="W28" s="19"/>
      <c r="X28" s="19"/>
      <c r="Y28" s="19"/>
      <c r="Z28" s="19"/>
      <c r="AA28" s="19"/>
      <c r="AB28" s="19"/>
      <c r="AC28" s="19"/>
      <c r="AD28" s="19"/>
      <c r="AE28" s="19"/>
      <c r="AF28" s="21"/>
    </row>
    <row r="29" spans="1:32" ht="15.75">
      <c r="A29" s="22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23"/>
    </row>
    <row r="30" spans="1:32" ht="15.75">
      <c r="A30" s="24" t="s">
        <v>3</v>
      </c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23"/>
    </row>
    <row r="31" spans="1:32" ht="15.75">
      <c r="A31" s="24" t="s">
        <v>4</v>
      </c>
      <c r="B31" s="25">
        <f t="shared" ref="B31:AF31" si="0">AVERAGE(B4:B27)</f>
        <v>13.363817535126808</v>
      </c>
      <c r="C31" s="25">
        <f t="shared" si="0"/>
        <v>13.395032287125366</v>
      </c>
      <c r="D31" s="25">
        <f t="shared" si="0"/>
        <v>13.33702802943918</v>
      </c>
      <c r="E31" s="25">
        <f t="shared" si="0"/>
        <v>12.824269088643071</v>
      </c>
      <c r="F31" s="25">
        <f t="shared" si="0"/>
        <v>13.734159005677581</v>
      </c>
      <c r="G31" s="25">
        <f t="shared" si="0"/>
        <v>13.713963168982694</v>
      </c>
      <c r="H31" s="25">
        <f t="shared" si="0"/>
        <v>13.319964757352855</v>
      </c>
      <c r="I31" s="25">
        <f t="shared" si="0"/>
        <v>13.021954202697252</v>
      </c>
      <c r="J31" s="25">
        <f t="shared" si="0"/>
        <v>13.856669949999871</v>
      </c>
      <c r="K31" s="25">
        <f t="shared" si="0"/>
        <v>13.656429843493619</v>
      </c>
      <c r="L31" s="25">
        <f t="shared" si="0"/>
        <v>11.308114121262919</v>
      </c>
      <c r="M31" s="25">
        <f t="shared" si="0"/>
        <v>9.7896721698611948</v>
      </c>
      <c r="N31" s="25">
        <f t="shared" si="0"/>
        <v>9.4760161866082431</v>
      </c>
      <c r="O31" s="25">
        <f t="shared" si="0"/>
        <v>9.075237565950383</v>
      </c>
      <c r="P31" s="25">
        <f t="shared" si="0"/>
        <v>8.0426643352676024</v>
      </c>
      <c r="Q31" s="25">
        <f t="shared" si="0"/>
        <v>8.4089798833753395</v>
      </c>
      <c r="R31" s="25">
        <f t="shared" si="0"/>
        <v>9.3325679991012453</v>
      </c>
      <c r="S31" s="25">
        <f t="shared" si="0"/>
        <v>9.1337463985461778</v>
      </c>
      <c r="T31" s="25">
        <f t="shared" si="0"/>
        <v>9.2399551665933028</v>
      </c>
      <c r="U31" s="25">
        <f t="shared" si="0"/>
        <v>9.1027705260485501</v>
      </c>
      <c r="V31" s="25">
        <f t="shared" si="0"/>
        <v>9.259668351867635</v>
      </c>
      <c r="W31" s="25">
        <f t="shared" si="0"/>
        <v>10.105977982693148</v>
      </c>
      <c r="X31" s="25">
        <f t="shared" si="0"/>
        <v>9.6621412286420103</v>
      </c>
      <c r="Y31" s="25">
        <f t="shared" si="0"/>
        <v>10.830632608557105</v>
      </c>
      <c r="Z31" s="25">
        <f t="shared" si="0"/>
        <v>11.998543152686196</v>
      </c>
      <c r="AA31" s="25">
        <f t="shared" si="0"/>
        <v>10.396092457069541</v>
      </c>
      <c r="AB31" s="25">
        <f t="shared" si="0"/>
        <v>11.105221121136109</v>
      </c>
      <c r="AC31" s="25">
        <f t="shared" si="0"/>
        <v>12.291065599249665</v>
      </c>
      <c r="AD31" s="25">
        <f t="shared" si="0"/>
        <v>10.895295480817987</v>
      </c>
      <c r="AE31" s="25">
        <f t="shared" si="0"/>
        <v>10.418228988315466</v>
      </c>
      <c r="AF31" s="26">
        <f t="shared" si="0"/>
        <v>11.576619755017353</v>
      </c>
    </row>
    <row r="32" spans="1:32" ht="15.75">
      <c r="A32" s="27"/>
      <c r="B32" s="28"/>
      <c r="C32" s="28"/>
      <c r="D32" s="28"/>
      <c r="E32" s="28"/>
      <c r="F32" s="28"/>
      <c r="G32" s="28"/>
      <c r="H32" s="28"/>
      <c r="I32" s="28"/>
      <c r="J32" s="28"/>
      <c r="K32" s="28"/>
      <c r="L32" s="28"/>
      <c r="M32" s="28"/>
      <c r="N32" s="28"/>
      <c r="O32" s="28"/>
      <c r="P32" s="28"/>
      <c r="Q32" s="28"/>
      <c r="R32" s="28"/>
      <c r="S32" s="28"/>
      <c r="T32" s="28"/>
      <c r="U32" s="28"/>
      <c r="V32" s="28"/>
      <c r="W32" s="28"/>
      <c r="X32" s="28"/>
      <c r="Y32" s="28"/>
      <c r="Z32" s="28"/>
      <c r="AA32" s="28"/>
      <c r="AB32" s="28"/>
      <c r="AC32" s="28"/>
      <c r="AD32" s="28"/>
      <c r="AE32" s="28"/>
      <c r="AF32" s="29"/>
    </row>
    <row r="33" spans="1:32" ht="15.75">
      <c r="A33" s="27"/>
      <c r="B33" s="28"/>
      <c r="C33" s="28"/>
      <c r="D33" s="28"/>
      <c r="E33" s="28"/>
      <c r="F33" s="28"/>
      <c r="G33" s="28"/>
      <c r="H33" s="28"/>
      <c r="I33" s="28"/>
      <c r="J33" s="28"/>
      <c r="K33" s="28"/>
      <c r="L33" s="28"/>
      <c r="M33" s="28"/>
      <c r="N33" s="28"/>
      <c r="O33" s="28"/>
      <c r="P33" s="28"/>
      <c r="Q33" s="28"/>
      <c r="R33" s="28"/>
      <c r="S33" s="28"/>
      <c r="T33" s="28"/>
      <c r="U33" s="28"/>
      <c r="V33" s="28"/>
      <c r="W33" s="28"/>
      <c r="X33" s="28"/>
      <c r="Y33" s="28"/>
      <c r="Z33" s="28"/>
      <c r="AA33" s="28"/>
      <c r="AB33" s="28"/>
      <c r="AC33" s="28"/>
      <c r="AD33" s="28"/>
      <c r="AE33" s="28"/>
      <c r="AF33" s="29"/>
    </row>
    <row r="34" spans="1:32" ht="15.75">
      <c r="A34" s="24" t="s">
        <v>5</v>
      </c>
      <c r="B34" s="28"/>
      <c r="C34" s="28"/>
      <c r="D34" s="28"/>
      <c r="E34" s="28"/>
      <c r="F34" s="28"/>
      <c r="G34" s="28"/>
      <c r="H34" s="28"/>
      <c r="I34" s="28"/>
      <c r="J34" s="28"/>
      <c r="K34" s="28"/>
      <c r="L34" s="28"/>
      <c r="M34" s="28"/>
      <c r="N34" s="28"/>
      <c r="O34" s="28"/>
      <c r="P34" s="28"/>
      <c r="Q34" s="28"/>
      <c r="R34" s="28"/>
      <c r="S34" s="28"/>
      <c r="T34" s="28"/>
      <c r="U34" s="28"/>
      <c r="V34" s="28"/>
      <c r="W34" s="28"/>
      <c r="X34" s="28"/>
      <c r="Y34" s="28"/>
      <c r="Z34" s="28"/>
      <c r="AA34" s="28"/>
      <c r="AB34" s="28"/>
      <c r="AC34" s="28"/>
      <c r="AD34" s="28"/>
      <c r="AE34" s="28"/>
      <c r="AF34" s="29"/>
    </row>
    <row r="35" spans="1:32" ht="15.75">
      <c r="A35" s="24" t="s">
        <v>4</v>
      </c>
      <c r="B35" s="25">
        <f t="shared" ref="B35:AF35" si="1">MAX(B4:B27)</f>
        <v>14.379041005213162</v>
      </c>
      <c r="C35" s="25">
        <f t="shared" si="1"/>
        <v>14.529981977725495</v>
      </c>
      <c r="D35" s="25">
        <f t="shared" si="1"/>
        <v>15.040661512356756</v>
      </c>
      <c r="E35" s="25">
        <f t="shared" si="1"/>
        <v>14.30847622812054</v>
      </c>
      <c r="F35" s="25">
        <f t="shared" si="1"/>
        <v>15.325308976687335</v>
      </c>
      <c r="G35" s="25">
        <f t="shared" si="1"/>
        <v>15.163824172695444</v>
      </c>
      <c r="H35" s="25">
        <f t="shared" si="1"/>
        <v>14.786299041265842</v>
      </c>
      <c r="I35" s="25">
        <f t="shared" si="1"/>
        <v>14.616924090478893</v>
      </c>
      <c r="J35" s="25">
        <f t="shared" si="1"/>
        <v>14.869096666004273</v>
      </c>
      <c r="K35" s="25">
        <f t="shared" si="1"/>
        <v>14.662808405597502</v>
      </c>
      <c r="L35" s="25">
        <f t="shared" si="1"/>
        <v>12.883175739257645</v>
      </c>
      <c r="M35" s="25">
        <f t="shared" si="1"/>
        <v>10.6099717142929</v>
      </c>
      <c r="N35" s="25">
        <f t="shared" si="1"/>
        <v>9.9857572038270543</v>
      </c>
      <c r="O35" s="25">
        <f t="shared" si="1"/>
        <v>10.976206814335374</v>
      </c>
      <c r="P35" s="25">
        <f t="shared" si="1"/>
        <v>10.64128176753383</v>
      </c>
      <c r="Q35" s="25">
        <f t="shared" si="1"/>
        <v>10.106605321465842</v>
      </c>
      <c r="R35" s="25">
        <f t="shared" si="1"/>
        <v>10.371137664766598</v>
      </c>
      <c r="S35" s="25">
        <f t="shared" si="1"/>
        <v>10.370902751365625</v>
      </c>
      <c r="T35" s="25">
        <f t="shared" si="1"/>
        <v>10.277960297590596</v>
      </c>
      <c r="U35" s="25">
        <f t="shared" si="1"/>
        <v>10.402266605936299</v>
      </c>
      <c r="V35" s="25">
        <f t="shared" si="1"/>
        <v>11.118282968762886</v>
      </c>
      <c r="W35" s="25">
        <f t="shared" si="1"/>
        <v>11.854679407243562</v>
      </c>
      <c r="X35" s="25">
        <f t="shared" si="1"/>
        <v>10.753764300462224</v>
      </c>
      <c r="Y35" s="25">
        <f t="shared" si="1"/>
        <v>12.973370101020882</v>
      </c>
      <c r="Z35" s="25">
        <f t="shared" si="1"/>
        <v>13.59918898230279</v>
      </c>
      <c r="AA35" s="25">
        <f t="shared" si="1"/>
        <v>10.98966533554502</v>
      </c>
      <c r="AB35" s="25">
        <f t="shared" si="1"/>
        <v>11.931562244407294</v>
      </c>
      <c r="AC35" s="25">
        <f t="shared" si="1"/>
        <v>13.401594672201419</v>
      </c>
      <c r="AD35" s="25">
        <f t="shared" si="1"/>
        <v>11.461664178351949</v>
      </c>
      <c r="AE35" s="25">
        <f t="shared" si="1"/>
        <v>11.073866028753081</v>
      </c>
      <c r="AF35" s="26">
        <f t="shared" si="1"/>
        <v>12.059461900092229</v>
      </c>
    </row>
    <row r="36" spans="1:32" ht="15.75">
      <c r="A36" s="24"/>
      <c r="B36" s="25"/>
      <c r="C36" s="25"/>
      <c r="D36" s="25"/>
      <c r="E36" s="25"/>
      <c r="F36" s="25"/>
      <c r="G36" s="25"/>
      <c r="H36" s="25"/>
      <c r="I36" s="25"/>
      <c r="J36" s="25"/>
      <c r="K36" s="25"/>
      <c r="L36" s="25"/>
      <c r="M36" s="25"/>
      <c r="N36" s="25"/>
      <c r="O36" s="25"/>
      <c r="P36" s="25"/>
      <c r="Q36" s="25"/>
      <c r="R36" s="25"/>
      <c r="S36" s="25"/>
      <c r="T36" s="25"/>
      <c r="U36" s="25"/>
      <c r="V36" s="25"/>
      <c r="W36" s="25"/>
      <c r="X36" s="25"/>
      <c r="Y36" s="25"/>
      <c r="Z36" s="25"/>
      <c r="AA36" s="25"/>
      <c r="AB36" s="25"/>
      <c r="AC36" s="25"/>
      <c r="AD36" s="25"/>
      <c r="AE36" s="25"/>
      <c r="AF36" s="26"/>
    </row>
    <row r="37" spans="1:32" ht="15.75">
      <c r="A37" s="27"/>
      <c r="B37" s="28"/>
      <c r="C37" s="28"/>
      <c r="D37" s="28"/>
      <c r="E37" s="28"/>
      <c r="F37" s="28"/>
      <c r="G37" s="28"/>
      <c r="H37" s="28"/>
      <c r="I37" s="28"/>
      <c r="J37" s="28"/>
      <c r="K37" s="28"/>
      <c r="L37" s="28"/>
      <c r="M37" s="28"/>
      <c r="N37" s="28"/>
      <c r="O37" s="28"/>
      <c r="P37" s="28"/>
      <c r="Q37" s="28"/>
      <c r="R37" s="28"/>
      <c r="S37" s="28"/>
      <c r="T37" s="28"/>
      <c r="U37" s="28"/>
      <c r="V37" s="28"/>
      <c r="W37" s="28"/>
      <c r="X37" s="28"/>
      <c r="Y37" s="28"/>
      <c r="Z37" s="28"/>
      <c r="AA37" s="28"/>
      <c r="AB37" s="28"/>
      <c r="AC37" s="28"/>
      <c r="AD37" s="28"/>
      <c r="AE37" s="28"/>
      <c r="AF37" s="29"/>
    </row>
    <row r="38" spans="1:32" ht="15.75">
      <c r="A38" s="24" t="s">
        <v>6</v>
      </c>
      <c r="B38" s="28"/>
      <c r="C38" s="28"/>
      <c r="D38" s="28"/>
      <c r="E38" s="28"/>
      <c r="F38" s="28"/>
      <c r="G38" s="28"/>
      <c r="H38" s="28"/>
      <c r="I38" s="28"/>
      <c r="J38" s="28"/>
      <c r="K38" s="28"/>
      <c r="L38" s="28"/>
      <c r="M38" s="28"/>
      <c r="N38" s="28"/>
      <c r="O38" s="28"/>
      <c r="P38" s="28"/>
      <c r="Q38" s="28"/>
      <c r="R38" s="28"/>
      <c r="S38" s="28"/>
      <c r="T38" s="28"/>
      <c r="U38" s="28"/>
      <c r="V38" s="28"/>
      <c r="W38" s="28"/>
      <c r="X38" s="28"/>
      <c r="Y38" s="28"/>
      <c r="Z38" s="28"/>
      <c r="AA38" s="28"/>
      <c r="AB38" s="28"/>
      <c r="AC38" s="28"/>
      <c r="AD38" s="28"/>
      <c r="AE38" s="28"/>
      <c r="AF38" s="29"/>
    </row>
    <row r="39" spans="1:32" ht="15.75">
      <c r="A39" s="24" t="s">
        <v>4</v>
      </c>
      <c r="B39" s="25">
        <f t="shared" ref="B39:AF39" si="2">MIN(B4:B27)</f>
        <v>11.787295036301598</v>
      </c>
      <c r="C39" s="25">
        <f t="shared" si="2"/>
        <v>12.306417228724928</v>
      </c>
      <c r="D39" s="25">
        <f t="shared" si="2"/>
        <v>11.041084950778005</v>
      </c>
      <c r="E39" s="25">
        <f t="shared" si="2"/>
        <v>10.070648960572736</v>
      </c>
      <c r="F39" s="25">
        <f t="shared" si="2"/>
        <v>12.23223134682703</v>
      </c>
      <c r="G39" s="25">
        <f t="shared" si="2"/>
        <v>12.83265789291932</v>
      </c>
      <c r="H39" s="25">
        <f t="shared" si="2"/>
        <v>11.779609531452159</v>
      </c>
      <c r="I39" s="25">
        <f t="shared" si="2"/>
        <v>11.301051295738644</v>
      </c>
      <c r="J39" s="25">
        <f t="shared" si="2"/>
        <v>12.795816535881702</v>
      </c>
      <c r="K39" s="25">
        <f t="shared" si="2"/>
        <v>12.207351272401969</v>
      </c>
      <c r="L39" s="25">
        <f t="shared" si="2"/>
        <v>9.4407426965216139</v>
      </c>
      <c r="M39" s="25">
        <f t="shared" si="2"/>
        <v>9.127149792538539</v>
      </c>
      <c r="N39" s="25">
        <f t="shared" si="2"/>
        <v>8.4944739976787904</v>
      </c>
      <c r="O39" s="25">
        <f t="shared" si="2"/>
        <v>7.119705978472366</v>
      </c>
      <c r="P39" s="25">
        <f t="shared" si="2"/>
        <v>6.0783448207660227</v>
      </c>
      <c r="Q39" s="25">
        <f t="shared" si="2"/>
        <v>6.3608123843636806</v>
      </c>
      <c r="R39" s="25">
        <f t="shared" si="2"/>
        <v>8.3334692117131155</v>
      </c>
      <c r="S39" s="25">
        <f t="shared" si="2"/>
        <v>8.491565347113001</v>
      </c>
      <c r="T39" s="25">
        <f t="shared" si="2"/>
        <v>7.9474254871187675</v>
      </c>
      <c r="U39" s="25">
        <f t="shared" si="2"/>
        <v>7.7234224934488811</v>
      </c>
      <c r="V39" s="25">
        <f t="shared" si="2"/>
        <v>6.8761762763538945</v>
      </c>
      <c r="W39" s="25">
        <f t="shared" si="2"/>
        <v>8.3666120348095312</v>
      </c>
      <c r="X39" s="25">
        <f t="shared" si="2"/>
        <v>8.1846038590005392</v>
      </c>
      <c r="Y39" s="25">
        <f t="shared" si="2"/>
        <v>9.104833061686044</v>
      </c>
      <c r="Z39" s="25">
        <f t="shared" si="2"/>
        <v>11.225588918842563</v>
      </c>
      <c r="AA39" s="25">
        <f t="shared" si="2"/>
        <v>8.6229855094236889</v>
      </c>
      <c r="AB39" s="25">
        <f t="shared" si="2"/>
        <v>10.0480274512317</v>
      </c>
      <c r="AC39" s="25">
        <f t="shared" si="2"/>
        <v>10.703724786507829</v>
      </c>
      <c r="AD39" s="25">
        <f t="shared" si="2"/>
        <v>10.308080062937989</v>
      </c>
      <c r="AE39" s="25">
        <f t="shared" si="2"/>
        <v>9.6773942347045541</v>
      </c>
      <c r="AF39" s="26">
        <f t="shared" si="2"/>
        <v>11.043411001062223</v>
      </c>
    </row>
    <row r="40" spans="1:32" ht="15.75">
      <c r="A40" s="24"/>
      <c r="B40" s="25"/>
      <c r="C40" s="25"/>
      <c r="D40" s="25"/>
      <c r="E40" s="25"/>
      <c r="F40" s="25"/>
      <c r="G40" s="25"/>
      <c r="H40" s="25"/>
      <c r="I40" s="25"/>
      <c r="J40" s="25"/>
      <c r="K40" s="25"/>
      <c r="L40" s="25"/>
      <c r="M40" s="25"/>
      <c r="N40" s="25"/>
      <c r="O40" s="25"/>
      <c r="P40" s="25"/>
      <c r="Q40" s="25"/>
      <c r="R40" s="25"/>
      <c r="S40" s="25"/>
      <c r="T40" s="25"/>
      <c r="U40" s="25"/>
      <c r="V40" s="25"/>
      <c r="W40" s="25"/>
      <c r="X40" s="25"/>
      <c r="Y40" s="25"/>
      <c r="Z40" s="25"/>
      <c r="AA40" s="25"/>
      <c r="AB40" s="25"/>
      <c r="AC40" s="25"/>
      <c r="AD40" s="25"/>
      <c r="AE40" s="25"/>
      <c r="AF40" s="26"/>
    </row>
    <row r="41" spans="1:32" ht="15.75">
      <c r="A41" s="27"/>
      <c r="B41" s="28"/>
      <c r="C41" s="28"/>
      <c r="D41" s="28"/>
      <c r="E41" s="28"/>
      <c r="F41" s="28"/>
      <c r="G41" s="28"/>
      <c r="H41" s="28"/>
      <c r="I41" s="28"/>
      <c r="J41" s="28"/>
      <c r="K41" s="28"/>
      <c r="L41" s="28"/>
      <c r="M41" s="28"/>
      <c r="N41" s="28"/>
      <c r="O41" s="28"/>
      <c r="P41" s="28"/>
      <c r="Q41" s="28"/>
      <c r="R41" s="28"/>
      <c r="S41" s="28"/>
      <c r="T41" s="28"/>
      <c r="U41" s="28"/>
      <c r="V41" s="28"/>
      <c r="W41" s="28"/>
      <c r="X41" s="28"/>
      <c r="Y41" s="28"/>
      <c r="Z41" s="28"/>
      <c r="AA41" s="28"/>
      <c r="AB41" s="28"/>
      <c r="AC41" s="28"/>
      <c r="AD41" s="28"/>
      <c r="AE41" s="28"/>
      <c r="AF41" s="29"/>
    </row>
    <row r="42" spans="1:32" ht="15.75">
      <c r="A42" s="24" t="s">
        <v>7</v>
      </c>
      <c r="B42" s="28"/>
      <c r="C42" s="28"/>
      <c r="D42" s="28"/>
      <c r="E42" s="28"/>
      <c r="F42" s="28"/>
      <c r="G42" s="28"/>
      <c r="H42" s="28"/>
      <c r="I42" s="28"/>
      <c r="J42" s="28"/>
      <c r="K42" s="28"/>
      <c r="L42" s="28"/>
      <c r="M42" s="28"/>
      <c r="N42" s="28"/>
      <c r="O42" s="28"/>
      <c r="P42" s="28"/>
      <c r="Q42" s="28"/>
      <c r="R42" s="28"/>
      <c r="S42" s="28"/>
      <c r="T42" s="28"/>
      <c r="U42" s="28"/>
      <c r="V42" s="28"/>
      <c r="W42" s="28"/>
      <c r="X42" s="28"/>
      <c r="Y42" s="28"/>
      <c r="Z42" s="28"/>
      <c r="AA42" s="28"/>
      <c r="AB42" s="28"/>
      <c r="AC42" s="28"/>
      <c r="AD42" s="28"/>
      <c r="AE42" s="28"/>
      <c r="AF42" s="29"/>
    </row>
    <row r="43" spans="1:32" ht="15.75">
      <c r="A43" s="24" t="s">
        <v>4</v>
      </c>
      <c r="B43" s="25">
        <f t="shared" ref="B43:AF43" si="3">B35-B39</f>
        <v>2.5917459689115638</v>
      </c>
      <c r="C43" s="25">
        <f t="shared" si="3"/>
        <v>2.2235647490005661</v>
      </c>
      <c r="D43" s="25">
        <f t="shared" si="3"/>
        <v>3.9995765615787509</v>
      </c>
      <c r="E43" s="25">
        <f t="shared" si="3"/>
        <v>4.2378272675478037</v>
      </c>
      <c r="F43" s="25">
        <f t="shared" si="3"/>
        <v>3.0930776298603053</v>
      </c>
      <c r="G43" s="25">
        <f t="shared" si="3"/>
        <v>2.3311662797761237</v>
      </c>
      <c r="H43" s="25">
        <f t="shared" si="3"/>
        <v>3.0066895098136825</v>
      </c>
      <c r="I43" s="25">
        <f t="shared" si="3"/>
        <v>3.3158727947402493</v>
      </c>
      <c r="J43" s="25">
        <f t="shared" si="3"/>
        <v>2.073280130122571</v>
      </c>
      <c r="K43" s="25">
        <f t="shared" si="3"/>
        <v>2.4554571331955337</v>
      </c>
      <c r="L43" s="25">
        <f t="shared" si="3"/>
        <v>3.442433042736031</v>
      </c>
      <c r="M43" s="25">
        <f t="shared" si="3"/>
        <v>1.4828219217543612</v>
      </c>
      <c r="N43" s="25">
        <f t="shared" si="3"/>
        <v>1.4912832061482639</v>
      </c>
      <c r="O43" s="25">
        <f t="shared" si="3"/>
        <v>3.8565008358630077</v>
      </c>
      <c r="P43" s="25">
        <f t="shared" si="3"/>
        <v>4.5629369467678069</v>
      </c>
      <c r="Q43" s="25">
        <f t="shared" si="3"/>
        <v>3.7457929371021619</v>
      </c>
      <c r="R43" s="25">
        <f t="shared" si="3"/>
        <v>2.0376684530534828</v>
      </c>
      <c r="S43" s="25">
        <f t="shared" si="3"/>
        <v>1.8793374042526239</v>
      </c>
      <c r="T43" s="25">
        <f t="shared" si="3"/>
        <v>2.3305348104718284</v>
      </c>
      <c r="U43" s="25">
        <f t="shared" si="3"/>
        <v>2.6788441124874183</v>
      </c>
      <c r="V43" s="25">
        <f t="shared" si="3"/>
        <v>4.2421066924089912</v>
      </c>
      <c r="W43" s="25">
        <f t="shared" si="3"/>
        <v>3.4880673724340312</v>
      </c>
      <c r="X43" s="25">
        <f t="shared" si="3"/>
        <v>2.5691604414616851</v>
      </c>
      <c r="Y43" s="25">
        <f t="shared" si="3"/>
        <v>3.8685370393348375</v>
      </c>
      <c r="Z43" s="25">
        <f t="shared" si="3"/>
        <v>2.373600063460227</v>
      </c>
      <c r="AA43" s="25">
        <f t="shared" si="3"/>
        <v>2.3666798261213309</v>
      </c>
      <c r="AB43" s="25">
        <f t="shared" si="3"/>
        <v>1.8835347931755937</v>
      </c>
      <c r="AC43" s="25">
        <f t="shared" si="3"/>
        <v>2.6978698856935903</v>
      </c>
      <c r="AD43" s="25">
        <f t="shared" si="3"/>
        <v>1.1535841154139597</v>
      </c>
      <c r="AE43" s="25">
        <f t="shared" si="3"/>
        <v>1.3964717940485265</v>
      </c>
      <c r="AF43" s="26">
        <f t="shared" si="3"/>
        <v>1.0160508990300059</v>
      </c>
    </row>
    <row r="44" spans="1:32" ht="15.75">
      <c r="A44" s="24"/>
      <c r="B44" s="25"/>
      <c r="C44" s="25"/>
      <c r="D44" s="25"/>
      <c r="E44" s="25"/>
      <c r="F44" s="25"/>
      <c r="G44" s="25"/>
      <c r="H44" s="25"/>
      <c r="I44" s="25"/>
      <c r="J44" s="25"/>
      <c r="K44" s="25"/>
      <c r="L44" s="25"/>
      <c r="M44" s="25"/>
      <c r="N44" s="25"/>
      <c r="O44" s="25"/>
      <c r="P44" s="25"/>
      <c r="Q44" s="25"/>
      <c r="R44" s="25"/>
      <c r="S44" s="25"/>
      <c r="T44" s="25"/>
      <c r="U44" s="25"/>
      <c r="V44" s="25"/>
      <c r="W44" s="25"/>
      <c r="X44" s="25"/>
      <c r="Y44" s="25"/>
      <c r="Z44" s="25"/>
      <c r="AA44" s="25"/>
      <c r="AB44" s="25"/>
      <c r="AC44" s="25"/>
      <c r="AD44" s="25"/>
      <c r="AE44" s="25"/>
      <c r="AF44" s="26"/>
    </row>
    <row r="45" spans="1:32" ht="15.75">
      <c r="A45" s="22"/>
      <c r="B45" s="30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23"/>
    </row>
    <row r="46" spans="1:32" ht="15.75">
      <c r="A46" s="31"/>
      <c r="B46" s="30"/>
      <c r="C46" s="3"/>
      <c r="D46" s="3"/>
      <c r="E46" s="3"/>
      <c r="F46" s="3"/>
      <c r="G46" s="3"/>
      <c r="H46" s="32" t="s">
        <v>3</v>
      </c>
      <c r="I46" s="30"/>
      <c r="J46" s="33"/>
      <c r="K46" s="34" t="s">
        <v>5</v>
      </c>
      <c r="L46" s="33"/>
      <c r="M46" s="33"/>
      <c r="N46" s="34" t="s">
        <v>6</v>
      </c>
      <c r="O46" s="33"/>
      <c r="P46" s="33"/>
      <c r="Q46" s="34" t="s">
        <v>7</v>
      </c>
      <c r="R46" s="30"/>
      <c r="S46" s="30"/>
      <c r="T46" s="33" t="s">
        <v>3</v>
      </c>
      <c r="U46" s="33"/>
      <c r="V46" s="33" t="s">
        <v>3</v>
      </c>
      <c r="W46" s="33"/>
      <c r="X46" s="33" t="s">
        <v>8</v>
      </c>
      <c r="Y46" s="3"/>
      <c r="Z46" s="3"/>
      <c r="AA46" s="3"/>
      <c r="AB46" s="3"/>
      <c r="AC46" s="3"/>
      <c r="AD46" s="3"/>
      <c r="AE46" s="3"/>
      <c r="AF46" s="23"/>
    </row>
    <row r="47" spans="1:32" ht="15.75">
      <c r="A47" s="31"/>
      <c r="B47" s="30"/>
      <c r="C47" s="3"/>
      <c r="D47" s="3"/>
      <c r="E47" s="3"/>
      <c r="F47" s="3"/>
      <c r="G47" s="3"/>
      <c r="H47" s="35" t="s">
        <v>9</v>
      </c>
      <c r="I47" s="30"/>
      <c r="J47" s="33"/>
      <c r="K47" s="33" t="s">
        <v>9</v>
      </c>
      <c r="L47" s="33"/>
      <c r="M47" s="33"/>
      <c r="N47" s="33" t="s">
        <v>9</v>
      </c>
      <c r="O47" s="33"/>
      <c r="P47" s="33"/>
      <c r="Q47" s="33" t="s">
        <v>9</v>
      </c>
      <c r="R47" s="30"/>
      <c r="S47" s="30"/>
      <c r="T47" s="33" t="s">
        <v>10</v>
      </c>
      <c r="U47" s="33"/>
      <c r="V47" s="33" t="s">
        <v>11</v>
      </c>
      <c r="W47" s="33"/>
      <c r="X47" s="33" t="s">
        <v>12</v>
      </c>
      <c r="Y47" s="3"/>
      <c r="Z47" s="3"/>
      <c r="AA47" s="3"/>
      <c r="AB47" s="3"/>
      <c r="AC47" s="3"/>
      <c r="AD47" s="3"/>
      <c r="AE47" s="3"/>
      <c r="AF47" s="23"/>
    </row>
    <row r="48" spans="1:32" ht="15.75">
      <c r="A48" s="31"/>
      <c r="B48" s="30"/>
      <c r="C48" s="3"/>
      <c r="D48" s="3"/>
      <c r="E48" s="3"/>
      <c r="F48" s="3"/>
      <c r="G48" s="3"/>
      <c r="H48" s="28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23"/>
    </row>
    <row r="49" spans="1:32" ht="16.5" thickBot="1">
      <c r="A49" s="36"/>
      <c r="B49" s="37"/>
      <c r="C49" s="38"/>
      <c r="D49" s="38"/>
      <c r="E49" s="38"/>
      <c r="F49" s="38"/>
      <c r="G49" s="38"/>
      <c r="H49" s="39">
        <f>AVERAGE(B31:AF31)</f>
        <v>11.150725772490498</v>
      </c>
      <c r="I49" s="38"/>
      <c r="J49" s="40"/>
      <c r="K49" s="39">
        <f>MAX(B35:AF35)</f>
        <v>15.325308976687335</v>
      </c>
      <c r="L49" s="40"/>
      <c r="M49" s="40"/>
      <c r="N49" s="39">
        <f>MIN(B39:AF39)</f>
        <v>6.0783448207660227</v>
      </c>
      <c r="O49" s="40"/>
      <c r="P49" s="40"/>
      <c r="Q49" s="39">
        <f>K49-N49</f>
        <v>9.2469641559213116</v>
      </c>
      <c r="R49" s="38"/>
      <c r="S49" s="39"/>
      <c r="T49" s="39">
        <f>AVERAGE(B35:AF35)</f>
        <v>12.436283486311625</v>
      </c>
      <c r="U49" s="39"/>
      <c r="V49" s="39">
        <f>AVERAGE(B39:AF39)</f>
        <v>9.7300875308997856</v>
      </c>
      <c r="W49" s="39"/>
      <c r="X49" s="39">
        <f>T49-V49</f>
        <v>2.7061959554118395</v>
      </c>
      <c r="Y49" s="38"/>
      <c r="Z49" s="38"/>
      <c r="AA49" s="38"/>
      <c r="AB49" s="38"/>
      <c r="AC49" s="38"/>
      <c r="AD49" s="38"/>
      <c r="AE49" s="38"/>
      <c r="AF49" s="41"/>
    </row>
    <row r="50" spans="1:32" ht="15.75" thickTop="1">
      <c r="B50" s="42"/>
    </row>
    <row r="51" spans="1:32">
      <c r="B51" s="42"/>
    </row>
    <row r="52" spans="1:32">
      <c r="B52" s="42"/>
    </row>
    <row r="53" spans="1:32">
      <c r="B53" s="42"/>
    </row>
    <row r="54" spans="1:32">
      <c r="B54" s="42"/>
    </row>
    <row r="55" spans="1:32">
      <c r="B55" s="42"/>
    </row>
    <row r="56" spans="1:32">
      <c r="B56" s="42"/>
    </row>
    <row r="57" spans="1:32">
      <c r="B57" s="42"/>
    </row>
    <row r="58" spans="1:32">
      <c r="B58" s="42"/>
    </row>
    <row r="59" spans="1:32">
      <c r="B59" s="42"/>
    </row>
    <row r="60" spans="1:32">
      <c r="B60" s="42"/>
    </row>
    <row r="61" spans="1:32">
      <c r="B61" s="42"/>
    </row>
    <row r="62" spans="1:32">
      <c r="B62" s="42"/>
    </row>
    <row r="63" spans="1:32">
      <c r="B63" s="42"/>
    </row>
    <row r="64" spans="1:32">
      <c r="B64" s="42"/>
    </row>
    <row r="65" spans="2:2">
      <c r="B65" s="42"/>
    </row>
    <row r="66" spans="2:2">
      <c r="B66" s="42"/>
    </row>
    <row r="67" spans="2:2">
      <c r="B67" s="42"/>
    </row>
    <row r="68" spans="2:2">
      <c r="B68" s="42"/>
    </row>
    <row r="69" spans="2:2">
      <c r="B69" s="42"/>
    </row>
    <row r="70" spans="2:2">
      <c r="B70" s="42"/>
    </row>
    <row r="71" spans="2:2">
      <c r="B71" s="42"/>
    </row>
    <row r="72" spans="2:2">
      <c r="B72" s="42"/>
    </row>
    <row r="73" spans="2:2">
      <c r="B73" s="42"/>
    </row>
    <row r="74" spans="2:2">
      <c r="B74" s="42"/>
    </row>
    <row r="75" spans="2:2">
      <c r="B75" s="42"/>
    </row>
    <row r="76" spans="2:2">
      <c r="B76" s="42"/>
    </row>
    <row r="77" spans="2:2">
      <c r="B77" s="42"/>
    </row>
    <row r="78" spans="2:2">
      <c r="B78" s="42"/>
    </row>
    <row r="79" spans="2:2">
      <c r="B79" s="42"/>
    </row>
    <row r="80" spans="2:2">
      <c r="B80" s="42"/>
    </row>
    <row r="81" spans="2:2">
      <c r="B81" s="42"/>
    </row>
    <row r="82" spans="2:2">
      <c r="B82" s="42"/>
    </row>
    <row r="83" spans="2:2">
      <c r="B83" s="42"/>
    </row>
    <row r="84" spans="2:2">
      <c r="B84" s="42"/>
    </row>
    <row r="85" spans="2:2">
      <c r="B85" s="42"/>
    </row>
    <row r="86" spans="2:2">
      <c r="B86" s="42"/>
    </row>
    <row r="87" spans="2:2">
      <c r="B87" s="42"/>
    </row>
    <row r="88" spans="2:2">
      <c r="B88" s="42"/>
    </row>
    <row r="89" spans="2:2">
      <c r="B89" s="42"/>
    </row>
    <row r="90" spans="2:2">
      <c r="B90" s="42"/>
    </row>
    <row r="91" spans="2:2">
      <c r="B91" s="42"/>
    </row>
    <row r="92" spans="2:2">
      <c r="B92" s="42"/>
    </row>
    <row r="93" spans="2:2">
      <c r="B93" s="42"/>
    </row>
    <row r="94" spans="2:2">
      <c r="B94" s="42"/>
    </row>
    <row r="95" spans="2:2">
      <c r="B95" s="42"/>
    </row>
    <row r="96" spans="2:2">
      <c r="B96" s="42"/>
    </row>
    <row r="97" spans="2:2">
      <c r="B97" s="42"/>
    </row>
    <row r="98" spans="2:2">
      <c r="B98" s="42"/>
    </row>
    <row r="99" spans="2:2">
      <c r="B99" s="42"/>
    </row>
    <row r="100" spans="2:2">
      <c r="B100" s="42"/>
    </row>
    <row r="101" spans="2:2">
      <c r="B101" s="42"/>
    </row>
    <row r="102" spans="2:2">
      <c r="B102" s="42"/>
    </row>
    <row r="103" spans="2:2">
      <c r="B103" s="42"/>
    </row>
    <row r="104" spans="2:2">
      <c r="B104" s="42"/>
    </row>
    <row r="105" spans="2:2">
      <c r="B105" s="42"/>
    </row>
    <row r="106" spans="2:2">
      <c r="B106" s="42"/>
    </row>
    <row r="107" spans="2:2">
      <c r="B107" s="42"/>
    </row>
    <row r="108" spans="2:2">
      <c r="B108" s="42"/>
    </row>
    <row r="109" spans="2:2">
      <c r="B109" s="42"/>
    </row>
    <row r="110" spans="2:2">
      <c r="B110" s="42"/>
    </row>
    <row r="111" spans="2:2">
      <c r="B111" s="42"/>
    </row>
    <row r="112" spans="2:2">
      <c r="B112" s="42"/>
    </row>
    <row r="113" spans="2:2">
      <c r="B113" s="42"/>
    </row>
    <row r="114" spans="2:2">
      <c r="B114" s="42"/>
    </row>
    <row r="115" spans="2:2">
      <c r="B115" s="42"/>
    </row>
    <row r="116" spans="2:2">
      <c r="B116" s="42"/>
    </row>
    <row r="117" spans="2:2">
      <c r="B117" s="42"/>
    </row>
    <row r="118" spans="2:2">
      <c r="B118" s="42"/>
    </row>
    <row r="119" spans="2:2">
      <c r="B119" s="42"/>
    </row>
    <row r="120" spans="2:2">
      <c r="B120" s="42"/>
    </row>
    <row r="121" spans="2:2">
      <c r="B121" s="42"/>
    </row>
    <row r="122" spans="2:2">
      <c r="B122" s="42"/>
    </row>
    <row r="123" spans="2:2">
      <c r="B123" s="42"/>
    </row>
    <row r="124" spans="2:2">
      <c r="B124" s="42"/>
    </row>
    <row r="125" spans="2:2">
      <c r="B125" s="42"/>
    </row>
    <row r="126" spans="2:2">
      <c r="B126" s="42"/>
    </row>
    <row r="127" spans="2:2">
      <c r="B127" s="42"/>
    </row>
    <row r="128" spans="2:2">
      <c r="B128" s="42"/>
    </row>
    <row r="129" spans="2:2">
      <c r="B129" s="42"/>
    </row>
    <row r="130" spans="2:2">
      <c r="B130" s="42"/>
    </row>
    <row r="131" spans="2:2">
      <c r="B131" s="42"/>
    </row>
    <row r="132" spans="2:2">
      <c r="B132" s="42"/>
    </row>
    <row r="133" spans="2:2">
      <c r="B133" s="42"/>
    </row>
    <row r="134" spans="2:2">
      <c r="B134" s="42"/>
    </row>
    <row r="135" spans="2:2">
      <c r="B135" s="42"/>
    </row>
    <row r="136" spans="2:2">
      <c r="B136" s="42"/>
    </row>
    <row r="137" spans="2:2">
      <c r="B137" s="42"/>
    </row>
    <row r="138" spans="2:2">
      <c r="B138" s="42"/>
    </row>
    <row r="139" spans="2:2">
      <c r="B139" s="42"/>
    </row>
    <row r="140" spans="2:2">
      <c r="B140" s="42"/>
    </row>
    <row r="141" spans="2:2">
      <c r="B141" s="42"/>
    </row>
    <row r="142" spans="2:2">
      <c r="B142" s="42"/>
    </row>
    <row r="143" spans="2:2">
      <c r="B143" s="42"/>
    </row>
    <row r="144" spans="2:2">
      <c r="B144" s="42"/>
    </row>
    <row r="145" spans="2:2">
      <c r="B145" s="42"/>
    </row>
    <row r="146" spans="2:2">
      <c r="B146" s="42"/>
    </row>
    <row r="147" spans="2:2">
      <c r="B147" s="42"/>
    </row>
    <row r="148" spans="2:2">
      <c r="B148" s="42"/>
    </row>
    <row r="149" spans="2:2">
      <c r="B149" s="42"/>
    </row>
    <row r="150" spans="2:2">
      <c r="B150" s="42"/>
    </row>
    <row r="151" spans="2:2">
      <c r="B151" s="42"/>
    </row>
    <row r="152" spans="2:2">
      <c r="B152" s="42"/>
    </row>
    <row r="153" spans="2:2">
      <c r="B153" s="42"/>
    </row>
    <row r="154" spans="2:2">
      <c r="B154" s="42"/>
    </row>
    <row r="155" spans="2:2">
      <c r="B155" s="42"/>
    </row>
    <row r="156" spans="2:2">
      <c r="B156" s="42"/>
    </row>
    <row r="157" spans="2:2">
      <c r="B157" s="42"/>
    </row>
    <row r="158" spans="2:2">
      <c r="B158" s="42"/>
    </row>
    <row r="159" spans="2:2">
      <c r="B159" s="42"/>
    </row>
    <row r="160" spans="2:2">
      <c r="B160" s="42"/>
    </row>
    <row r="161" spans="2:2">
      <c r="B161" s="42"/>
    </row>
    <row r="162" spans="2:2">
      <c r="B162" s="42"/>
    </row>
    <row r="163" spans="2:2">
      <c r="B163" s="42"/>
    </row>
    <row r="164" spans="2:2">
      <c r="B164" s="42"/>
    </row>
    <row r="165" spans="2:2">
      <c r="B165" s="42"/>
    </row>
    <row r="166" spans="2:2">
      <c r="B166" s="42"/>
    </row>
    <row r="167" spans="2:2">
      <c r="B167" s="42"/>
    </row>
    <row r="168" spans="2:2">
      <c r="B168" s="42"/>
    </row>
    <row r="169" spans="2:2">
      <c r="B169" s="42"/>
    </row>
    <row r="170" spans="2:2">
      <c r="B170" s="42"/>
    </row>
    <row r="171" spans="2:2">
      <c r="B171" s="42"/>
    </row>
    <row r="172" spans="2:2">
      <c r="B172" s="42"/>
    </row>
    <row r="173" spans="2:2">
      <c r="B173" s="42"/>
    </row>
    <row r="174" spans="2:2">
      <c r="B174" s="42"/>
    </row>
    <row r="175" spans="2:2">
      <c r="B175" s="42"/>
    </row>
    <row r="176" spans="2:2">
      <c r="B176" s="42"/>
    </row>
    <row r="177" spans="2:2">
      <c r="B177" s="42"/>
    </row>
    <row r="178" spans="2:2">
      <c r="B178" s="42"/>
    </row>
    <row r="179" spans="2:2">
      <c r="B179" s="42"/>
    </row>
    <row r="180" spans="2:2">
      <c r="B180" s="42"/>
    </row>
    <row r="181" spans="2:2">
      <c r="B181" s="42"/>
    </row>
    <row r="182" spans="2:2">
      <c r="B182" s="42"/>
    </row>
    <row r="183" spans="2:2">
      <c r="B183" s="42"/>
    </row>
    <row r="184" spans="2:2">
      <c r="B184" s="42"/>
    </row>
    <row r="185" spans="2:2">
      <c r="B185" s="42"/>
    </row>
    <row r="186" spans="2:2">
      <c r="B186" s="42"/>
    </row>
    <row r="187" spans="2:2">
      <c r="B187" s="42"/>
    </row>
    <row r="188" spans="2:2">
      <c r="B188" s="42"/>
    </row>
    <row r="189" spans="2:2">
      <c r="B189" s="42"/>
    </row>
    <row r="190" spans="2:2">
      <c r="B190" s="42"/>
    </row>
    <row r="191" spans="2:2">
      <c r="B191" s="42"/>
    </row>
    <row r="192" spans="2:2">
      <c r="B192" s="42"/>
    </row>
    <row r="193" spans="2:2">
      <c r="B193" s="42"/>
    </row>
    <row r="194" spans="2:2">
      <c r="B194" s="42"/>
    </row>
    <row r="195" spans="2:2">
      <c r="B195" s="42"/>
    </row>
    <row r="196" spans="2:2">
      <c r="B196" s="42"/>
    </row>
    <row r="197" spans="2:2">
      <c r="B197" s="42"/>
    </row>
    <row r="198" spans="2:2">
      <c r="B198" s="42"/>
    </row>
    <row r="199" spans="2:2">
      <c r="B199" s="42"/>
    </row>
    <row r="200" spans="2:2">
      <c r="B200" s="42"/>
    </row>
    <row r="201" spans="2:2">
      <c r="B201" s="42"/>
    </row>
    <row r="202" spans="2:2">
      <c r="B202" s="42"/>
    </row>
    <row r="203" spans="2:2">
      <c r="B203" s="42"/>
    </row>
    <row r="204" spans="2:2">
      <c r="B204" s="42"/>
    </row>
    <row r="205" spans="2:2">
      <c r="B205" s="42"/>
    </row>
    <row r="206" spans="2:2">
      <c r="B206" s="42"/>
    </row>
    <row r="207" spans="2:2">
      <c r="B207" s="42"/>
    </row>
    <row r="208" spans="2:2">
      <c r="B208" s="42"/>
    </row>
    <row r="209" spans="2:2">
      <c r="B209" s="42"/>
    </row>
    <row r="210" spans="2:2">
      <c r="B210" s="42"/>
    </row>
    <row r="211" spans="2:2">
      <c r="B211" s="42"/>
    </row>
    <row r="212" spans="2:2">
      <c r="B212" s="42"/>
    </row>
    <row r="213" spans="2:2">
      <c r="B213" s="42"/>
    </row>
    <row r="214" spans="2:2">
      <c r="B214" s="42"/>
    </row>
    <row r="215" spans="2:2">
      <c r="B215" s="42"/>
    </row>
    <row r="216" spans="2:2">
      <c r="B216" s="42"/>
    </row>
    <row r="217" spans="2:2">
      <c r="B217" s="42"/>
    </row>
    <row r="218" spans="2:2">
      <c r="B218" s="42"/>
    </row>
    <row r="219" spans="2:2">
      <c r="B219" s="42"/>
    </row>
    <row r="220" spans="2:2">
      <c r="B220" s="42"/>
    </row>
    <row r="221" spans="2:2">
      <c r="B221" s="42"/>
    </row>
    <row r="222" spans="2:2">
      <c r="B222" s="42"/>
    </row>
    <row r="223" spans="2:2">
      <c r="B223" s="42"/>
    </row>
    <row r="224" spans="2:2">
      <c r="B224" s="42"/>
    </row>
    <row r="225" spans="2:2">
      <c r="B225" s="42"/>
    </row>
    <row r="226" spans="2:2">
      <c r="B226" s="42"/>
    </row>
    <row r="227" spans="2:2">
      <c r="B227" s="42"/>
    </row>
    <row r="228" spans="2:2">
      <c r="B228" s="42"/>
    </row>
    <row r="229" spans="2:2">
      <c r="B229" s="42"/>
    </row>
    <row r="230" spans="2:2">
      <c r="B230" s="42"/>
    </row>
    <row r="231" spans="2:2">
      <c r="B231" s="42"/>
    </row>
    <row r="232" spans="2:2">
      <c r="B232" s="42"/>
    </row>
    <row r="233" spans="2:2">
      <c r="B233" s="42"/>
    </row>
    <row r="234" spans="2:2">
      <c r="B234" s="42"/>
    </row>
    <row r="235" spans="2:2">
      <c r="B235" s="42"/>
    </row>
    <row r="236" spans="2:2">
      <c r="B236" s="42"/>
    </row>
    <row r="237" spans="2:2">
      <c r="B237" s="42"/>
    </row>
    <row r="238" spans="2:2">
      <c r="B238" s="42"/>
    </row>
    <row r="239" spans="2:2">
      <c r="B239" s="42"/>
    </row>
    <row r="240" spans="2:2">
      <c r="B240" s="42"/>
    </row>
    <row r="241" spans="2:2">
      <c r="B241" s="42"/>
    </row>
    <row r="242" spans="2:2">
      <c r="B242" s="42"/>
    </row>
    <row r="243" spans="2:2">
      <c r="B243" s="42"/>
    </row>
    <row r="244" spans="2:2">
      <c r="B244" s="42"/>
    </row>
    <row r="245" spans="2:2">
      <c r="B245" s="42"/>
    </row>
    <row r="246" spans="2:2">
      <c r="B246" s="42"/>
    </row>
    <row r="247" spans="2:2">
      <c r="B247" s="42"/>
    </row>
    <row r="248" spans="2:2">
      <c r="B248" s="42"/>
    </row>
    <row r="249" spans="2:2">
      <c r="B249" s="42"/>
    </row>
    <row r="250" spans="2:2">
      <c r="B250" s="42"/>
    </row>
    <row r="251" spans="2:2">
      <c r="B251" s="42"/>
    </row>
    <row r="252" spans="2:2">
      <c r="B252" s="42"/>
    </row>
    <row r="253" spans="2:2">
      <c r="B253" s="42"/>
    </row>
    <row r="254" spans="2:2">
      <c r="B254" s="42"/>
    </row>
    <row r="255" spans="2:2">
      <c r="B255" s="42"/>
    </row>
    <row r="256" spans="2:2">
      <c r="B256" s="42"/>
    </row>
    <row r="257" spans="2:2">
      <c r="B257" s="42"/>
    </row>
    <row r="258" spans="2:2">
      <c r="B258" s="42"/>
    </row>
    <row r="259" spans="2:2">
      <c r="B259" s="42"/>
    </row>
    <row r="260" spans="2:2">
      <c r="B260" s="42"/>
    </row>
    <row r="261" spans="2:2">
      <c r="B261" s="42"/>
    </row>
    <row r="262" spans="2:2">
      <c r="B262" s="42"/>
    </row>
    <row r="263" spans="2:2">
      <c r="B263" s="42"/>
    </row>
    <row r="264" spans="2:2">
      <c r="B264" s="42"/>
    </row>
    <row r="265" spans="2:2">
      <c r="B265" s="42"/>
    </row>
    <row r="266" spans="2:2">
      <c r="B266" s="42"/>
    </row>
    <row r="267" spans="2:2">
      <c r="B267" s="42"/>
    </row>
    <row r="268" spans="2:2">
      <c r="B268" s="42"/>
    </row>
    <row r="269" spans="2:2">
      <c r="B269" s="42"/>
    </row>
    <row r="270" spans="2:2">
      <c r="B270" s="42"/>
    </row>
    <row r="271" spans="2:2">
      <c r="B271" s="42"/>
    </row>
    <row r="272" spans="2:2">
      <c r="B272" s="42"/>
    </row>
    <row r="273" spans="2:2">
      <c r="B273" s="42"/>
    </row>
    <row r="274" spans="2:2">
      <c r="B274" s="42"/>
    </row>
    <row r="275" spans="2:2">
      <c r="B275" s="42"/>
    </row>
    <row r="276" spans="2:2">
      <c r="B276" s="42"/>
    </row>
    <row r="277" spans="2:2">
      <c r="B277" s="42"/>
    </row>
    <row r="278" spans="2:2">
      <c r="B278" s="42"/>
    </row>
    <row r="279" spans="2:2">
      <c r="B279" s="42"/>
    </row>
    <row r="280" spans="2:2">
      <c r="B280" s="42"/>
    </row>
    <row r="281" spans="2:2">
      <c r="B281" s="42"/>
    </row>
    <row r="282" spans="2:2">
      <c r="B282" s="42"/>
    </row>
    <row r="283" spans="2:2">
      <c r="B283" s="42"/>
    </row>
    <row r="284" spans="2:2">
      <c r="B284" s="42"/>
    </row>
    <row r="285" spans="2:2">
      <c r="B285" s="42"/>
    </row>
    <row r="286" spans="2:2">
      <c r="B286" s="42"/>
    </row>
    <row r="287" spans="2:2">
      <c r="B287" s="42"/>
    </row>
    <row r="288" spans="2:2">
      <c r="B288" s="42"/>
    </row>
    <row r="289" spans="2:2">
      <c r="B289" s="42"/>
    </row>
    <row r="290" spans="2:2">
      <c r="B290" s="42"/>
    </row>
    <row r="291" spans="2:2">
      <c r="B291" s="42"/>
    </row>
    <row r="292" spans="2:2">
      <c r="B292" s="42"/>
    </row>
    <row r="293" spans="2:2">
      <c r="B293" s="42"/>
    </row>
    <row r="294" spans="2:2">
      <c r="B294" s="42"/>
    </row>
    <row r="295" spans="2:2">
      <c r="B295" s="42"/>
    </row>
    <row r="296" spans="2:2">
      <c r="B296" s="42"/>
    </row>
    <row r="297" spans="2:2">
      <c r="B297" s="42"/>
    </row>
    <row r="298" spans="2:2">
      <c r="B298" s="42"/>
    </row>
    <row r="299" spans="2:2">
      <c r="B299" s="42"/>
    </row>
    <row r="300" spans="2:2">
      <c r="B300" s="42"/>
    </row>
    <row r="301" spans="2:2">
      <c r="B301" s="42"/>
    </row>
    <row r="302" spans="2:2">
      <c r="B302" s="42"/>
    </row>
    <row r="303" spans="2:2">
      <c r="B303" s="42"/>
    </row>
    <row r="304" spans="2:2">
      <c r="B304" s="42"/>
    </row>
    <row r="305" spans="2:2">
      <c r="B305" s="42"/>
    </row>
    <row r="306" spans="2:2">
      <c r="B306" s="42"/>
    </row>
    <row r="307" spans="2:2">
      <c r="B307" s="42"/>
    </row>
    <row r="308" spans="2:2">
      <c r="B308" s="42"/>
    </row>
    <row r="309" spans="2:2">
      <c r="B309" s="42"/>
    </row>
    <row r="310" spans="2:2">
      <c r="B310" s="42"/>
    </row>
    <row r="311" spans="2:2">
      <c r="B311" s="42"/>
    </row>
    <row r="312" spans="2:2">
      <c r="B312" s="42"/>
    </row>
    <row r="313" spans="2:2">
      <c r="B313" s="42"/>
    </row>
    <row r="314" spans="2:2">
      <c r="B314" s="42"/>
    </row>
    <row r="315" spans="2:2">
      <c r="B315" s="42"/>
    </row>
    <row r="316" spans="2:2">
      <c r="B316" s="42"/>
    </row>
    <row r="317" spans="2:2">
      <c r="B317" s="42"/>
    </row>
    <row r="318" spans="2:2">
      <c r="B318" s="42"/>
    </row>
    <row r="319" spans="2:2">
      <c r="B319" s="42"/>
    </row>
    <row r="320" spans="2:2">
      <c r="B320" s="42"/>
    </row>
    <row r="321" spans="2:2">
      <c r="B321" s="42"/>
    </row>
    <row r="322" spans="2:2">
      <c r="B322" s="42"/>
    </row>
    <row r="323" spans="2:2">
      <c r="B323" s="42"/>
    </row>
    <row r="324" spans="2:2">
      <c r="B324" s="42"/>
    </row>
    <row r="325" spans="2:2">
      <c r="B325" s="42"/>
    </row>
    <row r="326" spans="2:2">
      <c r="B326" s="42"/>
    </row>
    <row r="327" spans="2:2">
      <c r="B327" s="42"/>
    </row>
    <row r="328" spans="2:2">
      <c r="B328" s="42"/>
    </row>
    <row r="329" spans="2:2">
      <c r="B329" s="42"/>
    </row>
    <row r="330" spans="2:2">
      <c r="B330" s="42"/>
    </row>
    <row r="331" spans="2:2">
      <c r="B331" s="42"/>
    </row>
    <row r="332" spans="2:2">
      <c r="B332" s="42"/>
    </row>
    <row r="333" spans="2:2">
      <c r="B333" s="42"/>
    </row>
    <row r="334" spans="2:2">
      <c r="B334" s="42"/>
    </row>
    <row r="335" spans="2:2">
      <c r="B335" s="42"/>
    </row>
    <row r="336" spans="2:2">
      <c r="B336" s="42"/>
    </row>
    <row r="337" spans="2:2">
      <c r="B337" s="42"/>
    </row>
    <row r="338" spans="2:2">
      <c r="B338" s="42"/>
    </row>
    <row r="339" spans="2:2">
      <c r="B339" s="42"/>
    </row>
    <row r="340" spans="2:2">
      <c r="B340" s="42"/>
    </row>
    <row r="341" spans="2:2">
      <c r="B341" s="42"/>
    </row>
    <row r="342" spans="2:2">
      <c r="B342" s="42"/>
    </row>
    <row r="343" spans="2:2">
      <c r="B343" s="42"/>
    </row>
    <row r="344" spans="2:2">
      <c r="B344" s="42"/>
    </row>
    <row r="345" spans="2:2">
      <c r="B345" s="42"/>
    </row>
    <row r="346" spans="2:2">
      <c r="B346" s="42"/>
    </row>
    <row r="347" spans="2:2">
      <c r="B347" s="42"/>
    </row>
    <row r="348" spans="2:2">
      <c r="B348" s="42"/>
    </row>
    <row r="349" spans="2:2">
      <c r="B349" s="42"/>
    </row>
    <row r="350" spans="2:2">
      <c r="B350" s="42"/>
    </row>
    <row r="351" spans="2:2">
      <c r="B351" s="42"/>
    </row>
    <row r="352" spans="2:2">
      <c r="B352" s="42"/>
    </row>
    <row r="353" spans="2:2">
      <c r="B353" s="42"/>
    </row>
    <row r="354" spans="2:2">
      <c r="B354" s="42"/>
    </row>
    <row r="355" spans="2:2">
      <c r="B355" s="42"/>
    </row>
    <row r="356" spans="2:2">
      <c r="B356" s="42"/>
    </row>
    <row r="357" spans="2:2">
      <c r="B357" s="42"/>
    </row>
    <row r="358" spans="2:2">
      <c r="B358" s="42"/>
    </row>
    <row r="359" spans="2:2">
      <c r="B359" s="42"/>
    </row>
    <row r="360" spans="2:2">
      <c r="B360" s="42"/>
    </row>
    <row r="361" spans="2:2">
      <c r="B361" s="42"/>
    </row>
    <row r="362" spans="2:2">
      <c r="B362" s="42"/>
    </row>
    <row r="363" spans="2:2">
      <c r="B363" s="42"/>
    </row>
    <row r="364" spans="2:2">
      <c r="B364" s="42"/>
    </row>
    <row r="365" spans="2:2">
      <c r="B365" s="42"/>
    </row>
    <row r="366" spans="2:2">
      <c r="B366" s="42"/>
    </row>
    <row r="367" spans="2:2">
      <c r="B367" s="42"/>
    </row>
    <row r="368" spans="2:2">
      <c r="B368" s="42"/>
    </row>
    <row r="369" spans="2:2">
      <c r="B369" s="42"/>
    </row>
    <row r="370" spans="2:2">
      <c r="B370" s="42"/>
    </row>
    <row r="371" spans="2:2">
      <c r="B371" s="42"/>
    </row>
    <row r="372" spans="2:2">
      <c r="B372" s="42"/>
    </row>
    <row r="373" spans="2:2">
      <c r="B373" s="42"/>
    </row>
    <row r="374" spans="2:2">
      <c r="B374" s="42"/>
    </row>
    <row r="375" spans="2:2">
      <c r="B375" s="42"/>
    </row>
    <row r="376" spans="2:2">
      <c r="B376" s="42"/>
    </row>
    <row r="377" spans="2:2">
      <c r="B377" s="42"/>
    </row>
    <row r="378" spans="2:2">
      <c r="B378" s="42"/>
    </row>
    <row r="379" spans="2:2">
      <c r="B379" s="42"/>
    </row>
    <row r="380" spans="2:2">
      <c r="B380" s="42"/>
    </row>
    <row r="381" spans="2:2">
      <c r="B381" s="42"/>
    </row>
    <row r="382" spans="2:2">
      <c r="B382" s="42"/>
    </row>
    <row r="383" spans="2:2">
      <c r="B383" s="42"/>
    </row>
    <row r="384" spans="2:2">
      <c r="B384" s="42"/>
    </row>
    <row r="385" spans="2:2">
      <c r="B385" s="42"/>
    </row>
    <row r="386" spans="2:2">
      <c r="B386" s="42"/>
    </row>
    <row r="387" spans="2:2">
      <c r="B387" s="42"/>
    </row>
    <row r="388" spans="2:2">
      <c r="B388" s="42"/>
    </row>
    <row r="389" spans="2:2">
      <c r="B389" s="42"/>
    </row>
    <row r="390" spans="2:2">
      <c r="B390" s="42"/>
    </row>
    <row r="391" spans="2:2">
      <c r="B391" s="42"/>
    </row>
    <row r="392" spans="2:2">
      <c r="B392" s="42"/>
    </row>
    <row r="393" spans="2:2">
      <c r="B393" s="42"/>
    </row>
    <row r="394" spans="2:2">
      <c r="B394" s="42"/>
    </row>
    <row r="395" spans="2:2">
      <c r="B395" s="42"/>
    </row>
    <row r="396" spans="2:2">
      <c r="B396" s="42"/>
    </row>
    <row r="397" spans="2:2">
      <c r="B397" s="42"/>
    </row>
    <row r="398" spans="2:2">
      <c r="B398" s="42"/>
    </row>
    <row r="399" spans="2:2">
      <c r="B399" s="42"/>
    </row>
    <row r="400" spans="2:2">
      <c r="B400" s="42"/>
    </row>
    <row r="401" spans="2:2">
      <c r="B401" s="42"/>
    </row>
    <row r="402" spans="2:2">
      <c r="B402" s="42"/>
    </row>
    <row r="403" spans="2:2">
      <c r="B403" s="42"/>
    </row>
    <row r="404" spans="2:2">
      <c r="B404" s="42"/>
    </row>
    <row r="405" spans="2:2">
      <c r="B405" s="42"/>
    </row>
    <row r="406" spans="2:2">
      <c r="B406" s="42"/>
    </row>
    <row r="407" spans="2:2">
      <c r="B407" s="42"/>
    </row>
    <row r="408" spans="2:2">
      <c r="B408" s="42"/>
    </row>
    <row r="409" spans="2:2">
      <c r="B409" s="42"/>
    </row>
    <row r="410" spans="2:2">
      <c r="B410" s="42"/>
    </row>
    <row r="411" spans="2:2">
      <c r="B411" s="42"/>
    </row>
    <row r="412" spans="2:2">
      <c r="B412" s="42"/>
    </row>
    <row r="413" spans="2:2">
      <c r="B413" s="42"/>
    </row>
    <row r="414" spans="2:2">
      <c r="B414" s="42"/>
    </row>
    <row r="415" spans="2:2">
      <c r="B415" s="42"/>
    </row>
    <row r="416" spans="2:2">
      <c r="B416" s="42"/>
    </row>
    <row r="417" spans="2:2">
      <c r="B417" s="42"/>
    </row>
    <row r="418" spans="2:2">
      <c r="B418" s="42"/>
    </row>
    <row r="419" spans="2:2">
      <c r="B419" s="42"/>
    </row>
    <row r="420" spans="2:2">
      <c r="B420" s="42"/>
    </row>
    <row r="421" spans="2:2">
      <c r="B421" s="42"/>
    </row>
    <row r="422" spans="2:2">
      <c r="B422" s="42"/>
    </row>
    <row r="423" spans="2:2">
      <c r="B423" s="42"/>
    </row>
    <row r="424" spans="2:2">
      <c r="B424" s="42"/>
    </row>
    <row r="425" spans="2:2">
      <c r="B425" s="42"/>
    </row>
    <row r="426" spans="2:2">
      <c r="B426" s="42"/>
    </row>
    <row r="427" spans="2:2">
      <c r="B427" s="42"/>
    </row>
    <row r="428" spans="2:2">
      <c r="B428" s="42"/>
    </row>
    <row r="429" spans="2:2">
      <c r="B429" s="42"/>
    </row>
    <row r="430" spans="2:2">
      <c r="B430" s="42"/>
    </row>
    <row r="431" spans="2:2">
      <c r="B431" s="42"/>
    </row>
    <row r="432" spans="2:2">
      <c r="B432" s="42"/>
    </row>
    <row r="433" spans="2:2">
      <c r="B433" s="42"/>
    </row>
    <row r="434" spans="2:2">
      <c r="B434" s="42"/>
    </row>
    <row r="435" spans="2:2">
      <c r="B435" s="42"/>
    </row>
    <row r="436" spans="2:2">
      <c r="B436" s="42"/>
    </row>
    <row r="437" spans="2:2">
      <c r="B437" s="42"/>
    </row>
    <row r="438" spans="2:2">
      <c r="B438" s="42"/>
    </row>
    <row r="439" spans="2:2">
      <c r="B439" s="42"/>
    </row>
    <row r="440" spans="2:2">
      <c r="B440" s="42"/>
    </row>
    <row r="441" spans="2:2">
      <c r="B441" s="42"/>
    </row>
    <row r="442" spans="2:2">
      <c r="B442" s="42"/>
    </row>
    <row r="443" spans="2:2">
      <c r="B443" s="42"/>
    </row>
    <row r="444" spans="2:2">
      <c r="B444" s="42"/>
    </row>
    <row r="445" spans="2:2">
      <c r="B445" s="42"/>
    </row>
    <row r="446" spans="2:2">
      <c r="B446" s="42"/>
    </row>
    <row r="447" spans="2:2">
      <c r="B447" s="42"/>
    </row>
    <row r="448" spans="2:2">
      <c r="B448" s="42"/>
    </row>
    <row r="449" spans="2:2">
      <c r="B449" s="42"/>
    </row>
    <row r="450" spans="2:2">
      <c r="B450" s="42"/>
    </row>
    <row r="451" spans="2:2">
      <c r="B451" s="42"/>
    </row>
    <row r="452" spans="2:2">
      <c r="B452" s="42"/>
    </row>
    <row r="453" spans="2:2">
      <c r="B453" s="42"/>
    </row>
    <row r="454" spans="2:2">
      <c r="B454" s="42"/>
    </row>
    <row r="455" spans="2:2">
      <c r="B455" s="42"/>
    </row>
    <row r="456" spans="2:2">
      <c r="B456" s="42"/>
    </row>
    <row r="457" spans="2:2">
      <c r="B457" s="42"/>
    </row>
    <row r="458" spans="2:2">
      <c r="B458" s="42"/>
    </row>
    <row r="459" spans="2:2">
      <c r="B459" s="42"/>
    </row>
    <row r="460" spans="2:2">
      <c r="B460" s="42"/>
    </row>
    <row r="461" spans="2:2">
      <c r="B461" s="42"/>
    </row>
    <row r="462" spans="2:2">
      <c r="B462" s="42"/>
    </row>
    <row r="463" spans="2:2">
      <c r="B463" s="42"/>
    </row>
    <row r="464" spans="2:2">
      <c r="B464" s="42"/>
    </row>
    <row r="465" spans="2:2">
      <c r="B465" s="42"/>
    </row>
    <row r="466" spans="2:2">
      <c r="B466" s="42"/>
    </row>
    <row r="467" spans="2:2">
      <c r="B467" s="42"/>
    </row>
    <row r="468" spans="2:2">
      <c r="B468" s="42"/>
    </row>
    <row r="469" spans="2:2">
      <c r="B469" s="42"/>
    </row>
    <row r="470" spans="2:2">
      <c r="B470" s="42"/>
    </row>
    <row r="471" spans="2:2">
      <c r="B471" s="42"/>
    </row>
    <row r="472" spans="2:2">
      <c r="B472" s="42"/>
    </row>
    <row r="473" spans="2:2">
      <c r="B473" s="42"/>
    </row>
    <row r="474" spans="2:2">
      <c r="B474" s="42"/>
    </row>
    <row r="475" spans="2:2">
      <c r="B475" s="42"/>
    </row>
    <row r="476" spans="2:2">
      <c r="B476" s="42"/>
    </row>
    <row r="477" spans="2:2">
      <c r="B477" s="42"/>
    </row>
    <row r="478" spans="2:2">
      <c r="B478" s="42"/>
    </row>
    <row r="479" spans="2:2">
      <c r="B479" s="42"/>
    </row>
    <row r="480" spans="2:2">
      <c r="B480" s="42"/>
    </row>
    <row r="481" spans="2:2">
      <c r="B481" s="42"/>
    </row>
    <row r="482" spans="2:2">
      <c r="B482" s="42"/>
    </row>
    <row r="483" spans="2:2">
      <c r="B483" s="42"/>
    </row>
    <row r="484" spans="2:2">
      <c r="B484" s="42"/>
    </row>
    <row r="485" spans="2:2">
      <c r="B485" s="42"/>
    </row>
    <row r="486" spans="2:2">
      <c r="B486" s="42"/>
    </row>
    <row r="487" spans="2:2">
      <c r="B487" s="42"/>
    </row>
    <row r="488" spans="2:2">
      <c r="B488" s="42"/>
    </row>
    <row r="489" spans="2:2">
      <c r="B489" s="42"/>
    </row>
    <row r="490" spans="2:2">
      <c r="B490" s="42"/>
    </row>
    <row r="491" spans="2:2">
      <c r="B491" s="42"/>
    </row>
    <row r="492" spans="2:2">
      <c r="B492" s="42"/>
    </row>
    <row r="493" spans="2:2">
      <c r="B493" s="42"/>
    </row>
    <row r="494" spans="2:2">
      <c r="B494" s="42"/>
    </row>
    <row r="495" spans="2:2">
      <c r="B495" s="42"/>
    </row>
    <row r="496" spans="2:2">
      <c r="B496" s="42"/>
    </row>
    <row r="497" spans="2:2">
      <c r="B497" s="42"/>
    </row>
  </sheetData>
  <pageMargins left="0.511811024" right="0.511811024" top="0.78740157499999996" bottom="0.78740157499999996" header="0.31496062000000002" footer="0.31496062000000002"/>
</worksheet>
</file>

<file path=xl/worksheets/sheet6.xml><?xml version="1.0" encoding="utf-8"?>
<worksheet xmlns="http://schemas.openxmlformats.org/spreadsheetml/2006/main" xmlns:r="http://schemas.openxmlformats.org/officeDocument/2006/relationships">
  <dimension ref="A1:AF497"/>
  <sheetViews>
    <sheetView zoomScale="70" zoomScaleNormal="70" workbookViewId="0">
      <selection activeCell="B4" sqref="B4:AF9"/>
    </sheetView>
  </sheetViews>
  <sheetFormatPr defaultColWidth="5.7109375" defaultRowHeight="15"/>
  <cols>
    <col min="1" max="1" width="11.5703125" customWidth="1"/>
    <col min="2" max="32" width="7.7109375" style="43" customWidth="1"/>
    <col min="33" max="33" width="12.7109375" customWidth="1"/>
    <col min="257" max="257" width="11.5703125" customWidth="1"/>
    <col min="258" max="288" width="7.7109375" customWidth="1"/>
    <col min="289" max="289" width="12.7109375" customWidth="1"/>
    <col min="513" max="513" width="11.5703125" customWidth="1"/>
    <col min="514" max="544" width="7.7109375" customWidth="1"/>
    <col min="545" max="545" width="12.7109375" customWidth="1"/>
    <col min="769" max="769" width="11.5703125" customWidth="1"/>
    <col min="770" max="800" width="7.7109375" customWidth="1"/>
    <col min="801" max="801" width="12.7109375" customWidth="1"/>
    <col min="1025" max="1025" width="11.5703125" customWidth="1"/>
    <col min="1026" max="1056" width="7.7109375" customWidth="1"/>
    <col min="1057" max="1057" width="12.7109375" customWidth="1"/>
    <col min="1281" max="1281" width="11.5703125" customWidth="1"/>
    <col min="1282" max="1312" width="7.7109375" customWidth="1"/>
    <col min="1313" max="1313" width="12.7109375" customWidth="1"/>
    <col min="1537" max="1537" width="11.5703125" customWidth="1"/>
    <col min="1538" max="1568" width="7.7109375" customWidth="1"/>
    <col min="1569" max="1569" width="12.7109375" customWidth="1"/>
    <col min="1793" max="1793" width="11.5703125" customWidth="1"/>
    <col min="1794" max="1824" width="7.7109375" customWidth="1"/>
    <col min="1825" max="1825" width="12.7109375" customWidth="1"/>
    <col min="2049" max="2049" width="11.5703125" customWidth="1"/>
    <col min="2050" max="2080" width="7.7109375" customWidth="1"/>
    <col min="2081" max="2081" width="12.7109375" customWidth="1"/>
    <col min="2305" max="2305" width="11.5703125" customWidth="1"/>
    <col min="2306" max="2336" width="7.7109375" customWidth="1"/>
    <col min="2337" max="2337" width="12.7109375" customWidth="1"/>
    <col min="2561" max="2561" width="11.5703125" customWidth="1"/>
    <col min="2562" max="2592" width="7.7109375" customWidth="1"/>
    <col min="2593" max="2593" width="12.7109375" customWidth="1"/>
    <col min="2817" max="2817" width="11.5703125" customWidth="1"/>
    <col min="2818" max="2848" width="7.7109375" customWidth="1"/>
    <col min="2849" max="2849" width="12.7109375" customWidth="1"/>
    <col min="3073" max="3073" width="11.5703125" customWidth="1"/>
    <col min="3074" max="3104" width="7.7109375" customWidth="1"/>
    <col min="3105" max="3105" width="12.7109375" customWidth="1"/>
    <col min="3329" max="3329" width="11.5703125" customWidth="1"/>
    <col min="3330" max="3360" width="7.7109375" customWidth="1"/>
    <col min="3361" max="3361" width="12.7109375" customWidth="1"/>
    <col min="3585" max="3585" width="11.5703125" customWidth="1"/>
    <col min="3586" max="3616" width="7.7109375" customWidth="1"/>
    <col min="3617" max="3617" width="12.7109375" customWidth="1"/>
    <col min="3841" max="3841" width="11.5703125" customWidth="1"/>
    <col min="3842" max="3872" width="7.7109375" customWidth="1"/>
    <col min="3873" max="3873" width="12.7109375" customWidth="1"/>
    <col min="4097" max="4097" width="11.5703125" customWidth="1"/>
    <col min="4098" max="4128" width="7.7109375" customWidth="1"/>
    <col min="4129" max="4129" width="12.7109375" customWidth="1"/>
    <col min="4353" max="4353" width="11.5703125" customWidth="1"/>
    <col min="4354" max="4384" width="7.7109375" customWidth="1"/>
    <col min="4385" max="4385" width="12.7109375" customWidth="1"/>
    <col min="4609" max="4609" width="11.5703125" customWidth="1"/>
    <col min="4610" max="4640" width="7.7109375" customWidth="1"/>
    <col min="4641" max="4641" width="12.7109375" customWidth="1"/>
    <col min="4865" max="4865" width="11.5703125" customWidth="1"/>
    <col min="4866" max="4896" width="7.7109375" customWidth="1"/>
    <col min="4897" max="4897" width="12.7109375" customWidth="1"/>
    <col min="5121" max="5121" width="11.5703125" customWidth="1"/>
    <col min="5122" max="5152" width="7.7109375" customWidth="1"/>
    <col min="5153" max="5153" width="12.7109375" customWidth="1"/>
    <col min="5377" max="5377" width="11.5703125" customWidth="1"/>
    <col min="5378" max="5408" width="7.7109375" customWidth="1"/>
    <col min="5409" max="5409" width="12.7109375" customWidth="1"/>
    <col min="5633" max="5633" width="11.5703125" customWidth="1"/>
    <col min="5634" max="5664" width="7.7109375" customWidth="1"/>
    <col min="5665" max="5665" width="12.7109375" customWidth="1"/>
    <col min="5889" max="5889" width="11.5703125" customWidth="1"/>
    <col min="5890" max="5920" width="7.7109375" customWidth="1"/>
    <col min="5921" max="5921" width="12.7109375" customWidth="1"/>
    <col min="6145" max="6145" width="11.5703125" customWidth="1"/>
    <col min="6146" max="6176" width="7.7109375" customWidth="1"/>
    <col min="6177" max="6177" width="12.7109375" customWidth="1"/>
    <col min="6401" max="6401" width="11.5703125" customWidth="1"/>
    <col min="6402" max="6432" width="7.7109375" customWidth="1"/>
    <col min="6433" max="6433" width="12.7109375" customWidth="1"/>
    <col min="6657" max="6657" width="11.5703125" customWidth="1"/>
    <col min="6658" max="6688" width="7.7109375" customWidth="1"/>
    <col min="6689" max="6689" width="12.7109375" customWidth="1"/>
    <col min="6913" max="6913" width="11.5703125" customWidth="1"/>
    <col min="6914" max="6944" width="7.7109375" customWidth="1"/>
    <col min="6945" max="6945" width="12.7109375" customWidth="1"/>
    <col min="7169" max="7169" width="11.5703125" customWidth="1"/>
    <col min="7170" max="7200" width="7.7109375" customWidth="1"/>
    <col min="7201" max="7201" width="12.7109375" customWidth="1"/>
    <col min="7425" max="7425" width="11.5703125" customWidth="1"/>
    <col min="7426" max="7456" width="7.7109375" customWidth="1"/>
    <col min="7457" max="7457" width="12.7109375" customWidth="1"/>
    <col min="7681" max="7681" width="11.5703125" customWidth="1"/>
    <col min="7682" max="7712" width="7.7109375" customWidth="1"/>
    <col min="7713" max="7713" width="12.7109375" customWidth="1"/>
    <col min="7937" max="7937" width="11.5703125" customWidth="1"/>
    <col min="7938" max="7968" width="7.7109375" customWidth="1"/>
    <col min="7969" max="7969" width="12.7109375" customWidth="1"/>
    <col min="8193" max="8193" width="11.5703125" customWidth="1"/>
    <col min="8194" max="8224" width="7.7109375" customWidth="1"/>
    <col min="8225" max="8225" width="12.7109375" customWidth="1"/>
    <col min="8449" max="8449" width="11.5703125" customWidth="1"/>
    <col min="8450" max="8480" width="7.7109375" customWidth="1"/>
    <col min="8481" max="8481" width="12.7109375" customWidth="1"/>
    <col min="8705" max="8705" width="11.5703125" customWidth="1"/>
    <col min="8706" max="8736" width="7.7109375" customWidth="1"/>
    <col min="8737" max="8737" width="12.7109375" customWidth="1"/>
    <col min="8961" max="8961" width="11.5703125" customWidth="1"/>
    <col min="8962" max="8992" width="7.7109375" customWidth="1"/>
    <col min="8993" max="8993" width="12.7109375" customWidth="1"/>
    <col min="9217" max="9217" width="11.5703125" customWidth="1"/>
    <col min="9218" max="9248" width="7.7109375" customWidth="1"/>
    <col min="9249" max="9249" width="12.7109375" customWidth="1"/>
    <col min="9473" max="9473" width="11.5703125" customWidth="1"/>
    <col min="9474" max="9504" width="7.7109375" customWidth="1"/>
    <col min="9505" max="9505" width="12.7109375" customWidth="1"/>
    <col min="9729" max="9729" width="11.5703125" customWidth="1"/>
    <col min="9730" max="9760" width="7.7109375" customWidth="1"/>
    <col min="9761" max="9761" width="12.7109375" customWidth="1"/>
    <col min="9985" max="9985" width="11.5703125" customWidth="1"/>
    <col min="9986" max="10016" width="7.7109375" customWidth="1"/>
    <col min="10017" max="10017" width="12.7109375" customWidth="1"/>
    <col min="10241" max="10241" width="11.5703125" customWidth="1"/>
    <col min="10242" max="10272" width="7.7109375" customWidth="1"/>
    <col min="10273" max="10273" width="12.7109375" customWidth="1"/>
    <col min="10497" max="10497" width="11.5703125" customWidth="1"/>
    <col min="10498" max="10528" width="7.7109375" customWidth="1"/>
    <col min="10529" max="10529" width="12.7109375" customWidth="1"/>
    <col min="10753" max="10753" width="11.5703125" customWidth="1"/>
    <col min="10754" max="10784" width="7.7109375" customWidth="1"/>
    <col min="10785" max="10785" width="12.7109375" customWidth="1"/>
    <col min="11009" max="11009" width="11.5703125" customWidth="1"/>
    <col min="11010" max="11040" width="7.7109375" customWidth="1"/>
    <col min="11041" max="11041" width="12.7109375" customWidth="1"/>
    <col min="11265" max="11265" width="11.5703125" customWidth="1"/>
    <col min="11266" max="11296" width="7.7109375" customWidth="1"/>
    <col min="11297" max="11297" width="12.7109375" customWidth="1"/>
    <col min="11521" max="11521" width="11.5703125" customWidth="1"/>
    <col min="11522" max="11552" width="7.7109375" customWidth="1"/>
    <col min="11553" max="11553" width="12.7109375" customWidth="1"/>
    <col min="11777" max="11777" width="11.5703125" customWidth="1"/>
    <col min="11778" max="11808" width="7.7109375" customWidth="1"/>
    <col min="11809" max="11809" width="12.7109375" customWidth="1"/>
    <col min="12033" max="12033" width="11.5703125" customWidth="1"/>
    <col min="12034" max="12064" width="7.7109375" customWidth="1"/>
    <col min="12065" max="12065" width="12.7109375" customWidth="1"/>
    <col min="12289" max="12289" width="11.5703125" customWidth="1"/>
    <col min="12290" max="12320" width="7.7109375" customWidth="1"/>
    <col min="12321" max="12321" width="12.7109375" customWidth="1"/>
    <col min="12545" max="12545" width="11.5703125" customWidth="1"/>
    <col min="12546" max="12576" width="7.7109375" customWidth="1"/>
    <col min="12577" max="12577" width="12.7109375" customWidth="1"/>
    <col min="12801" max="12801" width="11.5703125" customWidth="1"/>
    <col min="12802" max="12832" width="7.7109375" customWidth="1"/>
    <col min="12833" max="12833" width="12.7109375" customWidth="1"/>
    <col min="13057" max="13057" width="11.5703125" customWidth="1"/>
    <col min="13058" max="13088" width="7.7109375" customWidth="1"/>
    <col min="13089" max="13089" width="12.7109375" customWidth="1"/>
    <col min="13313" max="13313" width="11.5703125" customWidth="1"/>
    <col min="13314" max="13344" width="7.7109375" customWidth="1"/>
    <col min="13345" max="13345" width="12.7109375" customWidth="1"/>
    <col min="13569" max="13569" width="11.5703125" customWidth="1"/>
    <col min="13570" max="13600" width="7.7109375" customWidth="1"/>
    <col min="13601" max="13601" width="12.7109375" customWidth="1"/>
    <col min="13825" max="13825" width="11.5703125" customWidth="1"/>
    <col min="13826" max="13856" width="7.7109375" customWidth="1"/>
    <col min="13857" max="13857" width="12.7109375" customWidth="1"/>
    <col min="14081" max="14081" width="11.5703125" customWidth="1"/>
    <col min="14082" max="14112" width="7.7109375" customWidth="1"/>
    <col min="14113" max="14113" width="12.7109375" customWidth="1"/>
    <col min="14337" max="14337" width="11.5703125" customWidth="1"/>
    <col min="14338" max="14368" width="7.7109375" customWidth="1"/>
    <col min="14369" max="14369" width="12.7109375" customWidth="1"/>
    <col min="14593" max="14593" width="11.5703125" customWidth="1"/>
    <col min="14594" max="14624" width="7.7109375" customWidth="1"/>
    <col min="14625" max="14625" width="12.7109375" customWidth="1"/>
    <col min="14849" max="14849" width="11.5703125" customWidth="1"/>
    <col min="14850" max="14880" width="7.7109375" customWidth="1"/>
    <col min="14881" max="14881" width="12.7109375" customWidth="1"/>
    <col min="15105" max="15105" width="11.5703125" customWidth="1"/>
    <col min="15106" max="15136" width="7.7109375" customWidth="1"/>
    <col min="15137" max="15137" width="12.7109375" customWidth="1"/>
    <col min="15361" max="15361" width="11.5703125" customWidth="1"/>
    <col min="15362" max="15392" width="7.7109375" customWidth="1"/>
    <col min="15393" max="15393" width="12.7109375" customWidth="1"/>
    <col min="15617" max="15617" width="11.5703125" customWidth="1"/>
    <col min="15618" max="15648" width="7.7109375" customWidth="1"/>
    <col min="15649" max="15649" width="12.7109375" customWidth="1"/>
    <col min="15873" max="15873" width="11.5703125" customWidth="1"/>
    <col min="15874" max="15904" width="7.7109375" customWidth="1"/>
    <col min="15905" max="15905" width="12.7109375" customWidth="1"/>
    <col min="16129" max="16129" width="11.5703125" customWidth="1"/>
    <col min="16130" max="16160" width="7.7109375" customWidth="1"/>
    <col min="16161" max="16161" width="12.7109375" customWidth="1"/>
  </cols>
  <sheetData>
    <row r="1" spans="1:32" ht="18">
      <c r="A1" s="1"/>
      <c r="B1" s="2" t="str">
        <f>'[6]Dia 1 (b)'!C1</f>
        <v>JUNHO DE 2023</v>
      </c>
      <c r="C1" s="3"/>
      <c r="D1" s="4"/>
      <c r="E1" s="5"/>
      <c r="F1" s="2"/>
      <c r="G1" s="3"/>
      <c r="H1" s="3"/>
      <c r="I1" s="3"/>
      <c r="J1" s="3"/>
      <c r="K1" s="3" t="s">
        <v>0</v>
      </c>
      <c r="L1" s="3"/>
      <c r="M1" s="3"/>
      <c r="N1" s="6"/>
      <c r="O1" s="7"/>
      <c r="P1" s="8"/>
      <c r="Q1" s="7"/>
      <c r="R1" s="7"/>
      <c r="S1" s="7"/>
      <c r="T1" s="7"/>
      <c r="U1" s="7"/>
      <c r="V1" s="9"/>
      <c r="W1" s="3"/>
      <c r="X1" s="3"/>
      <c r="Y1" s="3"/>
      <c r="Z1" s="3"/>
      <c r="AA1" s="3"/>
      <c r="AB1" s="3"/>
      <c r="AC1" s="3"/>
      <c r="AD1" s="3"/>
      <c r="AE1" s="3"/>
      <c r="AF1" s="3"/>
    </row>
    <row r="2" spans="1:32" ht="15.75" thickBot="1">
      <c r="A2" s="1"/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</row>
    <row r="3" spans="1:32" ht="20.100000000000001" customHeight="1" thickBot="1">
      <c r="A3" s="10" t="s">
        <v>1</v>
      </c>
      <c r="B3" s="11">
        <v>1</v>
      </c>
      <c r="C3" s="11">
        <v>2</v>
      </c>
      <c r="D3" s="11">
        <v>3</v>
      </c>
      <c r="E3" s="11">
        <v>4</v>
      </c>
      <c r="F3" s="11">
        <v>5</v>
      </c>
      <c r="G3" s="11">
        <v>6</v>
      </c>
      <c r="H3" s="11">
        <v>7</v>
      </c>
      <c r="I3" s="11">
        <v>8</v>
      </c>
      <c r="J3" s="11">
        <v>9</v>
      </c>
      <c r="K3" s="11">
        <v>10</v>
      </c>
      <c r="L3" s="11">
        <v>11</v>
      </c>
      <c r="M3" s="11">
        <v>12</v>
      </c>
      <c r="N3" s="11">
        <v>13</v>
      </c>
      <c r="O3" s="11">
        <v>14</v>
      </c>
      <c r="P3" s="11">
        <v>15</v>
      </c>
      <c r="Q3" s="11">
        <v>16</v>
      </c>
      <c r="R3" s="11">
        <v>17</v>
      </c>
      <c r="S3" s="11">
        <v>18</v>
      </c>
      <c r="T3" s="11">
        <v>19</v>
      </c>
      <c r="U3" s="11">
        <v>20</v>
      </c>
      <c r="V3" s="11">
        <v>21</v>
      </c>
      <c r="W3" s="11">
        <v>22</v>
      </c>
      <c r="X3" s="11">
        <v>23</v>
      </c>
      <c r="Y3" s="11">
        <v>24</v>
      </c>
      <c r="Z3" s="12">
        <v>25</v>
      </c>
      <c r="AA3" s="12">
        <v>26</v>
      </c>
      <c r="AB3" s="12">
        <v>27</v>
      </c>
      <c r="AC3" s="12">
        <v>28</v>
      </c>
      <c r="AD3" s="12">
        <v>29</v>
      </c>
      <c r="AE3" s="12">
        <v>30</v>
      </c>
      <c r="AF3" s="13"/>
    </row>
    <row r="4" spans="1:32" ht="20.100000000000001" customHeight="1">
      <c r="A4" s="14">
        <v>1</v>
      </c>
      <c r="B4" s="15">
        <f>'[6]Dia 1 (b)'!$X10</f>
        <v>10.815949767898331</v>
      </c>
      <c r="C4" s="15">
        <f>'[6]Dia 2 (b)'!$X10</f>
        <v>11.06663925397612</v>
      </c>
      <c r="D4" s="15">
        <f>'[6]Dia 3 (b)'!$X10</f>
        <v>10.353456052888172</v>
      </c>
      <c r="E4" s="15">
        <f>'[6]Dia 4 (b)'!$X10</f>
        <v>9.8908123398824994</v>
      </c>
      <c r="F4" s="15">
        <f>'[6]Dia 5 (b)'!$X10</f>
        <v>9.2481131008480535</v>
      </c>
      <c r="G4" s="15">
        <f>'[6]Dia 6 (b)'!$X10</f>
        <v>10.408306852703511</v>
      </c>
      <c r="H4" s="15">
        <f>'[6]Dia 7 (b)'!$X10</f>
        <v>8.7988316299724687</v>
      </c>
      <c r="I4" s="15">
        <f>'[6]Dia 8 (b)'!$X10</f>
        <v>9.1761414679728404</v>
      </c>
      <c r="J4" s="15">
        <f>'[6]Dia 9 (b)'!$X10</f>
        <v>9.6649808619886777</v>
      </c>
      <c r="K4" s="15">
        <f>'[6]Dia 10 (b)'!$X10</f>
        <v>9.2030111892880058</v>
      </c>
      <c r="L4" s="15">
        <f>'[6]Dia 11 (b)'!$X10</f>
        <v>9.641822260188615</v>
      </c>
      <c r="M4" s="15">
        <f>'[6]Dia 12 (b)'!$X10</f>
        <v>11.923809336277793</v>
      </c>
      <c r="N4" s="16">
        <f>'[6]Dia 13 (b)'!$X10</f>
        <v>11.85262976934578</v>
      </c>
      <c r="O4" s="16">
        <f>'[6]Dia 14 (b)'!$X10</f>
        <v>10.81399027821791</v>
      </c>
      <c r="P4" s="16">
        <f>'[6]Dia 15 (b)'!$X10</f>
        <v>11.722436861314028</v>
      </c>
      <c r="Q4" s="16">
        <f>'[6]Dia 16 (b)'!$X10</f>
        <v>11.332448070751441</v>
      </c>
      <c r="R4" s="16">
        <f>'[6]Dia 17 (b)'!$X10</f>
        <v>7.2940891506084986</v>
      </c>
      <c r="S4" s="16">
        <f>'[6]Dia 18 (b)'!$X10</f>
        <v>9.5253980369613345</v>
      </c>
      <c r="T4" s="16">
        <f>'[6]Dia 19 (b)'!$X10</f>
        <v>9.2871161694397522</v>
      </c>
      <c r="U4" s="16">
        <f>'[6]Dia 20 (b)'!$X10</f>
        <v>9.3688823447348515</v>
      </c>
      <c r="V4" s="16">
        <f>'[6]Dia 21 (b)'!$X10</f>
        <v>9.2540370984777525</v>
      </c>
      <c r="W4" s="16">
        <f>'[6]Dia 22 (b)'!$X10</f>
        <v>9.5188162366938389</v>
      </c>
      <c r="X4" s="16">
        <f>'[6]Dia 23 (b)'!$X10</f>
        <v>10.023806494559706</v>
      </c>
      <c r="Y4" s="16">
        <f>'[6]Dia 24 (b)'!$X10</f>
        <v>10.130662715808244</v>
      </c>
      <c r="Z4" s="16">
        <f>'[6]Dia 25 (b)'!$X10</f>
        <v>10.545747441565229</v>
      </c>
      <c r="AA4" s="16">
        <f>'[6]Dia 26 (b)'!$X10</f>
        <v>10.752775261457058</v>
      </c>
      <c r="AB4" s="16">
        <f>'[6]Dia 27 (b)'!$X10</f>
        <v>9.726986828848224</v>
      </c>
      <c r="AC4" s="16">
        <f>'[6]Dia 28 (b)'!$X10</f>
        <v>9.0982701196711488</v>
      </c>
      <c r="AD4" s="16">
        <f>'[6]Dia 29 (b)'!$X10</f>
        <v>10.257658201722275</v>
      </c>
      <c r="AE4" s="16">
        <f>'[6]Dia 30 (b)'!$X10</f>
        <v>11.460078936102217</v>
      </c>
      <c r="AF4" s="15"/>
    </row>
    <row r="5" spans="1:32" ht="20.100000000000001" customHeight="1">
      <c r="A5" s="14">
        <v>2</v>
      </c>
      <c r="B5" s="15">
        <f>'[6]Dia 1 (b)'!$X11</f>
        <v>10.93667048697554</v>
      </c>
      <c r="C5" s="15">
        <f>'[6]Dia 2 (b)'!$X11</f>
        <v>10.838400368721722</v>
      </c>
      <c r="D5" s="15">
        <f>'[6]Dia 3 (b)'!$X11</f>
        <v>9.994484708640778</v>
      </c>
      <c r="E5" s="15">
        <f>'[6]Dia 4 (b)'!$X11</f>
        <v>9.5715789551566601</v>
      </c>
      <c r="F5" s="15">
        <f>'[6]Dia 5 (b)'!$X11</f>
        <v>9.3527029994767332</v>
      </c>
      <c r="G5" s="15">
        <f>'[6]Dia 6 (b)'!$X11</f>
        <v>10.800987896925363</v>
      </c>
      <c r="H5" s="15">
        <f>'[6]Dia 7 (b)'!$X11</f>
        <v>8.5707840528504899</v>
      </c>
      <c r="I5" s="15">
        <f>'[6]Dia 8 (b)'!$X11</f>
        <v>9.1811438342201388</v>
      </c>
      <c r="J5" s="15">
        <f>'[6]Dia 9 (b)'!$X11</f>
        <v>9.3563402172516348</v>
      </c>
      <c r="K5" s="15">
        <f>'[6]Dia 10 (b)'!$X11</f>
        <v>9.2256084543338677</v>
      </c>
      <c r="L5" s="15">
        <f>'[6]Dia 11 (b)'!$X11</f>
        <v>9.3957163917239921</v>
      </c>
      <c r="M5" s="15">
        <f>'[6]Dia 12 (b)'!$X11</f>
        <v>11.551747549056095</v>
      </c>
      <c r="N5" s="16">
        <f>'[6]Dia 13 (b)'!$X11</f>
        <v>11.831157502207425</v>
      </c>
      <c r="O5" s="16">
        <f>'[6]Dia 14 (b)'!$X11</f>
        <v>10.862577534376715</v>
      </c>
      <c r="P5" s="16">
        <f>'[6]Dia 15 (b)'!$X11</f>
        <v>11.733031845646801</v>
      </c>
      <c r="Q5" s="16">
        <f>'[6]Dia 16 (b)'!$X11</f>
        <v>11.215015754368014</v>
      </c>
      <c r="R5" s="16">
        <f>'[6]Dia 17 (b)'!$X11</f>
        <v>7.4103048428688565</v>
      </c>
      <c r="S5" s="16">
        <f>'[6]Dia 18 (b)'!$X11</f>
        <v>9.3656293783265916</v>
      </c>
      <c r="T5" s="16">
        <f>'[6]Dia 19 (b)'!$X11</f>
        <v>9.4149256671801691</v>
      </c>
      <c r="U5" s="16">
        <f>'[6]Dia 20 (b)'!$X11</f>
        <v>9.0896888169489269</v>
      </c>
      <c r="V5" s="16">
        <f>'[6]Dia 21 (b)'!$X11</f>
        <v>9.1446756733401777</v>
      </c>
      <c r="W5" s="16">
        <f>'[6]Dia 22 (b)'!$X11</f>
        <v>8.9988914884348148</v>
      </c>
      <c r="X5" s="16">
        <f>'[6]Dia 23 (b)'!$X11</f>
        <v>9.8286584254795208</v>
      </c>
      <c r="Y5" s="16">
        <f>'[6]Dia 24 (b)'!$X11</f>
        <v>9.9113101643667996</v>
      </c>
      <c r="Z5" s="16">
        <f>'[6]Dia 25 (b)'!$X11</f>
        <v>10.142334070377027</v>
      </c>
      <c r="AA5" s="16">
        <f>'[6]Dia 26 (b)'!$X11</f>
        <v>10.127776192179775</v>
      </c>
      <c r="AB5" s="16">
        <f>'[6]Dia 27 (b)'!$X11</f>
        <v>9.7114157284244502</v>
      </c>
      <c r="AC5" s="16">
        <f>'[6]Dia 28 (b)'!$X11</f>
        <v>9.122550832162279</v>
      </c>
      <c r="AD5" s="16">
        <f>'[6]Dia 29 (b)'!$X11</f>
        <v>10.328179870696603</v>
      </c>
      <c r="AE5" s="16">
        <f>'[6]Dia 30 (b)'!$X11</f>
        <v>11.341640310751062</v>
      </c>
      <c r="AF5" s="15"/>
    </row>
    <row r="6" spans="1:32" ht="20.100000000000001" customHeight="1">
      <c r="A6" s="14">
        <v>3</v>
      </c>
      <c r="B6" s="15">
        <f>'[6]Dia 1 (b)'!$X12</f>
        <v>10.984565804009963</v>
      </c>
      <c r="C6" s="15">
        <f>'[6]Dia 2 (b)'!$X12</f>
        <v>10.659173108855452</v>
      </c>
      <c r="D6" s="15">
        <f>'[6]Dia 3 (b)'!$X12</f>
        <v>9.9992917215568173</v>
      </c>
      <c r="E6" s="15">
        <f>'[6]Dia 4 (b)'!$X12</f>
        <v>9.3625785047156604</v>
      </c>
      <c r="F6" s="15">
        <f>'[6]Dia 5 (b)'!$X12</f>
        <v>9.0532447338331181</v>
      </c>
      <c r="G6" s="15">
        <f>'[6]Dia 6 (b)'!$X12</f>
        <v>10.642454478200953</v>
      </c>
      <c r="H6" s="15">
        <f>'[6]Dia 7 (b)'!$X12</f>
        <v>8.5759073747722674</v>
      </c>
      <c r="I6" s="15">
        <f>'[6]Dia 8 (b)'!$X12</f>
        <v>9.3721296426310694</v>
      </c>
      <c r="J6" s="15">
        <f>'[6]Dia 9 (b)'!$X12</f>
        <v>9.2376977305404662</v>
      </c>
      <c r="K6" s="15">
        <f>'[6]Dia 10 (b)'!$X12</f>
        <v>8.7757284117232359</v>
      </c>
      <c r="L6" s="15">
        <f>'[6]Dia 11 (b)'!$X12</f>
        <v>9.200687414730421</v>
      </c>
      <c r="M6" s="15">
        <f>'[6]Dia 12 (b)'!$X12</f>
        <v>11.333158026398914</v>
      </c>
      <c r="N6" s="16">
        <f>'[6]Dia 13 (b)'!$X12</f>
        <v>12.10583086702305</v>
      </c>
      <c r="O6" s="16">
        <f>'[6]Dia 14 (b)'!$X12</f>
        <v>10.769479258841574</v>
      </c>
      <c r="P6" s="16">
        <f>'[6]Dia 15 (b)'!$X12</f>
        <v>11.741950365452741</v>
      </c>
      <c r="Q6" s="16">
        <f>'[6]Dia 16 (b)'!$X12</f>
        <v>11.269825525487869</v>
      </c>
      <c r="R6" s="16">
        <f>'[6]Dia 17 (b)'!$X12</f>
        <v>7.2837571387831774</v>
      </c>
      <c r="S6" s="16">
        <f>'[6]Dia 18 (b)'!$X12</f>
        <v>8.8051263742732857</v>
      </c>
      <c r="T6" s="16">
        <f>'[6]Dia 19 (b)'!$X12</f>
        <v>9.3589281836970422</v>
      </c>
      <c r="U6" s="16">
        <f>'[6]Dia 20 (b)'!$X12</f>
        <v>8.991079147359601</v>
      </c>
      <c r="V6" s="16">
        <f>'[6]Dia 21 (b)'!$X12</f>
        <v>8.7723772751575133</v>
      </c>
      <c r="W6" s="16">
        <f>'[6]Dia 22 (b)'!$X12</f>
        <v>8.8579240097157594</v>
      </c>
      <c r="X6" s="16">
        <f>'[6]Dia 23 (b)'!$X12</f>
        <v>9.8699507893746343</v>
      </c>
      <c r="Y6" s="16">
        <f>'[6]Dia 24 (b)'!$X12</f>
        <v>9.797801358612146</v>
      </c>
      <c r="Z6" s="16">
        <f>'[6]Dia 25 (b)'!$X12</f>
        <v>9.8167160361823207</v>
      </c>
      <c r="AA6" s="16">
        <f>'[6]Dia 26 (b)'!$X12</f>
        <v>10.126036379624116</v>
      </c>
      <c r="AB6" s="16">
        <f>'[6]Dia 27 (b)'!$X12</f>
        <v>9.3423158768917087</v>
      </c>
      <c r="AC6" s="16">
        <f>'[6]Dia 28 (b)'!$X12</f>
        <v>8.8266649571998581</v>
      </c>
      <c r="AD6" s="16">
        <f>'[6]Dia 29 (b)'!$X12</f>
        <v>10.107459255098638</v>
      </c>
      <c r="AE6" s="16">
        <f>'[6]Dia 30 (b)'!$X12</f>
        <v>11.472777407529314</v>
      </c>
      <c r="AF6" s="15"/>
    </row>
    <row r="7" spans="1:32" ht="20.100000000000001" customHeight="1">
      <c r="A7" s="14">
        <v>4</v>
      </c>
      <c r="B7" s="15">
        <f>'[6]Dia 1 (b)'!$X13</f>
        <v>10.916931853494328</v>
      </c>
      <c r="C7" s="15">
        <f>'[6]Dia 2 (b)'!$X13</f>
        <v>10.594506856957656</v>
      </c>
      <c r="D7" s="15">
        <f>'[6]Dia 3 (b)'!$X13</f>
        <v>10.644308686596533</v>
      </c>
      <c r="E7" s="15">
        <f>'[6]Dia 4 (b)'!$X13</f>
        <v>8.9668400474869863</v>
      </c>
      <c r="F7" s="15">
        <f>'[6]Dia 5 (b)'!$X13</f>
        <v>8.9024219996305636</v>
      </c>
      <c r="G7" s="15">
        <f>'[6]Dia 6 (b)'!$X13</f>
        <v>9.4053644153938052</v>
      </c>
      <c r="H7" s="15">
        <f>'[6]Dia 7 (b)'!$X13</f>
        <v>8.3517697928072803</v>
      </c>
      <c r="I7" s="15">
        <f>'[6]Dia 8 (b)'!$X13</f>
        <v>9.311724150926219</v>
      </c>
      <c r="J7" s="15">
        <f>'[6]Dia 9 (b)'!$X13</f>
        <v>9.1164421613536888</v>
      </c>
      <c r="K7" s="15">
        <f>'[6]Dia 10 (b)'!$X13</f>
        <v>8.8146487616123963</v>
      </c>
      <c r="L7" s="15">
        <f>'[6]Dia 11 (b)'!$X13</f>
        <v>9.0207324444042101</v>
      </c>
      <c r="M7" s="15">
        <f>'[6]Dia 12 (b)'!$X13</f>
        <v>11.633742740948188</v>
      </c>
      <c r="N7" s="16">
        <f>'[6]Dia 13 (b)'!$X13</f>
        <v>11.677980377443186</v>
      </c>
      <c r="O7" s="16">
        <f>'[6]Dia 14 (b)'!$X13</f>
        <v>10.774323806631639</v>
      </c>
      <c r="P7" s="16">
        <f>'[6]Dia 15 (b)'!$X13</f>
        <v>11.720618423836314</v>
      </c>
      <c r="Q7" s="16">
        <f>'[6]Dia 16 (b)'!$X13</f>
        <v>11.367021715727637</v>
      </c>
      <c r="R7" s="16">
        <f>'[6]Dia 17 (b)'!$X13</f>
        <v>7.2169094217580039</v>
      </c>
      <c r="S7" s="16">
        <f>'[6]Dia 18 (b)'!$X13</f>
        <v>8.6663697194453118</v>
      </c>
      <c r="T7" s="16">
        <f>'[6]Dia 19 (b)'!$X13</f>
        <v>9.0186780320825157</v>
      </c>
      <c r="U7" s="16">
        <f>'[6]Dia 20 (b)'!$X13</f>
        <v>9.0527932384280874</v>
      </c>
      <c r="V7" s="16">
        <f>'[6]Dia 21 (b)'!$X13</f>
        <v>8.7397063043151153</v>
      </c>
      <c r="W7" s="16">
        <f>'[6]Dia 22 (b)'!$X13</f>
        <v>8.7584988324293302</v>
      </c>
      <c r="X7" s="16">
        <f>'[6]Dia 23 (b)'!$X13</f>
        <v>9.8483336091566134</v>
      </c>
      <c r="Y7" s="16">
        <f>'[6]Dia 24 (b)'!$X13</f>
        <v>9.4217586124451618</v>
      </c>
      <c r="Z7" s="16">
        <f>'[6]Dia 25 (b)'!$X13</f>
        <v>9.731740066344484</v>
      </c>
      <c r="AA7" s="16">
        <f>'[6]Dia 26 (b)'!$X13</f>
        <v>9.7359771375811786</v>
      </c>
      <c r="AB7" s="16">
        <f>'[6]Dia 27 (b)'!$X13</f>
        <v>9.119439568111595</v>
      </c>
      <c r="AC7" s="16">
        <f>'[6]Dia 28 (b)'!$X13</f>
        <v>8.8279306950541443</v>
      </c>
      <c r="AD7" s="16">
        <f>'[6]Dia 29 (b)'!$X13</f>
        <v>9.8216727147655387</v>
      </c>
      <c r="AE7" s="16">
        <f>'[6]Dia 30 (b)'!$X13</f>
        <v>11.479137232925929</v>
      </c>
      <c r="AF7" s="15"/>
    </row>
    <row r="8" spans="1:32" ht="20.100000000000001" customHeight="1">
      <c r="A8" s="14">
        <v>5</v>
      </c>
      <c r="B8" s="15">
        <f>'[6]Dia 1 (b)'!$X14</f>
        <v>10.920249004935712</v>
      </c>
      <c r="C8" s="15">
        <f>'[6]Dia 2 (b)'!$X14</f>
        <v>10.301130328386508</v>
      </c>
      <c r="D8" s="15">
        <f>'[6]Dia 3 (b)'!$X14</f>
        <v>10.361612718381156</v>
      </c>
      <c r="E8" s="15">
        <f>'[6]Dia 4 (b)'!$X14</f>
        <v>8.94156485788195</v>
      </c>
      <c r="F8" s="15">
        <f>'[6]Dia 5 (b)'!$X14</f>
        <v>8.78595094464686</v>
      </c>
      <c r="G8" s="15">
        <f>'[6]Dia 6 (b)'!$X14</f>
        <v>8.9581314321480008</v>
      </c>
      <c r="H8" s="15">
        <f>'[6]Dia 7 (b)'!$X14</f>
        <v>8.1862517269591599</v>
      </c>
      <c r="I8" s="15">
        <f>'[6]Dia 8 (b)'!$X14</f>
        <v>9.2516626736299372</v>
      </c>
      <c r="J8" s="15">
        <f>'[6]Dia 9 (b)'!$X14</f>
        <v>8.9630438855163419</v>
      </c>
      <c r="K8" s="15">
        <f>'[6]Dia 10 (b)'!$X14</f>
        <v>8.7001640860456124</v>
      </c>
      <c r="L8" s="15">
        <f>'[6]Dia 11 (b)'!$X14</f>
        <v>8.8864095360906639</v>
      </c>
      <c r="M8" s="15">
        <f>'[6]Dia 12 (b)'!$X14</f>
        <v>11.532223367741068</v>
      </c>
      <c r="N8" s="16">
        <f>'[6]Dia 13 (b)'!$X14</f>
        <v>11.527601633869097</v>
      </c>
      <c r="O8" s="16">
        <f>'[6]Dia 14 (b)'!$X14</f>
        <v>10.774515437592939</v>
      </c>
      <c r="P8" s="16">
        <f>'[6]Dia 15 (b)'!$X14</f>
        <v>11.721065995537046</v>
      </c>
      <c r="Q8" s="16">
        <f>'[6]Dia 16 (b)'!$X14</f>
        <v>11.291546752594231</v>
      </c>
      <c r="R8" s="16">
        <f>'[6]Dia 17 (b)'!$X14</f>
        <v>7.7529577230592288</v>
      </c>
      <c r="S8" s="16">
        <f>'[6]Dia 18 (b)'!$X14</f>
        <v>9.040483581450804</v>
      </c>
      <c r="T8" s="16">
        <f>'[6]Dia 19 (b)'!$X14</f>
        <v>9.0191460277801347</v>
      </c>
      <c r="U8" s="16">
        <f>'[6]Dia 20 (b)'!$X14</f>
        <v>8.8780595189814981</v>
      </c>
      <c r="V8" s="16">
        <f>'[6]Dia 21 (b)'!$X14</f>
        <v>8.490220692222012</v>
      </c>
      <c r="W8" s="16">
        <f>'[6]Dia 22 (b)'!$X14</f>
        <v>8.7175785381071478</v>
      </c>
      <c r="X8" s="16">
        <f>'[6]Dia 23 (b)'!$X14</f>
        <v>9.6823123479443929</v>
      </c>
      <c r="Y8" s="16">
        <f>'[6]Dia 24 (b)'!$X14</f>
        <v>9.2979191540655926</v>
      </c>
      <c r="Z8" s="16">
        <f>'[6]Dia 25 (b)'!$X14</f>
        <v>9.7067863907553757</v>
      </c>
      <c r="AA8" s="16">
        <f>'[6]Dia 26 (b)'!$X14</f>
        <v>9.4833476694945134</v>
      </c>
      <c r="AB8" s="16">
        <f>'[6]Dia 27 (b)'!$X14</f>
        <v>8.7261986054094862</v>
      </c>
      <c r="AC8" s="16">
        <f>'[6]Dia 28 (b)'!$X14</f>
        <v>8.8668872156862477</v>
      </c>
      <c r="AD8" s="16">
        <f>'[6]Dia 29 (b)'!$X14</f>
        <v>10.220606180044646</v>
      </c>
      <c r="AE8" s="16">
        <f>'[6]Dia 30 (b)'!$X14</f>
        <v>11.219980846447475</v>
      </c>
      <c r="AF8" s="15"/>
    </row>
    <row r="9" spans="1:32" ht="20.100000000000001" customHeight="1">
      <c r="A9" s="14">
        <v>6</v>
      </c>
      <c r="B9" s="15">
        <f>'[6]Dia 1 (b)'!$X15</f>
        <v>11.031758040165112</v>
      </c>
      <c r="C9" s="15">
        <f>'[6]Dia 2 (b)'!$X15</f>
        <v>10.364793615767576</v>
      </c>
      <c r="D9" s="15">
        <f>'[6]Dia 3 (b)'!$X15</f>
        <v>10.024380661500278</v>
      </c>
      <c r="E9" s="15">
        <f>'[6]Dia 4 (b)'!$X15</f>
        <v>8.7577140016035582</v>
      </c>
      <c r="F9" s="15">
        <f>'[6]Dia 5 (b)'!$X15</f>
        <v>8.6096012525519097</v>
      </c>
      <c r="G9" s="15">
        <f>'[6]Dia 6 (b)'!$X15</f>
        <v>8.497089480187956</v>
      </c>
      <c r="H9" s="15">
        <f>'[6]Dia 7 (b)'!$X15</f>
        <v>8.1506551239645919</v>
      </c>
      <c r="I9" s="15">
        <f>'[6]Dia 8 (b)'!$X15</f>
        <v>9.0299476633784579</v>
      </c>
      <c r="J9" s="15">
        <f>'[6]Dia 9 (b)'!$X15</f>
        <v>8.962978376782754</v>
      </c>
      <c r="K9" s="15">
        <f>'[6]Dia 10 (b)'!$X15</f>
        <v>8.7350783869896169</v>
      </c>
      <c r="L9" s="15">
        <f>'[6]Dia 11 (b)'!$X15</f>
        <v>8.5576957135133256</v>
      </c>
      <c r="M9" s="15">
        <f>'[6]Dia 12 (b)'!$X15</f>
        <v>11.676685046368004</v>
      </c>
      <c r="N9" s="16">
        <f>'[6]Dia 13 (b)'!$X15</f>
        <v>11.405486769677077</v>
      </c>
      <c r="O9" s="16">
        <f>'[6]Dia 14 (b)'!$X15</f>
        <v>10.703419154967415</v>
      </c>
      <c r="P9" s="16">
        <f>'[6]Dia 15 (b)'!$X15</f>
        <v>11.719820204245407</v>
      </c>
      <c r="Q9" s="16">
        <f>'[6]Dia 16 (b)'!$X15</f>
        <v>11.080835534026942</v>
      </c>
      <c r="R9" s="16">
        <f>'[6]Dia 17 (b)'!$X15</f>
        <v>6.9835697500571836</v>
      </c>
      <c r="S9" s="16">
        <f>'[6]Dia 18 (b)'!$X15</f>
        <v>9.2552100750883728</v>
      </c>
      <c r="T9" s="16">
        <f>'[6]Dia 19 (b)'!$X15</f>
        <v>9.2209163483832821</v>
      </c>
      <c r="U9" s="16">
        <f>'[6]Dia 20 (b)'!$X15</f>
        <v>8.6704950337949587</v>
      </c>
      <c r="V9" s="16">
        <f>'[6]Dia 21 (b)'!$X15</f>
        <v>8.3195963124995274</v>
      </c>
      <c r="W9" s="16">
        <f>'[6]Dia 22 (b)'!$X15</f>
        <v>8.6171705362481088</v>
      </c>
      <c r="X9" s="16">
        <f>'[6]Dia 23 (b)'!$X15</f>
        <v>9.4134475984324517</v>
      </c>
      <c r="Y9" s="16">
        <f>'[6]Dia 24 (b)'!$X15</f>
        <v>8.9578211701710035</v>
      </c>
      <c r="Z9" s="16">
        <f>'[6]Dia 25 (b)'!$X15</f>
        <v>9.4535807427223499</v>
      </c>
      <c r="AA9" s="16">
        <f>'[6]Dia 26 (b)'!$X15</f>
        <v>9.3551102033333358</v>
      </c>
      <c r="AB9" s="16">
        <f>'[6]Dia 27 (b)'!$X15</f>
        <v>8.6080713680203704</v>
      </c>
      <c r="AC9" s="16">
        <f>'[6]Dia 28 (b)'!$X15</f>
        <v>8.8071580834361214</v>
      </c>
      <c r="AD9" s="16">
        <f>'[6]Dia 29 (b)'!$X15</f>
        <v>9.7561383247543958</v>
      </c>
      <c r="AE9" s="16">
        <f>'[6]Dia 30 (b)'!$X15</f>
        <v>11.147669738750301</v>
      </c>
      <c r="AF9" s="15"/>
    </row>
    <row r="10" spans="1:32" ht="20.100000000000001" customHeight="1">
      <c r="A10" s="14">
        <v>7</v>
      </c>
      <c r="B10" s="15">
        <f>'[6]Dia 1 (b)'!$X16</f>
        <v>10.877321494395471</v>
      </c>
      <c r="C10" s="15">
        <f>'[6]Dia 2 (b)'!$X16</f>
        <v>10.677740011412915</v>
      </c>
      <c r="D10" s="15">
        <f>'[6]Dia 3 (b)'!$X16</f>
        <v>9.9800035824222899</v>
      </c>
      <c r="E10" s="15">
        <f>'[6]Dia 4 (b)'!$X16</f>
        <v>8.6023356461092657</v>
      </c>
      <c r="F10" s="15">
        <f>'[6]Dia 5 (b)'!$X16</f>
        <v>8.5048919727009284</v>
      </c>
      <c r="G10" s="15">
        <f>'[6]Dia 6 (b)'!$X16</f>
        <v>8.2619344897316207</v>
      </c>
      <c r="H10" s="15">
        <f>'[6]Dia 7 (b)'!$X16</f>
        <v>8.3296476137306446</v>
      </c>
      <c r="I10" s="15">
        <f>'[6]Dia 8 (b)'!$X16</f>
        <v>9.2237202369272371</v>
      </c>
      <c r="J10" s="15">
        <f>'[6]Dia 9 (b)'!$X16</f>
        <v>8.9744294052198228</v>
      </c>
      <c r="K10" s="15">
        <f>'[6]Dia 10 (b)'!$X16</f>
        <v>8.6204747617682695</v>
      </c>
      <c r="L10" s="16">
        <f>'[6]Dia 11 (b)'!$X16</f>
        <v>8.6247709135289394</v>
      </c>
      <c r="M10" s="15">
        <f>'[6]Dia 12 (b)'!$X16</f>
        <v>11.377368485629061</v>
      </c>
      <c r="N10" s="15">
        <f>'[6]Dia 13 (b)'!$X16</f>
        <v>11.212577070335985</v>
      </c>
      <c r="O10" s="15">
        <f>'[6]Dia 14 (b)'!$X16</f>
        <v>10.765561066289742</v>
      </c>
      <c r="P10" s="15">
        <f>'[6]Dia 15 (b)'!$X16</f>
        <v>11.718213312769228</v>
      </c>
      <c r="Q10" s="15">
        <f>'[6]Dia 16 (b)'!$X16</f>
        <v>10.713000066778612</v>
      </c>
      <c r="R10" s="15">
        <f>'[6]Dia 17 (b)'!$X16</f>
        <v>7.0294381876633985</v>
      </c>
      <c r="S10" s="15">
        <f>'[6]Dia 18 (b)'!$X16</f>
        <v>9.3020779747631082</v>
      </c>
      <c r="T10" s="15">
        <f>'[6]Dia 19 (b)'!$X16</f>
        <v>9.1776192994926156</v>
      </c>
      <c r="U10" s="15">
        <f>'[6]Dia 20 (b)'!$X16</f>
        <v>8.4610678888209954</v>
      </c>
      <c r="V10" s="15">
        <f>'[6]Dia 21 (b)'!$X16</f>
        <v>8.779091567571518</v>
      </c>
      <c r="W10" s="15">
        <f>'[6]Dia 22 (b)'!$X16</f>
        <v>8.6511758312633447</v>
      </c>
      <c r="X10" s="15">
        <f>'[6]Dia 23 (b)'!$X16</f>
        <v>9.2303638480692154</v>
      </c>
      <c r="Y10" s="15">
        <f>'[6]Dia 24 (b)'!$X16</f>
        <v>8.808531855260421</v>
      </c>
      <c r="Z10" s="15">
        <f>'[6]Dia 25 (b)'!$X16</f>
        <v>9.2333756927535546</v>
      </c>
      <c r="AA10" s="15">
        <f>'[6]Dia 26 (b)'!$X16</f>
        <v>9.1286170066479038</v>
      </c>
      <c r="AB10" s="15">
        <f>'[6]Dia 27 (b)'!$X16</f>
        <v>8.4816919865821347</v>
      </c>
      <c r="AC10" s="15">
        <f>'[6]Dia 28 (b)'!$X16</f>
        <v>8.6287118442317947</v>
      </c>
      <c r="AD10" s="15">
        <f>'[6]Dia 29 (b)'!$X16</f>
        <v>9.9518011917040354</v>
      </c>
      <c r="AE10" s="15">
        <f>'[6]Dia 30 (b)'!$X16</f>
        <v>11.083676230559647</v>
      </c>
      <c r="AF10" s="15"/>
    </row>
    <row r="11" spans="1:32" ht="20.100000000000001" customHeight="1">
      <c r="A11" s="14">
        <v>8</v>
      </c>
      <c r="B11" s="15">
        <f>'[6]Dia 1 (b)'!$X17</f>
        <v>11.233721986432224</v>
      </c>
      <c r="C11" s="15">
        <f>'[6]Dia 2 (b)'!$X17</f>
        <v>10.787445423632743</v>
      </c>
      <c r="D11" s="15">
        <f>'[6]Dia 3 (b)'!$X17</f>
        <v>9.8224385330113826</v>
      </c>
      <c r="E11" s="15">
        <f>'[6]Dia 4 (b)'!$X17</f>
        <v>10.463830840517151</v>
      </c>
      <c r="F11" s="15">
        <f>'[6]Dia 5 (b)'!$X17</f>
        <v>10.359375009363218</v>
      </c>
      <c r="G11" s="15">
        <f>'[6]Dia 6 (b)'!$X17</f>
        <v>9.8041648892759099</v>
      </c>
      <c r="H11" s="15">
        <f>'[6]Dia 7 (b)'!$X17</f>
        <v>9.7739665669672604</v>
      </c>
      <c r="I11" s="15">
        <f>'[6]Dia 8 (b)'!$X17</f>
        <v>10.047898336715443</v>
      </c>
      <c r="J11" s="15">
        <f>'[6]Dia 9 (b)'!$X17</f>
        <v>10.780425582454937</v>
      </c>
      <c r="K11" s="15">
        <f>'[6]Dia 10 (b)'!$X17</f>
        <v>10.554687164789584</v>
      </c>
      <c r="L11" s="16">
        <f>'[6]Dia 11 (b)'!$X17</f>
        <v>9.7832507335992638</v>
      </c>
      <c r="M11" s="15">
        <f>'[6]Dia 12 (b)'!$X17</f>
        <v>12.135926784807454</v>
      </c>
      <c r="N11" s="15">
        <f>'[6]Dia 13 (b)'!$X17</f>
        <v>11.131767834720218</v>
      </c>
      <c r="O11" s="15">
        <f>'[6]Dia 14 (b)'!$X17</f>
        <v>10.875659417665776</v>
      </c>
      <c r="P11" s="15">
        <f>'[6]Dia 15 (b)'!$X17</f>
        <v>11.861615813479245</v>
      </c>
      <c r="Q11" s="15">
        <f>'[6]Dia 16 (b)'!$X17</f>
        <v>10.122987698185845</v>
      </c>
      <c r="R11" s="15">
        <f>'[6]Dia 17 (b)'!$X17</f>
        <v>7.3593110951805709</v>
      </c>
      <c r="S11" s="15">
        <f>'[6]Dia 18 (b)'!$X17</f>
        <v>9.2779372727295257</v>
      </c>
      <c r="T11" s="15">
        <f>'[6]Dia 19 (b)'!$X17</f>
        <v>9.2139655229475199</v>
      </c>
      <c r="U11" s="15">
        <f>'[6]Dia 20 (b)'!$X17</f>
        <v>8.5557861894547678</v>
      </c>
      <c r="V11" s="15">
        <f>'[6]Dia 21 (b)'!$X17</f>
        <v>9.3194446233754231</v>
      </c>
      <c r="W11" s="15">
        <f>'[6]Dia 22 (b)'!$X17</f>
        <v>9.2028014914486924</v>
      </c>
      <c r="X11" s="15">
        <f>'[6]Dia 23 (b)'!$X17</f>
        <v>9.7974855868708719</v>
      </c>
      <c r="Y11" s="15">
        <f>'[6]Dia 24 (b)'!$X17</f>
        <v>10.261325445929192</v>
      </c>
      <c r="Z11" s="15">
        <f>'[6]Dia 25 (b)'!$X17</f>
        <v>10.849166087532364</v>
      </c>
      <c r="AA11" s="15">
        <f>'[6]Dia 26 (b)'!$X17</f>
        <v>10.879873059179241</v>
      </c>
      <c r="AB11" s="15">
        <f>'[6]Dia 27 (b)'!$X17</f>
        <v>10.105620302805905</v>
      </c>
      <c r="AC11" s="15">
        <f>'[6]Dia 28 (b)'!$X17</f>
        <v>10.11079793111899</v>
      </c>
      <c r="AD11" s="15">
        <f>'[6]Dia 29 (b)'!$X17</f>
        <v>10.901606484176257</v>
      </c>
      <c r="AE11" s="15">
        <f>'[6]Dia 30 (b)'!$X17</f>
        <v>11.257555677005637</v>
      </c>
      <c r="AF11" s="15"/>
    </row>
    <row r="12" spans="1:32" ht="20.100000000000001" customHeight="1">
      <c r="A12" s="14">
        <v>9</v>
      </c>
      <c r="B12" s="15">
        <f>'[6]Dia 1 (b)'!$X18</f>
        <v>11.147650696555456</v>
      </c>
      <c r="C12" s="15">
        <f>'[6]Dia 2 (b)'!$X18</f>
        <v>10.120064217277225</v>
      </c>
      <c r="D12" s="15">
        <f>'[6]Dia 3 (b)'!$X18</f>
        <v>10.078501444046028</v>
      </c>
      <c r="E12" s="15">
        <f>'[6]Dia 4 (b)'!$X18</f>
        <v>11.229042845253684</v>
      </c>
      <c r="F12" s="15">
        <f>'[6]Dia 5 (b)'!$X18</f>
        <v>10.726921212805152</v>
      </c>
      <c r="G12" s="15">
        <f>'[6]Dia 6 (b)'!$X18</f>
        <v>10.274165148065597</v>
      </c>
      <c r="H12" s="15">
        <f>'[6]Dia 7 (b)'!$X18</f>
        <v>9.9440372597717239</v>
      </c>
      <c r="I12" s="15">
        <f>'[6]Dia 8 (b)'!$X18</f>
        <v>10.285749976207983</v>
      </c>
      <c r="J12" s="15">
        <f>'[6]Dia 9 (b)'!$X18</f>
        <v>10.548762046284821</v>
      </c>
      <c r="K12" s="15">
        <f>'[6]Dia 10 (b)'!$X18</f>
        <v>10.559461315250806</v>
      </c>
      <c r="L12" s="16">
        <f>'[6]Dia 11 (b)'!$X18</f>
        <v>9.8212064229206959</v>
      </c>
      <c r="M12" s="15">
        <f>'[6]Dia 12 (b)'!$X18</f>
        <v>11.99255203698139</v>
      </c>
      <c r="N12" s="15">
        <f>'[6]Dia 13 (b)'!$X18</f>
        <v>11.263463622124325</v>
      </c>
      <c r="O12" s="15">
        <f>'[6]Dia 14 (b)'!$X18</f>
        <v>11.116130072348499</v>
      </c>
      <c r="P12" s="15">
        <f>'[6]Dia 15 (b)'!$X18</f>
        <v>12.057075581464391</v>
      </c>
      <c r="Q12" s="15">
        <f>'[6]Dia 16 (b)'!$X18</f>
        <v>9.3942030943277341</v>
      </c>
      <c r="R12" s="15">
        <f>'[6]Dia 17 (b)'!$X18</f>
        <v>7.3271702675568884</v>
      </c>
      <c r="S12" s="15">
        <f>'[6]Dia 18 (b)'!$X18</f>
        <v>9.5144207303152939</v>
      </c>
      <c r="T12" s="15">
        <f>'[6]Dia 19 (b)'!$X18</f>
        <v>9.2538882040177164</v>
      </c>
      <c r="U12" s="15">
        <f>'[6]Dia 20 (b)'!$X18</f>
        <v>8.8057344481246993</v>
      </c>
      <c r="V12" s="15">
        <f>'[6]Dia 21 (b)'!$X18</f>
        <v>9.1308156061989312</v>
      </c>
      <c r="W12" s="15">
        <f>'[6]Dia 22 (b)'!$X18</f>
        <v>9.3813883595316572</v>
      </c>
      <c r="X12" s="15">
        <f>'[6]Dia 23 (b)'!$X18</f>
        <v>10.116654555304249</v>
      </c>
      <c r="Y12" s="15">
        <f>'[6]Dia 24 (b)'!$X18</f>
        <v>10.846971892965298</v>
      </c>
      <c r="Z12" s="15">
        <f>'[6]Dia 25 (b)'!$X18</f>
        <v>11.82643075367988</v>
      </c>
      <c r="AA12" s="15">
        <f>'[6]Dia 26 (b)'!$X18</f>
        <v>11.337337690009859</v>
      </c>
      <c r="AB12" s="15">
        <f>'[6]Dia 27 (b)'!$X18</f>
        <v>10.338896598382737</v>
      </c>
      <c r="AC12" s="15">
        <f>'[6]Dia 28 (b)'!$X18</f>
        <v>10.03909612135574</v>
      </c>
      <c r="AD12" s="15">
        <f>'[6]Dia 29 (b)'!$X18</f>
        <v>10.938007666476105</v>
      </c>
      <c r="AE12" s="15">
        <f>'[6]Dia 30 (b)'!$X18</f>
        <v>11.576378190993001</v>
      </c>
      <c r="AF12" s="15"/>
    </row>
    <row r="13" spans="1:32" ht="20.100000000000001" customHeight="1">
      <c r="A13" s="14">
        <v>10</v>
      </c>
      <c r="B13" s="15">
        <f>'[6]Dia 1 (b)'!$X19</f>
        <v>11.340720473136393</v>
      </c>
      <c r="C13" s="15">
        <f>'[6]Dia 2 (b)'!$X19</f>
        <v>10.448804344805614</v>
      </c>
      <c r="D13" s="15">
        <f>'[6]Dia 3 (b)'!$X19</f>
        <v>9.8727357893768595</v>
      </c>
      <c r="E13" s="15">
        <f>'[6]Dia 4 (b)'!$X19</f>
        <v>10.293161627063752</v>
      </c>
      <c r="F13" s="15">
        <f>'[6]Dia 5 (b)'!$X19</f>
        <v>10.13855982612874</v>
      </c>
      <c r="G13" s="15">
        <f>'[6]Dia 6 (b)'!$X19</f>
        <v>9.5922037225944283</v>
      </c>
      <c r="H13" s="15">
        <f>'[6]Dia 7 (b)'!$X19</f>
        <v>10.042064778068339</v>
      </c>
      <c r="I13" s="15">
        <f>'[6]Dia 8 (b)'!$X19</f>
        <v>9.998167707892101</v>
      </c>
      <c r="J13" s="15">
        <f>'[6]Dia 9 (b)'!$X19</f>
        <v>9.881518001144256</v>
      </c>
      <c r="K13" s="15">
        <f>'[6]Dia 10 (b)'!$X19</f>
        <v>9.8648368022465842</v>
      </c>
      <c r="L13" s="16">
        <f>'[6]Dia 11 (b)'!$X19</f>
        <v>9.0632597546612157</v>
      </c>
      <c r="M13" s="15">
        <f>'[6]Dia 12 (b)'!$X19</f>
        <v>11.523522933195421</v>
      </c>
      <c r="N13" s="15">
        <f>'[6]Dia 13 (b)'!$X19</f>
        <v>11.435397778281681</v>
      </c>
      <c r="O13" s="15">
        <f>'[6]Dia 14 (b)'!$X19</f>
        <v>11.36442986937217</v>
      </c>
      <c r="P13" s="15">
        <f>'[6]Dia 15 (b)'!$X19</f>
        <v>12.367838829495057</v>
      </c>
      <c r="Q13" s="15">
        <f>'[6]Dia 16 (b)'!$X19</f>
        <v>9.2012129978856709</v>
      </c>
      <c r="R13" s="15">
        <f>'[6]Dia 17 (b)'!$X19</f>
        <v>7.6112614339922153</v>
      </c>
      <c r="S13" s="15">
        <f>'[6]Dia 18 (b)'!$X19</f>
        <v>9.3714174012816951</v>
      </c>
      <c r="T13" s="15">
        <f>'[6]Dia 19 (b)'!$X19</f>
        <v>8.9756853820882174</v>
      </c>
      <c r="U13" s="15">
        <f>'[6]Dia 20 (b)'!$X19</f>
        <v>8.7800141027488543</v>
      </c>
      <c r="V13" s="15">
        <f>'[6]Dia 21 (b)'!$X19</f>
        <v>8.4595454082876618</v>
      </c>
      <c r="W13" s="15">
        <f>'[6]Dia 22 (b)'!$X19</f>
        <v>9.137549403072116</v>
      </c>
      <c r="X13" s="15">
        <f>'[6]Dia 23 (b)'!$X19</f>
        <v>9.7227684936591015</v>
      </c>
      <c r="Y13" s="15">
        <f>'[6]Dia 24 (b)'!$X19</f>
        <v>9.9180020625340095</v>
      </c>
      <c r="Z13" s="15">
        <f>'[6]Dia 25 (b)'!$X19</f>
        <v>10.942909153987305</v>
      </c>
      <c r="AA13" s="15">
        <f>'[6]Dia 26 (b)'!$X19</f>
        <v>10.410641856225789</v>
      </c>
      <c r="AB13" s="15">
        <f>'[6]Dia 27 (b)'!$X19</f>
        <v>8.8170219025892376</v>
      </c>
      <c r="AC13" s="15">
        <f>'[6]Dia 28 (b)'!$X19</f>
        <v>9.5135128866379564</v>
      </c>
      <c r="AD13" s="15">
        <f>'[6]Dia 29 (b)'!$X19</f>
        <v>10.459388867597976</v>
      </c>
      <c r="AE13" s="15">
        <f>'[6]Dia 30 (b)'!$X19</f>
        <v>11.009755577034117</v>
      </c>
      <c r="AF13" s="15"/>
    </row>
    <row r="14" spans="1:32" ht="20.100000000000001" customHeight="1">
      <c r="A14" s="14">
        <v>11</v>
      </c>
      <c r="B14" s="15">
        <f>'[6]Dia 1 (b)'!$X20</f>
        <v>10.645381004394803</v>
      </c>
      <c r="C14" s="15">
        <f>'[6]Dia 2 (b)'!$X20</f>
        <v>9.9808724911143738</v>
      </c>
      <c r="D14" s="15">
        <f>'[6]Dia 3 (b)'!$X20</f>
        <v>10.321716923320496</v>
      </c>
      <c r="E14" s="15">
        <f>'[6]Dia 4 (b)'!$X20</f>
        <v>9.4175518805411649</v>
      </c>
      <c r="F14" s="15">
        <f>'[6]Dia 5 (b)'!$X20</f>
        <v>8.2752384655552937</v>
      </c>
      <c r="G14" s="15">
        <f>'[6]Dia 6 (b)'!$X20</f>
        <v>9.2071563735503243</v>
      </c>
      <c r="H14" s="15">
        <f>'[6]Dia 7 (b)'!$X20</f>
        <v>9.4859218676214621</v>
      </c>
      <c r="I14" s="15">
        <f>'[6]Dia 8 (b)'!$X20</f>
        <v>10.123931715916207</v>
      </c>
      <c r="J14" s="15">
        <f>'[6]Dia 9 (b)'!$X20</f>
        <v>9.4472296006557261</v>
      </c>
      <c r="K14" s="15">
        <f>'[6]Dia 10 (b)'!$X20</f>
        <v>9.5351133008506324</v>
      </c>
      <c r="L14" s="16">
        <f>'[6]Dia 11 (b)'!$X20</f>
        <v>8.3922971663463546</v>
      </c>
      <c r="M14" s="15">
        <f>'[6]Dia 12 (b)'!$X20</f>
        <v>10.732777673109194</v>
      </c>
      <c r="N14" s="15">
        <f>'[6]Dia 13 (b)'!$X20</f>
        <v>11.715386562166445</v>
      </c>
      <c r="O14" s="15">
        <f>'[6]Dia 14 (b)'!$X20</f>
        <v>11.518524226859737</v>
      </c>
      <c r="P14" s="15">
        <f>'[6]Dia 15 (b)'!$X20</f>
        <v>12.288133066783947</v>
      </c>
      <c r="Q14" s="15">
        <f>'[6]Dia 16 (b)'!$X20</f>
        <v>9.1599326674057657</v>
      </c>
      <c r="R14" s="15">
        <f>'[6]Dia 17 (b)'!$X20</f>
        <v>7.7057477825528142</v>
      </c>
      <c r="S14" s="15">
        <f>'[6]Dia 18 (b)'!$X20</f>
        <v>7.8398008340332925</v>
      </c>
      <c r="T14" s="15">
        <f>'[6]Dia 19 (b)'!$X20</f>
        <v>8.7560790190704463</v>
      </c>
      <c r="U14" s="15">
        <f>'[6]Dia 20 (b)'!$X20</f>
        <v>8.9270597861719825</v>
      </c>
      <c r="V14" s="15">
        <f>'[6]Dia 21 (b)'!$X20</f>
        <v>8.7514567518050601</v>
      </c>
      <c r="W14" s="15">
        <f>'[6]Dia 22 (b)'!$X20</f>
        <v>8.4351176106448431</v>
      </c>
      <c r="X14" s="15">
        <f>'[6]Dia 23 (b)'!$X20</f>
        <v>9.8838472095833367</v>
      </c>
      <c r="Y14" s="15">
        <f>'[6]Dia 24 (b)'!$X20</f>
        <v>9.7692711020837599</v>
      </c>
      <c r="Z14" s="15">
        <f>'[6]Dia 25 (b)'!$X20</f>
        <v>9.7792084412846787</v>
      </c>
      <c r="AA14" s="15">
        <f>'[6]Dia 26 (b)'!$X20</f>
        <v>10.026732379937357</v>
      </c>
      <c r="AB14" s="15">
        <f>'[6]Dia 27 (b)'!$X20</f>
        <v>8.5836888343936906</v>
      </c>
      <c r="AC14" s="15">
        <f>'[6]Dia 28 (b)'!$X20</f>
        <v>9.6621889521377682</v>
      </c>
      <c r="AD14" s="15">
        <f>'[6]Dia 29 (b)'!$X20</f>
        <v>10.681926559641887</v>
      </c>
      <c r="AE14" s="15">
        <f>'[6]Dia 30 (b)'!$X20</f>
        <v>10.631694659590567</v>
      </c>
      <c r="AF14" s="15"/>
    </row>
    <row r="15" spans="1:32" ht="20.100000000000001" customHeight="1">
      <c r="A15" s="14">
        <v>12</v>
      </c>
      <c r="B15" s="15">
        <f>'[6]Dia 1 (b)'!$X21</f>
        <v>10.301016555988163</v>
      </c>
      <c r="C15" s="15">
        <f>'[6]Dia 2 (b)'!$X21</f>
        <v>11.002511316951393</v>
      </c>
      <c r="D15" s="15">
        <f>'[6]Dia 3 (b)'!$X21</f>
        <v>10.033559865142179</v>
      </c>
      <c r="E15" s="15">
        <f>'[6]Dia 4 (b)'!$X21</f>
        <v>8.4789250540111087</v>
      </c>
      <c r="F15" s="15">
        <f>'[6]Dia 5 (b)'!$X21</f>
        <v>7.7279399255203218</v>
      </c>
      <c r="G15" s="15">
        <f>'[6]Dia 6 (b)'!$X21</f>
        <v>9.179985640666052</v>
      </c>
      <c r="H15" s="15">
        <f>'[6]Dia 7 (b)'!$X21</f>
        <v>9.6869203484833175</v>
      </c>
      <c r="I15" s="15">
        <f>'[6]Dia 8 (b)'!$X21</f>
        <v>9.2669675909362255</v>
      </c>
      <c r="J15" s="15">
        <f>'[6]Dia 9 (b)'!$X21</f>
        <v>9.5144956468444128</v>
      </c>
      <c r="K15" s="15">
        <f>'[6]Dia 10 (b)'!$X21</f>
        <v>8.866712663358383</v>
      </c>
      <c r="L15" s="16">
        <f>'[6]Dia 11 (b)'!$X21</f>
        <v>8.5055924778997145</v>
      </c>
      <c r="M15" s="15">
        <f>'[6]Dia 12 (b)'!$X21</f>
        <v>10.45302563334716</v>
      </c>
      <c r="N15" s="15">
        <f>'[6]Dia 13 (b)'!$X21</f>
        <v>11.724483274425307</v>
      </c>
      <c r="O15" s="15">
        <f>'[6]Dia 14 (b)'!$X21</f>
        <v>11.55965600141932</v>
      </c>
      <c r="P15" s="15">
        <f>'[6]Dia 15 (b)'!$X21</f>
        <v>12.371013924200108</v>
      </c>
      <c r="Q15" s="15">
        <f>'[6]Dia 16 (b)'!$X21</f>
        <v>9.082231071236853</v>
      </c>
      <c r="R15" s="15">
        <f>'[6]Dia 17 (b)'!$X21</f>
        <v>7.5450747257796094</v>
      </c>
      <c r="S15" s="15">
        <f>'[6]Dia 18 (b)'!$X21</f>
        <v>8.2335342263002289</v>
      </c>
      <c r="T15" s="15">
        <f>'[6]Dia 19 (b)'!$X21</f>
        <v>8.3326588987399433</v>
      </c>
      <c r="U15" s="15">
        <f>'[6]Dia 20 (b)'!$X21</f>
        <v>9.1831197788643966</v>
      </c>
      <c r="V15" s="15">
        <f>'[6]Dia 21 (b)'!$X21</f>
        <v>8.8561401458761857</v>
      </c>
      <c r="W15" s="15">
        <f>'[6]Dia 22 (b)'!$X21</f>
        <v>9.2791100318163444</v>
      </c>
      <c r="X15" s="15">
        <f>'[6]Dia 23 (b)'!$X21</f>
        <v>9.2662005697070384</v>
      </c>
      <c r="Y15" s="15">
        <f>'[6]Dia 24 (b)'!$X21</f>
        <v>10.257232288471741</v>
      </c>
      <c r="Z15" s="15">
        <f>'[6]Dia 25 (b)'!$X21</f>
        <v>9.9867904699896108</v>
      </c>
      <c r="AA15" s="15">
        <f>'[6]Dia 26 (b)'!$X21</f>
        <v>9.0001991386478064</v>
      </c>
      <c r="AB15" s="15">
        <f>'[6]Dia 27 (b)'!$X21</f>
        <v>8.7361182590984487</v>
      </c>
      <c r="AC15" s="15">
        <f>'[6]Dia 28 (b)'!$X21</f>
        <v>9.4139486694749515</v>
      </c>
      <c r="AD15" s="15">
        <f>'[6]Dia 29 (b)'!$X21</f>
        <v>11.254238618640601</v>
      </c>
      <c r="AE15" s="15">
        <f>'[6]Dia 30 (b)'!$X21</f>
        <v>10.423027177696227</v>
      </c>
      <c r="AF15" s="15"/>
    </row>
    <row r="16" spans="1:32" ht="20.100000000000001" customHeight="1">
      <c r="A16" s="14">
        <v>13</v>
      </c>
      <c r="B16" s="15">
        <f>'[6]Dia 1 (b)'!$X22</f>
        <v>10.949608176025897</v>
      </c>
      <c r="C16" s="15">
        <f>'[6]Dia 2 (b)'!$X22</f>
        <v>9.8800533603406038</v>
      </c>
      <c r="D16" s="15">
        <f>'[6]Dia 3 (b)'!$X22</f>
        <v>9.8631305824215403</v>
      </c>
      <c r="E16" s="15">
        <f>'[6]Dia 4 (b)'!$X22</f>
        <v>8.6201442747039891</v>
      </c>
      <c r="F16" s="15">
        <f>'[6]Dia 5 (b)'!$X22</f>
        <v>8.4940264914711889</v>
      </c>
      <c r="G16" s="15">
        <f>'[6]Dia 6 (b)'!$X22</f>
        <v>7.4025570002227274</v>
      </c>
      <c r="H16" s="15">
        <f>'[6]Dia 7 (b)'!$X22</f>
        <v>8.0246064402956936</v>
      </c>
      <c r="I16" s="15">
        <f>'[6]Dia 8 (b)'!$X22</f>
        <v>9.4614165638424357</v>
      </c>
      <c r="J16" s="15">
        <f>'[6]Dia 9 (b)'!$X22</f>
        <v>9.3598668361415118</v>
      </c>
      <c r="K16" s="15">
        <f>'[6]Dia 10 (b)'!$X22</f>
        <v>8.7141247594364835</v>
      </c>
      <c r="L16" s="16">
        <f>'[6]Dia 11 (b)'!$X22</f>
        <v>8.1113997361640884</v>
      </c>
      <c r="M16" s="15">
        <f>'[6]Dia 12 (b)'!$X22</f>
        <v>10.526456830794229</v>
      </c>
      <c r="N16" s="15">
        <f>'[6]Dia 13 (b)'!$X22</f>
        <v>11.690918550053654</v>
      </c>
      <c r="O16" s="15">
        <f>'[6]Dia 14 (b)'!$X22</f>
        <v>11.958748775953215</v>
      </c>
      <c r="P16" s="15">
        <f>'[6]Dia 15 (b)'!$X22</f>
        <v>13.005716821493582</v>
      </c>
      <c r="Q16" s="15">
        <f>'[6]Dia 16 (b)'!$X22</f>
        <v>9.2973628860414248</v>
      </c>
      <c r="R16" s="15">
        <f>'[6]Dia 17 (b)'!$X22</f>
        <v>7.6398344576983757</v>
      </c>
      <c r="S16" s="15">
        <f>'[6]Dia 18 (b)'!$X22</f>
        <v>8.0593659130127584</v>
      </c>
      <c r="T16" s="15">
        <f>'[6]Dia 19 (b)'!$X22</f>
        <v>9.2856335900051743</v>
      </c>
      <c r="U16" s="15">
        <f>'[6]Dia 20 (b)'!$X22</f>
        <v>8.5822033314929627</v>
      </c>
      <c r="V16" s="15">
        <f>'[6]Dia 21 (b)'!$X22</f>
        <v>8.1505072007948201</v>
      </c>
      <c r="W16" s="15">
        <f>'[6]Dia 22 (b)'!$X22</f>
        <v>8.9919241611297611</v>
      </c>
      <c r="X16" s="15">
        <f>'[6]Dia 23 (b)'!$X22</f>
        <v>8.7088725274944832</v>
      </c>
      <c r="Y16" s="15">
        <f>'[6]Dia 24 (b)'!$X22</f>
        <v>10.224842523305531</v>
      </c>
      <c r="Z16" s="15">
        <f>'[6]Dia 25 (b)'!$X22</f>
        <v>8.9684913266391248</v>
      </c>
      <c r="AA16" s="15">
        <f>'[6]Dia 26 (b)'!$X22</f>
        <v>8.0257092582520517</v>
      </c>
      <c r="AB16" s="15">
        <f>'[6]Dia 27 (b)'!$X22</f>
        <v>8.9417175372840099</v>
      </c>
      <c r="AC16" s="15">
        <f>'[6]Dia 28 (b)'!$X22</f>
        <v>9.6709208779046438</v>
      </c>
      <c r="AD16" s="15">
        <f>'[6]Dia 29 (b)'!$X22</f>
        <v>11.055236366193592</v>
      </c>
      <c r="AE16" s="15">
        <f>'[6]Dia 30 (b)'!$X22</f>
        <v>10.107506764416659</v>
      </c>
      <c r="AF16" s="15"/>
    </row>
    <row r="17" spans="1:32" ht="20.100000000000001" customHeight="1">
      <c r="A17" s="14">
        <v>14</v>
      </c>
      <c r="B17" s="15">
        <f>'[6]Dia 1 (b)'!$X23</f>
        <v>11.31235427736444</v>
      </c>
      <c r="C17" s="15">
        <f>'[6]Dia 2 (b)'!$X23</f>
        <v>9.856958115974086</v>
      </c>
      <c r="D17" s="15">
        <f>'[6]Dia 3 (b)'!$X23</f>
        <v>9.5346109880093088</v>
      </c>
      <c r="E17" s="15">
        <f>'[6]Dia 4 (b)'!$X23</f>
        <v>8.1776590753208183</v>
      </c>
      <c r="F17" s="15">
        <f>'[6]Dia 5 (b)'!$X23</f>
        <v>8.0374637625665617</v>
      </c>
      <c r="G17" s="15">
        <f>'[6]Dia 6 (b)'!$X23</f>
        <v>9.7771918723609783</v>
      </c>
      <c r="H17" s="15">
        <f>'[6]Dia 7 (b)'!$X23</f>
        <v>8.7428918264545228</v>
      </c>
      <c r="I17" s="15">
        <f>'[6]Dia 8 (b)'!$X23</f>
        <v>8.238459759377486</v>
      </c>
      <c r="J17" s="15">
        <f>'[6]Dia 9 (b)'!$X23</f>
        <v>9.1173718100098569</v>
      </c>
      <c r="K17" s="15">
        <f>'[6]Dia 10 (b)'!$X23</f>
        <v>8.3107229444991759</v>
      </c>
      <c r="L17" s="16">
        <f>'[6]Dia 11 (b)'!$X23</f>
        <v>8.0773969663178171</v>
      </c>
      <c r="M17" s="15">
        <f>'[6]Dia 12 (b)'!$X23</f>
        <v>11.620303024918565</v>
      </c>
      <c r="N17" s="15">
        <f>'[6]Dia 13 (b)'!$X23</f>
        <v>11.812768104450365</v>
      </c>
      <c r="O17" s="15">
        <f>'[6]Dia 14 (b)'!$X23</f>
        <v>12.082688868097698</v>
      </c>
      <c r="P17" s="15">
        <f>'[6]Dia 15 (b)'!$X23</f>
        <v>12.931629484702539</v>
      </c>
      <c r="Q17" s="15">
        <f>'[6]Dia 16 (b)'!$X23</f>
        <v>9.2413775120143438</v>
      </c>
      <c r="R17" s="15">
        <f>'[6]Dia 17 (b)'!$X23</f>
        <v>7.8050938278727235</v>
      </c>
      <c r="S17" s="15">
        <f>'[6]Dia 18 (b)'!$X23</f>
        <v>8.4299521167819975</v>
      </c>
      <c r="T17" s="15">
        <f>'[6]Dia 19 (b)'!$X23</f>
        <v>9.359950612938114</v>
      </c>
      <c r="U17" s="15">
        <f>'[6]Dia 20 (b)'!$X23</f>
        <v>7.9787612870151952</v>
      </c>
      <c r="V17" s="15">
        <f>'[6]Dia 21 (b)'!$X23</f>
        <v>7.5807715763939489</v>
      </c>
      <c r="W17" s="15">
        <f>'[6]Dia 22 (b)'!$X23</f>
        <v>9.0780844025065992</v>
      </c>
      <c r="X17" s="15">
        <f>'[6]Dia 23 (b)'!$X23</f>
        <v>9.3051764155696919</v>
      </c>
      <c r="Y17" s="15">
        <f>'[6]Dia 24 (b)'!$X23</f>
        <v>9.3195266547983486</v>
      </c>
      <c r="Z17" s="15">
        <f>'[6]Dia 25 (b)'!$X23</f>
        <v>8.6824770534398912</v>
      </c>
      <c r="AA17" s="15">
        <f>'[6]Dia 26 (b)'!$X23</f>
        <v>7.4782103638423765</v>
      </c>
      <c r="AB17" s="15">
        <f>'[6]Dia 27 (b)'!$X23</f>
        <v>8.825427474359067</v>
      </c>
      <c r="AC17" s="15">
        <f>'[6]Dia 28 (b)'!$X23</f>
        <v>9.1802349383321804</v>
      </c>
      <c r="AD17" s="15">
        <f>'[6]Dia 29 (b)'!$X23</f>
        <v>11.30901313492978</v>
      </c>
      <c r="AE17" s="15">
        <f>'[6]Dia 30 (b)'!$X23</f>
        <v>10.53199185166428</v>
      </c>
      <c r="AF17" s="15"/>
    </row>
    <row r="18" spans="1:32" ht="20.100000000000001" customHeight="1">
      <c r="A18" s="14">
        <v>15</v>
      </c>
      <c r="B18" s="15">
        <f>'[6]Dia 1 (b)'!$X24</f>
        <v>11.112385517021551</v>
      </c>
      <c r="C18" s="15">
        <f>'[6]Dia 2 (b)'!$X24</f>
        <v>9.6280661858379819</v>
      </c>
      <c r="D18" s="15">
        <f>'[6]Dia 3 (b)'!$X24</f>
        <v>9.7315027958057509</v>
      </c>
      <c r="E18" s="15">
        <f>'[6]Dia 4 (b)'!$X24</f>
        <v>8.6484858638744093</v>
      </c>
      <c r="F18" s="15">
        <f>'[6]Dia 5 (b)'!$X24</f>
        <v>11.259998451974907</v>
      </c>
      <c r="G18" s="15">
        <f>'[6]Dia 6 (b)'!$X24</f>
        <v>9.8330986255790869</v>
      </c>
      <c r="H18" s="15">
        <f>'[6]Dia 7 (b)'!$X24</f>
        <v>8.6928481578333106</v>
      </c>
      <c r="I18" s="15">
        <f>'[6]Dia 8 (b)'!$X24</f>
        <v>8.5536386334829206</v>
      </c>
      <c r="J18" s="15">
        <f>'[6]Dia 9 (b)'!$X24</f>
        <v>8.8778335687795629</v>
      </c>
      <c r="K18" s="15">
        <f>'[6]Dia 10 (b)'!$X24</f>
        <v>8.1584819784367433</v>
      </c>
      <c r="L18" s="15">
        <f>'[6]Dia 11 (b)'!$X24</f>
        <v>8.283377742720063</v>
      </c>
      <c r="M18" s="15">
        <f>'[6]Dia 12 (b)'!$X24</f>
        <v>13.542498035451823</v>
      </c>
      <c r="N18" s="15">
        <f>'[6]Dia 13 (b)'!$X24</f>
        <v>11.820015468894827</v>
      </c>
      <c r="O18" s="15">
        <f>'[6]Dia 14 (b)'!$X24</f>
        <v>12.125791980987808</v>
      </c>
      <c r="P18" s="15">
        <f>'[6]Dia 15 (b)'!$X24</f>
        <v>12.804004584449228</v>
      </c>
      <c r="Q18" s="15">
        <f>'[6]Dia 16 (b)'!$X24</f>
        <v>8.1132969074691346</v>
      </c>
      <c r="R18" s="15">
        <f>'[6]Dia 17 (b)'!$X24</f>
        <v>7.1479040729220413</v>
      </c>
      <c r="S18" s="15">
        <f>'[6]Dia 18 (b)'!$X24</f>
        <v>8.3535311863675261</v>
      </c>
      <c r="T18" s="15">
        <f>'[6]Dia 19 (b)'!$X24</f>
        <v>9.4637334496191823</v>
      </c>
      <c r="U18" s="15">
        <f>'[6]Dia 20 (b)'!$X24</f>
        <v>7.6075509820706397</v>
      </c>
      <c r="V18" s="15">
        <f>'[6]Dia 21 (b)'!$X24</f>
        <v>7.4924213593301827</v>
      </c>
      <c r="W18" s="15">
        <f>'[6]Dia 22 (b)'!$X24</f>
        <v>9.0843025158483393</v>
      </c>
      <c r="X18" s="15">
        <f>'[6]Dia 23 (b)'!$X24</f>
        <v>9.8388899205221296</v>
      </c>
      <c r="Y18" s="15">
        <f>'[6]Dia 24 (b)'!$X24</f>
        <v>9.3232235196069482</v>
      </c>
      <c r="Z18" s="15">
        <f>'[6]Dia 25 (b)'!$X24</f>
        <v>8.6032708330494252</v>
      </c>
      <c r="AA18" s="15">
        <f>'[6]Dia 26 (b)'!$X24</f>
        <v>6.9726764431094974</v>
      </c>
      <c r="AB18" s="15">
        <f>'[6]Dia 27 (b)'!$X24</f>
        <v>8.263806206745711</v>
      </c>
      <c r="AC18" s="15">
        <f>'[6]Dia 28 (b)'!$X24</f>
        <v>9.3486245304436935</v>
      </c>
      <c r="AD18" s="15">
        <f>'[6]Dia 29 (b)'!$X24</f>
        <v>11.070410850951681</v>
      </c>
      <c r="AE18" s="15">
        <f>'[6]Dia 30 (b)'!$X24</f>
        <v>11.396781212802503</v>
      </c>
      <c r="AF18" s="15"/>
    </row>
    <row r="19" spans="1:32" ht="20.100000000000001" customHeight="1">
      <c r="A19" s="14">
        <v>16</v>
      </c>
      <c r="B19" s="15">
        <f>'[6]Dia 1 (b)'!$X25</f>
        <v>10.914056480995422</v>
      </c>
      <c r="C19" s="15">
        <f>'[6]Dia 2 (b)'!$X25</f>
        <v>11.388291719163817</v>
      </c>
      <c r="D19" s="15">
        <f>'[6]Dia 3 (b)'!$X25</f>
        <v>10.026736590756817</v>
      </c>
      <c r="E19" s="15">
        <f>'[6]Dia 4 (b)'!$X25</f>
        <v>9.1022143367803139</v>
      </c>
      <c r="F19" s="15">
        <f>'[6]Dia 5 (b)'!$X25</f>
        <v>11.109611948372512</v>
      </c>
      <c r="G19" s="15">
        <f>'[6]Dia 6 (b)'!$X25</f>
        <v>10.225994989786617</v>
      </c>
      <c r="H19" s="15">
        <f>'[6]Dia 7 (b)'!$X25</f>
        <v>8.0156598977460973</v>
      </c>
      <c r="I19" s="15">
        <f>'[6]Dia 8 (b)'!$X25</f>
        <v>8.3742677540771879</v>
      </c>
      <c r="J19" s="15">
        <f>'[6]Dia 9 (b)'!$X25</f>
        <v>8.7322631559621424</v>
      </c>
      <c r="K19" s="15">
        <f>'[6]Dia 10 (b)'!$X25</f>
        <v>7.7056121917447671</v>
      </c>
      <c r="L19" s="15">
        <f>'[6]Dia 11 (b)'!$X25</f>
        <v>7.8546488927812197</v>
      </c>
      <c r="M19" s="16">
        <f>'[6]Dia 12 (b)'!$X25</f>
        <v>14.163398862955709</v>
      </c>
      <c r="N19" s="16">
        <f>'[6]Dia 13 (b)'!$X25</f>
        <v>11.818253323805717</v>
      </c>
      <c r="O19" s="16">
        <f>'[6]Dia 14 (b)'!$X25</f>
        <v>12.287610935535357</v>
      </c>
      <c r="P19" s="16">
        <f>'[6]Dia 15 (b)'!$X25</f>
        <v>12.85159313707002</v>
      </c>
      <c r="Q19" s="16">
        <f>'[6]Dia 16 (b)'!$X25</f>
        <v>7.4166028851151129</v>
      </c>
      <c r="R19" s="16">
        <f>'[6]Dia 17 (b)'!$X25</f>
        <v>8.7925776892411207</v>
      </c>
      <c r="S19" s="16">
        <f>'[6]Dia 18 (b)'!$X25</f>
        <v>8.5442156496599448</v>
      </c>
      <c r="T19" s="16">
        <f>'[6]Dia 19 (b)'!$X25</f>
        <v>9.6666048963385798</v>
      </c>
      <c r="U19" s="16">
        <f>'[6]Dia 20 (b)'!$X25</f>
        <v>7.6578526791565604</v>
      </c>
      <c r="V19" s="16">
        <f>'[6]Dia 21 (b)'!$X25</f>
        <v>7.3289553952544377</v>
      </c>
      <c r="W19" s="16">
        <f>'[6]Dia 22 (b)'!$X25</f>
        <v>9.1738240887118661</v>
      </c>
      <c r="X19" s="16">
        <f>'[6]Dia 23 (b)'!$X25</f>
        <v>9.593436748156865</v>
      </c>
      <c r="Y19" s="16">
        <f>'[6]Dia 24 (b)'!$X25</f>
        <v>9.6145185460439713</v>
      </c>
      <c r="Z19" s="16">
        <f>'[6]Dia 25 (b)'!$X25</f>
        <v>9.2668386835059557</v>
      </c>
      <c r="AA19" s="16">
        <f>'[6]Dia 26 (b)'!$X25</f>
        <v>6.3424336118090023</v>
      </c>
      <c r="AB19" s="16">
        <f>'[6]Dia 27 (b)'!$X25</f>
        <v>8.0436831658425678</v>
      </c>
      <c r="AC19" s="16">
        <f>'[6]Dia 28 (b)'!$X25</f>
        <v>8.945748323209699</v>
      </c>
      <c r="AD19" s="16">
        <f>'[6]Dia 29 (b)'!$X25</f>
        <v>11.609848531023765</v>
      </c>
      <c r="AE19" s="16">
        <f>'[6]Dia 30 (b)'!$X25</f>
        <v>11.241392683486863</v>
      </c>
      <c r="AF19" s="15"/>
    </row>
    <row r="20" spans="1:32" ht="20.100000000000001" customHeight="1">
      <c r="A20" s="14">
        <v>17</v>
      </c>
      <c r="B20" s="15">
        <f>'[6]Dia 1 (b)'!$X26</f>
        <v>11.49484037191591</v>
      </c>
      <c r="C20" s="15">
        <f>'[6]Dia 2 (b)'!$X26</f>
        <v>11.369801396753282</v>
      </c>
      <c r="D20" s="15">
        <f>'[6]Dia 3 (b)'!$X26</f>
        <v>10.800856678398725</v>
      </c>
      <c r="E20" s="15">
        <f>'[6]Dia 4 (b)'!$X26</f>
        <v>10.436493286205231</v>
      </c>
      <c r="F20" s="15">
        <f>'[6]Dia 5 (b)'!$X26</f>
        <v>10.898830555469258</v>
      </c>
      <c r="G20" s="15">
        <f>'[6]Dia 6 (b)'!$X26</f>
        <v>10.737342246713837</v>
      </c>
      <c r="H20" s="15">
        <f>'[6]Dia 7 (b)'!$X26</f>
        <v>9.5958623135425061</v>
      </c>
      <c r="I20" s="15">
        <f>'[6]Dia 8 (b)'!$X26</f>
        <v>10.346970817342008</v>
      </c>
      <c r="J20" s="15">
        <f>'[6]Dia 9 (b)'!$X26</f>
        <v>8.6753190505983397</v>
      </c>
      <c r="K20" s="15">
        <f>'[6]Dia 10 (b)'!$X26</f>
        <v>8.0920573901968851</v>
      </c>
      <c r="L20" s="15">
        <f>'[6]Dia 11 (b)'!$X26</f>
        <v>7.5588451676789834</v>
      </c>
      <c r="M20" s="16">
        <f>'[6]Dia 12 (b)'!$X26</f>
        <v>13.616512398220966</v>
      </c>
      <c r="N20" s="16">
        <f>'[6]Dia 13 (b)'!$X26</f>
        <v>11.826954160250652</v>
      </c>
      <c r="O20" s="16">
        <f>'[6]Dia 14 (b)'!$X26</f>
        <v>12.205674226207908</v>
      </c>
      <c r="P20" s="16">
        <f>'[6]Dia 15 (b)'!$X26</f>
        <v>12.726555988074102</v>
      </c>
      <c r="Q20" s="16">
        <f>'[6]Dia 16 (b)'!$X26</f>
        <v>7.6233810500427364</v>
      </c>
      <c r="R20" s="16">
        <f>'[6]Dia 17 (b)'!$X26</f>
        <v>9.4112772566645848</v>
      </c>
      <c r="S20" s="16">
        <f>'[6]Dia 18 (b)'!$X26</f>
        <v>9.0977439536454838</v>
      </c>
      <c r="T20" s="16">
        <f>'[6]Dia 19 (b)'!$X26</f>
        <v>9.8948074470201561</v>
      </c>
      <c r="U20" s="16">
        <f>'[6]Dia 20 (b)'!$X26</f>
        <v>8.4908528820931402</v>
      </c>
      <c r="V20" s="16">
        <f>'[6]Dia 21 (b)'!$X26</f>
        <v>8.4598897074618691</v>
      </c>
      <c r="W20" s="16">
        <f>'[6]Dia 22 (b)'!$X26</f>
        <v>9.8696703122948612</v>
      </c>
      <c r="X20" s="16">
        <f>'[6]Dia 23 (b)'!$X26</f>
        <v>9.6406882333385457</v>
      </c>
      <c r="Y20" s="16">
        <f>'[6]Dia 24 (b)'!$X26</f>
        <v>10.282142388800473</v>
      </c>
      <c r="Z20" s="16">
        <f>'[6]Dia 25 (b)'!$X26</f>
        <v>9.9295613703312693</v>
      </c>
      <c r="AA20" s="16">
        <f>'[6]Dia 26 (b)'!$X26</f>
        <v>6.963045763899891</v>
      </c>
      <c r="AB20" s="16">
        <f>'[6]Dia 27 (b)'!$X26</f>
        <v>7.9775864552143769</v>
      </c>
      <c r="AC20" s="16">
        <f>'[6]Dia 28 (b)'!$X26</f>
        <v>8.8780128859367569</v>
      </c>
      <c r="AD20" s="16">
        <f>'[6]Dia 29 (b)'!$X26</f>
        <v>12.187176574405893</v>
      </c>
      <c r="AE20" s="16">
        <f>'[6]Dia 30 (b)'!$X26</f>
        <v>11.182067147567766</v>
      </c>
      <c r="AF20" s="15"/>
    </row>
    <row r="21" spans="1:32" ht="20.100000000000001" customHeight="1">
      <c r="A21" s="14">
        <v>18</v>
      </c>
      <c r="B21" s="15">
        <f>'[6]Dia 1 (b)'!$X27</f>
        <v>11.248311190929437</v>
      </c>
      <c r="C21" s="15">
        <f>'[6]Dia 2 (b)'!$X27</f>
        <v>11.118123102043352</v>
      </c>
      <c r="D21" s="15">
        <f>'[6]Dia 3 (b)'!$X27</f>
        <v>11.498163374960104</v>
      </c>
      <c r="E21" s="15">
        <f>'[6]Dia 4 (b)'!$X27</f>
        <v>10.774317929037846</v>
      </c>
      <c r="F21" s="15">
        <f>'[6]Dia 5 (b)'!$X27</f>
        <v>10.847187135560032</v>
      </c>
      <c r="G21" s="15">
        <f>'[6]Dia 6 (b)'!$X27</f>
        <v>10.765957228933052</v>
      </c>
      <c r="H21" s="15">
        <f>'[6]Dia 7 (b)'!$X27</f>
        <v>10.424368041161651</v>
      </c>
      <c r="I21" s="15">
        <f>'[6]Dia 8 (b)'!$X27</f>
        <v>10.404265522465735</v>
      </c>
      <c r="J21" s="15">
        <f>'[6]Dia 9 (b)'!$X27</f>
        <v>9.3972238549324665</v>
      </c>
      <c r="K21" s="15">
        <f>'[6]Dia 10 (b)'!$X27</f>
        <v>9.6787564771381795</v>
      </c>
      <c r="L21" s="15">
        <f>'[6]Dia 11 (b)'!$X27</f>
        <v>8.0957132712854438</v>
      </c>
      <c r="M21" s="16">
        <f>'[6]Dia 12 (b)'!$X27</f>
        <v>13.122169668812097</v>
      </c>
      <c r="N21" s="16">
        <f>'[6]Dia 13 (b)'!$X27</f>
        <v>11.872897353330279</v>
      </c>
      <c r="O21" s="16">
        <f>'[6]Dia 14 (b)'!$X27</f>
        <v>12.24194169715522</v>
      </c>
      <c r="P21" s="16">
        <f>'[6]Dia 15 (b)'!$X27</f>
        <v>12.477940776713117</v>
      </c>
      <c r="Q21" s="16">
        <f>'[6]Dia 16 (b)'!$X27</f>
        <v>8.7104061882163037</v>
      </c>
      <c r="R21" s="16">
        <f>'[6]Dia 17 (b)'!$X27</f>
        <v>9.2208379906329405</v>
      </c>
      <c r="S21" s="16">
        <f>'[6]Dia 18 (b)'!$X27</f>
        <v>9.4429480694155696</v>
      </c>
      <c r="T21" s="16">
        <f>'[6]Dia 19 (b)'!$X27</f>
        <v>9.8927210006365431</v>
      </c>
      <c r="U21" s="16">
        <f>'[6]Dia 20 (b)'!$X27</f>
        <v>8.6133362473145514</v>
      </c>
      <c r="V21" s="16">
        <f>'[6]Dia 21 (b)'!$X27</f>
        <v>9.177049825750597</v>
      </c>
      <c r="W21" s="16">
        <f>'[6]Dia 22 (b)'!$X27</f>
        <v>10.50326998150984</v>
      </c>
      <c r="X21" s="16">
        <f>'[6]Dia 23 (b)'!$X27</f>
        <v>10.157225417753063</v>
      </c>
      <c r="Y21" s="16">
        <f>'[6]Dia 24 (b)'!$X27</f>
        <v>10.996105774082121</v>
      </c>
      <c r="Z21" s="16">
        <f>'[6]Dia 25 (b)'!$X27</f>
        <v>10.364333328065339</v>
      </c>
      <c r="AA21" s="16">
        <f>'[6]Dia 26 (b)'!$X27</f>
        <v>7.0309446704287764</v>
      </c>
      <c r="AB21" s="16">
        <f>'[6]Dia 27 (b)'!$X27</f>
        <v>7.900253240048988</v>
      </c>
      <c r="AC21" s="16">
        <f>'[6]Dia 28 (b)'!$X27</f>
        <v>8.8663519976611873</v>
      </c>
      <c r="AD21" s="16">
        <f>'[6]Dia 29 (b)'!$X27</f>
        <v>11.828495468602542</v>
      </c>
      <c r="AE21" s="16">
        <f>'[6]Dia 30 (b)'!$X27</f>
        <v>11.482057339765673</v>
      </c>
      <c r="AF21" s="15"/>
    </row>
    <row r="22" spans="1:32" ht="20.100000000000001" customHeight="1">
      <c r="A22" s="14">
        <v>19</v>
      </c>
      <c r="B22" s="15">
        <f>'[6]Dia 1 (b)'!$X28</f>
        <v>11.02510609188349</v>
      </c>
      <c r="C22" s="15">
        <f>'[6]Dia 2 (b)'!$X28</f>
        <v>11.245154972627155</v>
      </c>
      <c r="D22" s="15">
        <f>'[6]Dia 3 (b)'!$X28</f>
        <v>11.639197455181469</v>
      </c>
      <c r="E22" s="15">
        <f>'[6]Dia 4 (b)'!$X28</f>
        <v>10.159526033949597</v>
      </c>
      <c r="F22" s="15">
        <f>'[6]Dia 5 (b)'!$X28</f>
        <v>10.489081906098736</v>
      </c>
      <c r="G22" s="15">
        <f>'[6]Dia 6 (b)'!$X28</f>
        <v>10.410844453209824</v>
      </c>
      <c r="H22" s="15">
        <f>'[6]Dia 7 (b)'!$X28</f>
        <v>9.9502364651538251</v>
      </c>
      <c r="I22" s="15">
        <f>'[6]Dia 8 (b)'!$X28</f>
        <v>10.756851809844168</v>
      </c>
      <c r="J22" s="15">
        <f>'[6]Dia 9 (b)'!$X28</f>
        <v>9.9451370450826673</v>
      </c>
      <c r="K22" s="15">
        <f>'[6]Dia 10 (b)'!$X28</f>
        <v>9.5089174588535563</v>
      </c>
      <c r="L22" s="15">
        <f>'[6]Dia 11 (b)'!$X28</f>
        <v>9.6201511385639602</v>
      </c>
      <c r="M22" s="16">
        <f>'[6]Dia 12 (b)'!$X28</f>
        <v>12.726768116262209</v>
      </c>
      <c r="N22" s="16">
        <f>'[6]Dia 13 (b)'!$X28</f>
        <v>11.791962588330962</v>
      </c>
      <c r="O22" s="16">
        <f>'[6]Dia 14 (b)'!$X28</f>
        <v>11.918876647070505</v>
      </c>
      <c r="P22" s="16">
        <f>'[6]Dia 15 (b)'!$X28</f>
        <v>12.031998204703189</v>
      </c>
      <c r="Q22" s="16">
        <f>'[6]Dia 16 (b)'!$X28</f>
        <v>8.6467115764028897</v>
      </c>
      <c r="R22" s="16">
        <f>'[6]Dia 17 (b)'!$X28</f>
        <v>9.2993905391601412</v>
      </c>
      <c r="S22" s="16">
        <f>'[6]Dia 18 (b)'!$X28</f>
        <v>9.4076559865656275</v>
      </c>
      <c r="T22" s="16">
        <f>'[6]Dia 19 (b)'!$X28</f>
        <v>9.7704699150779817</v>
      </c>
      <c r="U22" s="16">
        <f>'[6]Dia 20 (b)'!$X28</f>
        <v>9.2179886284447186</v>
      </c>
      <c r="V22" s="16">
        <f>'[6]Dia 21 (b)'!$X28</f>
        <v>9.598396348174008</v>
      </c>
      <c r="W22" s="16">
        <f>'[6]Dia 22 (b)'!$X28</f>
        <v>10.67027490024663</v>
      </c>
      <c r="X22" s="16">
        <f>'[6]Dia 23 (b)'!$X28</f>
        <v>10.237245092919913</v>
      </c>
      <c r="Y22" s="16">
        <f>'[6]Dia 24 (b)'!$X28</f>
        <v>11.168993893847407</v>
      </c>
      <c r="Z22" s="16">
        <f>'[6]Dia 25 (b)'!$X28</f>
        <v>11.299789417369469</v>
      </c>
      <c r="AA22" s="16">
        <f>'[6]Dia 26 (b)'!$X28</f>
        <v>10.062408012692131</v>
      </c>
      <c r="AB22" s="16">
        <f>'[6]Dia 27 (b)'!$X28</f>
        <v>8.3721662394263294</v>
      </c>
      <c r="AC22" s="16">
        <f>'[6]Dia 28 (b)'!$X28</f>
        <v>9.2331475792324298</v>
      </c>
      <c r="AD22" s="16">
        <f>'[6]Dia 29 (b)'!$X28</f>
        <v>11.983550948100762</v>
      </c>
      <c r="AE22" s="16">
        <f>'[6]Dia 30 (b)'!$X28</f>
        <v>11.56994219129759</v>
      </c>
      <c r="AF22" s="15"/>
    </row>
    <row r="23" spans="1:32" ht="20.100000000000001" customHeight="1">
      <c r="A23" s="14">
        <v>20</v>
      </c>
      <c r="B23" s="15">
        <f>'[6]Dia 1 (b)'!$X29</f>
        <v>11.050244630782492</v>
      </c>
      <c r="C23" s="15">
        <f>'[6]Dia 2 (b)'!$X29</f>
        <v>11.136728484475459</v>
      </c>
      <c r="D23" s="15">
        <f>'[6]Dia 3 (b)'!$X29</f>
        <v>11.177653000020221</v>
      </c>
      <c r="E23" s="15">
        <f>'[6]Dia 4 (b)'!$X29</f>
        <v>9.8465592138792584</v>
      </c>
      <c r="F23" s="15">
        <f>'[6]Dia 5 (b)'!$X29</f>
        <v>10.120237021220111</v>
      </c>
      <c r="G23" s="15">
        <f>'[6]Dia 6 (b)'!$X29</f>
        <v>10.375521368416367</v>
      </c>
      <c r="H23" s="15">
        <f>'[6]Dia 7 (b)'!$X29</f>
        <v>9.5982411590755099</v>
      </c>
      <c r="I23" s="15">
        <f>'[6]Dia 8 (b)'!$X29</f>
        <v>10.79638488517311</v>
      </c>
      <c r="J23" s="15">
        <f>'[6]Dia 9 (b)'!$X29</f>
        <v>9.9408268101683195</v>
      </c>
      <c r="K23" s="15">
        <f>'[6]Dia 10 (b)'!$X29</f>
        <v>9.1695396041352328</v>
      </c>
      <c r="L23" s="15">
        <f>'[6]Dia 11 (b)'!$X29</f>
        <v>9.7651725375435863</v>
      </c>
      <c r="M23" s="16">
        <f>'[6]Dia 12 (b)'!$X29</f>
        <v>12.846347565414929</v>
      </c>
      <c r="N23" s="16">
        <f>'[6]Dia 13 (b)'!$X29</f>
        <v>11.555833183815826</v>
      </c>
      <c r="O23" s="16">
        <f>'[6]Dia 14 (b)'!$X29</f>
        <v>11.833954300561599</v>
      </c>
      <c r="P23" s="16">
        <f>'[6]Dia 15 (b)'!$X29</f>
        <v>11.94863501033271</v>
      </c>
      <c r="Q23" s="16">
        <f>'[6]Dia 16 (b)'!$X29</f>
        <v>8.8484870944265186</v>
      </c>
      <c r="R23" s="16">
        <f>'[6]Dia 17 (b)'!$X29</f>
        <v>9.3781159134501095</v>
      </c>
      <c r="S23" s="16">
        <f>'[6]Dia 18 (b)'!$X29</f>
        <v>9.1237555805829</v>
      </c>
      <c r="T23" s="16">
        <f>'[6]Dia 19 (b)'!$X29</f>
        <v>9.7657324995407802</v>
      </c>
      <c r="U23" s="16">
        <f>'[6]Dia 20 (b)'!$X29</f>
        <v>9.455101670528018</v>
      </c>
      <c r="V23" s="16">
        <f>'[6]Dia 21 (b)'!$X29</f>
        <v>9.6756074739717128</v>
      </c>
      <c r="W23" s="16">
        <f>'[6]Dia 22 (b)'!$X29</f>
        <v>10.554323591734548</v>
      </c>
      <c r="X23" s="16">
        <f>'[6]Dia 23 (b)'!$X29</f>
        <v>10.3559454602828</v>
      </c>
      <c r="Y23" s="16">
        <f>'[6]Dia 24 (b)'!$X29</f>
        <v>11.14471324245859</v>
      </c>
      <c r="Z23" s="16">
        <f>'[6]Dia 25 (b)'!$X29</f>
        <v>11.392106919895889</v>
      </c>
      <c r="AA23" s="16">
        <f>'[6]Dia 26 (b)'!$X29</f>
        <v>10.452676465946549</v>
      </c>
      <c r="AB23" s="16">
        <f>'[6]Dia 27 (b)'!$X29</f>
        <v>9.0490800981821771</v>
      </c>
      <c r="AC23" s="16">
        <f>'[6]Dia 28 (b)'!$X29</f>
        <v>10.1262848956739</v>
      </c>
      <c r="AD23" s="16">
        <f>'[6]Dia 29 (b)'!$X29</f>
        <v>12.095398781805862</v>
      </c>
      <c r="AE23" s="16">
        <f>'[6]Dia 30 (b)'!$X29</f>
        <v>11.522921611160656</v>
      </c>
      <c r="AF23" s="15"/>
    </row>
    <row r="24" spans="1:32" ht="20.100000000000001" customHeight="1">
      <c r="A24" s="14">
        <v>21</v>
      </c>
      <c r="B24" s="15">
        <f>'[6]Dia 1 (b)'!$X30</f>
        <v>11.016406940061996</v>
      </c>
      <c r="C24" s="15">
        <f>'[6]Dia 2 (b)'!$X30</f>
        <v>11.102378109581839</v>
      </c>
      <c r="D24" s="15">
        <f>'[6]Dia 3 (b)'!$X30</f>
        <v>10.71392073612169</v>
      </c>
      <c r="E24" s="15">
        <f>'[6]Dia 4 (b)'!$X30</f>
        <v>9.6164926785016203</v>
      </c>
      <c r="F24" s="15">
        <f>'[6]Dia 5 (b)'!$X30</f>
        <v>10.305568935336488</v>
      </c>
      <c r="G24" s="15">
        <f>'[6]Dia 6 (b)'!$X30</f>
        <v>9.8547053441732935</v>
      </c>
      <c r="H24" s="15">
        <f>'[6]Dia 7 (b)'!$X30</f>
        <v>9.5489882935804076</v>
      </c>
      <c r="I24" s="15">
        <f>'[6]Dia 8 (b)'!$X30</f>
        <v>10.485262777355324</v>
      </c>
      <c r="J24" s="15">
        <f>'[6]Dia 9 (b)'!$X30</f>
        <v>10.000136230655533</v>
      </c>
      <c r="K24" s="15">
        <f>'[6]Dia 10 (b)'!$X30</f>
        <v>9.5559911012429684</v>
      </c>
      <c r="L24" s="15">
        <f>'[6]Dia 11 (b)'!$X30</f>
        <v>9.4272062549128357</v>
      </c>
      <c r="M24" s="16">
        <f>'[6]Dia 12 (b)'!$X30</f>
        <v>13.13466513914979</v>
      </c>
      <c r="N24" s="16">
        <f>'[6]Dia 13 (b)'!$X30</f>
        <v>11.107727954133992</v>
      </c>
      <c r="O24" s="16">
        <f>'[6]Dia 14 (b)'!$X30</f>
        <v>11.798040878228566</v>
      </c>
      <c r="P24" s="16">
        <f>'[6]Dia 15 (b)'!$X30</f>
        <v>11.749376378544316</v>
      </c>
      <c r="Q24" s="16">
        <f>'[6]Dia 16 (b)'!$X30</f>
        <v>8.8427139622219997</v>
      </c>
      <c r="R24" s="16">
        <f>'[6]Dia 17 (b)'!$X30</f>
        <v>9.4566911769094126</v>
      </c>
      <c r="S24" s="16">
        <f>'[6]Dia 18 (b)'!$X30</f>
        <v>9.3274410303078099</v>
      </c>
      <c r="T24" s="16">
        <f>'[6]Dia 19 (b)'!$X30</f>
        <v>9.6925614984540989</v>
      </c>
      <c r="U24" s="16">
        <f>'[6]Dia 20 (b)'!$X30</f>
        <v>9.422378015872761</v>
      </c>
      <c r="V24" s="16">
        <f>'[6]Dia 21 (b)'!$X30</f>
        <v>10.006745820064413</v>
      </c>
      <c r="W24" s="16">
        <f>'[6]Dia 22 (b)'!$X30</f>
        <v>10.311007258314504</v>
      </c>
      <c r="X24" s="16">
        <f>'[6]Dia 23 (b)'!$X30</f>
        <v>10.427717733811594</v>
      </c>
      <c r="Y24" s="16">
        <f>'[6]Dia 24 (b)'!$X30</f>
        <v>10.959338182780334</v>
      </c>
      <c r="Z24" s="16">
        <f>'[6]Dia 25 (b)'!$X30</f>
        <v>11.371038303484827</v>
      </c>
      <c r="AA24" s="16">
        <f>'[6]Dia 26 (b)'!$X30</f>
        <v>10.501930138851428</v>
      </c>
      <c r="AB24" s="16">
        <f>'[6]Dia 27 (b)'!$X30</f>
        <v>9.071186580219873</v>
      </c>
      <c r="AC24" s="16">
        <f>'[6]Dia 28 (b)'!$X30</f>
        <v>10.569729646200159</v>
      </c>
      <c r="AD24" s="16">
        <f>'[6]Dia 29 (b)'!$X30</f>
        <v>12.0879113442935</v>
      </c>
      <c r="AE24" s="16">
        <f>'[6]Dia 30 (b)'!$X30</f>
        <v>11.404940196269331</v>
      </c>
      <c r="AF24" s="15"/>
    </row>
    <row r="25" spans="1:32" ht="20.100000000000001" customHeight="1">
      <c r="A25" s="14">
        <v>22</v>
      </c>
      <c r="B25" s="15">
        <f>'[6]Dia 1 (b)'!$X31</f>
        <v>10.869997044377667</v>
      </c>
      <c r="C25" s="15">
        <f>'[6]Dia 2 (b)'!$X31</f>
        <v>11.392894544026582</v>
      </c>
      <c r="D25" s="15">
        <f>'[6]Dia 3 (b)'!$X31</f>
        <v>10.430213179366053</v>
      </c>
      <c r="E25" s="15">
        <f>'[6]Dia 4 (b)'!$X31</f>
        <v>9.7377009605372375</v>
      </c>
      <c r="F25" s="15">
        <f>'[6]Dia 5 (b)'!$X31</f>
        <v>10.584972663932444</v>
      </c>
      <c r="G25" s="15">
        <f>'[6]Dia 6 (b)'!$X31</f>
        <v>9.3761876554287689</v>
      </c>
      <c r="H25" s="15">
        <f>'[6]Dia 7 (b)'!$X31</f>
        <v>9.3712623511623256</v>
      </c>
      <c r="I25" s="15">
        <f>'[6]Dia 8 (b)'!$X31</f>
        <v>10.357907160400341</v>
      </c>
      <c r="J25" s="15">
        <f>'[6]Dia 9 (b)'!$X31</f>
        <v>9.5444496273888806</v>
      </c>
      <c r="K25" s="15">
        <f>'[6]Dia 10 (b)'!$X31</f>
        <v>9.4264945749350577</v>
      </c>
      <c r="L25" s="15">
        <f>'[6]Dia 11 (b)'!$X31</f>
        <v>9.3550525840036798</v>
      </c>
      <c r="M25" s="16">
        <f>'[6]Dia 12 (b)'!$X31</f>
        <v>12.38075825071722</v>
      </c>
      <c r="N25" s="16">
        <f>'[6]Dia 13 (b)'!$X31</f>
        <v>11.034625892982435</v>
      </c>
      <c r="O25" s="16">
        <f>'[6]Dia 14 (b)'!$X31</f>
        <v>11.804913819234034</v>
      </c>
      <c r="P25" s="16">
        <f>'[6]Dia 15 (b)'!$X31</f>
        <v>11.790094092133048</v>
      </c>
      <c r="Q25" s="16">
        <f>'[6]Dia 16 (b)'!$X31</f>
        <v>8.5167458966921306</v>
      </c>
      <c r="R25" s="16">
        <f>'[6]Dia 17 (b)'!$X31</f>
        <v>9.4566911769094126</v>
      </c>
      <c r="S25" s="16">
        <f>'[6]Dia 18 (b)'!$X31</f>
        <v>9.2611070984855708</v>
      </c>
      <c r="T25" s="16">
        <f>'[6]Dia 19 (b)'!$X31</f>
        <v>9.6911069654613495</v>
      </c>
      <c r="U25" s="16">
        <f>'[6]Dia 20 (b)'!$X31</f>
        <v>9.1407018919258167</v>
      </c>
      <c r="V25" s="16">
        <f>'[6]Dia 21 (b)'!$X31</f>
        <v>9.8566311116213328</v>
      </c>
      <c r="W25" s="16">
        <f>'[6]Dia 22 (b)'!$X31</f>
        <v>10.819192356550241</v>
      </c>
      <c r="X25" s="16">
        <f>'[6]Dia 23 (b)'!$X31</f>
        <v>10.520845664400619</v>
      </c>
      <c r="Y25" s="16">
        <f>'[6]Dia 24 (b)'!$X31</f>
        <v>10.985300751594268</v>
      </c>
      <c r="Z25" s="16">
        <f>'[6]Dia 25 (b)'!$X31</f>
        <v>11.39280722396242</v>
      </c>
      <c r="AA25" s="16">
        <f>'[6]Dia 26 (b)'!$X31</f>
        <v>10.367931465648047</v>
      </c>
      <c r="AB25" s="16">
        <f>'[6]Dia 27 (b)'!$X31</f>
        <v>9.5411356422467932</v>
      </c>
      <c r="AC25" s="16">
        <f>'[6]Dia 28 (b)'!$X31</f>
        <v>10.592967357144778</v>
      </c>
      <c r="AD25" s="16">
        <f>'[6]Dia 29 (b)'!$X31</f>
        <v>11.736405520877543</v>
      </c>
      <c r="AE25" s="16">
        <f>'[6]Dia 30 (b)'!$X31</f>
        <v>11.329173551386642</v>
      </c>
      <c r="AF25" s="15"/>
    </row>
    <row r="26" spans="1:32" ht="20.100000000000001" customHeight="1">
      <c r="A26" s="14">
        <v>23</v>
      </c>
      <c r="B26" s="15">
        <f>'[6]Dia 1 (b)'!$X32</f>
        <v>11.136616353313814</v>
      </c>
      <c r="C26" s="15">
        <f>'[6]Dia 2 (b)'!$X32</f>
        <v>10.990953153370457</v>
      </c>
      <c r="D26" s="15">
        <f>'[6]Dia 3 (b)'!$X32</f>
        <v>10.233300210323305</v>
      </c>
      <c r="E26" s="15">
        <f>'[6]Dia 4 (b)'!$X32</f>
        <v>9.450785467813354</v>
      </c>
      <c r="F26" s="15">
        <f>'[6]Dia 5 (b)'!$X32</f>
        <v>10.435801950774096</v>
      </c>
      <c r="G26" s="15">
        <f>'[6]Dia 6 (b)'!$X32</f>
        <v>9.2487402199151916</v>
      </c>
      <c r="H26" s="15">
        <f>'[6]Dia 7 (b)'!$X32</f>
        <v>9.3235881728064935</v>
      </c>
      <c r="I26" s="15">
        <f>'[6]Dia 8 (b)'!$X32</f>
        <v>10.057946814018001</v>
      </c>
      <c r="J26" s="15">
        <f>'[6]Dia 9 (b)'!$X32</f>
        <v>9.4847593904595957</v>
      </c>
      <c r="K26" s="15">
        <f>'[6]Dia 10 (b)'!$X32</f>
        <v>9.3365255568809467</v>
      </c>
      <c r="L26" s="15">
        <f>'[6]Dia 11 (b)'!$X32</f>
        <v>10.726692543026743</v>
      </c>
      <c r="M26" s="16">
        <f>'[6]Dia 12 (b)'!$X32</f>
        <v>12.215243732414969</v>
      </c>
      <c r="N26" s="16">
        <f>'[6]Dia 13 (b)'!$X32</f>
        <v>11.03623094920334</v>
      </c>
      <c r="O26" s="16">
        <f>'[6]Dia 14 (b)'!$X32</f>
        <v>11.809876741586152</v>
      </c>
      <c r="P26" s="16">
        <f>'[6]Dia 15 (b)'!$X32</f>
        <v>11.674449029157833</v>
      </c>
      <c r="Q26" s="16">
        <f>'[6]Dia 16 (b)'!$X32</f>
        <v>7.51200458146982</v>
      </c>
      <c r="R26" s="16">
        <f>'[6]Dia 17 (b)'!$X32</f>
        <v>9.5631739048546329</v>
      </c>
      <c r="S26" s="16">
        <f>'[6]Dia 18 (b)'!$X32</f>
        <v>9.2158811239417524</v>
      </c>
      <c r="T26" s="16">
        <f>'[6]Dia 19 (b)'!$X32</f>
        <v>9.5167614392567117</v>
      </c>
      <c r="U26" s="16">
        <f>'[6]Dia 20 (b)'!$X32</f>
        <v>9.1400935381046615</v>
      </c>
      <c r="V26" s="16">
        <f>'[6]Dia 21 (b)'!$X32</f>
        <v>9.6322838106922486</v>
      </c>
      <c r="W26" s="16">
        <f>'[6]Dia 22 (b)'!$X32</f>
        <v>10.728698241715996</v>
      </c>
      <c r="X26" s="16">
        <f>'[6]Dia 23 (b)'!$X32</f>
        <v>10.572880973406258</v>
      </c>
      <c r="Y26" s="16">
        <f>'[6]Dia 24 (b)'!$X32</f>
        <v>10.364176979697531</v>
      </c>
      <c r="Z26" s="16">
        <f>'[6]Dia 25 (b)'!$X32</f>
        <v>11.369766221273446</v>
      </c>
      <c r="AA26" s="16">
        <f>'[6]Dia 26 (b)'!$X32</f>
        <v>10.201941108565554</v>
      </c>
      <c r="AB26" s="16">
        <f>'[6]Dia 27 (b)'!$X32</f>
        <v>9.3775776305832768</v>
      </c>
      <c r="AC26" s="16">
        <f>'[6]Dia 28 (b)'!$X32</f>
        <v>10.393908987118332</v>
      </c>
      <c r="AD26" s="16">
        <f>'[6]Dia 29 (b)'!$X32</f>
        <v>11.659728916357043</v>
      </c>
      <c r="AE26" s="16">
        <f>'[6]Dia 30 (b)'!$X32</f>
        <v>11.253648932153181</v>
      </c>
      <c r="AF26" s="15"/>
    </row>
    <row r="27" spans="1:32" ht="20.100000000000001" customHeight="1" thickBot="1">
      <c r="A27" s="14">
        <v>24</v>
      </c>
      <c r="B27" s="15">
        <f>'[6]Dia 1 (b)'!$X33</f>
        <v>11.051319204202995</v>
      </c>
      <c r="C27" s="15">
        <f>'[6]Dia 2 (b)'!$X33</f>
        <v>10.901823883032471</v>
      </c>
      <c r="D27" s="15">
        <f>'[6]Dia 3 (b)'!$X33</f>
        <v>9.9628541715721646</v>
      </c>
      <c r="E27" s="15">
        <f>'[6]Dia 4 (b)'!$X33</f>
        <v>9.4477431442527102</v>
      </c>
      <c r="F27" s="15">
        <f>'[6]Dia 5 (b)'!$X33</f>
        <v>10.435801950774096</v>
      </c>
      <c r="G27" s="15">
        <f>'[6]Dia 6 (b)'!$X33</f>
        <v>8.9553280653995397</v>
      </c>
      <c r="H27" s="15">
        <f>'[6]Dia 7 (b)'!$X33</f>
        <v>9.1133075576661167</v>
      </c>
      <c r="I27" s="15">
        <f>'[6]Dia 8 (b)'!$X33</f>
        <v>9.7528426691375341</v>
      </c>
      <c r="J27" s="15">
        <f>'[6]Dia 9 (b)'!$X33</f>
        <v>9.5021504590204842</v>
      </c>
      <c r="K27" s="15">
        <f>'[6]Dia 10 (b)'!$X33</f>
        <v>9.552986452993574</v>
      </c>
      <c r="L27" s="15">
        <f>'[6]Dia 11 (b)'!$X33</f>
        <v>11.985942874260536</v>
      </c>
      <c r="M27" s="16">
        <f>'[6]Dia 12 (b)'!$X33</f>
        <v>11.892938073214678</v>
      </c>
      <c r="N27" s="16">
        <f>'[6]Dia 13 (b)'!$X33</f>
        <v>10.81438288793434</v>
      </c>
      <c r="O27" s="16">
        <f>'[6]Dia 14 (b)'!$X33</f>
        <v>11.732723307173524</v>
      </c>
      <c r="P27" s="16">
        <f>'[6]Dia 15 (b)'!$X33</f>
        <v>11.599489294095109</v>
      </c>
      <c r="Q27" s="16">
        <f>'[6]Dia 16 (b)'!$X33</f>
        <v>7.3869815184948688</v>
      </c>
      <c r="R27" s="16">
        <f>'[6]Dia 17 (b)'!$X33</f>
        <v>9.4995027867313269</v>
      </c>
      <c r="S27" s="16">
        <f>'[6]Dia 18 (b)'!$X33</f>
        <v>9.1332874193609683</v>
      </c>
      <c r="T27" s="16">
        <f>'[6]Dia 19 (b)'!$X33</f>
        <v>9.3898042347326758</v>
      </c>
      <c r="U27" s="16">
        <f>'[6]Dia 20 (b)'!$X33</f>
        <v>9.1412843139048352</v>
      </c>
      <c r="V27" s="16">
        <f>'[6]Dia 21 (b)'!$X33</f>
        <v>9.5574484502535348</v>
      </c>
      <c r="W27" s="16">
        <f>'[6]Dia 22 (b)'!$X33</f>
        <v>10.446502632173457</v>
      </c>
      <c r="X27" s="16">
        <f>'[6]Dia 23 (b)'!$X33</f>
        <v>10.46055600512012</v>
      </c>
      <c r="Y27" s="16">
        <f>'[6]Dia 24 (b)'!$X33</f>
        <v>10.530507108034884</v>
      </c>
      <c r="Z27" s="16">
        <f>'[6]Dia 25 (b)'!$X33</f>
        <v>11.076345258992594</v>
      </c>
      <c r="AA27" s="16">
        <f>'[6]Dia 26 (b)'!$X33</f>
        <v>9.9028287780461923</v>
      </c>
      <c r="AB27" s="16">
        <f>'[6]Dia 27 (b)'!$X33</f>
        <v>9.1389521187021785</v>
      </c>
      <c r="AC27" s="16">
        <f>'[6]Dia 28 (b)'!$X33</f>
        <v>10.346806238967</v>
      </c>
      <c r="AD27" s="16">
        <f>'[6]Dia 29 (b)'!$X33</f>
        <v>11.588525571757362</v>
      </c>
      <c r="AE27" s="16">
        <f>'[6]Dia 30 (b)'!$X33</f>
        <v>11.178747859536923</v>
      </c>
      <c r="AF27" s="15"/>
    </row>
    <row r="28" spans="1:32" ht="16.5" thickTop="1">
      <c r="A28" s="17"/>
      <c r="B28" s="19"/>
      <c r="C28" s="19"/>
      <c r="D28" s="19"/>
      <c r="E28" s="19"/>
      <c r="F28" s="19"/>
      <c r="G28" s="19"/>
      <c r="H28" s="19"/>
      <c r="I28" s="19"/>
      <c r="J28" s="19"/>
      <c r="K28" s="19"/>
      <c r="L28" s="19"/>
      <c r="M28" s="18" t="s">
        <v>13</v>
      </c>
      <c r="N28" s="19"/>
      <c r="O28" s="19"/>
      <c r="P28" s="19"/>
      <c r="Q28" s="19"/>
      <c r="R28" s="19"/>
      <c r="S28" s="19"/>
      <c r="T28" s="19"/>
      <c r="U28" s="19"/>
      <c r="V28" s="19"/>
      <c r="W28" s="19"/>
      <c r="X28" s="19"/>
      <c r="Y28" s="19"/>
      <c r="Z28" s="19"/>
      <c r="AA28" s="19"/>
      <c r="AB28" s="19"/>
      <c r="AC28" s="19"/>
      <c r="AD28" s="19"/>
      <c r="AE28" s="19"/>
      <c r="AF28" s="21"/>
    </row>
    <row r="29" spans="1:32" ht="15.75">
      <c r="A29" s="22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23"/>
    </row>
    <row r="30" spans="1:32" ht="15.75">
      <c r="A30" s="24" t="s">
        <v>3</v>
      </c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23"/>
    </row>
    <row r="31" spans="1:32" ht="15.75">
      <c r="A31" s="24" t="s">
        <v>4</v>
      </c>
      <c r="B31" s="25">
        <f t="shared" ref="B31:AE31" si="0">AVERAGE(B4:B27)</f>
        <v>11.013882643635689</v>
      </c>
      <c r="C31" s="25">
        <f t="shared" si="0"/>
        <v>10.702221181878599</v>
      </c>
      <c r="D31" s="25">
        <f t="shared" si="0"/>
        <v>10.295776268742506</v>
      </c>
      <c r="E31" s="25">
        <f t="shared" si="0"/>
        <v>9.4997524527116592</v>
      </c>
      <c r="F31" s="25">
        <f t="shared" si="0"/>
        <v>9.6959810090254717</v>
      </c>
      <c r="G31" s="25">
        <f t="shared" si="0"/>
        <v>9.666475578732614</v>
      </c>
      <c r="H31" s="25">
        <f t="shared" si="0"/>
        <v>9.0957757838519786</v>
      </c>
      <c r="I31" s="25">
        <f t="shared" si="0"/>
        <v>9.6606416734945864</v>
      </c>
      <c r="J31" s="25">
        <f t="shared" si="0"/>
        <v>9.4594033898015368</v>
      </c>
      <c r="K31" s="25">
        <f t="shared" si="0"/>
        <v>9.111072324531273</v>
      </c>
      <c r="L31" s="25">
        <f t="shared" si="0"/>
        <v>9.0731267057860983</v>
      </c>
      <c r="M31" s="25">
        <f t="shared" si="0"/>
        <v>12.068941638007791</v>
      </c>
      <c r="N31" s="25">
        <f t="shared" si="0"/>
        <v>11.544430561616915</v>
      </c>
      <c r="O31" s="25">
        <f t="shared" si="0"/>
        <v>11.487462845932292</v>
      </c>
      <c r="P31" s="25">
        <f t="shared" si="0"/>
        <v>12.108929042737214</v>
      </c>
      <c r="Q31" s="25">
        <f t="shared" si="0"/>
        <v>9.3910972086409963</v>
      </c>
      <c r="R31" s="25">
        <f t="shared" si="0"/>
        <v>8.1329450963711363</v>
      </c>
      <c r="S31" s="25">
        <f t="shared" si="0"/>
        <v>8.9830954472123636</v>
      </c>
      <c r="T31" s="25">
        <f t="shared" si="0"/>
        <v>9.3508122626666967</v>
      </c>
      <c r="U31" s="25">
        <f t="shared" si="0"/>
        <v>8.8004952400982273</v>
      </c>
      <c r="V31" s="25">
        <f t="shared" si="0"/>
        <v>8.8555756474537528</v>
      </c>
      <c r="W31" s="25">
        <f t="shared" si="0"/>
        <v>9.4911290338392771</v>
      </c>
      <c r="X31" s="25">
        <f t="shared" si="0"/>
        <v>9.8543045717048852</v>
      </c>
      <c r="Y31" s="25">
        <f t="shared" si="0"/>
        <v>10.095499891156825</v>
      </c>
      <c r="Z31" s="25">
        <f t="shared" si="0"/>
        <v>10.238817136965993</v>
      </c>
      <c r="AA31" s="25">
        <f t="shared" si="0"/>
        <v>9.3611316689753945</v>
      </c>
      <c r="AB31" s="25">
        <f t="shared" si="0"/>
        <v>8.9500015936838881</v>
      </c>
      <c r="AC31" s="25">
        <f t="shared" si="0"/>
        <v>9.4612690235829877</v>
      </c>
      <c r="AD31" s="25">
        <f t="shared" si="0"/>
        <v>11.037099414359098</v>
      </c>
      <c r="AE31" s="25">
        <f t="shared" si="0"/>
        <v>11.179355971953898</v>
      </c>
      <c r="AF31" s="26"/>
    </row>
    <row r="32" spans="1:32" ht="15.75">
      <c r="A32" s="27"/>
      <c r="B32" s="28"/>
      <c r="C32" s="28"/>
      <c r="D32" s="28"/>
      <c r="E32" s="28"/>
      <c r="F32" s="28"/>
      <c r="G32" s="28"/>
      <c r="H32" s="28"/>
      <c r="I32" s="28"/>
      <c r="J32" s="28"/>
      <c r="K32" s="28"/>
      <c r="L32" s="28"/>
      <c r="M32" s="28"/>
      <c r="N32" s="28"/>
      <c r="O32" s="28"/>
      <c r="P32" s="28"/>
      <c r="Q32" s="28"/>
      <c r="R32" s="28"/>
      <c r="S32" s="28"/>
      <c r="T32" s="28"/>
      <c r="U32" s="28"/>
      <c r="V32" s="28"/>
      <c r="W32" s="28"/>
      <c r="X32" s="28"/>
      <c r="Y32" s="28"/>
      <c r="Z32" s="28"/>
      <c r="AA32" s="28"/>
      <c r="AB32" s="28"/>
      <c r="AC32" s="28"/>
      <c r="AD32" s="28"/>
      <c r="AE32" s="28"/>
      <c r="AF32" s="29"/>
    </row>
    <row r="33" spans="1:32" ht="15.75">
      <c r="A33" s="27"/>
      <c r="B33" s="28"/>
      <c r="C33" s="28"/>
      <c r="D33" s="28"/>
      <c r="E33" s="28"/>
      <c r="F33" s="28"/>
      <c r="G33" s="28"/>
      <c r="H33" s="28"/>
      <c r="I33" s="28"/>
      <c r="J33" s="28"/>
      <c r="K33" s="28"/>
      <c r="L33" s="28"/>
      <c r="M33" s="28"/>
      <c r="N33" s="28"/>
      <c r="O33" s="28"/>
      <c r="P33" s="28"/>
      <c r="Q33" s="28"/>
      <c r="R33" s="28"/>
      <c r="S33" s="28"/>
      <c r="T33" s="28"/>
      <c r="U33" s="28"/>
      <c r="V33" s="28"/>
      <c r="W33" s="28"/>
      <c r="X33" s="28"/>
      <c r="Y33" s="28"/>
      <c r="Z33" s="28"/>
      <c r="AA33" s="28"/>
      <c r="AB33" s="28"/>
      <c r="AC33" s="28"/>
      <c r="AD33" s="28"/>
      <c r="AE33" s="28"/>
      <c r="AF33" s="29"/>
    </row>
    <row r="34" spans="1:32" ht="15.75">
      <c r="A34" s="24" t="s">
        <v>5</v>
      </c>
      <c r="B34" s="28"/>
      <c r="C34" s="28"/>
      <c r="D34" s="28"/>
      <c r="E34" s="28"/>
      <c r="F34" s="28"/>
      <c r="G34" s="28"/>
      <c r="H34" s="28"/>
      <c r="I34" s="28"/>
      <c r="J34" s="28"/>
      <c r="K34" s="28"/>
      <c r="L34" s="28"/>
      <c r="M34" s="28"/>
      <c r="N34" s="28"/>
      <c r="O34" s="28"/>
      <c r="P34" s="28"/>
      <c r="Q34" s="28"/>
      <c r="R34" s="28"/>
      <c r="S34" s="28"/>
      <c r="T34" s="28"/>
      <c r="U34" s="28"/>
      <c r="V34" s="28"/>
      <c r="W34" s="28"/>
      <c r="X34" s="28"/>
      <c r="Y34" s="28"/>
      <c r="Z34" s="28"/>
      <c r="AA34" s="28"/>
      <c r="AB34" s="28"/>
      <c r="AC34" s="28"/>
      <c r="AD34" s="28"/>
      <c r="AE34" s="28"/>
      <c r="AF34" s="29"/>
    </row>
    <row r="35" spans="1:32" ht="15.75">
      <c r="A35" s="24" t="s">
        <v>4</v>
      </c>
      <c r="B35" s="25">
        <f t="shared" ref="B35:AE35" si="1">MAX(B4:B27)</f>
        <v>11.49484037191591</v>
      </c>
      <c r="C35" s="25">
        <f t="shared" si="1"/>
        <v>11.392894544026582</v>
      </c>
      <c r="D35" s="25">
        <f t="shared" si="1"/>
        <v>11.639197455181469</v>
      </c>
      <c r="E35" s="25">
        <f t="shared" si="1"/>
        <v>11.229042845253684</v>
      </c>
      <c r="F35" s="25">
        <f t="shared" si="1"/>
        <v>11.259998451974907</v>
      </c>
      <c r="G35" s="25">
        <f t="shared" si="1"/>
        <v>10.800987896925363</v>
      </c>
      <c r="H35" s="25">
        <f t="shared" si="1"/>
        <v>10.424368041161651</v>
      </c>
      <c r="I35" s="25">
        <f t="shared" si="1"/>
        <v>10.79638488517311</v>
      </c>
      <c r="J35" s="25">
        <f t="shared" si="1"/>
        <v>10.780425582454937</v>
      </c>
      <c r="K35" s="25">
        <f t="shared" si="1"/>
        <v>10.559461315250806</v>
      </c>
      <c r="L35" s="25">
        <f t="shared" si="1"/>
        <v>11.985942874260536</v>
      </c>
      <c r="M35" s="25">
        <f t="shared" si="1"/>
        <v>14.163398862955709</v>
      </c>
      <c r="N35" s="25">
        <f t="shared" si="1"/>
        <v>12.10583086702305</v>
      </c>
      <c r="O35" s="25">
        <f t="shared" si="1"/>
        <v>12.287610935535357</v>
      </c>
      <c r="P35" s="25">
        <f t="shared" si="1"/>
        <v>13.005716821493582</v>
      </c>
      <c r="Q35" s="25">
        <f t="shared" si="1"/>
        <v>11.367021715727637</v>
      </c>
      <c r="R35" s="25">
        <f t="shared" si="1"/>
        <v>9.5631739048546329</v>
      </c>
      <c r="S35" s="25">
        <f t="shared" si="1"/>
        <v>9.5253980369613345</v>
      </c>
      <c r="T35" s="25">
        <f t="shared" si="1"/>
        <v>9.8948074470201561</v>
      </c>
      <c r="U35" s="25">
        <f t="shared" si="1"/>
        <v>9.455101670528018</v>
      </c>
      <c r="V35" s="25">
        <f t="shared" si="1"/>
        <v>10.006745820064413</v>
      </c>
      <c r="W35" s="25">
        <f t="shared" si="1"/>
        <v>10.819192356550241</v>
      </c>
      <c r="X35" s="25">
        <f t="shared" si="1"/>
        <v>10.572880973406258</v>
      </c>
      <c r="Y35" s="25">
        <f t="shared" si="1"/>
        <v>11.168993893847407</v>
      </c>
      <c r="Z35" s="25">
        <f t="shared" si="1"/>
        <v>11.82643075367988</v>
      </c>
      <c r="AA35" s="25">
        <f t="shared" si="1"/>
        <v>11.337337690009859</v>
      </c>
      <c r="AB35" s="25">
        <f t="shared" si="1"/>
        <v>10.338896598382737</v>
      </c>
      <c r="AC35" s="25">
        <f t="shared" si="1"/>
        <v>10.592967357144778</v>
      </c>
      <c r="AD35" s="25">
        <f t="shared" si="1"/>
        <v>12.187176574405893</v>
      </c>
      <c r="AE35" s="25">
        <f t="shared" si="1"/>
        <v>11.576378190993001</v>
      </c>
      <c r="AF35" s="26"/>
    </row>
    <row r="36" spans="1:32" ht="15.75">
      <c r="A36" s="24"/>
      <c r="B36" s="25"/>
      <c r="C36" s="25"/>
      <c r="D36" s="25"/>
      <c r="E36" s="25"/>
      <c r="F36" s="25"/>
      <c r="G36" s="25"/>
      <c r="H36" s="25"/>
      <c r="I36" s="25"/>
      <c r="J36" s="25"/>
      <c r="K36" s="25"/>
      <c r="L36" s="25"/>
      <c r="M36" s="25"/>
      <c r="N36" s="25"/>
      <c r="O36" s="25"/>
      <c r="P36" s="25"/>
      <c r="Q36" s="25"/>
      <c r="R36" s="25"/>
      <c r="S36" s="25"/>
      <c r="T36" s="25"/>
      <c r="U36" s="25"/>
      <c r="V36" s="25"/>
      <c r="W36" s="25"/>
      <c r="X36" s="25"/>
      <c r="Y36" s="25"/>
      <c r="Z36" s="25"/>
      <c r="AA36" s="25"/>
      <c r="AB36" s="25"/>
      <c r="AC36" s="25"/>
      <c r="AD36" s="25"/>
      <c r="AE36" s="25"/>
      <c r="AF36" s="26"/>
    </row>
    <row r="37" spans="1:32" ht="15.75">
      <c r="A37" s="27"/>
      <c r="B37" s="28"/>
      <c r="C37" s="28"/>
      <c r="D37" s="28"/>
      <c r="E37" s="28"/>
      <c r="F37" s="28"/>
      <c r="G37" s="28"/>
      <c r="H37" s="28"/>
      <c r="I37" s="28"/>
      <c r="J37" s="28"/>
      <c r="K37" s="28"/>
      <c r="L37" s="28"/>
      <c r="M37" s="28"/>
      <c r="N37" s="28"/>
      <c r="O37" s="28"/>
      <c r="P37" s="28"/>
      <c r="Q37" s="28"/>
      <c r="R37" s="28"/>
      <c r="S37" s="28"/>
      <c r="T37" s="28"/>
      <c r="U37" s="28"/>
      <c r="V37" s="28"/>
      <c r="W37" s="28"/>
      <c r="X37" s="28"/>
      <c r="Y37" s="28"/>
      <c r="Z37" s="28"/>
      <c r="AA37" s="28"/>
      <c r="AB37" s="28"/>
      <c r="AC37" s="28"/>
      <c r="AD37" s="28"/>
      <c r="AE37" s="28"/>
      <c r="AF37" s="29"/>
    </row>
    <row r="38" spans="1:32" ht="15.75">
      <c r="A38" s="24" t="s">
        <v>6</v>
      </c>
      <c r="B38" s="28"/>
      <c r="C38" s="28"/>
      <c r="D38" s="28"/>
      <c r="E38" s="28"/>
      <c r="F38" s="28"/>
      <c r="G38" s="28"/>
      <c r="H38" s="28"/>
      <c r="I38" s="28"/>
      <c r="J38" s="28"/>
      <c r="K38" s="28"/>
      <c r="L38" s="28"/>
      <c r="M38" s="28"/>
      <c r="N38" s="28"/>
      <c r="O38" s="28"/>
      <c r="P38" s="28"/>
      <c r="Q38" s="28"/>
      <c r="R38" s="28"/>
      <c r="S38" s="28"/>
      <c r="T38" s="28"/>
      <c r="U38" s="28"/>
      <c r="V38" s="28"/>
      <c r="W38" s="28"/>
      <c r="X38" s="28"/>
      <c r="Y38" s="28"/>
      <c r="Z38" s="28"/>
      <c r="AA38" s="28"/>
      <c r="AB38" s="28"/>
      <c r="AC38" s="28"/>
      <c r="AD38" s="28"/>
      <c r="AE38" s="28"/>
      <c r="AF38" s="29"/>
    </row>
    <row r="39" spans="1:32" ht="15.75">
      <c r="A39" s="24" t="s">
        <v>4</v>
      </c>
      <c r="B39" s="25">
        <f t="shared" ref="B39:AE39" si="2">MIN(B4:B27)</f>
        <v>10.301016555988163</v>
      </c>
      <c r="C39" s="25">
        <f t="shared" si="2"/>
        <v>9.6280661858379819</v>
      </c>
      <c r="D39" s="25">
        <f t="shared" si="2"/>
        <v>9.5346109880093088</v>
      </c>
      <c r="E39" s="25">
        <f t="shared" si="2"/>
        <v>8.1776590753208183</v>
      </c>
      <c r="F39" s="25">
        <f t="shared" si="2"/>
        <v>7.7279399255203218</v>
      </c>
      <c r="G39" s="25">
        <f t="shared" si="2"/>
        <v>7.4025570002227274</v>
      </c>
      <c r="H39" s="25">
        <f t="shared" si="2"/>
        <v>8.0156598977460973</v>
      </c>
      <c r="I39" s="25">
        <f t="shared" si="2"/>
        <v>8.238459759377486</v>
      </c>
      <c r="J39" s="25">
        <f t="shared" si="2"/>
        <v>8.6753190505983397</v>
      </c>
      <c r="K39" s="25">
        <f t="shared" si="2"/>
        <v>7.7056121917447671</v>
      </c>
      <c r="L39" s="25">
        <f t="shared" si="2"/>
        <v>7.5588451676789834</v>
      </c>
      <c r="M39" s="25">
        <f t="shared" si="2"/>
        <v>10.45302563334716</v>
      </c>
      <c r="N39" s="25">
        <f t="shared" si="2"/>
        <v>10.81438288793434</v>
      </c>
      <c r="O39" s="25">
        <f t="shared" si="2"/>
        <v>10.703419154967415</v>
      </c>
      <c r="P39" s="25">
        <f t="shared" si="2"/>
        <v>11.599489294095109</v>
      </c>
      <c r="Q39" s="25">
        <f t="shared" si="2"/>
        <v>7.3869815184948688</v>
      </c>
      <c r="R39" s="25">
        <f t="shared" si="2"/>
        <v>6.9835697500571836</v>
      </c>
      <c r="S39" s="25">
        <f t="shared" si="2"/>
        <v>7.8398008340332925</v>
      </c>
      <c r="T39" s="25">
        <f t="shared" si="2"/>
        <v>8.3326588987399433</v>
      </c>
      <c r="U39" s="25">
        <f t="shared" si="2"/>
        <v>7.6075509820706397</v>
      </c>
      <c r="V39" s="25">
        <f t="shared" si="2"/>
        <v>7.3289553952544377</v>
      </c>
      <c r="W39" s="25">
        <f t="shared" si="2"/>
        <v>8.4351176106448431</v>
      </c>
      <c r="X39" s="25">
        <f t="shared" si="2"/>
        <v>8.7088725274944832</v>
      </c>
      <c r="Y39" s="25">
        <f t="shared" si="2"/>
        <v>8.808531855260421</v>
      </c>
      <c r="Z39" s="25">
        <f t="shared" si="2"/>
        <v>8.6032708330494252</v>
      </c>
      <c r="AA39" s="25">
        <f t="shared" si="2"/>
        <v>6.3424336118090023</v>
      </c>
      <c r="AB39" s="25">
        <f t="shared" si="2"/>
        <v>7.900253240048988</v>
      </c>
      <c r="AC39" s="25">
        <f t="shared" si="2"/>
        <v>8.6287118442317947</v>
      </c>
      <c r="AD39" s="25">
        <f t="shared" si="2"/>
        <v>9.7561383247543958</v>
      </c>
      <c r="AE39" s="25">
        <f t="shared" si="2"/>
        <v>10.107506764416659</v>
      </c>
      <c r="AF39" s="26"/>
    </row>
    <row r="40" spans="1:32" ht="15.75">
      <c r="A40" s="24"/>
      <c r="B40" s="25"/>
      <c r="C40" s="25"/>
      <c r="D40" s="25"/>
      <c r="E40" s="25"/>
      <c r="F40" s="25"/>
      <c r="G40" s="25"/>
      <c r="H40" s="25"/>
      <c r="I40" s="25"/>
      <c r="J40" s="25"/>
      <c r="K40" s="25"/>
      <c r="L40" s="25"/>
      <c r="M40" s="25"/>
      <c r="N40" s="25"/>
      <c r="O40" s="25"/>
      <c r="P40" s="25"/>
      <c r="Q40" s="25"/>
      <c r="R40" s="25"/>
      <c r="S40" s="25"/>
      <c r="T40" s="25"/>
      <c r="U40" s="25"/>
      <c r="V40" s="25"/>
      <c r="W40" s="25"/>
      <c r="X40" s="25"/>
      <c r="Y40" s="25"/>
      <c r="Z40" s="25"/>
      <c r="AA40" s="25"/>
      <c r="AB40" s="25"/>
      <c r="AC40" s="25"/>
      <c r="AD40" s="25"/>
      <c r="AE40" s="25"/>
      <c r="AF40" s="26"/>
    </row>
    <row r="41" spans="1:32" ht="15.75">
      <c r="A41" s="27"/>
      <c r="B41" s="28"/>
      <c r="C41" s="28"/>
      <c r="D41" s="28"/>
      <c r="E41" s="28"/>
      <c r="F41" s="28"/>
      <c r="G41" s="28"/>
      <c r="H41" s="28"/>
      <c r="I41" s="28"/>
      <c r="J41" s="28"/>
      <c r="K41" s="28"/>
      <c r="L41" s="28"/>
      <c r="M41" s="28"/>
      <c r="N41" s="28"/>
      <c r="O41" s="28"/>
      <c r="P41" s="28"/>
      <c r="Q41" s="28"/>
      <c r="R41" s="28"/>
      <c r="S41" s="28"/>
      <c r="T41" s="28"/>
      <c r="U41" s="28"/>
      <c r="V41" s="28"/>
      <c r="W41" s="28"/>
      <c r="X41" s="28"/>
      <c r="Y41" s="28"/>
      <c r="Z41" s="28"/>
      <c r="AA41" s="28"/>
      <c r="AB41" s="28"/>
      <c r="AC41" s="28"/>
      <c r="AD41" s="28"/>
      <c r="AE41" s="28"/>
      <c r="AF41" s="29"/>
    </row>
    <row r="42" spans="1:32" ht="15.75">
      <c r="A42" s="24" t="s">
        <v>7</v>
      </c>
      <c r="B42" s="28"/>
      <c r="C42" s="28"/>
      <c r="D42" s="28"/>
      <c r="E42" s="28"/>
      <c r="F42" s="28"/>
      <c r="G42" s="28"/>
      <c r="H42" s="28"/>
      <c r="I42" s="28"/>
      <c r="J42" s="28"/>
      <c r="K42" s="28"/>
      <c r="L42" s="28"/>
      <c r="M42" s="28"/>
      <c r="N42" s="28"/>
      <c r="O42" s="28"/>
      <c r="P42" s="28"/>
      <c r="Q42" s="28"/>
      <c r="R42" s="28"/>
      <c r="S42" s="28"/>
      <c r="T42" s="28"/>
      <c r="U42" s="28"/>
      <c r="V42" s="28"/>
      <c r="W42" s="28"/>
      <c r="X42" s="28"/>
      <c r="Y42" s="28"/>
      <c r="Z42" s="28"/>
      <c r="AA42" s="28"/>
      <c r="AB42" s="28"/>
      <c r="AC42" s="28"/>
      <c r="AD42" s="28"/>
      <c r="AE42" s="28"/>
      <c r="AF42" s="29"/>
    </row>
    <row r="43" spans="1:32" ht="15.75">
      <c r="A43" s="24" t="s">
        <v>4</v>
      </c>
      <c r="B43" s="25">
        <f t="shared" ref="B43:AE43" si="3">B35-B39</f>
        <v>1.1938238159277468</v>
      </c>
      <c r="C43" s="25">
        <f t="shared" si="3"/>
        <v>1.7648283581886002</v>
      </c>
      <c r="D43" s="25">
        <f t="shared" si="3"/>
        <v>2.1045864671721599</v>
      </c>
      <c r="E43" s="25">
        <f t="shared" si="3"/>
        <v>3.0513837699328654</v>
      </c>
      <c r="F43" s="25">
        <f t="shared" si="3"/>
        <v>3.532058526454585</v>
      </c>
      <c r="G43" s="25">
        <f t="shared" si="3"/>
        <v>3.398430896702636</v>
      </c>
      <c r="H43" s="25">
        <f t="shared" si="3"/>
        <v>2.4087081434155539</v>
      </c>
      <c r="I43" s="25">
        <f t="shared" si="3"/>
        <v>2.5579251257956237</v>
      </c>
      <c r="J43" s="25">
        <f t="shared" si="3"/>
        <v>2.1051065318565971</v>
      </c>
      <c r="K43" s="25">
        <f t="shared" si="3"/>
        <v>2.8538491235060386</v>
      </c>
      <c r="L43" s="25">
        <f t="shared" si="3"/>
        <v>4.4270977065815522</v>
      </c>
      <c r="M43" s="25">
        <f t="shared" si="3"/>
        <v>3.7103732296085497</v>
      </c>
      <c r="N43" s="25">
        <f t="shared" si="3"/>
        <v>1.2914479790887103</v>
      </c>
      <c r="O43" s="25">
        <f t="shared" si="3"/>
        <v>1.5841917805679415</v>
      </c>
      <c r="P43" s="25">
        <f t="shared" si="3"/>
        <v>1.4062275273984728</v>
      </c>
      <c r="Q43" s="25">
        <f t="shared" si="3"/>
        <v>3.9800401972327677</v>
      </c>
      <c r="R43" s="25">
        <f t="shared" si="3"/>
        <v>2.5796041547974493</v>
      </c>
      <c r="S43" s="25">
        <f t="shared" si="3"/>
        <v>1.6855972029280419</v>
      </c>
      <c r="T43" s="25">
        <f t="shared" si="3"/>
        <v>1.5621485482802129</v>
      </c>
      <c r="U43" s="25">
        <f t="shared" si="3"/>
        <v>1.8475506884573782</v>
      </c>
      <c r="V43" s="25">
        <f t="shared" si="3"/>
        <v>2.6777904248099755</v>
      </c>
      <c r="W43" s="25">
        <f t="shared" si="3"/>
        <v>2.3840747459053979</v>
      </c>
      <c r="X43" s="25">
        <f t="shared" si="3"/>
        <v>1.8640084459117752</v>
      </c>
      <c r="Y43" s="25">
        <f t="shared" si="3"/>
        <v>2.3604620385869861</v>
      </c>
      <c r="Z43" s="25">
        <f t="shared" si="3"/>
        <v>3.2231599206304544</v>
      </c>
      <c r="AA43" s="25">
        <f t="shared" si="3"/>
        <v>4.9949040782008565</v>
      </c>
      <c r="AB43" s="25">
        <f t="shared" si="3"/>
        <v>2.4386433583337492</v>
      </c>
      <c r="AC43" s="25">
        <f t="shared" si="3"/>
        <v>1.9642555129129828</v>
      </c>
      <c r="AD43" s="25">
        <f t="shared" si="3"/>
        <v>2.4310382496514968</v>
      </c>
      <c r="AE43" s="25">
        <f t="shared" si="3"/>
        <v>1.4688714265763423</v>
      </c>
      <c r="AF43" s="26"/>
    </row>
    <row r="44" spans="1:32" ht="15.75">
      <c r="A44" s="24"/>
      <c r="B44" s="25"/>
      <c r="C44" s="25"/>
      <c r="D44" s="25"/>
      <c r="E44" s="25"/>
      <c r="F44" s="25"/>
      <c r="G44" s="25"/>
      <c r="H44" s="25"/>
      <c r="I44" s="25"/>
      <c r="J44" s="25"/>
      <c r="K44" s="25"/>
      <c r="L44" s="25"/>
      <c r="M44" s="25"/>
      <c r="N44" s="25"/>
      <c r="O44" s="25"/>
      <c r="P44" s="25"/>
      <c r="Q44" s="25"/>
      <c r="R44" s="25"/>
      <c r="S44" s="25"/>
      <c r="T44" s="25"/>
      <c r="U44" s="25"/>
      <c r="V44" s="25"/>
      <c r="W44" s="25"/>
      <c r="X44" s="25"/>
      <c r="Y44" s="25"/>
      <c r="Z44" s="25"/>
      <c r="AA44" s="25"/>
      <c r="AB44" s="25"/>
      <c r="AC44" s="25"/>
      <c r="AD44" s="25"/>
      <c r="AE44" s="25"/>
      <c r="AF44" s="26"/>
    </row>
    <row r="45" spans="1:32" ht="15.75">
      <c r="A45" s="22"/>
      <c r="B45" s="30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23"/>
    </row>
    <row r="46" spans="1:32" ht="15.75">
      <c r="A46" s="31"/>
      <c r="B46" s="30"/>
      <c r="C46" s="3"/>
      <c r="D46" s="3"/>
      <c r="E46" s="3"/>
      <c r="F46" s="3"/>
      <c r="G46" s="3"/>
      <c r="H46" s="32" t="s">
        <v>3</v>
      </c>
      <c r="I46" s="30"/>
      <c r="J46" s="33"/>
      <c r="K46" s="34" t="s">
        <v>5</v>
      </c>
      <c r="L46" s="33"/>
      <c r="M46" s="33"/>
      <c r="N46" s="34" t="s">
        <v>6</v>
      </c>
      <c r="O46" s="33"/>
      <c r="P46" s="33"/>
      <c r="Q46" s="34" t="s">
        <v>7</v>
      </c>
      <c r="R46" s="30"/>
      <c r="S46" s="30"/>
      <c r="T46" s="33" t="s">
        <v>3</v>
      </c>
      <c r="U46" s="33"/>
      <c r="V46" s="33" t="s">
        <v>3</v>
      </c>
      <c r="W46" s="33"/>
      <c r="X46" s="33" t="s">
        <v>8</v>
      </c>
      <c r="Y46" s="3"/>
      <c r="Z46" s="3"/>
      <c r="AA46" s="3"/>
      <c r="AB46" s="3"/>
      <c r="AC46" s="3"/>
      <c r="AD46" s="3"/>
      <c r="AE46" s="3"/>
      <c r="AF46" s="23"/>
    </row>
    <row r="47" spans="1:32" ht="15.75">
      <c r="A47" s="31"/>
      <c r="B47" s="30"/>
      <c r="C47" s="3"/>
      <c r="D47" s="3"/>
      <c r="E47" s="3"/>
      <c r="F47" s="3"/>
      <c r="G47" s="3"/>
      <c r="H47" s="35" t="s">
        <v>9</v>
      </c>
      <c r="I47" s="30"/>
      <c r="J47" s="33"/>
      <c r="K47" s="33" t="s">
        <v>9</v>
      </c>
      <c r="L47" s="33"/>
      <c r="M47" s="33"/>
      <c r="N47" s="33" t="s">
        <v>9</v>
      </c>
      <c r="O47" s="33"/>
      <c r="P47" s="33"/>
      <c r="Q47" s="33" t="s">
        <v>9</v>
      </c>
      <c r="R47" s="30"/>
      <c r="S47" s="30"/>
      <c r="T47" s="33" t="s">
        <v>10</v>
      </c>
      <c r="U47" s="33"/>
      <c r="V47" s="33" t="s">
        <v>11</v>
      </c>
      <c r="W47" s="33"/>
      <c r="X47" s="33" t="s">
        <v>12</v>
      </c>
      <c r="Y47" s="3"/>
      <c r="Z47" s="3"/>
      <c r="AA47" s="3"/>
      <c r="AB47" s="3"/>
      <c r="AC47" s="3"/>
      <c r="AD47" s="3"/>
      <c r="AE47" s="3"/>
      <c r="AF47" s="23"/>
    </row>
    <row r="48" spans="1:32" ht="15.75">
      <c r="A48" s="31"/>
      <c r="B48" s="30"/>
      <c r="C48" s="3"/>
      <c r="D48" s="3"/>
      <c r="E48" s="3"/>
      <c r="F48" s="3"/>
      <c r="G48" s="3"/>
      <c r="H48" s="28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23"/>
    </row>
    <row r="49" spans="1:32" ht="16.5" thickBot="1">
      <c r="A49" s="36"/>
      <c r="B49" s="37"/>
      <c r="C49" s="38"/>
      <c r="D49" s="38"/>
      <c r="E49" s="38"/>
      <c r="F49" s="38"/>
      <c r="G49" s="38"/>
      <c r="H49" s="39">
        <f>AVERAGE(B31:AF31)</f>
        <v>9.9222167436383888</v>
      </c>
      <c r="I49" s="38"/>
      <c r="J49" s="40"/>
      <c r="K49" s="39">
        <f>MAX(B35:AF35)</f>
        <v>14.163398862955709</v>
      </c>
      <c r="L49" s="40"/>
      <c r="M49" s="40"/>
      <c r="N49" s="39">
        <f>MIN(B39:AF39)</f>
        <v>6.3424336118090023</v>
      </c>
      <c r="O49" s="40"/>
      <c r="P49" s="40"/>
      <c r="Q49" s="39">
        <f>K49-N49</f>
        <v>7.8209652511467072</v>
      </c>
      <c r="R49" s="38"/>
      <c r="S49" s="39"/>
      <c r="T49" s="39">
        <f>AVERAGE(B35:AF35)</f>
        <v>11.138620157805432</v>
      </c>
      <c r="U49" s="39"/>
      <c r="V49" s="39">
        <f>AVERAGE(B39:AF39)</f>
        <v>8.6435472252916483</v>
      </c>
      <c r="W49" s="39"/>
      <c r="X49" s="39">
        <f>T49-V49</f>
        <v>2.4950729325137839</v>
      </c>
      <c r="Y49" s="38"/>
      <c r="Z49" s="38"/>
      <c r="AA49" s="38"/>
      <c r="AB49" s="38"/>
      <c r="AC49" s="38"/>
      <c r="AD49" s="38"/>
      <c r="AE49" s="38"/>
      <c r="AF49" s="41"/>
    </row>
    <row r="50" spans="1:32" ht="15.75" thickTop="1">
      <c r="B50" s="42"/>
    </row>
    <row r="51" spans="1:32">
      <c r="B51" s="42"/>
    </row>
    <row r="52" spans="1:32">
      <c r="B52" s="42"/>
    </row>
    <row r="53" spans="1:32">
      <c r="B53" s="42"/>
    </row>
    <row r="54" spans="1:32">
      <c r="B54" s="42"/>
    </row>
    <row r="55" spans="1:32">
      <c r="B55" s="42"/>
    </row>
    <row r="56" spans="1:32">
      <c r="B56" s="42"/>
    </row>
    <row r="57" spans="1:32">
      <c r="B57" s="42"/>
    </row>
    <row r="58" spans="1:32">
      <c r="B58" s="42"/>
    </row>
    <row r="59" spans="1:32">
      <c r="B59" s="42"/>
    </row>
    <row r="60" spans="1:32">
      <c r="B60" s="42"/>
    </row>
    <row r="61" spans="1:32">
      <c r="B61" s="42"/>
    </row>
    <row r="62" spans="1:32">
      <c r="B62" s="42"/>
    </row>
    <row r="63" spans="1:32">
      <c r="B63" s="42"/>
    </row>
    <row r="64" spans="1:32">
      <c r="B64" s="42"/>
    </row>
    <row r="65" spans="2:2">
      <c r="B65" s="42"/>
    </row>
    <row r="66" spans="2:2">
      <c r="B66" s="42"/>
    </row>
    <row r="67" spans="2:2">
      <c r="B67" s="42"/>
    </row>
    <row r="68" spans="2:2">
      <c r="B68" s="42"/>
    </row>
    <row r="69" spans="2:2">
      <c r="B69" s="42"/>
    </row>
    <row r="70" spans="2:2">
      <c r="B70" s="42"/>
    </row>
    <row r="71" spans="2:2">
      <c r="B71" s="42"/>
    </row>
    <row r="72" spans="2:2">
      <c r="B72" s="42"/>
    </row>
    <row r="73" spans="2:2">
      <c r="B73" s="42"/>
    </row>
    <row r="74" spans="2:2">
      <c r="B74" s="42"/>
    </row>
    <row r="75" spans="2:2">
      <c r="B75" s="42"/>
    </row>
    <row r="76" spans="2:2">
      <c r="B76" s="42"/>
    </row>
    <row r="77" spans="2:2">
      <c r="B77" s="42"/>
    </row>
    <row r="78" spans="2:2">
      <c r="B78" s="42"/>
    </row>
    <row r="79" spans="2:2">
      <c r="B79" s="42"/>
    </row>
    <row r="80" spans="2:2">
      <c r="B80" s="42"/>
    </row>
    <row r="81" spans="2:2">
      <c r="B81" s="42"/>
    </row>
    <row r="82" spans="2:2">
      <c r="B82" s="42"/>
    </row>
    <row r="83" spans="2:2">
      <c r="B83" s="42"/>
    </row>
    <row r="84" spans="2:2">
      <c r="B84" s="42"/>
    </row>
    <row r="85" spans="2:2">
      <c r="B85" s="42"/>
    </row>
    <row r="86" spans="2:2">
      <c r="B86" s="42"/>
    </row>
    <row r="87" spans="2:2">
      <c r="B87" s="42"/>
    </row>
    <row r="88" spans="2:2">
      <c r="B88" s="42"/>
    </row>
    <row r="89" spans="2:2">
      <c r="B89" s="42"/>
    </row>
    <row r="90" spans="2:2">
      <c r="B90" s="42"/>
    </row>
    <row r="91" spans="2:2">
      <c r="B91" s="42"/>
    </row>
    <row r="92" spans="2:2">
      <c r="B92" s="42"/>
    </row>
    <row r="93" spans="2:2">
      <c r="B93" s="42"/>
    </row>
    <row r="94" spans="2:2">
      <c r="B94" s="42"/>
    </row>
    <row r="95" spans="2:2">
      <c r="B95" s="42"/>
    </row>
    <row r="96" spans="2:2">
      <c r="B96" s="42"/>
    </row>
    <row r="97" spans="2:2">
      <c r="B97" s="42"/>
    </row>
    <row r="98" spans="2:2">
      <c r="B98" s="42"/>
    </row>
    <row r="99" spans="2:2">
      <c r="B99" s="42"/>
    </row>
    <row r="100" spans="2:2">
      <c r="B100" s="42"/>
    </row>
    <row r="101" spans="2:2">
      <c r="B101" s="42"/>
    </row>
    <row r="102" spans="2:2">
      <c r="B102" s="42"/>
    </row>
    <row r="103" spans="2:2">
      <c r="B103" s="42"/>
    </row>
    <row r="104" spans="2:2">
      <c r="B104" s="42"/>
    </row>
    <row r="105" spans="2:2">
      <c r="B105" s="42"/>
    </row>
    <row r="106" spans="2:2">
      <c r="B106" s="42"/>
    </row>
    <row r="107" spans="2:2">
      <c r="B107" s="42"/>
    </row>
    <row r="108" spans="2:2">
      <c r="B108" s="42"/>
    </row>
    <row r="109" spans="2:2">
      <c r="B109" s="42"/>
    </row>
    <row r="110" spans="2:2">
      <c r="B110" s="42"/>
    </row>
    <row r="111" spans="2:2">
      <c r="B111" s="42"/>
    </row>
    <row r="112" spans="2:2">
      <c r="B112" s="42"/>
    </row>
    <row r="113" spans="2:2">
      <c r="B113" s="42"/>
    </row>
    <row r="114" spans="2:2">
      <c r="B114" s="42"/>
    </row>
    <row r="115" spans="2:2">
      <c r="B115" s="42"/>
    </row>
    <row r="116" spans="2:2">
      <c r="B116" s="42"/>
    </row>
    <row r="117" spans="2:2">
      <c r="B117" s="42"/>
    </row>
    <row r="118" spans="2:2">
      <c r="B118" s="42"/>
    </row>
    <row r="119" spans="2:2">
      <c r="B119" s="42"/>
    </row>
    <row r="120" spans="2:2">
      <c r="B120" s="42"/>
    </row>
    <row r="121" spans="2:2">
      <c r="B121" s="42"/>
    </row>
    <row r="122" spans="2:2">
      <c r="B122" s="42"/>
    </row>
    <row r="123" spans="2:2">
      <c r="B123" s="42"/>
    </row>
    <row r="124" spans="2:2">
      <c r="B124" s="42"/>
    </row>
    <row r="125" spans="2:2">
      <c r="B125" s="42"/>
    </row>
    <row r="126" spans="2:2">
      <c r="B126" s="42"/>
    </row>
    <row r="127" spans="2:2">
      <c r="B127" s="42"/>
    </row>
    <row r="128" spans="2:2">
      <c r="B128" s="42"/>
    </row>
    <row r="129" spans="2:2">
      <c r="B129" s="42"/>
    </row>
    <row r="130" spans="2:2">
      <c r="B130" s="42"/>
    </row>
    <row r="131" spans="2:2">
      <c r="B131" s="42"/>
    </row>
    <row r="132" spans="2:2">
      <c r="B132" s="42"/>
    </row>
    <row r="133" spans="2:2">
      <c r="B133" s="42"/>
    </row>
    <row r="134" spans="2:2">
      <c r="B134" s="42"/>
    </row>
    <row r="135" spans="2:2">
      <c r="B135" s="42"/>
    </row>
    <row r="136" spans="2:2">
      <c r="B136" s="42"/>
    </row>
    <row r="137" spans="2:2">
      <c r="B137" s="42"/>
    </row>
    <row r="138" spans="2:2">
      <c r="B138" s="42"/>
    </row>
    <row r="139" spans="2:2">
      <c r="B139" s="42"/>
    </row>
    <row r="140" spans="2:2">
      <c r="B140" s="42"/>
    </row>
    <row r="141" spans="2:2">
      <c r="B141" s="42"/>
    </row>
    <row r="142" spans="2:2">
      <c r="B142" s="42"/>
    </row>
    <row r="143" spans="2:2">
      <c r="B143" s="42"/>
    </row>
    <row r="144" spans="2:2">
      <c r="B144" s="42"/>
    </row>
    <row r="145" spans="2:2">
      <c r="B145" s="42"/>
    </row>
    <row r="146" spans="2:2">
      <c r="B146" s="42"/>
    </row>
    <row r="147" spans="2:2">
      <c r="B147" s="42"/>
    </row>
    <row r="148" spans="2:2">
      <c r="B148" s="42"/>
    </row>
    <row r="149" spans="2:2">
      <c r="B149" s="42"/>
    </row>
    <row r="150" spans="2:2">
      <c r="B150" s="42"/>
    </row>
    <row r="151" spans="2:2">
      <c r="B151" s="42"/>
    </row>
    <row r="152" spans="2:2">
      <c r="B152" s="42"/>
    </row>
    <row r="153" spans="2:2">
      <c r="B153" s="42"/>
    </row>
    <row r="154" spans="2:2">
      <c r="B154" s="42"/>
    </row>
    <row r="155" spans="2:2">
      <c r="B155" s="42"/>
    </row>
    <row r="156" spans="2:2">
      <c r="B156" s="42"/>
    </row>
    <row r="157" spans="2:2">
      <c r="B157" s="42"/>
    </row>
    <row r="158" spans="2:2">
      <c r="B158" s="42"/>
    </row>
    <row r="159" spans="2:2">
      <c r="B159" s="42"/>
    </row>
    <row r="160" spans="2:2">
      <c r="B160" s="42"/>
    </row>
    <row r="161" spans="2:2">
      <c r="B161" s="42"/>
    </row>
    <row r="162" spans="2:2">
      <c r="B162" s="42"/>
    </row>
    <row r="163" spans="2:2">
      <c r="B163" s="42"/>
    </row>
    <row r="164" spans="2:2">
      <c r="B164" s="42"/>
    </row>
    <row r="165" spans="2:2">
      <c r="B165" s="42"/>
    </row>
    <row r="166" spans="2:2">
      <c r="B166" s="42"/>
    </row>
    <row r="167" spans="2:2">
      <c r="B167" s="42"/>
    </row>
    <row r="168" spans="2:2">
      <c r="B168" s="42"/>
    </row>
    <row r="169" spans="2:2">
      <c r="B169" s="42"/>
    </row>
    <row r="170" spans="2:2">
      <c r="B170" s="42"/>
    </row>
    <row r="171" spans="2:2">
      <c r="B171" s="42"/>
    </row>
    <row r="172" spans="2:2">
      <c r="B172" s="42"/>
    </row>
    <row r="173" spans="2:2">
      <c r="B173" s="42"/>
    </row>
    <row r="174" spans="2:2">
      <c r="B174" s="42"/>
    </row>
    <row r="175" spans="2:2">
      <c r="B175" s="42"/>
    </row>
    <row r="176" spans="2:2">
      <c r="B176" s="42"/>
    </row>
    <row r="177" spans="2:2">
      <c r="B177" s="42"/>
    </row>
    <row r="178" spans="2:2">
      <c r="B178" s="42"/>
    </row>
    <row r="179" spans="2:2">
      <c r="B179" s="42"/>
    </row>
    <row r="180" spans="2:2">
      <c r="B180" s="42"/>
    </row>
    <row r="181" spans="2:2">
      <c r="B181" s="42"/>
    </row>
    <row r="182" spans="2:2">
      <c r="B182" s="42"/>
    </row>
    <row r="183" spans="2:2">
      <c r="B183" s="42"/>
    </row>
    <row r="184" spans="2:2">
      <c r="B184" s="42"/>
    </row>
    <row r="185" spans="2:2">
      <c r="B185" s="42"/>
    </row>
    <row r="186" spans="2:2">
      <c r="B186" s="42"/>
    </row>
    <row r="187" spans="2:2">
      <c r="B187" s="42"/>
    </row>
    <row r="188" spans="2:2">
      <c r="B188" s="42"/>
    </row>
    <row r="189" spans="2:2">
      <c r="B189" s="42"/>
    </row>
    <row r="190" spans="2:2">
      <c r="B190" s="42"/>
    </row>
    <row r="191" spans="2:2">
      <c r="B191" s="42"/>
    </row>
    <row r="192" spans="2:2">
      <c r="B192" s="42"/>
    </row>
    <row r="193" spans="2:2">
      <c r="B193" s="42"/>
    </row>
    <row r="194" spans="2:2">
      <c r="B194" s="42"/>
    </row>
    <row r="195" spans="2:2">
      <c r="B195" s="42"/>
    </row>
    <row r="196" spans="2:2">
      <c r="B196" s="42"/>
    </row>
    <row r="197" spans="2:2">
      <c r="B197" s="42"/>
    </row>
    <row r="198" spans="2:2">
      <c r="B198" s="42"/>
    </row>
    <row r="199" spans="2:2">
      <c r="B199" s="42"/>
    </row>
    <row r="200" spans="2:2">
      <c r="B200" s="42"/>
    </row>
    <row r="201" spans="2:2">
      <c r="B201" s="42"/>
    </row>
    <row r="202" spans="2:2">
      <c r="B202" s="42"/>
    </row>
    <row r="203" spans="2:2">
      <c r="B203" s="42"/>
    </row>
    <row r="204" spans="2:2">
      <c r="B204" s="42"/>
    </row>
    <row r="205" spans="2:2">
      <c r="B205" s="42"/>
    </row>
    <row r="206" spans="2:2">
      <c r="B206" s="42"/>
    </row>
    <row r="207" spans="2:2">
      <c r="B207" s="42"/>
    </row>
    <row r="208" spans="2:2">
      <c r="B208" s="42"/>
    </row>
    <row r="209" spans="2:2">
      <c r="B209" s="42"/>
    </row>
    <row r="210" spans="2:2">
      <c r="B210" s="42"/>
    </row>
    <row r="211" spans="2:2">
      <c r="B211" s="42"/>
    </row>
    <row r="212" spans="2:2">
      <c r="B212" s="42"/>
    </row>
    <row r="213" spans="2:2">
      <c r="B213" s="42"/>
    </row>
    <row r="214" spans="2:2">
      <c r="B214" s="42"/>
    </row>
    <row r="215" spans="2:2">
      <c r="B215" s="42"/>
    </row>
    <row r="216" spans="2:2">
      <c r="B216" s="42"/>
    </row>
    <row r="217" spans="2:2">
      <c r="B217" s="42"/>
    </row>
    <row r="218" spans="2:2">
      <c r="B218" s="42"/>
    </row>
    <row r="219" spans="2:2">
      <c r="B219" s="42"/>
    </row>
    <row r="220" spans="2:2">
      <c r="B220" s="42"/>
    </row>
    <row r="221" spans="2:2">
      <c r="B221" s="42"/>
    </row>
    <row r="222" spans="2:2">
      <c r="B222" s="42"/>
    </row>
    <row r="223" spans="2:2">
      <c r="B223" s="42"/>
    </row>
    <row r="224" spans="2:2">
      <c r="B224" s="42"/>
    </row>
    <row r="225" spans="2:2">
      <c r="B225" s="42"/>
    </row>
    <row r="226" spans="2:2">
      <c r="B226" s="42"/>
    </row>
    <row r="227" spans="2:2">
      <c r="B227" s="42"/>
    </row>
    <row r="228" spans="2:2">
      <c r="B228" s="42"/>
    </row>
    <row r="229" spans="2:2">
      <c r="B229" s="42"/>
    </row>
    <row r="230" spans="2:2">
      <c r="B230" s="42"/>
    </row>
    <row r="231" spans="2:2">
      <c r="B231" s="42"/>
    </row>
    <row r="232" spans="2:2">
      <c r="B232" s="42"/>
    </row>
    <row r="233" spans="2:2">
      <c r="B233" s="42"/>
    </row>
    <row r="234" spans="2:2">
      <c r="B234" s="42"/>
    </row>
    <row r="235" spans="2:2">
      <c r="B235" s="42"/>
    </row>
    <row r="236" spans="2:2">
      <c r="B236" s="42"/>
    </row>
    <row r="237" spans="2:2">
      <c r="B237" s="42"/>
    </row>
    <row r="238" spans="2:2">
      <c r="B238" s="42"/>
    </row>
    <row r="239" spans="2:2">
      <c r="B239" s="42"/>
    </row>
    <row r="240" spans="2:2">
      <c r="B240" s="42"/>
    </row>
    <row r="241" spans="2:2">
      <c r="B241" s="42"/>
    </row>
    <row r="242" spans="2:2">
      <c r="B242" s="42"/>
    </row>
    <row r="243" spans="2:2">
      <c r="B243" s="42"/>
    </row>
    <row r="244" spans="2:2">
      <c r="B244" s="42"/>
    </row>
    <row r="245" spans="2:2">
      <c r="B245" s="42"/>
    </row>
    <row r="246" spans="2:2">
      <c r="B246" s="42"/>
    </row>
    <row r="247" spans="2:2">
      <c r="B247" s="42"/>
    </row>
    <row r="248" spans="2:2">
      <c r="B248" s="42"/>
    </row>
    <row r="249" spans="2:2">
      <c r="B249" s="42"/>
    </row>
    <row r="250" spans="2:2">
      <c r="B250" s="42"/>
    </row>
    <row r="251" spans="2:2">
      <c r="B251" s="42"/>
    </row>
    <row r="252" spans="2:2">
      <c r="B252" s="42"/>
    </row>
    <row r="253" spans="2:2">
      <c r="B253" s="42"/>
    </row>
    <row r="254" spans="2:2">
      <c r="B254" s="42"/>
    </row>
    <row r="255" spans="2:2">
      <c r="B255" s="42"/>
    </row>
    <row r="256" spans="2:2">
      <c r="B256" s="42"/>
    </row>
    <row r="257" spans="2:2">
      <c r="B257" s="42"/>
    </row>
    <row r="258" spans="2:2">
      <c r="B258" s="42"/>
    </row>
    <row r="259" spans="2:2">
      <c r="B259" s="42"/>
    </row>
    <row r="260" spans="2:2">
      <c r="B260" s="42"/>
    </row>
    <row r="261" spans="2:2">
      <c r="B261" s="42"/>
    </row>
    <row r="262" spans="2:2">
      <c r="B262" s="42"/>
    </row>
    <row r="263" spans="2:2">
      <c r="B263" s="42"/>
    </row>
    <row r="264" spans="2:2">
      <c r="B264" s="42"/>
    </row>
    <row r="265" spans="2:2">
      <c r="B265" s="42"/>
    </row>
    <row r="266" spans="2:2">
      <c r="B266" s="42"/>
    </row>
    <row r="267" spans="2:2">
      <c r="B267" s="42"/>
    </row>
    <row r="268" spans="2:2">
      <c r="B268" s="42"/>
    </row>
    <row r="269" spans="2:2">
      <c r="B269" s="42"/>
    </row>
    <row r="270" spans="2:2">
      <c r="B270" s="42"/>
    </row>
    <row r="271" spans="2:2">
      <c r="B271" s="42"/>
    </row>
    <row r="272" spans="2:2">
      <c r="B272" s="42"/>
    </row>
    <row r="273" spans="2:2">
      <c r="B273" s="42"/>
    </row>
    <row r="274" spans="2:2">
      <c r="B274" s="42"/>
    </row>
    <row r="275" spans="2:2">
      <c r="B275" s="42"/>
    </row>
    <row r="276" spans="2:2">
      <c r="B276" s="42"/>
    </row>
    <row r="277" spans="2:2">
      <c r="B277" s="42"/>
    </row>
    <row r="278" spans="2:2">
      <c r="B278" s="42"/>
    </row>
    <row r="279" spans="2:2">
      <c r="B279" s="42"/>
    </row>
    <row r="280" spans="2:2">
      <c r="B280" s="42"/>
    </row>
    <row r="281" spans="2:2">
      <c r="B281" s="42"/>
    </row>
    <row r="282" spans="2:2">
      <c r="B282" s="42"/>
    </row>
    <row r="283" spans="2:2">
      <c r="B283" s="42"/>
    </row>
    <row r="284" spans="2:2">
      <c r="B284" s="42"/>
    </row>
    <row r="285" spans="2:2">
      <c r="B285" s="42"/>
    </row>
    <row r="286" spans="2:2">
      <c r="B286" s="42"/>
    </row>
    <row r="287" spans="2:2">
      <c r="B287" s="42"/>
    </row>
    <row r="288" spans="2:2">
      <c r="B288" s="42"/>
    </row>
    <row r="289" spans="2:2">
      <c r="B289" s="42"/>
    </row>
    <row r="290" spans="2:2">
      <c r="B290" s="42"/>
    </row>
    <row r="291" spans="2:2">
      <c r="B291" s="42"/>
    </row>
    <row r="292" spans="2:2">
      <c r="B292" s="42"/>
    </row>
    <row r="293" spans="2:2">
      <c r="B293" s="42"/>
    </row>
    <row r="294" spans="2:2">
      <c r="B294" s="42"/>
    </row>
    <row r="295" spans="2:2">
      <c r="B295" s="42"/>
    </row>
    <row r="296" spans="2:2">
      <c r="B296" s="42"/>
    </row>
    <row r="297" spans="2:2">
      <c r="B297" s="42"/>
    </row>
    <row r="298" spans="2:2">
      <c r="B298" s="42"/>
    </row>
    <row r="299" spans="2:2">
      <c r="B299" s="42"/>
    </row>
    <row r="300" spans="2:2">
      <c r="B300" s="42"/>
    </row>
    <row r="301" spans="2:2">
      <c r="B301" s="42"/>
    </row>
    <row r="302" spans="2:2">
      <c r="B302" s="42"/>
    </row>
    <row r="303" spans="2:2">
      <c r="B303" s="42"/>
    </row>
    <row r="304" spans="2:2">
      <c r="B304" s="42"/>
    </row>
    <row r="305" spans="2:2">
      <c r="B305" s="42"/>
    </row>
    <row r="306" spans="2:2">
      <c r="B306" s="42"/>
    </row>
    <row r="307" spans="2:2">
      <c r="B307" s="42"/>
    </row>
    <row r="308" spans="2:2">
      <c r="B308" s="42"/>
    </row>
    <row r="309" spans="2:2">
      <c r="B309" s="42"/>
    </row>
    <row r="310" spans="2:2">
      <c r="B310" s="42"/>
    </row>
    <row r="311" spans="2:2">
      <c r="B311" s="42"/>
    </row>
    <row r="312" spans="2:2">
      <c r="B312" s="42"/>
    </row>
    <row r="313" spans="2:2">
      <c r="B313" s="42"/>
    </row>
    <row r="314" spans="2:2">
      <c r="B314" s="42"/>
    </row>
    <row r="315" spans="2:2">
      <c r="B315" s="42"/>
    </row>
    <row r="316" spans="2:2">
      <c r="B316" s="42"/>
    </row>
    <row r="317" spans="2:2">
      <c r="B317" s="42"/>
    </row>
    <row r="318" spans="2:2">
      <c r="B318" s="42"/>
    </row>
    <row r="319" spans="2:2">
      <c r="B319" s="42"/>
    </row>
    <row r="320" spans="2:2">
      <c r="B320" s="42"/>
    </row>
    <row r="321" spans="2:2">
      <c r="B321" s="42"/>
    </row>
    <row r="322" spans="2:2">
      <c r="B322" s="42"/>
    </row>
    <row r="323" spans="2:2">
      <c r="B323" s="42"/>
    </row>
    <row r="324" spans="2:2">
      <c r="B324" s="42"/>
    </row>
    <row r="325" spans="2:2">
      <c r="B325" s="42"/>
    </row>
    <row r="326" spans="2:2">
      <c r="B326" s="42"/>
    </row>
    <row r="327" spans="2:2">
      <c r="B327" s="42"/>
    </row>
    <row r="328" spans="2:2">
      <c r="B328" s="42"/>
    </row>
    <row r="329" spans="2:2">
      <c r="B329" s="42"/>
    </row>
    <row r="330" spans="2:2">
      <c r="B330" s="42"/>
    </row>
    <row r="331" spans="2:2">
      <c r="B331" s="42"/>
    </row>
    <row r="332" spans="2:2">
      <c r="B332" s="42"/>
    </row>
    <row r="333" spans="2:2">
      <c r="B333" s="42"/>
    </row>
    <row r="334" spans="2:2">
      <c r="B334" s="42"/>
    </row>
    <row r="335" spans="2:2">
      <c r="B335" s="42"/>
    </row>
    <row r="336" spans="2:2">
      <c r="B336" s="42"/>
    </row>
    <row r="337" spans="2:2">
      <c r="B337" s="42"/>
    </row>
    <row r="338" spans="2:2">
      <c r="B338" s="42"/>
    </row>
    <row r="339" spans="2:2">
      <c r="B339" s="42"/>
    </row>
    <row r="340" spans="2:2">
      <c r="B340" s="42"/>
    </row>
    <row r="341" spans="2:2">
      <c r="B341" s="42"/>
    </row>
    <row r="342" spans="2:2">
      <c r="B342" s="42"/>
    </row>
    <row r="343" spans="2:2">
      <c r="B343" s="42"/>
    </row>
    <row r="344" spans="2:2">
      <c r="B344" s="42"/>
    </row>
    <row r="345" spans="2:2">
      <c r="B345" s="42"/>
    </row>
    <row r="346" spans="2:2">
      <c r="B346" s="42"/>
    </row>
    <row r="347" spans="2:2">
      <c r="B347" s="42"/>
    </row>
    <row r="348" spans="2:2">
      <c r="B348" s="42"/>
    </row>
    <row r="349" spans="2:2">
      <c r="B349" s="42"/>
    </row>
    <row r="350" spans="2:2">
      <c r="B350" s="42"/>
    </row>
    <row r="351" spans="2:2">
      <c r="B351" s="42"/>
    </row>
    <row r="352" spans="2:2">
      <c r="B352" s="42"/>
    </row>
    <row r="353" spans="2:2">
      <c r="B353" s="42"/>
    </row>
    <row r="354" spans="2:2">
      <c r="B354" s="42"/>
    </row>
    <row r="355" spans="2:2">
      <c r="B355" s="42"/>
    </row>
    <row r="356" spans="2:2">
      <c r="B356" s="42"/>
    </row>
    <row r="357" spans="2:2">
      <c r="B357" s="42"/>
    </row>
    <row r="358" spans="2:2">
      <c r="B358" s="42"/>
    </row>
    <row r="359" spans="2:2">
      <c r="B359" s="42"/>
    </row>
    <row r="360" spans="2:2">
      <c r="B360" s="42"/>
    </row>
    <row r="361" spans="2:2">
      <c r="B361" s="42"/>
    </row>
    <row r="362" spans="2:2">
      <c r="B362" s="42"/>
    </row>
    <row r="363" spans="2:2">
      <c r="B363" s="42"/>
    </row>
    <row r="364" spans="2:2">
      <c r="B364" s="42"/>
    </row>
    <row r="365" spans="2:2">
      <c r="B365" s="42"/>
    </row>
    <row r="366" spans="2:2">
      <c r="B366" s="42"/>
    </row>
    <row r="367" spans="2:2">
      <c r="B367" s="42"/>
    </row>
    <row r="368" spans="2:2">
      <c r="B368" s="42"/>
    </row>
    <row r="369" spans="2:2">
      <c r="B369" s="42"/>
    </row>
    <row r="370" spans="2:2">
      <c r="B370" s="42"/>
    </row>
    <row r="371" spans="2:2">
      <c r="B371" s="42"/>
    </row>
    <row r="372" spans="2:2">
      <c r="B372" s="42"/>
    </row>
    <row r="373" spans="2:2">
      <c r="B373" s="42"/>
    </row>
    <row r="374" spans="2:2">
      <c r="B374" s="42"/>
    </row>
    <row r="375" spans="2:2">
      <c r="B375" s="42"/>
    </row>
    <row r="376" spans="2:2">
      <c r="B376" s="42"/>
    </row>
    <row r="377" spans="2:2">
      <c r="B377" s="42"/>
    </row>
    <row r="378" spans="2:2">
      <c r="B378" s="42"/>
    </row>
    <row r="379" spans="2:2">
      <c r="B379" s="42"/>
    </row>
    <row r="380" spans="2:2">
      <c r="B380" s="42"/>
    </row>
    <row r="381" spans="2:2">
      <c r="B381" s="42"/>
    </row>
    <row r="382" spans="2:2">
      <c r="B382" s="42"/>
    </row>
    <row r="383" spans="2:2">
      <c r="B383" s="42"/>
    </row>
    <row r="384" spans="2:2">
      <c r="B384" s="42"/>
    </row>
    <row r="385" spans="2:2">
      <c r="B385" s="42"/>
    </row>
    <row r="386" spans="2:2">
      <c r="B386" s="42"/>
    </row>
    <row r="387" spans="2:2">
      <c r="B387" s="42"/>
    </row>
    <row r="388" spans="2:2">
      <c r="B388" s="42"/>
    </row>
    <row r="389" spans="2:2">
      <c r="B389" s="42"/>
    </row>
    <row r="390" spans="2:2">
      <c r="B390" s="42"/>
    </row>
    <row r="391" spans="2:2">
      <c r="B391" s="42"/>
    </row>
    <row r="392" spans="2:2">
      <c r="B392" s="42"/>
    </row>
    <row r="393" spans="2:2">
      <c r="B393" s="42"/>
    </row>
    <row r="394" spans="2:2">
      <c r="B394" s="42"/>
    </row>
    <row r="395" spans="2:2">
      <c r="B395" s="42"/>
    </row>
    <row r="396" spans="2:2">
      <c r="B396" s="42"/>
    </row>
    <row r="397" spans="2:2">
      <c r="B397" s="42"/>
    </row>
    <row r="398" spans="2:2">
      <c r="B398" s="42"/>
    </row>
    <row r="399" spans="2:2">
      <c r="B399" s="42"/>
    </row>
    <row r="400" spans="2:2">
      <c r="B400" s="42"/>
    </row>
    <row r="401" spans="2:2">
      <c r="B401" s="42"/>
    </row>
    <row r="402" spans="2:2">
      <c r="B402" s="42"/>
    </row>
    <row r="403" spans="2:2">
      <c r="B403" s="42"/>
    </row>
    <row r="404" spans="2:2">
      <c r="B404" s="42"/>
    </row>
    <row r="405" spans="2:2">
      <c r="B405" s="42"/>
    </row>
    <row r="406" spans="2:2">
      <c r="B406" s="42"/>
    </row>
    <row r="407" spans="2:2">
      <c r="B407" s="42"/>
    </row>
    <row r="408" spans="2:2">
      <c r="B408" s="42"/>
    </row>
    <row r="409" spans="2:2">
      <c r="B409" s="42"/>
    </row>
    <row r="410" spans="2:2">
      <c r="B410" s="42"/>
    </row>
    <row r="411" spans="2:2">
      <c r="B411" s="42"/>
    </row>
    <row r="412" spans="2:2">
      <c r="B412" s="42"/>
    </row>
    <row r="413" spans="2:2">
      <c r="B413" s="42"/>
    </row>
    <row r="414" spans="2:2">
      <c r="B414" s="42"/>
    </row>
    <row r="415" spans="2:2">
      <c r="B415" s="42"/>
    </row>
    <row r="416" spans="2:2">
      <c r="B416" s="42"/>
    </row>
    <row r="417" spans="2:2">
      <c r="B417" s="42"/>
    </row>
    <row r="418" spans="2:2">
      <c r="B418" s="42"/>
    </row>
    <row r="419" spans="2:2">
      <c r="B419" s="42"/>
    </row>
    <row r="420" spans="2:2">
      <c r="B420" s="42"/>
    </row>
    <row r="421" spans="2:2">
      <c r="B421" s="42"/>
    </row>
    <row r="422" spans="2:2">
      <c r="B422" s="42"/>
    </row>
    <row r="423" spans="2:2">
      <c r="B423" s="42"/>
    </row>
    <row r="424" spans="2:2">
      <c r="B424" s="42"/>
    </row>
    <row r="425" spans="2:2">
      <c r="B425" s="42"/>
    </row>
    <row r="426" spans="2:2">
      <c r="B426" s="42"/>
    </row>
    <row r="427" spans="2:2">
      <c r="B427" s="42"/>
    </row>
    <row r="428" spans="2:2">
      <c r="B428" s="42"/>
    </row>
    <row r="429" spans="2:2">
      <c r="B429" s="42"/>
    </row>
    <row r="430" spans="2:2">
      <c r="B430" s="42"/>
    </row>
    <row r="431" spans="2:2">
      <c r="B431" s="42"/>
    </row>
    <row r="432" spans="2:2">
      <c r="B432" s="42"/>
    </row>
    <row r="433" spans="2:2">
      <c r="B433" s="42"/>
    </row>
    <row r="434" spans="2:2">
      <c r="B434" s="42"/>
    </row>
    <row r="435" spans="2:2">
      <c r="B435" s="42"/>
    </row>
    <row r="436" spans="2:2">
      <c r="B436" s="42"/>
    </row>
    <row r="437" spans="2:2">
      <c r="B437" s="42"/>
    </row>
    <row r="438" spans="2:2">
      <c r="B438" s="42"/>
    </row>
    <row r="439" spans="2:2">
      <c r="B439" s="42"/>
    </row>
    <row r="440" spans="2:2">
      <c r="B440" s="42"/>
    </row>
    <row r="441" spans="2:2">
      <c r="B441" s="42"/>
    </row>
    <row r="442" spans="2:2">
      <c r="B442" s="42"/>
    </row>
    <row r="443" spans="2:2">
      <c r="B443" s="42"/>
    </row>
    <row r="444" spans="2:2">
      <c r="B444" s="42"/>
    </row>
    <row r="445" spans="2:2">
      <c r="B445" s="42"/>
    </row>
    <row r="446" spans="2:2">
      <c r="B446" s="42"/>
    </row>
    <row r="447" spans="2:2">
      <c r="B447" s="42"/>
    </row>
    <row r="448" spans="2:2">
      <c r="B448" s="42"/>
    </row>
    <row r="449" spans="2:2">
      <c r="B449" s="42"/>
    </row>
    <row r="450" spans="2:2">
      <c r="B450" s="42"/>
    </row>
    <row r="451" spans="2:2">
      <c r="B451" s="42"/>
    </row>
    <row r="452" spans="2:2">
      <c r="B452" s="42"/>
    </row>
    <row r="453" spans="2:2">
      <c r="B453" s="42"/>
    </row>
    <row r="454" spans="2:2">
      <c r="B454" s="42"/>
    </row>
    <row r="455" spans="2:2">
      <c r="B455" s="42"/>
    </row>
    <row r="456" spans="2:2">
      <c r="B456" s="42"/>
    </row>
    <row r="457" spans="2:2">
      <c r="B457" s="42"/>
    </row>
    <row r="458" spans="2:2">
      <c r="B458" s="42"/>
    </row>
    <row r="459" spans="2:2">
      <c r="B459" s="42"/>
    </row>
    <row r="460" spans="2:2">
      <c r="B460" s="42"/>
    </row>
    <row r="461" spans="2:2">
      <c r="B461" s="42"/>
    </row>
    <row r="462" spans="2:2">
      <c r="B462" s="42"/>
    </row>
    <row r="463" spans="2:2">
      <c r="B463" s="42"/>
    </row>
    <row r="464" spans="2:2">
      <c r="B464" s="42"/>
    </row>
    <row r="465" spans="2:2">
      <c r="B465" s="42"/>
    </row>
    <row r="466" spans="2:2">
      <c r="B466" s="42"/>
    </row>
    <row r="467" spans="2:2">
      <c r="B467" s="42"/>
    </row>
    <row r="468" spans="2:2">
      <c r="B468" s="42"/>
    </row>
    <row r="469" spans="2:2">
      <c r="B469" s="42"/>
    </row>
    <row r="470" spans="2:2">
      <c r="B470" s="42"/>
    </row>
    <row r="471" spans="2:2">
      <c r="B471" s="42"/>
    </row>
    <row r="472" spans="2:2">
      <c r="B472" s="42"/>
    </row>
    <row r="473" spans="2:2">
      <c r="B473" s="42"/>
    </row>
    <row r="474" spans="2:2">
      <c r="B474" s="42"/>
    </row>
    <row r="475" spans="2:2">
      <c r="B475" s="42"/>
    </row>
    <row r="476" spans="2:2">
      <c r="B476" s="42"/>
    </row>
    <row r="477" spans="2:2">
      <c r="B477" s="42"/>
    </row>
    <row r="478" spans="2:2">
      <c r="B478" s="42"/>
    </row>
    <row r="479" spans="2:2">
      <c r="B479" s="42"/>
    </row>
    <row r="480" spans="2:2">
      <c r="B480" s="42"/>
    </row>
    <row r="481" spans="2:2">
      <c r="B481" s="42"/>
    </row>
    <row r="482" spans="2:2">
      <c r="B482" s="42"/>
    </row>
    <row r="483" spans="2:2">
      <c r="B483" s="42"/>
    </row>
    <row r="484" spans="2:2">
      <c r="B484" s="42"/>
    </row>
    <row r="485" spans="2:2">
      <c r="B485" s="42"/>
    </row>
    <row r="486" spans="2:2">
      <c r="B486" s="42"/>
    </row>
    <row r="487" spans="2:2">
      <c r="B487" s="42"/>
    </row>
    <row r="488" spans="2:2">
      <c r="B488" s="42"/>
    </row>
    <row r="489" spans="2:2">
      <c r="B489" s="42"/>
    </row>
    <row r="490" spans="2:2">
      <c r="B490" s="42"/>
    </row>
    <row r="491" spans="2:2">
      <c r="B491" s="42"/>
    </row>
    <row r="492" spans="2:2">
      <c r="B492" s="42"/>
    </row>
    <row r="493" spans="2:2">
      <c r="B493" s="42"/>
    </row>
    <row r="494" spans="2:2">
      <c r="B494" s="42"/>
    </row>
    <row r="495" spans="2:2">
      <c r="B495" s="42"/>
    </row>
    <row r="496" spans="2:2">
      <c r="B496" s="42"/>
    </row>
    <row r="497" spans="2:2">
      <c r="B497" s="42"/>
    </row>
  </sheetData>
  <pageMargins left="0.511811024" right="0.511811024" top="0.78740157499999996" bottom="0.78740157499999996" header="0.31496062000000002" footer="0.31496062000000002"/>
</worksheet>
</file>

<file path=xl/worksheets/sheet7.xml><?xml version="1.0" encoding="utf-8"?>
<worksheet xmlns="http://schemas.openxmlformats.org/spreadsheetml/2006/main" xmlns:r="http://schemas.openxmlformats.org/officeDocument/2006/relationships">
  <dimension ref="A1:AF497"/>
  <sheetViews>
    <sheetView zoomScale="70" zoomScaleNormal="70" workbookViewId="0">
      <selection activeCell="B4" sqref="B4:AF9"/>
    </sheetView>
  </sheetViews>
  <sheetFormatPr defaultColWidth="5.7109375" defaultRowHeight="15"/>
  <cols>
    <col min="1" max="1" width="11.5703125" customWidth="1"/>
    <col min="2" max="32" width="7.7109375" style="43" customWidth="1"/>
    <col min="33" max="33" width="12.7109375" customWidth="1"/>
    <col min="257" max="257" width="11.5703125" customWidth="1"/>
    <col min="258" max="288" width="7.7109375" customWidth="1"/>
    <col min="289" max="289" width="12.7109375" customWidth="1"/>
    <col min="513" max="513" width="11.5703125" customWidth="1"/>
    <col min="514" max="544" width="7.7109375" customWidth="1"/>
    <col min="545" max="545" width="12.7109375" customWidth="1"/>
    <col min="769" max="769" width="11.5703125" customWidth="1"/>
    <col min="770" max="800" width="7.7109375" customWidth="1"/>
    <col min="801" max="801" width="12.7109375" customWidth="1"/>
    <col min="1025" max="1025" width="11.5703125" customWidth="1"/>
    <col min="1026" max="1056" width="7.7109375" customWidth="1"/>
    <col min="1057" max="1057" width="12.7109375" customWidth="1"/>
    <col min="1281" max="1281" width="11.5703125" customWidth="1"/>
    <col min="1282" max="1312" width="7.7109375" customWidth="1"/>
    <col min="1313" max="1313" width="12.7109375" customWidth="1"/>
    <col min="1537" max="1537" width="11.5703125" customWidth="1"/>
    <col min="1538" max="1568" width="7.7109375" customWidth="1"/>
    <col min="1569" max="1569" width="12.7109375" customWidth="1"/>
    <col min="1793" max="1793" width="11.5703125" customWidth="1"/>
    <col min="1794" max="1824" width="7.7109375" customWidth="1"/>
    <col min="1825" max="1825" width="12.7109375" customWidth="1"/>
    <col min="2049" max="2049" width="11.5703125" customWidth="1"/>
    <col min="2050" max="2080" width="7.7109375" customWidth="1"/>
    <col min="2081" max="2081" width="12.7109375" customWidth="1"/>
    <col min="2305" max="2305" width="11.5703125" customWidth="1"/>
    <col min="2306" max="2336" width="7.7109375" customWidth="1"/>
    <col min="2337" max="2337" width="12.7109375" customWidth="1"/>
    <col min="2561" max="2561" width="11.5703125" customWidth="1"/>
    <col min="2562" max="2592" width="7.7109375" customWidth="1"/>
    <col min="2593" max="2593" width="12.7109375" customWidth="1"/>
    <col min="2817" max="2817" width="11.5703125" customWidth="1"/>
    <col min="2818" max="2848" width="7.7109375" customWidth="1"/>
    <col min="2849" max="2849" width="12.7109375" customWidth="1"/>
    <col min="3073" max="3073" width="11.5703125" customWidth="1"/>
    <col min="3074" max="3104" width="7.7109375" customWidth="1"/>
    <col min="3105" max="3105" width="12.7109375" customWidth="1"/>
    <col min="3329" max="3329" width="11.5703125" customWidth="1"/>
    <col min="3330" max="3360" width="7.7109375" customWidth="1"/>
    <col min="3361" max="3361" width="12.7109375" customWidth="1"/>
    <col min="3585" max="3585" width="11.5703125" customWidth="1"/>
    <col min="3586" max="3616" width="7.7109375" customWidth="1"/>
    <col min="3617" max="3617" width="12.7109375" customWidth="1"/>
    <col min="3841" max="3841" width="11.5703125" customWidth="1"/>
    <col min="3842" max="3872" width="7.7109375" customWidth="1"/>
    <col min="3873" max="3873" width="12.7109375" customWidth="1"/>
    <col min="4097" max="4097" width="11.5703125" customWidth="1"/>
    <col min="4098" max="4128" width="7.7109375" customWidth="1"/>
    <col min="4129" max="4129" width="12.7109375" customWidth="1"/>
    <col min="4353" max="4353" width="11.5703125" customWidth="1"/>
    <col min="4354" max="4384" width="7.7109375" customWidth="1"/>
    <col min="4385" max="4385" width="12.7109375" customWidth="1"/>
    <col min="4609" max="4609" width="11.5703125" customWidth="1"/>
    <col min="4610" max="4640" width="7.7109375" customWidth="1"/>
    <col min="4641" max="4641" width="12.7109375" customWidth="1"/>
    <col min="4865" max="4865" width="11.5703125" customWidth="1"/>
    <col min="4866" max="4896" width="7.7109375" customWidth="1"/>
    <col min="4897" max="4897" width="12.7109375" customWidth="1"/>
    <col min="5121" max="5121" width="11.5703125" customWidth="1"/>
    <col min="5122" max="5152" width="7.7109375" customWidth="1"/>
    <col min="5153" max="5153" width="12.7109375" customWidth="1"/>
    <col min="5377" max="5377" width="11.5703125" customWidth="1"/>
    <col min="5378" max="5408" width="7.7109375" customWidth="1"/>
    <col min="5409" max="5409" width="12.7109375" customWidth="1"/>
    <col min="5633" max="5633" width="11.5703125" customWidth="1"/>
    <col min="5634" max="5664" width="7.7109375" customWidth="1"/>
    <col min="5665" max="5665" width="12.7109375" customWidth="1"/>
    <col min="5889" max="5889" width="11.5703125" customWidth="1"/>
    <col min="5890" max="5920" width="7.7109375" customWidth="1"/>
    <col min="5921" max="5921" width="12.7109375" customWidth="1"/>
    <col min="6145" max="6145" width="11.5703125" customWidth="1"/>
    <col min="6146" max="6176" width="7.7109375" customWidth="1"/>
    <col min="6177" max="6177" width="12.7109375" customWidth="1"/>
    <col min="6401" max="6401" width="11.5703125" customWidth="1"/>
    <col min="6402" max="6432" width="7.7109375" customWidth="1"/>
    <col min="6433" max="6433" width="12.7109375" customWidth="1"/>
    <col min="6657" max="6657" width="11.5703125" customWidth="1"/>
    <col min="6658" max="6688" width="7.7109375" customWidth="1"/>
    <col min="6689" max="6689" width="12.7109375" customWidth="1"/>
    <col min="6913" max="6913" width="11.5703125" customWidth="1"/>
    <col min="6914" max="6944" width="7.7109375" customWidth="1"/>
    <col min="6945" max="6945" width="12.7109375" customWidth="1"/>
    <col min="7169" max="7169" width="11.5703125" customWidth="1"/>
    <col min="7170" max="7200" width="7.7109375" customWidth="1"/>
    <col min="7201" max="7201" width="12.7109375" customWidth="1"/>
    <col min="7425" max="7425" width="11.5703125" customWidth="1"/>
    <col min="7426" max="7456" width="7.7109375" customWidth="1"/>
    <col min="7457" max="7457" width="12.7109375" customWidth="1"/>
    <col min="7681" max="7681" width="11.5703125" customWidth="1"/>
    <col min="7682" max="7712" width="7.7109375" customWidth="1"/>
    <col min="7713" max="7713" width="12.7109375" customWidth="1"/>
    <col min="7937" max="7937" width="11.5703125" customWidth="1"/>
    <col min="7938" max="7968" width="7.7109375" customWidth="1"/>
    <col min="7969" max="7969" width="12.7109375" customWidth="1"/>
    <col min="8193" max="8193" width="11.5703125" customWidth="1"/>
    <col min="8194" max="8224" width="7.7109375" customWidth="1"/>
    <col min="8225" max="8225" width="12.7109375" customWidth="1"/>
    <col min="8449" max="8449" width="11.5703125" customWidth="1"/>
    <col min="8450" max="8480" width="7.7109375" customWidth="1"/>
    <col min="8481" max="8481" width="12.7109375" customWidth="1"/>
    <col min="8705" max="8705" width="11.5703125" customWidth="1"/>
    <col min="8706" max="8736" width="7.7109375" customWidth="1"/>
    <col min="8737" max="8737" width="12.7109375" customWidth="1"/>
    <col min="8961" max="8961" width="11.5703125" customWidth="1"/>
    <col min="8962" max="8992" width="7.7109375" customWidth="1"/>
    <col min="8993" max="8993" width="12.7109375" customWidth="1"/>
    <col min="9217" max="9217" width="11.5703125" customWidth="1"/>
    <col min="9218" max="9248" width="7.7109375" customWidth="1"/>
    <col min="9249" max="9249" width="12.7109375" customWidth="1"/>
    <col min="9473" max="9473" width="11.5703125" customWidth="1"/>
    <col min="9474" max="9504" width="7.7109375" customWidth="1"/>
    <col min="9505" max="9505" width="12.7109375" customWidth="1"/>
    <col min="9729" max="9729" width="11.5703125" customWidth="1"/>
    <col min="9730" max="9760" width="7.7109375" customWidth="1"/>
    <col min="9761" max="9761" width="12.7109375" customWidth="1"/>
    <col min="9985" max="9985" width="11.5703125" customWidth="1"/>
    <col min="9986" max="10016" width="7.7109375" customWidth="1"/>
    <col min="10017" max="10017" width="12.7109375" customWidth="1"/>
    <col min="10241" max="10241" width="11.5703125" customWidth="1"/>
    <col min="10242" max="10272" width="7.7109375" customWidth="1"/>
    <col min="10273" max="10273" width="12.7109375" customWidth="1"/>
    <col min="10497" max="10497" width="11.5703125" customWidth="1"/>
    <col min="10498" max="10528" width="7.7109375" customWidth="1"/>
    <col min="10529" max="10529" width="12.7109375" customWidth="1"/>
    <col min="10753" max="10753" width="11.5703125" customWidth="1"/>
    <col min="10754" max="10784" width="7.7109375" customWidth="1"/>
    <col min="10785" max="10785" width="12.7109375" customWidth="1"/>
    <col min="11009" max="11009" width="11.5703125" customWidth="1"/>
    <col min="11010" max="11040" width="7.7109375" customWidth="1"/>
    <col min="11041" max="11041" width="12.7109375" customWidth="1"/>
    <col min="11265" max="11265" width="11.5703125" customWidth="1"/>
    <col min="11266" max="11296" width="7.7109375" customWidth="1"/>
    <col min="11297" max="11297" width="12.7109375" customWidth="1"/>
    <col min="11521" max="11521" width="11.5703125" customWidth="1"/>
    <col min="11522" max="11552" width="7.7109375" customWidth="1"/>
    <col min="11553" max="11553" width="12.7109375" customWidth="1"/>
    <col min="11777" max="11777" width="11.5703125" customWidth="1"/>
    <col min="11778" max="11808" width="7.7109375" customWidth="1"/>
    <col min="11809" max="11809" width="12.7109375" customWidth="1"/>
    <col min="12033" max="12033" width="11.5703125" customWidth="1"/>
    <col min="12034" max="12064" width="7.7109375" customWidth="1"/>
    <col min="12065" max="12065" width="12.7109375" customWidth="1"/>
    <col min="12289" max="12289" width="11.5703125" customWidth="1"/>
    <col min="12290" max="12320" width="7.7109375" customWidth="1"/>
    <col min="12321" max="12321" width="12.7109375" customWidth="1"/>
    <col min="12545" max="12545" width="11.5703125" customWidth="1"/>
    <col min="12546" max="12576" width="7.7109375" customWidth="1"/>
    <col min="12577" max="12577" width="12.7109375" customWidth="1"/>
    <col min="12801" max="12801" width="11.5703125" customWidth="1"/>
    <col min="12802" max="12832" width="7.7109375" customWidth="1"/>
    <col min="12833" max="12833" width="12.7109375" customWidth="1"/>
    <col min="13057" max="13057" width="11.5703125" customWidth="1"/>
    <col min="13058" max="13088" width="7.7109375" customWidth="1"/>
    <col min="13089" max="13089" width="12.7109375" customWidth="1"/>
    <col min="13313" max="13313" width="11.5703125" customWidth="1"/>
    <col min="13314" max="13344" width="7.7109375" customWidth="1"/>
    <col min="13345" max="13345" width="12.7109375" customWidth="1"/>
    <col min="13569" max="13569" width="11.5703125" customWidth="1"/>
    <col min="13570" max="13600" width="7.7109375" customWidth="1"/>
    <col min="13601" max="13601" width="12.7109375" customWidth="1"/>
    <col min="13825" max="13825" width="11.5703125" customWidth="1"/>
    <col min="13826" max="13856" width="7.7109375" customWidth="1"/>
    <col min="13857" max="13857" width="12.7109375" customWidth="1"/>
    <col min="14081" max="14081" width="11.5703125" customWidth="1"/>
    <col min="14082" max="14112" width="7.7109375" customWidth="1"/>
    <col min="14113" max="14113" width="12.7109375" customWidth="1"/>
    <col min="14337" max="14337" width="11.5703125" customWidth="1"/>
    <col min="14338" max="14368" width="7.7109375" customWidth="1"/>
    <col min="14369" max="14369" width="12.7109375" customWidth="1"/>
    <col min="14593" max="14593" width="11.5703125" customWidth="1"/>
    <col min="14594" max="14624" width="7.7109375" customWidth="1"/>
    <col min="14625" max="14625" width="12.7109375" customWidth="1"/>
    <col min="14849" max="14849" width="11.5703125" customWidth="1"/>
    <col min="14850" max="14880" width="7.7109375" customWidth="1"/>
    <col min="14881" max="14881" width="12.7109375" customWidth="1"/>
    <col min="15105" max="15105" width="11.5703125" customWidth="1"/>
    <col min="15106" max="15136" width="7.7109375" customWidth="1"/>
    <col min="15137" max="15137" width="12.7109375" customWidth="1"/>
    <col min="15361" max="15361" width="11.5703125" customWidth="1"/>
    <col min="15362" max="15392" width="7.7109375" customWidth="1"/>
    <col min="15393" max="15393" width="12.7109375" customWidth="1"/>
    <col min="15617" max="15617" width="11.5703125" customWidth="1"/>
    <col min="15618" max="15648" width="7.7109375" customWidth="1"/>
    <col min="15649" max="15649" width="12.7109375" customWidth="1"/>
    <col min="15873" max="15873" width="11.5703125" customWidth="1"/>
    <col min="15874" max="15904" width="7.7109375" customWidth="1"/>
    <col min="15905" max="15905" width="12.7109375" customWidth="1"/>
    <col min="16129" max="16129" width="11.5703125" customWidth="1"/>
    <col min="16130" max="16160" width="7.7109375" customWidth="1"/>
    <col min="16161" max="16161" width="12.7109375" customWidth="1"/>
  </cols>
  <sheetData>
    <row r="1" spans="1:32" ht="18">
      <c r="A1" s="1"/>
      <c r="B1" s="2" t="str">
        <f>'[7]Dia 1 (b)'!C1</f>
        <v>JULHO DE 2023</v>
      </c>
      <c r="C1" s="3"/>
      <c r="D1" s="4"/>
      <c r="E1" s="5"/>
      <c r="F1" s="2"/>
      <c r="G1" s="3"/>
      <c r="H1" s="3"/>
      <c r="I1" s="3"/>
      <c r="J1" s="3"/>
      <c r="K1" s="3" t="s">
        <v>0</v>
      </c>
      <c r="L1" s="3"/>
      <c r="M1" s="3"/>
      <c r="N1" s="6"/>
      <c r="O1" s="7"/>
      <c r="P1" s="8"/>
      <c r="Q1" s="7"/>
      <c r="R1" s="7"/>
      <c r="S1" s="7"/>
      <c r="T1" s="7"/>
      <c r="U1" s="7"/>
      <c r="V1" s="9"/>
      <c r="W1" s="3"/>
      <c r="X1" s="3"/>
      <c r="Y1" s="3"/>
      <c r="Z1" s="3"/>
      <c r="AA1" s="3"/>
      <c r="AB1" s="3"/>
      <c r="AC1" s="3"/>
      <c r="AD1" s="3"/>
      <c r="AE1" s="3"/>
      <c r="AF1" s="3"/>
    </row>
    <row r="2" spans="1:32" ht="15.75" thickBot="1">
      <c r="A2" s="1"/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</row>
    <row r="3" spans="1:32" ht="20.100000000000001" customHeight="1" thickBot="1">
      <c r="A3" s="10" t="s">
        <v>1</v>
      </c>
      <c r="B3" s="11">
        <v>1</v>
      </c>
      <c r="C3" s="11">
        <v>2</v>
      </c>
      <c r="D3" s="11">
        <v>3</v>
      </c>
      <c r="E3" s="11">
        <v>4</v>
      </c>
      <c r="F3" s="11">
        <v>5</v>
      </c>
      <c r="G3" s="11">
        <v>6</v>
      </c>
      <c r="H3" s="11">
        <v>7</v>
      </c>
      <c r="I3" s="11">
        <v>8</v>
      </c>
      <c r="J3" s="11">
        <v>9</v>
      </c>
      <c r="K3" s="11">
        <v>10</v>
      </c>
      <c r="L3" s="11">
        <v>11</v>
      </c>
      <c r="M3" s="11">
        <v>12</v>
      </c>
      <c r="N3" s="11">
        <v>13</v>
      </c>
      <c r="O3" s="11">
        <v>14</v>
      </c>
      <c r="P3" s="11">
        <v>15</v>
      </c>
      <c r="Q3" s="11">
        <v>16</v>
      </c>
      <c r="R3" s="11">
        <v>17</v>
      </c>
      <c r="S3" s="11">
        <v>18</v>
      </c>
      <c r="T3" s="11">
        <v>19</v>
      </c>
      <c r="U3" s="11">
        <v>20</v>
      </c>
      <c r="V3" s="11">
        <v>21</v>
      </c>
      <c r="W3" s="11">
        <v>22</v>
      </c>
      <c r="X3" s="11">
        <v>23</v>
      </c>
      <c r="Y3" s="11">
        <v>24</v>
      </c>
      <c r="Z3" s="12">
        <v>25</v>
      </c>
      <c r="AA3" s="12">
        <v>26</v>
      </c>
      <c r="AB3" s="12">
        <v>27</v>
      </c>
      <c r="AC3" s="12">
        <v>28</v>
      </c>
      <c r="AD3" s="12">
        <v>29</v>
      </c>
      <c r="AE3" s="12">
        <v>30</v>
      </c>
      <c r="AF3" s="13">
        <v>31</v>
      </c>
    </row>
    <row r="4" spans="1:32" ht="20.100000000000001" customHeight="1">
      <c r="A4" s="14">
        <v>1</v>
      </c>
      <c r="B4" s="59"/>
      <c r="C4" s="59"/>
      <c r="D4" s="59"/>
      <c r="E4" s="59"/>
      <c r="F4" s="59"/>
      <c r="G4" s="59"/>
      <c r="H4" s="59"/>
      <c r="I4" s="59"/>
      <c r="J4" s="59"/>
      <c r="K4" s="59"/>
      <c r="L4" s="59"/>
      <c r="M4" s="59"/>
      <c r="N4" s="59"/>
      <c r="O4" s="59"/>
      <c r="P4" s="59"/>
      <c r="Q4" s="59"/>
      <c r="R4" s="59"/>
      <c r="S4" s="59"/>
      <c r="T4" s="59"/>
      <c r="U4" s="59"/>
      <c r="V4" s="59"/>
      <c r="W4" s="59"/>
      <c r="X4" s="59"/>
      <c r="Y4" s="59"/>
      <c r="Z4" s="59"/>
      <c r="AA4" s="59"/>
      <c r="AB4" s="59"/>
      <c r="AC4" s="59"/>
      <c r="AD4" s="59"/>
      <c r="AE4" s="59"/>
      <c r="AF4" s="59"/>
    </row>
    <row r="5" spans="1:32" ht="20.100000000000001" customHeight="1">
      <c r="A5" s="14">
        <v>2</v>
      </c>
      <c r="B5" s="59"/>
      <c r="C5" s="59"/>
      <c r="D5" s="59"/>
      <c r="E5" s="59"/>
      <c r="F5" s="59"/>
      <c r="G5" s="59"/>
      <c r="H5" s="59"/>
      <c r="I5" s="59"/>
      <c r="J5" s="59"/>
      <c r="K5" s="59"/>
      <c r="L5" s="59"/>
      <c r="M5" s="59"/>
      <c r="N5" s="59"/>
      <c r="O5" s="59"/>
      <c r="P5" s="59"/>
      <c r="Q5" s="59"/>
      <c r="R5" s="59"/>
      <c r="S5" s="59"/>
      <c r="T5" s="59"/>
      <c r="U5" s="59"/>
      <c r="V5" s="59"/>
      <c r="W5" s="59"/>
      <c r="X5" s="59"/>
      <c r="Y5" s="59"/>
      <c r="Z5" s="59"/>
      <c r="AA5" s="59"/>
      <c r="AB5" s="59"/>
      <c r="AC5" s="59"/>
      <c r="AD5" s="59"/>
      <c r="AE5" s="59"/>
      <c r="AF5" s="59"/>
    </row>
    <row r="6" spans="1:32" ht="20.100000000000001" customHeight="1">
      <c r="A6" s="14">
        <v>3</v>
      </c>
      <c r="B6" s="59"/>
      <c r="C6" s="59"/>
      <c r="D6" s="59"/>
      <c r="E6" s="59"/>
      <c r="F6" s="59"/>
      <c r="G6" s="59"/>
      <c r="H6" s="59"/>
      <c r="I6" s="59"/>
      <c r="J6" s="59"/>
      <c r="K6" s="59"/>
      <c r="L6" s="59"/>
      <c r="M6" s="59"/>
      <c r="N6" s="59"/>
      <c r="O6" s="59"/>
      <c r="P6" s="59"/>
      <c r="Q6" s="59"/>
      <c r="R6" s="59"/>
      <c r="S6" s="59"/>
      <c r="T6" s="59"/>
      <c r="U6" s="59"/>
      <c r="V6" s="59"/>
      <c r="W6" s="59"/>
      <c r="X6" s="59"/>
      <c r="Y6" s="59"/>
      <c r="Z6" s="59"/>
      <c r="AA6" s="59"/>
      <c r="AB6" s="59"/>
      <c r="AC6" s="59"/>
      <c r="AD6" s="59"/>
      <c r="AE6" s="59"/>
      <c r="AF6" s="59"/>
    </row>
    <row r="7" spans="1:32" ht="20.100000000000001" customHeight="1">
      <c r="A7" s="14">
        <v>4</v>
      </c>
      <c r="B7" s="59"/>
      <c r="C7" s="59"/>
      <c r="D7" s="59"/>
      <c r="E7" s="59"/>
      <c r="F7" s="59"/>
      <c r="G7" s="59"/>
      <c r="H7" s="59"/>
      <c r="I7" s="59"/>
      <c r="J7" s="59"/>
      <c r="K7" s="59"/>
      <c r="L7" s="59"/>
      <c r="M7" s="59"/>
      <c r="N7" s="59"/>
      <c r="O7" s="59"/>
      <c r="P7" s="59"/>
      <c r="Q7" s="59"/>
      <c r="R7" s="59"/>
      <c r="S7" s="59"/>
      <c r="T7" s="59"/>
      <c r="U7" s="59"/>
      <c r="V7" s="59"/>
      <c r="W7" s="59"/>
      <c r="X7" s="59"/>
      <c r="Y7" s="59"/>
      <c r="Z7" s="59"/>
      <c r="AA7" s="59"/>
      <c r="AB7" s="59"/>
      <c r="AC7" s="59"/>
      <c r="AD7" s="59"/>
      <c r="AE7" s="59"/>
      <c r="AF7" s="59"/>
    </row>
    <row r="8" spans="1:32" ht="20.100000000000001" customHeight="1">
      <c r="A8" s="14">
        <v>5</v>
      </c>
      <c r="B8" s="59"/>
      <c r="C8" s="59"/>
      <c r="D8" s="59"/>
      <c r="E8" s="59"/>
      <c r="F8" s="59"/>
      <c r="G8" s="59"/>
      <c r="H8" s="59"/>
      <c r="I8" s="59"/>
      <c r="J8" s="59"/>
      <c r="K8" s="59"/>
      <c r="L8" s="59"/>
      <c r="M8" s="59"/>
      <c r="N8" s="59"/>
      <c r="O8" s="59"/>
      <c r="P8" s="59"/>
      <c r="Q8" s="59"/>
      <c r="R8" s="59"/>
      <c r="S8" s="59"/>
      <c r="T8" s="59"/>
      <c r="U8" s="59"/>
      <c r="V8" s="59"/>
      <c r="W8" s="59"/>
      <c r="X8" s="59"/>
      <c r="Y8" s="59"/>
      <c r="Z8" s="59"/>
      <c r="AA8" s="59"/>
      <c r="AB8" s="59"/>
      <c r="AC8" s="59"/>
      <c r="AD8" s="59"/>
      <c r="AE8" s="59"/>
      <c r="AF8" s="59"/>
    </row>
    <row r="9" spans="1:32" ht="20.100000000000001" customHeight="1">
      <c r="A9" s="14">
        <v>6</v>
      </c>
      <c r="B9" s="59"/>
      <c r="C9" s="59"/>
      <c r="D9" s="59"/>
      <c r="E9" s="59"/>
      <c r="F9" s="59"/>
      <c r="G9" s="59"/>
      <c r="H9" s="59"/>
      <c r="I9" s="59"/>
      <c r="J9" s="59"/>
      <c r="K9" s="59"/>
      <c r="L9" s="59"/>
      <c r="M9" s="59"/>
      <c r="N9" s="59"/>
      <c r="O9" s="59"/>
      <c r="P9" s="59"/>
      <c r="Q9" s="59"/>
      <c r="R9" s="59"/>
      <c r="S9" s="59"/>
      <c r="T9" s="59"/>
      <c r="U9" s="59"/>
      <c r="V9" s="59"/>
      <c r="W9" s="59"/>
      <c r="X9" s="59"/>
      <c r="Y9" s="59"/>
      <c r="Z9" s="59"/>
      <c r="AA9" s="59"/>
      <c r="AB9" s="59"/>
      <c r="AC9" s="59"/>
      <c r="AD9" s="59"/>
      <c r="AE9" s="59"/>
      <c r="AF9" s="59"/>
    </row>
    <row r="10" spans="1:32" ht="20.100000000000001" customHeight="1">
      <c r="A10" s="14">
        <v>7</v>
      </c>
      <c r="B10" s="15">
        <f>'[7]Dia 1 (b)'!$X16</f>
        <v>10.585862414703403</v>
      </c>
      <c r="C10" s="15">
        <f>'[7]Dia 2 (b)'!$X16</f>
        <v>9.5356228609651392</v>
      </c>
      <c r="D10" s="15">
        <f>'[7]Dia 3 (b)'!$X16</f>
        <v>8.9725582306632568</v>
      </c>
      <c r="E10" s="15">
        <f>'[7]Dia 4 (b)'!$X16</f>
        <v>8.1444438990362507</v>
      </c>
      <c r="F10" s="15">
        <f>'[7]Dia 5 (b)'!$X16</f>
        <v>8.7434976966612776</v>
      </c>
      <c r="G10" s="15">
        <f>'[7]Dia 6 (b)'!$X16</f>
        <v>7.8891934503598513</v>
      </c>
      <c r="H10" s="15">
        <f>'[7]Dia 7 (b)'!$X16</f>
        <v>7.2197857827391978</v>
      </c>
      <c r="I10" s="15">
        <f>'[7]Dia 8 (b)'!$X16</f>
        <v>7.9800398924711189</v>
      </c>
      <c r="J10" s="15">
        <f>'[7]Dia 9 (b)'!$X16</f>
        <v>12.115637905121623</v>
      </c>
      <c r="K10" s="15">
        <f>'[7]Dia 10 (b)'!$X16</f>
        <v>11.473452848769723</v>
      </c>
      <c r="L10" s="15">
        <f>'[7]Dia 11 (b)'!$X16</f>
        <v>12.193254396578192</v>
      </c>
      <c r="M10" s="15">
        <f>'[7]Dia 12 (b)'!$X16</f>
        <v>12.5960769425813</v>
      </c>
      <c r="N10" s="15">
        <f>'[7]Dia 13 (b)'!$X16</f>
        <v>9.9902432475820859</v>
      </c>
      <c r="O10" s="15">
        <f>'[7]Dia 14 (b)'!$X16</f>
        <v>6.3983768920653139</v>
      </c>
      <c r="P10" s="15">
        <f>'[7]Dia 15 (b)'!$X16</f>
        <v>7.0594478493801383</v>
      </c>
      <c r="Q10" s="15">
        <f>'[7]Dia 16 (b)'!$X16</f>
        <v>8.3370453126469943</v>
      </c>
      <c r="R10" s="15">
        <f>'[7]Dia 17 (b)'!$X16</f>
        <v>10.006742268860103</v>
      </c>
      <c r="S10" s="15">
        <f>'[7]Dia 18 (b)'!$X16</f>
        <v>10.960038692565027</v>
      </c>
      <c r="T10" s="15">
        <f>'[7]Dia 19 (b)'!$X16</f>
        <v>10.168161825752033</v>
      </c>
      <c r="U10" s="15">
        <f>'[7]Dia 20 (b)'!$X16</f>
        <v>9.8747147330954075</v>
      </c>
      <c r="V10" s="15">
        <f>'[7]Dia 21 (b)'!$X16</f>
        <v>9.7798065453666094</v>
      </c>
      <c r="W10" s="15">
        <f>'[7]Dia 22 (b)'!$X16</f>
        <v>9.9992255589492487</v>
      </c>
      <c r="X10" s="15">
        <f>'[7]Dia 23 (b)'!$X16</f>
        <v>8.6911761532641147</v>
      </c>
      <c r="Y10" s="15">
        <f>'[7]Dia 24 (b)'!$X16</f>
        <v>8.7923233438058332</v>
      </c>
      <c r="Z10" s="15">
        <f>'[7]Dia 25 (b)'!$X16</f>
        <v>9.0451081653541046</v>
      </c>
      <c r="AA10" s="15">
        <f>'[7]Dia 26 (b)'!$X16</f>
        <v>9.7155070004742434</v>
      </c>
      <c r="AB10" s="15">
        <f>'[7]Dia 27 (b)'!$X16</f>
        <v>10.236917352921402</v>
      </c>
      <c r="AC10" s="15">
        <f>'[7]Dia 28 (b)'!$X16</f>
        <v>11.494753619594354</v>
      </c>
      <c r="AD10" s="15">
        <f>'[7]Dia 29 (b)'!$X16</f>
        <v>10.376004212683911</v>
      </c>
      <c r="AE10" s="15">
        <f>'[7]Dia 30 (b)'!$X16</f>
        <v>9.0346476738812918</v>
      </c>
      <c r="AF10" s="15">
        <f>'[7]Dia 31 (b)'!$X16</f>
        <v>10.475889137196971</v>
      </c>
    </row>
    <row r="11" spans="1:32" ht="20.100000000000001" customHeight="1">
      <c r="A11" s="14">
        <v>8</v>
      </c>
      <c r="B11" s="15">
        <f>'[7]Dia 1 (b)'!$X17</f>
        <v>10.759177434598461</v>
      </c>
      <c r="C11" s="15">
        <f>'[7]Dia 2 (b)'!$X17</f>
        <v>10.264976522110196</v>
      </c>
      <c r="D11" s="15">
        <f>'[7]Dia 3 (b)'!$X17</f>
        <v>9.6028785962174865</v>
      </c>
      <c r="E11" s="15">
        <f>'[7]Dia 4 (b)'!$X17</f>
        <v>8.2676738533465191</v>
      </c>
      <c r="F11" s="15">
        <f>'[7]Dia 5 (b)'!$X17</f>
        <v>8.3037401792063292</v>
      </c>
      <c r="G11" s="15">
        <f>'[7]Dia 6 (b)'!$X17</f>
        <v>8.2078682756829409</v>
      </c>
      <c r="H11" s="15">
        <f>'[7]Dia 7 (b)'!$X17</f>
        <v>8.553494070006499</v>
      </c>
      <c r="I11" s="15">
        <f>'[7]Dia 8 (b)'!$X17</f>
        <v>9.0177294788148945</v>
      </c>
      <c r="J11" s="15">
        <f>'[7]Dia 9 (b)'!$X17</f>
        <v>12.020772378515298</v>
      </c>
      <c r="K11" s="15">
        <f>'[7]Dia 10 (b)'!$X17</f>
        <v>11.501023923931994</v>
      </c>
      <c r="L11" s="15">
        <f>'[7]Dia 11 (b)'!$X17</f>
        <v>12.472388274441125</v>
      </c>
      <c r="M11" s="15">
        <f>'[7]Dia 12 (b)'!$X17</f>
        <v>12.304302270473377</v>
      </c>
      <c r="N11" s="15">
        <f>'[7]Dia 13 (b)'!$X17</f>
        <v>10.116091855974757</v>
      </c>
      <c r="O11" s="15">
        <f>'[7]Dia 14 (b)'!$X17</f>
        <v>6.2715926894184371</v>
      </c>
      <c r="P11" s="15">
        <f>'[7]Dia 15 (b)'!$X17</f>
        <v>7.9077557640738565</v>
      </c>
      <c r="Q11" s="15">
        <f>'[7]Dia 16 (b)'!$X17</f>
        <v>8.845488003894733</v>
      </c>
      <c r="R11" s="15">
        <f>'[7]Dia 17 (b)'!$X17</f>
        <v>10.381939379852247</v>
      </c>
      <c r="S11" s="15">
        <f>'[7]Dia 18 (b)'!$X17</f>
        <v>11.249451717278427</v>
      </c>
      <c r="T11" s="15">
        <f>'[7]Dia 19 (b)'!$X17</f>
        <v>10.230278064001991</v>
      </c>
      <c r="U11" s="15">
        <f>'[7]Dia 20 (b)'!$X17</f>
        <v>9.7454751368107964</v>
      </c>
      <c r="V11" s="15">
        <f>'[7]Dia 21 (b)'!$X17</f>
        <v>9.7188433890792929</v>
      </c>
      <c r="W11" s="15">
        <f>'[7]Dia 22 (b)'!$X17</f>
        <v>9.9903529689211066</v>
      </c>
      <c r="X11" s="15">
        <f>'[7]Dia 23 (b)'!$X17</f>
        <v>9.4429464767943845</v>
      </c>
      <c r="Y11" s="15">
        <f>'[7]Dia 24 (b)'!$X17</f>
        <v>9.3475490392553393</v>
      </c>
      <c r="Z11" s="15">
        <f>'[7]Dia 25 (b)'!$X17</f>
        <v>10.342083670745382</v>
      </c>
      <c r="AA11" s="15">
        <f>'[7]Dia 26 (b)'!$X17</f>
        <v>10.955421326844746</v>
      </c>
      <c r="AB11" s="15">
        <f>'[7]Dia 27 (b)'!$X17</f>
        <v>11.238426188005247</v>
      </c>
      <c r="AC11" s="15">
        <f>'[7]Dia 28 (b)'!$X17</f>
        <v>11.4754553442167</v>
      </c>
      <c r="AD11" s="15">
        <f>'[7]Dia 29 (b)'!$X17</f>
        <v>10.664604206375415</v>
      </c>
      <c r="AE11" s="15">
        <f>'[7]Dia 30 (b)'!$X17</f>
        <v>9.0493092848917165</v>
      </c>
      <c r="AF11" s="15">
        <f>'[7]Dia 31 (b)'!$X17</f>
        <v>10.417201629604953</v>
      </c>
    </row>
    <row r="12" spans="1:32" ht="20.100000000000001" customHeight="1">
      <c r="A12" s="14">
        <v>9</v>
      </c>
      <c r="B12" s="15">
        <f>'[7]Dia 1 (b)'!$X18</f>
        <v>11.042105868756126</v>
      </c>
      <c r="C12" s="15">
        <f>'[7]Dia 2 (b)'!$X18</f>
        <v>9.5677300821587252</v>
      </c>
      <c r="D12" s="15">
        <f>'[7]Dia 3 (b)'!$X18</f>
        <v>8.8489859271420297</v>
      </c>
      <c r="E12" s="15">
        <f>'[7]Dia 4 (b)'!$X18</f>
        <v>8.3760342007424633</v>
      </c>
      <c r="F12" s="15">
        <f>'[7]Dia 5 (b)'!$X18</f>
        <v>8.3142986001209866</v>
      </c>
      <c r="G12" s="15">
        <f>'[7]Dia 6 (b)'!$X18</f>
        <v>7.885932098473778</v>
      </c>
      <c r="H12" s="15">
        <f>'[7]Dia 7 (b)'!$X18</f>
        <v>7.987698931875145</v>
      </c>
      <c r="I12" s="15">
        <f>'[7]Dia 8 (b)'!$X18</f>
        <v>8.6331519883497805</v>
      </c>
      <c r="J12" s="15">
        <f>'[7]Dia 9 (b)'!$X18</f>
        <v>12.493372989112194</v>
      </c>
      <c r="K12" s="15">
        <f>'[7]Dia 10 (b)'!$X18</f>
        <v>12.004905680992506</v>
      </c>
      <c r="L12" s="15">
        <f>'[7]Dia 11 (b)'!$X18</f>
        <v>12.928737348821732</v>
      </c>
      <c r="M12" s="15">
        <f>'[7]Dia 12 (b)'!$X18</f>
        <v>12.376343246375995</v>
      </c>
      <c r="N12" s="15">
        <f>'[7]Dia 13 (b)'!$X18</f>
        <v>10.081571189498753</v>
      </c>
      <c r="O12" s="15">
        <f>'[7]Dia 14 (b)'!$X18</f>
        <v>6.2375118317456719</v>
      </c>
      <c r="P12" s="15">
        <f>'[7]Dia 15 (b)'!$X18</f>
        <v>7.4541671885442353</v>
      </c>
      <c r="Q12" s="15">
        <f>'[7]Dia 16 (b)'!$X18</f>
        <v>9.3800720459644129</v>
      </c>
      <c r="R12" s="15">
        <f>'[7]Dia 17 (b)'!$X18</f>
        <v>9.7936571221799031</v>
      </c>
      <c r="S12" s="15">
        <f>'[7]Dia 18 (b)'!$X18</f>
        <v>11.043455423627732</v>
      </c>
      <c r="T12" s="15">
        <f>'[7]Dia 19 (b)'!$X18</f>
        <v>10.562637086999517</v>
      </c>
      <c r="U12" s="15">
        <f>'[7]Dia 20 (b)'!$X18</f>
        <v>9.7847963386031704</v>
      </c>
      <c r="V12" s="15">
        <f>'[7]Dia 21 (b)'!$X18</f>
        <v>10.035695671492389</v>
      </c>
      <c r="W12" s="15">
        <f>'[7]Dia 22 (b)'!$X18</f>
        <v>9.8056504328094451</v>
      </c>
      <c r="X12" s="15">
        <f>'[7]Dia 23 (b)'!$X18</f>
        <v>9.3943387030385175</v>
      </c>
      <c r="Y12" s="15">
        <f>'[7]Dia 24 (b)'!$X18</f>
        <v>9.5947445560417766</v>
      </c>
      <c r="Z12" s="15">
        <f>'[7]Dia 25 (b)'!$X18</f>
        <v>9.3873162165198352</v>
      </c>
      <c r="AA12" s="15">
        <f>'[7]Dia 26 (b)'!$X18</f>
        <v>11.130402443528483</v>
      </c>
      <c r="AB12" s="15">
        <f>'[7]Dia 27 (b)'!$X18</f>
        <v>11.282799529313111</v>
      </c>
      <c r="AC12" s="15">
        <f>'[7]Dia 28 (b)'!$X18</f>
        <v>11.243922944894599</v>
      </c>
      <c r="AD12" s="15">
        <f>'[7]Dia 29 (b)'!$X18</f>
        <v>10.613603811164067</v>
      </c>
      <c r="AE12" s="15">
        <f>'[7]Dia 30 (b)'!$X18</f>
        <v>9.0309969484890686</v>
      </c>
      <c r="AF12" s="15">
        <f>'[7]Dia 31 (b)'!$X18</f>
        <v>10.337675210056101</v>
      </c>
    </row>
    <row r="13" spans="1:32" ht="20.100000000000001" customHeight="1">
      <c r="A13" s="14">
        <v>10</v>
      </c>
      <c r="B13" s="15">
        <f>'[7]Dia 1 (b)'!$X19</f>
        <v>10.848459753097524</v>
      </c>
      <c r="C13" s="15">
        <f>'[7]Dia 2 (b)'!$X19</f>
        <v>9.5460932181475275</v>
      </c>
      <c r="D13" s="15">
        <f>'[7]Dia 3 (b)'!$X19</f>
        <v>8.5051899148201997</v>
      </c>
      <c r="E13" s="15">
        <f>'[7]Dia 4 (b)'!$X19</f>
        <v>8.317453595750008</v>
      </c>
      <c r="F13" s="15">
        <f>'[7]Dia 5 (b)'!$X19</f>
        <v>8.6799553559390521</v>
      </c>
      <c r="G13" s="15">
        <f>'[7]Dia 6 (b)'!$X19</f>
        <v>8.1440109456235259</v>
      </c>
      <c r="H13" s="15">
        <f>'[7]Dia 7 (b)'!$X19</f>
        <v>7.3091576113403836</v>
      </c>
      <c r="I13" s="15">
        <f>'[7]Dia 8 (b)'!$X19</f>
        <v>8.1639224270085045</v>
      </c>
      <c r="J13" s="15">
        <f>'[7]Dia 9 (b)'!$X19</f>
        <v>12.108403605694297</v>
      </c>
      <c r="K13" s="15">
        <f>'[7]Dia 10 (b)'!$X19</f>
        <v>12.284895679276758</v>
      </c>
      <c r="L13" s="15">
        <f>'[7]Dia 11 (b)'!$X19</f>
        <v>13.715531629231744</v>
      </c>
      <c r="M13" s="15">
        <f>'[7]Dia 12 (b)'!$X19</f>
        <v>12.599655650461457</v>
      </c>
      <c r="N13" s="15">
        <f>'[7]Dia 13 (b)'!$X19</f>
        <v>9.2079512772619978</v>
      </c>
      <c r="O13" s="15">
        <f>'[7]Dia 14 (b)'!$X19</f>
        <v>6.0244802750292781</v>
      </c>
      <c r="P13" s="15">
        <f>'[7]Dia 15 (b)'!$X19</f>
        <v>7.3716615839148476</v>
      </c>
      <c r="Q13" s="15">
        <f>'[7]Dia 16 (b)'!$X19</f>
        <v>8.7969570342512302</v>
      </c>
      <c r="R13" s="15">
        <f>'[7]Dia 17 (b)'!$X19</f>
        <v>9.0575864788563596</v>
      </c>
      <c r="S13" s="15">
        <f>'[7]Dia 18 (b)'!$X19</f>
        <v>10.820214844594476</v>
      </c>
      <c r="T13" s="15">
        <f>'[7]Dia 19 (b)'!$X19</f>
        <v>10.450538482500018</v>
      </c>
      <c r="U13" s="15">
        <f>'[7]Dia 20 (b)'!$X19</f>
        <v>9.3115098799556009</v>
      </c>
      <c r="V13" s="15">
        <f>'[7]Dia 21 (b)'!$X19</f>
        <v>10.092541436671722</v>
      </c>
      <c r="W13" s="15">
        <f>'[7]Dia 22 (b)'!$X19</f>
        <v>9.9462984544397042</v>
      </c>
      <c r="X13" s="15">
        <f>'[7]Dia 23 (b)'!$X19</f>
        <v>9.3044913997477359</v>
      </c>
      <c r="Y13" s="15">
        <f>'[7]Dia 24 (b)'!$X19</f>
        <v>9.8190156022388813</v>
      </c>
      <c r="Z13" s="15">
        <f>'[7]Dia 25 (b)'!$X19</f>
        <v>9.7198981035438052</v>
      </c>
      <c r="AA13" s="15">
        <f>'[7]Dia 26 (b)'!$X19</f>
        <v>10.088417581449269</v>
      </c>
      <c r="AB13" s="15">
        <f>'[7]Dia 27 (b)'!$X19</f>
        <v>10.530591451145069</v>
      </c>
      <c r="AC13" s="15">
        <f>'[7]Dia 28 (b)'!$X19</f>
        <v>11.387794796741895</v>
      </c>
      <c r="AD13" s="15">
        <f>'[7]Dia 29 (b)'!$X19</f>
        <v>10.412143561398342</v>
      </c>
      <c r="AE13" s="15">
        <f>'[7]Dia 30 (b)'!$X19</f>
        <v>9.2122857880604858</v>
      </c>
      <c r="AF13" s="15">
        <f>'[7]Dia 31 (b)'!$X19</f>
        <v>10.274819534789847</v>
      </c>
    </row>
    <row r="14" spans="1:32" ht="20.100000000000001" customHeight="1">
      <c r="A14" s="14">
        <v>11</v>
      </c>
      <c r="B14" s="15">
        <f>'[7]Dia 1 (b)'!$X20</f>
        <v>10.828548095954096</v>
      </c>
      <c r="C14" s="15">
        <f>'[7]Dia 2 (b)'!$X20</f>
        <v>9.297866175322369</v>
      </c>
      <c r="D14" s="15">
        <f>'[7]Dia 3 (b)'!$X20</f>
        <v>8.3625725815606522</v>
      </c>
      <c r="E14" s="15">
        <f>'[7]Dia 4 (b)'!$X20</f>
        <v>8.2661292414106775</v>
      </c>
      <c r="F14" s="15">
        <f>'[7]Dia 5 (b)'!$X20</f>
        <v>8.4739539539617788</v>
      </c>
      <c r="G14" s="15">
        <f>'[7]Dia 6 (b)'!$X20</f>
        <v>7.619305237981604</v>
      </c>
      <c r="H14" s="15">
        <f>'[7]Dia 7 (b)'!$X20</f>
        <v>7.0785087913704929</v>
      </c>
      <c r="I14" s="15">
        <f>'[7]Dia 8 (b)'!$X20</f>
        <v>7.6141378636862171</v>
      </c>
      <c r="J14" s="15">
        <f>'[7]Dia 9 (b)'!$X20</f>
        <v>11.995610873741237</v>
      </c>
      <c r="K14" s="15">
        <f>'[7]Dia 10 (b)'!$X20</f>
        <v>12.701103503732458</v>
      </c>
      <c r="L14" s="15">
        <f>'[7]Dia 11 (b)'!$X20</f>
        <v>12.371713844654188</v>
      </c>
      <c r="M14" s="15">
        <f>'[7]Dia 12 (b)'!$X20</f>
        <v>12.119468303611947</v>
      </c>
      <c r="N14" s="15">
        <f>'[7]Dia 13 (b)'!$X20</f>
        <v>7.3761266094237579</v>
      </c>
      <c r="O14" s="15">
        <f>'[7]Dia 14 (b)'!$X20</f>
        <v>5.8933796474280857</v>
      </c>
      <c r="P14" s="15">
        <f>'[7]Dia 15 (b)'!$X20</f>
        <v>7.2420969868468275</v>
      </c>
      <c r="Q14" s="15">
        <f>'[7]Dia 16 (b)'!$X20</f>
        <v>8.9901015348652962</v>
      </c>
      <c r="R14" s="15">
        <f>'[7]Dia 17 (b)'!$X20</f>
        <v>9.3944434652320368</v>
      </c>
      <c r="S14" s="15">
        <f>'[7]Dia 18 (b)'!$X20</f>
        <v>10.816828530608857</v>
      </c>
      <c r="T14" s="15">
        <f>'[7]Dia 19 (b)'!$X20</f>
        <v>10.506641643786612</v>
      </c>
      <c r="U14" s="15">
        <f>'[7]Dia 20 (b)'!$X20</f>
        <v>9.5377437173571415</v>
      </c>
      <c r="V14" s="15">
        <f>'[7]Dia 21 (b)'!$X20</f>
        <v>10.443125817859865</v>
      </c>
      <c r="W14" s="15">
        <f>'[7]Dia 22 (b)'!$X20</f>
        <v>10.145238222982298</v>
      </c>
      <c r="X14" s="15">
        <f>'[7]Dia 23 (b)'!$X20</f>
        <v>9.4700609114478329</v>
      </c>
      <c r="Y14" s="15">
        <f>'[7]Dia 24 (b)'!$X20</f>
        <v>10.070216580448468</v>
      </c>
      <c r="Z14" s="15">
        <f>'[7]Dia 25 (b)'!$X20</f>
        <v>9.9056891987861402</v>
      </c>
      <c r="AA14" s="15">
        <f>'[7]Dia 26 (b)'!$X20</f>
        <v>9.6664498245834096</v>
      </c>
      <c r="AB14" s="15">
        <f>'[7]Dia 27 (b)'!$X20</f>
        <v>10.738088607737732</v>
      </c>
      <c r="AC14" s="15">
        <f>'[7]Dia 28 (b)'!$X20</f>
        <v>10.849894633379654</v>
      </c>
      <c r="AD14" s="15">
        <f>'[7]Dia 29 (b)'!$X20</f>
        <v>9.938241902947146</v>
      </c>
      <c r="AE14" s="15">
        <f>'[7]Dia 30 (b)'!$X20</f>
        <v>9.1584928880264478</v>
      </c>
      <c r="AF14" s="15">
        <f>'[7]Dia 31 (b)'!$X20</f>
        <v>10.453370651070099</v>
      </c>
    </row>
    <row r="15" spans="1:32" ht="20.100000000000001" customHeight="1">
      <c r="A15" s="14">
        <v>12</v>
      </c>
      <c r="B15" s="15">
        <f>'[7]Dia 1 (b)'!$X21</f>
        <v>10.334310120687951</v>
      </c>
      <c r="C15" s="15">
        <f>'[7]Dia 2 (b)'!$X21</f>
        <v>9.0736880976700842</v>
      </c>
      <c r="D15" s="15">
        <f>'[7]Dia 3 (b)'!$X21</f>
        <v>8.4409375372388435</v>
      </c>
      <c r="E15" s="15">
        <f>'[7]Dia 4 (b)'!$X21</f>
        <v>8.54971154910689</v>
      </c>
      <c r="F15" s="15">
        <f>'[7]Dia 5 (b)'!$X21</f>
        <v>8.2700583713367806</v>
      </c>
      <c r="G15" s="15">
        <f>'[7]Dia 6 (b)'!$X21</f>
        <v>7.8421020305346429</v>
      </c>
      <c r="H15" s="15">
        <f>'[7]Dia 7 (b)'!$X21</f>
        <v>6.9886408443227284</v>
      </c>
      <c r="I15" s="15">
        <f>'[7]Dia 8 (b)'!$X21</f>
        <v>7.4857153510905015</v>
      </c>
      <c r="J15" s="15">
        <f>'[7]Dia 9 (b)'!$X21</f>
        <v>11.299934567818282</v>
      </c>
      <c r="K15" s="15">
        <f>'[7]Dia 10 (b)'!$X21</f>
        <v>12.547066958049786</v>
      </c>
      <c r="L15" s="15">
        <f>'[7]Dia 11 (b)'!$X21</f>
        <v>12.302924166338162</v>
      </c>
      <c r="M15" s="15">
        <f>'[7]Dia 12 (b)'!$X21</f>
        <v>11.467919226782334</v>
      </c>
      <c r="N15" s="15">
        <f>'[7]Dia 13 (b)'!$X21</f>
        <v>7.3072846500805237</v>
      </c>
      <c r="O15" s="15">
        <f>'[7]Dia 14 (b)'!$X21</f>
        <v>5.9194359783659944</v>
      </c>
      <c r="P15" s="15">
        <f>'[7]Dia 15 (b)'!$X21</f>
        <v>7.1022109538312304</v>
      </c>
      <c r="Q15" s="15">
        <f>'[7]Dia 16 (b)'!$X21</f>
        <v>7.9679183587060542</v>
      </c>
      <c r="R15" s="15">
        <f>'[7]Dia 17 (b)'!$X21</f>
        <v>9.2380175305874221</v>
      </c>
      <c r="S15" s="15">
        <f>'[7]Dia 18 (b)'!$X21</f>
        <v>10.491407777697567</v>
      </c>
      <c r="T15" s="15">
        <f>'[7]Dia 19 (b)'!$X21</f>
        <v>10.606597999528594</v>
      </c>
      <c r="U15" s="15">
        <f>'[7]Dia 20 (b)'!$X21</f>
        <v>9.2543000233196846</v>
      </c>
      <c r="V15" s="15">
        <f>'[7]Dia 21 (b)'!$X21</f>
        <v>9.9588180017006618</v>
      </c>
      <c r="W15" s="15">
        <f>'[7]Dia 22 (b)'!$X21</f>
        <v>10.095128377010093</v>
      </c>
      <c r="X15" s="15">
        <f>'[7]Dia 23 (b)'!$X21</f>
        <v>8.9004318194759762</v>
      </c>
      <c r="Y15" s="15">
        <f>'[7]Dia 24 (b)'!$X21</f>
        <v>9.2491835494515158</v>
      </c>
      <c r="Z15" s="15">
        <f>'[7]Dia 25 (b)'!$X21</f>
        <v>7.5986676671519939</v>
      </c>
      <c r="AA15" s="15">
        <f>'[7]Dia 26 (b)'!$X21</f>
        <v>8.2009885554243827</v>
      </c>
      <c r="AB15" s="15">
        <f>'[7]Dia 27 (b)'!$X21</f>
        <v>10.997332931121148</v>
      </c>
      <c r="AC15" s="15">
        <f>'[7]Dia 28 (b)'!$X21</f>
        <v>10.398812319697104</v>
      </c>
      <c r="AD15" s="15">
        <f>'[7]Dia 29 (b)'!$X21</f>
        <v>10.056102202602249</v>
      </c>
      <c r="AE15" s="15">
        <f>'[7]Dia 30 (b)'!$X21</f>
        <v>9.9820625721956109</v>
      </c>
      <c r="AF15" s="15">
        <f>'[7]Dia 31 (b)'!$X21</f>
        <v>10.238044203603945</v>
      </c>
    </row>
    <row r="16" spans="1:32" ht="20.100000000000001" customHeight="1">
      <c r="A16" s="14">
        <v>13</v>
      </c>
      <c r="B16" s="15">
        <f>'[7]Dia 1 (b)'!$X22</f>
        <v>9.82090337640469</v>
      </c>
      <c r="C16" s="15">
        <f>'[7]Dia 2 (b)'!$X22</f>
        <v>8.9422062173219956</v>
      </c>
      <c r="D16" s="15">
        <f>'[7]Dia 3 (b)'!$X22</f>
        <v>8.9703613623096636</v>
      </c>
      <c r="E16" s="15">
        <f>'[7]Dia 4 (b)'!$X22</f>
        <v>7.9118005461723744</v>
      </c>
      <c r="F16" s="15">
        <f>'[7]Dia 5 (b)'!$X22</f>
        <v>8.1190994796453353</v>
      </c>
      <c r="G16" s="15">
        <f>'[7]Dia 6 (b)'!$X22</f>
        <v>7.3649274063447452</v>
      </c>
      <c r="H16" s="15">
        <f>'[7]Dia 7 (b)'!$X22</f>
        <v>6.7382042710863415</v>
      </c>
      <c r="I16" s="15">
        <f>'[7]Dia 8 (b)'!$X22</f>
        <v>7.7097525116985155</v>
      </c>
      <c r="J16" s="15">
        <f>'[7]Dia 9 (b)'!$X22</f>
        <v>12.121899295934931</v>
      </c>
      <c r="K16" s="15">
        <f>'[7]Dia 10 (b)'!$X22</f>
        <v>12.325998299699718</v>
      </c>
      <c r="L16" s="15">
        <f>'[7]Dia 11 (b)'!$X22</f>
        <v>11.103721300240361</v>
      </c>
      <c r="M16" s="15">
        <f>'[7]Dia 12 (b)'!$X22</f>
        <v>9.4067477331854743</v>
      </c>
      <c r="N16" s="15">
        <f>'[7]Dia 13 (b)'!$X22</f>
        <v>6.3319495522997311</v>
      </c>
      <c r="O16" s="15">
        <f>'[7]Dia 14 (b)'!$X22</f>
        <v>5.7340628408875824</v>
      </c>
      <c r="P16" s="15">
        <f>'[7]Dia 15 (b)'!$X22</f>
        <v>6.6975077112876615</v>
      </c>
      <c r="Q16" s="15">
        <f>'[7]Dia 16 (b)'!$X22</f>
        <v>7.1896791041875661</v>
      </c>
      <c r="R16" s="15">
        <f>'[7]Dia 17 (b)'!$X22</f>
        <v>10.856909418599759</v>
      </c>
      <c r="S16" s="15">
        <f>'[7]Dia 18 (b)'!$X22</f>
        <v>10.444689623599308</v>
      </c>
      <c r="T16" s="15">
        <f>'[7]Dia 19 (b)'!$X22</f>
        <v>10.547960464665257</v>
      </c>
      <c r="U16" s="15">
        <f>'[7]Dia 20 (b)'!$X22</f>
        <v>9.4436495766549289</v>
      </c>
      <c r="V16" s="15">
        <f>'[7]Dia 21 (b)'!$X22</f>
        <v>10.187222588254784</v>
      </c>
      <c r="W16" s="15">
        <f>'[7]Dia 22 (b)'!$X22</f>
        <v>10.044882825705272</v>
      </c>
      <c r="X16" s="15">
        <f>'[7]Dia 23 (b)'!$X22</f>
        <v>8.5962868090736464</v>
      </c>
      <c r="Y16" s="15">
        <f>'[7]Dia 24 (b)'!$X22</f>
        <v>8.42003363043092</v>
      </c>
      <c r="Z16" s="15">
        <f>'[7]Dia 25 (b)'!$X22</f>
        <v>8.7295037449274275</v>
      </c>
      <c r="AA16" s="15">
        <f>'[7]Dia 26 (b)'!$X22</f>
        <v>9.1024584217814652</v>
      </c>
      <c r="AB16" s="15">
        <f>'[7]Dia 27 (b)'!$X22</f>
        <v>12.043089142058726</v>
      </c>
      <c r="AC16" s="15">
        <f>'[7]Dia 28 (b)'!$X22</f>
        <v>10.290334101180715</v>
      </c>
      <c r="AD16" s="15">
        <f>'[7]Dia 29 (b)'!$X22</f>
        <v>9.4270851555924757</v>
      </c>
      <c r="AE16" s="15">
        <f>'[7]Dia 30 (b)'!$X22</f>
        <v>9.6226359396746961</v>
      </c>
      <c r="AF16" s="15">
        <f>'[7]Dia 31 (b)'!$X22</f>
        <v>9.9450017647601641</v>
      </c>
    </row>
    <row r="17" spans="1:32" ht="20.100000000000001" customHeight="1">
      <c r="A17" s="14">
        <v>14</v>
      </c>
      <c r="B17" s="15">
        <f>'[7]Dia 1 (b)'!$X23</f>
        <v>9.454447897741229</v>
      </c>
      <c r="C17" s="15">
        <f>'[7]Dia 2 (b)'!$X23</f>
        <v>9.1139266008411415</v>
      </c>
      <c r="D17" s="15">
        <f>'[7]Dia 3 (b)'!$X23</f>
        <v>7.9995292981069834</v>
      </c>
      <c r="E17" s="15">
        <f>'[7]Dia 4 (b)'!$X23</f>
        <v>8.4481208876155645</v>
      </c>
      <c r="F17" s="15">
        <f>'[7]Dia 5 (b)'!$X23</f>
        <v>8.5360621419496745</v>
      </c>
      <c r="G17" s="15">
        <f>'[7]Dia 6 (b)'!$X23</f>
        <v>7.3083257150459078</v>
      </c>
      <c r="H17" s="15">
        <f>'[7]Dia 7 (b)'!$X23</f>
        <v>6.6890184558375054</v>
      </c>
      <c r="I17" s="15">
        <f>'[7]Dia 8 (b)'!$X23</f>
        <v>7.8463707469733643</v>
      </c>
      <c r="J17" s="15">
        <f>'[7]Dia 9 (b)'!$X23</f>
        <v>11.631334800399975</v>
      </c>
      <c r="K17" s="15">
        <f>'[7]Dia 10 (b)'!$X23</f>
        <v>11.779458535303073</v>
      </c>
      <c r="L17" s="15">
        <f>'[7]Dia 11 (b)'!$X23</f>
        <v>10.411114242162745</v>
      </c>
      <c r="M17" s="15">
        <f>'[7]Dia 12 (b)'!$X23</f>
        <v>8.3731141687407238</v>
      </c>
      <c r="N17" s="15">
        <f>'[7]Dia 13 (b)'!$X23</f>
        <v>5.1285256637870953</v>
      </c>
      <c r="O17" s="15">
        <f>'[7]Dia 14 (b)'!$X23</f>
        <v>6.4947016275863927</v>
      </c>
      <c r="P17" s="15">
        <f>'[7]Dia 15 (b)'!$X23</f>
        <v>6.4781554541166297</v>
      </c>
      <c r="Q17" s="15">
        <f>'[7]Dia 16 (b)'!$X23</f>
        <v>7.2008179822269991</v>
      </c>
      <c r="R17" s="15">
        <f>'[7]Dia 17 (b)'!$X23</f>
        <v>10.405072385043443</v>
      </c>
      <c r="S17" s="15">
        <f>'[7]Dia 18 (b)'!$X23</f>
        <v>10.581311903890114</v>
      </c>
      <c r="T17" s="15">
        <f>'[7]Dia 19 (b)'!$X23</f>
        <v>10.511033911712117</v>
      </c>
      <c r="U17" s="15">
        <f>'[7]Dia 20 (b)'!$X23</f>
        <v>9.9158563583372104</v>
      </c>
      <c r="V17" s="15">
        <f>'[7]Dia 21 (b)'!$X23</f>
        <v>9.8306783167781386</v>
      </c>
      <c r="W17" s="15">
        <f>'[7]Dia 22 (b)'!$X23</f>
        <v>10.030934112473275</v>
      </c>
      <c r="X17" s="15">
        <f>'[7]Dia 23 (b)'!$X23</f>
        <v>8.4860375284821217</v>
      </c>
      <c r="Y17" s="15">
        <f>'[7]Dia 24 (b)'!$X23</f>
        <v>7.8435369414474669</v>
      </c>
      <c r="Z17" s="15">
        <f>'[7]Dia 25 (b)'!$X23</f>
        <v>7.9345108427571001</v>
      </c>
      <c r="AA17" s="15">
        <f>'[7]Dia 26 (b)'!$X23</f>
        <v>8.6552672622084152</v>
      </c>
      <c r="AB17" s="15">
        <f>'[7]Dia 27 (b)'!$X23</f>
        <v>12.833988320785535</v>
      </c>
      <c r="AC17" s="15">
        <f>'[7]Dia 28 (b)'!$X23</f>
        <v>10.34535222587817</v>
      </c>
      <c r="AD17" s="15">
        <f>'[7]Dia 29 (b)'!$X23</f>
        <v>9.6151350806212701</v>
      </c>
      <c r="AE17" s="15">
        <f>'[7]Dia 30 (b)'!$X23</f>
        <v>10.544408155798481</v>
      </c>
      <c r="AF17" s="15">
        <f>'[7]Dia 31 (b)'!$X23</f>
        <v>9.9054904155640955</v>
      </c>
    </row>
    <row r="18" spans="1:32" ht="20.100000000000001" customHeight="1">
      <c r="A18" s="14">
        <v>15</v>
      </c>
      <c r="B18" s="15">
        <f>'[7]Dia 1 (b)'!$X24</f>
        <v>12.282619893723831</v>
      </c>
      <c r="C18" s="15">
        <f>'[7]Dia 2 (b)'!$X24</f>
        <v>8.8300094105813205</v>
      </c>
      <c r="D18" s="15">
        <f>'[7]Dia 3 (b)'!$X24</f>
        <v>8.5376737106866507</v>
      </c>
      <c r="E18" s="15">
        <f>'[7]Dia 4 (b)'!$X24</f>
        <v>8.1858966943192737</v>
      </c>
      <c r="F18" s="15">
        <f>'[7]Dia 5 (b)'!$X24</f>
        <v>7.9253184543920847</v>
      </c>
      <c r="G18" s="15">
        <f>'[7]Dia 6 (b)'!$X24</f>
        <v>7.6257749125750962</v>
      </c>
      <c r="H18" s="15">
        <f>'[7]Dia 7 (b)'!$X24</f>
        <v>7.0581893170441319</v>
      </c>
      <c r="I18" s="15">
        <f>'[7]Dia 8 (b)'!$X24</f>
        <v>7.7631770200405308</v>
      </c>
      <c r="J18" s="15">
        <f>'[7]Dia 9 (b)'!$X24</f>
        <v>11.916239976235612</v>
      </c>
      <c r="K18" s="15">
        <f>'[7]Dia 10 (b)'!$X24</f>
        <v>12.423105216146368</v>
      </c>
      <c r="L18" s="15">
        <f>'[7]Dia 11 (b)'!$X24</f>
        <v>11.34591067471842</v>
      </c>
      <c r="M18" s="15">
        <f>'[7]Dia 12 (b)'!$X24</f>
        <v>7.2064073356973619</v>
      </c>
      <c r="N18" s="15">
        <f>'[7]Dia 13 (b)'!$X24</f>
        <v>4.6134488276253034</v>
      </c>
      <c r="O18" s="15">
        <f>'[7]Dia 14 (b)'!$X24</f>
        <v>5.8614864538205262</v>
      </c>
      <c r="P18" s="15">
        <f>'[7]Dia 15 (b)'!$X24</f>
        <v>6.1965674167401197</v>
      </c>
      <c r="Q18" s="15">
        <f>'[7]Dia 16 (b)'!$X24</f>
        <v>6.7010904641265876</v>
      </c>
      <c r="R18" s="15">
        <f>'[7]Dia 17 (b)'!$X24</f>
        <v>10.799564546030316</v>
      </c>
      <c r="S18" s="15">
        <f>'[7]Dia 18 (b)'!$X24</f>
        <v>10.411588070370078</v>
      </c>
      <c r="T18" s="15">
        <f>'[7]Dia 19 (b)'!$X24</f>
        <v>10.233792957552481</v>
      </c>
      <c r="U18" s="15">
        <f>'[7]Dia 20 (b)'!$X24</f>
        <v>11.354795402016972</v>
      </c>
      <c r="V18" s="15">
        <f>'[7]Dia 21 (b)'!$X24</f>
        <v>9.830735938060954</v>
      </c>
      <c r="W18" s="15">
        <f>'[7]Dia 22 (b)'!$X24</f>
        <v>9.5129489114272499</v>
      </c>
      <c r="X18" s="15">
        <f>'[7]Dia 23 (b)'!$X24</f>
        <v>8.5495983081349269</v>
      </c>
      <c r="Y18" s="15">
        <f>'[7]Dia 24 (b)'!$X24</f>
        <v>7.7990470697175516</v>
      </c>
      <c r="Z18" s="15">
        <f>'[7]Dia 25 (b)'!$X24</f>
        <v>7.6908580769314128</v>
      </c>
      <c r="AA18" s="15">
        <f>'[7]Dia 26 (b)'!$X24</f>
        <v>9.2419135302260198</v>
      </c>
      <c r="AB18" s="15">
        <f>'[7]Dia 27 (b)'!$X24</f>
        <v>12.334561224639138</v>
      </c>
      <c r="AC18" s="15">
        <f>'[7]Dia 28 (b)'!$X24</f>
        <v>9.3437607038870141</v>
      </c>
      <c r="AD18" s="15">
        <f>'[7]Dia 29 (b)'!$X24</f>
        <v>8.9071903575290996</v>
      </c>
      <c r="AE18" s="15">
        <f>'[7]Dia 30 (b)'!$X24</f>
        <v>10.591177099154134</v>
      </c>
      <c r="AF18" s="15">
        <f>'[7]Dia 31 (b)'!$X24</f>
        <v>8.879892886041814</v>
      </c>
    </row>
    <row r="19" spans="1:32" ht="20.100000000000001" customHeight="1">
      <c r="A19" s="14">
        <v>16</v>
      </c>
      <c r="B19" s="59"/>
      <c r="C19" s="59"/>
      <c r="D19" s="59"/>
      <c r="E19" s="59"/>
      <c r="F19" s="59"/>
      <c r="G19" s="59"/>
      <c r="H19" s="59"/>
      <c r="I19" s="59"/>
      <c r="J19" s="59"/>
      <c r="K19" s="59"/>
      <c r="L19" s="59"/>
      <c r="M19" s="59"/>
      <c r="N19" s="59"/>
      <c r="O19" s="59"/>
      <c r="P19" s="59"/>
      <c r="Q19" s="59"/>
      <c r="R19" s="59"/>
      <c r="S19" s="59"/>
      <c r="T19" s="59"/>
      <c r="U19" s="59"/>
      <c r="V19" s="59"/>
      <c r="W19" s="59"/>
      <c r="X19" s="59"/>
      <c r="Y19" s="59"/>
      <c r="Z19" s="59"/>
      <c r="AA19" s="59"/>
      <c r="AB19" s="59"/>
      <c r="AC19" s="59"/>
      <c r="AD19" s="59"/>
      <c r="AE19" s="59"/>
      <c r="AF19" s="59"/>
    </row>
    <row r="20" spans="1:32" ht="20.100000000000001" customHeight="1">
      <c r="A20" s="14">
        <v>17</v>
      </c>
      <c r="B20" s="59"/>
      <c r="C20" s="59"/>
      <c r="D20" s="59"/>
      <c r="E20" s="59"/>
      <c r="F20" s="59"/>
      <c r="G20" s="59"/>
      <c r="H20" s="59"/>
      <c r="I20" s="59"/>
      <c r="J20" s="59"/>
      <c r="K20" s="59"/>
      <c r="L20" s="59"/>
      <c r="M20" s="59"/>
      <c r="N20" s="59"/>
      <c r="O20" s="59"/>
      <c r="P20" s="59"/>
      <c r="Q20" s="59"/>
      <c r="R20" s="59"/>
      <c r="S20" s="59"/>
      <c r="T20" s="59"/>
      <c r="U20" s="59"/>
      <c r="V20" s="59"/>
      <c r="W20" s="59"/>
      <c r="X20" s="59"/>
      <c r="Y20" s="59"/>
      <c r="Z20" s="59"/>
      <c r="AA20" s="59"/>
      <c r="AB20" s="59"/>
      <c r="AC20" s="59"/>
      <c r="AD20" s="59"/>
      <c r="AE20" s="59"/>
      <c r="AF20" s="59"/>
    </row>
    <row r="21" spans="1:32" ht="20.100000000000001" customHeight="1">
      <c r="A21" s="14">
        <v>18</v>
      </c>
      <c r="B21" s="59"/>
      <c r="C21" s="59"/>
      <c r="D21" s="59"/>
      <c r="E21" s="59"/>
      <c r="F21" s="59"/>
      <c r="G21" s="59"/>
      <c r="H21" s="59"/>
      <c r="I21" s="59"/>
      <c r="J21" s="59"/>
      <c r="K21" s="59"/>
      <c r="L21" s="59"/>
      <c r="M21" s="59"/>
      <c r="N21" s="59"/>
      <c r="O21" s="59"/>
      <c r="P21" s="59"/>
      <c r="Q21" s="59"/>
      <c r="R21" s="59"/>
      <c r="S21" s="59"/>
      <c r="T21" s="59"/>
      <c r="U21" s="59"/>
      <c r="V21" s="59"/>
      <c r="W21" s="59"/>
      <c r="X21" s="59"/>
      <c r="Y21" s="59"/>
      <c r="Z21" s="59"/>
      <c r="AA21" s="59"/>
      <c r="AB21" s="59"/>
      <c r="AC21" s="59"/>
      <c r="AD21" s="59"/>
      <c r="AE21" s="59"/>
      <c r="AF21" s="59"/>
    </row>
    <row r="22" spans="1:32" ht="20.100000000000001" customHeight="1">
      <c r="A22" s="14">
        <v>19</v>
      </c>
      <c r="B22" s="59"/>
      <c r="C22" s="59"/>
      <c r="D22" s="59"/>
      <c r="E22" s="59"/>
      <c r="F22" s="59"/>
      <c r="G22" s="59"/>
      <c r="H22" s="59"/>
      <c r="I22" s="59"/>
      <c r="J22" s="59"/>
      <c r="K22" s="59"/>
      <c r="L22" s="59"/>
      <c r="M22" s="59"/>
      <c r="N22" s="59"/>
      <c r="O22" s="59"/>
      <c r="P22" s="59"/>
      <c r="Q22" s="59"/>
      <c r="R22" s="59"/>
      <c r="S22" s="59"/>
      <c r="T22" s="59"/>
      <c r="U22" s="59"/>
      <c r="V22" s="59"/>
      <c r="W22" s="59"/>
      <c r="X22" s="59"/>
      <c r="Y22" s="59"/>
      <c r="Z22" s="59"/>
      <c r="AA22" s="59"/>
      <c r="AB22" s="59"/>
      <c r="AC22" s="59"/>
      <c r="AD22" s="59"/>
      <c r="AE22" s="59"/>
      <c r="AF22" s="59"/>
    </row>
    <row r="23" spans="1:32" ht="20.100000000000001" customHeight="1">
      <c r="A23" s="14">
        <v>20</v>
      </c>
      <c r="B23" s="59"/>
      <c r="C23" s="59"/>
      <c r="D23" s="59"/>
      <c r="E23" s="59"/>
      <c r="F23" s="59"/>
      <c r="G23" s="59"/>
      <c r="H23" s="59"/>
      <c r="I23" s="59"/>
      <c r="J23" s="59"/>
      <c r="K23" s="59"/>
      <c r="L23" s="59"/>
      <c r="M23" s="59"/>
      <c r="N23" s="59"/>
      <c r="O23" s="59"/>
      <c r="P23" s="59"/>
      <c r="Q23" s="59"/>
      <c r="R23" s="59"/>
      <c r="S23" s="59"/>
      <c r="T23" s="59"/>
      <c r="U23" s="59"/>
      <c r="V23" s="59"/>
      <c r="W23" s="59"/>
      <c r="X23" s="59"/>
      <c r="Y23" s="59"/>
      <c r="Z23" s="59"/>
      <c r="AA23" s="59"/>
      <c r="AB23" s="59"/>
      <c r="AC23" s="59"/>
      <c r="AD23" s="59"/>
      <c r="AE23" s="59"/>
      <c r="AF23" s="59"/>
    </row>
    <row r="24" spans="1:32" ht="20.100000000000001" customHeight="1">
      <c r="A24" s="14">
        <v>21</v>
      </c>
      <c r="B24" s="59"/>
      <c r="C24" s="59"/>
      <c r="D24" s="59"/>
      <c r="E24" s="59"/>
      <c r="F24" s="59"/>
      <c r="G24" s="59"/>
      <c r="H24" s="59"/>
      <c r="I24" s="59"/>
      <c r="J24" s="59"/>
      <c r="K24" s="59"/>
      <c r="L24" s="59"/>
      <c r="M24" s="59"/>
      <c r="N24" s="59"/>
      <c r="O24" s="59"/>
      <c r="P24" s="59"/>
      <c r="Q24" s="59"/>
      <c r="R24" s="59"/>
      <c r="S24" s="59"/>
      <c r="T24" s="59"/>
      <c r="U24" s="59"/>
      <c r="V24" s="59"/>
      <c r="W24" s="59"/>
      <c r="X24" s="59"/>
      <c r="Y24" s="59"/>
      <c r="Z24" s="59"/>
      <c r="AA24" s="59"/>
      <c r="AB24" s="59"/>
      <c r="AC24" s="59"/>
      <c r="AD24" s="59"/>
      <c r="AE24" s="59"/>
      <c r="AF24" s="59"/>
    </row>
    <row r="25" spans="1:32" ht="20.100000000000001" customHeight="1">
      <c r="A25" s="14">
        <v>22</v>
      </c>
      <c r="B25" s="59"/>
      <c r="C25" s="59"/>
      <c r="D25" s="59"/>
      <c r="E25" s="59"/>
      <c r="F25" s="59"/>
      <c r="G25" s="59"/>
      <c r="H25" s="59"/>
      <c r="I25" s="59"/>
      <c r="J25" s="59"/>
      <c r="K25" s="59"/>
      <c r="L25" s="59"/>
      <c r="M25" s="59"/>
      <c r="N25" s="59"/>
      <c r="O25" s="59"/>
      <c r="P25" s="59"/>
      <c r="Q25" s="59"/>
      <c r="R25" s="59"/>
      <c r="S25" s="59"/>
      <c r="T25" s="59"/>
      <c r="U25" s="59"/>
      <c r="V25" s="59"/>
      <c r="W25" s="59"/>
      <c r="X25" s="59"/>
      <c r="Y25" s="59"/>
      <c r="Z25" s="59"/>
      <c r="AA25" s="59"/>
      <c r="AB25" s="59"/>
      <c r="AC25" s="59"/>
      <c r="AD25" s="59"/>
      <c r="AE25" s="59"/>
      <c r="AF25" s="59"/>
    </row>
    <row r="26" spans="1:32" ht="20.100000000000001" customHeight="1">
      <c r="A26" s="14">
        <v>23</v>
      </c>
      <c r="B26" s="59"/>
      <c r="C26" s="59"/>
      <c r="D26" s="59"/>
      <c r="E26" s="59"/>
      <c r="F26" s="59"/>
      <c r="G26" s="59"/>
      <c r="H26" s="59"/>
      <c r="I26" s="59"/>
      <c r="J26" s="59"/>
      <c r="K26" s="59"/>
      <c r="L26" s="59"/>
      <c r="M26" s="59"/>
      <c r="N26" s="59"/>
      <c r="O26" s="59"/>
      <c r="P26" s="59"/>
      <c r="Q26" s="59"/>
      <c r="R26" s="59"/>
      <c r="S26" s="59"/>
      <c r="T26" s="59"/>
      <c r="U26" s="59"/>
      <c r="V26" s="59"/>
      <c r="W26" s="59"/>
      <c r="X26" s="59"/>
      <c r="Y26" s="59"/>
      <c r="Z26" s="59"/>
      <c r="AA26" s="59"/>
      <c r="AB26" s="59"/>
      <c r="AC26" s="59"/>
      <c r="AD26" s="59"/>
      <c r="AE26" s="59"/>
      <c r="AF26" s="59"/>
    </row>
    <row r="27" spans="1:32" ht="20.100000000000001" customHeight="1" thickBot="1">
      <c r="A27" s="14">
        <v>24</v>
      </c>
      <c r="B27" s="59"/>
      <c r="C27" s="59"/>
      <c r="D27" s="59"/>
      <c r="E27" s="59"/>
      <c r="F27" s="59"/>
      <c r="G27" s="59"/>
      <c r="H27" s="59"/>
      <c r="I27" s="59"/>
      <c r="J27" s="59"/>
      <c r="K27" s="59"/>
      <c r="L27" s="59"/>
      <c r="M27" s="59"/>
      <c r="N27" s="59"/>
      <c r="O27" s="59"/>
      <c r="P27" s="59"/>
      <c r="Q27" s="59"/>
      <c r="R27" s="59"/>
      <c r="S27" s="59"/>
      <c r="T27" s="59"/>
      <c r="U27" s="59"/>
      <c r="V27" s="59"/>
      <c r="W27" s="59"/>
      <c r="X27" s="59"/>
      <c r="Y27" s="59"/>
      <c r="Z27" s="59"/>
      <c r="AA27" s="59"/>
      <c r="AB27" s="59"/>
      <c r="AC27" s="59"/>
      <c r="AD27" s="59"/>
      <c r="AE27" s="59"/>
      <c r="AF27" s="59"/>
    </row>
    <row r="28" spans="1:32" ht="16.5" thickTop="1">
      <c r="A28" s="17"/>
      <c r="B28" s="19"/>
      <c r="C28" s="19"/>
      <c r="D28" s="19"/>
      <c r="E28" s="19"/>
      <c r="F28" s="19"/>
      <c r="G28" s="19"/>
      <c r="H28" s="19"/>
      <c r="I28" s="19"/>
      <c r="J28" s="19"/>
      <c r="K28" s="19"/>
      <c r="L28" s="19"/>
      <c r="M28" s="19"/>
      <c r="N28" s="60" t="s">
        <v>14</v>
      </c>
      <c r="O28" s="19"/>
      <c r="P28" s="19"/>
      <c r="Q28" s="19"/>
      <c r="R28" s="19"/>
      <c r="S28" s="19"/>
      <c r="T28" s="19"/>
      <c r="U28" s="19"/>
      <c r="V28" s="19"/>
      <c r="W28" s="19"/>
      <c r="X28" s="19"/>
      <c r="Y28" s="19"/>
      <c r="Z28" s="19"/>
      <c r="AA28" s="19"/>
      <c r="AB28" s="19"/>
      <c r="AC28" s="19"/>
      <c r="AD28" s="19"/>
      <c r="AE28" s="19"/>
      <c r="AF28" s="21"/>
    </row>
    <row r="29" spans="1:32" ht="15.75">
      <c r="A29" s="22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23"/>
    </row>
    <row r="30" spans="1:32" ht="15.75">
      <c r="A30" s="24" t="s">
        <v>3</v>
      </c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23"/>
    </row>
    <row r="31" spans="1:32" ht="15.75">
      <c r="A31" s="24" t="s">
        <v>4</v>
      </c>
      <c r="B31" s="25"/>
      <c r="C31" s="25"/>
      <c r="D31" s="25"/>
      <c r="E31" s="25"/>
      <c r="F31" s="25"/>
      <c r="G31" s="25"/>
      <c r="H31" s="25"/>
      <c r="I31" s="25"/>
      <c r="J31" s="25"/>
      <c r="K31" s="25"/>
      <c r="L31" s="25"/>
      <c r="M31" s="25"/>
      <c r="N31" s="25"/>
      <c r="O31" s="25"/>
      <c r="P31" s="25"/>
      <c r="Q31" s="25"/>
      <c r="R31" s="25"/>
      <c r="S31" s="25"/>
      <c r="T31" s="25"/>
      <c r="U31" s="25"/>
      <c r="V31" s="25"/>
      <c r="W31" s="25"/>
      <c r="X31" s="25"/>
      <c r="Y31" s="25"/>
      <c r="Z31" s="25"/>
      <c r="AA31" s="25"/>
      <c r="AB31" s="25"/>
      <c r="AC31" s="25"/>
      <c r="AD31" s="25"/>
      <c r="AE31" s="25"/>
      <c r="AF31" s="26"/>
    </row>
    <row r="32" spans="1:32" ht="15.75">
      <c r="A32" s="27"/>
      <c r="B32" s="28"/>
      <c r="C32" s="28"/>
      <c r="D32" s="28"/>
      <c r="E32" s="28"/>
      <c r="F32" s="28"/>
      <c r="G32" s="28"/>
      <c r="H32" s="28"/>
      <c r="I32" s="28"/>
      <c r="J32" s="28"/>
      <c r="K32" s="28"/>
      <c r="L32" s="28"/>
      <c r="M32" s="28"/>
      <c r="N32" s="28"/>
      <c r="O32" s="28"/>
      <c r="P32" s="28"/>
      <c r="Q32" s="28"/>
      <c r="R32" s="28"/>
      <c r="S32" s="28"/>
      <c r="T32" s="28"/>
      <c r="U32" s="28"/>
      <c r="V32" s="28"/>
      <c r="W32" s="28"/>
      <c r="X32" s="28"/>
      <c r="Y32" s="28"/>
      <c r="Z32" s="28"/>
      <c r="AA32" s="28"/>
      <c r="AB32" s="28"/>
      <c r="AC32" s="28"/>
      <c r="AD32" s="28"/>
      <c r="AE32" s="28"/>
      <c r="AF32" s="29"/>
    </row>
    <row r="33" spans="1:32" ht="15.75">
      <c r="A33" s="27"/>
      <c r="B33" s="28"/>
      <c r="C33" s="28"/>
      <c r="D33" s="28"/>
      <c r="E33" s="28"/>
      <c r="F33" s="28"/>
      <c r="G33" s="28"/>
      <c r="H33" s="28"/>
      <c r="I33" s="28"/>
      <c r="J33" s="28"/>
      <c r="K33" s="28"/>
      <c r="L33" s="28"/>
      <c r="M33" s="28"/>
      <c r="N33" s="28"/>
      <c r="O33" s="28"/>
      <c r="P33" s="28"/>
      <c r="Q33" s="28"/>
      <c r="R33" s="28"/>
      <c r="S33" s="28"/>
      <c r="T33" s="28"/>
      <c r="U33" s="28"/>
      <c r="V33" s="28"/>
      <c r="W33" s="28"/>
      <c r="X33" s="28"/>
      <c r="Y33" s="28"/>
      <c r="Z33" s="28"/>
      <c r="AA33" s="28"/>
      <c r="AB33" s="28"/>
      <c r="AC33" s="28"/>
      <c r="AD33" s="28"/>
      <c r="AE33" s="28"/>
      <c r="AF33" s="29"/>
    </row>
    <row r="34" spans="1:32" ht="15.75">
      <c r="A34" s="24" t="s">
        <v>5</v>
      </c>
      <c r="B34" s="28"/>
      <c r="C34" s="28"/>
      <c r="D34" s="28"/>
      <c r="E34" s="28"/>
      <c r="F34" s="28"/>
      <c r="G34" s="28"/>
      <c r="H34" s="28"/>
      <c r="I34" s="28"/>
      <c r="J34" s="28"/>
      <c r="K34" s="28"/>
      <c r="L34" s="28"/>
      <c r="M34" s="28"/>
      <c r="N34" s="28"/>
      <c r="O34" s="28"/>
      <c r="P34" s="28"/>
      <c r="Q34" s="28"/>
      <c r="R34" s="28"/>
      <c r="S34" s="28"/>
      <c r="T34" s="28"/>
      <c r="U34" s="28"/>
      <c r="V34" s="28"/>
      <c r="W34" s="28"/>
      <c r="X34" s="28"/>
      <c r="Y34" s="28"/>
      <c r="Z34" s="28"/>
      <c r="AA34" s="28"/>
      <c r="AB34" s="28"/>
      <c r="AC34" s="28"/>
      <c r="AD34" s="28"/>
      <c r="AE34" s="28"/>
      <c r="AF34" s="29"/>
    </row>
    <row r="35" spans="1:32" ht="15.75">
      <c r="A35" s="24" t="s">
        <v>4</v>
      </c>
      <c r="B35" s="25"/>
      <c r="C35" s="25"/>
      <c r="D35" s="25"/>
      <c r="E35" s="25"/>
      <c r="F35" s="25"/>
      <c r="G35" s="25"/>
      <c r="H35" s="25"/>
      <c r="I35" s="25"/>
      <c r="J35" s="25"/>
      <c r="K35" s="25"/>
      <c r="L35" s="25"/>
      <c r="M35" s="25"/>
      <c r="N35" s="25"/>
      <c r="O35" s="25"/>
      <c r="P35" s="25"/>
      <c r="Q35" s="25"/>
      <c r="R35" s="25"/>
      <c r="S35" s="25"/>
      <c r="T35" s="25"/>
      <c r="U35" s="25"/>
      <c r="V35" s="25"/>
      <c r="W35" s="25"/>
      <c r="X35" s="25"/>
      <c r="Y35" s="25"/>
      <c r="Z35" s="25"/>
      <c r="AA35" s="25"/>
      <c r="AB35" s="25"/>
      <c r="AC35" s="25"/>
      <c r="AD35" s="25"/>
      <c r="AE35" s="25"/>
      <c r="AF35" s="26"/>
    </row>
    <row r="36" spans="1:32" ht="15.75">
      <c r="A36" s="24"/>
      <c r="B36" s="25"/>
      <c r="C36" s="25"/>
      <c r="D36" s="25"/>
      <c r="E36" s="25"/>
      <c r="F36" s="25"/>
      <c r="G36" s="25"/>
      <c r="H36" s="25"/>
      <c r="I36" s="25"/>
      <c r="J36" s="25"/>
      <c r="K36" s="25"/>
      <c r="L36" s="25"/>
      <c r="M36" s="25"/>
      <c r="N36" s="25"/>
      <c r="O36" s="25"/>
      <c r="P36" s="25"/>
      <c r="Q36" s="25"/>
      <c r="R36" s="25"/>
      <c r="S36" s="25"/>
      <c r="T36" s="25"/>
      <c r="U36" s="25"/>
      <c r="V36" s="25"/>
      <c r="W36" s="25"/>
      <c r="X36" s="25"/>
      <c r="Y36" s="25"/>
      <c r="Z36" s="25"/>
      <c r="AA36" s="25"/>
      <c r="AB36" s="25"/>
      <c r="AC36" s="25"/>
      <c r="AD36" s="25"/>
      <c r="AE36" s="25"/>
      <c r="AF36" s="26"/>
    </row>
    <row r="37" spans="1:32" ht="15.75">
      <c r="A37" s="27"/>
      <c r="B37" s="28"/>
      <c r="C37" s="28"/>
      <c r="D37" s="28"/>
      <c r="E37" s="28"/>
      <c r="F37" s="28"/>
      <c r="G37" s="28"/>
      <c r="H37" s="28"/>
      <c r="I37" s="28"/>
      <c r="J37" s="28"/>
      <c r="K37" s="28"/>
      <c r="L37" s="28"/>
      <c r="M37" s="28"/>
      <c r="N37" s="28"/>
      <c r="O37" s="28"/>
      <c r="P37" s="28"/>
      <c r="Q37" s="28"/>
      <c r="R37" s="28"/>
      <c r="S37" s="28"/>
      <c r="T37" s="28"/>
      <c r="U37" s="28"/>
      <c r="V37" s="28"/>
      <c r="W37" s="28"/>
      <c r="X37" s="28"/>
      <c r="Y37" s="28"/>
      <c r="Z37" s="28"/>
      <c r="AA37" s="28"/>
      <c r="AB37" s="28"/>
      <c r="AC37" s="28"/>
      <c r="AD37" s="28"/>
      <c r="AE37" s="28"/>
      <c r="AF37" s="29"/>
    </row>
    <row r="38" spans="1:32" ht="15.75">
      <c r="A38" s="24" t="s">
        <v>6</v>
      </c>
      <c r="B38" s="28"/>
      <c r="C38" s="28"/>
      <c r="D38" s="28"/>
      <c r="E38" s="28"/>
      <c r="F38" s="28"/>
      <c r="G38" s="28"/>
      <c r="H38" s="28"/>
      <c r="I38" s="28"/>
      <c r="J38" s="28"/>
      <c r="K38" s="28"/>
      <c r="L38" s="28"/>
      <c r="M38" s="28"/>
      <c r="N38" s="28"/>
      <c r="O38" s="28"/>
      <c r="P38" s="28"/>
      <c r="Q38" s="28"/>
      <c r="R38" s="28"/>
      <c r="S38" s="28"/>
      <c r="T38" s="28"/>
      <c r="U38" s="28"/>
      <c r="V38" s="28"/>
      <c r="W38" s="28"/>
      <c r="X38" s="28"/>
      <c r="Y38" s="28"/>
      <c r="Z38" s="28"/>
      <c r="AA38" s="28"/>
      <c r="AB38" s="28"/>
      <c r="AC38" s="28"/>
      <c r="AD38" s="28"/>
      <c r="AE38" s="28"/>
      <c r="AF38" s="29"/>
    </row>
    <row r="39" spans="1:32" ht="15.75">
      <c r="A39" s="24" t="s">
        <v>4</v>
      </c>
      <c r="B39" s="25"/>
      <c r="C39" s="25"/>
      <c r="D39" s="25"/>
      <c r="E39" s="25"/>
      <c r="F39" s="25"/>
      <c r="G39" s="25"/>
      <c r="H39" s="25"/>
      <c r="I39" s="25"/>
      <c r="J39" s="25"/>
      <c r="K39" s="25"/>
      <c r="L39" s="25"/>
      <c r="M39" s="25"/>
      <c r="N39" s="25"/>
      <c r="O39" s="25"/>
      <c r="P39" s="25"/>
      <c r="Q39" s="25"/>
      <c r="R39" s="25"/>
      <c r="S39" s="25"/>
      <c r="T39" s="25"/>
      <c r="U39" s="25"/>
      <c r="V39" s="25"/>
      <c r="W39" s="25"/>
      <c r="X39" s="25"/>
      <c r="Y39" s="25"/>
      <c r="Z39" s="25"/>
      <c r="AA39" s="25"/>
      <c r="AB39" s="25"/>
      <c r="AC39" s="25"/>
      <c r="AD39" s="25"/>
      <c r="AE39" s="25"/>
      <c r="AF39" s="26"/>
    </row>
    <row r="40" spans="1:32" ht="15.75">
      <c r="A40" s="24"/>
      <c r="B40" s="25"/>
      <c r="C40" s="25"/>
      <c r="D40" s="25"/>
      <c r="E40" s="25"/>
      <c r="F40" s="25"/>
      <c r="G40" s="25"/>
      <c r="H40" s="25"/>
      <c r="I40" s="25"/>
      <c r="J40" s="25"/>
      <c r="K40" s="25"/>
      <c r="L40" s="25"/>
      <c r="M40" s="25"/>
      <c r="N40" s="25"/>
      <c r="O40" s="25"/>
      <c r="P40" s="25"/>
      <c r="Q40" s="25"/>
      <c r="R40" s="25"/>
      <c r="S40" s="25"/>
      <c r="T40" s="25"/>
      <c r="U40" s="25"/>
      <c r="V40" s="25"/>
      <c r="W40" s="25"/>
      <c r="X40" s="25"/>
      <c r="Y40" s="25"/>
      <c r="Z40" s="25"/>
      <c r="AA40" s="25"/>
      <c r="AB40" s="25"/>
      <c r="AC40" s="25"/>
      <c r="AD40" s="25"/>
      <c r="AE40" s="25"/>
      <c r="AF40" s="26"/>
    </row>
    <row r="41" spans="1:32" ht="15.75">
      <c r="A41" s="27"/>
      <c r="B41" s="28"/>
      <c r="C41" s="28"/>
      <c r="D41" s="28"/>
      <c r="E41" s="28"/>
      <c r="F41" s="28"/>
      <c r="G41" s="28"/>
      <c r="H41" s="28"/>
      <c r="I41" s="28"/>
      <c r="J41" s="28"/>
      <c r="K41" s="28"/>
      <c r="L41" s="28"/>
      <c r="M41" s="28"/>
      <c r="N41" s="28"/>
      <c r="O41" s="28"/>
      <c r="P41" s="28"/>
      <c r="Q41" s="28"/>
      <c r="R41" s="28"/>
      <c r="S41" s="28"/>
      <c r="T41" s="28"/>
      <c r="U41" s="28"/>
      <c r="V41" s="28"/>
      <c r="W41" s="28"/>
      <c r="X41" s="28"/>
      <c r="Y41" s="28"/>
      <c r="Z41" s="28"/>
      <c r="AA41" s="28"/>
      <c r="AB41" s="28"/>
      <c r="AC41" s="28"/>
      <c r="AD41" s="28"/>
      <c r="AE41" s="28"/>
      <c r="AF41" s="29"/>
    </row>
    <row r="42" spans="1:32" ht="15.75">
      <c r="A42" s="24" t="s">
        <v>7</v>
      </c>
      <c r="B42" s="28"/>
      <c r="C42" s="28"/>
      <c r="D42" s="28"/>
      <c r="E42" s="28"/>
      <c r="F42" s="28"/>
      <c r="G42" s="28"/>
      <c r="H42" s="28"/>
      <c r="I42" s="28"/>
      <c r="J42" s="28"/>
      <c r="K42" s="28"/>
      <c r="L42" s="28"/>
      <c r="M42" s="28"/>
      <c r="N42" s="28"/>
      <c r="O42" s="28"/>
      <c r="P42" s="28"/>
      <c r="Q42" s="28"/>
      <c r="R42" s="28"/>
      <c r="S42" s="28"/>
      <c r="T42" s="28"/>
      <c r="U42" s="28"/>
      <c r="V42" s="28"/>
      <c r="W42" s="28"/>
      <c r="X42" s="28"/>
      <c r="Y42" s="28"/>
      <c r="Z42" s="28"/>
      <c r="AA42" s="28"/>
      <c r="AB42" s="28"/>
      <c r="AC42" s="28"/>
      <c r="AD42" s="28"/>
      <c r="AE42" s="28"/>
      <c r="AF42" s="29"/>
    </row>
    <row r="43" spans="1:32" ht="15.75">
      <c r="A43" s="24" t="s">
        <v>4</v>
      </c>
      <c r="B43" s="25"/>
      <c r="C43" s="25"/>
      <c r="D43" s="25"/>
      <c r="E43" s="25"/>
      <c r="F43" s="25"/>
      <c r="G43" s="25"/>
      <c r="H43" s="25"/>
      <c r="I43" s="25"/>
      <c r="J43" s="25"/>
      <c r="K43" s="25"/>
      <c r="L43" s="25"/>
      <c r="M43" s="25"/>
      <c r="N43" s="25"/>
      <c r="O43" s="25"/>
      <c r="P43" s="25"/>
      <c r="Q43" s="25"/>
      <c r="R43" s="25"/>
      <c r="S43" s="25"/>
      <c r="T43" s="25"/>
      <c r="U43" s="25"/>
      <c r="V43" s="25"/>
      <c r="W43" s="25"/>
      <c r="X43" s="25"/>
      <c r="Y43" s="25"/>
      <c r="Z43" s="25"/>
      <c r="AA43" s="25"/>
      <c r="AB43" s="25"/>
      <c r="AC43" s="25"/>
      <c r="AD43" s="25"/>
      <c r="AE43" s="25"/>
      <c r="AF43" s="26"/>
    </row>
    <row r="44" spans="1:32" ht="15.75">
      <c r="A44" s="24"/>
      <c r="B44" s="25"/>
      <c r="C44" s="25"/>
      <c r="D44" s="25"/>
      <c r="E44" s="25"/>
      <c r="F44" s="25"/>
      <c r="G44" s="25"/>
      <c r="H44" s="25"/>
      <c r="I44" s="25"/>
      <c r="J44" s="25"/>
      <c r="K44" s="25"/>
      <c r="L44" s="25"/>
      <c r="M44" s="25"/>
      <c r="N44" s="25"/>
      <c r="O44" s="25"/>
      <c r="P44" s="25"/>
      <c r="Q44" s="25"/>
      <c r="R44" s="25"/>
      <c r="S44" s="25"/>
      <c r="T44" s="25"/>
      <c r="U44" s="25"/>
      <c r="V44" s="25"/>
      <c r="W44" s="25"/>
      <c r="X44" s="25"/>
      <c r="Y44" s="25"/>
      <c r="Z44" s="25"/>
      <c r="AA44" s="25"/>
      <c r="AB44" s="25"/>
      <c r="AC44" s="25"/>
      <c r="AD44" s="25"/>
      <c r="AE44" s="25"/>
      <c r="AF44" s="26"/>
    </row>
    <row r="45" spans="1:32" ht="15.75">
      <c r="A45" s="22"/>
      <c r="B45" s="30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23"/>
    </row>
    <row r="46" spans="1:32" ht="15.75">
      <c r="A46" s="31"/>
      <c r="B46" s="30"/>
      <c r="C46" s="3"/>
      <c r="D46" s="3"/>
      <c r="E46" s="3"/>
      <c r="F46" s="3"/>
      <c r="G46" s="3"/>
      <c r="H46" s="32" t="s">
        <v>3</v>
      </c>
      <c r="I46" s="30"/>
      <c r="J46" s="33"/>
      <c r="K46" s="34" t="s">
        <v>5</v>
      </c>
      <c r="L46" s="33"/>
      <c r="M46" s="33"/>
      <c r="N46" s="34" t="s">
        <v>6</v>
      </c>
      <c r="O46" s="33"/>
      <c r="P46" s="33"/>
      <c r="Q46" s="34" t="s">
        <v>7</v>
      </c>
      <c r="R46" s="30"/>
      <c r="S46" s="30"/>
      <c r="T46" s="33" t="s">
        <v>3</v>
      </c>
      <c r="U46" s="33"/>
      <c r="V46" s="33" t="s">
        <v>3</v>
      </c>
      <c r="W46" s="33"/>
      <c r="X46" s="33" t="s">
        <v>8</v>
      </c>
      <c r="Y46" s="3"/>
      <c r="Z46" s="3"/>
      <c r="AA46" s="3"/>
      <c r="AB46" s="3"/>
      <c r="AC46" s="3"/>
      <c r="AD46" s="3"/>
      <c r="AE46" s="3"/>
      <c r="AF46" s="23"/>
    </row>
    <row r="47" spans="1:32" ht="15.75">
      <c r="A47" s="31"/>
      <c r="B47" s="30"/>
      <c r="C47" s="3"/>
      <c r="D47" s="3"/>
      <c r="E47" s="3"/>
      <c r="F47" s="3"/>
      <c r="G47" s="3"/>
      <c r="H47" s="35" t="s">
        <v>9</v>
      </c>
      <c r="I47" s="30"/>
      <c r="J47" s="33"/>
      <c r="K47" s="33" t="s">
        <v>9</v>
      </c>
      <c r="L47" s="33"/>
      <c r="M47" s="33"/>
      <c r="N47" s="33" t="s">
        <v>9</v>
      </c>
      <c r="O47" s="33"/>
      <c r="P47" s="33"/>
      <c r="Q47" s="33" t="s">
        <v>9</v>
      </c>
      <c r="R47" s="30"/>
      <c r="S47" s="30"/>
      <c r="T47" s="33" t="s">
        <v>10</v>
      </c>
      <c r="U47" s="33"/>
      <c r="V47" s="33" t="s">
        <v>11</v>
      </c>
      <c r="W47" s="33"/>
      <c r="X47" s="33" t="s">
        <v>12</v>
      </c>
      <c r="Y47" s="3"/>
      <c r="Z47" s="3"/>
      <c r="AA47" s="3"/>
      <c r="AB47" s="3"/>
      <c r="AC47" s="3"/>
      <c r="AD47" s="3"/>
      <c r="AE47" s="3"/>
      <c r="AF47" s="23"/>
    </row>
    <row r="48" spans="1:32" ht="15.75">
      <c r="A48" s="31"/>
      <c r="B48" s="30"/>
      <c r="C48" s="3"/>
      <c r="D48" s="3"/>
      <c r="E48" s="3"/>
      <c r="F48" s="3"/>
      <c r="G48" s="3"/>
      <c r="H48" s="28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23"/>
    </row>
    <row r="49" spans="1:32" ht="16.5" thickBot="1">
      <c r="A49" s="36"/>
      <c r="B49" s="37"/>
      <c r="C49" s="38"/>
      <c r="D49" s="38"/>
      <c r="E49" s="38"/>
      <c r="F49" s="38"/>
      <c r="G49" s="38"/>
      <c r="H49" s="39"/>
      <c r="I49" s="38"/>
      <c r="J49" s="40"/>
      <c r="K49" s="39"/>
      <c r="L49" s="40"/>
      <c r="M49" s="40"/>
      <c r="N49" s="39"/>
      <c r="O49" s="40"/>
      <c r="P49" s="40"/>
      <c r="Q49" s="39"/>
      <c r="R49" s="38"/>
      <c r="S49" s="39"/>
      <c r="T49" s="39"/>
      <c r="U49" s="39"/>
      <c r="V49" s="39"/>
      <c r="W49" s="39"/>
      <c r="X49" s="39"/>
      <c r="Y49" s="38"/>
      <c r="Z49" s="38"/>
      <c r="AA49" s="38"/>
      <c r="AB49" s="38"/>
      <c r="AC49" s="38"/>
      <c r="AD49" s="38"/>
      <c r="AE49" s="38"/>
      <c r="AF49" s="41"/>
    </row>
    <row r="50" spans="1:32" ht="15.75" thickTop="1">
      <c r="B50" s="42"/>
    </row>
    <row r="51" spans="1:32">
      <c r="B51" s="42"/>
    </row>
    <row r="52" spans="1:32">
      <c r="B52" s="42"/>
    </row>
    <row r="53" spans="1:32">
      <c r="B53" s="42"/>
    </row>
    <row r="54" spans="1:32">
      <c r="B54" s="42"/>
    </row>
    <row r="55" spans="1:32">
      <c r="B55" s="42"/>
    </row>
    <row r="56" spans="1:32">
      <c r="B56" s="42"/>
    </row>
    <row r="57" spans="1:32">
      <c r="B57" s="42"/>
    </row>
    <row r="58" spans="1:32">
      <c r="B58" s="42"/>
    </row>
    <row r="59" spans="1:32">
      <c r="B59" s="42"/>
    </row>
    <row r="60" spans="1:32">
      <c r="B60" s="42"/>
    </row>
    <row r="61" spans="1:32">
      <c r="B61" s="42"/>
    </row>
    <row r="62" spans="1:32">
      <c r="B62" s="42"/>
    </row>
    <row r="63" spans="1:32">
      <c r="B63" s="42"/>
    </row>
    <row r="64" spans="1:32">
      <c r="B64" s="42"/>
    </row>
    <row r="65" spans="2:2">
      <c r="B65" s="42"/>
    </row>
    <row r="66" spans="2:2">
      <c r="B66" s="42"/>
    </row>
    <row r="67" spans="2:2">
      <c r="B67" s="42"/>
    </row>
    <row r="68" spans="2:2">
      <c r="B68" s="42"/>
    </row>
    <row r="69" spans="2:2">
      <c r="B69" s="42"/>
    </row>
    <row r="70" spans="2:2">
      <c r="B70" s="42"/>
    </row>
    <row r="71" spans="2:2">
      <c r="B71" s="42"/>
    </row>
    <row r="72" spans="2:2">
      <c r="B72" s="42"/>
    </row>
    <row r="73" spans="2:2">
      <c r="B73" s="42"/>
    </row>
    <row r="74" spans="2:2">
      <c r="B74" s="42"/>
    </row>
    <row r="75" spans="2:2">
      <c r="B75" s="42"/>
    </row>
    <row r="76" spans="2:2">
      <c r="B76" s="42"/>
    </row>
    <row r="77" spans="2:2">
      <c r="B77" s="42"/>
    </row>
    <row r="78" spans="2:2">
      <c r="B78" s="42"/>
    </row>
    <row r="79" spans="2:2">
      <c r="B79" s="42"/>
    </row>
    <row r="80" spans="2:2">
      <c r="B80" s="42"/>
    </row>
    <row r="81" spans="2:2">
      <c r="B81" s="42"/>
    </row>
    <row r="82" spans="2:2">
      <c r="B82" s="42"/>
    </row>
    <row r="83" spans="2:2">
      <c r="B83" s="42"/>
    </row>
    <row r="84" spans="2:2">
      <c r="B84" s="42"/>
    </row>
    <row r="85" spans="2:2">
      <c r="B85" s="42"/>
    </row>
    <row r="86" spans="2:2">
      <c r="B86" s="42"/>
    </row>
    <row r="87" spans="2:2">
      <c r="B87" s="42"/>
    </row>
    <row r="88" spans="2:2">
      <c r="B88" s="42"/>
    </row>
    <row r="89" spans="2:2">
      <c r="B89" s="42"/>
    </row>
    <row r="90" spans="2:2">
      <c r="B90" s="42"/>
    </row>
    <row r="91" spans="2:2">
      <c r="B91" s="42"/>
    </row>
    <row r="92" spans="2:2">
      <c r="B92" s="42"/>
    </row>
    <row r="93" spans="2:2">
      <c r="B93" s="42"/>
    </row>
    <row r="94" spans="2:2">
      <c r="B94" s="42"/>
    </row>
    <row r="95" spans="2:2">
      <c r="B95" s="42"/>
    </row>
    <row r="96" spans="2:2">
      <c r="B96" s="42"/>
    </row>
    <row r="97" spans="2:2">
      <c r="B97" s="42"/>
    </row>
    <row r="98" spans="2:2">
      <c r="B98" s="42"/>
    </row>
    <row r="99" spans="2:2">
      <c r="B99" s="42"/>
    </row>
    <row r="100" spans="2:2">
      <c r="B100" s="42"/>
    </row>
    <row r="101" spans="2:2">
      <c r="B101" s="42"/>
    </row>
    <row r="102" spans="2:2">
      <c r="B102" s="42"/>
    </row>
    <row r="103" spans="2:2">
      <c r="B103" s="42"/>
    </row>
    <row r="104" spans="2:2">
      <c r="B104" s="42"/>
    </row>
    <row r="105" spans="2:2">
      <c r="B105" s="42"/>
    </row>
    <row r="106" spans="2:2">
      <c r="B106" s="42"/>
    </row>
    <row r="107" spans="2:2">
      <c r="B107" s="42"/>
    </row>
    <row r="108" spans="2:2">
      <c r="B108" s="42"/>
    </row>
    <row r="109" spans="2:2">
      <c r="B109" s="42"/>
    </row>
    <row r="110" spans="2:2">
      <c r="B110" s="42"/>
    </row>
    <row r="111" spans="2:2">
      <c r="B111" s="42"/>
    </row>
    <row r="112" spans="2:2">
      <c r="B112" s="42"/>
    </row>
    <row r="113" spans="2:2">
      <c r="B113" s="42"/>
    </row>
    <row r="114" spans="2:2">
      <c r="B114" s="42"/>
    </row>
    <row r="115" spans="2:2">
      <c r="B115" s="42"/>
    </row>
    <row r="116" spans="2:2">
      <c r="B116" s="42"/>
    </row>
    <row r="117" spans="2:2">
      <c r="B117" s="42"/>
    </row>
    <row r="118" spans="2:2">
      <c r="B118" s="42"/>
    </row>
    <row r="119" spans="2:2">
      <c r="B119" s="42"/>
    </row>
    <row r="120" spans="2:2">
      <c r="B120" s="42"/>
    </row>
    <row r="121" spans="2:2">
      <c r="B121" s="42"/>
    </row>
    <row r="122" spans="2:2">
      <c r="B122" s="42"/>
    </row>
    <row r="123" spans="2:2">
      <c r="B123" s="42"/>
    </row>
    <row r="124" spans="2:2">
      <c r="B124" s="42"/>
    </row>
    <row r="125" spans="2:2">
      <c r="B125" s="42"/>
    </row>
    <row r="126" spans="2:2">
      <c r="B126" s="42"/>
    </row>
    <row r="127" spans="2:2">
      <c r="B127" s="42"/>
    </row>
    <row r="128" spans="2:2">
      <c r="B128" s="42"/>
    </row>
    <row r="129" spans="2:2">
      <c r="B129" s="42"/>
    </row>
    <row r="130" spans="2:2">
      <c r="B130" s="42"/>
    </row>
    <row r="131" spans="2:2">
      <c r="B131" s="42"/>
    </row>
    <row r="132" spans="2:2">
      <c r="B132" s="42"/>
    </row>
    <row r="133" spans="2:2">
      <c r="B133" s="42"/>
    </row>
    <row r="134" spans="2:2">
      <c r="B134" s="42"/>
    </row>
    <row r="135" spans="2:2">
      <c r="B135" s="42"/>
    </row>
    <row r="136" spans="2:2">
      <c r="B136" s="42"/>
    </row>
    <row r="137" spans="2:2">
      <c r="B137" s="42"/>
    </row>
    <row r="138" spans="2:2">
      <c r="B138" s="42"/>
    </row>
    <row r="139" spans="2:2">
      <c r="B139" s="42"/>
    </row>
    <row r="140" spans="2:2">
      <c r="B140" s="42"/>
    </row>
    <row r="141" spans="2:2">
      <c r="B141" s="42"/>
    </row>
    <row r="142" spans="2:2">
      <c r="B142" s="42"/>
    </row>
    <row r="143" spans="2:2">
      <c r="B143" s="42"/>
    </row>
    <row r="144" spans="2:2">
      <c r="B144" s="42"/>
    </row>
    <row r="145" spans="2:2">
      <c r="B145" s="42"/>
    </row>
    <row r="146" spans="2:2">
      <c r="B146" s="42"/>
    </row>
    <row r="147" spans="2:2">
      <c r="B147" s="42"/>
    </row>
    <row r="148" spans="2:2">
      <c r="B148" s="42"/>
    </row>
    <row r="149" spans="2:2">
      <c r="B149" s="42"/>
    </row>
    <row r="150" spans="2:2">
      <c r="B150" s="42"/>
    </row>
    <row r="151" spans="2:2">
      <c r="B151" s="42"/>
    </row>
    <row r="152" spans="2:2">
      <c r="B152" s="42"/>
    </row>
    <row r="153" spans="2:2">
      <c r="B153" s="42"/>
    </row>
    <row r="154" spans="2:2">
      <c r="B154" s="42"/>
    </row>
    <row r="155" spans="2:2">
      <c r="B155" s="42"/>
    </row>
    <row r="156" spans="2:2">
      <c r="B156" s="42"/>
    </row>
    <row r="157" spans="2:2">
      <c r="B157" s="42"/>
    </row>
    <row r="158" spans="2:2">
      <c r="B158" s="42"/>
    </row>
    <row r="159" spans="2:2">
      <c r="B159" s="42"/>
    </row>
    <row r="160" spans="2:2">
      <c r="B160" s="42"/>
    </row>
    <row r="161" spans="2:2">
      <c r="B161" s="42"/>
    </row>
    <row r="162" spans="2:2">
      <c r="B162" s="42"/>
    </row>
    <row r="163" spans="2:2">
      <c r="B163" s="42"/>
    </row>
    <row r="164" spans="2:2">
      <c r="B164" s="42"/>
    </row>
    <row r="165" spans="2:2">
      <c r="B165" s="42"/>
    </row>
    <row r="166" spans="2:2">
      <c r="B166" s="42"/>
    </row>
    <row r="167" spans="2:2">
      <c r="B167" s="42"/>
    </row>
    <row r="168" spans="2:2">
      <c r="B168" s="42"/>
    </row>
    <row r="169" spans="2:2">
      <c r="B169" s="42"/>
    </row>
    <row r="170" spans="2:2">
      <c r="B170" s="42"/>
    </row>
    <row r="171" spans="2:2">
      <c r="B171" s="42"/>
    </row>
    <row r="172" spans="2:2">
      <c r="B172" s="42"/>
    </row>
    <row r="173" spans="2:2">
      <c r="B173" s="42"/>
    </row>
    <row r="174" spans="2:2">
      <c r="B174" s="42"/>
    </row>
    <row r="175" spans="2:2">
      <c r="B175" s="42"/>
    </row>
    <row r="176" spans="2:2">
      <c r="B176" s="42"/>
    </row>
    <row r="177" spans="2:2">
      <c r="B177" s="42"/>
    </row>
    <row r="178" spans="2:2">
      <c r="B178" s="42"/>
    </row>
    <row r="179" spans="2:2">
      <c r="B179" s="42"/>
    </row>
    <row r="180" spans="2:2">
      <c r="B180" s="42"/>
    </row>
    <row r="181" spans="2:2">
      <c r="B181" s="42"/>
    </row>
    <row r="182" spans="2:2">
      <c r="B182" s="42"/>
    </row>
    <row r="183" spans="2:2">
      <c r="B183" s="42"/>
    </row>
    <row r="184" spans="2:2">
      <c r="B184" s="42"/>
    </row>
    <row r="185" spans="2:2">
      <c r="B185" s="42"/>
    </row>
    <row r="186" spans="2:2">
      <c r="B186" s="42"/>
    </row>
    <row r="187" spans="2:2">
      <c r="B187" s="42"/>
    </row>
    <row r="188" spans="2:2">
      <c r="B188" s="42"/>
    </row>
    <row r="189" spans="2:2">
      <c r="B189" s="42"/>
    </row>
    <row r="190" spans="2:2">
      <c r="B190" s="42"/>
    </row>
    <row r="191" spans="2:2">
      <c r="B191" s="42"/>
    </row>
    <row r="192" spans="2:2">
      <c r="B192" s="42"/>
    </row>
    <row r="193" spans="2:2">
      <c r="B193" s="42"/>
    </row>
    <row r="194" spans="2:2">
      <c r="B194" s="42"/>
    </row>
    <row r="195" spans="2:2">
      <c r="B195" s="42"/>
    </row>
    <row r="196" spans="2:2">
      <c r="B196" s="42"/>
    </row>
    <row r="197" spans="2:2">
      <c r="B197" s="42"/>
    </row>
    <row r="198" spans="2:2">
      <c r="B198" s="42"/>
    </row>
    <row r="199" spans="2:2">
      <c r="B199" s="42"/>
    </row>
    <row r="200" spans="2:2">
      <c r="B200" s="42"/>
    </row>
    <row r="201" spans="2:2">
      <c r="B201" s="42"/>
    </row>
    <row r="202" spans="2:2">
      <c r="B202" s="42"/>
    </row>
    <row r="203" spans="2:2">
      <c r="B203" s="42"/>
    </row>
    <row r="204" spans="2:2">
      <c r="B204" s="42"/>
    </row>
    <row r="205" spans="2:2">
      <c r="B205" s="42"/>
    </row>
    <row r="206" spans="2:2">
      <c r="B206" s="42"/>
    </row>
    <row r="207" spans="2:2">
      <c r="B207" s="42"/>
    </row>
    <row r="208" spans="2:2">
      <c r="B208" s="42"/>
    </row>
    <row r="209" spans="2:2">
      <c r="B209" s="42"/>
    </row>
    <row r="210" spans="2:2">
      <c r="B210" s="42"/>
    </row>
    <row r="211" spans="2:2">
      <c r="B211" s="42"/>
    </row>
    <row r="212" spans="2:2">
      <c r="B212" s="42"/>
    </row>
    <row r="213" spans="2:2">
      <c r="B213" s="42"/>
    </row>
    <row r="214" spans="2:2">
      <c r="B214" s="42"/>
    </row>
    <row r="215" spans="2:2">
      <c r="B215" s="42"/>
    </row>
    <row r="216" spans="2:2">
      <c r="B216" s="42"/>
    </row>
    <row r="217" spans="2:2">
      <c r="B217" s="42"/>
    </row>
    <row r="218" spans="2:2">
      <c r="B218" s="42"/>
    </row>
    <row r="219" spans="2:2">
      <c r="B219" s="42"/>
    </row>
    <row r="220" spans="2:2">
      <c r="B220" s="42"/>
    </row>
    <row r="221" spans="2:2">
      <c r="B221" s="42"/>
    </row>
    <row r="222" spans="2:2">
      <c r="B222" s="42"/>
    </row>
    <row r="223" spans="2:2">
      <c r="B223" s="42"/>
    </row>
    <row r="224" spans="2:2">
      <c r="B224" s="42"/>
    </row>
    <row r="225" spans="2:2">
      <c r="B225" s="42"/>
    </row>
    <row r="226" spans="2:2">
      <c r="B226" s="42"/>
    </row>
    <row r="227" spans="2:2">
      <c r="B227" s="42"/>
    </row>
    <row r="228" spans="2:2">
      <c r="B228" s="42"/>
    </row>
    <row r="229" spans="2:2">
      <c r="B229" s="42"/>
    </row>
    <row r="230" spans="2:2">
      <c r="B230" s="42"/>
    </row>
    <row r="231" spans="2:2">
      <c r="B231" s="42"/>
    </row>
    <row r="232" spans="2:2">
      <c r="B232" s="42"/>
    </row>
    <row r="233" spans="2:2">
      <c r="B233" s="42"/>
    </row>
    <row r="234" spans="2:2">
      <c r="B234" s="42"/>
    </row>
    <row r="235" spans="2:2">
      <c r="B235" s="42"/>
    </row>
    <row r="236" spans="2:2">
      <c r="B236" s="42"/>
    </row>
    <row r="237" spans="2:2">
      <c r="B237" s="42"/>
    </row>
    <row r="238" spans="2:2">
      <c r="B238" s="42"/>
    </row>
    <row r="239" spans="2:2">
      <c r="B239" s="42"/>
    </row>
    <row r="240" spans="2:2">
      <c r="B240" s="42"/>
    </row>
    <row r="241" spans="2:2">
      <c r="B241" s="42"/>
    </row>
    <row r="242" spans="2:2">
      <c r="B242" s="42"/>
    </row>
    <row r="243" spans="2:2">
      <c r="B243" s="42"/>
    </row>
    <row r="244" spans="2:2">
      <c r="B244" s="42"/>
    </row>
    <row r="245" spans="2:2">
      <c r="B245" s="42"/>
    </row>
    <row r="246" spans="2:2">
      <c r="B246" s="42"/>
    </row>
    <row r="247" spans="2:2">
      <c r="B247" s="42"/>
    </row>
    <row r="248" spans="2:2">
      <c r="B248" s="42"/>
    </row>
    <row r="249" spans="2:2">
      <c r="B249" s="42"/>
    </row>
    <row r="250" spans="2:2">
      <c r="B250" s="42"/>
    </row>
    <row r="251" spans="2:2">
      <c r="B251" s="42"/>
    </row>
    <row r="252" spans="2:2">
      <c r="B252" s="42"/>
    </row>
    <row r="253" spans="2:2">
      <c r="B253" s="42"/>
    </row>
    <row r="254" spans="2:2">
      <c r="B254" s="42"/>
    </row>
    <row r="255" spans="2:2">
      <c r="B255" s="42"/>
    </row>
    <row r="256" spans="2:2">
      <c r="B256" s="42"/>
    </row>
    <row r="257" spans="2:2">
      <c r="B257" s="42"/>
    </row>
    <row r="258" spans="2:2">
      <c r="B258" s="42"/>
    </row>
    <row r="259" spans="2:2">
      <c r="B259" s="42"/>
    </row>
    <row r="260" spans="2:2">
      <c r="B260" s="42"/>
    </row>
    <row r="261" spans="2:2">
      <c r="B261" s="42"/>
    </row>
    <row r="262" spans="2:2">
      <c r="B262" s="42"/>
    </row>
    <row r="263" spans="2:2">
      <c r="B263" s="42"/>
    </row>
    <row r="264" spans="2:2">
      <c r="B264" s="42"/>
    </row>
    <row r="265" spans="2:2">
      <c r="B265" s="42"/>
    </row>
    <row r="266" spans="2:2">
      <c r="B266" s="42"/>
    </row>
    <row r="267" spans="2:2">
      <c r="B267" s="42"/>
    </row>
    <row r="268" spans="2:2">
      <c r="B268" s="42"/>
    </row>
    <row r="269" spans="2:2">
      <c r="B269" s="42"/>
    </row>
    <row r="270" spans="2:2">
      <c r="B270" s="42"/>
    </row>
    <row r="271" spans="2:2">
      <c r="B271" s="42"/>
    </row>
    <row r="272" spans="2:2">
      <c r="B272" s="42"/>
    </row>
    <row r="273" spans="2:2">
      <c r="B273" s="42"/>
    </row>
    <row r="274" spans="2:2">
      <c r="B274" s="42"/>
    </row>
    <row r="275" spans="2:2">
      <c r="B275" s="42"/>
    </row>
    <row r="276" spans="2:2">
      <c r="B276" s="42"/>
    </row>
    <row r="277" spans="2:2">
      <c r="B277" s="42"/>
    </row>
    <row r="278" spans="2:2">
      <c r="B278" s="42"/>
    </row>
    <row r="279" spans="2:2">
      <c r="B279" s="42"/>
    </row>
    <row r="280" spans="2:2">
      <c r="B280" s="42"/>
    </row>
    <row r="281" spans="2:2">
      <c r="B281" s="42"/>
    </row>
    <row r="282" spans="2:2">
      <c r="B282" s="42"/>
    </row>
    <row r="283" spans="2:2">
      <c r="B283" s="42"/>
    </row>
    <row r="284" spans="2:2">
      <c r="B284" s="42"/>
    </row>
    <row r="285" spans="2:2">
      <c r="B285" s="42"/>
    </row>
    <row r="286" spans="2:2">
      <c r="B286" s="42"/>
    </row>
    <row r="287" spans="2:2">
      <c r="B287" s="42"/>
    </row>
    <row r="288" spans="2:2">
      <c r="B288" s="42"/>
    </row>
    <row r="289" spans="2:2">
      <c r="B289" s="42"/>
    </row>
    <row r="290" spans="2:2">
      <c r="B290" s="42"/>
    </row>
    <row r="291" spans="2:2">
      <c r="B291" s="42"/>
    </row>
    <row r="292" spans="2:2">
      <c r="B292" s="42"/>
    </row>
    <row r="293" spans="2:2">
      <c r="B293" s="42"/>
    </row>
    <row r="294" spans="2:2">
      <c r="B294" s="42"/>
    </row>
    <row r="295" spans="2:2">
      <c r="B295" s="42"/>
    </row>
    <row r="296" spans="2:2">
      <c r="B296" s="42"/>
    </row>
    <row r="297" spans="2:2">
      <c r="B297" s="42"/>
    </row>
    <row r="298" spans="2:2">
      <c r="B298" s="42"/>
    </row>
    <row r="299" spans="2:2">
      <c r="B299" s="42"/>
    </row>
    <row r="300" spans="2:2">
      <c r="B300" s="42"/>
    </row>
    <row r="301" spans="2:2">
      <c r="B301" s="42"/>
    </row>
    <row r="302" spans="2:2">
      <c r="B302" s="42"/>
    </row>
    <row r="303" spans="2:2">
      <c r="B303" s="42"/>
    </row>
    <row r="304" spans="2:2">
      <c r="B304" s="42"/>
    </row>
    <row r="305" spans="2:2">
      <c r="B305" s="42"/>
    </row>
    <row r="306" spans="2:2">
      <c r="B306" s="42"/>
    </row>
    <row r="307" spans="2:2">
      <c r="B307" s="42"/>
    </row>
    <row r="308" spans="2:2">
      <c r="B308" s="42"/>
    </row>
    <row r="309" spans="2:2">
      <c r="B309" s="42"/>
    </row>
    <row r="310" spans="2:2">
      <c r="B310" s="42"/>
    </row>
    <row r="311" spans="2:2">
      <c r="B311" s="42"/>
    </row>
    <row r="312" spans="2:2">
      <c r="B312" s="42"/>
    </row>
    <row r="313" spans="2:2">
      <c r="B313" s="42"/>
    </row>
    <row r="314" spans="2:2">
      <c r="B314" s="42"/>
    </row>
    <row r="315" spans="2:2">
      <c r="B315" s="42"/>
    </row>
    <row r="316" spans="2:2">
      <c r="B316" s="42"/>
    </row>
    <row r="317" spans="2:2">
      <c r="B317" s="42"/>
    </row>
    <row r="318" spans="2:2">
      <c r="B318" s="42"/>
    </row>
    <row r="319" spans="2:2">
      <c r="B319" s="42"/>
    </row>
    <row r="320" spans="2:2">
      <c r="B320" s="42"/>
    </row>
    <row r="321" spans="2:2">
      <c r="B321" s="42"/>
    </row>
    <row r="322" spans="2:2">
      <c r="B322" s="42"/>
    </row>
    <row r="323" spans="2:2">
      <c r="B323" s="42"/>
    </row>
    <row r="324" spans="2:2">
      <c r="B324" s="42"/>
    </row>
    <row r="325" spans="2:2">
      <c r="B325" s="42"/>
    </row>
    <row r="326" spans="2:2">
      <c r="B326" s="42"/>
    </row>
    <row r="327" spans="2:2">
      <c r="B327" s="42"/>
    </row>
    <row r="328" spans="2:2">
      <c r="B328" s="42"/>
    </row>
    <row r="329" spans="2:2">
      <c r="B329" s="42"/>
    </row>
    <row r="330" spans="2:2">
      <c r="B330" s="42"/>
    </row>
    <row r="331" spans="2:2">
      <c r="B331" s="42"/>
    </row>
    <row r="332" spans="2:2">
      <c r="B332" s="42"/>
    </row>
    <row r="333" spans="2:2">
      <c r="B333" s="42"/>
    </row>
    <row r="334" spans="2:2">
      <c r="B334" s="42"/>
    </row>
    <row r="335" spans="2:2">
      <c r="B335" s="42"/>
    </row>
    <row r="336" spans="2:2">
      <c r="B336" s="42"/>
    </row>
    <row r="337" spans="2:2">
      <c r="B337" s="42"/>
    </row>
    <row r="338" spans="2:2">
      <c r="B338" s="42"/>
    </row>
    <row r="339" spans="2:2">
      <c r="B339" s="42"/>
    </row>
    <row r="340" spans="2:2">
      <c r="B340" s="42"/>
    </row>
    <row r="341" spans="2:2">
      <c r="B341" s="42"/>
    </row>
    <row r="342" spans="2:2">
      <c r="B342" s="42"/>
    </row>
    <row r="343" spans="2:2">
      <c r="B343" s="42"/>
    </row>
    <row r="344" spans="2:2">
      <c r="B344" s="42"/>
    </row>
    <row r="345" spans="2:2">
      <c r="B345" s="42"/>
    </row>
    <row r="346" spans="2:2">
      <c r="B346" s="42"/>
    </row>
    <row r="347" spans="2:2">
      <c r="B347" s="42"/>
    </row>
    <row r="348" spans="2:2">
      <c r="B348" s="42"/>
    </row>
    <row r="349" spans="2:2">
      <c r="B349" s="42"/>
    </row>
    <row r="350" spans="2:2">
      <c r="B350" s="42"/>
    </row>
    <row r="351" spans="2:2">
      <c r="B351" s="42"/>
    </row>
    <row r="352" spans="2:2">
      <c r="B352" s="42"/>
    </row>
    <row r="353" spans="2:2">
      <c r="B353" s="42"/>
    </row>
    <row r="354" spans="2:2">
      <c r="B354" s="42"/>
    </row>
    <row r="355" spans="2:2">
      <c r="B355" s="42"/>
    </row>
    <row r="356" spans="2:2">
      <c r="B356" s="42"/>
    </row>
    <row r="357" spans="2:2">
      <c r="B357" s="42"/>
    </row>
    <row r="358" spans="2:2">
      <c r="B358" s="42"/>
    </row>
    <row r="359" spans="2:2">
      <c r="B359" s="42"/>
    </row>
    <row r="360" spans="2:2">
      <c r="B360" s="42"/>
    </row>
    <row r="361" spans="2:2">
      <c r="B361" s="42"/>
    </row>
    <row r="362" spans="2:2">
      <c r="B362" s="42"/>
    </row>
    <row r="363" spans="2:2">
      <c r="B363" s="42"/>
    </row>
    <row r="364" spans="2:2">
      <c r="B364" s="42"/>
    </row>
    <row r="365" spans="2:2">
      <c r="B365" s="42"/>
    </row>
    <row r="366" spans="2:2">
      <c r="B366" s="42"/>
    </row>
    <row r="367" spans="2:2">
      <c r="B367" s="42"/>
    </row>
    <row r="368" spans="2:2">
      <c r="B368" s="42"/>
    </row>
    <row r="369" spans="2:2">
      <c r="B369" s="42"/>
    </row>
    <row r="370" spans="2:2">
      <c r="B370" s="42"/>
    </row>
    <row r="371" spans="2:2">
      <c r="B371" s="42"/>
    </row>
    <row r="372" spans="2:2">
      <c r="B372" s="42"/>
    </row>
    <row r="373" spans="2:2">
      <c r="B373" s="42"/>
    </row>
    <row r="374" spans="2:2">
      <c r="B374" s="42"/>
    </row>
    <row r="375" spans="2:2">
      <c r="B375" s="42"/>
    </row>
    <row r="376" spans="2:2">
      <c r="B376" s="42"/>
    </row>
    <row r="377" spans="2:2">
      <c r="B377" s="42"/>
    </row>
    <row r="378" spans="2:2">
      <c r="B378" s="42"/>
    </row>
    <row r="379" spans="2:2">
      <c r="B379" s="42"/>
    </row>
    <row r="380" spans="2:2">
      <c r="B380" s="42"/>
    </row>
    <row r="381" spans="2:2">
      <c r="B381" s="42"/>
    </row>
    <row r="382" spans="2:2">
      <c r="B382" s="42"/>
    </row>
    <row r="383" spans="2:2">
      <c r="B383" s="42"/>
    </row>
    <row r="384" spans="2:2">
      <c r="B384" s="42"/>
    </row>
    <row r="385" spans="2:2">
      <c r="B385" s="42"/>
    </row>
    <row r="386" spans="2:2">
      <c r="B386" s="42"/>
    </row>
    <row r="387" spans="2:2">
      <c r="B387" s="42"/>
    </row>
    <row r="388" spans="2:2">
      <c r="B388" s="42"/>
    </row>
    <row r="389" spans="2:2">
      <c r="B389" s="42"/>
    </row>
    <row r="390" spans="2:2">
      <c r="B390" s="42"/>
    </row>
    <row r="391" spans="2:2">
      <c r="B391" s="42"/>
    </row>
    <row r="392" spans="2:2">
      <c r="B392" s="42"/>
    </row>
    <row r="393" spans="2:2">
      <c r="B393" s="42"/>
    </row>
    <row r="394" spans="2:2">
      <c r="B394" s="42"/>
    </row>
    <row r="395" spans="2:2">
      <c r="B395" s="42"/>
    </row>
    <row r="396" spans="2:2">
      <c r="B396" s="42"/>
    </row>
    <row r="397" spans="2:2">
      <c r="B397" s="42"/>
    </row>
    <row r="398" spans="2:2">
      <c r="B398" s="42"/>
    </row>
    <row r="399" spans="2:2">
      <c r="B399" s="42"/>
    </row>
    <row r="400" spans="2:2">
      <c r="B400" s="42"/>
    </row>
    <row r="401" spans="2:2">
      <c r="B401" s="42"/>
    </row>
    <row r="402" spans="2:2">
      <c r="B402" s="42"/>
    </row>
    <row r="403" spans="2:2">
      <c r="B403" s="42"/>
    </row>
    <row r="404" spans="2:2">
      <c r="B404" s="42"/>
    </row>
    <row r="405" spans="2:2">
      <c r="B405" s="42"/>
    </row>
    <row r="406" spans="2:2">
      <c r="B406" s="42"/>
    </row>
    <row r="407" spans="2:2">
      <c r="B407" s="42"/>
    </row>
    <row r="408" spans="2:2">
      <c r="B408" s="42"/>
    </row>
    <row r="409" spans="2:2">
      <c r="B409" s="42"/>
    </row>
    <row r="410" spans="2:2">
      <c r="B410" s="42"/>
    </row>
    <row r="411" spans="2:2">
      <c r="B411" s="42"/>
    </row>
    <row r="412" spans="2:2">
      <c r="B412" s="42"/>
    </row>
    <row r="413" spans="2:2">
      <c r="B413" s="42"/>
    </row>
    <row r="414" spans="2:2">
      <c r="B414" s="42"/>
    </row>
    <row r="415" spans="2:2">
      <c r="B415" s="42"/>
    </row>
    <row r="416" spans="2:2">
      <c r="B416" s="42"/>
    </row>
    <row r="417" spans="2:2">
      <c r="B417" s="42"/>
    </row>
    <row r="418" spans="2:2">
      <c r="B418" s="42"/>
    </row>
    <row r="419" spans="2:2">
      <c r="B419" s="42"/>
    </row>
    <row r="420" spans="2:2">
      <c r="B420" s="42"/>
    </row>
    <row r="421" spans="2:2">
      <c r="B421" s="42"/>
    </row>
    <row r="422" spans="2:2">
      <c r="B422" s="42"/>
    </row>
    <row r="423" spans="2:2">
      <c r="B423" s="42"/>
    </row>
    <row r="424" spans="2:2">
      <c r="B424" s="42"/>
    </row>
    <row r="425" spans="2:2">
      <c r="B425" s="42"/>
    </row>
    <row r="426" spans="2:2">
      <c r="B426" s="42"/>
    </row>
    <row r="427" spans="2:2">
      <c r="B427" s="42"/>
    </row>
    <row r="428" spans="2:2">
      <c r="B428" s="42"/>
    </row>
    <row r="429" spans="2:2">
      <c r="B429" s="42"/>
    </row>
    <row r="430" spans="2:2">
      <c r="B430" s="42"/>
    </row>
    <row r="431" spans="2:2">
      <c r="B431" s="42"/>
    </row>
    <row r="432" spans="2:2">
      <c r="B432" s="42"/>
    </row>
    <row r="433" spans="2:2">
      <c r="B433" s="42"/>
    </row>
    <row r="434" spans="2:2">
      <c r="B434" s="42"/>
    </row>
    <row r="435" spans="2:2">
      <c r="B435" s="42"/>
    </row>
    <row r="436" spans="2:2">
      <c r="B436" s="42"/>
    </row>
    <row r="437" spans="2:2">
      <c r="B437" s="42"/>
    </row>
    <row r="438" spans="2:2">
      <c r="B438" s="42"/>
    </row>
    <row r="439" spans="2:2">
      <c r="B439" s="42"/>
    </row>
    <row r="440" spans="2:2">
      <c r="B440" s="42"/>
    </row>
    <row r="441" spans="2:2">
      <c r="B441" s="42"/>
    </row>
    <row r="442" spans="2:2">
      <c r="B442" s="42"/>
    </row>
    <row r="443" spans="2:2">
      <c r="B443" s="42"/>
    </row>
    <row r="444" spans="2:2">
      <c r="B444" s="42"/>
    </row>
    <row r="445" spans="2:2">
      <c r="B445" s="42"/>
    </row>
    <row r="446" spans="2:2">
      <c r="B446" s="42"/>
    </row>
    <row r="447" spans="2:2">
      <c r="B447" s="42"/>
    </row>
    <row r="448" spans="2:2">
      <c r="B448" s="42"/>
    </row>
    <row r="449" spans="2:2">
      <c r="B449" s="42"/>
    </row>
    <row r="450" spans="2:2">
      <c r="B450" s="42"/>
    </row>
    <row r="451" spans="2:2">
      <c r="B451" s="42"/>
    </row>
    <row r="452" spans="2:2">
      <c r="B452" s="42"/>
    </row>
    <row r="453" spans="2:2">
      <c r="B453" s="42"/>
    </row>
    <row r="454" spans="2:2">
      <c r="B454" s="42"/>
    </row>
    <row r="455" spans="2:2">
      <c r="B455" s="42"/>
    </row>
    <row r="456" spans="2:2">
      <c r="B456" s="42"/>
    </row>
    <row r="457" spans="2:2">
      <c r="B457" s="42"/>
    </row>
    <row r="458" spans="2:2">
      <c r="B458" s="42"/>
    </row>
    <row r="459" spans="2:2">
      <c r="B459" s="42"/>
    </row>
    <row r="460" spans="2:2">
      <c r="B460" s="42"/>
    </row>
    <row r="461" spans="2:2">
      <c r="B461" s="42"/>
    </row>
    <row r="462" spans="2:2">
      <c r="B462" s="42"/>
    </row>
    <row r="463" spans="2:2">
      <c r="B463" s="42"/>
    </row>
    <row r="464" spans="2:2">
      <c r="B464" s="42"/>
    </row>
    <row r="465" spans="2:2">
      <c r="B465" s="42"/>
    </row>
    <row r="466" spans="2:2">
      <c r="B466" s="42"/>
    </row>
    <row r="467" spans="2:2">
      <c r="B467" s="42"/>
    </row>
    <row r="468" spans="2:2">
      <c r="B468" s="42"/>
    </row>
    <row r="469" spans="2:2">
      <c r="B469" s="42"/>
    </row>
    <row r="470" spans="2:2">
      <c r="B470" s="42"/>
    </row>
    <row r="471" spans="2:2">
      <c r="B471" s="42"/>
    </row>
    <row r="472" spans="2:2">
      <c r="B472" s="42"/>
    </row>
    <row r="473" spans="2:2">
      <c r="B473" s="42"/>
    </row>
    <row r="474" spans="2:2">
      <c r="B474" s="42"/>
    </row>
    <row r="475" spans="2:2">
      <c r="B475" s="42"/>
    </row>
    <row r="476" spans="2:2">
      <c r="B476" s="42"/>
    </row>
    <row r="477" spans="2:2">
      <c r="B477" s="42"/>
    </row>
    <row r="478" spans="2:2">
      <c r="B478" s="42"/>
    </row>
    <row r="479" spans="2:2">
      <c r="B479" s="42"/>
    </row>
    <row r="480" spans="2:2">
      <c r="B480" s="42"/>
    </row>
    <row r="481" spans="2:2">
      <c r="B481" s="42"/>
    </row>
    <row r="482" spans="2:2">
      <c r="B482" s="42"/>
    </row>
    <row r="483" spans="2:2">
      <c r="B483" s="42"/>
    </row>
    <row r="484" spans="2:2">
      <c r="B484" s="42"/>
    </row>
    <row r="485" spans="2:2">
      <c r="B485" s="42"/>
    </row>
    <row r="486" spans="2:2">
      <c r="B486" s="42"/>
    </row>
    <row r="487" spans="2:2">
      <c r="B487" s="42"/>
    </row>
    <row r="488" spans="2:2">
      <c r="B488" s="42"/>
    </row>
    <row r="489" spans="2:2">
      <c r="B489" s="42"/>
    </row>
    <row r="490" spans="2:2">
      <c r="B490" s="42"/>
    </row>
    <row r="491" spans="2:2">
      <c r="B491" s="42"/>
    </row>
    <row r="492" spans="2:2">
      <c r="B492" s="42"/>
    </row>
    <row r="493" spans="2:2">
      <c r="B493" s="42"/>
    </row>
    <row r="494" spans="2:2">
      <c r="B494" s="42"/>
    </row>
    <row r="495" spans="2:2">
      <c r="B495" s="42"/>
    </row>
    <row r="496" spans="2:2">
      <c r="B496" s="42"/>
    </row>
    <row r="497" spans="2:2">
      <c r="B497" s="42"/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>
  <dimension ref="A1:AF497"/>
  <sheetViews>
    <sheetView zoomScale="70" zoomScaleNormal="70" workbookViewId="0">
      <selection activeCell="B4" sqref="B4:AF9"/>
    </sheetView>
  </sheetViews>
  <sheetFormatPr defaultColWidth="5.7109375" defaultRowHeight="15"/>
  <cols>
    <col min="1" max="1" width="11.5703125" customWidth="1"/>
    <col min="2" max="32" width="7.7109375" style="43" customWidth="1"/>
    <col min="33" max="33" width="12.7109375" customWidth="1"/>
    <col min="257" max="257" width="11.5703125" customWidth="1"/>
    <col min="258" max="288" width="7.7109375" customWidth="1"/>
    <col min="289" max="289" width="12.7109375" customWidth="1"/>
    <col min="513" max="513" width="11.5703125" customWidth="1"/>
    <col min="514" max="544" width="7.7109375" customWidth="1"/>
    <col min="545" max="545" width="12.7109375" customWidth="1"/>
    <col min="769" max="769" width="11.5703125" customWidth="1"/>
    <col min="770" max="800" width="7.7109375" customWidth="1"/>
    <col min="801" max="801" width="12.7109375" customWidth="1"/>
    <col min="1025" max="1025" width="11.5703125" customWidth="1"/>
    <col min="1026" max="1056" width="7.7109375" customWidth="1"/>
    <col min="1057" max="1057" width="12.7109375" customWidth="1"/>
    <col min="1281" max="1281" width="11.5703125" customWidth="1"/>
    <col min="1282" max="1312" width="7.7109375" customWidth="1"/>
    <col min="1313" max="1313" width="12.7109375" customWidth="1"/>
    <col min="1537" max="1537" width="11.5703125" customWidth="1"/>
    <col min="1538" max="1568" width="7.7109375" customWidth="1"/>
    <col min="1569" max="1569" width="12.7109375" customWidth="1"/>
    <col min="1793" max="1793" width="11.5703125" customWidth="1"/>
    <col min="1794" max="1824" width="7.7109375" customWidth="1"/>
    <col min="1825" max="1825" width="12.7109375" customWidth="1"/>
    <col min="2049" max="2049" width="11.5703125" customWidth="1"/>
    <col min="2050" max="2080" width="7.7109375" customWidth="1"/>
    <col min="2081" max="2081" width="12.7109375" customWidth="1"/>
    <col min="2305" max="2305" width="11.5703125" customWidth="1"/>
    <col min="2306" max="2336" width="7.7109375" customWidth="1"/>
    <col min="2337" max="2337" width="12.7109375" customWidth="1"/>
    <col min="2561" max="2561" width="11.5703125" customWidth="1"/>
    <col min="2562" max="2592" width="7.7109375" customWidth="1"/>
    <col min="2593" max="2593" width="12.7109375" customWidth="1"/>
    <col min="2817" max="2817" width="11.5703125" customWidth="1"/>
    <col min="2818" max="2848" width="7.7109375" customWidth="1"/>
    <col min="2849" max="2849" width="12.7109375" customWidth="1"/>
    <col min="3073" max="3073" width="11.5703125" customWidth="1"/>
    <col min="3074" max="3104" width="7.7109375" customWidth="1"/>
    <col min="3105" max="3105" width="12.7109375" customWidth="1"/>
    <col min="3329" max="3329" width="11.5703125" customWidth="1"/>
    <col min="3330" max="3360" width="7.7109375" customWidth="1"/>
    <col min="3361" max="3361" width="12.7109375" customWidth="1"/>
    <col min="3585" max="3585" width="11.5703125" customWidth="1"/>
    <col min="3586" max="3616" width="7.7109375" customWidth="1"/>
    <col min="3617" max="3617" width="12.7109375" customWidth="1"/>
    <col min="3841" max="3841" width="11.5703125" customWidth="1"/>
    <col min="3842" max="3872" width="7.7109375" customWidth="1"/>
    <col min="3873" max="3873" width="12.7109375" customWidth="1"/>
    <col min="4097" max="4097" width="11.5703125" customWidth="1"/>
    <col min="4098" max="4128" width="7.7109375" customWidth="1"/>
    <col min="4129" max="4129" width="12.7109375" customWidth="1"/>
    <col min="4353" max="4353" width="11.5703125" customWidth="1"/>
    <col min="4354" max="4384" width="7.7109375" customWidth="1"/>
    <col min="4385" max="4385" width="12.7109375" customWidth="1"/>
    <col min="4609" max="4609" width="11.5703125" customWidth="1"/>
    <col min="4610" max="4640" width="7.7109375" customWidth="1"/>
    <col min="4641" max="4641" width="12.7109375" customWidth="1"/>
    <col min="4865" max="4865" width="11.5703125" customWidth="1"/>
    <col min="4866" max="4896" width="7.7109375" customWidth="1"/>
    <col min="4897" max="4897" width="12.7109375" customWidth="1"/>
    <col min="5121" max="5121" width="11.5703125" customWidth="1"/>
    <col min="5122" max="5152" width="7.7109375" customWidth="1"/>
    <col min="5153" max="5153" width="12.7109375" customWidth="1"/>
    <col min="5377" max="5377" width="11.5703125" customWidth="1"/>
    <col min="5378" max="5408" width="7.7109375" customWidth="1"/>
    <col min="5409" max="5409" width="12.7109375" customWidth="1"/>
    <col min="5633" max="5633" width="11.5703125" customWidth="1"/>
    <col min="5634" max="5664" width="7.7109375" customWidth="1"/>
    <col min="5665" max="5665" width="12.7109375" customWidth="1"/>
    <col min="5889" max="5889" width="11.5703125" customWidth="1"/>
    <col min="5890" max="5920" width="7.7109375" customWidth="1"/>
    <col min="5921" max="5921" width="12.7109375" customWidth="1"/>
    <col min="6145" max="6145" width="11.5703125" customWidth="1"/>
    <col min="6146" max="6176" width="7.7109375" customWidth="1"/>
    <col min="6177" max="6177" width="12.7109375" customWidth="1"/>
    <col min="6401" max="6401" width="11.5703125" customWidth="1"/>
    <col min="6402" max="6432" width="7.7109375" customWidth="1"/>
    <col min="6433" max="6433" width="12.7109375" customWidth="1"/>
    <col min="6657" max="6657" width="11.5703125" customWidth="1"/>
    <col min="6658" max="6688" width="7.7109375" customWidth="1"/>
    <col min="6689" max="6689" width="12.7109375" customWidth="1"/>
    <col min="6913" max="6913" width="11.5703125" customWidth="1"/>
    <col min="6914" max="6944" width="7.7109375" customWidth="1"/>
    <col min="6945" max="6945" width="12.7109375" customWidth="1"/>
    <col min="7169" max="7169" width="11.5703125" customWidth="1"/>
    <col min="7170" max="7200" width="7.7109375" customWidth="1"/>
    <col min="7201" max="7201" width="12.7109375" customWidth="1"/>
    <col min="7425" max="7425" width="11.5703125" customWidth="1"/>
    <col min="7426" max="7456" width="7.7109375" customWidth="1"/>
    <col min="7457" max="7457" width="12.7109375" customWidth="1"/>
    <col min="7681" max="7681" width="11.5703125" customWidth="1"/>
    <col min="7682" max="7712" width="7.7109375" customWidth="1"/>
    <col min="7713" max="7713" width="12.7109375" customWidth="1"/>
    <col min="7937" max="7937" width="11.5703125" customWidth="1"/>
    <col min="7938" max="7968" width="7.7109375" customWidth="1"/>
    <col min="7969" max="7969" width="12.7109375" customWidth="1"/>
    <col min="8193" max="8193" width="11.5703125" customWidth="1"/>
    <col min="8194" max="8224" width="7.7109375" customWidth="1"/>
    <col min="8225" max="8225" width="12.7109375" customWidth="1"/>
    <col min="8449" max="8449" width="11.5703125" customWidth="1"/>
    <col min="8450" max="8480" width="7.7109375" customWidth="1"/>
    <col min="8481" max="8481" width="12.7109375" customWidth="1"/>
    <col min="8705" max="8705" width="11.5703125" customWidth="1"/>
    <col min="8706" max="8736" width="7.7109375" customWidth="1"/>
    <col min="8737" max="8737" width="12.7109375" customWidth="1"/>
    <col min="8961" max="8961" width="11.5703125" customWidth="1"/>
    <col min="8962" max="8992" width="7.7109375" customWidth="1"/>
    <col min="8993" max="8993" width="12.7109375" customWidth="1"/>
    <col min="9217" max="9217" width="11.5703125" customWidth="1"/>
    <col min="9218" max="9248" width="7.7109375" customWidth="1"/>
    <col min="9249" max="9249" width="12.7109375" customWidth="1"/>
    <col min="9473" max="9473" width="11.5703125" customWidth="1"/>
    <col min="9474" max="9504" width="7.7109375" customWidth="1"/>
    <col min="9505" max="9505" width="12.7109375" customWidth="1"/>
    <col min="9729" max="9729" width="11.5703125" customWidth="1"/>
    <col min="9730" max="9760" width="7.7109375" customWidth="1"/>
    <col min="9761" max="9761" width="12.7109375" customWidth="1"/>
    <col min="9985" max="9985" width="11.5703125" customWidth="1"/>
    <col min="9986" max="10016" width="7.7109375" customWidth="1"/>
    <col min="10017" max="10017" width="12.7109375" customWidth="1"/>
    <col min="10241" max="10241" width="11.5703125" customWidth="1"/>
    <col min="10242" max="10272" width="7.7109375" customWidth="1"/>
    <col min="10273" max="10273" width="12.7109375" customWidth="1"/>
    <col min="10497" max="10497" width="11.5703125" customWidth="1"/>
    <col min="10498" max="10528" width="7.7109375" customWidth="1"/>
    <col min="10529" max="10529" width="12.7109375" customWidth="1"/>
    <col min="10753" max="10753" width="11.5703125" customWidth="1"/>
    <col min="10754" max="10784" width="7.7109375" customWidth="1"/>
    <col min="10785" max="10785" width="12.7109375" customWidth="1"/>
    <col min="11009" max="11009" width="11.5703125" customWidth="1"/>
    <col min="11010" max="11040" width="7.7109375" customWidth="1"/>
    <col min="11041" max="11041" width="12.7109375" customWidth="1"/>
    <col min="11265" max="11265" width="11.5703125" customWidth="1"/>
    <col min="11266" max="11296" width="7.7109375" customWidth="1"/>
    <col min="11297" max="11297" width="12.7109375" customWidth="1"/>
    <col min="11521" max="11521" width="11.5703125" customWidth="1"/>
    <col min="11522" max="11552" width="7.7109375" customWidth="1"/>
    <col min="11553" max="11553" width="12.7109375" customWidth="1"/>
    <col min="11777" max="11777" width="11.5703125" customWidth="1"/>
    <col min="11778" max="11808" width="7.7109375" customWidth="1"/>
    <col min="11809" max="11809" width="12.7109375" customWidth="1"/>
    <col min="12033" max="12033" width="11.5703125" customWidth="1"/>
    <col min="12034" max="12064" width="7.7109375" customWidth="1"/>
    <col min="12065" max="12065" width="12.7109375" customWidth="1"/>
    <col min="12289" max="12289" width="11.5703125" customWidth="1"/>
    <col min="12290" max="12320" width="7.7109375" customWidth="1"/>
    <col min="12321" max="12321" width="12.7109375" customWidth="1"/>
    <col min="12545" max="12545" width="11.5703125" customWidth="1"/>
    <col min="12546" max="12576" width="7.7109375" customWidth="1"/>
    <col min="12577" max="12577" width="12.7109375" customWidth="1"/>
    <col min="12801" max="12801" width="11.5703125" customWidth="1"/>
    <col min="12802" max="12832" width="7.7109375" customWidth="1"/>
    <col min="12833" max="12833" width="12.7109375" customWidth="1"/>
    <col min="13057" max="13057" width="11.5703125" customWidth="1"/>
    <col min="13058" max="13088" width="7.7109375" customWidth="1"/>
    <col min="13089" max="13089" width="12.7109375" customWidth="1"/>
    <col min="13313" max="13313" width="11.5703125" customWidth="1"/>
    <col min="13314" max="13344" width="7.7109375" customWidth="1"/>
    <col min="13345" max="13345" width="12.7109375" customWidth="1"/>
    <col min="13569" max="13569" width="11.5703125" customWidth="1"/>
    <col min="13570" max="13600" width="7.7109375" customWidth="1"/>
    <col min="13601" max="13601" width="12.7109375" customWidth="1"/>
    <col min="13825" max="13825" width="11.5703125" customWidth="1"/>
    <col min="13826" max="13856" width="7.7109375" customWidth="1"/>
    <col min="13857" max="13857" width="12.7109375" customWidth="1"/>
    <col min="14081" max="14081" width="11.5703125" customWidth="1"/>
    <col min="14082" max="14112" width="7.7109375" customWidth="1"/>
    <col min="14113" max="14113" width="12.7109375" customWidth="1"/>
    <col min="14337" max="14337" width="11.5703125" customWidth="1"/>
    <col min="14338" max="14368" width="7.7109375" customWidth="1"/>
    <col min="14369" max="14369" width="12.7109375" customWidth="1"/>
    <col min="14593" max="14593" width="11.5703125" customWidth="1"/>
    <col min="14594" max="14624" width="7.7109375" customWidth="1"/>
    <col min="14625" max="14625" width="12.7109375" customWidth="1"/>
    <col min="14849" max="14849" width="11.5703125" customWidth="1"/>
    <col min="14850" max="14880" width="7.7109375" customWidth="1"/>
    <col min="14881" max="14881" width="12.7109375" customWidth="1"/>
    <col min="15105" max="15105" width="11.5703125" customWidth="1"/>
    <col min="15106" max="15136" width="7.7109375" customWidth="1"/>
    <col min="15137" max="15137" width="12.7109375" customWidth="1"/>
    <col min="15361" max="15361" width="11.5703125" customWidth="1"/>
    <col min="15362" max="15392" width="7.7109375" customWidth="1"/>
    <col min="15393" max="15393" width="12.7109375" customWidth="1"/>
    <col min="15617" max="15617" width="11.5703125" customWidth="1"/>
    <col min="15618" max="15648" width="7.7109375" customWidth="1"/>
    <col min="15649" max="15649" width="12.7109375" customWidth="1"/>
    <col min="15873" max="15873" width="11.5703125" customWidth="1"/>
    <col min="15874" max="15904" width="7.7109375" customWidth="1"/>
    <col min="15905" max="15905" width="12.7109375" customWidth="1"/>
    <col min="16129" max="16129" width="11.5703125" customWidth="1"/>
    <col min="16130" max="16160" width="7.7109375" customWidth="1"/>
    <col min="16161" max="16161" width="12.7109375" customWidth="1"/>
  </cols>
  <sheetData>
    <row r="1" spans="1:32" ht="18">
      <c r="A1" s="1"/>
      <c r="B1" s="2" t="str">
        <f>'[8]Dia 1 (b)'!C1</f>
        <v>AGOSTO DE 2023</v>
      </c>
      <c r="C1" s="3"/>
      <c r="D1" s="4"/>
      <c r="E1" s="5"/>
      <c r="F1" s="2"/>
      <c r="G1" s="3"/>
      <c r="H1" s="3"/>
      <c r="I1" s="3"/>
      <c r="J1" s="3"/>
      <c r="K1" s="3" t="s">
        <v>0</v>
      </c>
      <c r="L1" s="3"/>
      <c r="M1" s="3"/>
      <c r="N1" s="6"/>
      <c r="O1" s="7"/>
      <c r="P1" s="8"/>
      <c r="Q1" s="7"/>
      <c r="R1" s="7"/>
      <c r="S1" s="7"/>
      <c r="T1" s="7"/>
      <c r="U1" s="7"/>
      <c r="V1" s="9"/>
      <c r="W1" s="3"/>
      <c r="X1" s="3"/>
      <c r="Y1" s="3"/>
      <c r="Z1" s="3"/>
      <c r="AA1" s="3"/>
      <c r="AB1" s="3"/>
      <c r="AC1" s="3"/>
      <c r="AD1" s="3"/>
      <c r="AE1" s="3"/>
      <c r="AF1" s="3"/>
    </row>
    <row r="2" spans="1:32" ht="15.75" thickBot="1">
      <c r="A2" s="1"/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</row>
    <row r="3" spans="1:32" ht="20.100000000000001" customHeight="1" thickBot="1">
      <c r="A3" s="10" t="s">
        <v>1</v>
      </c>
      <c r="B3" s="11">
        <v>1</v>
      </c>
      <c r="C3" s="11">
        <v>2</v>
      </c>
      <c r="D3" s="11">
        <v>3</v>
      </c>
      <c r="E3" s="11">
        <v>4</v>
      </c>
      <c r="F3" s="11">
        <v>5</v>
      </c>
      <c r="G3" s="11">
        <v>6</v>
      </c>
      <c r="H3" s="11">
        <v>7</v>
      </c>
      <c r="I3" s="11">
        <v>8</v>
      </c>
      <c r="J3" s="11">
        <v>9</v>
      </c>
      <c r="K3" s="11">
        <v>10</v>
      </c>
      <c r="L3" s="11">
        <v>11</v>
      </c>
      <c r="M3" s="11">
        <v>12</v>
      </c>
      <c r="N3" s="11">
        <v>13</v>
      </c>
      <c r="O3" s="11">
        <v>14</v>
      </c>
      <c r="P3" s="11">
        <v>15</v>
      </c>
      <c r="Q3" s="11">
        <v>16</v>
      </c>
      <c r="R3" s="11">
        <v>17</v>
      </c>
      <c r="S3" s="11">
        <v>18</v>
      </c>
      <c r="T3" s="11">
        <v>19</v>
      </c>
      <c r="U3" s="11">
        <v>20</v>
      </c>
      <c r="V3" s="11">
        <v>21</v>
      </c>
      <c r="W3" s="11">
        <v>22</v>
      </c>
      <c r="X3" s="11">
        <v>23</v>
      </c>
      <c r="Y3" s="11">
        <v>24</v>
      </c>
      <c r="Z3" s="12">
        <v>25</v>
      </c>
      <c r="AA3" s="12">
        <v>26</v>
      </c>
      <c r="AB3" s="12">
        <v>27</v>
      </c>
      <c r="AC3" s="12">
        <v>28</v>
      </c>
      <c r="AD3" s="12">
        <v>29</v>
      </c>
      <c r="AE3" s="12">
        <v>30</v>
      </c>
      <c r="AF3" s="13">
        <v>31</v>
      </c>
    </row>
    <row r="4" spans="1:32" ht="20.100000000000001" customHeight="1">
      <c r="A4" s="14">
        <v>1</v>
      </c>
      <c r="B4" s="59"/>
      <c r="C4" s="59"/>
      <c r="D4" s="59"/>
      <c r="E4" s="59"/>
      <c r="F4" s="59"/>
      <c r="G4" s="59"/>
      <c r="H4" s="59"/>
      <c r="I4" s="59"/>
      <c r="J4" s="59"/>
      <c r="K4" s="59"/>
      <c r="L4" s="59"/>
      <c r="M4" s="59"/>
      <c r="N4" s="59"/>
      <c r="O4" s="59"/>
      <c r="P4" s="59"/>
      <c r="Q4" s="59"/>
      <c r="R4" s="59"/>
      <c r="S4" s="59"/>
      <c r="T4" s="59"/>
      <c r="U4" s="59"/>
      <c r="V4" s="59"/>
      <c r="W4" s="59"/>
      <c r="X4" s="59"/>
      <c r="Y4" s="59"/>
      <c r="Z4" s="59"/>
      <c r="AA4" s="59"/>
      <c r="AB4" s="59"/>
      <c r="AC4" s="59"/>
      <c r="AD4" s="59"/>
      <c r="AE4" s="59"/>
      <c r="AF4" s="59"/>
    </row>
    <row r="5" spans="1:32" ht="20.100000000000001" customHeight="1">
      <c r="A5" s="14">
        <v>2</v>
      </c>
      <c r="B5" s="59"/>
      <c r="C5" s="59"/>
      <c r="D5" s="59"/>
      <c r="E5" s="59"/>
      <c r="F5" s="59"/>
      <c r="G5" s="59"/>
      <c r="H5" s="59"/>
      <c r="I5" s="59"/>
      <c r="J5" s="59"/>
      <c r="K5" s="59"/>
      <c r="L5" s="59"/>
      <c r="M5" s="59"/>
      <c r="N5" s="59"/>
      <c r="O5" s="59"/>
      <c r="P5" s="59"/>
      <c r="Q5" s="59"/>
      <c r="R5" s="59"/>
      <c r="S5" s="59"/>
      <c r="T5" s="59"/>
      <c r="U5" s="59"/>
      <c r="V5" s="59"/>
      <c r="W5" s="59"/>
      <c r="X5" s="59"/>
      <c r="Y5" s="59"/>
      <c r="Z5" s="59"/>
      <c r="AA5" s="59"/>
      <c r="AB5" s="59"/>
      <c r="AC5" s="59"/>
      <c r="AD5" s="59"/>
      <c r="AE5" s="59"/>
      <c r="AF5" s="59"/>
    </row>
    <row r="6" spans="1:32" ht="20.100000000000001" customHeight="1">
      <c r="A6" s="14">
        <v>3</v>
      </c>
      <c r="B6" s="59"/>
      <c r="C6" s="59"/>
      <c r="D6" s="59"/>
      <c r="E6" s="59"/>
      <c r="F6" s="59"/>
      <c r="G6" s="59"/>
      <c r="H6" s="59"/>
      <c r="I6" s="59"/>
      <c r="J6" s="59"/>
      <c r="K6" s="59"/>
      <c r="L6" s="59"/>
      <c r="M6" s="59"/>
      <c r="N6" s="59"/>
      <c r="O6" s="59"/>
      <c r="P6" s="59"/>
      <c r="Q6" s="59"/>
      <c r="R6" s="59"/>
      <c r="S6" s="59"/>
      <c r="T6" s="59"/>
      <c r="U6" s="59"/>
      <c r="V6" s="59"/>
      <c r="W6" s="59"/>
      <c r="X6" s="59"/>
      <c r="Y6" s="59"/>
      <c r="Z6" s="59"/>
      <c r="AA6" s="59"/>
      <c r="AB6" s="59"/>
      <c r="AC6" s="59"/>
      <c r="AD6" s="59"/>
      <c r="AE6" s="59"/>
      <c r="AF6" s="59"/>
    </row>
    <row r="7" spans="1:32" ht="20.100000000000001" customHeight="1">
      <c r="A7" s="14">
        <v>4</v>
      </c>
      <c r="B7" s="59"/>
      <c r="C7" s="59"/>
      <c r="D7" s="59"/>
      <c r="E7" s="59"/>
      <c r="F7" s="59"/>
      <c r="G7" s="59"/>
      <c r="H7" s="59"/>
      <c r="I7" s="59"/>
      <c r="J7" s="59"/>
      <c r="K7" s="59"/>
      <c r="L7" s="59"/>
      <c r="M7" s="59"/>
      <c r="N7" s="59"/>
      <c r="O7" s="59"/>
      <c r="P7" s="59"/>
      <c r="Q7" s="59"/>
      <c r="R7" s="59"/>
      <c r="S7" s="59"/>
      <c r="T7" s="59"/>
      <c r="U7" s="59"/>
      <c r="V7" s="59"/>
      <c r="W7" s="59"/>
      <c r="X7" s="59"/>
      <c r="Y7" s="59"/>
      <c r="Z7" s="59"/>
      <c r="AA7" s="59"/>
      <c r="AB7" s="59"/>
      <c r="AC7" s="59"/>
      <c r="AD7" s="59"/>
      <c r="AE7" s="59"/>
      <c r="AF7" s="59"/>
    </row>
    <row r="8" spans="1:32" ht="20.100000000000001" customHeight="1">
      <c r="A8" s="14">
        <v>5</v>
      </c>
      <c r="B8" s="59"/>
      <c r="C8" s="59"/>
      <c r="D8" s="59"/>
      <c r="E8" s="59"/>
      <c r="F8" s="59"/>
      <c r="G8" s="59"/>
      <c r="H8" s="59"/>
      <c r="I8" s="59"/>
      <c r="J8" s="59"/>
      <c r="K8" s="59"/>
      <c r="L8" s="59"/>
      <c r="M8" s="59"/>
      <c r="N8" s="59"/>
      <c r="O8" s="59"/>
      <c r="P8" s="59"/>
      <c r="Q8" s="59"/>
      <c r="R8" s="59"/>
      <c r="S8" s="59"/>
      <c r="T8" s="59"/>
      <c r="U8" s="59"/>
      <c r="V8" s="59"/>
      <c r="W8" s="59"/>
      <c r="X8" s="59"/>
      <c r="Y8" s="59"/>
      <c r="Z8" s="59"/>
      <c r="AA8" s="59"/>
      <c r="AB8" s="59"/>
      <c r="AC8" s="59"/>
      <c r="AD8" s="59"/>
      <c r="AE8" s="59"/>
      <c r="AF8" s="59"/>
    </row>
    <row r="9" spans="1:32" ht="20.100000000000001" customHeight="1">
      <c r="A9" s="14">
        <v>6</v>
      </c>
      <c r="B9" s="59"/>
      <c r="C9" s="59"/>
      <c r="D9" s="59"/>
      <c r="E9" s="59"/>
      <c r="F9" s="59"/>
      <c r="G9" s="59"/>
      <c r="H9" s="59"/>
      <c r="I9" s="59"/>
      <c r="J9" s="59"/>
      <c r="K9" s="59"/>
      <c r="L9" s="59"/>
      <c r="M9" s="59"/>
      <c r="N9" s="59"/>
      <c r="O9" s="59"/>
      <c r="P9" s="59"/>
      <c r="Q9" s="59"/>
      <c r="R9" s="59"/>
      <c r="S9" s="59"/>
      <c r="T9" s="59"/>
      <c r="U9" s="59"/>
      <c r="V9" s="59"/>
      <c r="W9" s="59"/>
      <c r="X9" s="59"/>
      <c r="Y9" s="59"/>
      <c r="Z9" s="59"/>
      <c r="AA9" s="59"/>
      <c r="AB9" s="59"/>
      <c r="AC9" s="59"/>
      <c r="AD9" s="59"/>
      <c r="AE9" s="59"/>
      <c r="AF9" s="59"/>
    </row>
    <row r="10" spans="1:32" ht="20.100000000000001" customHeight="1">
      <c r="A10" s="14">
        <v>7</v>
      </c>
      <c r="B10" s="15">
        <f>'[8]Dia 1 (b)'!$X16</f>
        <v>10.940335031260927</v>
      </c>
      <c r="C10" s="15">
        <f>'[8]Dia 2 (b)'!$X16</f>
        <v>10.830513634546994</v>
      </c>
      <c r="D10" s="15">
        <f>'[8]Dia 3 (b)'!$X16</f>
        <v>9.3598395147879199</v>
      </c>
      <c r="E10" s="15">
        <f>'[8]Dia 4 (b)'!$X16</f>
        <v>9.5735039314966883</v>
      </c>
      <c r="F10" s="15">
        <f>'[8]Dia 5 (b)'!$X16</f>
        <v>8.8226466314341536</v>
      </c>
      <c r="G10" s="15">
        <f>'[8]Dia 6 (b)'!$X16</f>
        <v>8.7982232989602576</v>
      </c>
      <c r="H10" s="15">
        <f>'[8]Dia 7 (b)'!$X16</f>
        <v>9.5327320094313883</v>
      </c>
      <c r="I10" s="15">
        <f>'[8]Dia 8 (b)'!$X16</f>
        <v>10.783493268917212</v>
      </c>
      <c r="J10" s="15">
        <f>'[8]Dia 9 (b)'!$X16</f>
        <v>11.144666776229046</v>
      </c>
      <c r="K10" s="15">
        <f>'[8]Dia 10 (b)'!$X16</f>
        <v>11.167229186032049</v>
      </c>
      <c r="L10" s="15">
        <f>'[8]Dia 11 (b)'!$X16</f>
        <v>11.287236831851988</v>
      </c>
      <c r="M10" s="15">
        <f>'[8]Dia 12 (b)'!$X16</f>
        <v>10.634054251321711</v>
      </c>
      <c r="N10" s="15">
        <f>'[8]Dia 13 (b)'!$X16</f>
        <v>11.98596481349181</v>
      </c>
      <c r="O10" s="15">
        <f>'[8]Dia 14 (b)'!$X16</f>
        <v>10.002960546334503</v>
      </c>
      <c r="P10" s="15">
        <f>'[8]Dia 15 (b)'!$X16</f>
        <v>11.628558283573412</v>
      </c>
      <c r="Q10" s="15">
        <f>'[8]Dia 16 (b)'!$X16</f>
        <v>12.62217548044168</v>
      </c>
      <c r="R10" s="15">
        <f>'[8]Dia 17 (b)'!$X16</f>
        <v>11.840536727393307</v>
      </c>
      <c r="S10" s="15">
        <f>'[8]Dia 18 (b)'!$X16</f>
        <v>11.22493193082429</v>
      </c>
      <c r="T10" s="15">
        <f>'[8]Dia 19 (b)'!$X16</f>
        <v>9.9803625479050844</v>
      </c>
      <c r="U10" s="15">
        <f>'[8]Dia 20 (b)'!$X16</f>
        <v>11.462493140887609</v>
      </c>
      <c r="V10" s="15">
        <f>'[8]Dia 21 (b)'!$X16</f>
        <v>10.656135980487878</v>
      </c>
      <c r="W10" s="15">
        <f>'[8]Dia 22 (b)'!$X16</f>
        <v>10.810240273527537</v>
      </c>
      <c r="X10" s="15">
        <f>'[8]Dia 23 (b)'!$X16</f>
        <v>8.9310239956583128</v>
      </c>
      <c r="Y10" s="15">
        <f>'[8]Dia 24 (b)'!$X16</f>
        <v>8.6324306425672575</v>
      </c>
      <c r="Z10" s="15">
        <f>'[8]Dia 25 (b)'!$X16</f>
        <v>11.509754295967985</v>
      </c>
      <c r="AA10" s="15">
        <f>'[8]Dia 26 (b)'!$X16</f>
        <v>9.7670699291809804</v>
      </c>
      <c r="AB10" s="15">
        <f>'[8]Dia 27 (b)'!$X16</f>
        <v>8.3632296901463548</v>
      </c>
      <c r="AC10" s="15">
        <f>'[8]Dia 28 (b)'!$X16</f>
        <v>8.9118306082244114</v>
      </c>
      <c r="AD10" s="15">
        <f>'[8]Dia 29 (b)'!$X16</f>
        <v>9.7282580953411291</v>
      </c>
      <c r="AE10" s="15">
        <f>'[8]Dia 30 (b)'!$X16</f>
        <v>10.776896698878046</v>
      </c>
      <c r="AF10" s="15">
        <f>'[8]Dia 31 (b)'!$X16</f>
        <v>8.2271296714467947</v>
      </c>
    </row>
    <row r="11" spans="1:32" ht="20.100000000000001" customHeight="1">
      <c r="A11" s="14">
        <v>8</v>
      </c>
      <c r="B11" s="15">
        <f>'[8]Dia 1 (b)'!$X17</f>
        <v>11.192443654934866</v>
      </c>
      <c r="C11" s="15">
        <f>'[8]Dia 2 (b)'!$X17</f>
        <v>11.030864914326983</v>
      </c>
      <c r="D11" s="15">
        <f>'[8]Dia 3 (b)'!$X17</f>
        <v>10.94464156217945</v>
      </c>
      <c r="E11" s="15">
        <f>'[8]Dia 4 (b)'!$X17</f>
        <v>10.079725071855984</v>
      </c>
      <c r="F11" s="15">
        <f>'[8]Dia 5 (b)'!$X17</f>
        <v>11.49533774120056</v>
      </c>
      <c r="G11" s="15">
        <f>'[8]Dia 6 (b)'!$X17</f>
        <v>10.247483038890197</v>
      </c>
      <c r="H11" s="15">
        <f>'[8]Dia 7 (b)'!$X17</f>
        <v>11.050484846924499</v>
      </c>
      <c r="I11" s="15">
        <f>'[8]Dia 8 (b)'!$X17</f>
        <v>11.407450209846594</v>
      </c>
      <c r="J11" s="15">
        <f>'[8]Dia 9 (b)'!$X17</f>
        <v>11.094819556562893</v>
      </c>
      <c r="K11" s="15">
        <f>'[8]Dia 10 (b)'!$X17</f>
        <v>11.318281243164774</v>
      </c>
      <c r="L11" s="15">
        <f>'[8]Dia 11 (b)'!$X17</f>
        <v>12.000273727857032</v>
      </c>
      <c r="M11" s="15">
        <f>'[8]Dia 12 (b)'!$X17</f>
        <v>11.247682878998825</v>
      </c>
      <c r="N11" s="15">
        <f>'[8]Dia 13 (b)'!$X17</f>
        <v>11.897312088030787</v>
      </c>
      <c r="O11" s="15">
        <f>'[8]Dia 14 (b)'!$X17</f>
        <v>10.358304003348895</v>
      </c>
      <c r="P11" s="15">
        <f>'[8]Dia 15 (b)'!$X17</f>
        <v>11.463091695506403</v>
      </c>
      <c r="Q11" s="15">
        <f>'[8]Dia 16 (b)'!$X17</f>
        <v>12.697043681418961</v>
      </c>
      <c r="R11" s="15">
        <f>'[8]Dia 17 (b)'!$X17</f>
        <v>12.220304954937045</v>
      </c>
      <c r="S11" s="15">
        <f>'[8]Dia 18 (b)'!$X17</f>
        <v>11.665445346480427</v>
      </c>
      <c r="T11" s="15">
        <f>'[8]Dia 19 (b)'!$X17</f>
        <v>9.666064122291484</v>
      </c>
      <c r="U11" s="15">
        <f>'[8]Dia 20 (b)'!$X17</f>
        <v>11.193926671220193</v>
      </c>
      <c r="V11" s="15">
        <f>'[8]Dia 21 (b)'!$X17</f>
        <v>10.588842262709777</v>
      </c>
      <c r="W11" s="15">
        <f>'[8]Dia 22 (b)'!$X17</f>
        <v>11.020084848612596</v>
      </c>
      <c r="X11" s="15">
        <f>'[8]Dia 23 (b)'!$X17</f>
        <v>9.9910399829540886</v>
      </c>
      <c r="Y11" s="15">
        <f>'[8]Dia 24 (b)'!$X17</f>
        <v>9.9121366878976449</v>
      </c>
      <c r="Z11" s="15">
        <f>'[8]Dia 25 (b)'!$X17</f>
        <v>11.063486507287427</v>
      </c>
      <c r="AA11" s="15">
        <f>'[8]Dia 26 (b)'!$X17</f>
        <v>9.6669698087618272</v>
      </c>
      <c r="AB11" s="15">
        <f>'[8]Dia 27 (b)'!$X17</f>
        <v>8.455955434037282</v>
      </c>
      <c r="AC11" s="15">
        <f>'[8]Dia 28 (b)'!$X17</f>
        <v>8.969613937766244</v>
      </c>
      <c r="AD11" s="15">
        <f>'[8]Dia 29 (b)'!$X17</f>
        <v>9.5427894620405489</v>
      </c>
      <c r="AE11" s="15">
        <f>'[8]Dia 30 (b)'!$X17</f>
        <v>10.865881370719658</v>
      </c>
      <c r="AF11" s="15">
        <f>'[8]Dia 31 (b)'!$X17</f>
        <v>10.6696075570476</v>
      </c>
    </row>
    <row r="12" spans="1:32" ht="20.100000000000001" customHeight="1">
      <c r="A12" s="14">
        <v>9</v>
      </c>
      <c r="B12" s="15">
        <f>'[8]Dia 1 (b)'!$X18</f>
        <v>10.699564306400832</v>
      </c>
      <c r="C12" s="15">
        <f>'[8]Dia 2 (b)'!$X18</f>
        <v>10.829402581252673</v>
      </c>
      <c r="D12" s="15">
        <f>'[8]Dia 3 (b)'!$X18</f>
        <v>10.207128910541968</v>
      </c>
      <c r="E12" s="15">
        <f>'[8]Dia 4 (b)'!$X18</f>
        <v>9.8524052034729586</v>
      </c>
      <c r="F12" s="15">
        <f>'[8]Dia 5 (b)'!$X18</f>
        <v>11.062063304490042</v>
      </c>
      <c r="G12" s="15">
        <f>'[8]Dia 6 (b)'!$X18</f>
        <v>10.457813598553713</v>
      </c>
      <c r="H12" s="15">
        <f>'[8]Dia 7 (b)'!$X18</f>
        <v>10.539485152793949</v>
      </c>
      <c r="I12" s="15">
        <f>'[8]Dia 8 (b)'!$X18</f>
        <v>11.240100931688094</v>
      </c>
      <c r="J12" s="15">
        <f>'[8]Dia 9 (b)'!$X18</f>
        <v>11.304266118976468</v>
      </c>
      <c r="K12" s="15">
        <f>'[8]Dia 10 (b)'!$X18</f>
        <v>11.203861774740165</v>
      </c>
      <c r="L12" s="15">
        <f>'[8]Dia 11 (b)'!$X18</f>
        <v>11.456032296267301</v>
      </c>
      <c r="M12" s="15">
        <f>'[8]Dia 12 (b)'!$X18</f>
        <v>11.082357332075665</v>
      </c>
      <c r="N12" s="15">
        <f>'[8]Dia 13 (b)'!$X18</f>
        <v>11.30196711819284</v>
      </c>
      <c r="O12" s="15">
        <f>'[8]Dia 14 (b)'!$X18</f>
        <v>10.29495654337267</v>
      </c>
      <c r="P12" s="15">
        <f>'[8]Dia 15 (b)'!$X18</f>
        <v>11.838132863095394</v>
      </c>
      <c r="Q12" s="15">
        <f>'[8]Dia 16 (b)'!$X18</f>
        <v>12.575299153861557</v>
      </c>
      <c r="R12" s="15">
        <f>'[8]Dia 17 (b)'!$X18</f>
        <v>11.974591043369905</v>
      </c>
      <c r="S12" s="15">
        <f>'[8]Dia 18 (b)'!$X18</f>
        <v>10.534877560892353</v>
      </c>
      <c r="T12" s="15">
        <f>'[8]Dia 19 (b)'!$X18</f>
        <v>8.7846230964837808</v>
      </c>
      <c r="U12" s="15">
        <f>'[8]Dia 20 (b)'!$X18</f>
        <v>11.126085901290152</v>
      </c>
      <c r="V12" s="15">
        <f>'[8]Dia 21 (b)'!$X18</f>
        <v>10.429399062308507</v>
      </c>
      <c r="W12" s="15">
        <f>'[8]Dia 22 (b)'!$X18</f>
        <v>10.130893668995853</v>
      </c>
      <c r="X12" s="15">
        <f>'[8]Dia 23 (b)'!$X18</f>
        <v>8.8521544697856687</v>
      </c>
      <c r="Y12" s="15">
        <f>'[8]Dia 24 (b)'!$X18</f>
        <v>8.3677595003677112</v>
      </c>
      <c r="Z12" s="15">
        <f>'[8]Dia 25 (b)'!$X18</f>
        <v>11.096581956492685</v>
      </c>
      <c r="AA12" s="15">
        <f>'[8]Dia 26 (b)'!$X18</f>
        <v>9.9285752106861338</v>
      </c>
      <c r="AB12" s="15">
        <f>'[8]Dia 27 (b)'!$X18</f>
        <v>8.4765342784163877</v>
      </c>
      <c r="AC12" s="15">
        <f>'[8]Dia 28 (b)'!$X18</f>
        <v>8.9269370573010676</v>
      </c>
      <c r="AD12" s="15">
        <f>'[8]Dia 29 (b)'!$X18</f>
        <v>9.8728402646237505</v>
      </c>
      <c r="AE12" s="15">
        <f>'[8]Dia 30 (b)'!$X18</f>
        <v>10.779905146670055</v>
      </c>
      <c r="AF12" s="15">
        <f>'[8]Dia 31 (b)'!$X18</f>
        <v>10.019296349992572</v>
      </c>
    </row>
    <row r="13" spans="1:32" ht="20.100000000000001" customHeight="1">
      <c r="A13" s="14">
        <v>10</v>
      </c>
      <c r="B13" s="15">
        <f>'[8]Dia 1 (b)'!$X19</f>
        <v>10.444641967724865</v>
      </c>
      <c r="C13" s="15">
        <f>'[8]Dia 2 (b)'!$X19</f>
        <v>10.261134693069256</v>
      </c>
      <c r="D13" s="15">
        <f>'[8]Dia 3 (b)'!$X19</f>
        <v>9.2630148201400662</v>
      </c>
      <c r="E13" s="15">
        <f>'[8]Dia 4 (b)'!$X19</f>
        <v>9.9069823732963407</v>
      </c>
      <c r="F13" s="15">
        <f>'[8]Dia 5 (b)'!$X19</f>
        <v>10.405330011454447</v>
      </c>
      <c r="G13" s="15">
        <f>'[8]Dia 6 (b)'!$X19</f>
        <v>10.280229534044336</v>
      </c>
      <c r="H13" s="15">
        <f>'[8]Dia 7 (b)'!$X19</f>
        <v>8.758946152875172</v>
      </c>
      <c r="I13" s="15">
        <f>'[8]Dia 8 (b)'!$X19</f>
        <v>11.259209210236452</v>
      </c>
      <c r="J13" s="15">
        <f>'[8]Dia 9 (b)'!$X19</f>
        <v>10.967211779851038</v>
      </c>
      <c r="K13" s="15">
        <f>'[8]Dia 10 (b)'!$X19</f>
        <v>11.34767576314886</v>
      </c>
      <c r="L13" s="15">
        <f>'[8]Dia 11 (b)'!$X19</f>
        <v>10.241469123101105</v>
      </c>
      <c r="M13" s="15">
        <f>'[8]Dia 12 (b)'!$X19</f>
        <v>11.363381793799324</v>
      </c>
      <c r="N13" s="15">
        <f>'[8]Dia 13 (b)'!$X19</f>
        <v>11.028036790385775</v>
      </c>
      <c r="O13" s="15">
        <f>'[8]Dia 14 (b)'!$X19</f>
        <v>10.306590031760365</v>
      </c>
      <c r="P13" s="15">
        <f>'[8]Dia 15 (b)'!$X19</f>
        <v>11.909799866989689</v>
      </c>
      <c r="Q13" s="15">
        <f>'[8]Dia 16 (b)'!$X19</f>
        <v>12.449645398341994</v>
      </c>
      <c r="R13" s="15">
        <f>'[8]Dia 17 (b)'!$X19</f>
        <v>11.135366724172242</v>
      </c>
      <c r="S13" s="15">
        <f>'[8]Dia 18 (b)'!$X19</f>
        <v>10.245157512905923</v>
      </c>
      <c r="T13" s="15">
        <f>'[8]Dia 19 (b)'!$X19</f>
        <v>9.1815557120247249</v>
      </c>
      <c r="U13" s="15">
        <f>'[8]Dia 20 (b)'!$X19</f>
        <v>11.300413922597572</v>
      </c>
      <c r="V13" s="15">
        <f>'[8]Dia 21 (b)'!$X19</f>
        <v>10.290308032840015</v>
      </c>
      <c r="W13" s="15">
        <f>'[8]Dia 22 (b)'!$X19</f>
        <v>9.7425063985815754</v>
      </c>
      <c r="X13" s="15">
        <f>'[8]Dia 23 (b)'!$X19</f>
        <v>8.9801093151041496</v>
      </c>
      <c r="Y13" s="15">
        <f>'[8]Dia 24 (b)'!$X19</f>
        <v>8.4450296590339935</v>
      </c>
      <c r="Z13" s="15">
        <f>'[8]Dia 25 (b)'!$X19</f>
        <v>11.206794453145173</v>
      </c>
      <c r="AA13" s="15">
        <f>'[8]Dia 26 (b)'!$X19</f>
        <v>9.840503198279789</v>
      </c>
      <c r="AB13" s="15">
        <f>'[8]Dia 27 (b)'!$X19</f>
        <v>8.5245314435645057</v>
      </c>
      <c r="AC13" s="15">
        <f>'[8]Dia 28 (b)'!$X19</f>
        <v>9.1949917301720454</v>
      </c>
      <c r="AD13" s="15">
        <f>'[8]Dia 29 (b)'!$X19</f>
        <v>9.3581360264845905</v>
      </c>
      <c r="AE13" s="15">
        <f>'[8]Dia 30 (b)'!$X19</f>
        <v>11.040022242816276</v>
      </c>
      <c r="AF13" s="15">
        <f>'[8]Dia 31 (b)'!$X19</f>
        <v>9.3939894337937773</v>
      </c>
    </row>
    <row r="14" spans="1:32" ht="20.100000000000001" customHeight="1">
      <c r="A14" s="14">
        <v>11</v>
      </c>
      <c r="B14" s="15">
        <f>'[8]Dia 1 (b)'!$X20</f>
        <v>10.468211113056272</v>
      </c>
      <c r="C14" s="15">
        <f>'[8]Dia 2 (b)'!$X20</f>
        <v>10.300656080080646</v>
      </c>
      <c r="D14" s="15">
        <f>'[8]Dia 3 (b)'!$X20</f>
        <v>8.9144784761520448</v>
      </c>
      <c r="E14" s="15">
        <f>'[8]Dia 4 (b)'!$X20</f>
        <v>9.5638808515815317</v>
      </c>
      <c r="F14" s="15">
        <f>'[8]Dia 5 (b)'!$X20</f>
        <v>8.693250465125244</v>
      </c>
      <c r="G14" s="15">
        <f>'[8]Dia 6 (b)'!$X20</f>
        <v>10.230633791900372</v>
      </c>
      <c r="H14" s="15">
        <f>'[8]Dia 7 (b)'!$X20</f>
        <v>7.7309472370257781</v>
      </c>
      <c r="I14" s="15">
        <f>'[8]Dia 8 (b)'!$X20</f>
        <v>11.088865322719133</v>
      </c>
      <c r="J14" s="15">
        <f>'[8]Dia 9 (b)'!$X20</f>
        <v>11.120025127169733</v>
      </c>
      <c r="K14" s="15">
        <f>'[8]Dia 10 (b)'!$X20</f>
        <v>11.142151218929344</v>
      </c>
      <c r="L14" s="15">
        <f>'[8]Dia 11 (b)'!$X20</f>
        <v>9.6724544112726782</v>
      </c>
      <c r="M14" s="15">
        <f>'[8]Dia 12 (b)'!$X20</f>
        <v>11.643306178721406</v>
      </c>
      <c r="N14" s="15">
        <f>'[8]Dia 13 (b)'!$X20</f>
        <v>11.121674969108941</v>
      </c>
      <c r="O14" s="15">
        <f>'[8]Dia 14 (b)'!$X20</f>
        <v>10.611241429179143</v>
      </c>
      <c r="P14" s="15">
        <f>'[8]Dia 15 (b)'!$X20</f>
        <v>11.944424731991468</v>
      </c>
      <c r="Q14" s="15">
        <f>'[8]Dia 16 (b)'!$X20</f>
        <v>12.68319320160303</v>
      </c>
      <c r="R14" s="15">
        <f>'[8]Dia 17 (b)'!$X20</f>
        <v>10.946201407056904</v>
      </c>
      <c r="S14" s="15">
        <f>'[8]Dia 18 (b)'!$X20</f>
        <v>10.088157476622703</v>
      </c>
      <c r="T14" s="15">
        <f>'[8]Dia 19 (b)'!$X20</f>
        <v>8.4562703174789551</v>
      </c>
      <c r="U14" s="15">
        <f>'[8]Dia 20 (b)'!$X20</f>
        <v>10.834668904015995</v>
      </c>
      <c r="V14" s="15">
        <f>'[8]Dia 21 (b)'!$X20</f>
        <v>10.163727810456072</v>
      </c>
      <c r="W14" s="15">
        <f>'[8]Dia 22 (b)'!$X20</f>
        <v>9.9619516116049329</v>
      </c>
      <c r="X14" s="15">
        <f>'[8]Dia 23 (b)'!$X20</f>
        <v>9.0446874628399652</v>
      </c>
      <c r="Y14" s="15">
        <f>'[8]Dia 24 (b)'!$X20</f>
        <v>9.6866173674980818</v>
      </c>
      <c r="Z14" s="15">
        <f>'[8]Dia 25 (b)'!$X20</f>
        <v>12.895104941148787</v>
      </c>
      <c r="AA14" s="15">
        <f>'[8]Dia 26 (b)'!$X20</f>
        <v>9.7298581642339084</v>
      </c>
      <c r="AB14" s="15">
        <f>'[8]Dia 27 (b)'!$X20</f>
        <v>8.4117127477257974</v>
      </c>
      <c r="AC14" s="15">
        <f>'[8]Dia 28 (b)'!$X20</f>
        <v>9.1556324595937326</v>
      </c>
      <c r="AD14" s="15">
        <f>'[8]Dia 29 (b)'!$X20</f>
        <v>9.7387431182095767</v>
      </c>
      <c r="AE14" s="15">
        <f>'[8]Dia 30 (b)'!$X20</f>
        <v>10.291246543507238</v>
      </c>
      <c r="AF14" s="15">
        <f>'[8]Dia 31 (b)'!$X20</f>
        <v>8.1852558775457105</v>
      </c>
    </row>
    <row r="15" spans="1:32" ht="20.100000000000001" customHeight="1">
      <c r="A15" s="14">
        <v>12</v>
      </c>
      <c r="B15" s="15">
        <f>'[8]Dia 1 (b)'!$X21</f>
        <v>10.216004333982372</v>
      </c>
      <c r="C15" s="15">
        <f>'[8]Dia 2 (b)'!$X21</f>
        <v>9.723283952163932</v>
      </c>
      <c r="D15" s="15">
        <f>'[8]Dia 3 (b)'!$X21</f>
        <v>8.994996403270374</v>
      </c>
      <c r="E15" s="15">
        <f>'[8]Dia 4 (b)'!$X21</f>
        <v>9.7049665380123411</v>
      </c>
      <c r="F15" s="15">
        <f>'[8]Dia 5 (b)'!$X21</f>
        <v>7.3387559595425165</v>
      </c>
      <c r="G15" s="15">
        <f>'[8]Dia 6 (b)'!$X21</f>
        <v>10.153060512756765</v>
      </c>
      <c r="H15" s="15">
        <f>'[8]Dia 7 (b)'!$X21</f>
        <v>8.2121811340173547</v>
      </c>
      <c r="I15" s="15">
        <f>'[8]Dia 8 (b)'!$X21</f>
        <v>11.079325791673503</v>
      </c>
      <c r="J15" s="15">
        <f>'[8]Dia 9 (b)'!$X21</f>
        <v>12.0883665125553</v>
      </c>
      <c r="K15" s="15">
        <f>'[8]Dia 10 (b)'!$X21</f>
        <v>11.489806126405052</v>
      </c>
      <c r="L15" s="15">
        <f>'[8]Dia 11 (b)'!$X21</f>
        <v>9.7357445630332897</v>
      </c>
      <c r="M15" s="15">
        <f>'[8]Dia 12 (b)'!$X21</f>
        <v>11.088173529001665</v>
      </c>
      <c r="N15" s="15">
        <f>'[8]Dia 13 (b)'!$X21</f>
        <v>11.358624982365848</v>
      </c>
      <c r="O15" s="15">
        <f>'[8]Dia 14 (b)'!$X21</f>
        <v>10.887661428319241</v>
      </c>
      <c r="P15" s="15">
        <f>'[8]Dia 15 (b)'!$X21</f>
        <v>12.129483229540721</v>
      </c>
      <c r="Q15" s="15">
        <f>'[8]Dia 16 (b)'!$X21</f>
        <v>12.772090451120507</v>
      </c>
      <c r="R15" s="15">
        <f>'[8]Dia 17 (b)'!$X21</f>
        <v>9.595499773399407</v>
      </c>
      <c r="S15" s="15">
        <f>'[8]Dia 18 (b)'!$X21</f>
        <v>9.6375284639259764</v>
      </c>
      <c r="T15" s="15">
        <f>'[8]Dia 19 (b)'!$X21</f>
        <v>8.4760606218800891</v>
      </c>
      <c r="U15" s="15">
        <f>'[8]Dia 20 (b)'!$X21</f>
        <v>10.166461105526192</v>
      </c>
      <c r="V15" s="15">
        <f>'[8]Dia 21 (b)'!$X21</f>
        <v>9.6652095042184207</v>
      </c>
      <c r="W15" s="15">
        <f>'[8]Dia 22 (b)'!$X21</f>
        <v>8.2605284952814788</v>
      </c>
      <c r="X15" s="15">
        <f>'[8]Dia 23 (b)'!$X21</f>
        <v>9.2642315929182661</v>
      </c>
      <c r="Y15" s="15">
        <f>'[8]Dia 24 (b)'!$X21</f>
        <v>10.240892815969563</v>
      </c>
      <c r="Z15" s="15">
        <f>'[8]Dia 25 (b)'!$X21</f>
        <v>12.273245069796841</v>
      </c>
      <c r="AA15" s="15">
        <f>'[8]Dia 26 (b)'!$X21</f>
        <v>9.988633766945366</v>
      </c>
      <c r="AB15" s="15">
        <f>'[8]Dia 27 (b)'!$X21</f>
        <v>8.0156136310341743</v>
      </c>
      <c r="AC15" s="15">
        <f>'[8]Dia 28 (b)'!$X21</f>
        <v>9.2345841965275888</v>
      </c>
      <c r="AD15" s="15">
        <f>'[8]Dia 29 (b)'!$X21</f>
        <v>10.463436555518788</v>
      </c>
      <c r="AE15" s="15">
        <f>'[8]Dia 30 (b)'!$X21</f>
        <v>10.140591544243907</v>
      </c>
      <c r="AF15" s="15">
        <f>'[8]Dia 31 (b)'!$X21</f>
        <v>7.9828275789874041</v>
      </c>
    </row>
    <row r="16" spans="1:32" ht="20.100000000000001" customHeight="1">
      <c r="A16" s="14">
        <v>13</v>
      </c>
      <c r="B16" s="15">
        <f>'[8]Dia 1 (b)'!$X22</f>
        <v>10.014469653898381</v>
      </c>
      <c r="C16" s="15">
        <f>'[8]Dia 2 (b)'!$X22</f>
        <v>9.1521136310011073</v>
      </c>
      <c r="D16" s="15">
        <f>'[8]Dia 3 (b)'!$X22</f>
        <v>8.5929824438537192</v>
      </c>
      <c r="E16" s="15">
        <f>'[8]Dia 4 (b)'!$X22</f>
        <v>9.7789758564614004</v>
      </c>
      <c r="F16" s="15">
        <f>'[8]Dia 5 (b)'!$X22</f>
        <v>7.1989781384801494</v>
      </c>
      <c r="G16" s="15">
        <f>'[8]Dia 6 (b)'!$X22</f>
        <v>9.9717663730500483</v>
      </c>
      <c r="H16" s="15">
        <f>'[8]Dia 7 (b)'!$X22</f>
        <v>7.8911197066913772</v>
      </c>
      <c r="I16" s="15">
        <f>'[8]Dia 8 (b)'!$X22</f>
        <v>10.932325001219716</v>
      </c>
      <c r="J16" s="15">
        <f>'[8]Dia 9 (b)'!$X22</f>
        <v>11.671272705893433</v>
      </c>
      <c r="K16" s="15">
        <f>'[8]Dia 10 (b)'!$X22</f>
        <v>11.432277340404356</v>
      </c>
      <c r="L16" s="15">
        <f>'[8]Dia 11 (b)'!$X22</f>
        <v>9.2441754586543112</v>
      </c>
      <c r="M16" s="15">
        <f>'[8]Dia 12 (b)'!$X22</f>
        <v>11.315238709309789</v>
      </c>
      <c r="N16" s="15">
        <f>'[8]Dia 13 (b)'!$X22</f>
        <v>10.75102958145983</v>
      </c>
      <c r="O16" s="15">
        <f>'[8]Dia 14 (b)'!$X22</f>
        <v>10.999750616226336</v>
      </c>
      <c r="P16" s="15">
        <f>'[8]Dia 15 (b)'!$X22</f>
        <v>11.948356773649465</v>
      </c>
      <c r="Q16" s="15">
        <f>'[8]Dia 16 (b)'!$X22</f>
        <v>12.188397058577642</v>
      </c>
      <c r="R16" s="15">
        <f>'[8]Dia 17 (b)'!$X22</f>
        <v>9.8698022817705411</v>
      </c>
      <c r="S16" s="15">
        <f>'[8]Dia 18 (b)'!$X22</f>
        <v>8.898816112140338</v>
      </c>
      <c r="T16" s="15">
        <f>'[8]Dia 19 (b)'!$X22</f>
        <v>8.9215575581613642</v>
      </c>
      <c r="U16" s="15">
        <f>'[8]Dia 20 (b)'!$X22</f>
        <v>8.7909249188971721</v>
      </c>
      <c r="V16" s="15">
        <f>'[8]Dia 21 (b)'!$X22</f>
        <v>10.034931377180639</v>
      </c>
      <c r="W16" s="15">
        <f>'[8]Dia 22 (b)'!$X22</f>
        <v>8.3943375489857761</v>
      </c>
      <c r="X16" s="15">
        <f>'[8]Dia 23 (b)'!$X22</f>
        <v>8.9763124842239534</v>
      </c>
      <c r="Y16" s="15">
        <f>'[8]Dia 24 (b)'!$X22</f>
        <v>10.337091537132117</v>
      </c>
      <c r="Z16" s="15">
        <f>'[8]Dia 25 (b)'!$X22</f>
        <v>11.840938250753547</v>
      </c>
      <c r="AA16" s="15">
        <f>'[8]Dia 26 (b)'!$X22</f>
        <v>9.8945600191425225</v>
      </c>
      <c r="AB16" s="15">
        <f>'[8]Dia 27 (b)'!$X22</f>
        <v>8.1447537421501774</v>
      </c>
      <c r="AC16" s="15">
        <f>'[8]Dia 28 (b)'!$X22</f>
        <v>9.3399785021885737</v>
      </c>
      <c r="AD16" s="15">
        <f>'[8]Dia 29 (b)'!$X22</f>
        <v>11.225908901890776</v>
      </c>
      <c r="AE16" s="15">
        <f>'[8]Dia 30 (b)'!$X22</f>
        <v>8.9284426791959319</v>
      </c>
      <c r="AF16" s="15">
        <f>'[8]Dia 31 (b)'!$X22</f>
        <v>9.4795289356665293</v>
      </c>
    </row>
    <row r="17" spans="1:32" ht="20.100000000000001" customHeight="1">
      <c r="A17" s="14">
        <v>14</v>
      </c>
      <c r="B17" s="15">
        <f>'[8]Dia 1 (b)'!$X23</f>
        <v>9.5678134446408336</v>
      </c>
      <c r="C17" s="15">
        <f>'[8]Dia 2 (b)'!$X23</f>
        <v>8.2550453663579777</v>
      </c>
      <c r="D17" s="15">
        <f>'[8]Dia 3 (b)'!$X23</f>
        <v>7.7347866113123338</v>
      </c>
      <c r="E17" s="15">
        <f>'[8]Dia 4 (b)'!$X23</f>
        <v>9.5362712322616137</v>
      </c>
      <c r="F17" s="15">
        <f>'[8]Dia 5 (b)'!$X23</f>
        <v>6.0938535515529306</v>
      </c>
      <c r="G17" s="15">
        <f>'[8]Dia 6 (b)'!$X23</f>
        <v>9.398907148774498</v>
      </c>
      <c r="H17" s="15">
        <f>'[8]Dia 7 (b)'!$X23</f>
        <v>7.6921696017240304</v>
      </c>
      <c r="I17" s="15">
        <f>'[8]Dia 8 (b)'!$X23</f>
        <v>11.418716022290964</v>
      </c>
      <c r="J17" s="15">
        <f>'[8]Dia 9 (b)'!$X23</f>
        <v>12.143251483692397</v>
      </c>
      <c r="K17" s="15">
        <f>'[8]Dia 10 (b)'!$X23</f>
        <v>11.615886689478808</v>
      </c>
      <c r="L17" s="15">
        <f>'[8]Dia 11 (b)'!$X23</f>
        <v>11.463531614145428</v>
      </c>
      <c r="M17" s="15">
        <f>'[8]Dia 12 (b)'!$X23</f>
        <v>11.391514922026037</v>
      </c>
      <c r="N17" s="15">
        <f>'[8]Dia 13 (b)'!$X23</f>
        <v>10.531865755426168</v>
      </c>
      <c r="O17" s="15">
        <f>'[8]Dia 14 (b)'!$X23</f>
        <v>11.086555753465211</v>
      </c>
      <c r="P17" s="15">
        <f>'[8]Dia 15 (b)'!$X23</f>
        <v>12.347139303171504</v>
      </c>
      <c r="Q17" s="15">
        <f>'[8]Dia 16 (b)'!$X23</f>
        <v>12.226582797485474</v>
      </c>
      <c r="R17" s="15">
        <f>'[8]Dia 17 (b)'!$X23</f>
        <v>9.1350688939040747</v>
      </c>
      <c r="S17" s="15">
        <f>'[8]Dia 18 (b)'!$X23</f>
        <v>8.2862002184481831</v>
      </c>
      <c r="T17" s="15">
        <f>'[8]Dia 19 (b)'!$X23</f>
        <v>8.8077551405022234</v>
      </c>
      <c r="U17" s="15">
        <f>'[8]Dia 20 (b)'!$X23</f>
        <v>8.348595396270607</v>
      </c>
      <c r="V17" s="15">
        <f>'[8]Dia 21 (b)'!$X23</f>
        <v>9.8991869320545689</v>
      </c>
      <c r="W17" s="15">
        <f>'[8]Dia 22 (b)'!$X23</f>
        <v>7.9091733137599114</v>
      </c>
      <c r="X17" s="15">
        <f>'[8]Dia 23 (b)'!$X23</f>
        <v>9.1349984461491811</v>
      </c>
      <c r="Y17" s="15">
        <f>'[8]Dia 24 (b)'!$X23</f>
        <v>10.489569385656099</v>
      </c>
      <c r="Z17" s="15">
        <f>'[8]Dia 25 (b)'!$X23</f>
        <v>11.882947349790255</v>
      </c>
      <c r="AA17" s="15">
        <f>'[8]Dia 26 (b)'!$X23</f>
        <v>9.8324960050478474</v>
      </c>
      <c r="AB17" s="15">
        <f>'[8]Dia 27 (b)'!$X23</f>
        <v>8.4315672747870885</v>
      </c>
      <c r="AC17" s="15">
        <f>'[8]Dia 28 (b)'!$X23</f>
        <v>9.4157023546961334</v>
      </c>
      <c r="AD17" s="15">
        <f>'[8]Dia 29 (b)'!$X23</f>
        <v>10.94952055021586</v>
      </c>
      <c r="AE17" s="15">
        <f>'[8]Dia 30 (b)'!$X23</f>
        <v>9.1608452209678788</v>
      </c>
      <c r="AF17" s="15">
        <f>'[8]Dia 31 (b)'!$X23</f>
        <v>11.430668654476953</v>
      </c>
    </row>
    <row r="18" spans="1:32" ht="20.100000000000001" customHeight="1">
      <c r="A18" s="14">
        <v>15</v>
      </c>
      <c r="B18" s="15">
        <f>'[8]Dia 1 (b)'!$X24</f>
        <v>8.686550815074769</v>
      </c>
      <c r="C18" s="15">
        <f>'[8]Dia 2 (b)'!$X24</f>
        <v>7.5573253259765245</v>
      </c>
      <c r="D18" s="15">
        <f>'[8]Dia 3 (b)'!$X24</f>
        <v>10.517650670830635</v>
      </c>
      <c r="E18" s="15">
        <f>'[8]Dia 4 (b)'!$X24</f>
        <v>10.036946574454987</v>
      </c>
      <c r="F18" s="15">
        <f>'[8]Dia 5 (b)'!$X24</f>
        <v>6.8612013865115289</v>
      </c>
      <c r="G18" s="15">
        <f>'[8]Dia 6 (b)'!$X24</f>
        <v>8.6925377231016903</v>
      </c>
      <c r="H18" s="15">
        <f>'[8]Dia 7 (b)'!$X24</f>
        <v>8.195460509202702</v>
      </c>
      <c r="I18" s="15">
        <f>'[8]Dia 8 (b)'!$X24</f>
        <v>11.270445599578135</v>
      </c>
      <c r="J18" s="15">
        <f>'[8]Dia 9 (b)'!$X24</f>
        <v>12.269317338155735</v>
      </c>
      <c r="K18" s="15">
        <f>'[8]Dia 10 (b)'!$X24</f>
        <v>11.699285014146865</v>
      </c>
      <c r="L18" s="15">
        <f>'[8]Dia 11 (b)'!$X24</f>
        <v>9.8987385392884288</v>
      </c>
      <c r="M18" s="15">
        <f>'[8]Dia 12 (b)'!$X24</f>
        <v>11.351149883953932</v>
      </c>
      <c r="N18" s="15">
        <f>'[8]Dia 13 (b)'!$X24</f>
        <v>10.17447981596232</v>
      </c>
      <c r="O18" s="15">
        <f>'[8]Dia 14 (b)'!$X24</f>
        <v>11.248311190929437</v>
      </c>
      <c r="P18" s="15">
        <f>'[8]Dia 15 (b)'!$X24</f>
        <v>13.521680029228548</v>
      </c>
      <c r="Q18" s="15">
        <f>'[8]Dia 16 (b)'!$X24</f>
        <v>11.738308241960249</v>
      </c>
      <c r="R18" s="15">
        <f>'[8]Dia 17 (b)'!$X24</f>
        <v>9.4061473374255336</v>
      </c>
      <c r="S18" s="15">
        <f>'[8]Dia 18 (b)'!$X24</f>
        <v>8.0077949693186898</v>
      </c>
      <c r="T18" s="15">
        <f>'[8]Dia 19 (b)'!$X24</f>
        <v>9.2959020417228331</v>
      </c>
      <c r="U18" s="15">
        <f>'[8]Dia 20 (b)'!$X24</f>
        <v>8.5453912536679528</v>
      </c>
      <c r="V18" s="15">
        <f>'[8]Dia 21 (b)'!$X24</f>
        <v>9.6994259554241911</v>
      </c>
      <c r="W18" s="15">
        <f>'[8]Dia 22 (b)'!$X24</f>
        <v>7.5029056956937481</v>
      </c>
      <c r="X18" s="15">
        <f>'[8]Dia 23 (b)'!$X24</f>
        <v>9.0861343822254934</v>
      </c>
      <c r="Y18" s="15">
        <f>'[8]Dia 24 (b)'!$X24</f>
        <v>7.4541458040721444</v>
      </c>
      <c r="Z18" s="15">
        <f>'[8]Dia 25 (b)'!$X24</f>
        <v>10.653683357838073</v>
      </c>
      <c r="AA18" s="15">
        <f>'[8]Dia 26 (b)'!$X24</f>
        <v>9.8352344490573564</v>
      </c>
      <c r="AB18" s="15">
        <f>'[8]Dia 27 (b)'!$X24</f>
        <v>8.4763146527432642</v>
      </c>
      <c r="AC18" s="15">
        <f>'[8]Dia 28 (b)'!$X24</f>
        <v>9.3252185641784759</v>
      </c>
      <c r="AD18" s="15">
        <f>'[8]Dia 29 (b)'!$X24</f>
        <v>10.840750087129384</v>
      </c>
      <c r="AE18" s="15">
        <f>'[8]Dia 30 (b)'!$X24</f>
        <v>12.007270245436251</v>
      </c>
      <c r="AF18" s="15">
        <f>'[8]Dia 31 (b)'!$X24</f>
        <v>10.164754784177394</v>
      </c>
    </row>
    <row r="19" spans="1:32" ht="20.100000000000001" customHeight="1">
      <c r="A19" s="14">
        <v>16</v>
      </c>
      <c r="B19" s="59"/>
      <c r="C19" s="59"/>
      <c r="D19" s="59"/>
      <c r="E19" s="59"/>
      <c r="F19" s="59"/>
      <c r="G19" s="59"/>
      <c r="H19" s="59"/>
      <c r="I19" s="59"/>
      <c r="J19" s="59"/>
      <c r="K19" s="59"/>
      <c r="L19" s="59"/>
      <c r="M19" s="59"/>
      <c r="N19" s="59"/>
      <c r="O19" s="59"/>
      <c r="P19" s="59"/>
      <c r="Q19" s="59"/>
      <c r="R19" s="59"/>
      <c r="S19" s="59"/>
      <c r="T19" s="59"/>
      <c r="U19" s="59"/>
      <c r="V19" s="59"/>
      <c r="W19" s="59"/>
      <c r="X19" s="59"/>
      <c r="Y19" s="59"/>
      <c r="Z19" s="59"/>
      <c r="AA19" s="59"/>
      <c r="AB19" s="59"/>
      <c r="AC19" s="59"/>
      <c r="AD19" s="59"/>
      <c r="AE19" s="59"/>
      <c r="AF19" s="59"/>
    </row>
    <row r="20" spans="1:32" ht="20.100000000000001" customHeight="1">
      <c r="A20" s="14">
        <v>17</v>
      </c>
      <c r="B20" s="59"/>
      <c r="C20" s="59"/>
      <c r="D20" s="59"/>
      <c r="E20" s="59"/>
      <c r="F20" s="59"/>
      <c r="G20" s="59"/>
      <c r="H20" s="59"/>
      <c r="I20" s="59"/>
      <c r="J20" s="59"/>
      <c r="K20" s="59"/>
      <c r="L20" s="59"/>
      <c r="M20" s="59"/>
      <c r="N20" s="59"/>
      <c r="O20" s="59"/>
      <c r="P20" s="59"/>
      <c r="Q20" s="59"/>
      <c r="R20" s="59"/>
      <c r="S20" s="59"/>
      <c r="T20" s="59"/>
      <c r="U20" s="59"/>
      <c r="V20" s="59"/>
      <c r="W20" s="59"/>
      <c r="X20" s="59"/>
      <c r="Y20" s="59"/>
      <c r="Z20" s="59"/>
      <c r="AA20" s="59"/>
      <c r="AB20" s="59"/>
      <c r="AC20" s="59"/>
      <c r="AD20" s="59"/>
      <c r="AE20" s="59"/>
      <c r="AF20" s="59"/>
    </row>
    <row r="21" spans="1:32" ht="20.100000000000001" customHeight="1">
      <c r="A21" s="14">
        <v>18</v>
      </c>
      <c r="B21" s="59"/>
      <c r="C21" s="59"/>
      <c r="D21" s="59"/>
      <c r="E21" s="59"/>
      <c r="F21" s="59"/>
      <c r="G21" s="59"/>
      <c r="H21" s="59"/>
      <c r="I21" s="59"/>
      <c r="J21" s="59"/>
      <c r="K21" s="59"/>
      <c r="L21" s="59"/>
      <c r="M21" s="59"/>
      <c r="N21" s="59"/>
      <c r="O21" s="59"/>
      <c r="P21" s="59"/>
      <c r="Q21" s="59"/>
      <c r="R21" s="59"/>
      <c r="S21" s="59"/>
      <c r="T21" s="59"/>
      <c r="U21" s="59"/>
      <c r="V21" s="59"/>
      <c r="W21" s="59"/>
      <c r="X21" s="59"/>
      <c r="Y21" s="59"/>
      <c r="Z21" s="59"/>
      <c r="AA21" s="59"/>
      <c r="AB21" s="59"/>
      <c r="AC21" s="59"/>
      <c r="AD21" s="59"/>
      <c r="AE21" s="59"/>
      <c r="AF21" s="59"/>
    </row>
    <row r="22" spans="1:32" ht="20.100000000000001" customHeight="1">
      <c r="A22" s="14">
        <v>19</v>
      </c>
      <c r="B22" s="59"/>
      <c r="C22" s="59"/>
      <c r="D22" s="59"/>
      <c r="E22" s="59"/>
      <c r="F22" s="59"/>
      <c r="G22" s="59"/>
      <c r="H22" s="59"/>
      <c r="I22" s="59"/>
      <c r="J22" s="59"/>
      <c r="K22" s="59"/>
      <c r="L22" s="59"/>
      <c r="M22" s="59"/>
      <c r="N22" s="59"/>
      <c r="O22" s="59"/>
      <c r="P22" s="59"/>
      <c r="Q22" s="59"/>
      <c r="R22" s="59"/>
      <c r="S22" s="59"/>
      <c r="T22" s="59"/>
      <c r="U22" s="59"/>
      <c r="V22" s="59"/>
      <c r="W22" s="59"/>
      <c r="X22" s="59"/>
      <c r="Y22" s="59"/>
      <c r="Z22" s="59"/>
      <c r="AA22" s="59"/>
      <c r="AB22" s="59"/>
      <c r="AC22" s="59"/>
      <c r="AD22" s="59"/>
      <c r="AE22" s="59"/>
      <c r="AF22" s="59"/>
    </row>
    <row r="23" spans="1:32" ht="20.100000000000001" customHeight="1">
      <c r="A23" s="14">
        <v>20</v>
      </c>
      <c r="B23" s="59"/>
      <c r="C23" s="59"/>
      <c r="D23" s="59"/>
      <c r="E23" s="59"/>
      <c r="F23" s="59"/>
      <c r="G23" s="59"/>
      <c r="H23" s="59"/>
      <c r="I23" s="59"/>
      <c r="J23" s="59"/>
      <c r="K23" s="59"/>
      <c r="L23" s="59"/>
      <c r="M23" s="59"/>
      <c r="N23" s="59"/>
      <c r="O23" s="59"/>
      <c r="P23" s="59"/>
      <c r="Q23" s="59"/>
      <c r="R23" s="59"/>
      <c r="S23" s="59"/>
      <c r="T23" s="59"/>
      <c r="U23" s="59"/>
      <c r="V23" s="59"/>
      <c r="W23" s="59"/>
      <c r="X23" s="59"/>
      <c r="Y23" s="59"/>
      <c r="Z23" s="59"/>
      <c r="AA23" s="59"/>
      <c r="AB23" s="59"/>
      <c r="AC23" s="59"/>
      <c r="AD23" s="59"/>
      <c r="AE23" s="59"/>
      <c r="AF23" s="59"/>
    </row>
    <row r="24" spans="1:32" ht="20.100000000000001" customHeight="1">
      <c r="A24" s="14">
        <v>21</v>
      </c>
      <c r="B24" s="59"/>
      <c r="C24" s="59"/>
      <c r="D24" s="59"/>
      <c r="E24" s="59"/>
      <c r="F24" s="59"/>
      <c r="G24" s="59"/>
      <c r="H24" s="59"/>
      <c r="I24" s="59"/>
      <c r="J24" s="59"/>
      <c r="K24" s="59"/>
      <c r="L24" s="59"/>
      <c r="M24" s="59"/>
      <c r="N24" s="59"/>
      <c r="O24" s="59"/>
      <c r="P24" s="59"/>
      <c r="Q24" s="59"/>
      <c r="R24" s="59"/>
      <c r="S24" s="59"/>
      <c r="T24" s="59"/>
      <c r="U24" s="59"/>
      <c r="V24" s="59"/>
      <c r="W24" s="59"/>
      <c r="X24" s="59"/>
      <c r="Y24" s="59"/>
      <c r="Z24" s="59"/>
      <c r="AA24" s="59"/>
      <c r="AB24" s="59"/>
      <c r="AC24" s="59"/>
      <c r="AD24" s="59"/>
      <c r="AE24" s="59"/>
      <c r="AF24" s="59"/>
    </row>
    <row r="25" spans="1:32" ht="20.100000000000001" customHeight="1">
      <c r="A25" s="14">
        <v>22</v>
      </c>
      <c r="B25" s="59"/>
      <c r="C25" s="59"/>
      <c r="D25" s="59"/>
      <c r="E25" s="59"/>
      <c r="F25" s="59"/>
      <c r="G25" s="59"/>
      <c r="H25" s="59"/>
      <c r="I25" s="59"/>
      <c r="J25" s="59"/>
      <c r="K25" s="59"/>
      <c r="L25" s="59"/>
      <c r="M25" s="59"/>
      <c r="N25" s="59"/>
      <c r="O25" s="59"/>
      <c r="P25" s="59"/>
      <c r="Q25" s="59"/>
      <c r="R25" s="59"/>
      <c r="S25" s="59"/>
      <c r="T25" s="59"/>
      <c r="U25" s="59"/>
      <c r="V25" s="59"/>
      <c r="W25" s="59"/>
      <c r="X25" s="59"/>
      <c r="Y25" s="59"/>
      <c r="Z25" s="59"/>
      <c r="AA25" s="59"/>
      <c r="AB25" s="59"/>
      <c r="AC25" s="59"/>
      <c r="AD25" s="59"/>
      <c r="AE25" s="59"/>
      <c r="AF25" s="59"/>
    </row>
    <row r="26" spans="1:32" ht="20.100000000000001" customHeight="1">
      <c r="A26" s="14">
        <v>23</v>
      </c>
      <c r="B26" s="59"/>
      <c r="C26" s="59"/>
      <c r="D26" s="59"/>
      <c r="E26" s="59"/>
      <c r="F26" s="59"/>
      <c r="G26" s="59"/>
      <c r="H26" s="59"/>
      <c r="I26" s="59"/>
      <c r="J26" s="59"/>
      <c r="K26" s="59"/>
      <c r="L26" s="59"/>
      <c r="M26" s="59"/>
      <c r="N26" s="59"/>
      <c r="O26" s="59"/>
      <c r="P26" s="59"/>
      <c r="Q26" s="59"/>
      <c r="R26" s="59"/>
      <c r="S26" s="59"/>
      <c r="T26" s="59"/>
      <c r="U26" s="59"/>
      <c r="V26" s="59"/>
      <c r="W26" s="59"/>
      <c r="X26" s="59"/>
      <c r="Y26" s="59"/>
      <c r="Z26" s="59"/>
      <c r="AA26" s="59"/>
      <c r="AB26" s="59"/>
      <c r="AC26" s="59"/>
      <c r="AD26" s="59"/>
      <c r="AE26" s="59"/>
      <c r="AF26" s="59"/>
    </row>
    <row r="27" spans="1:32" ht="20.100000000000001" customHeight="1" thickBot="1">
      <c r="A27" s="14">
        <v>24</v>
      </c>
      <c r="B27" s="59"/>
      <c r="C27" s="59"/>
      <c r="D27" s="59"/>
      <c r="E27" s="59"/>
      <c r="F27" s="59"/>
      <c r="G27" s="59"/>
      <c r="H27" s="59"/>
      <c r="I27" s="59"/>
      <c r="J27" s="59"/>
      <c r="K27" s="59"/>
      <c r="L27" s="59"/>
      <c r="M27" s="59"/>
      <c r="N27" s="59"/>
      <c r="O27" s="59"/>
      <c r="P27" s="59"/>
      <c r="Q27" s="59"/>
      <c r="R27" s="59"/>
      <c r="S27" s="59"/>
      <c r="T27" s="59"/>
      <c r="U27" s="59"/>
      <c r="V27" s="59"/>
      <c r="W27" s="59"/>
      <c r="X27" s="59"/>
      <c r="Y27" s="59"/>
      <c r="Z27" s="59"/>
      <c r="AA27" s="59"/>
      <c r="AB27" s="59"/>
      <c r="AC27" s="59"/>
      <c r="AD27" s="59"/>
      <c r="AE27" s="59"/>
      <c r="AF27" s="59"/>
    </row>
    <row r="28" spans="1:32" ht="16.5" thickTop="1">
      <c r="A28" s="17"/>
      <c r="B28" s="19"/>
      <c r="C28" s="19"/>
      <c r="D28" s="19"/>
      <c r="E28" s="19"/>
      <c r="F28" s="19"/>
      <c r="G28" s="19"/>
      <c r="H28" s="19"/>
      <c r="I28" s="19"/>
      <c r="J28" s="19"/>
      <c r="K28" s="19"/>
      <c r="L28" s="19"/>
      <c r="M28" s="19"/>
      <c r="N28" s="60" t="s">
        <v>14</v>
      </c>
      <c r="O28" s="19"/>
      <c r="P28" s="19"/>
      <c r="Q28" s="19"/>
      <c r="R28" s="19"/>
      <c r="S28" s="19"/>
      <c r="T28" s="19"/>
      <c r="U28" s="19"/>
      <c r="V28" s="19"/>
      <c r="W28" s="19"/>
      <c r="X28" s="19"/>
      <c r="Y28" s="19"/>
      <c r="Z28" s="19"/>
      <c r="AA28" s="19"/>
      <c r="AB28" s="19"/>
      <c r="AC28" s="19"/>
      <c r="AD28" s="19"/>
      <c r="AE28" s="19"/>
      <c r="AF28" s="21"/>
    </row>
    <row r="29" spans="1:32" ht="15.75">
      <c r="A29" s="22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23"/>
    </row>
    <row r="30" spans="1:32" ht="15.75">
      <c r="A30" s="24" t="s">
        <v>3</v>
      </c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23"/>
    </row>
    <row r="31" spans="1:32" ht="15.75">
      <c r="A31" s="24" t="s">
        <v>4</v>
      </c>
      <c r="B31" s="25"/>
      <c r="C31" s="25"/>
      <c r="D31" s="25"/>
      <c r="E31" s="25"/>
      <c r="F31" s="25"/>
      <c r="G31" s="25"/>
      <c r="H31" s="25"/>
      <c r="I31" s="25"/>
      <c r="J31" s="25"/>
      <c r="K31" s="25"/>
      <c r="L31" s="25"/>
      <c r="M31" s="25"/>
      <c r="N31" s="25"/>
      <c r="O31" s="25"/>
      <c r="P31" s="25"/>
      <c r="Q31" s="25"/>
      <c r="R31" s="25"/>
      <c r="S31" s="25"/>
      <c r="T31" s="25"/>
      <c r="U31" s="25"/>
      <c r="V31" s="25"/>
      <c r="W31" s="25"/>
      <c r="X31" s="25"/>
      <c r="Y31" s="25"/>
      <c r="Z31" s="25"/>
      <c r="AA31" s="25"/>
      <c r="AB31" s="25"/>
      <c r="AC31" s="25"/>
      <c r="AD31" s="25"/>
      <c r="AE31" s="25"/>
      <c r="AF31" s="26"/>
    </row>
    <row r="32" spans="1:32" ht="15.75">
      <c r="A32" s="27"/>
      <c r="B32" s="28"/>
      <c r="C32" s="28"/>
      <c r="D32" s="28"/>
      <c r="E32" s="28"/>
      <c r="F32" s="28"/>
      <c r="G32" s="28"/>
      <c r="H32" s="28"/>
      <c r="I32" s="28"/>
      <c r="J32" s="28"/>
      <c r="K32" s="28"/>
      <c r="L32" s="28"/>
      <c r="M32" s="28"/>
      <c r="N32" s="28"/>
      <c r="O32" s="28"/>
      <c r="P32" s="28"/>
      <c r="Q32" s="28"/>
      <c r="R32" s="28"/>
      <c r="S32" s="28"/>
      <c r="T32" s="28"/>
      <c r="U32" s="28"/>
      <c r="V32" s="28"/>
      <c r="W32" s="28"/>
      <c r="X32" s="28"/>
      <c r="Y32" s="28"/>
      <c r="Z32" s="28"/>
      <c r="AA32" s="28"/>
      <c r="AB32" s="28"/>
      <c r="AC32" s="28"/>
      <c r="AD32" s="28"/>
      <c r="AE32" s="28"/>
      <c r="AF32" s="29"/>
    </row>
    <row r="33" spans="1:32" ht="15.75">
      <c r="A33" s="27"/>
      <c r="B33" s="28"/>
      <c r="C33" s="28"/>
      <c r="D33" s="28"/>
      <c r="E33" s="28"/>
      <c r="F33" s="28"/>
      <c r="G33" s="28"/>
      <c r="H33" s="28"/>
      <c r="I33" s="28"/>
      <c r="J33" s="28"/>
      <c r="K33" s="28"/>
      <c r="L33" s="28"/>
      <c r="M33" s="28"/>
      <c r="N33" s="28"/>
      <c r="O33" s="28"/>
      <c r="P33" s="28"/>
      <c r="Q33" s="28"/>
      <c r="R33" s="28"/>
      <c r="S33" s="28"/>
      <c r="T33" s="28"/>
      <c r="U33" s="28"/>
      <c r="V33" s="28"/>
      <c r="W33" s="28"/>
      <c r="X33" s="28"/>
      <c r="Y33" s="28"/>
      <c r="Z33" s="28"/>
      <c r="AA33" s="28"/>
      <c r="AB33" s="28"/>
      <c r="AC33" s="28"/>
      <c r="AD33" s="28"/>
      <c r="AE33" s="28"/>
      <c r="AF33" s="29"/>
    </row>
    <row r="34" spans="1:32" ht="15.75">
      <c r="A34" s="24" t="s">
        <v>5</v>
      </c>
      <c r="B34" s="28"/>
      <c r="C34" s="28"/>
      <c r="D34" s="28"/>
      <c r="E34" s="28"/>
      <c r="F34" s="28"/>
      <c r="G34" s="28"/>
      <c r="H34" s="28"/>
      <c r="I34" s="28"/>
      <c r="J34" s="28"/>
      <c r="K34" s="28"/>
      <c r="L34" s="28"/>
      <c r="M34" s="28"/>
      <c r="N34" s="28"/>
      <c r="O34" s="28"/>
      <c r="P34" s="28"/>
      <c r="Q34" s="28"/>
      <c r="R34" s="28"/>
      <c r="S34" s="28"/>
      <c r="T34" s="28"/>
      <c r="U34" s="28"/>
      <c r="V34" s="28"/>
      <c r="W34" s="28"/>
      <c r="X34" s="28"/>
      <c r="Y34" s="28"/>
      <c r="Z34" s="28"/>
      <c r="AA34" s="28"/>
      <c r="AB34" s="28"/>
      <c r="AC34" s="28"/>
      <c r="AD34" s="28"/>
      <c r="AE34" s="28"/>
      <c r="AF34" s="29"/>
    </row>
    <row r="35" spans="1:32" ht="15.75">
      <c r="A35" s="24" t="s">
        <v>4</v>
      </c>
      <c r="B35" s="25"/>
      <c r="C35" s="25"/>
      <c r="D35" s="25"/>
      <c r="E35" s="25"/>
      <c r="F35" s="25"/>
      <c r="G35" s="25"/>
      <c r="H35" s="25"/>
      <c r="I35" s="25"/>
      <c r="J35" s="25"/>
      <c r="K35" s="25"/>
      <c r="L35" s="25"/>
      <c r="M35" s="25"/>
      <c r="N35" s="25"/>
      <c r="O35" s="25"/>
      <c r="P35" s="25"/>
      <c r="Q35" s="25"/>
      <c r="R35" s="25"/>
      <c r="S35" s="25"/>
      <c r="T35" s="25"/>
      <c r="U35" s="25"/>
      <c r="V35" s="25"/>
      <c r="W35" s="25"/>
      <c r="X35" s="25"/>
      <c r="Y35" s="25"/>
      <c r="Z35" s="25"/>
      <c r="AA35" s="25"/>
      <c r="AB35" s="25"/>
      <c r="AC35" s="25"/>
      <c r="AD35" s="25"/>
      <c r="AE35" s="25"/>
      <c r="AF35" s="26"/>
    </row>
    <row r="36" spans="1:32" ht="15.75">
      <c r="A36" s="24"/>
      <c r="B36" s="25"/>
      <c r="C36" s="25"/>
      <c r="D36" s="25"/>
      <c r="E36" s="25"/>
      <c r="F36" s="25"/>
      <c r="G36" s="25"/>
      <c r="H36" s="25"/>
      <c r="I36" s="25"/>
      <c r="J36" s="25"/>
      <c r="K36" s="25"/>
      <c r="L36" s="25"/>
      <c r="M36" s="25"/>
      <c r="N36" s="25"/>
      <c r="O36" s="25"/>
      <c r="P36" s="25"/>
      <c r="Q36" s="25"/>
      <c r="R36" s="25"/>
      <c r="S36" s="25"/>
      <c r="T36" s="25"/>
      <c r="U36" s="25"/>
      <c r="V36" s="25"/>
      <c r="W36" s="25"/>
      <c r="X36" s="25"/>
      <c r="Y36" s="25"/>
      <c r="Z36" s="25"/>
      <c r="AA36" s="25"/>
      <c r="AB36" s="25"/>
      <c r="AC36" s="25"/>
      <c r="AD36" s="25"/>
      <c r="AE36" s="25"/>
      <c r="AF36" s="26"/>
    </row>
    <row r="37" spans="1:32" ht="15.75">
      <c r="A37" s="27"/>
      <c r="B37" s="28"/>
      <c r="C37" s="28"/>
      <c r="D37" s="28"/>
      <c r="E37" s="28"/>
      <c r="F37" s="28"/>
      <c r="G37" s="28"/>
      <c r="H37" s="28"/>
      <c r="I37" s="28"/>
      <c r="J37" s="28"/>
      <c r="K37" s="28"/>
      <c r="L37" s="28"/>
      <c r="M37" s="28"/>
      <c r="N37" s="28"/>
      <c r="O37" s="28"/>
      <c r="P37" s="28"/>
      <c r="Q37" s="28"/>
      <c r="R37" s="28"/>
      <c r="S37" s="28"/>
      <c r="T37" s="28"/>
      <c r="U37" s="28"/>
      <c r="V37" s="28"/>
      <c r="W37" s="28"/>
      <c r="X37" s="28"/>
      <c r="Y37" s="28"/>
      <c r="Z37" s="28"/>
      <c r="AA37" s="28"/>
      <c r="AB37" s="28"/>
      <c r="AC37" s="28"/>
      <c r="AD37" s="28"/>
      <c r="AE37" s="28"/>
      <c r="AF37" s="29"/>
    </row>
    <row r="38" spans="1:32" ht="15.75">
      <c r="A38" s="24" t="s">
        <v>6</v>
      </c>
      <c r="B38" s="28"/>
      <c r="C38" s="28"/>
      <c r="D38" s="28"/>
      <c r="E38" s="28"/>
      <c r="F38" s="28"/>
      <c r="G38" s="28"/>
      <c r="H38" s="28"/>
      <c r="I38" s="28"/>
      <c r="J38" s="28"/>
      <c r="K38" s="28"/>
      <c r="L38" s="28"/>
      <c r="M38" s="28"/>
      <c r="N38" s="28"/>
      <c r="O38" s="28"/>
      <c r="P38" s="28"/>
      <c r="Q38" s="28"/>
      <c r="R38" s="28"/>
      <c r="S38" s="28"/>
      <c r="T38" s="28"/>
      <c r="U38" s="28"/>
      <c r="V38" s="28"/>
      <c r="W38" s="28"/>
      <c r="X38" s="28"/>
      <c r="Y38" s="28"/>
      <c r="Z38" s="28"/>
      <c r="AA38" s="28"/>
      <c r="AB38" s="28"/>
      <c r="AC38" s="28"/>
      <c r="AD38" s="28"/>
      <c r="AE38" s="28"/>
      <c r="AF38" s="29"/>
    </row>
    <row r="39" spans="1:32" ht="15.75">
      <c r="A39" s="24" t="s">
        <v>4</v>
      </c>
      <c r="B39" s="25"/>
      <c r="C39" s="25"/>
      <c r="D39" s="25"/>
      <c r="E39" s="25"/>
      <c r="F39" s="25"/>
      <c r="G39" s="25"/>
      <c r="H39" s="25"/>
      <c r="I39" s="25"/>
      <c r="J39" s="25"/>
      <c r="K39" s="25"/>
      <c r="L39" s="25"/>
      <c r="M39" s="25"/>
      <c r="N39" s="25"/>
      <c r="O39" s="25"/>
      <c r="P39" s="25"/>
      <c r="Q39" s="25"/>
      <c r="R39" s="25"/>
      <c r="S39" s="25"/>
      <c r="T39" s="25"/>
      <c r="U39" s="25"/>
      <c r="V39" s="25"/>
      <c r="W39" s="25"/>
      <c r="X39" s="25"/>
      <c r="Y39" s="25"/>
      <c r="Z39" s="25"/>
      <c r="AA39" s="25"/>
      <c r="AB39" s="25"/>
      <c r="AC39" s="25"/>
      <c r="AD39" s="25"/>
      <c r="AE39" s="25"/>
      <c r="AF39" s="26"/>
    </row>
    <row r="40" spans="1:32" ht="15.75">
      <c r="A40" s="24"/>
      <c r="B40" s="25"/>
      <c r="C40" s="25"/>
      <c r="D40" s="25"/>
      <c r="E40" s="25"/>
      <c r="F40" s="25"/>
      <c r="G40" s="25"/>
      <c r="H40" s="25"/>
      <c r="I40" s="25"/>
      <c r="J40" s="25"/>
      <c r="K40" s="25"/>
      <c r="L40" s="25"/>
      <c r="M40" s="25"/>
      <c r="N40" s="25"/>
      <c r="O40" s="25"/>
      <c r="P40" s="25"/>
      <c r="Q40" s="25"/>
      <c r="R40" s="25"/>
      <c r="S40" s="25"/>
      <c r="T40" s="25"/>
      <c r="U40" s="25"/>
      <c r="V40" s="25"/>
      <c r="W40" s="25"/>
      <c r="X40" s="25"/>
      <c r="Y40" s="25"/>
      <c r="Z40" s="25"/>
      <c r="AA40" s="25"/>
      <c r="AB40" s="25"/>
      <c r="AC40" s="25"/>
      <c r="AD40" s="25"/>
      <c r="AE40" s="25"/>
      <c r="AF40" s="26"/>
    </row>
    <row r="41" spans="1:32" ht="15.75">
      <c r="A41" s="27"/>
      <c r="B41" s="28"/>
      <c r="C41" s="28"/>
      <c r="D41" s="28"/>
      <c r="E41" s="28"/>
      <c r="F41" s="28"/>
      <c r="G41" s="28"/>
      <c r="H41" s="28"/>
      <c r="I41" s="28"/>
      <c r="J41" s="28"/>
      <c r="K41" s="28"/>
      <c r="L41" s="28"/>
      <c r="M41" s="28"/>
      <c r="N41" s="28"/>
      <c r="O41" s="28"/>
      <c r="P41" s="28"/>
      <c r="Q41" s="28"/>
      <c r="R41" s="28"/>
      <c r="S41" s="28"/>
      <c r="T41" s="28"/>
      <c r="U41" s="28"/>
      <c r="V41" s="28"/>
      <c r="W41" s="28"/>
      <c r="X41" s="28"/>
      <c r="Y41" s="28"/>
      <c r="Z41" s="28"/>
      <c r="AA41" s="28"/>
      <c r="AB41" s="28"/>
      <c r="AC41" s="28"/>
      <c r="AD41" s="28"/>
      <c r="AE41" s="28"/>
      <c r="AF41" s="29"/>
    </row>
    <row r="42" spans="1:32" ht="15.75">
      <c r="A42" s="24" t="s">
        <v>7</v>
      </c>
      <c r="B42" s="28"/>
      <c r="C42" s="28"/>
      <c r="D42" s="28"/>
      <c r="E42" s="28"/>
      <c r="F42" s="28"/>
      <c r="G42" s="28"/>
      <c r="H42" s="28"/>
      <c r="I42" s="28"/>
      <c r="J42" s="28"/>
      <c r="K42" s="28"/>
      <c r="L42" s="28"/>
      <c r="M42" s="28"/>
      <c r="N42" s="28"/>
      <c r="O42" s="28"/>
      <c r="P42" s="28"/>
      <c r="Q42" s="28"/>
      <c r="R42" s="28"/>
      <c r="S42" s="28"/>
      <c r="T42" s="28"/>
      <c r="U42" s="28"/>
      <c r="V42" s="28"/>
      <c r="W42" s="28"/>
      <c r="X42" s="28"/>
      <c r="Y42" s="28"/>
      <c r="Z42" s="28"/>
      <c r="AA42" s="28"/>
      <c r="AB42" s="28"/>
      <c r="AC42" s="28"/>
      <c r="AD42" s="28"/>
      <c r="AE42" s="28"/>
      <c r="AF42" s="29"/>
    </row>
    <row r="43" spans="1:32" ht="15.75">
      <c r="A43" s="24" t="s">
        <v>4</v>
      </c>
      <c r="B43" s="25"/>
      <c r="C43" s="25"/>
      <c r="D43" s="25"/>
      <c r="E43" s="25"/>
      <c r="F43" s="25"/>
      <c r="G43" s="25"/>
      <c r="H43" s="25"/>
      <c r="I43" s="25"/>
      <c r="J43" s="25"/>
      <c r="K43" s="25"/>
      <c r="L43" s="25"/>
      <c r="M43" s="25"/>
      <c r="N43" s="25"/>
      <c r="O43" s="25"/>
      <c r="P43" s="25"/>
      <c r="Q43" s="25"/>
      <c r="R43" s="25"/>
      <c r="S43" s="25"/>
      <c r="T43" s="25"/>
      <c r="U43" s="25"/>
      <c r="V43" s="25"/>
      <c r="W43" s="25"/>
      <c r="X43" s="25"/>
      <c r="Y43" s="25"/>
      <c r="Z43" s="25"/>
      <c r="AA43" s="25"/>
      <c r="AB43" s="25"/>
      <c r="AC43" s="25"/>
      <c r="AD43" s="25"/>
      <c r="AE43" s="25"/>
      <c r="AF43" s="26"/>
    </row>
    <row r="44" spans="1:32" ht="15.75">
      <c r="A44" s="24"/>
      <c r="B44" s="25"/>
      <c r="C44" s="25"/>
      <c r="D44" s="25"/>
      <c r="E44" s="25"/>
      <c r="F44" s="25"/>
      <c r="G44" s="25"/>
      <c r="H44" s="25"/>
      <c r="I44" s="25"/>
      <c r="J44" s="25"/>
      <c r="K44" s="25"/>
      <c r="L44" s="25"/>
      <c r="M44" s="25"/>
      <c r="N44" s="25"/>
      <c r="O44" s="25"/>
      <c r="P44" s="25"/>
      <c r="Q44" s="25"/>
      <c r="R44" s="25"/>
      <c r="S44" s="25"/>
      <c r="T44" s="25"/>
      <c r="U44" s="25"/>
      <c r="V44" s="25"/>
      <c r="W44" s="25"/>
      <c r="X44" s="25"/>
      <c r="Y44" s="25"/>
      <c r="Z44" s="25"/>
      <c r="AA44" s="25"/>
      <c r="AB44" s="25"/>
      <c r="AC44" s="25"/>
      <c r="AD44" s="25"/>
      <c r="AE44" s="25"/>
      <c r="AF44" s="26"/>
    </row>
    <row r="45" spans="1:32" ht="15.75">
      <c r="A45" s="22"/>
      <c r="B45" s="30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23"/>
    </row>
    <row r="46" spans="1:32" ht="15.75">
      <c r="A46" s="31"/>
      <c r="B46" s="30"/>
      <c r="C46" s="3"/>
      <c r="D46" s="3"/>
      <c r="E46" s="3"/>
      <c r="F46" s="3"/>
      <c r="G46" s="3"/>
      <c r="H46" s="32" t="s">
        <v>3</v>
      </c>
      <c r="I46" s="30"/>
      <c r="J46" s="33"/>
      <c r="K46" s="34" t="s">
        <v>5</v>
      </c>
      <c r="L46" s="33"/>
      <c r="M46" s="33"/>
      <c r="N46" s="34" t="s">
        <v>6</v>
      </c>
      <c r="O46" s="33"/>
      <c r="P46" s="33"/>
      <c r="Q46" s="34" t="s">
        <v>7</v>
      </c>
      <c r="R46" s="30"/>
      <c r="S46" s="30"/>
      <c r="T46" s="33" t="s">
        <v>3</v>
      </c>
      <c r="U46" s="33"/>
      <c r="V46" s="33" t="s">
        <v>3</v>
      </c>
      <c r="W46" s="33"/>
      <c r="X46" s="33" t="s">
        <v>8</v>
      </c>
      <c r="Y46" s="3"/>
      <c r="Z46" s="3"/>
      <c r="AA46" s="3"/>
      <c r="AB46" s="3"/>
      <c r="AC46" s="3"/>
      <c r="AD46" s="3"/>
      <c r="AE46" s="3"/>
      <c r="AF46" s="23"/>
    </row>
    <row r="47" spans="1:32" ht="15.75">
      <c r="A47" s="31"/>
      <c r="B47" s="30"/>
      <c r="C47" s="3"/>
      <c r="D47" s="3"/>
      <c r="E47" s="3"/>
      <c r="F47" s="3"/>
      <c r="G47" s="3"/>
      <c r="H47" s="35" t="s">
        <v>9</v>
      </c>
      <c r="I47" s="30"/>
      <c r="J47" s="33"/>
      <c r="K47" s="33" t="s">
        <v>9</v>
      </c>
      <c r="L47" s="33"/>
      <c r="M47" s="33"/>
      <c r="N47" s="33" t="s">
        <v>9</v>
      </c>
      <c r="O47" s="33"/>
      <c r="P47" s="33"/>
      <c r="Q47" s="33" t="s">
        <v>9</v>
      </c>
      <c r="R47" s="30"/>
      <c r="S47" s="30"/>
      <c r="T47" s="33" t="s">
        <v>10</v>
      </c>
      <c r="U47" s="33"/>
      <c r="V47" s="33" t="s">
        <v>11</v>
      </c>
      <c r="W47" s="33"/>
      <c r="X47" s="33" t="s">
        <v>12</v>
      </c>
      <c r="Y47" s="3"/>
      <c r="Z47" s="3"/>
      <c r="AA47" s="3"/>
      <c r="AB47" s="3"/>
      <c r="AC47" s="3"/>
      <c r="AD47" s="3"/>
      <c r="AE47" s="3"/>
      <c r="AF47" s="23"/>
    </row>
    <row r="48" spans="1:32" ht="15.75">
      <c r="A48" s="31"/>
      <c r="B48" s="30"/>
      <c r="C48" s="3"/>
      <c r="D48" s="3"/>
      <c r="E48" s="3"/>
      <c r="F48" s="3"/>
      <c r="G48" s="3"/>
      <c r="H48" s="28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23"/>
    </row>
    <row r="49" spans="1:32" ht="16.5" thickBot="1">
      <c r="A49" s="36"/>
      <c r="B49" s="37"/>
      <c r="C49" s="38"/>
      <c r="D49" s="38"/>
      <c r="E49" s="38"/>
      <c r="F49" s="38"/>
      <c r="G49" s="38"/>
      <c r="H49" s="39"/>
      <c r="I49" s="38"/>
      <c r="J49" s="40"/>
      <c r="K49" s="39"/>
      <c r="L49" s="40"/>
      <c r="M49" s="40"/>
      <c r="N49" s="39"/>
      <c r="O49" s="40"/>
      <c r="P49" s="40"/>
      <c r="Q49" s="39"/>
      <c r="R49" s="38"/>
      <c r="S49" s="39"/>
      <c r="T49" s="39"/>
      <c r="U49" s="39"/>
      <c r="V49" s="39"/>
      <c r="W49" s="39"/>
      <c r="X49" s="39"/>
      <c r="Y49" s="38"/>
      <c r="Z49" s="38"/>
      <c r="AA49" s="38"/>
      <c r="AB49" s="38"/>
      <c r="AC49" s="38"/>
      <c r="AD49" s="38"/>
      <c r="AE49" s="38"/>
      <c r="AF49" s="41"/>
    </row>
    <row r="50" spans="1:32" ht="15.75" thickTop="1">
      <c r="B50" s="42"/>
    </row>
    <row r="51" spans="1:32">
      <c r="B51" s="42"/>
    </row>
    <row r="52" spans="1:32">
      <c r="B52" s="42"/>
    </row>
    <row r="53" spans="1:32">
      <c r="B53" s="42"/>
    </row>
    <row r="54" spans="1:32">
      <c r="B54" s="42"/>
    </row>
    <row r="55" spans="1:32">
      <c r="B55" s="42"/>
    </row>
    <row r="56" spans="1:32">
      <c r="B56" s="42"/>
    </row>
    <row r="57" spans="1:32">
      <c r="B57" s="42"/>
    </row>
    <row r="58" spans="1:32">
      <c r="B58" s="42"/>
    </row>
    <row r="59" spans="1:32">
      <c r="B59" s="42"/>
    </row>
    <row r="60" spans="1:32">
      <c r="B60" s="42"/>
    </row>
    <row r="61" spans="1:32">
      <c r="B61" s="42"/>
    </row>
    <row r="62" spans="1:32">
      <c r="B62" s="42"/>
    </row>
    <row r="63" spans="1:32">
      <c r="B63" s="42"/>
    </row>
    <row r="64" spans="1:32">
      <c r="B64" s="42"/>
    </row>
    <row r="65" spans="2:2">
      <c r="B65" s="42"/>
    </row>
    <row r="66" spans="2:2">
      <c r="B66" s="42"/>
    </row>
    <row r="67" spans="2:2">
      <c r="B67" s="42"/>
    </row>
    <row r="68" spans="2:2">
      <c r="B68" s="42"/>
    </row>
    <row r="69" spans="2:2">
      <c r="B69" s="42"/>
    </row>
    <row r="70" spans="2:2">
      <c r="B70" s="42"/>
    </row>
    <row r="71" spans="2:2">
      <c r="B71" s="42"/>
    </row>
    <row r="72" spans="2:2">
      <c r="B72" s="42"/>
    </row>
    <row r="73" spans="2:2">
      <c r="B73" s="42"/>
    </row>
    <row r="74" spans="2:2">
      <c r="B74" s="42"/>
    </row>
    <row r="75" spans="2:2">
      <c r="B75" s="42"/>
    </row>
    <row r="76" spans="2:2">
      <c r="B76" s="42"/>
    </row>
    <row r="77" spans="2:2">
      <c r="B77" s="42"/>
    </row>
    <row r="78" spans="2:2">
      <c r="B78" s="42"/>
    </row>
    <row r="79" spans="2:2">
      <c r="B79" s="42"/>
    </row>
    <row r="80" spans="2:2">
      <c r="B80" s="42"/>
    </row>
    <row r="81" spans="2:2">
      <c r="B81" s="42"/>
    </row>
    <row r="82" spans="2:2">
      <c r="B82" s="42"/>
    </row>
    <row r="83" spans="2:2">
      <c r="B83" s="42"/>
    </row>
    <row r="84" spans="2:2">
      <c r="B84" s="42"/>
    </row>
    <row r="85" spans="2:2">
      <c r="B85" s="42"/>
    </row>
    <row r="86" spans="2:2">
      <c r="B86" s="42"/>
    </row>
    <row r="87" spans="2:2">
      <c r="B87" s="42"/>
    </row>
    <row r="88" spans="2:2">
      <c r="B88" s="42"/>
    </row>
    <row r="89" spans="2:2">
      <c r="B89" s="42"/>
    </row>
    <row r="90" spans="2:2">
      <c r="B90" s="42"/>
    </row>
    <row r="91" spans="2:2">
      <c r="B91" s="42"/>
    </row>
    <row r="92" spans="2:2">
      <c r="B92" s="42"/>
    </row>
    <row r="93" spans="2:2">
      <c r="B93" s="42"/>
    </row>
    <row r="94" spans="2:2">
      <c r="B94" s="42"/>
    </row>
    <row r="95" spans="2:2">
      <c r="B95" s="42"/>
    </row>
    <row r="96" spans="2:2">
      <c r="B96" s="42"/>
    </row>
    <row r="97" spans="2:2">
      <c r="B97" s="42"/>
    </row>
    <row r="98" spans="2:2">
      <c r="B98" s="42"/>
    </row>
    <row r="99" spans="2:2">
      <c r="B99" s="42"/>
    </row>
    <row r="100" spans="2:2">
      <c r="B100" s="42"/>
    </row>
    <row r="101" spans="2:2">
      <c r="B101" s="42"/>
    </row>
    <row r="102" spans="2:2">
      <c r="B102" s="42"/>
    </row>
    <row r="103" spans="2:2">
      <c r="B103" s="42"/>
    </row>
    <row r="104" spans="2:2">
      <c r="B104" s="42"/>
    </row>
    <row r="105" spans="2:2">
      <c r="B105" s="42"/>
    </row>
    <row r="106" spans="2:2">
      <c r="B106" s="42"/>
    </row>
    <row r="107" spans="2:2">
      <c r="B107" s="42"/>
    </row>
    <row r="108" spans="2:2">
      <c r="B108" s="42"/>
    </row>
    <row r="109" spans="2:2">
      <c r="B109" s="42"/>
    </row>
    <row r="110" spans="2:2">
      <c r="B110" s="42"/>
    </row>
    <row r="111" spans="2:2">
      <c r="B111" s="42"/>
    </row>
    <row r="112" spans="2:2">
      <c r="B112" s="42"/>
    </row>
    <row r="113" spans="2:2">
      <c r="B113" s="42"/>
    </row>
    <row r="114" spans="2:2">
      <c r="B114" s="42"/>
    </row>
    <row r="115" spans="2:2">
      <c r="B115" s="42"/>
    </row>
    <row r="116" spans="2:2">
      <c r="B116" s="42"/>
    </row>
    <row r="117" spans="2:2">
      <c r="B117" s="42"/>
    </row>
    <row r="118" spans="2:2">
      <c r="B118" s="42"/>
    </row>
    <row r="119" spans="2:2">
      <c r="B119" s="42"/>
    </row>
    <row r="120" spans="2:2">
      <c r="B120" s="42"/>
    </row>
    <row r="121" spans="2:2">
      <c r="B121" s="42"/>
    </row>
    <row r="122" spans="2:2">
      <c r="B122" s="42"/>
    </row>
    <row r="123" spans="2:2">
      <c r="B123" s="42"/>
    </row>
    <row r="124" spans="2:2">
      <c r="B124" s="42"/>
    </row>
    <row r="125" spans="2:2">
      <c r="B125" s="42"/>
    </row>
    <row r="126" spans="2:2">
      <c r="B126" s="42"/>
    </row>
    <row r="127" spans="2:2">
      <c r="B127" s="42"/>
    </row>
    <row r="128" spans="2:2">
      <c r="B128" s="42"/>
    </row>
    <row r="129" spans="2:2">
      <c r="B129" s="42"/>
    </row>
    <row r="130" spans="2:2">
      <c r="B130" s="42"/>
    </row>
    <row r="131" spans="2:2">
      <c r="B131" s="42"/>
    </row>
    <row r="132" spans="2:2">
      <c r="B132" s="42"/>
    </row>
    <row r="133" spans="2:2">
      <c r="B133" s="42"/>
    </row>
    <row r="134" spans="2:2">
      <c r="B134" s="42"/>
    </row>
    <row r="135" spans="2:2">
      <c r="B135" s="42"/>
    </row>
    <row r="136" spans="2:2">
      <c r="B136" s="42"/>
    </row>
    <row r="137" spans="2:2">
      <c r="B137" s="42"/>
    </row>
    <row r="138" spans="2:2">
      <c r="B138" s="42"/>
    </row>
    <row r="139" spans="2:2">
      <c r="B139" s="42"/>
    </row>
    <row r="140" spans="2:2">
      <c r="B140" s="42"/>
    </row>
    <row r="141" spans="2:2">
      <c r="B141" s="42"/>
    </row>
    <row r="142" spans="2:2">
      <c r="B142" s="42"/>
    </row>
    <row r="143" spans="2:2">
      <c r="B143" s="42"/>
    </row>
    <row r="144" spans="2:2">
      <c r="B144" s="42"/>
    </row>
    <row r="145" spans="2:2">
      <c r="B145" s="42"/>
    </row>
    <row r="146" spans="2:2">
      <c r="B146" s="42"/>
    </row>
    <row r="147" spans="2:2">
      <c r="B147" s="42"/>
    </row>
    <row r="148" spans="2:2">
      <c r="B148" s="42"/>
    </row>
    <row r="149" spans="2:2">
      <c r="B149" s="42"/>
    </row>
    <row r="150" spans="2:2">
      <c r="B150" s="42"/>
    </row>
    <row r="151" spans="2:2">
      <c r="B151" s="42"/>
    </row>
    <row r="152" spans="2:2">
      <c r="B152" s="42"/>
    </row>
    <row r="153" spans="2:2">
      <c r="B153" s="42"/>
    </row>
    <row r="154" spans="2:2">
      <c r="B154" s="42"/>
    </row>
    <row r="155" spans="2:2">
      <c r="B155" s="42"/>
    </row>
    <row r="156" spans="2:2">
      <c r="B156" s="42"/>
    </row>
    <row r="157" spans="2:2">
      <c r="B157" s="42"/>
    </row>
    <row r="158" spans="2:2">
      <c r="B158" s="42"/>
    </row>
    <row r="159" spans="2:2">
      <c r="B159" s="42"/>
    </row>
    <row r="160" spans="2:2">
      <c r="B160" s="42"/>
    </row>
    <row r="161" spans="2:2">
      <c r="B161" s="42"/>
    </row>
    <row r="162" spans="2:2">
      <c r="B162" s="42"/>
    </row>
    <row r="163" spans="2:2">
      <c r="B163" s="42"/>
    </row>
    <row r="164" spans="2:2">
      <c r="B164" s="42"/>
    </row>
    <row r="165" spans="2:2">
      <c r="B165" s="42"/>
    </row>
    <row r="166" spans="2:2">
      <c r="B166" s="42"/>
    </row>
    <row r="167" spans="2:2">
      <c r="B167" s="42"/>
    </row>
    <row r="168" spans="2:2">
      <c r="B168" s="42"/>
    </row>
    <row r="169" spans="2:2">
      <c r="B169" s="42"/>
    </row>
    <row r="170" spans="2:2">
      <c r="B170" s="42"/>
    </row>
    <row r="171" spans="2:2">
      <c r="B171" s="42"/>
    </row>
    <row r="172" spans="2:2">
      <c r="B172" s="42"/>
    </row>
    <row r="173" spans="2:2">
      <c r="B173" s="42"/>
    </row>
    <row r="174" spans="2:2">
      <c r="B174" s="42"/>
    </row>
    <row r="175" spans="2:2">
      <c r="B175" s="42"/>
    </row>
    <row r="176" spans="2:2">
      <c r="B176" s="42"/>
    </row>
    <row r="177" spans="2:2">
      <c r="B177" s="42"/>
    </row>
    <row r="178" spans="2:2">
      <c r="B178" s="42"/>
    </row>
    <row r="179" spans="2:2">
      <c r="B179" s="42"/>
    </row>
    <row r="180" spans="2:2">
      <c r="B180" s="42"/>
    </row>
    <row r="181" spans="2:2">
      <c r="B181" s="42"/>
    </row>
    <row r="182" spans="2:2">
      <c r="B182" s="42"/>
    </row>
    <row r="183" spans="2:2">
      <c r="B183" s="42"/>
    </row>
    <row r="184" spans="2:2">
      <c r="B184" s="42"/>
    </row>
    <row r="185" spans="2:2">
      <c r="B185" s="42"/>
    </row>
    <row r="186" spans="2:2">
      <c r="B186" s="42"/>
    </row>
    <row r="187" spans="2:2">
      <c r="B187" s="42"/>
    </row>
    <row r="188" spans="2:2">
      <c r="B188" s="42"/>
    </row>
    <row r="189" spans="2:2">
      <c r="B189" s="42"/>
    </row>
    <row r="190" spans="2:2">
      <c r="B190" s="42"/>
    </row>
    <row r="191" spans="2:2">
      <c r="B191" s="42"/>
    </row>
    <row r="192" spans="2:2">
      <c r="B192" s="42"/>
    </row>
    <row r="193" spans="2:2">
      <c r="B193" s="42"/>
    </row>
    <row r="194" spans="2:2">
      <c r="B194" s="42"/>
    </row>
    <row r="195" spans="2:2">
      <c r="B195" s="42"/>
    </row>
    <row r="196" spans="2:2">
      <c r="B196" s="42"/>
    </row>
    <row r="197" spans="2:2">
      <c r="B197" s="42"/>
    </row>
    <row r="198" spans="2:2">
      <c r="B198" s="42"/>
    </row>
    <row r="199" spans="2:2">
      <c r="B199" s="42"/>
    </row>
    <row r="200" spans="2:2">
      <c r="B200" s="42"/>
    </row>
    <row r="201" spans="2:2">
      <c r="B201" s="42"/>
    </row>
    <row r="202" spans="2:2">
      <c r="B202" s="42"/>
    </row>
    <row r="203" spans="2:2">
      <c r="B203" s="42"/>
    </row>
    <row r="204" spans="2:2">
      <c r="B204" s="42"/>
    </row>
    <row r="205" spans="2:2">
      <c r="B205" s="42"/>
    </row>
    <row r="206" spans="2:2">
      <c r="B206" s="42"/>
    </row>
    <row r="207" spans="2:2">
      <c r="B207" s="42"/>
    </row>
    <row r="208" spans="2:2">
      <c r="B208" s="42"/>
    </row>
    <row r="209" spans="2:2">
      <c r="B209" s="42"/>
    </row>
    <row r="210" spans="2:2">
      <c r="B210" s="42"/>
    </row>
    <row r="211" spans="2:2">
      <c r="B211" s="42"/>
    </row>
    <row r="212" spans="2:2">
      <c r="B212" s="42"/>
    </row>
    <row r="213" spans="2:2">
      <c r="B213" s="42"/>
    </row>
    <row r="214" spans="2:2">
      <c r="B214" s="42"/>
    </row>
    <row r="215" spans="2:2">
      <c r="B215" s="42"/>
    </row>
    <row r="216" spans="2:2">
      <c r="B216" s="42"/>
    </row>
    <row r="217" spans="2:2">
      <c r="B217" s="42"/>
    </row>
    <row r="218" spans="2:2">
      <c r="B218" s="42"/>
    </row>
    <row r="219" spans="2:2">
      <c r="B219" s="42"/>
    </row>
    <row r="220" spans="2:2">
      <c r="B220" s="42"/>
    </row>
    <row r="221" spans="2:2">
      <c r="B221" s="42"/>
    </row>
    <row r="222" spans="2:2">
      <c r="B222" s="42"/>
    </row>
    <row r="223" spans="2:2">
      <c r="B223" s="42"/>
    </row>
    <row r="224" spans="2:2">
      <c r="B224" s="42"/>
    </row>
    <row r="225" spans="2:2">
      <c r="B225" s="42"/>
    </row>
    <row r="226" spans="2:2">
      <c r="B226" s="42"/>
    </row>
    <row r="227" spans="2:2">
      <c r="B227" s="42"/>
    </row>
    <row r="228" spans="2:2">
      <c r="B228" s="42"/>
    </row>
    <row r="229" spans="2:2">
      <c r="B229" s="42"/>
    </row>
    <row r="230" spans="2:2">
      <c r="B230" s="42"/>
    </row>
    <row r="231" spans="2:2">
      <c r="B231" s="42"/>
    </row>
    <row r="232" spans="2:2">
      <c r="B232" s="42"/>
    </row>
    <row r="233" spans="2:2">
      <c r="B233" s="42"/>
    </row>
    <row r="234" spans="2:2">
      <c r="B234" s="42"/>
    </row>
    <row r="235" spans="2:2">
      <c r="B235" s="42"/>
    </row>
    <row r="236" spans="2:2">
      <c r="B236" s="42"/>
    </row>
    <row r="237" spans="2:2">
      <c r="B237" s="42"/>
    </row>
    <row r="238" spans="2:2">
      <c r="B238" s="42"/>
    </row>
    <row r="239" spans="2:2">
      <c r="B239" s="42"/>
    </row>
    <row r="240" spans="2:2">
      <c r="B240" s="42"/>
    </row>
    <row r="241" spans="2:2">
      <c r="B241" s="42"/>
    </row>
    <row r="242" spans="2:2">
      <c r="B242" s="42"/>
    </row>
    <row r="243" spans="2:2">
      <c r="B243" s="42"/>
    </row>
    <row r="244" spans="2:2">
      <c r="B244" s="42"/>
    </row>
    <row r="245" spans="2:2">
      <c r="B245" s="42"/>
    </row>
    <row r="246" spans="2:2">
      <c r="B246" s="42"/>
    </row>
    <row r="247" spans="2:2">
      <c r="B247" s="42"/>
    </row>
    <row r="248" spans="2:2">
      <c r="B248" s="42"/>
    </row>
    <row r="249" spans="2:2">
      <c r="B249" s="42"/>
    </row>
    <row r="250" spans="2:2">
      <c r="B250" s="42"/>
    </row>
    <row r="251" spans="2:2">
      <c r="B251" s="42"/>
    </row>
    <row r="252" spans="2:2">
      <c r="B252" s="42"/>
    </row>
    <row r="253" spans="2:2">
      <c r="B253" s="42"/>
    </row>
    <row r="254" spans="2:2">
      <c r="B254" s="42"/>
    </row>
    <row r="255" spans="2:2">
      <c r="B255" s="42"/>
    </row>
    <row r="256" spans="2:2">
      <c r="B256" s="42"/>
    </row>
    <row r="257" spans="2:2">
      <c r="B257" s="42"/>
    </row>
    <row r="258" spans="2:2">
      <c r="B258" s="42"/>
    </row>
    <row r="259" spans="2:2">
      <c r="B259" s="42"/>
    </row>
    <row r="260" spans="2:2">
      <c r="B260" s="42"/>
    </row>
    <row r="261" spans="2:2">
      <c r="B261" s="42"/>
    </row>
    <row r="262" spans="2:2">
      <c r="B262" s="42"/>
    </row>
    <row r="263" spans="2:2">
      <c r="B263" s="42"/>
    </row>
    <row r="264" spans="2:2">
      <c r="B264" s="42"/>
    </row>
    <row r="265" spans="2:2">
      <c r="B265" s="42"/>
    </row>
    <row r="266" spans="2:2">
      <c r="B266" s="42"/>
    </row>
    <row r="267" spans="2:2">
      <c r="B267" s="42"/>
    </row>
    <row r="268" spans="2:2">
      <c r="B268" s="42"/>
    </row>
    <row r="269" spans="2:2">
      <c r="B269" s="42"/>
    </row>
    <row r="270" spans="2:2">
      <c r="B270" s="42"/>
    </row>
    <row r="271" spans="2:2">
      <c r="B271" s="42"/>
    </row>
    <row r="272" spans="2:2">
      <c r="B272" s="42"/>
    </row>
    <row r="273" spans="2:2">
      <c r="B273" s="42"/>
    </row>
    <row r="274" spans="2:2">
      <c r="B274" s="42"/>
    </row>
    <row r="275" spans="2:2">
      <c r="B275" s="42"/>
    </row>
    <row r="276" spans="2:2">
      <c r="B276" s="42"/>
    </row>
    <row r="277" spans="2:2">
      <c r="B277" s="42"/>
    </row>
    <row r="278" spans="2:2">
      <c r="B278" s="42"/>
    </row>
    <row r="279" spans="2:2">
      <c r="B279" s="42"/>
    </row>
    <row r="280" spans="2:2">
      <c r="B280" s="42"/>
    </row>
    <row r="281" spans="2:2">
      <c r="B281" s="42"/>
    </row>
    <row r="282" spans="2:2">
      <c r="B282" s="42"/>
    </row>
    <row r="283" spans="2:2">
      <c r="B283" s="42"/>
    </row>
    <row r="284" spans="2:2">
      <c r="B284" s="42"/>
    </row>
    <row r="285" spans="2:2">
      <c r="B285" s="42"/>
    </row>
    <row r="286" spans="2:2">
      <c r="B286" s="42"/>
    </row>
    <row r="287" spans="2:2">
      <c r="B287" s="42"/>
    </row>
    <row r="288" spans="2:2">
      <c r="B288" s="42"/>
    </row>
    <row r="289" spans="2:2">
      <c r="B289" s="42"/>
    </row>
    <row r="290" spans="2:2">
      <c r="B290" s="42"/>
    </row>
    <row r="291" spans="2:2">
      <c r="B291" s="42"/>
    </row>
    <row r="292" spans="2:2">
      <c r="B292" s="42"/>
    </row>
    <row r="293" spans="2:2">
      <c r="B293" s="42"/>
    </row>
    <row r="294" spans="2:2">
      <c r="B294" s="42"/>
    </row>
    <row r="295" spans="2:2">
      <c r="B295" s="42"/>
    </row>
    <row r="296" spans="2:2">
      <c r="B296" s="42"/>
    </row>
    <row r="297" spans="2:2">
      <c r="B297" s="42"/>
    </row>
    <row r="298" spans="2:2">
      <c r="B298" s="42"/>
    </row>
    <row r="299" spans="2:2">
      <c r="B299" s="42"/>
    </row>
    <row r="300" spans="2:2">
      <c r="B300" s="42"/>
    </row>
    <row r="301" spans="2:2">
      <c r="B301" s="42"/>
    </row>
    <row r="302" spans="2:2">
      <c r="B302" s="42"/>
    </row>
    <row r="303" spans="2:2">
      <c r="B303" s="42"/>
    </row>
    <row r="304" spans="2:2">
      <c r="B304" s="42"/>
    </row>
    <row r="305" spans="2:2">
      <c r="B305" s="42"/>
    </row>
    <row r="306" spans="2:2">
      <c r="B306" s="42"/>
    </row>
    <row r="307" spans="2:2">
      <c r="B307" s="42"/>
    </row>
    <row r="308" spans="2:2">
      <c r="B308" s="42"/>
    </row>
    <row r="309" spans="2:2">
      <c r="B309" s="42"/>
    </row>
    <row r="310" spans="2:2">
      <c r="B310" s="42"/>
    </row>
    <row r="311" spans="2:2">
      <c r="B311" s="42"/>
    </row>
    <row r="312" spans="2:2">
      <c r="B312" s="42"/>
    </row>
    <row r="313" spans="2:2">
      <c r="B313" s="42"/>
    </row>
    <row r="314" spans="2:2">
      <c r="B314" s="42"/>
    </row>
    <row r="315" spans="2:2">
      <c r="B315" s="42"/>
    </row>
    <row r="316" spans="2:2">
      <c r="B316" s="42"/>
    </row>
    <row r="317" spans="2:2">
      <c r="B317" s="42"/>
    </row>
    <row r="318" spans="2:2">
      <c r="B318" s="42"/>
    </row>
    <row r="319" spans="2:2">
      <c r="B319" s="42"/>
    </row>
    <row r="320" spans="2:2">
      <c r="B320" s="42"/>
    </row>
    <row r="321" spans="2:2">
      <c r="B321" s="42"/>
    </row>
    <row r="322" spans="2:2">
      <c r="B322" s="42"/>
    </row>
    <row r="323" spans="2:2">
      <c r="B323" s="42"/>
    </row>
    <row r="324" spans="2:2">
      <c r="B324" s="42"/>
    </row>
    <row r="325" spans="2:2">
      <c r="B325" s="42"/>
    </row>
    <row r="326" spans="2:2">
      <c r="B326" s="42"/>
    </row>
    <row r="327" spans="2:2">
      <c r="B327" s="42"/>
    </row>
    <row r="328" spans="2:2">
      <c r="B328" s="42"/>
    </row>
    <row r="329" spans="2:2">
      <c r="B329" s="42"/>
    </row>
    <row r="330" spans="2:2">
      <c r="B330" s="42"/>
    </row>
    <row r="331" spans="2:2">
      <c r="B331" s="42"/>
    </row>
    <row r="332" spans="2:2">
      <c r="B332" s="42"/>
    </row>
    <row r="333" spans="2:2">
      <c r="B333" s="42"/>
    </row>
    <row r="334" spans="2:2">
      <c r="B334" s="42"/>
    </row>
    <row r="335" spans="2:2">
      <c r="B335" s="42"/>
    </row>
    <row r="336" spans="2:2">
      <c r="B336" s="42"/>
    </row>
    <row r="337" spans="2:2">
      <c r="B337" s="42"/>
    </row>
    <row r="338" spans="2:2">
      <c r="B338" s="42"/>
    </row>
    <row r="339" spans="2:2">
      <c r="B339" s="42"/>
    </row>
    <row r="340" spans="2:2">
      <c r="B340" s="42"/>
    </row>
    <row r="341" spans="2:2">
      <c r="B341" s="42"/>
    </row>
    <row r="342" spans="2:2">
      <c r="B342" s="42"/>
    </row>
    <row r="343" spans="2:2">
      <c r="B343" s="42"/>
    </row>
    <row r="344" spans="2:2">
      <c r="B344" s="42"/>
    </row>
    <row r="345" spans="2:2">
      <c r="B345" s="42"/>
    </row>
    <row r="346" spans="2:2">
      <c r="B346" s="42"/>
    </row>
    <row r="347" spans="2:2">
      <c r="B347" s="42"/>
    </row>
    <row r="348" spans="2:2">
      <c r="B348" s="42"/>
    </row>
    <row r="349" spans="2:2">
      <c r="B349" s="42"/>
    </row>
    <row r="350" spans="2:2">
      <c r="B350" s="42"/>
    </row>
    <row r="351" spans="2:2">
      <c r="B351" s="42"/>
    </row>
    <row r="352" spans="2:2">
      <c r="B352" s="42"/>
    </row>
    <row r="353" spans="2:2">
      <c r="B353" s="42"/>
    </row>
    <row r="354" spans="2:2">
      <c r="B354" s="42"/>
    </row>
    <row r="355" spans="2:2">
      <c r="B355" s="42"/>
    </row>
    <row r="356" spans="2:2">
      <c r="B356" s="42"/>
    </row>
    <row r="357" spans="2:2">
      <c r="B357" s="42"/>
    </row>
    <row r="358" spans="2:2">
      <c r="B358" s="42"/>
    </row>
    <row r="359" spans="2:2">
      <c r="B359" s="42"/>
    </row>
    <row r="360" spans="2:2">
      <c r="B360" s="42"/>
    </row>
    <row r="361" spans="2:2">
      <c r="B361" s="42"/>
    </row>
    <row r="362" spans="2:2">
      <c r="B362" s="42"/>
    </row>
    <row r="363" spans="2:2">
      <c r="B363" s="42"/>
    </row>
    <row r="364" spans="2:2">
      <c r="B364" s="42"/>
    </row>
    <row r="365" spans="2:2">
      <c r="B365" s="42"/>
    </row>
    <row r="366" spans="2:2">
      <c r="B366" s="42"/>
    </row>
    <row r="367" spans="2:2">
      <c r="B367" s="42"/>
    </row>
    <row r="368" spans="2:2">
      <c r="B368" s="42"/>
    </row>
    <row r="369" spans="2:2">
      <c r="B369" s="42"/>
    </row>
    <row r="370" spans="2:2">
      <c r="B370" s="42"/>
    </row>
    <row r="371" spans="2:2">
      <c r="B371" s="42"/>
    </row>
    <row r="372" spans="2:2">
      <c r="B372" s="42"/>
    </row>
    <row r="373" spans="2:2">
      <c r="B373" s="42"/>
    </row>
    <row r="374" spans="2:2">
      <c r="B374" s="42"/>
    </row>
    <row r="375" spans="2:2">
      <c r="B375" s="42"/>
    </row>
    <row r="376" spans="2:2">
      <c r="B376" s="42"/>
    </row>
    <row r="377" spans="2:2">
      <c r="B377" s="42"/>
    </row>
    <row r="378" spans="2:2">
      <c r="B378" s="42"/>
    </row>
    <row r="379" spans="2:2">
      <c r="B379" s="42"/>
    </row>
    <row r="380" spans="2:2">
      <c r="B380" s="42"/>
    </row>
    <row r="381" spans="2:2">
      <c r="B381" s="42"/>
    </row>
    <row r="382" spans="2:2">
      <c r="B382" s="42"/>
    </row>
    <row r="383" spans="2:2">
      <c r="B383" s="42"/>
    </row>
    <row r="384" spans="2:2">
      <c r="B384" s="42"/>
    </row>
    <row r="385" spans="2:2">
      <c r="B385" s="42"/>
    </row>
    <row r="386" spans="2:2">
      <c r="B386" s="42"/>
    </row>
    <row r="387" spans="2:2">
      <c r="B387" s="42"/>
    </row>
    <row r="388" spans="2:2">
      <c r="B388" s="42"/>
    </row>
    <row r="389" spans="2:2">
      <c r="B389" s="42"/>
    </row>
    <row r="390" spans="2:2">
      <c r="B390" s="42"/>
    </row>
    <row r="391" spans="2:2">
      <c r="B391" s="42"/>
    </row>
    <row r="392" spans="2:2">
      <c r="B392" s="42"/>
    </row>
    <row r="393" spans="2:2">
      <c r="B393" s="42"/>
    </row>
    <row r="394" spans="2:2">
      <c r="B394" s="42"/>
    </row>
    <row r="395" spans="2:2">
      <c r="B395" s="42"/>
    </row>
    <row r="396" spans="2:2">
      <c r="B396" s="42"/>
    </row>
    <row r="397" spans="2:2">
      <c r="B397" s="42"/>
    </row>
    <row r="398" spans="2:2">
      <c r="B398" s="42"/>
    </row>
    <row r="399" spans="2:2">
      <c r="B399" s="42"/>
    </row>
    <row r="400" spans="2:2">
      <c r="B400" s="42"/>
    </row>
    <row r="401" spans="2:2">
      <c r="B401" s="42"/>
    </row>
    <row r="402" spans="2:2">
      <c r="B402" s="42"/>
    </row>
    <row r="403" spans="2:2">
      <c r="B403" s="42"/>
    </row>
    <row r="404" spans="2:2">
      <c r="B404" s="42"/>
    </row>
    <row r="405" spans="2:2">
      <c r="B405" s="42"/>
    </row>
    <row r="406" spans="2:2">
      <c r="B406" s="42"/>
    </row>
    <row r="407" spans="2:2">
      <c r="B407" s="42"/>
    </row>
    <row r="408" spans="2:2">
      <c r="B408" s="42"/>
    </row>
    <row r="409" spans="2:2">
      <c r="B409" s="42"/>
    </row>
    <row r="410" spans="2:2">
      <c r="B410" s="42"/>
    </row>
    <row r="411" spans="2:2">
      <c r="B411" s="42"/>
    </row>
    <row r="412" spans="2:2">
      <c r="B412" s="42"/>
    </row>
    <row r="413" spans="2:2">
      <c r="B413" s="42"/>
    </row>
    <row r="414" spans="2:2">
      <c r="B414" s="42"/>
    </row>
    <row r="415" spans="2:2">
      <c r="B415" s="42"/>
    </row>
    <row r="416" spans="2:2">
      <c r="B416" s="42"/>
    </row>
    <row r="417" spans="2:2">
      <c r="B417" s="42"/>
    </row>
    <row r="418" spans="2:2">
      <c r="B418" s="42"/>
    </row>
    <row r="419" spans="2:2">
      <c r="B419" s="42"/>
    </row>
    <row r="420" spans="2:2">
      <c r="B420" s="42"/>
    </row>
    <row r="421" spans="2:2">
      <c r="B421" s="42"/>
    </row>
    <row r="422" spans="2:2">
      <c r="B422" s="42"/>
    </row>
    <row r="423" spans="2:2">
      <c r="B423" s="42"/>
    </row>
    <row r="424" spans="2:2">
      <c r="B424" s="42"/>
    </row>
    <row r="425" spans="2:2">
      <c r="B425" s="42"/>
    </row>
    <row r="426" spans="2:2">
      <c r="B426" s="42"/>
    </row>
    <row r="427" spans="2:2">
      <c r="B427" s="42"/>
    </row>
    <row r="428" spans="2:2">
      <c r="B428" s="42"/>
    </row>
    <row r="429" spans="2:2">
      <c r="B429" s="42"/>
    </row>
    <row r="430" spans="2:2">
      <c r="B430" s="42"/>
    </row>
    <row r="431" spans="2:2">
      <c r="B431" s="42"/>
    </row>
    <row r="432" spans="2:2">
      <c r="B432" s="42"/>
    </row>
    <row r="433" spans="2:2">
      <c r="B433" s="42"/>
    </row>
    <row r="434" spans="2:2">
      <c r="B434" s="42"/>
    </row>
    <row r="435" spans="2:2">
      <c r="B435" s="42"/>
    </row>
    <row r="436" spans="2:2">
      <c r="B436" s="42"/>
    </row>
    <row r="437" spans="2:2">
      <c r="B437" s="42"/>
    </row>
    <row r="438" spans="2:2">
      <c r="B438" s="42"/>
    </row>
    <row r="439" spans="2:2">
      <c r="B439" s="42"/>
    </row>
    <row r="440" spans="2:2">
      <c r="B440" s="42"/>
    </row>
    <row r="441" spans="2:2">
      <c r="B441" s="42"/>
    </row>
    <row r="442" spans="2:2">
      <c r="B442" s="42"/>
    </row>
    <row r="443" spans="2:2">
      <c r="B443" s="42"/>
    </row>
    <row r="444" spans="2:2">
      <c r="B444" s="42"/>
    </row>
    <row r="445" spans="2:2">
      <c r="B445" s="42"/>
    </row>
    <row r="446" spans="2:2">
      <c r="B446" s="42"/>
    </row>
    <row r="447" spans="2:2">
      <c r="B447" s="42"/>
    </row>
    <row r="448" spans="2:2">
      <c r="B448" s="42"/>
    </row>
    <row r="449" spans="2:2">
      <c r="B449" s="42"/>
    </row>
    <row r="450" spans="2:2">
      <c r="B450" s="42"/>
    </row>
    <row r="451" spans="2:2">
      <c r="B451" s="42"/>
    </row>
    <row r="452" spans="2:2">
      <c r="B452" s="42"/>
    </row>
    <row r="453" spans="2:2">
      <c r="B453" s="42"/>
    </row>
    <row r="454" spans="2:2">
      <c r="B454" s="42"/>
    </row>
    <row r="455" spans="2:2">
      <c r="B455" s="42"/>
    </row>
    <row r="456" spans="2:2">
      <c r="B456" s="42"/>
    </row>
    <row r="457" spans="2:2">
      <c r="B457" s="42"/>
    </row>
    <row r="458" spans="2:2">
      <c r="B458" s="42"/>
    </row>
    <row r="459" spans="2:2">
      <c r="B459" s="42"/>
    </row>
    <row r="460" spans="2:2">
      <c r="B460" s="42"/>
    </row>
    <row r="461" spans="2:2">
      <c r="B461" s="42"/>
    </row>
    <row r="462" spans="2:2">
      <c r="B462" s="42"/>
    </row>
    <row r="463" spans="2:2">
      <c r="B463" s="42"/>
    </row>
    <row r="464" spans="2:2">
      <c r="B464" s="42"/>
    </row>
    <row r="465" spans="2:2">
      <c r="B465" s="42"/>
    </row>
    <row r="466" spans="2:2">
      <c r="B466" s="42"/>
    </row>
    <row r="467" spans="2:2">
      <c r="B467" s="42"/>
    </row>
    <row r="468" spans="2:2">
      <c r="B468" s="42"/>
    </row>
    <row r="469" spans="2:2">
      <c r="B469" s="42"/>
    </row>
    <row r="470" spans="2:2">
      <c r="B470" s="42"/>
    </row>
    <row r="471" spans="2:2">
      <c r="B471" s="42"/>
    </row>
    <row r="472" spans="2:2">
      <c r="B472" s="42"/>
    </row>
    <row r="473" spans="2:2">
      <c r="B473" s="42"/>
    </row>
    <row r="474" spans="2:2">
      <c r="B474" s="42"/>
    </row>
    <row r="475" spans="2:2">
      <c r="B475" s="42"/>
    </row>
    <row r="476" spans="2:2">
      <c r="B476" s="42"/>
    </row>
    <row r="477" spans="2:2">
      <c r="B477" s="42"/>
    </row>
    <row r="478" spans="2:2">
      <c r="B478" s="42"/>
    </row>
    <row r="479" spans="2:2">
      <c r="B479" s="42"/>
    </row>
    <row r="480" spans="2:2">
      <c r="B480" s="42"/>
    </row>
    <row r="481" spans="2:2">
      <c r="B481" s="42"/>
    </row>
    <row r="482" spans="2:2">
      <c r="B482" s="42"/>
    </row>
    <row r="483" spans="2:2">
      <c r="B483" s="42"/>
    </row>
    <row r="484" spans="2:2">
      <c r="B484" s="42"/>
    </row>
    <row r="485" spans="2:2">
      <c r="B485" s="42"/>
    </row>
    <row r="486" spans="2:2">
      <c r="B486" s="42"/>
    </row>
    <row r="487" spans="2:2">
      <c r="B487" s="42"/>
    </row>
    <row r="488" spans="2:2">
      <c r="B488" s="42"/>
    </row>
    <row r="489" spans="2:2">
      <c r="B489" s="42"/>
    </row>
    <row r="490" spans="2:2">
      <c r="B490" s="42"/>
    </row>
    <row r="491" spans="2:2">
      <c r="B491" s="42"/>
    </row>
    <row r="492" spans="2:2">
      <c r="B492" s="42"/>
    </row>
    <row r="493" spans="2:2">
      <c r="B493" s="42"/>
    </row>
    <row r="494" spans="2:2">
      <c r="B494" s="42"/>
    </row>
    <row r="495" spans="2:2">
      <c r="B495" s="42"/>
    </row>
    <row r="496" spans="2:2">
      <c r="B496" s="42"/>
    </row>
    <row r="497" spans="2:2">
      <c r="B497" s="42"/>
    </row>
  </sheetData>
  <pageMargins left="0.511811024" right="0.511811024" top="0.78740157499999996" bottom="0.78740157499999996" header="0.31496062000000002" footer="0.31496062000000002"/>
</worksheet>
</file>

<file path=xl/worksheets/sheet9.xml><?xml version="1.0" encoding="utf-8"?>
<worksheet xmlns="http://schemas.openxmlformats.org/spreadsheetml/2006/main" xmlns:r="http://schemas.openxmlformats.org/officeDocument/2006/relationships">
  <dimension ref="A1:AF497"/>
  <sheetViews>
    <sheetView zoomScale="70" zoomScaleNormal="70" workbookViewId="0">
      <selection activeCell="B4" sqref="B4:AF9"/>
    </sheetView>
  </sheetViews>
  <sheetFormatPr defaultColWidth="5.7109375" defaultRowHeight="15"/>
  <cols>
    <col min="1" max="1" width="11.5703125" customWidth="1"/>
    <col min="2" max="32" width="7.7109375" style="43" customWidth="1"/>
    <col min="33" max="33" width="12.7109375" customWidth="1"/>
    <col min="257" max="257" width="11.5703125" customWidth="1"/>
    <col min="258" max="288" width="7.7109375" customWidth="1"/>
    <col min="289" max="289" width="12.7109375" customWidth="1"/>
    <col min="513" max="513" width="11.5703125" customWidth="1"/>
    <col min="514" max="544" width="7.7109375" customWidth="1"/>
    <col min="545" max="545" width="12.7109375" customWidth="1"/>
    <col min="769" max="769" width="11.5703125" customWidth="1"/>
    <col min="770" max="800" width="7.7109375" customWidth="1"/>
    <col min="801" max="801" width="12.7109375" customWidth="1"/>
    <col min="1025" max="1025" width="11.5703125" customWidth="1"/>
    <col min="1026" max="1056" width="7.7109375" customWidth="1"/>
    <col min="1057" max="1057" width="12.7109375" customWidth="1"/>
    <col min="1281" max="1281" width="11.5703125" customWidth="1"/>
    <col min="1282" max="1312" width="7.7109375" customWidth="1"/>
    <col min="1313" max="1313" width="12.7109375" customWidth="1"/>
    <col min="1537" max="1537" width="11.5703125" customWidth="1"/>
    <col min="1538" max="1568" width="7.7109375" customWidth="1"/>
    <col min="1569" max="1569" width="12.7109375" customWidth="1"/>
    <col min="1793" max="1793" width="11.5703125" customWidth="1"/>
    <col min="1794" max="1824" width="7.7109375" customWidth="1"/>
    <col min="1825" max="1825" width="12.7109375" customWidth="1"/>
    <col min="2049" max="2049" width="11.5703125" customWidth="1"/>
    <col min="2050" max="2080" width="7.7109375" customWidth="1"/>
    <col min="2081" max="2081" width="12.7109375" customWidth="1"/>
    <col min="2305" max="2305" width="11.5703125" customWidth="1"/>
    <col min="2306" max="2336" width="7.7109375" customWidth="1"/>
    <col min="2337" max="2337" width="12.7109375" customWidth="1"/>
    <col min="2561" max="2561" width="11.5703125" customWidth="1"/>
    <col min="2562" max="2592" width="7.7109375" customWidth="1"/>
    <col min="2593" max="2593" width="12.7109375" customWidth="1"/>
    <col min="2817" max="2817" width="11.5703125" customWidth="1"/>
    <col min="2818" max="2848" width="7.7109375" customWidth="1"/>
    <col min="2849" max="2849" width="12.7109375" customWidth="1"/>
    <col min="3073" max="3073" width="11.5703125" customWidth="1"/>
    <col min="3074" max="3104" width="7.7109375" customWidth="1"/>
    <col min="3105" max="3105" width="12.7109375" customWidth="1"/>
    <col min="3329" max="3329" width="11.5703125" customWidth="1"/>
    <col min="3330" max="3360" width="7.7109375" customWidth="1"/>
    <col min="3361" max="3361" width="12.7109375" customWidth="1"/>
    <col min="3585" max="3585" width="11.5703125" customWidth="1"/>
    <col min="3586" max="3616" width="7.7109375" customWidth="1"/>
    <col min="3617" max="3617" width="12.7109375" customWidth="1"/>
    <col min="3841" max="3841" width="11.5703125" customWidth="1"/>
    <col min="3842" max="3872" width="7.7109375" customWidth="1"/>
    <col min="3873" max="3873" width="12.7109375" customWidth="1"/>
    <col min="4097" max="4097" width="11.5703125" customWidth="1"/>
    <col min="4098" max="4128" width="7.7109375" customWidth="1"/>
    <col min="4129" max="4129" width="12.7109375" customWidth="1"/>
    <col min="4353" max="4353" width="11.5703125" customWidth="1"/>
    <col min="4354" max="4384" width="7.7109375" customWidth="1"/>
    <col min="4385" max="4385" width="12.7109375" customWidth="1"/>
    <col min="4609" max="4609" width="11.5703125" customWidth="1"/>
    <col min="4610" max="4640" width="7.7109375" customWidth="1"/>
    <col min="4641" max="4641" width="12.7109375" customWidth="1"/>
    <col min="4865" max="4865" width="11.5703125" customWidth="1"/>
    <col min="4866" max="4896" width="7.7109375" customWidth="1"/>
    <col min="4897" max="4897" width="12.7109375" customWidth="1"/>
    <col min="5121" max="5121" width="11.5703125" customWidth="1"/>
    <col min="5122" max="5152" width="7.7109375" customWidth="1"/>
    <col min="5153" max="5153" width="12.7109375" customWidth="1"/>
    <col min="5377" max="5377" width="11.5703125" customWidth="1"/>
    <col min="5378" max="5408" width="7.7109375" customWidth="1"/>
    <col min="5409" max="5409" width="12.7109375" customWidth="1"/>
    <col min="5633" max="5633" width="11.5703125" customWidth="1"/>
    <col min="5634" max="5664" width="7.7109375" customWidth="1"/>
    <col min="5665" max="5665" width="12.7109375" customWidth="1"/>
    <col min="5889" max="5889" width="11.5703125" customWidth="1"/>
    <col min="5890" max="5920" width="7.7109375" customWidth="1"/>
    <col min="5921" max="5921" width="12.7109375" customWidth="1"/>
    <col min="6145" max="6145" width="11.5703125" customWidth="1"/>
    <col min="6146" max="6176" width="7.7109375" customWidth="1"/>
    <col min="6177" max="6177" width="12.7109375" customWidth="1"/>
    <col min="6401" max="6401" width="11.5703125" customWidth="1"/>
    <col min="6402" max="6432" width="7.7109375" customWidth="1"/>
    <col min="6433" max="6433" width="12.7109375" customWidth="1"/>
    <col min="6657" max="6657" width="11.5703125" customWidth="1"/>
    <col min="6658" max="6688" width="7.7109375" customWidth="1"/>
    <col min="6689" max="6689" width="12.7109375" customWidth="1"/>
    <col min="6913" max="6913" width="11.5703125" customWidth="1"/>
    <col min="6914" max="6944" width="7.7109375" customWidth="1"/>
    <col min="6945" max="6945" width="12.7109375" customWidth="1"/>
    <col min="7169" max="7169" width="11.5703125" customWidth="1"/>
    <col min="7170" max="7200" width="7.7109375" customWidth="1"/>
    <col min="7201" max="7201" width="12.7109375" customWidth="1"/>
    <col min="7425" max="7425" width="11.5703125" customWidth="1"/>
    <col min="7426" max="7456" width="7.7109375" customWidth="1"/>
    <col min="7457" max="7457" width="12.7109375" customWidth="1"/>
    <col min="7681" max="7681" width="11.5703125" customWidth="1"/>
    <col min="7682" max="7712" width="7.7109375" customWidth="1"/>
    <col min="7713" max="7713" width="12.7109375" customWidth="1"/>
    <col min="7937" max="7937" width="11.5703125" customWidth="1"/>
    <col min="7938" max="7968" width="7.7109375" customWidth="1"/>
    <col min="7969" max="7969" width="12.7109375" customWidth="1"/>
    <col min="8193" max="8193" width="11.5703125" customWidth="1"/>
    <col min="8194" max="8224" width="7.7109375" customWidth="1"/>
    <col min="8225" max="8225" width="12.7109375" customWidth="1"/>
    <col min="8449" max="8449" width="11.5703125" customWidth="1"/>
    <col min="8450" max="8480" width="7.7109375" customWidth="1"/>
    <col min="8481" max="8481" width="12.7109375" customWidth="1"/>
    <col min="8705" max="8705" width="11.5703125" customWidth="1"/>
    <col min="8706" max="8736" width="7.7109375" customWidth="1"/>
    <col min="8737" max="8737" width="12.7109375" customWidth="1"/>
    <col min="8961" max="8961" width="11.5703125" customWidth="1"/>
    <col min="8962" max="8992" width="7.7109375" customWidth="1"/>
    <col min="8993" max="8993" width="12.7109375" customWidth="1"/>
    <col min="9217" max="9217" width="11.5703125" customWidth="1"/>
    <col min="9218" max="9248" width="7.7109375" customWidth="1"/>
    <col min="9249" max="9249" width="12.7109375" customWidth="1"/>
    <col min="9473" max="9473" width="11.5703125" customWidth="1"/>
    <col min="9474" max="9504" width="7.7109375" customWidth="1"/>
    <col min="9505" max="9505" width="12.7109375" customWidth="1"/>
    <col min="9729" max="9729" width="11.5703125" customWidth="1"/>
    <col min="9730" max="9760" width="7.7109375" customWidth="1"/>
    <col min="9761" max="9761" width="12.7109375" customWidth="1"/>
    <col min="9985" max="9985" width="11.5703125" customWidth="1"/>
    <col min="9986" max="10016" width="7.7109375" customWidth="1"/>
    <col min="10017" max="10017" width="12.7109375" customWidth="1"/>
    <col min="10241" max="10241" width="11.5703125" customWidth="1"/>
    <col min="10242" max="10272" width="7.7109375" customWidth="1"/>
    <col min="10273" max="10273" width="12.7109375" customWidth="1"/>
    <col min="10497" max="10497" width="11.5703125" customWidth="1"/>
    <col min="10498" max="10528" width="7.7109375" customWidth="1"/>
    <col min="10529" max="10529" width="12.7109375" customWidth="1"/>
    <col min="10753" max="10753" width="11.5703125" customWidth="1"/>
    <col min="10754" max="10784" width="7.7109375" customWidth="1"/>
    <col min="10785" max="10785" width="12.7109375" customWidth="1"/>
    <col min="11009" max="11009" width="11.5703125" customWidth="1"/>
    <col min="11010" max="11040" width="7.7109375" customWidth="1"/>
    <col min="11041" max="11041" width="12.7109375" customWidth="1"/>
    <col min="11265" max="11265" width="11.5703125" customWidth="1"/>
    <col min="11266" max="11296" width="7.7109375" customWidth="1"/>
    <col min="11297" max="11297" width="12.7109375" customWidth="1"/>
    <col min="11521" max="11521" width="11.5703125" customWidth="1"/>
    <col min="11522" max="11552" width="7.7109375" customWidth="1"/>
    <col min="11553" max="11553" width="12.7109375" customWidth="1"/>
    <col min="11777" max="11777" width="11.5703125" customWidth="1"/>
    <col min="11778" max="11808" width="7.7109375" customWidth="1"/>
    <col min="11809" max="11809" width="12.7109375" customWidth="1"/>
    <col min="12033" max="12033" width="11.5703125" customWidth="1"/>
    <col min="12034" max="12064" width="7.7109375" customWidth="1"/>
    <col min="12065" max="12065" width="12.7109375" customWidth="1"/>
    <col min="12289" max="12289" width="11.5703125" customWidth="1"/>
    <col min="12290" max="12320" width="7.7109375" customWidth="1"/>
    <col min="12321" max="12321" width="12.7109375" customWidth="1"/>
    <col min="12545" max="12545" width="11.5703125" customWidth="1"/>
    <col min="12546" max="12576" width="7.7109375" customWidth="1"/>
    <col min="12577" max="12577" width="12.7109375" customWidth="1"/>
    <col min="12801" max="12801" width="11.5703125" customWidth="1"/>
    <col min="12802" max="12832" width="7.7109375" customWidth="1"/>
    <col min="12833" max="12833" width="12.7109375" customWidth="1"/>
    <col min="13057" max="13057" width="11.5703125" customWidth="1"/>
    <col min="13058" max="13088" width="7.7109375" customWidth="1"/>
    <col min="13089" max="13089" width="12.7109375" customWidth="1"/>
    <col min="13313" max="13313" width="11.5703125" customWidth="1"/>
    <col min="13314" max="13344" width="7.7109375" customWidth="1"/>
    <col min="13345" max="13345" width="12.7109375" customWidth="1"/>
    <col min="13569" max="13569" width="11.5703125" customWidth="1"/>
    <col min="13570" max="13600" width="7.7109375" customWidth="1"/>
    <col min="13601" max="13601" width="12.7109375" customWidth="1"/>
    <col min="13825" max="13825" width="11.5703125" customWidth="1"/>
    <col min="13826" max="13856" width="7.7109375" customWidth="1"/>
    <col min="13857" max="13857" width="12.7109375" customWidth="1"/>
    <col min="14081" max="14081" width="11.5703125" customWidth="1"/>
    <col min="14082" max="14112" width="7.7109375" customWidth="1"/>
    <col min="14113" max="14113" width="12.7109375" customWidth="1"/>
    <col min="14337" max="14337" width="11.5703125" customWidth="1"/>
    <col min="14338" max="14368" width="7.7109375" customWidth="1"/>
    <col min="14369" max="14369" width="12.7109375" customWidth="1"/>
    <col min="14593" max="14593" width="11.5703125" customWidth="1"/>
    <col min="14594" max="14624" width="7.7109375" customWidth="1"/>
    <col min="14625" max="14625" width="12.7109375" customWidth="1"/>
    <col min="14849" max="14849" width="11.5703125" customWidth="1"/>
    <col min="14850" max="14880" width="7.7109375" customWidth="1"/>
    <col min="14881" max="14881" width="12.7109375" customWidth="1"/>
    <col min="15105" max="15105" width="11.5703125" customWidth="1"/>
    <col min="15106" max="15136" width="7.7109375" customWidth="1"/>
    <col min="15137" max="15137" width="12.7109375" customWidth="1"/>
    <col min="15361" max="15361" width="11.5703125" customWidth="1"/>
    <col min="15362" max="15392" width="7.7109375" customWidth="1"/>
    <col min="15393" max="15393" width="12.7109375" customWidth="1"/>
    <col min="15617" max="15617" width="11.5703125" customWidth="1"/>
    <col min="15618" max="15648" width="7.7109375" customWidth="1"/>
    <col min="15649" max="15649" width="12.7109375" customWidth="1"/>
    <col min="15873" max="15873" width="11.5703125" customWidth="1"/>
    <col min="15874" max="15904" width="7.7109375" customWidth="1"/>
    <col min="15905" max="15905" width="12.7109375" customWidth="1"/>
    <col min="16129" max="16129" width="11.5703125" customWidth="1"/>
    <col min="16130" max="16160" width="7.7109375" customWidth="1"/>
    <col min="16161" max="16161" width="12.7109375" customWidth="1"/>
  </cols>
  <sheetData>
    <row r="1" spans="1:32" ht="18">
      <c r="A1" s="1"/>
      <c r="B1" s="2" t="str">
        <f>'[9]Dia 1 (b)'!C1</f>
        <v>SETEMBRO DE 2023</v>
      </c>
      <c r="C1" s="3"/>
      <c r="D1" s="4"/>
      <c r="E1" s="5"/>
      <c r="F1" s="2"/>
      <c r="G1" s="3"/>
      <c r="H1" s="3"/>
      <c r="I1" s="3"/>
      <c r="J1" s="3"/>
      <c r="K1" s="3" t="s">
        <v>0</v>
      </c>
      <c r="L1" s="3"/>
      <c r="M1" s="3"/>
      <c r="N1" s="6"/>
      <c r="O1" s="7"/>
      <c r="P1" s="8"/>
      <c r="Q1" s="7"/>
      <c r="R1" s="7"/>
      <c r="S1" s="7"/>
      <c r="T1" s="7"/>
      <c r="U1" s="7"/>
      <c r="V1" s="9"/>
      <c r="W1" s="3"/>
      <c r="X1" s="3"/>
      <c r="Y1" s="3"/>
      <c r="Z1" s="3"/>
      <c r="AA1" s="3"/>
      <c r="AB1" s="3"/>
      <c r="AC1" s="3"/>
      <c r="AD1" s="3"/>
      <c r="AE1" s="3"/>
      <c r="AF1" s="3"/>
    </row>
    <row r="2" spans="1:32" ht="15.75" thickBot="1">
      <c r="A2" s="1"/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</row>
    <row r="3" spans="1:32" ht="20.100000000000001" customHeight="1" thickBot="1">
      <c r="A3" s="10" t="s">
        <v>1</v>
      </c>
      <c r="B3" s="11">
        <v>1</v>
      </c>
      <c r="C3" s="11">
        <v>2</v>
      </c>
      <c r="D3" s="11">
        <v>3</v>
      </c>
      <c r="E3" s="11">
        <v>4</v>
      </c>
      <c r="F3" s="11">
        <v>5</v>
      </c>
      <c r="G3" s="11">
        <v>6</v>
      </c>
      <c r="H3" s="11">
        <v>7</v>
      </c>
      <c r="I3" s="11">
        <v>8</v>
      </c>
      <c r="J3" s="11">
        <v>9</v>
      </c>
      <c r="K3" s="11">
        <v>10</v>
      </c>
      <c r="L3" s="11">
        <v>11</v>
      </c>
      <c r="M3" s="11">
        <v>12</v>
      </c>
      <c r="N3" s="11">
        <v>13</v>
      </c>
      <c r="O3" s="11">
        <v>14</v>
      </c>
      <c r="P3" s="11">
        <v>15</v>
      </c>
      <c r="Q3" s="11">
        <v>16</v>
      </c>
      <c r="R3" s="11">
        <v>17</v>
      </c>
      <c r="S3" s="11">
        <v>18</v>
      </c>
      <c r="T3" s="11">
        <v>19</v>
      </c>
      <c r="U3" s="11">
        <v>20</v>
      </c>
      <c r="V3" s="11">
        <v>21</v>
      </c>
      <c r="W3" s="11">
        <v>22</v>
      </c>
      <c r="X3" s="11">
        <v>23</v>
      </c>
      <c r="Y3" s="11">
        <v>24</v>
      </c>
      <c r="Z3" s="12">
        <v>25</v>
      </c>
      <c r="AA3" s="12">
        <v>26</v>
      </c>
      <c r="AB3" s="12">
        <v>27</v>
      </c>
      <c r="AC3" s="12">
        <v>28</v>
      </c>
      <c r="AD3" s="12">
        <v>29</v>
      </c>
      <c r="AE3" s="12">
        <v>30</v>
      </c>
      <c r="AF3" s="13"/>
    </row>
    <row r="4" spans="1:32" ht="20.100000000000001" customHeight="1">
      <c r="A4" s="14">
        <v>1</v>
      </c>
      <c r="B4" s="59"/>
      <c r="C4" s="59"/>
      <c r="D4" s="59"/>
      <c r="E4" s="59"/>
      <c r="F4" s="59"/>
      <c r="G4" s="59"/>
      <c r="H4" s="59"/>
      <c r="I4" s="59"/>
      <c r="J4" s="59"/>
      <c r="K4" s="59"/>
      <c r="L4" s="59"/>
      <c r="M4" s="59"/>
      <c r="N4" s="59"/>
      <c r="O4" s="59"/>
      <c r="P4" s="59"/>
      <c r="Q4" s="59"/>
      <c r="R4" s="59"/>
      <c r="S4" s="59"/>
      <c r="T4" s="59"/>
      <c r="U4" s="59"/>
      <c r="V4" s="59"/>
      <c r="W4" s="59"/>
      <c r="X4" s="59"/>
      <c r="Y4" s="59"/>
      <c r="Z4" s="59"/>
      <c r="AA4" s="59"/>
      <c r="AB4" s="59"/>
      <c r="AC4" s="59"/>
      <c r="AD4" s="59"/>
      <c r="AE4" s="59"/>
      <c r="AF4" s="59"/>
    </row>
    <row r="5" spans="1:32" ht="20.100000000000001" customHeight="1">
      <c r="A5" s="14">
        <v>2</v>
      </c>
      <c r="B5" s="59"/>
      <c r="C5" s="59"/>
      <c r="D5" s="59"/>
      <c r="E5" s="59"/>
      <c r="F5" s="59"/>
      <c r="G5" s="59"/>
      <c r="H5" s="59"/>
      <c r="I5" s="59"/>
      <c r="J5" s="59"/>
      <c r="K5" s="59"/>
      <c r="L5" s="59"/>
      <c r="M5" s="59"/>
      <c r="N5" s="59"/>
      <c r="O5" s="59"/>
      <c r="P5" s="59"/>
      <c r="Q5" s="59"/>
      <c r="R5" s="59"/>
      <c r="S5" s="59"/>
      <c r="T5" s="59"/>
      <c r="U5" s="59"/>
      <c r="V5" s="59"/>
      <c r="W5" s="59"/>
      <c r="X5" s="59"/>
      <c r="Y5" s="59"/>
      <c r="Z5" s="59"/>
      <c r="AA5" s="59"/>
      <c r="AB5" s="59"/>
      <c r="AC5" s="59"/>
      <c r="AD5" s="59"/>
      <c r="AE5" s="59"/>
      <c r="AF5" s="59"/>
    </row>
    <row r="6" spans="1:32" ht="20.100000000000001" customHeight="1">
      <c r="A6" s="14">
        <v>3</v>
      </c>
      <c r="B6" s="59"/>
      <c r="C6" s="59"/>
      <c r="D6" s="59"/>
      <c r="E6" s="59"/>
      <c r="F6" s="59"/>
      <c r="G6" s="59"/>
      <c r="H6" s="59"/>
      <c r="I6" s="59"/>
      <c r="J6" s="59"/>
      <c r="K6" s="59"/>
      <c r="L6" s="59"/>
      <c r="M6" s="59"/>
      <c r="N6" s="59"/>
      <c r="O6" s="59"/>
      <c r="P6" s="59"/>
      <c r="Q6" s="59"/>
      <c r="R6" s="59"/>
      <c r="S6" s="59"/>
      <c r="T6" s="59"/>
      <c r="U6" s="59"/>
      <c r="V6" s="59"/>
      <c r="W6" s="59"/>
      <c r="X6" s="59"/>
      <c r="Y6" s="59"/>
      <c r="Z6" s="59"/>
      <c r="AA6" s="59"/>
      <c r="AB6" s="59"/>
      <c r="AC6" s="59"/>
      <c r="AD6" s="59"/>
      <c r="AE6" s="59"/>
      <c r="AF6" s="59"/>
    </row>
    <row r="7" spans="1:32" ht="20.100000000000001" customHeight="1">
      <c r="A7" s="14">
        <v>4</v>
      </c>
      <c r="B7" s="59"/>
      <c r="C7" s="59"/>
      <c r="D7" s="59"/>
      <c r="E7" s="59"/>
      <c r="F7" s="59"/>
      <c r="G7" s="59"/>
      <c r="H7" s="59"/>
      <c r="I7" s="59"/>
      <c r="J7" s="59"/>
      <c r="K7" s="59"/>
      <c r="L7" s="59"/>
      <c r="M7" s="59"/>
      <c r="N7" s="59"/>
      <c r="O7" s="59"/>
      <c r="P7" s="59"/>
      <c r="Q7" s="59"/>
      <c r="R7" s="59"/>
      <c r="S7" s="59"/>
      <c r="T7" s="59"/>
      <c r="U7" s="59"/>
      <c r="V7" s="59"/>
      <c r="W7" s="59"/>
      <c r="X7" s="59"/>
      <c r="Y7" s="59"/>
      <c r="Z7" s="59"/>
      <c r="AA7" s="59"/>
      <c r="AB7" s="59"/>
      <c r="AC7" s="59"/>
      <c r="AD7" s="59"/>
      <c r="AE7" s="59"/>
      <c r="AF7" s="59"/>
    </row>
    <row r="8" spans="1:32" ht="20.100000000000001" customHeight="1">
      <c r="A8" s="14">
        <v>5</v>
      </c>
      <c r="B8" s="59"/>
      <c r="C8" s="59"/>
      <c r="D8" s="59"/>
      <c r="E8" s="59"/>
      <c r="F8" s="59"/>
      <c r="G8" s="59"/>
      <c r="H8" s="59"/>
      <c r="I8" s="59"/>
      <c r="J8" s="59"/>
      <c r="K8" s="59"/>
      <c r="L8" s="59"/>
      <c r="M8" s="59"/>
      <c r="N8" s="59"/>
      <c r="O8" s="59"/>
      <c r="P8" s="59"/>
      <c r="Q8" s="59"/>
      <c r="R8" s="59"/>
      <c r="S8" s="59"/>
      <c r="T8" s="59"/>
      <c r="U8" s="59"/>
      <c r="V8" s="59"/>
      <c r="W8" s="59"/>
      <c r="X8" s="59"/>
      <c r="Y8" s="59"/>
      <c r="Z8" s="59"/>
      <c r="AA8" s="59"/>
      <c r="AB8" s="59"/>
      <c r="AC8" s="59"/>
      <c r="AD8" s="59"/>
      <c r="AE8" s="59"/>
      <c r="AF8" s="59"/>
    </row>
    <row r="9" spans="1:32" ht="20.100000000000001" customHeight="1">
      <c r="A9" s="14">
        <v>6</v>
      </c>
      <c r="B9" s="59"/>
      <c r="C9" s="59"/>
      <c r="D9" s="59"/>
      <c r="E9" s="59"/>
      <c r="F9" s="59"/>
      <c r="G9" s="59"/>
      <c r="H9" s="59"/>
      <c r="I9" s="59"/>
      <c r="J9" s="59"/>
      <c r="K9" s="59"/>
      <c r="L9" s="59"/>
      <c r="M9" s="59"/>
      <c r="N9" s="59"/>
      <c r="O9" s="59"/>
      <c r="P9" s="59"/>
      <c r="Q9" s="59"/>
      <c r="R9" s="59"/>
      <c r="S9" s="59"/>
      <c r="T9" s="59"/>
      <c r="U9" s="59"/>
      <c r="V9" s="59"/>
      <c r="W9" s="59"/>
      <c r="X9" s="59"/>
      <c r="Y9" s="59"/>
      <c r="Z9" s="59"/>
      <c r="AA9" s="59"/>
      <c r="AB9" s="59"/>
      <c r="AC9" s="59"/>
      <c r="AD9" s="59"/>
      <c r="AE9" s="59"/>
      <c r="AF9" s="59"/>
    </row>
    <row r="10" spans="1:32" ht="20.100000000000001" customHeight="1">
      <c r="A10" s="14">
        <v>7</v>
      </c>
      <c r="B10" s="15">
        <f>'[9]Dia 1 (b)'!$X16</f>
        <v>8.6173337462329194</v>
      </c>
      <c r="C10" s="15">
        <f>'[9]Dia 2 (b)'!$X16</f>
        <v>12.235871253928311</v>
      </c>
      <c r="D10" s="15">
        <f>'[9]Dia 3 (b)'!$X16</f>
        <v>13.929771178401086</v>
      </c>
      <c r="E10" s="15">
        <f>'[9]Dia 4 (b)'!$X16</f>
        <v>14.507786188176233</v>
      </c>
      <c r="F10" s="15">
        <f>'[9]Dia 5 (b)'!$X16</f>
        <v>14.689223706690459</v>
      </c>
      <c r="G10" s="15">
        <f>'[9]Dia 6 (b)'!$X16</f>
        <v>10.783989578875778</v>
      </c>
      <c r="H10" s="15">
        <f>'[9]Dia 7 (b)'!$X16</f>
        <v>10.196907063183026</v>
      </c>
      <c r="I10" s="15">
        <f>'[9]Dia 8 (b)'!$X16</f>
        <v>11.589701668376147</v>
      </c>
      <c r="J10" s="15">
        <f>'[9]Dia 9 (b)'!$X16</f>
        <v>12.994032549639904</v>
      </c>
      <c r="K10" s="15">
        <f>'[9]Dia 10 (b)'!$X16</f>
        <v>11.616594294891874</v>
      </c>
      <c r="L10" s="15">
        <f>'[9]Dia 11 (b)'!$X16</f>
        <v>12.443461117019304</v>
      </c>
      <c r="M10" s="15">
        <f>'[9]Dia 12 (b)'!$X16</f>
        <v>9.6781043639937376</v>
      </c>
      <c r="N10" s="15">
        <f>'[9]Dia 13 (b)'!$X16</f>
        <v>10.185918973418737</v>
      </c>
      <c r="O10" s="15">
        <f>'[9]Dia 14 (b)'!$X16</f>
        <v>11.106182795150787</v>
      </c>
      <c r="P10" s="15">
        <f>'[9]Dia 15 (b)'!$X16</f>
        <v>9.4109407223691157</v>
      </c>
      <c r="Q10" s="15">
        <f>'[9]Dia 16 (b)'!$X16</f>
        <v>10.121438210656276</v>
      </c>
      <c r="R10" s="15">
        <f>'[9]Dia 17 (b)'!$X16</f>
        <v>13.520283118738467</v>
      </c>
      <c r="S10" s="15">
        <f>'[9]Dia 18 (b)'!$X16</f>
        <v>13.994625421878613</v>
      </c>
      <c r="T10" s="15">
        <f>'[9]Dia 19 (b)'!$X16</f>
        <v>13.511432557222911</v>
      </c>
      <c r="U10" s="15">
        <f>'[9]Dia 20 (b)'!$X16</f>
        <v>12.313593754031514</v>
      </c>
      <c r="V10" s="15">
        <f>'[9]Dia 21 (b)'!$X16</f>
        <v>12.393291214988102</v>
      </c>
      <c r="W10" s="15">
        <f>'[9]Dia 22 (b)'!$X16</f>
        <v>14.320097177015345</v>
      </c>
      <c r="X10" s="15">
        <f>'[9]Dia 23 (b)'!$X16</f>
        <v>14.233057000878933</v>
      </c>
      <c r="Y10" s="15">
        <f>'[9]Dia 24 (b)'!$X16</f>
        <v>13.33676367961186</v>
      </c>
      <c r="Z10" s="15">
        <f>'[9]Dia 25 (b)'!$X16</f>
        <v>14.490617363103695</v>
      </c>
      <c r="AA10" s="15">
        <f>'[9]Dia 26 (b)'!$X16</f>
        <v>14.777549332573955</v>
      </c>
      <c r="AB10" s="15">
        <f>'[9]Dia 27 (b)'!$X16</f>
        <v>14.701193990427866</v>
      </c>
      <c r="AC10" s="15">
        <f>'[9]Dia 28 (b)'!$X16</f>
        <v>10.380419758827165</v>
      </c>
      <c r="AD10" s="15">
        <f>'[9]Dia 29 (b)'!$X16</f>
        <v>10.243638611187311</v>
      </c>
      <c r="AE10" s="15">
        <f>'[9]Dia 30 (b)'!$X16</f>
        <v>11.815762440263297</v>
      </c>
      <c r="AF10" s="15"/>
    </row>
    <row r="11" spans="1:32" ht="20.100000000000001" customHeight="1">
      <c r="A11" s="14">
        <v>8</v>
      </c>
      <c r="B11" s="15">
        <f>'[9]Dia 1 (b)'!$X17</f>
        <v>9.2268021858872764</v>
      </c>
      <c r="C11" s="15">
        <f>'[9]Dia 2 (b)'!$X17</f>
        <v>12.481132330435765</v>
      </c>
      <c r="D11" s="15">
        <f>'[9]Dia 3 (b)'!$X17</f>
        <v>14.237852701673093</v>
      </c>
      <c r="E11" s="15">
        <f>'[9]Dia 4 (b)'!$X17</f>
        <v>14.925851873230524</v>
      </c>
      <c r="F11" s="15">
        <f>'[9]Dia 5 (b)'!$X17</f>
        <v>14.511823253711203</v>
      </c>
      <c r="G11" s="15">
        <f>'[9]Dia 6 (b)'!$X17</f>
        <v>10.734231416137858</v>
      </c>
      <c r="H11" s="15">
        <f>'[9]Dia 7 (b)'!$X17</f>
        <v>10.028736647860866</v>
      </c>
      <c r="I11" s="15">
        <f>'[9]Dia 8 (b)'!$X17</f>
        <v>11.329622229453207</v>
      </c>
      <c r="J11" s="15">
        <f>'[9]Dia 9 (b)'!$X17</f>
        <v>12.118613290640699</v>
      </c>
      <c r="K11" s="15">
        <f>'[9]Dia 10 (b)'!$X17</f>
        <v>12.085573923736847</v>
      </c>
      <c r="L11" s="15">
        <f>'[9]Dia 11 (b)'!$X17</f>
        <v>12.657526296791715</v>
      </c>
      <c r="M11" s="15">
        <f>'[9]Dia 12 (b)'!$X17</f>
        <v>9.4978990812423145</v>
      </c>
      <c r="N11" s="15">
        <f>'[9]Dia 13 (b)'!$X17</f>
        <v>9.6410177983956924</v>
      </c>
      <c r="O11" s="15">
        <f>'[9]Dia 14 (b)'!$X17</f>
        <v>10.887724546653166</v>
      </c>
      <c r="P11" s="15">
        <f>'[9]Dia 15 (b)'!$X17</f>
        <v>9.2855395864629013</v>
      </c>
      <c r="Q11" s="15">
        <f>'[9]Dia 16 (b)'!$X17</f>
        <v>10.310492159655091</v>
      </c>
      <c r="R11" s="15">
        <f>'[9]Dia 17 (b)'!$X17</f>
        <v>13.658548635293423</v>
      </c>
      <c r="S11" s="15">
        <f>'[9]Dia 18 (b)'!$X17</f>
        <v>13.632449997447074</v>
      </c>
      <c r="T11" s="15">
        <f>'[9]Dia 19 (b)'!$X17</f>
        <v>13.220480825670972</v>
      </c>
      <c r="U11" s="15">
        <f>'[9]Dia 20 (b)'!$X17</f>
        <v>12.066782144114367</v>
      </c>
      <c r="V11" s="15">
        <f>'[9]Dia 21 (b)'!$X17</f>
        <v>12.578765853955746</v>
      </c>
      <c r="W11" s="15">
        <f>'[9]Dia 22 (b)'!$X17</f>
        <v>14.473194411228988</v>
      </c>
      <c r="X11" s="15">
        <f>'[9]Dia 23 (b)'!$X17</f>
        <v>12.751451334038489</v>
      </c>
      <c r="Y11" s="15">
        <f>'[9]Dia 24 (b)'!$X17</f>
        <v>11.768083360230357</v>
      </c>
      <c r="Z11" s="15">
        <f>'[9]Dia 25 (b)'!$X17</f>
        <v>14.634033994550453</v>
      </c>
      <c r="AA11" s="15">
        <f>'[9]Dia 26 (b)'!$X17</f>
        <v>14.915922183117054</v>
      </c>
      <c r="AB11" s="15">
        <f>'[9]Dia 27 (b)'!$X17</f>
        <v>14.541424193677955</v>
      </c>
      <c r="AC11" s="15">
        <f>'[9]Dia 28 (b)'!$X17</f>
        <v>10.279912657911385</v>
      </c>
      <c r="AD11" s="15">
        <f>'[9]Dia 29 (b)'!$X17</f>
        <v>10.768499997333567</v>
      </c>
      <c r="AE11" s="15">
        <f>'[9]Dia 30 (b)'!$X17</f>
        <v>11.845882946768583</v>
      </c>
      <c r="AF11" s="15"/>
    </row>
    <row r="12" spans="1:32" ht="20.100000000000001" customHeight="1">
      <c r="A12" s="14">
        <v>9</v>
      </c>
      <c r="B12" s="15">
        <f>'[9]Dia 1 (b)'!$X18</f>
        <v>9.8582290219241067</v>
      </c>
      <c r="C12" s="15">
        <f>'[9]Dia 2 (b)'!$X18</f>
        <v>12.529693279766361</v>
      </c>
      <c r="D12" s="15">
        <f>'[9]Dia 3 (b)'!$X18</f>
        <v>14.186377859317004</v>
      </c>
      <c r="E12" s="15">
        <f>'[9]Dia 4 (b)'!$X18</f>
        <v>14.222209422552925</v>
      </c>
      <c r="F12" s="15">
        <f>'[9]Dia 5 (b)'!$X18</f>
        <v>14.720431561009342</v>
      </c>
      <c r="G12" s="15">
        <f>'[9]Dia 6 (b)'!$X18</f>
        <v>10.675637018714172</v>
      </c>
      <c r="H12" s="15">
        <f>'[9]Dia 7 (b)'!$X18</f>
        <v>10.319753047639253</v>
      </c>
      <c r="I12" s="15">
        <f>'[9]Dia 8 (b)'!$X18</f>
        <v>10.694990007408887</v>
      </c>
      <c r="J12" s="15">
        <f>'[9]Dia 9 (b)'!$X18</f>
        <v>11.125202665989063</v>
      </c>
      <c r="K12" s="15">
        <f>'[9]Dia 10 (b)'!$X18</f>
        <v>12.033756910494796</v>
      </c>
      <c r="L12" s="15">
        <f>'[9]Dia 11 (b)'!$X18</f>
        <v>12.535487789103749</v>
      </c>
      <c r="M12" s="15">
        <f>'[9]Dia 12 (b)'!$X18</f>
        <v>9.5143799370198181</v>
      </c>
      <c r="N12" s="15">
        <f>'[9]Dia 13 (b)'!$X18</f>
        <v>9.2053744311162635</v>
      </c>
      <c r="O12" s="15">
        <f>'[9]Dia 14 (b)'!$X18</f>
        <v>11.444161603133352</v>
      </c>
      <c r="P12" s="15">
        <f>'[9]Dia 15 (b)'!$X18</f>
        <v>9.2403308419154548</v>
      </c>
      <c r="Q12" s="15">
        <f>'[9]Dia 16 (b)'!$X18</f>
        <v>10.245410414934025</v>
      </c>
      <c r="R12" s="15">
        <f>'[9]Dia 17 (b)'!$X18</f>
        <v>13.661364963878947</v>
      </c>
      <c r="S12" s="15">
        <f>'[9]Dia 18 (b)'!$X18</f>
        <v>12.911186156691901</v>
      </c>
      <c r="T12" s="15">
        <f>'[9]Dia 19 (b)'!$X18</f>
        <v>12.741008232216048</v>
      </c>
      <c r="U12" s="15">
        <f>'[9]Dia 20 (b)'!$X18</f>
        <v>11.018498562638769</v>
      </c>
      <c r="V12" s="15">
        <f>'[9]Dia 21 (b)'!$X18</f>
        <v>13.144874147630212</v>
      </c>
      <c r="W12" s="15">
        <f>'[9]Dia 22 (b)'!$X18</f>
        <v>12.965543397402495</v>
      </c>
      <c r="X12" s="15">
        <f>'[9]Dia 23 (b)'!$X18</f>
        <v>10.292821185609363</v>
      </c>
      <c r="Y12" s="15">
        <f>'[9]Dia 24 (b)'!$X18</f>
        <v>11.9651526473045</v>
      </c>
      <c r="Z12" s="15">
        <f>'[9]Dia 25 (b)'!$X18</f>
        <v>14.628068032774541</v>
      </c>
      <c r="AA12" s="15">
        <f>'[9]Dia 26 (b)'!$X18</f>
        <v>14.945704475427817</v>
      </c>
      <c r="AB12" s="15">
        <f>'[9]Dia 27 (b)'!$X18</f>
        <v>14.387434735765842</v>
      </c>
      <c r="AC12" s="15">
        <f>'[9]Dia 28 (b)'!$X18</f>
        <v>10.035132537673725</v>
      </c>
      <c r="AD12" s="15">
        <f>'[9]Dia 29 (b)'!$X18</f>
        <v>10.810406462152148</v>
      </c>
      <c r="AE12" s="15">
        <f>'[9]Dia 30 (b)'!$X18</f>
        <v>11.956345109539759</v>
      </c>
      <c r="AF12" s="15"/>
    </row>
    <row r="13" spans="1:32" ht="20.100000000000001" customHeight="1">
      <c r="A13" s="14">
        <v>10</v>
      </c>
      <c r="B13" s="15">
        <f>'[9]Dia 1 (b)'!$X19</f>
        <v>10.191682258013353</v>
      </c>
      <c r="C13" s="15">
        <f>'[9]Dia 2 (b)'!$X19</f>
        <v>12.720232645416436</v>
      </c>
      <c r="D13" s="15">
        <f>'[9]Dia 3 (b)'!$X19</f>
        <v>14.584994923627423</v>
      </c>
      <c r="E13" s="15">
        <f>'[9]Dia 4 (b)'!$X19</f>
        <v>13.069426366601688</v>
      </c>
      <c r="F13" s="15">
        <f>'[9]Dia 5 (b)'!$X19</f>
        <v>15.004328206738405</v>
      </c>
      <c r="G13" s="15">
        <f>'[9]Dia 6 (b)'!$X19</f>
        <v>10.919857652394667</v>
      </c>
      <c r="H13" s="15">
        <f>'[9]Dia 7 (b)'!$X19</f>
        <v>10.524619705324318</v>
      </c>
      <c r="I13" s="15">
        <f>'[9]Dia 8 (b)'!$X19</f>
        <v>11.028180624268797</v>
      </c>
      <c r="J13" s="15">
        <f>'[9]Dia 9 (b)'!$X19</f>
        <v>10.18814861771339</v>
      </c>
      <c r="K13" s="15">
        <f>'[9]Dia 10 (b)'!$X19</f>
        <v>12.19184302127857</v>
      </c>
      <c r="L13" s="15">
        <f>'[9]Dia 11 (b)'!$X19</f>
        <v>12.675593980353488</v>
      </c>
      <c r="M13" s="15">
        <f>'[9]Dia 12 (b)'!$X19</f>
        <v>9.8561474690662205</v>
      </c>
      <c r="N13" s="15">
        <f>'[9]Dia 13 (b)'!$X19</f>
        <v>9.1247141269350518</v>
      </c>
      <c r="O13" s="15">
        <f>'[9]Dia 14 (b)'!$X19</f>
        <v>11.776909404114015</v>
      </c>
      <c r="P13" s="15">
        <f>'[9]Dia 15 (b)'!$X19</f>
        <v>9.4831403394434801</v>
      </c>
      <c r="Q13" s="15">
        <f>'[9]Dia 16 (b)'!$X19</f>
        <v>10.41929703758556</v>
      </c>
      <c r="R13" s="15">
        <f>'[9]Dia 17 (b)'!$X19</f>
        <v>13.595945452121565</v>
      </c>
      <c r="S13" s="15">
        <f>'[9]Dia 18 (b)'!$X19</f>
        <v>12.019127649247073</v>
      </c>
      <c r="T13" s="15">
        <f>'[9]Dia 19 (b)'!$X19</f>
        <v>10.773432779059565</v>
      </c>
      <c r="U13" s="15">
        <f>'[9]Dia 20 (b)'!$X19</f>
        <v>9.715529087069612</v>
      </c>
      <c r="V13" s="15">
        <f>'[9]Dia 21 (b)'!$X19</f>
        <v>13.080749764609878</v>
      </c>
      <c r="W13" s="15">
        <f>'[9]Dia 22 (b)'!$X19</f>
        <v>10.60383266052381</v>
      </c>
      <c r="X13" s="15">
        <f>'[9]Dia 23 (b)'!$X19</f>
        <v>11.133945383192133</v>
      </c>
      <c r="Y13" s="15">
        <f>'[9]Dia 24 (b)'!$X19</f>
        <v>11.663341294315627</v>
      </c>
      <c r="Z13" s="15">
        <f>'[9]Dia 25 (b)'!$X19</f>
        <v>14.217168741862274</v>
      </c>
      <c r="AA13" s="15">
        <f>'[9]Dia 26 (b)'!$X19</f>
        <v>15.236228411724142</v>
      </c>
      <c r="AB13" s="15">
        <f>'[9]Dia 27 (b)'!$X19</f>
        <v>14.618513962752857</v>
      </c>
      <c r="AC13" s="15">
        <f>'[9]Dia 28 (b)'!$X19</f>
        <v>10.657448478014373</v>
      </c>
      <c r="AD13" s="15">
        <f>'[9]Dia 29 (b)'!$X19</f>
        <v>10.723499565420116</v>
      </c>
      <c r="AE13" s="15">
        <f>'[9]Dia 30 (b)'!$X19</f>
        <v>12.258942410129757</v>
      </c>
      <c r="AF13" s="15"/>
    </row>
    <row r="14" spans="1:32" ht="20.100000000000001" customHeight="1">
      <c r="A14" s="14">
        <v>11</v>
      </c>
      <c r="B14" s="15">
        <f>'[9]Dia 1 (b)'!$X20</f>
        <v>11.054028546801845</v>
      </c>
      <c r="C14" s="15">
        <f>'[9]Dia 2 (b)'!$X20</f>
        <v>13.473343612936384</v>
      </c>
      <c r="D14" s="15">
        <f>'[9]Dia 3 (b)'!$X20</f>
        <v>14.250661246567594</v>
      </c>
      <c r="E14" s="15">
        <f>'[9]Dia 4 (b)'!$X20</f>
        <v>13.573370664063793</v>
      </c>
      <c r="F14" s="15">
        <f>'[9]Dia 5 (b)'!$X20</f>
        <v>13.155116343160021</v>
      </c>
      <c r="G14" s="15">
        <f>'[9]Dia 6 (b)'!$X20</f>
        <v>11.064070616993417</v>
      </c>
      <c r="H14" s="15">
        <f>'[9]Dia 7 (b)'!$X20</f>
        <v>11.254117873801139</v>
      </c>
      <c r="I14" s="15">
        <f>'[9]Dia 8 (b)'!$X20</f>
        <v>9.7459722049996032</v>
      </c>
      <c r="J14" s="15">
        <f>'[9]Dia 9 (b)'!$X20</f>
        <v>10.899007956425278</v>
      </c>
      <c r="K14" s="15">
        <f>'[9]Dia 10 (b)'!$X20</f>
        <v>12.166722941932955</v>
      </c>
      <c r="L14" s="15">
        <f>'[9]Dia 11 (b)'!$X20</f>
        <v>12.103474305062143</v>
      </c>
      <c r="M14" s="15">
        <f>'[9]Dia 12 (b)'!$X20</f>
        <v>8.7291069448040979</v>
      </c>
      <c r="N14" s="15">
        <f>'[9]Dia 13 (b)'!$X20</f>
        <v>9.587041261857717</v>
      </c>
      <c r="O14" s="15">
        <f>'[9]Dia 14 (b)'!$X20</f>
        <v>12.239162051038761</v>
      </c>
      <c r="P14" s="15">
        <f>'[9]Dia 15 (b)'!$X20</f>
        <v>9.1702666609734749</v>
      </c>
      <c r="Q14" s="15">
        <f>'[9]Dia 16 (b)'!$X20</f>
        <v>10.608357401170752</v>
      </c>
      <c r="R14" s="15">
        <f>'[9]Dia 17 (b)'!$X20</f>
        <v>10.726561829324268</v>
      </c>
      <c r="S14" s="15">
        <f>'[9]Dia 18 (b)'!$X20</f>
        <v>12.741711168362887</v>
      </c>
      <c r="T14" s="15">
        <f>'[9]Dia 19 (b)'!$X20</f>
        <v>9.0282441099746773</v>
      </c>
      <c r="U14" s="15">
        <f>'[9]Dia 20 (b)'!$X20</f>
        <v>9.1775304503227559</v>
      </c>
      <c r="V14" s="15">
        <f>'[9]Dia 21 (b)'!$X20</f>
        <v>13.246904684229959</v>
      </c>
      <c r="W14" s="15">
        <f>'[9]Dia 22 (b)'!$X20</f>
        <v>9.321766767943652</v>
      </c>
      <c r="X14" s="15">
        <f>'[9]Dia 23 (b)'!$X20</f>
        <v>10.649645391185121</v>
      </c>
      <c r="Y14" s="15">
        <f>'[9]Dia 24 (b)'!$X20</f>
        <v>11.472347036849452</v>
      </c>
      <c r="Z14" s="15">
        <f>'[9]Dia 25 (b)'!$X20</f>
        <v>14.57661745631933</v>
      </c>
      <c r="AA14" s="15">
        <f>'[9]Dia 26 (b)'!$X20</f>
        <v>14.956839087153906</v>
      </c>
      <c r="AB14" s="15">
        <f>'[9]Dia 27 (b)'!$X20</f>
        <v>15.115210845068898</v>
      </c>
      <c r="AC14" s="15">
        <f>'[9]Dia 28 (b)'!$X20</f>
        <v>9.9843992350177029</v>
      </c>
      <c r="AD14" s="15">
        <f>'[9]Dia 29 (b)'!$X20</f>
        <v>10.784220627083746</v>
      </c>
      <c r="AE14" s="15">
        <f>'[9]Dia 30 (b)'!$X20</f>
        <v>12.561540628128192</v>
      </c>
      <c r="AF14" s="15"/>
    </row>
    <row r="15" spans="1:32" ht="20.100000000000001" customHeight="1">
      <c r="A15" s="14">
        <v>12</v>
      </c>
      <c r="B15" s="15">
        <f>'[9]Dia 1 (b)'!$X21</f>
        <v>10.73101249079553</v>
      </c>
      <c r="C15" s="15">
        <f>'[9]Dia 2 (b)'!$X21</f>
        <v>13.288471345184339</v>
      </c>
      <c r="D15" s="15">
        <f>'[9]Dia 3 (b)'!$X21</f>
        <v>14.80249503814683</v>
      </c>
      <c r="E15" s="15">
        <f>'[9]Dia 4 (b)'!$X21</f>
        <v>13.819776288768617</v>
      </c>
      <c r="F15" s="15">
        <f>'[9]Dia 5 (b)'!$X21</f>
        <v>12.004760483896431</v>
      </c>
      <c r="G15" s="15">
        <f>'[9]Dia 6 (b)'!$X21</f>
        <v>11.147699102965969</v>
      </c>
      <c r="H15" s="15">
        <f>'[9]Dia 7 (b)'!$X21</f>
        <v>10.524741508176175</v>
      </c>
      <c r="I15" s="15">
        <f>'[9]Dia 8 (b)'!$X21</f>
        <v>9.4691496613779975</v>
      </c>
      <c r="J15" s="15">
        <f>'[9]Dia 9 (b)'!$X21</f>
        <v>10.587247309540897</v>
      </c>
      <c r="K15" s="15">
        <f>'[9]Dia 10 (b)'!$X21</f>
        <v>12.511362239547294</v>
      </c>
      <c r="L15" s="15">
        <f>'[9]Dia 11 (b)'!$X21</f>
        <v>12.222579930333344</v>
      </c>
      <c r="M15" s="15">
        <f>'[9]Dia 12 (b)'!$X21</f>
        <v>7.5340538222244344</v>
      </c>
      <c r="N15" s="15">
        <f>'[9]Dia 13 (b)'!$X21</f>
        <v>8.8793771990290011</v>
      </c>
      <c r="O15" s="15">
        <f>'[9]Dia 14 (b)'!$X21</f>
        <v>12.738828690946045</v>
      </c>
      <c r="P15" s="15">
        <f>'[9]Dia 15 (b)'!$X21</f>
        <v>9.1293164077180116</v>
      </c>
      <c r="Q15" s="15">
        <f>'[9]Dia 16 (b)'!$X21</f>
        <v>11.177029704397194</v>
      </c>
      <c r="R15" s="15">
        <f>'[9]Dia 17 (b)'!$X21</f>
        <v>9.0493797038572286</v>
      </c>
      <c r="S15" s="15">
        <f>'[9]Dia 18 (b)'!$X21</f>
        <v>11.114319888905619</v>
      </c>
      <c r="T15" s="15">
        <f>'[9]Dia 19 (b)'!$X21</f>
        <v>9.7901549396358476</v>
      </c>
      <c r="U15" s="15">
        <f>'[9]Dia 20 (b)'!$X21</f>
        <v>9.1026316885022229</v>
      </c>
      <c r="V15" s="15">
        <f>'[9]Dia 21 (b)'!$X21</f>
        <v>13.426659470957425</v>
      </c>
      <c r="W15" s="15">
        <f>'[9]Dia 22 (b)'!$X21</f>
        <v>8.7789104840705541</v>
      </c>
      <c r="X15" s="15">
        <f>'[9]Dia 23 (b)'!$X21</f>
        <v>9.6420873624470058</v>
      </c>
      <c r="Y15" s="15">
        <f>'[9]Dia 24 (b)'!$X21</f>
        <v>10.984751651485945</v>
      </c>
      <c r="Z15" s="15">
        <f>'[9]Dia 25 (b)'!$X21</f>
        <v>14.450682476466778</v>
      </c>
      <c r="AA15" s="15">
        <f>'[9]Dia 26 (b)'!$X21</f>
        <v>15.248873679495818</v>
      </c>
      <c r="AB15" s="15">
        <f>'[9]Dia 27 (b)'!$X21</f>
        <v>14.380446742496954</v>
      </c>
      <c r="AC15" s="15">
        <f>'[9]Dia 28 (b)'!$X21</f>
        <v>9.5519433328645889</v>
      </c>
      <c r="AD15" s="15">
        <f>'[9]Dia 29 (b)'!$X21</f>
        <v>11.515789073341772</v>
      </c>
      <c r="AE15" s="15">
        <f>'[9]Dia 30 (b)'!$X21</f>
        <v>12.857692723431517</v>
      </c>
      <c r="AF15" s="15"/>
    </row>
    <row r="16" spans="1:32" ht="20.100000000000001" customHeight="1">
      <c r="A16" s="14">
        <v>13</v>
      </c>
      <c r="B16" s="15">
        <f>'[9]Dia 1 (b)'!$X22</f>
        <v>10.577881061324209</v>
      </c>
      <c r="C16" s="15">
        <f>'[9]Dia 2 (b)'!$X22</f>
        <v>13.31802712588661</v>
      </c>
      <c r="D16" s="15">
        <f>'[9]Dia 3 (b)'!$X22</f>
        <v>14.138584285315781</v>
      </c>
      <c r="E16" s="15">
        <f>'[9]Dia 4 (b)'!$X22</f>
        <v>13.985354361306886</v>
      </c>
      <c r="F16" s="15">
        <f>'[9]Dia 5 (b)'!$X22</f>
        <v>11.683211643711376</v>
      </c>
      <c r="G16" s="15">
        <f>'[9]Dia 6 (b)'!$X22</f>
        <v>11.047516798218883</v>
      </c>
      <c r="H16" s="15">
        <f>'[9]Dia 7 (b)'!$X22</f>
        <v>11.340399641106012</v>
      </c>
      <c r="I16" s="15">
        <f>'[9]Dia 8 (b)'!$X22</f>
        <v>9.1887831886272711</v>
      </c>
      <c r="J16" s="15">
        <f>'[9]Dia 9 (b)'!$X22</f>
        <v>11.218989603049543</v>
      </c>
      <c r="K16" s="15">
        <f>'[9]Dia 10 (b)'!$X22</f>
        <v>11.804153788392004</v>
      </c>
      <c r="L16" s="15">
        <f>'[9]Dia 11 (b)'!$X22</f>
        <v>10.725098250504304</v>
      </c>
      <c r="M16" s="15">
        <f>'[9]Dia 12 (b)'!$X22</f>
        <v>6.9356891659686353</v>
      </c>
      <c r="N16" s="15">
        <f>'[9]Dia 13 (b)'!$X22</f>
        <v>9.1785807584593684</v>
      </c>
      <c r="O16" s="15">
        <f>'[9]Dia 14 (b)'!$X22</f>
        <v>13.246019197248387</v>
      </c>
      <c r="P16" s="15">
        <f>'[9]Dia 15 (b)'!$X22</f>
        <v>9.6110253194680837</v>
      </c>
      <c r="Q16" s="15">
        <f>'[9]Dia 16 (b)'!$X22</f>
        <v>11.629748834169972</v>
      </c>
      <c r="R16" s="15">
        <f>'[9]Dia 17 (b)'!$X22</f>
        <v>9.0887934926647258</v>
      </c>
      <c r="S16" s="15">
        <f>'[9]Dia 18 (b)'!$X22</f>
        <v>11.029602404275133</v>
      </c>
      <c r="T16" s="15">
        <f>'[9]Dia 19 (b)'!$X22</f>
        <v>9.8733492415546138</v>
      </c>
      <c r="U16" s="15">
        <f>'[9]Dia 20 (b)'!$X22</f>
        <v>9.6262876487059508</v>
      </c>
      <c r="V16" s="15">
        <f>'[9]Dia 21 (b)'!$X22</f>
        <v>14.299537336498853</v>
      </c>
      <c r="W16" s="15">
        <f>'[9]Dia 22 (b)'!$X22</f>
        <v>8.8091587119638621</v>
      </c>
      <c r="X16" s="15">
        <f>'[9]Dia 23 (b)'!$X22</f>
        <v>13.430216740942834</v>
      </c>
      <c r="Y16" s="15">
        <f>'[9]Dia 24 (b)'!$X22</f>
        <v>10.135166319348659</v>
      </c>
      <c r="Z16" s="15">
        <f>'[9]Dia 25 (b)'!$X22</f>
        <v>16.421743988065849</v>
      </c>
      <c r="AA16" s="15">
        <f>'[9]Dia 26 (b)'!$X22</f>
        <v>17.006682286274181</v>
      </c>
      <c r="AB16" s="15">
        <f>'[9]Dia 27 (b)'!$X22</f>
        <v>14.899125064469121</v>
      </c>
      <c r="AC16" s="15">
        <f>'[9]Dia 28 (b)'!$X22</f>
        <v>10.18089452488824</v>
      </c>
      <c r="AD16" s="15">
        <f>'[9]Dia 29 (b)'!$X22</f>
        <v>11.896749024234943</v>
      </c>
      <c r="AE16" s="15">
        <f>'[9]Dia 30 (b)'!$X22</f>
        <v>13.547080064140593</v>
      </c>
      <c r="AF16" s="15"/>
    </row>
    <row r="17" spans="1:32" ht="20.100000000000001" customHeight="1">
      <c r="A17" s="14">
        <v>14</v>
      </c>
      <c r="B17" s="15">
        <f>'[9]Dia 1 (b)'!$X23</f>
        <v>11.982791129343028</v>
      </c>
      <c r="C17" s="15">
        <f>'[9]Dia 2 (b)'!$X23</f>
        <v>13.206094230462851</v>
      </c>
      <c r="D17" s="15">
        <f>'[9]Dia 3 (b)'!$X23</f>
        <v>13.956369362933449</v>
      </c>
      <c r="E17" s="15">
        <f>'[9]Dia 4 (b)'!$X23</f>
        <v>14.366083121594469</v>
      </c>
      <c r="F17" s="15">
        <f>'[9]Dia 5 (b)'!$X23</f>
        <v>11.485643623189072</v>
      </c>
      <c r="G17" s="15">
        <f>'[9]Dia 6 (b)'!$X23</f>
        <v>11.344905731051403</v>
      </c>
      <c r="H17" s="15">
        <f>'[9]Dia 7 (b)'!$X23</f>
        <v>12.454162527377465</v>
      </c>
      <c r="I17" s="15">
        <f>'[9]Dia 8 (b)'!$X23</f>
        <v>8.4417128271780761</v>
      </c>
      <c r="J17" s="15">
        <f>'[9]Dia 9 (b)'!$X23</f>
        <v>11.595835250010168</v>
      </c>
      <c r="K17" s="15">
        <f>'[9]Dia 10 (b)'!$X23</f>
        <v>12.273416727306824</v>
      </c>
      <c r="L17" s="15">
        <f>'[9]Dia 11 (b)'!$X23</f>
        <v>10.066999732780229</v>
      </c>
      <c r="M17" s="15">
        <f>'[9]Dia 12 (b)'!$X23</f>
        <v>7.3975703336473249</v>
      </c>
      <c r="N17" s="15">
        <f>'[9]Dia 13 (b)'!$X23</f>
        <v>9.2504211198230202</v>
      </c>
      <c r="O17" s="15">
        <f>'[9]Dia 14 (b)'!$X23</f>
        <v>13.153724860753991</v>
      </c>
      <c r="P17" s="15">
        <f>'[9]Dia 15 (b)'!$X23</f>
        <v>10.041067409648026</v>
      </c>
      <c r="Q17" s="15">
        <f>'[9]Dia 16 (b)'!$X23</f>
        <v>12.508883134944679</v>
      </c>
      <c r="R17" s="15">
        <f>'[9]Dia 17 (b)'!$X23</f>
        <v>8.6704367386382639</v>
      </c>
      <c r="S17" s="15">
        <f>'[9]Dia 18 (b)'!$X23</f>
        <v>11.38591007096081</v>
      </c>
      <c r="T17" s="15">
        <f>'[9]Dia 19 (b)'!$X23</f>
        <v>8.1108089825154845</v>
      </c>
      <c r="U17" s="15">
        <f>'[9]Dia 20 (b)'!$X23</f>
        <v>9.7274142826023606</v>
      </c>
      <c r="V17" s="15">
        <f>'[9]Dia 21 (b)'!$X23</f>
        <v>14.203591104522893</v>
      </c>
      <c r="W17" s="15">
        <f>'[9]Dia 22 (b)'!$X23</f>
        <v>9.0323350531690227</v>
      </c>
      <c r="X17" s="15">
        <f>'[9]Dia 23 (b)'!$X23</f>
        <v>11.875430255341094</v>
      </c>
      <c r="Y17" s="15">
        <f>'[9]Dia 24 (b)'!$X23</f>
        <v>10.882896536584424</v>
      </c>
      <c r="Z17" s="15">
        <f>'[9]Dia 25 (b)'!$X23</f>
        <v>15.828714030145001</v>
      </c>
      <c r="AA17" s="15">
        <f>'[9]Dia 26 (b)'!$X23</f>
        <v>16.358011052736284</v>
      </c>
      <c r="AB17" s="15">
        <f>'[9]Dia 27 (b)'!$X23</f>
        <v>17.166188421642609</v>
      </c>
      <c r="AC17" s="15">
        <f>'[9]Dia 28 (b)'!$X23</f>
        <v>10.110812165776656</v>
      </c>
      <c r="AD17" s="15">
        <f>'[9]Dia 29 (b)'!$X23</f>
        <v>12.066114167907854</v>
      </c>
      <c r="AE17" s="15">
        <f>'[9]Dia 30 (b)'!$X23</f>
        <v>13.60198157198753</v>
      </c>
      <c r="AF17" s="15"/>
    </row>
    <row r="18" spans="1:32" ht="20.100000000000001" customHeight="1">
      <c r="A18" s="14">
        <v>15</v>
      </c>
      <c r="B18" s="15">
        <f>'[9]Dia 1 (b)'!$X24</f>
        <v>12.03521950645279</v>
      </c>
      <c r="C18" s="15">
        <f>'[9]Dia 2 (b)'!$X24</f>
        <v>13.227942051886554</v>
      </c>
      <c r="D18" s="15">
        <f>'[9]Dia 3 (b)'!$X24</f>
        <v>14.012392064932431</v>
      </c>
      <c r="E18" s="15">
        <f>'[9]Dia 4 (b)'!$X24</f>
        <v>14.46615074068734</v>
      </c>
      <c r="F18" s="15">
        <f>'[9]Dia 5 (b)'!$X24</f>
        <v>11.050646296675623</v>
      </c>
      <c r="G18" s="15">
        <f>'[9]Dia 6 (b)'!$X24</f>
        <v>10.904889039273085</v>
      </c>
      <c r="H18" s="15">
        <f>'[9]Dia 7 (b)'!$X24</f>
        <v>12.226610074654801</v>
      </c>
      <c r="I18" s="15">
        <f>'[9]Dia 8 (b)'!$X24</f>
        <v>8.0223955872283277</v>
      </c>
      <c r="J18" s="15">
        <f>'[9]Dia 9 (b)'!$X24</f>
        <v>11.496371378991322</v>
      </c>
      <c r="K18" s="15">
        <f>'[9]Dia 10 (b)'!$X24</f>
        <v>13.392033371292833</v>
      </c>
      <c r="L18" s="15">
        <f>'[9]Dia 11 (b)'!$X24</f>
        <v>12.254555046761732</v>
      </c>
      <c r="M18" s="15">
        <f>'[9]Dia 12 (b)'!$X24</f>
        <v>7.8182702325523818</v>
      </c>
      <c r="N18" s="15">
        <f>'[9]Dia 13 (b)'!$X24</f>
        <v>8.8677836151412102</v>
      </c>
      <c r="O18" s="15">
        <f>'[9]Dia 14 (b)'!$X24</f>
        <v>12.368207502402011</v>
      </c>
      <c r="P18" s="15">
        <f>'[9]Dia 15 (b)'!$X24</f>
        <v>10.264699911172604</v>
      </c>
      <c r="Q18" s="15">
        <f>'[9]Dia 16 (b)'!$X24</f>
        <v>11.389609794149807</v>
      </c>
      <c r="R18" s="15">
        <f>'[9]Dia 17 (b)'!$X24</f>
        <v>7.3501533279417757</v>
      </c>
      <c r="S18" s="15">
        <f>'[9]Dia 18 (b)'!$X24</f>
        <v>11.472648631927264</v>
      </c>
      <c r="T18" s="15">
        <f>'[9]Dia 19 (b)'!$X24</f>
        <v>13.141676093688559</v>
      </c>
      <c r="U18" s="15">
        <f>'[9]Dia 20 (b)'!$X24</f>
        <v>10.917515817256181</v>
      </c>
      <c r="V18" s="15">
        <f>'[9]Dia 21 (b)'!$X24</f>
        <v>14.725458443651686</v>
      </c>
      <c r="W18" s="15">
        <f>'[9]Dia 22 (b)'!$X24</f>
        <v>9.5660168964063796</v>
      </c>
      <c r="X18" s="15">
        <f>'[9]Dia 23 (b)'!$X24</f>
        <v>13.286554490412041</v>
      </c>
      <c r="Y18" s="15">
        <f>'[9]Dia 24 (b)'!$X24</f>
        <v>9.760866099781099</v>
      </c>
      <c r="Z18" s="15">
        <f>'[9]Dia 25 (b)'!$X24</f>
        <v>14.84334020405606</v>
      </c>
      <c r="AA18" s="15">
        <f>'[9]Dia 26 (b)'!$X24</f>
        <v>17.286503395552476</v>
      </c>
      <c r="AB18" s="15">
        <f>'[9]Dia 27 (b)'!$X24</f>
        <v>15.575357847637392</v>
      </c>
      <c r="AC18" s="15">
        <f>'[9]Dia 28 (b)'!$X24</f>
        <v>9.7659488543486646</v>
      </c>
      <c r="AD18" s="15">
        <f>'[9]Dia 29 (b)'!$X24</f>
        <v>11.906257027307806</v>
      </c>
      <c r="AE18" s="15">
        <f>'[9]Dia 30 (b)'!$X24</f>
        <v>14.489017365557906</v>
      </c>
      <c r="AF18" s="15"/>
    </row>
    <row r="19" spans="1:32" ht="20.100000000000001" customHeight="1">
      <c r="A19" s="14">
        <v>16</v>
      </c>
      <c r="B19" s="59"/>
      <c r="C19" s="59"/>
      <c r="D19" s="59"/>
      <c r="E19" s="59"/>
      <c r="F19" s="59"/>
      <c r="G19" s="59"/>
      <c r="H19" s="59"/>
      <c r="I19" s="59"/>
      <c r="J19" s="59"/>
      <c r="K19" s="59"/>
      <c r="L19" s="59"/>
      <c r="M19" s="59"/>
      <c r="N19" s="59"/>
      <c r="O19" s="59"/>
      <c r="P19" s="59"/>
      <c r="Q19" s="59"/>
      <c r="R19" s="59"/>
      <c r="S19" s="59"/>
      <c r="T19" s="59"/>
      <c r="U19" s="59"/>
      <c r="V19" s="59"/>
      <c r="W19" s="59"/>
      <c r="X19" s="59"/>
      <c r="Y19" s="59"/>
      <c r="Z19" s="59"/>
      <c r="AA19" s="59"/>
      <c r="AB19" s="59"/>
      <c r="AC19" s="59"/>
      <c r="AD19" s="59"/>
      <c r="AE19" s="59"/>
      <c r="AF19" s="59"/>
    </row>
    <row r="20" spans="1:32" ht="20.100000000000001" customHeight="1">
      <c r="A20" s="14">
        <v>17</v>
      </c>
      <c r="B20" s="59"/>
      <c r="C20" s="59"/>
      <c r="D20" s="59"/>
      <c r="E20" s="59"/>
      <c r="F20" s="59"/>
      <c r="G20" s="59"/>
      <c r="H20" s="59"/>
      <c r="I20" s="59"/>
      <c r="J20" s="59"/>
      <c r="K20" s="59"/>
      <c r="L20" s="59"/>
      <c r="M20" s="59"/>
      <c r="N20" s="59"/>
      <c r="O20" s="59"/>
      <c r="P20" s="59"/>
      <c r="Q20" s="59"/>
      <c r="R20" s="59"/>
      <c r="S20" s="59"/>
      <c r="T20" s="59"/>
      <c r="U20" s="59"/>
      <c r="V20" s="59"/>
      <c r="W20" s="59"/>
      <c r="X20" s="59"/>
      <c r="Y20" s="59"/>
      <c r="Z20" s="59"/>
      <c r="AA20" s="59"/>
      <c r="AB20" s="59"/>
      <c r="AC20" s="59"/>
      <c r="AD20" s="59"/>
      <c r="AE20" s="59"/>
      <c r="AF20" s="59"/>
    </row>
    <row r="21" spans="1:32" ht="20.100000000000001" customHeight="1">
      <c r="A21" s="14">
        <v>18</v>
      </c>
      <c r="B21" s="59"/>
      <c r="C21" s="59"/>
      <c r="D21" s="59"/>
      <c r="E21" s="59"/>
      <c r="F21" s="59"/>
      <c r="G21" s="59"/>
      <c r="H21" s="59"/>
      <c r="I21" s="59"/>
      <c r="J21" s="59"/>
      <c r="K21" s="59"/>
      <c r="L21" s="59"/>
      <c r="M21" s="59"/>
      <c r="N21" s="59"/>
      <c r="O21" s="59"/>
      <c r="P21" s="59"/>
      <c r="Q21" s="59"/>
      <c r="R21" s="59"/>
      <c r="S21" s="59"/>
      <c r="T21" s="59"/>
      <c r="U21" s="59"/>
      <c r="V21" s="59"/>
      <c r="W21" s="59"/>
      <c r="X21" s="59"/>
      <c r="Y21" s="59"/>
      <c r="Z21" s="59"/>
      <c r="AA21" s="59"/>
      <c r="AB21" s="59"/>
      <c r="AC21" s="59"/>
      <c r="AD21" s="59"/>
      <c r="AE21" s="59"/>
      <c r="AF21" s="59"/>
    </row>
    <row r="22" spans="1:32" ht="20.100000000000001" customHeight="1">
      <c r="A22" s="14">
        <v>19</v>
      </c>
      <c r="B22" s="59"/>
      <c r="C22" s="59"/>
      <c r="D22" s="59"/>
      <c r="E22" s="59"/>
      <c r="F22" s="59"/>
      <c r="G22" s="59"/>
      <c r="H22" s="59"/>
      <c r="I22" s="59"/>
      <c r="J22" s="59"/>
      <c r="K22" s="59"/>
      <c r="L22" s="59"/>
      <c r="M22" s="59"/>
      <c r="N22" s="59"/>
      <c r="O22" s="59"/>
      <c r="P22" s="59"/>
      <c r="Q22" s="59"/>
      <c r="R22" s="59"/>
      <c r="S22" s="59"/>
      <c r="T22" s="59"/>
      <c r="U22" s="59"/>
      <c r="V22" s="59"/>
      <c r="W22" s="59"/>
      <c r="X22" s="59"/>
      <c r="Y22" s="59"/>
      <c r="Z22" s="59"/>
      <c r="AA22" s="59"/>
      <c r="AB22" s="59"/>
      <c r="AC22" s="59"/>
      <c r="AD22" s="59"/>
      <c r="AE22" s="59"/>
      <c r="AF22" s="59"/>
    </row>
    <row r="23" spans="1:32" ht="20.100000000000001" customHeight="1">
      <c r="A23" s="14">
        <v>20</v>
      </c>
      <c r="B23" s="59"/>
      <c r="C23" s="59"/>
      <c r="D23" s="59"/>
      <c r="E23" s="59"/>
      <c r="F23" s="59"/>
      <c r="G23" s="59"/>
      <c r="H23" s="59"/>
      <c r="I23" s="59"/>
      <c r="J23" s="59"/>
      <c r="K23" s="59"/>
      <c r="L23" s="59"/>
      <c r="M23" s="59"/>
      <c r="N23" s="59"/>
      <c r="O23" s="59"/>
      <c r="P23" s="59"/>
      <c r="Q23" s="59"/>
      <c r="R23" s="59"/>
      <c r="S23" s="59"/>
      <c r="T23" s="59"/>
      <c r="U23" s="59"/>
      <c r="V23" s="59"/>
      <c r="W23" s="59"/>
      <c r="X23" s="59"/>
      <c r="Y23" s="59"/>
      <c r="Z23" s="59"/>
      <c r="AA23" s="59"/>
      <c r="AB23" s="59"/>
      <c r="AC23" s="59"/>
      <c r="AD23" s="59"/>
      <c r="AE23" s="59"/>
      <c r="AF23" s="59"/>
    </row>
    <row r="24" spans="1:32" ht="20.100000000000001" customHeight="1">
      <c r="A24" s="14">
        <v>21</v>
      </c>
      <c r="B24" s="59"/>
      <c r="C24" s="59"/>
      <c r="D24" s="59"/>
      <c r="E24" s="59"/>
      <c r="F24" s="59"/>
      <c r="G24" s="59"/>
      <c r="H24" s="59"/>
      <c r="I24" s="59"/>
      <c r="J24" s="59"/>
      <c r="K24" s="59"/>
      <c r="L24" s="59"/>
      <c r="M24" s="59"/>
      <c r="N24" s="59"/>
      <c r="O24" s="59"/>
      <c r="P24" s="59"/>
      <c r="Q24" s="59"/>
      <c r="R24" s="59"/>
      <c r="S24" s="59"/>
      <c r="T24" s="59"/>
      <c r="U24" s="59"/>
      <c r="V24" s="59"/>
      <c r="W24" s="59"/>
      <c r="X24" s="59"/>
      <c r="Y24" s="59"/>
      <c r="Z24" s="59"/>
      <c r="AA24" s="59"/>
      <c r="AB24" s="59"/>
      <c r="AC24" s="59"/>
      <c r="AD24" s="59"/>
      <c r="AE24" s="59"/>
      <c r="AF24" s="59"/>
    </row>
    <row r="25" spans="1:32" ht="20.100000000000001" customHeight="1">
      <c r="A25" s="14">
        <v>22</v>
      </c>
      <c r="B25" s="59"/>
      <c r="C25" s="59"/>
      <c r="D25" s="59"/>
      <c r="E25" s="59"/>
      <c r="F25" s="59"/>
      <c r="G25" s="59"/>
      <c r="H25" s="59"/>
      <c r="I25" s="59"/>
      <c r="J25" s="59"/>
      <c r="K25" s="59"/>
      <c r="L25" s="59"/>
      <c r="M25" s="59"/>
      <c r="N25" s="59"/>
      <c r="O25" s="59"/>
      <c r="P25" s="59"/>
      <c r="Q25" s="59"/>
      <c r="R25" s="59"/>
      <c r="S25" s="59"/>
      <c r="T25" s="59"/>
      <c r="U25" s="59"/>
      <c r="V25" s="59"/>
      <c r="W25" s="59"/>
      <c r="X25" s="59"/>
      <c r="Y25" s="59"/>
      <c r="Z25" s="59"/>
      <c r="AA25" s="59"/>
      <c r="AB25" s="59"/>
      <c r="AC25" s="59"/>
      <c r="AD25" s="59"/>
      <c r="AE25" s="59"/>
      <c r="AF25" s="59"/>
    </row>
    <row r="26" spans="1:32" ht="20.100000000000001" customHeight="1">
      <c r="A26" s="14">
        <v>23</v>
      </c>
      <c r="B26" s="59"/>
      <c r="C26" s="59"/>
      <c r="D26" s="59"/>
      <c r="E26" s="59"/>
      <c r="F26" s="59"/>
      <c r="G26" s="59"/>
      <c r="H26" s="59"/>
      <c r="I26" s="59"/>
      <c r="J26" s="59"/>
      <c r="K26" s="59"/>
      <c r="L26" s="59"/>
      <c r="M26" s="59"/>
      <c r="N26" s="59"/>
      <c r="O26" s="59"/>
      <c r="P26" s="59"/>
      <c r="Q26" s="59"/>
      <c r="R26" s="59"/>
      <c r="S26" s="59"/>
      <c r="T26" s="59"/>
      <c r="U26" s="59"/>
      <c r="V26" s="59"/>
      <c r="W26" s="59"/>
      <c r="X26" s="59"/>
      <c r="Y26" s="59"/>
      <c r="Z26" s="59"/>
      <c r="AA26" s="59"/>
      <c r="AB26" s="59"/>
      <c r="AC26" s="59"/>
      <c r="AD26" s="59"/>
      <c r="AE26" s="59"/>
      <c r="AF26" s="59"/>
    </row>
    <row r="27" spans="1:32" ht="20.100000000000001" customHeight="1" thickBot="1">
      <c r="A27" s="14">
        <v>24</v>
      </c>
      <c r="B27" s="59"/>
      <c r="C27" s="59"/>
      <c r="D27" s="59"/>
      <c r="E27" s="59"/>
      <c r="F27" s="59"/>
      <c r="G27" s="59"/>
      <c r="H27" s="59"/>
      <c r="I27" s="59"/>
      <c r="J27" s="59"/>
      <c r="K27" s="59"/>
      <c r="L27" s="59"/>
      <c r="M27" s="59"/>
      <c r="N27" s="59"/>
      <c r="O27" s="59"/>
      <c r="P27" s="59"/>
      <c r="Q27" s="59"/>
      <c r="R27" s="59"/>
      <c r="S27" s="59"/>
      <c r="T27" s="59"/>
      <c r="U27" s="59"/>
      <c r="V27" s="59"/>
      <c r="W27" s="59"/>
      <c r="X27" s="59"/>
      <c r="Y27" s="59"/>
      <c r="Z27" s="59"/>
      <c r="AA27" s="59"/>
      <c r="AB27" s="59"/>
      <c r="AC27" s="59"/>
      <c r="AD27" s="59"/>
      <c r="AE27" s="59"/>
      <c r="AF27" s="59"/>
    </row>
    <row r="28" spans="1:32" ht="16.5" thickTop="1">
      <c r="A28" s="17"/>
      <c r="B28" s="19"/>
      <c r="C28" s="19"/>
      <c r="D28" s="19"/>
      <c r="E28" s="19"/>
      <c r="F28" s="19"/>
      <c r="G28" s="19"/>
      <c r="H28" s="19"/>
      <c r="I28" s="19"/>
      <c r="J28" s="19"/>
      <c r="K28" s="19"/>
      <c r="L28" s="19"/>
      <c r="M28" s="19"/>
      <c r="N28" s="60" t="s">
        <v>14</v>
      </c>
      <c r="O28" s="19"/>
      <c r="P28" s="19"/>
      <c r="Q28" s="19"/>
      <c r="R28" s="19"/>
      <c r="S28" s="19"/>
      <c r="T28" s="19"/>
      <c r="U28" s="19"/>
      <c r="V28" s="19"/>
      <c r="W28" s="19"/>
      <c r="X28" s="19"/>
      <c r="Y28" s="19"/>
      <c r="Z28" s="19"/>
      <c r="AA28" s="19"/>
      <c r="AB28" s="19"/>
      <c r="AC28" s="19"/>
      <c r="AD28" s="19"/>
      <c r="AE28" s="19"/>
      <c r="AF28" s="21"/>
    </row>
    <row r="29" spans="1:32" ht="15.75">
      <c r="A29" s="22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23"/>
    </row>
    <row r="30" spans="1:32" ht="15.75">
      <c r="A30" s="24" t="s">
        <v>3</v>
      </c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23"/>
    </row>
    <row r="31" spans="1:32" ht="15.75">
      <c r="A31" s="24" t="s">
        <v>4</v>
      </c>
      <c r="B31" s="25"/>
      <c r="C31" s="25"/>
      <c r="D31" s="25"/>
      <c r="E31" s="25"/>
      <c r="F31" s="25"/>
      <c r="G31" s="25"/>
      <c r="H31" s="25"/>
      <c r="I31" s="25"/>
      <c r="J31" s="25"/>
      <c r="K31" s="25"/>
      <c r="L31" s="25"/>
      <c r="M31" s="25"/>
      <c r="N31" s="25"/>
      <c r="O31" s="25"/>
      <c r="P31" s="25"/>
      <c r="Q31" s="25"/>
      <c r="R31" s="25"/>
      <c r="S31" s="25"/>
      <c r="T31" s="25"/>
      <c r="U31" s="25"/>
      <c r="V31" s="25"/>
      <c r="W31" s="25"/>
      <c r="X31" s="25"/>
      <c r="Y31" s="25"/>
      <c r="Z31" s="25"/>
      <c r="AA31" s="25"/>
      <c r="AB31" s="25"/>
      <c r="AC31" s="25"/>
      <c r="AD31" s="25"/>
      <c r="AE31" s="25"/>
      <c r="AF31" s="26"/>
    </row>
    <row r="32" spans="1:32" ht="15.75">
      <c r="A32" s="27"/>
      <c r="B32" s="28"/>
      <c r="C32" s="28"/>
      <c r="D32" s="28"/>
      <c r="E32" s="28"/>
      <c r="F32" s="28"/>
      <c r="G32" s="28"/>
      <c r="H32" s="28"/>
      <c r="I32" s="28"/>
      <c r="J32" s="28"/>
      <c r="K32" s="28"/>
      <c r="L32" s="28"/>
      <c r="M32" s="28"/>
      <c r="N32" s="28"/>
      <c r="O32" s="28"/>
      <c r="P32" s="28"/>
      <c r="Q32" s="28"/>
      <c r="R32" s="28"/>
      <c r="S32" s="28"/>
      <c r="T32" s="28"/>
      <c r="U32" s="28"/>
      <c r="V32" s="28"/>
      <c r="W32" s="28"/>
      <c r="X32" s="28"/>
      <c r="Y32" s="28"/>
      <c r="Z32" s="28"/>
      <c r="AA32" s="28"/>
      <c r="AB32" s="28"/>
      <c r="AC32" s="28"/>
      <c r="AD32" s="28"/>
      <c r="AE32" s="28"/>
      <c r="AF32" s="29"/>
    </row>
    <row r="33" spans="1:32" ht="15.75">
      <c r="A33" s="27"/>
      <c r="B33" s="28"/>
      <c r="C33" s="28"/>
      <c r="D33" s="28"/>
      <c r="E33" s="28"/>
      <c r="F33" s="28"/>
      <c r="G33" s="28"/>
      <c r="H33" s="28"/>
      <c r="I33" s="28"/>
      <c r="J33" s="28"/>
      <c r="K33" s="28"/>
      <c r="L33" s="28"/>
      <c r="M33" s="28"/>
      <c r="N33" s="28"/>
      <c r="O33" s="28"/>
      <c r="P33" s="28"/>
      <c r="Q33" s="28"/>
      <c r="R33" s="28"/>
      <c r="S33" s="28"/>
      <c r="T33" s="28"/>
      <c r="U33" s="28"/>
      <c r="V33" s="28"/>
      <c r="W33" s="28"/>
      <c r="X33" s="28"/>
      <c r="Y33" s="28"/>
      <c r="Z33" s="28"/>
      <c r="AA33" s="28"/>
      <c r="AB33" s="28"/>
      <c r="AC33" s="28"/>
      <c r="AD33" s="28"/>
      <c r="AE33" s="28"/>
      <c r="AF33" s="29"/>
    </row>
    <row r="34" spans="1:32" ht="15.75">
      <c r="A34" s="24" t="s">
        <v>5</v>
      </c>
      <c r="B34" s="28"/>
      <c r="C34" s="28"/>
      <c r="D34" s="28"/>
      <c r="E34" s="28"/>
      <c r="F34" s="28"/>
      <c r="G34" s="28"/>
      <c r="H34" s="28"/>
      <c r="I34" s="28"/>
      <c r="J34" s="28"/>
      <c r="K34" s="28"/>
      <c r="L34" s="28"/>
      <c r="M34" s="28"/>
      <c r="N34" s="28"/>
      <c r="O34" s="28"/>
      <c r="P34" s="28"/>
      <c r="Q34" s="28"/>
      <c r="R34" s="28"/>
      <c r="S34" s="28"/>
      <c r="T34" s="28"/>
      <c r="U34" s="28"/>
      <c r="V34" s="28"/>
      <c r="W34" s="28"/>
      <c r="X34" s="28"/>
      <c r="Y34" s="28"/>
      <c r="Z34" s="28"/>
      <c r="AA34" s="28"/>
      <c r="AB34" s="28"/>
      <c r="AC34" s="28"/>
      <c r="AD34" s="28"/>
      <c r="AE34" s="28"/>
      <c r="AF34" s="29"/>
    </row>
    <row r="35" spans="1:32" ht="15.75">
      <c r="A35" s="24" t="s">
        <v>4</v>
      </c>
      <c r="B35" s="25"/>
      <c r="C35" s="25"/>
      <c r="D35" s="25"/>
      <c r="E35" s="25"/>
      <c r="F35" s="25"/>
      <c r="G35" s="25"/>
      <c r="H35" s="25"/>
      <c r="I35" s="25"/>
      <c r="J35" s="25"/>
      <c r="K35" s="25"/>
      <c r="L35" s="25"/>
      <c r="M35" s="25"/>
      <c r="N35" s="25"/>
      <c r="O35" s="25"/>
      <c r="P35" s="25"/>
      <c r="Q35" s="25"/>
      <c r="R35" s="25"/>
      <c r="S35" s="25"/>
      <c r="T35" s="25"/>
      <c r="U35" s="25"/>
      <c r="V35" s="25"/>
      <c r="W35" s="25"/>
      <c r="X35" s="25"/>
      <c r="Y35" s="25"/>
      <c r="Z35" s="25"/>
      <c r="AA35" s="25"/>
      <c r="AB35" s="25"/>
      <c r="AC35" s="25"/>
      <c r="AD35" s="25"/>
      <c r="AE35" s="25"/>
      <c r="AF35" s="26"/>
    </row>
    <row r="36" spans="1:32" ht="15.75">
      <c r="A36" s="24"/>
      <c r="B36" s="25"/>
      <c r="C36" s="25"/>
      <c r="D36" s="25"/>
      <c r="E36" s="25"/>
      <c r="F36" s="25"/>
      <c r="G36" s="25"/>
      <c r="H36" s="25"/>
      <c r="I36" s="25"/>
      <c r="J36" s="25"/>
      <c r="K36" s="25"/>
      <c r="L36" s="25"/>
      <c r="M36" s="25"/>
      <c r="N36" s="25"/>
      <c r="O36" s="25"/>
      <c r="P36" s="25"/>
      <c r="Q36" s="25"/>
      <c r="R36" s="25"/>
      <c r="S36" s="25"/>
      <c r="T36" s="25"/>
      <c r="U36" s="25"/>
      <c r="V36" s="25"/>
      <c r="W36" s="25"/>
      <c r="X36" s="25"/>
      <c r="Y36" s="25"/>
      <c r="Z36" s="25"/>
      <c r="AA36" s="25"/>
      <c r="AB36" s="25"/>
      <c r="AC36" s="25"/>
      <c r="AD36" s="25"/>
      <c r="AE36" s="25"/>
      <c r="AF36" s="26"/>
    </row>
    <row r="37" spans="1:32" ht="15.75">
      <c r="A37" s="27"/>
      <c r="B37" s="28"/>
      <c r="C37" s="28"/>
      <c r="D37" s="28"/>
      <c r="E37" s="28"/>
      <c r="F37" s="28"/>
      <c r="G37" s="28"/>
      <c r="H37" s="28"/>
      <c r="I37" s="28"/>
      <c r="J37" s="28"/>
      <c r="K37" s="28"/>
      <c r="L37" s="28"/>
      <c r="M37" s="28"/>
      <c r="N37" s="28"/>
      <c r="O37" s="28"/>
      <c r="P37" s="28"/>
      <c r="Q37" s="28"/>
      <c r="R37" s="28"/>
      <c r="S37" s="28"/>
      <c r="T37" s="28"/>
      <c r="U37" s="28"/>
      <c r="V37" s="28"/>
      <c r="W37" s="28"/>
      <c r="X37" s="28"/>
      <c r="Y37" s="28"/>
      <c r="Z37" s="28"/>
      <c r="AA37" s="28"/>
      <c r="AB37" s="28"/>
      <c r="AC37" s="28"/>
      <c r="AD37" s="28"/>
      <c r="AE37" s="28"/>
      <c r="AF37" s="29"/>
    </row>
    <row r="38" spans="1:32" ht="15.75">
      <c r="A38" s="24" t="s">
        <v>6</v>
      </c>
      <c r="B38" s="28"/>
      <c r="C38" s="28"/>
      <c r="D38" s="28"/>
      <c r="E38" s="28"/>
      <c r="F38" s="28"/>
      <c r="G38" s="28"/>
      <c r="H38" s="28"/>
      <c r="I38" s="28"/>
      <c r="J38" s="28"/>
      <c r="K38" s="28"/>
      <c r="L38" s="28"/>
      <c r="M38" s="28"/>
      <c r="N38" s="28"/>
      <c r="O38" s="28"/>
      <c r="P38" s="28"/>
      <c r="Q38" s="28"/>
      <c r="R38" s="28"/>
      <c r="S38" s="28"/>
      <c r="T38" s="28"/>
      <c r="U38" s="28"/>
      <c r="V38" s="28"/>
      <c r="W38" s="28"/>
      <c r="X38" s="28"/>
      <c r="Y38" s="28"/>
      <c r="Z38" s="28"/>
      <c r="AA38" s="28"/>
      <c r="AB38" s="28"/>
      <c r="AC38" s="28"/>
      <c r="AD38" s="28"/>
      <c r="AE38" s="28"/>
      <c r="AF38" s="29"/>
    </row>
    <row r="39" spans="1:32" ht="15.75">
      <c r="A39" s="24" t="s">
        <v>4</v>
      </c>
      <c r="B39" s="25"/>
      <c r="C39" s="25"/>
      <c r="D39" s="25"/>
      <c r="E39" s="25"/>
      <c r="F39" s="25"/>
      <c r="G39" s="25"/>
      <c r="H39" s="25"/>
      <c r="I39" s="25"/>
      <c r="J39" s="25"/>
      <c r="K39" s="25"/>
      <c r="L39" s="25"/>
      <c r="M39" s="25"/>
      <c r="N39" s="25"/>
      <c r="O39" s="25"/>
      <c r="P39" s="25"/>
      <c r="Q39" s="25"/>
      <c r="R39" s="25"/>
      <c r="S39" s="25"/>
      <c r="T39" s="25"/>
      <c r="U39" s="25"/>
      <c r="V39" s="25"/>
      <c r="W39" s="25"/>
      <c r="X39" s="25"/>
      <c r="Y39" s="25"/>
      <c r="Z39" s="25"/>
      <c r="AA39" s="25"/>
      <c r="AB39" s="25"/>
      <c r="AC39" s="25"/>
      <c r="AD39" s="25"/>
      <c r="AE39" s="25"/>
      <c r="AF39" s="26"/>
    </row>
    <row r="40" spans="1:32" ht="15.75">
      <c r="A40" s="24"/>
      <c r="B40" s="25"/>
      <c r="C40" s="25"/>
      <c r="D40" s="25"/>
      <c r="E40" s="25"/>
      <c r="F40" s="25"/>
      <c r="G40" s="25"/>
      <c r="H40" s="25"/>
      <c r="I40" s="25"/>
      <c r="J40" s="25"/>
      <c r="K40" s="25"/>
      <c r="L40" s="25"/>
      <c r="M40" s="25"/>
      <c r="N40" s="25"/>
      <c r="O40" s="25"/>
      <c r="P40" s="25"/>
      <c r="Q40" s="25"/>
      <c r="R40" s="25"/>
      <c r="S40" s="25"/>
      <c r="T40" s="25"/>
      <c r="U40" s="25"/>
      <c r="V40" s="25"/>
      <c r="W40" s="25"/>
      <c r="X40" s="25"/>
      <c r="Y40" s="25"/>
      <c r="Z40" s="25"/>
      <c r="AA40" s="25"/>
      <c r="AB40" s="25"/>
      <c r="AC40" s="25"/>
      <c r="AD40" s="25"/>
      <c r="AE40" s="25"/>
      <c r="AF40" s="26"/>
    </row>
    <row r="41" spans="1:32" ht="15.75">
      <c r="A41" s="27"/>
      <c r="B41" s="28"/>
      <c r="C41" s="28"/>
      <c r="D41" s="28"/>
      <c r="E41" s="28"/>
      <c r="F41" s="28"/>
      <c r="G41" s="28"/>
      <c r="H41" s="28"/>
      <c r="I41" s="28"/>
      <c r="J41" s="28"/>
      <c r="K41" s="28"/>
      <c r="L41" s="28"/>
      <c r="M41" s="28"/>
      <c r="N41" s="28"/>
      <c r="O41" s="28"/>
      <c r="P41" s="28"/>
      <c r="Q41" s="28"/>
      <c r="R41" s="28"/>
      <c r="S41" s="28"/>
      <c r="T41" s="28"/>
      <c r="U41" s="28"/>
      <c r="V41" s="28"/>
      <c r="W41" s="28"/>
      <c r="X41" s="28"/>
      <c r="Y41" s="28"/>
      <c r="Z41" s="28"/>
      <c r="AA41" s="28"/>
      <c r="AB41" s="28"/>
      <c r="AC41" s="28"/>
      <c r="AD41" s="28"/>
      <c r="AE41" s="28"/>
      <c r="AF41" s="29"/>
    </row>
    <row r="42" spans="1:32" ht="15.75">
      <c r="A42" s="24" t="s">
        <v>7</v>
      </c>
      <c r="B42" s="28"/>
      <c r="C42" s="28"/>
      <c r="D42" s="28"/>
      <c r="E42" s="28"/>
      <c r="F42" s="28"/>
      <c r="G42" s="28"/>
      <c r="H42" s="28"/>
      <c r="I42" s="28"/>
      <c r="J42" s="28"/>
      <c r="K42" s="28"/>
      <c r="L42" s="28"/>
      <c r="M42" s="28"/>
      <c r="N42" s="28"/>
      <c r="O42" s="28"/>
      <c r="P42" s="28"/>
      <c r="Q42" s="28"/>
      <c r="R42" s="28"/>
      <c r="S42" s="28"/>
      <c r="T42" s="28"/>
      <c r="U42" s="28"/>
      <c r="V42" s="28"/>
      <c r="W42" s="28"/>
      <c r="X42" s="28"/>
      <c r="Y42" s="28"/>
      <c r="Z42" s="28"/>
      <c r="AA42" s="28"/>
      <c r="AB42" s="28"/>
      <c r="AC42" s="28"/>
      <c r="AD42" s="28"/>
      <c r="AE42" s="28"/>
      <c r="AF42" s="29"/>
    </row>
    <row r="43" spans="1:32" ht="15.75">
      <c r="A43" s="24" t="s">
        <v>4</v>
      </c>
      <c r="B43" s="25"/>
      <c r="C43" s="25"/>
      <c r="D43" s="25"/>
      <c r="E43" s="25"/>
      <c r="F43" s="25"/>
      <c r="G43" s="25"/>
      <c r="H43" s="25"/>
      <c r="I43" s="25"/>
      <c r="J43" s="25"/>
      <c r="K43" s="25"/>
      <c r="L43" s="25"/>
      <c r="M43" s="25"/>
      <c r="N43" s="25"/>
      <c r="O43" s="25"/>
      <c r="P43" s="25"/>
      <c r="Q43" s="25"/>
      <c r="R43" s="25"/>
      <c r="S43" s="25"/>
      <c r="T43" s="25"/>
      <c r="U43" s="25"/>
      <c r="V43" s="25"/>
      <c r="W43" s="25"/>
      <c r="X43" s="25"/>
      <c r="Y43" s="25"/>
      <c r="Z43" s="25"/>
      <c r="AA43" s="25"/>
      <c r="AB43" s="25"/>
      <c r="AC43" s="25"/>
      <c r="AD43" s="25"/>
      <c r="AE43" s="25"/>
      <c r="AF43" s="26"/>
    </row>
    <row r="44" spans="1:32" ht="15.75">
      <c r="A44" s="24"/>
      <c r="B44" s="25"/>
      <c r="C44" s="25"/>
      <c r="D44" s="25"/>
      <c r="E44" s="25"/>
      <c r="F44" s="25"/>
      <c r="G44" s="25"/>
      <c r="H44" s="25"/>
      <c r="I44" s="25"/>
      <c r="J44" s="25"/>
      <c r="K44" s="25"/>
      <c r="L44" s="25"/>
      <c r="M44" s="25"/>
      <c r="N44" s="25"/>
      <c r="O44" s="25"/>
      <c r="P44" s="25"/>
      <c r="Q44" s="25"/>
      <c r="R44" s="25"/>
      <c r="S44" s="25"/>
      <c r="T44" s="25"/>
      <c r="U44" s="25"/>
      <c r="V44" s="25"/>
      <c r="W44" s="25"/>
      <c r="X44" s="25"/>
      <c r="Y44" s="25"/>
      <c r="Z44" s="25"/>
      <c r="AA44" s="25"/>
      <c r="AB44" s="25"/>
      <c r="AC44" s="25"/>
      <c r="AD44" s="25"/>
      <c r="AE44" s="25"/>
      <c r="AF44" s="26"/>
    </row>
    <row r="45" spans="1:32" ht="15.75">
      <c r="A45" s="22"/>
      <c r="B45" s="30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23"/>
    </row>
    <row r="46" spans="1:32" ht="15.75">
      <c r="A46" s="31"/>
      <c r="B46" s="30"/>
      <c r="C46" s="3"/>
      <c r="D46" s="3"/>
      <c r="E46" s="3"/>
      <c r="F46" s="3"/>
      <c r="G46" s="3"/>
      <c r="H46" s="32" t="s">
        <v>3</v>
      </c>
      <c r="I46" s="30"/>
      <c r="J46" s="33"/>
      <c r="K46" s="34" t="s">
        <v>5</v>
      </c>
      <c r="L46" s="33"/>
      <c r="M46" s="33"/>
      <c r="N46" s="34" t="s">
        <v>6</v>
      </c>
      <c r="O46" s="33"/>
      <c r="P46" s="33"/>
      <c r="Q46" s="34" t="s">
        <v>7</v>
      </c>
      <c r="R46" s="30"/>
      <c r="S46" s="30"/>
      <c r="T46" s="33" t="s">
        <v>3</v>
      </c>
      <c r="U46" s="33"/>
      <c r="V46" s="33" t="s">
        <v>3</v>
      </c>
      <c r="W46" s="33"/>
      <c r="X46" s="33" t="s">
        <v>8</v>
      </c>
      <c r="Y46" s="3"/>
      <c r="Z46" s="3"/>
      <c r="AA46" s="3"/>
      <c r="AB46" s="3"/>
      <c r="AC46" s="3"/>
      <c r="AD46" s="3"/>
      <c r="AE46" s="3"/>
      <c r="AF46" s="23"/>
    </row>
    <row r="47" spans="1:32" ht="15.75">
      <c r="A47" s="31"/>
      <c r="B47" s="30"/>
      <c r="C47" s="3"/>
      <c r="D47" s="3"/>
      <c r="E47" s="3"/>
      <c r="F47" s="3"/>
      <c r="G47" s="3"/>
      <c r="H47" s="35" t="s">
        <v>9</v>
      </c>
      <c r="I47" s="30"/>
      <c r="J47" s="33"/>
      <c r="K47" s="33" t="s">
        <v>9</v>
      </c>
      <c r="L47" s="33"/>
      <c r="M47" s="33"/>
      <c r="N47" s="33" t="s">
        <v>9</v>
      </c>
      <c r="O47" s="33"/>
      <c r="P47" s="33"/>
      <c r="Q47" s="33" t="s">
        <v>9</v>
      </c>
      <c r="R47" s="30"/>
      <c r="S47" s="30"/>
      <c r="T47" s="33" t="s">
        <v>10</v>
      </c>
      <c r="U47" s="33"/>
      <c r="V47" s="33" t="s">
        <v>11</v>
      </c>
      <c r="W47" s="33"/>
      <c r="X47" s="33" t="s">
        <v>12</v>
      </c>
      <c r="Y47" s="3"/>
      <c r="Z47" s="3"/>
      <c r="AA47" s="3"/>
      <c r="AB47" s="3"/>
      <c r="AC47" s="3"/>
      <c r="AD47" s="3"/>
      <c r="AE47" s="3"/>
      <c r="AF47" s="23"/>
    </row>
    <row r="48" spans="1:32" ht="15.75">
      <c r="A48" s="31"/>
      <c r="B48" s="30"/>
      <c r="C48" s="3"/>
      <c r="D48" s="3"/>
      <c r="E48" s="3"/>
      <c r="F48" s="3"/>
      <c r="G48" s="3"/>
      <c r="H48" s="28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23"/>
    </row>
    <row r="49" spans="1:32" ht="16.5" thickBot="1">
      <c r="A49" s="36"/>
      <c r="B49" s="37"/>
      <c r="C49" s="38"/>
      <c r="D49" s="38"/>
      <c r="E49" s="38"/>
      <c r="F49" s="38"/>
      <c r="G49" s="38"/>
      <c r="H49" s="39"/>
      <c r="I49" s="38"/>
      <c r="J49" s="40"/>
      <c r="K49" s="39"/>
      <c r="L49" s="40"/>
      <c r="M49" s="40"/>
      <c r="N49" s="39"/>
      <c r="O49" s="40"/>
      <c r="P49" s="40"/>
      <c r="Q49" s="39"/>
      <c r="R49" s="38"/>
      <c r="S49" s="39"/>
      <c r="T49" s="39"/>
      <c r="U49" s="39"/>
      <c r="V49" s="39"/>
      <c r="W49" s="39"/>
      <c r="X49" s="39"/>
      <c r="Y49" s="38"/>
      <c r="Z49" s="38"/>
      <c r="AA49" s="38"/>
      <c r="AB49" s="38"/>
      <c r="AC49" s="38"/>
      <c r="AD49" s="38"/>
      <c r="AE49" s="38"/>
      <c r="AF49" s="41"/>
    </row>
    <row r="50" spans="1:32" ht="15.75" thickTop="1">
      <c r="B50" s="42"/>
    </row>
    <row r="51" spans="1:32">
      <c r="B51" s="42"/>
    </row>
    <row r="52" spans="1:32">
      <c r="B52" s="42"/>
    </row>
    <row r="53" spans="1:32">
      <c r="B53" s="42"/>
    </row>
    <row r="54" spans="1:32">
      <c r="B54" s="42"/>
    </row>
    <row r="55" spans="1:32">
      <c r="B55" s="42"/>
    </row>
    <row r="56" spans="1:32">
      <c r="B56" s="42"/>
    </row>
    <row r="57" spans="1:32">
      <c r="B57" s="42"/>
    </row>
    <row r="58" spans="1:32">
      <c r="B58" s="42"/>
    </row>
    <row r="59" spans="1:32">
      <c r="B59" s="42"/>
    </row>
    <row r="60" spans="1:32">
      <c r="B60" s="42"/>
    </row>
    <row r="61" spans="1:32">
      <c r="B61" s="42"/>
    </row>
    <row r="62" spans="1:32">
      <c r="B62" s="42"/>
    </row>
    <row r="63" spans="1:32">
      <c r="B63" s="42"/>
    </row>
    <row r="64" spans="1:32">
      <c r="B64" s="42"/>
    </row>
    <row r="65" spans="2:2">
      <c r="B65" s="42"/>
    </row>
    <row r="66" spans="2:2">
      <c r="B66" s="42"/>
    </row>
    <row r="67" spans="2:2">
      <c r="B67" s="42"/>
    </row>
    <row r="68" spans="2:2">
      <c r="B68" s="42"/>
    </row>
    <row r="69" spans="2:2">
      <c r="B69" s="42"/>
    </row>
    <row r="70" spans="2:2">
      <c r="B70" s="42"/>
    </row>
    <row r="71" spans="2:2">
      <c r="B71" s="42"/>
    </row>
    <row r="72" spans="2:2">
      <c r="B72" s="42"/>
    </row>
    <row r="73" spans="2:2">
      <c r="B73" s="42"/>
    </row>
    <row r="74" spans="2:2">
      <c r="B74" s="42"/>
    </row>
    <row r="75" spans="2:2">
      <c r="B75" s="42"/>
    </row>
    <row r="76" spans="2:2">
      <c r="B76" s="42"/>
    </row>
    <row r="77" spans="2:2">
      <c r="B77" s="42"/>
    </row>
    <row r="78" spans="2:2">
      <c r="B78" s="42"/>
    </row>
    <row r="79" spans="2:2">
      <c r="B79" s="42"/>
    </row>
    <row r="80" spans="2:2">
      <c r="B80" s="42"/>
    </row>
    <row r="81" spans="2:2">
      <c r="B81" s="42"/>
    </row>
    <row r="82" spans="2:2">
      <c r="B82" s="42"/>
    </row>
    <row r="83" spans="2:2">
      <c r="B83" s="42"/>
    </row>
    <row r="84" spans="2:2">
      <c r="B84" s="42"/>
    </row>
    <row r="85" spans="2:2">
      <c r="B85" s="42"/>
    </row>
    <row r="86" spans="2:2">
      <c r="B86" s="42"/>
    </row>
    <row r="87" spans="2:2">
      <c r="B87" s="42"/>
    </row>
    <row r="88" spans="2:2">
      <c r="B88" s="42"/>
    </row>
    <row r="89" spans="2:2">
      <c r="B89" s="42"/>
    </row>
    <row r="90" spans="2:2">
      <c r="B90" s="42"/>
    </row>
    <row r="91" spans="2:2">
      <c r="B91" s="42"/>
    </row>
    <row r="92" spans="2:2">
      <c r="B92" s="42"/>
    </row>
    <row r="93" spans="2:2">
      <c r="B93" s="42"/>
    </row>
    <row r="94" spans="2:2">
      <c r="B94" s="42"/>
    </row>
    <row r="95" spans="2:2">
      <c r="B95" s="42"/>
    </row>
    <row r="96" spans="2:2">
      <c r="B96" s="42"/>
    </row>
    <row r="97" spans="2:2">
      <c r="B97" s="42"/>
    </row>
    <row r="98" spans="2:2">
      <c r="B98" s="42"/>
    </row>
    <row r="99" spans="2:2">
      <c r="B99" s="42"/>
    </row>
    <row r="100" spans="2:2">
      <c r="B100" s="42"/>
    </row>
    <row r="101" spans="2:2">
      <c r="B101" s="42"/>
    </row>
    <row r="102" spans="2:2">
      <c r="B102" s="42"/>
    </row>
    <row r="103" spans="2:2">
      <c r="B103" s="42"/>
    </row>
    <row r="104" spans="2:2">
      <c r="B104" s="42"/>
    </row>
    <row r="105" spans="2:2">
      <c r="B105" s="42"/>
    </row>
    <row r="106" spans="2:2">
      <c r="B106" s="42"/>
    </row>
    <row r="107" spans="2:2">
      <c r="B107" s="42"/>
    </row>
    <row r="108" spans="2:2">
      <c r="B108" s="42"/>
    </row>
    <row r="109" spans="2:2">
      <c r="B109" s="42"/>
    </row>
    <row r="110" spans="2:2">
      <c r="B110" s="42"/>
    </row>
    <row r="111" spans="2:2">
      <c r="B111" s="42"/>
    </row>
    <row r="112" spans="2:2">
      <c r="B112" s="42"/>
    </row>
    <row r="113" spans="2:2">
      <c r="B113" s="42"/>
    </row>
    <row r="114" spans="2:2">
      <c r="B114" s="42"/>
    </row>
    <row r="115" spans="2:2">
      <c r="B115" s="42"/>
    </row>
    <row r="116" spans="2:2">
      <c r="B116" s="42"/>
    </row>
    <row r="117" spans="2:2">
      <c r="B117" s="42"/>
    </row>
    <row r="118" spans="2:2">
      <c r="B118" s="42"/>
    </row>
    <row r="119" spans="2:2">
      <c r="B119" s="42"/>
    </row>
    <row r="120" spans="2:2">
      <c r="B120" s="42"/>
    </row>
    <row r="121" spans="2:2">
      <c r="B121" s="42"/>
    </row>
    <row r="122" spans="2:2">
      <c r="B122" s="42"/>
    </row>
    <row r="123" spans="2:2">
      <c r="B123" s="42"/>
    </row>
    <row r="124" spans="2:2">
      <c r="B124" s="42"/>
    </row>
    <row r="125" spans="2:2">
      <c r="B125" s="42"/>
    </row>
    <row r="126" spans="2:2">
      <c r="B126" s="42"/>
    </row>
    <row r="127" spans="2:2">
      <c r="B127" s="42"/>
    </row>
    <row r="128" spans="2:2">
      <c r="B128" s="42"/>
    </row>
    <row r="129" spans="2:2">
      <c r="B129" s="42"/>
    </row>
    <row r="130" spans="2:2">
      <c r="B130" s="42"/>
    </row>
    <row r="131" spans="2:2">
      <c r="B131" s="42"/>
    </row>
    <row r="132" spans="2:2">
      <c r="B132" s="42"/>
    </row>
    <row r="133" spans="2:2">
      <c r="B133" s="42"/>
    </row>
    <row r="134" spans="2:2">
      <c r="B134" s="42"/>
    </row>
    <row r="135" spans="2:2">
      <c r="B135" s="42"/>
    </row>
    <row r="136" spans="2:2">
      <c r="B136" s="42"/>
    </row>
    <row r="137" spans="2:2">
      <c r="B137" s="42"/>
    </row>
    <row r="138" spans="2:2">
      <c r="B138" s="42"/>
    </row>
    <row r="139" spans="2:2">
      <c r="B139" s="42"/>
    </row>
    <row r="140" spans="2:2">
      <c r="B140" s="42"/>
    </row>
    <row r="141" spans="2:2">
      <c r="B141" s="42"/>
    </row>
    <row r="142" spans="2:2">
      <c r="B142" s="42"/>
    </row>
    <row r="143" spans="2:2">
      <c r="B143" s="42"/>
    </row>
    <row r="144" spans="2:2">
      <c r="B144" s="42"/>
    </row>
    <row r="145" spans="2:2">
      <c r="B145" s="42"/>
    </row>
    <row r="146" spans="2:2">
      <c r="B146" s="42"/>
    </row>
    <row r="147" spans="2:2">
      <c r="B147" s="42"/>
    </row>
    <row r="148" spans="2:2">
      <c r="B148" s="42"/>
    </row>
    <row r="149" spans="2:2">
      <c r="B149" s="42"/>
    </row>
    <row r="150" spans="2:2">
      <c r="B150" s="42"/>
    </row>
    <row r="151" spans="2:2">
      <c r="B151" s="42"/>
    </row>
    <row r="152" spans="2:2">
      <c r="B152" s="42"/>
    </row>
    <row r="153" spans="2:2">
      <c r="B153" s="42"/>
    </row>
    <row r="154" spans="2:2">
      <c r="B154" s="42"/>
    </row>
    <row r="155" spans="2:2">
      <c r="B155" s="42"/>
    </row>
    <row r="156" spans="2:2">
      <c r="B156" s="42"/>
    </row>
    <row r="157" spans="2:2">
      <c r="B157" s="42"/>
    </row>
    <row r="158" spans="2:2">
      <c r="B158" s="42"/>
    </row>
    <row r="159" spans="2:2">
      <c r="B159" s="42"/>
    </row>
    <row r="160" spans="2:2">
      <c r="B160" s="42"/>
    </row>
    <row r="161" spans="2:2">
      <c r="B161" s="42"/>
    </row>
    <row r="162" spans="2:2">
      <c r="B162" s="42"/>
    </row>
    <row r="163" spans="2:2">
      <c r="B163" s="42"/>
    </row>
    <row r="164" spans="2:2">
      <c r="B164" s="42"/>
    </row>
    <row r="165" spans="2:2">
      <c r="B165" s="42"/>
    </row>
    <row r="166" spans="2:2">
      <c r="B166" s="42"/>
    </row>
    <row r="167" spans="2:2">
      <c r="B167" s="42"/>
    </row>
    <row r="168" spans="2:2">
      <c r="B168" s="42"/>
    </row>
    <row r="169" spans="2:2">
      <c r="B169" s="42"/>
    </row>
    <row r="170" spans="2:2">
      <c r="B170" s="42"/>
    </row>
    <row r="171" spans="2:2">
      <c r="B171" s="42"/>
    </row>
    <row r="172" spans="2:2">
      <c r="B172" s="42"/>
    </row>
    <row r="173" spans="2:2">
      <c r="B173" s="42"/>
    </row>
    <row r="174" spans="2:2">
      <c r="B174" s="42"/>
    </row>
    <row r="175" spans="2:2">
      <c r="B175" s="42"/>
    </row>
    <row r="176" spans="2:2">
      <c r="B176" s="42"/>
    </row>
    <row r="177" spans="2:2">
      <c r="B177" s="42"/>
    </row>
    <row r="178" spans="2:2">
      <c r="B178" s="42"/>
    </row>
    <row r="179" spans="2:2">
      <c r="B179" s="42"/>
    </row>
    <row r="180" spans="2:2">
      <c r="B180" s="42"/>
    </row>
    <row r="181" spans="2:2">
      <c r="B181" s="42"/>
    </row>
    <row r="182" spans="2:2">
      <c r="B182" s="42"/>
    </row>
    <row r="183" spans="2:2">
      <c r="B183" s="42"/>
    </row>
    <row r="184" spans="2:2">
      <c r="B184" s="42"/>
    </row>
    <row r="185" spans="2:2">
      <c r="B185" s="42"/>
    </row>
    <row r="186" spans="2:2">
      <c r="B186" s="42"/>
    </row>
    <row r="187" spans="2:2">
      <c r="B187" s="42"/>
    </row>
    <row r="188" spans="2:2">
      <c r="B188" s="42"/>
    </row>
    <row r="189" spans="2:2">
      <c r="B189" s="42"/>
    </row>
    <row r="190" spans="2:2">
      <c r="B190" s="42"/>
    </row>
    <row r="191" spans="2:2">
      <c r="B191" s="42"/>
    </row>
    <row r="192" spans="2:2">
      <c r="B192" s="42"/>
    </row>
    <row r="193" spans="2:2">
      <c r="B193" s="42"/>
    </row>
    <row r="194" spans="2:2">
      <c r="B194" s="42"/>
    </row>
    <row r="195" spans="2:2">
      <c r="B195" s="42"/>
    </row>
    <row r="196" spans="2:2">
      <c r="B196" s="42"/>
    </row>
    <row r="197" spans="2:2">
      <c r="B197" s="42"/>
    </row>
    <row r="198" spans="2:2">
      <c r="B198" s="42"/>
    </row>
    <row r="199" spans="2:2">
      <c r="B199" s="42"/>
    </row>
    <row r="200" spans="2:2">
      <c r="B200" s="42"/>
    </row>
    <row r="201" spans="2:2">
      <c r="B201" s="42"/>
    </row>
    <row r="202" spans="2:2">
      <c r="B202" s="42"/>
    </row>
    <row r="203" spans="2:2">
      <c r="B203" s="42"/>
    </row>
    <row r="204" spans="2:2">
      <c r="B204" s="42"/>
    </row>
    <row r="205" spans="2:2">
      <c r="B205" s="42"/>
    </row>
    <row r="206" spans="2:2">
      <c r="B206" s="42"/>
    </row>
    <row r="207" spans="2:2">
      <c r="B207" s="42"/>
    </row>
    <row r="208" spans="2:2">
      <c r="B208" s="42"/>
    </row>
    <row r="209" spans="2:2">
      <c r="B209" s="42"/>
    </row>
    <row r="210" spans="2:2">
      <c r="B210" s="42"/>
    </row>
    <row r="211" spans="2:2">
      <c r="B211" s="42"/>
    </row>
    <row r="212" spans="2:2">
      <c r="B212" s="42"/>
    </row>
    <row r="213" spans="2:2">
      <c r="B213" s="42"/>
    </row>
    <row r="214" spans="2:2">
      <c r="B214" s="42"/>
    </row>
    <row r="215" spans="2:2">
      <c r="B215" s="42"/>
    </row>
    <row r="216" spans="2:2">
      <c r="B216" s="42"/>
    </row>
    <row r="217" spans="2:2">
      <c r="B217" s="42"/>
    </row>
    <row r="218" spans="2:2">
      <c r="B218" s="42"/>
    </row>
    <row r="219" spans="2:2">
      <c r="B219" s="42"/>
    </row>
    <row r="220" spans="2:2">
      <c r="B220" s="42"/>
    </row>
    <row r="221" spans="2:2">
      <c r="B221" s="42"/>
    </row>
    <row r="222" spans="2:2">
      <c r="B222" s="42"/>
    </row>
    <row r="223" spans="2:2">
      <c r="B223" s="42"/>
    </row>
    <row r="224" spans="2:2">
      <c r="B224" s="42"/>
    </row>
    <row r="225" spans="2:2">
      <c r="B225" s="42"/>
    </row>
    <row r="226" spans="2:2">
      <c r="B226" s="42"/>
    </row>
    <row r="227" spans="2:2">
      <c r="B227" s="42"/>
    </row>
    <row r="228" spans="2:2">
      <c r="B228" s="42"/>
    </row>
    <row r="229" spans="2:2">
      <c r="B229" s="42"/>
    </row>
    <row r="230" spans="2:2">
      <c r="B230" s="42"/>
    </row>
    <row r="231" spans="2:2">
      <c r="B231" s="42"/>
    </row>
    <row r="232" spans="2:2">
      <c r="B232" s="42"/>
    </row>
    <row r="233" spans="2:2">
      <c r="B233" s="42"/>
    </row>
    <row r="234" spans="2:2">
      <c r="B234" s="42"/>
    </row>
    <row r="235" spans="2:2">
      <c r="B235" s="42"/>
    </row>
    <row r="236" spans="2:2">
      <c r="B236" s="42"/>
    </row>
    <row r="237" spans="2:2">
      <c r="B237" s="42"/>
    </row>
    <row r="238" spans="2:2">
      <c r="B238" s="42"/>
    </row>
    <row r="239" spans="2:2">
      <c r="B239" s="42"/>
    </row>
    <row r="240" spans="2:2">
      <c r="B240" s="42"/>
    </row>
    <row r="241" spans="2:2">
      <c r="B241" s="42"/>
    </row>
    <row r="242" spans="2:2">
      <c r="B242" s="42"/>
    </row>
    <row r="243" spans="2:2">
      <c r="B243" s="42"/>
    </row>
    <row r="244" spans="2:2">
      <c r="B244" s="42"/>
    </row>
    <row r="245" spans="2:2">
      <c r="B245" s="42"/>
    </row>
    <row r="246" spans="2:2">
      <c r="B246" s="42"/>
    </row>
    <row r="247" spans="2:2">
      <c r="B247" s="42"/>
    </row>
    <row r="248" spans="2:2">
      <c r="B248" s="42"/>
    </row>
    <row r="249" spans="2:2">
      <c r="B249" s="42"/>
    </row>
    <row r="250" spans="2:2">
      <c r="B250" s="42"/>
    </row>
    <row r="251" spans="2:2">
      <c r="B251" s="42"/>
    </row>
    <row r="252" spans="2:2">
      <c r="B252" s="42"/>
    </row>
    <row r="253" spans="2:2">
      <c r="B253" s="42"/>
    </row>
    <row r="254" spans="2:2">
      <c r="B254" s="42"/>
    </row>
    <row r="255" spans="2:2">
      <c r="B255" s="42"/>
    </row>
    <row r="256" spans="2:2">
      <c r="B256" s="42"/>
    </row>
    <row r="257" spans="2:2">
      <c r="B257" s="42"/>
    </row>
    <row r="258" spans="2:2">
      <c r="B258" s="42"/>
    </row>
    <row r="259" spans="2:2">
      <c r="B259" s="42"/>
    </row>
    <row r="260" spans="2:2">
      <c r="B260" s="42"/>
    </row>
    <row r="261" spans="2:2">
      <c r="B261" s="42"/>
    </row>
    <row r="262" spans="2:2">
      <c r="B262" s="42"/>
    </row>
    <row r="263" spans="2:2">
      <c r="B263" s="42"/>
    </row>
    <row r="264" spans="2:2">
      <c r="B264" s="42"/>
    </row>
    <row r="265" spans="2:2">
      <c r="B265" s="42"/>
    </row>
    <row r="266" spans="2:2">
      <c r="B266" s="42"/>
    </row>
    <row r="267" spans="2:2">
      <c r="B267" s="42"/>
    </row>
    <row r="268" spans="2:2">
      <c r="B268" s="42"/>
    </row>
    <row r="269" spans="2:2">
      <c r="B269" s="42"/>
    </row>
    <row r="270" spans="2:2">
      <c r="B270" s="42"/>
    </row>
    <row r="271" spans="2:2">
      <c r="B271" s="42"/>
    </row>
    <row r="272" spans="2:2">
      <c r="B272" s="42"/>
    </row>
    <row r="273" spans="2:2">
      <c r="B273" s="42"/>
    </row>
    <row r="274" spans="2:2">
      <c r="B274" s="42"/>
    </row>
    <row r="275" spans="2:2">
      <c r="B275" s="42"/>
    </row>
    <row r="276" spans="2:2">
      <c r="B276" s="42"/>
    </row>
    <row r="277" spans="2:2">
      <c r="B277" s="42"/>
    </row>
    <row r="278" spans="2:2">
      <c r="B278" s="42"/>
    </row>
    <row r="279" spans="2:2">
      <c r="B279" s="42"/>
    </row>
    <row r="280" spans="2:2">
      <c r="B280" s="42"/>
    </row>
    <row r="281" spans="2:2">
      <c r="B281" s="42"/>
    </row>
    <row r="282" spans="2:2">
      <c r="B282" s="42"/>
    </row>
    <row r="283" spans="2:2">
      <c r="B283" s="42"/>
    </row>
    <row r="284" spans="2:2">
      <c r="B284" s="42"/>
    </row>
    <row r="285" spans="2:2">
      <c r="B285" s="42"/>
    </row>
    <row r="286" spans="2:2">
      <c r="B286" s="42"/>
    </row>
    <row r="287" spans="2:2">
      <c r="B287" s="42"/>
    </row>
    <row r="288" spans="2:2">
      <c r="B288" s="42"/>
    </row>
    <row r="289" spans="2:2">
      <c r="B289" s="42"/>
    </row>
    <row r="290" spans="2:2">
      <c r="B290" s="42"/>
    </row>
    <row r="291" spans="2:2">
      <c r="B291" s="42"/>
    </row>
    <row r="292" spans="2:2">
      <c r="B292" s="42"/>
    </row>
    <row r="293" spans="2:2">
      <c r="B293" s="42"/>
    </row>
    <row r="294" spans="2:2">
      <c r="B294" s="42"/>
    </row>
    <row r="295" spans="2:2">
      <c r="B295" s="42"/>
    </row>
    <row r="296" spans="2:2">
      <c r="B296" s="42"/>
    </row>
    <row r="297" spans="2:2">
      <c r="B297" s="42"/>
    </row>
    <row r="298" spans="2:2">
      <c r="B298" s="42"/>
    </row>
    <row r="299" spans="2:2">
      <c r="B299" s="42"/>
    </row>
    <row r="300" spans="2:2">
      <c r="B300" s="42"/>
    </row>
    <row r="301" spans="2:2">
      <c r="B301" s="42"/>
    </row>
    <row r="302" spans="2:2">
      <c r="B302" s="42"/>
    </row>
    <row r="303" spans="2:2">
      <c r="B303" s="42"/>
    </row>
    <row r="304" spans="2:2">
      <c r="B304" s="42"/>
    </row>
    <row r="305" spans="2:2">
      <c r="B305" s="42"/>
    </row>
    <row r="306" spans="2:2">
      <c r="B306" s="42"/>
    </row>
    <row r="307" spans="2:2">
      <c r="B307" s="42"/>
    </row>
    <row r="308" spans="2:2">
      <c r="B308" s="42"/>
    </row>
    <row r="309" spans="2:2">
      <c r="B309" s="42"/>
    </row>
    <row r="310" spans="2:2">
      <c r="B310" s="42"/>
    </row>
    <row r="311" spans="2:2">
      <c r="B311" s="42"/>
    </row>
    <row r="312" spans="2:2">
      <c r="B312" s="42"/>
    </row>
    <row r="313" spans="2:2">
      <c r="B313" s="42"/>
    </row>
    <row r="314" spans="2:2">
      <c r="B314" s="42"/>
    </row>
    <row r="315" spans="2:2">
      <c r="B315" s="42"/>
    </row>
    <row r="316" spans="2:2">
      <c r="B316" s="42"/>
    </row>
    <row r="317" spans="2:2">
      <c r="B317" s="42"/>
    </row>
    <row r="318" spans="2:2">
      <c r="B318" s="42"/>
    </row>
    <row r="319" spans="2:2">
      <c r="B319" s="42"/>
    </row>
    <row r="320" spans="2:2">
      <c r="B320" s="42"/>
    </row>
    <row r="321" spans="2:2">
      <c r="B321" s="42"/>
    </row>
    <row r="322" spans="2:2">
      <c r="B322" s="42"/>
    </row>
    <row r="323" spans="2:2">
      <c r="B323" s="42"/>
    </row>
    <row r="324" spans="2:2">
      <c r="B324" s="42"/>
    </row>
    <row r="325" spans="2:2">
      <c r="B325" s="42"/>
    </row>
    <row r="326" spans="2:2">
      <c r="B326" s="42"/>
    </row>
    <row r="327" spans="2:2">
      <c r="B327" s="42"/>
    </row>
    <row r="328" spans="2:2">
      <c r="B328" s="42"/>
    </row>
    <row r="329" spans="2:2">
      <c r="B329" s="42"/>
    </row>
    <row r="330" spans="2:2">
      <c r="B330" s="42"/>
    </row>
    <row r="331" spans="2:2">
      <c r="B331" s="42"/>
    </row>
    <row r="332" spans="2:2">
      <c r="B332" s="42"/>
    </row>
    <row r="333" spans="2:2">
      <c r="B333" s="42"/>
    </row>
    <row r="334" spans="2:2">
      <c r="B334" s="42"/>
    </row>
    <row r="335" spans="2:2">
      <c r="B335" s="42"/>
    </row>
    <row r="336" spans="2:2">
      <c r="B336" s="42"/>
    </row>
    <row r="337" spans="2:2">
      <c r="B337" s="42"/>
    </row>
    <row r="338" spans="2:2">
      <c r="B338" s="42"/>
    </row>
    <row r="339" spans="2:2">
      <c r="B339" s="42"/>
    </row>
    <row r="340" spans="2:2">
      <c r="B340" s="42"/>
    </row>
    <row r="341" spans="2:2">
      <c r="B341" s="42"/>
    </row>
    <row r="342" spans="2:2">
      <c r="B342" s="42"/>
    </row>
    <row r="343" spans="2:2">
      <c r="B343" s="42"/>
    </row>
    <row r="344" spans="2:2">
      <c r="B344" s="42"/>
    </row>
    <row r="345" spans="2:2">
      <c r="B345" s="42"/>
    </row>
    <row r="346" spans="2:2">
      <c r="B346" s="42"/>
    </row>
    <row r="347" spans="2:2">
      <c r="B347" s="42"/>
    </row>
    <row r="348" spans="2:2">
      <c r="B348" s="42"/>
    </row>
    <row r="349" spans="2:2">
      <c r="B349" s="42"/>
    </row>
    <row r="350" spans="2:2">
      <c r="B350" s="42"/>
    </row>
    <row r="351" spans="2:2">
      <c r="B351" s="42"/>
    </row>
    <row r="352" spans="2:2">
      <c r="B352" s="42"/>
    </row>
    <row r="353" spans="2:2">
      <c r="B353" s="42"/>
    </row>
    <row r="354" spans="2:2">
      <c r="B354" s="42"/>
    </row>
    <row r="355" spans="2:2">
      <c r="B355" s="42"/>
    </row>
    <row r="356" spans="2:2">
      <c r="B356" s="42"/>
    </row>
    <row r="357" spans="2:2">
      <c r="B357" s="42"/>
    </row>
    <row r="358" spans="2:2">
      <c r="B358" s="42"/>
    </row>
    <row r="359" spans="2:2">
      <c r="B359" s="42"/>
    </row>
    <row r="360" spans="2:2">
      <c r="B360" s="42"/>
    </row>
    <row r="361" spans="2:2">
      <c r="B361" s="42"/>
    </row>
    <row r="362" spans="2:2">
      <c r="B362" s="42"/>
    </row>
    <row r="363" spans="2:2">
      <c r="B363" s="42"/>
    </row>
    <row r="364" spans="2:2">
      <c r="B364" s="42"/>
    </row>
    <row r="365" spans="2:2">
      <c r="B365" s="42"/>
    </row>
    <row r="366" spans="2:2">
      <c r="B366" s="42"/>
    </row>
    <row r="367" spans="2:2">
      <c r="B367" s="42"/>
    </row>
    <row r="368" spans="2:2">
      <c r="B368" s="42"/>
    </row>
    <row r="369" spans="2:2">
      <c r="B369" s="42"/>
    </row>
    <row r="370" spans="2:2">
      <c r="B370" s="42"/>
    </row>
    <row r="371" spans="2:2">
      <c r="B371" s="42"/>
    </row>
    <row r="372" spans="2:2">
      <c r="B372" s="42"/>
    </row>
    <row r="373" spans="2:2">
      <c r="B373" s="42"/>
    </row>
    <row r="374" spans="2:2">
      <c r="B374" s="42"/>
    </row>
    <row r="375" spans="2:2">
      <c r="B375" s="42"/>
    </row>
    <row r="376" spans="2:2">
      <c r="B376" s="42"/>
    </row>
    <row r="377" spans="2:2">
      <c r="B377" s="42"/>
    </row>
    <row r="378" spans="2:2">
      <c r="B378" s="42"/>
    </row>
    <row r="379" spans="2:2">
      <c r="B379" s="42"/>
    </row>
    <row r="380" spans="2:2">
      <c r="B380" s="42"/>
    </row>
    <row r="381" spans="2:2">
      <c r="B381" s="42"/>
    </row>
    <row r="382" spans="2:2">
      <c r="B382" s="42"/>
    </row>
    <row r="383" spans="2:2">
      <c r="B383" s="42"/>
    </row>
    <row r="384" spans="2:2">
      <c r="B384" s="42"/>
    </row>
    <row r="385" spans="2:2">
      <c r="B385" s="42"/>
    </row>
    <row r="386" spans="2:2">
      <c r="B386" s="42"/>
    </row>
    <row r="387" spans="2:2">
      <c r="B387" s="42"/>
    </row>
    <row r="388" spans="2:2">
      <c r="B388" s="42"/>
    </row>
    <row r="389" spans="2:2">
      <c r="B389" s="42"/>
    </row>
    <row r="390" spans="2:2">
      <c r="B390" s="42"/>
    </row>
    <row r="391" spans="2:2">
      <c r="B391" s="42"/>
    </row>
    <row r="392" spans="2:2">
      <c r="B392" s="42"/>
    </row>
    <row r="393" spans="2:2">
      <c r="B393" s="42"/>
    </row>
    <row r="394" spans="2:2">
      <c r="B394" s="42"/>
    </row>
    <row r="395" spans="2:2">
      <c r="B395" s="42"/>
    </row>
    <row r="396" spans="2:2">
      <c r="B396" s="42"/>
    </row>
    <row r="397" spans="2:2">
      <c r="B397" s="42"/>
    </row>
    <row r="398" spans="2:2">
      <c r="B398" s="42"/>
    </row>
    <row r="399" spans="2:2">
      <c r="B399" s="42"/>
    </row>
    <row r="400" spans="2:2">
      <c r="B400" s="42"/>
    </row>
    <row r="401" spans="2:2">
      <c r="B401" s="42"/>
    </row>
    <row r="402" spans="2:2">
      <c r="B402" s="42"/>
    </row>
    <row r="403" spans="2:2">
      <c r="B403" s="42"/>
    </row>
    <row r="404" spans="2:2">
      <c r="B404" s="42"/>
    </row>
    <row r="405" spans="2:2">
      <c r="B405" s="42"/>
    </row>
    <row r="406" spans="2:2">
      <c r="B406" s="42"/>
    </row>
    <row r="407" spans="2:2">
      <c r="B407" s="42"/>
    </row>
    <row r="408" spans="2:2">
      <c r="B408" s="42"/>
    </row>
    <row r="409" spans="2:2">
      <c r="B409" s="42"/>
    </row>
    <row r="410" spans="2:2">
      <c r="B410" s="42"/>
    </row>
    <row r="411" spans="2:2">
      <c r="B411" s="42"/>
    </row>
    <row r="412" spans="2:2">
      <c r="B412" s="42"/>
    </row>
    <row r="413" spans="2:2">
      <c r="B413" s="42"/>
    </row>
    <row r="414" spans="2:2">
      <c r="B414" s="42"/>
    </row>
    <row r="415" spans="2:2">
      <c r="B415" s="42"/>
    </row>
    <row r="416" spans="2:2">
      <c r="B416" s="42"/>
    </row>
    <row r="417" spans="2:2">
      <c r="B417" s="42"/>
    </row>
    <row r="418" spans="2:2">
      <c r="B418" s="42"/>
    </row>
    <row r="419" spans="2:2">
      <c r="B419" s="42"/>
    </row>
    <row r="420" spans="2:2">
      <c r="B420" s="42"/>
    </row>
    <row r="421" spans="2:2">
      <c r="B421" s="42"/>
    </row>
    <row r="422" spans="2:2">
      <c r="B422" s="42"/>
    </row>
    <row r="423" spans="2:2">
      <c r="B423" s="42"/>
    </row>
    <row r="424" spans="2:2">
      <c r="B424" s="42"/>
    </row>
    <row r="425" spans="2:2">
      <c r="B425" s="42"/>
    </row>
    <row r="426" spans="2:2">
      <c r="B426" s="42"/>
    </row>
    <row r="427" spans="2:2">
      <c r="B427" s="42"/>
    </row>
    <row r="428" spans="2:2">
      <c r="B428" s="42"/>
    </row>
    <row r="429" spans="2:2">
      <c r="B429" s="42"/>
    </row>
    <row r="430" spans="2:2">
      <c r="B430" s="42"/>
    </row>
    <row r="431" spans="2:2">
      <c r="B431" s="42"/>
    </row>
    <row r="432" spans="2:2">
      <c r="B432" s="42"/>
    </row>
    <row r="433" spans="2:2">
      <c r="B433" s="42"/>
    </row>
    <row r="434" spans="2:2">
      <c r="B434" s="42"/>
    </row>
    <row r="435" spans="2:2">
      <c r="B435" s="42"/>
    </row>
    <row r="436" spans="2:2">
      <c r="B436" s="42"/>
    </row>
    <row r="437" spans="2:2">
      <c r="B437" s="42"/>
    </row>
    <row r="438" spans="2:2">
      <c r="B438" s="42"/>
    </row>
    <row r="439" spans="2:2">
      <c r="B439" s="42"/>
    </row>
    <row r="440" spans="2:2">
      <c r="B440" s="42"/>
    </row>
    <row r="441" spans="2:2">
      <c r="B441" s="42"/>
    </row>
    <row r="442" spans="2:2">
      <c r="B442" s="42"/>
    </row>
    <row r="443" spans="2:2">
      <c r="B443" s="42"/>
    </row>
    <row r="444" spans="2:2">
      <c r="B444" s="42"/>
    </row>
    <row r="445" spans="2:2">
      <c r="B445" s="42"/>
    </row>
    <row r="446" spans="2:2">
      <c r="B446" s="42"/>
    </row>
    <row r="447" spans="2:2">
      <c r="B447" s="42"/>
    </row>
    <row r="448" spans="2:2">
      <c r="B448" s="42"/>
    </row>
    <row r="449" spans="2:2">
      <c r="B449" s="42"/>
    </row>
    <row r="450" spans="2:2">
      <c r="B450" s="42"/>
    </row>
    <row r="451" spans="2:2">
      <c r="B451" s="42"/>
    </row>
    <row r="452" spans="2:2">
      <c r="B452" s="42"/>
    </row>
    <row r="453" spans="2:2">
      <c r="B453" s="42"/>
    </row>
    <row r="454" spans="2:2">
      <c r="B454" s="42"/>
    </row>
    <row r="455" spans="2:2">
      <c r="B455" s="42"/>
    </row>
    <row r="456" spans="2:2">
      <c r="B456" s="42"/>
    </row>
    <row r="457" spans="2:2">
      <c r="B457" s="42"/>
    </row>
    <row r="458" spans="2:2">
      <c r="B458" s="42"/>
    </row>
    <row r="459" spans="2:2">
      <c r="B459" s="42"/>
    </row>
    <row r="460" spans="2:2">
      <c r="B460" s="42"/>
    </row>
    <row r="461" spans="2:2">
      <c r="B461" s="42"/>
    </row>
    <row r="462" spans="2:2">
      <c r="B462" s="42"/>
    </row>
    <row r="463" spans="2:2">
      <c r="B463" s="42"/>
    </row>
    <row r="464" spans="2:2">
      <c r="B464" s="42"/>
    </row>
    <row r="465" spans="2:2">
      <c r="B465" s="42"/>
    </row>
    <row r="466" spans="2:2">
      <c r="B466" s="42"/>
    </row>
    <row r="467" spans="2:2">
      <c r="B467" s="42"/>
    </row>
    <row r="468" spans="2:2">
      <c r="B468" s="42"/>
    </row>
    <row r="469" spans="2:2">
      <c r="B469" s="42"/>
    </row>
    <row r="470" spans="2:2">
      <c r="B470" s="42"/>
    </row>
    <row r="471" spans="2:2">
      <c r="B471" s="42"/>
    </row>
    <row r="472" spans="2:2">
      <c r="B472" s="42"/>
    </row>
    <row r="473" spans="2:2">
      <c r="B473" s="42"/>
    </row>
    <row r="474" spans="2:2">
      <c r="B474" s="42"/>
    </row>
    <row r="475" spans="2:2">
      <c r="B475" s="42"/>
    </row>
    <row r="476" spans="2:2">
      <c r="B476" s="42"/>
    </row>
    <row r="477" spans="2:2">
      <c r="B477" s="42"/>
    </row>
    <row r="478" spans="2:2">
      <c r="B478" s="42"/>
    </row>
    <row r="479" spans="2:2">
      <c r="B479" s="42"/>
    </row>
    <row r="480" spans="2:2">
      <c r="B480" s="42"/>
    </row>
    <row r="481" spans="2:2">
      <c r="B481" s="42"/>
    </row>
    <row r="482" spans="2:2">
      <c r="B482" s="42"/>
    </row>
    <row r="483" spans="2:2">
      <c r="B483" s="42"/>
    </row>
    <row r="484" spans="2:2">
      <c r="B484" s="42"/>
    </row>
    <row r="485" spans="2:2">
      <c r="B485" s="42"/>
    </row>
    <row r="486" spans="2:2">
      <c r="B486" s="42"/>
    </row>
    <row r="487" spans="2:2">
      <c r="B487" s="42"/>
    </row>
    <row r="488" spans="2:2">
      <c r="B488" s="42"/>
    </row>
    <row r="489" spans="2:2">
      <c r="B489" s="42"/>
    </row>
    <row r="490" spans="2:2">
      <c r="B490" s="42"/>
    </row>
    <row r="491" spans="2:2">
      <c r="B491" s="42"/>
    </row>
    <row r="492" spans="2:2">
      <c r="B492" s="42"/>
    </row>
    <row r="493" spans="2:2">
      <c r="B493" s="42"/>
    </row>
    <row r="494" spans="2:2">
      <c r="B494" s="42"/>
    </row>
    <row r="495" spans="2:2">
      <c r="B495" s="42"/>
    </row>
    <row r="496" spans="2:2">
      <c r="B496" s="42"/>
    </row>
    <row r="497" spans="2:2">
      <c r="B497" s="42"/>
    </row>
  </sheetData>
  <pageMargins left="0.511811024" right="0.511811024" top="0.78740157499999996" bottom="0.78740157499999996" header="0.31496062000000002" footer="0.31496062000000002"/>
</worksheet>
</file>

<file path=xl/worksheets/sheet10.xml><?xml version="1.0" encoding="utf-8"?>
<worksheet xmlns="http://schemas.openxmlformats.org/spreadsheetml/2006/main" xmlns:r="http://schemas.openxmlformats.org/officeDocument/2006/relationships">
  <dimension ref="A1:AF497"/>
  <sheetViews>
    <sheetView zoomScale="70" zoomScaleNormal="70" workbookViewId="0">
      <selection activeCell="B4" sqref="B4:AF9"/>
    </sheetView>
  </sheetViews>
  <sheetFormatPr defaultColWidth="5.7109375" defaultRowHeight="15"/>
  <cols>
    <col min="1" max="1" width="11.5703125" customWidth="1"/>
    <col min="2" max="32" width="7.7109375" style="43" customWidth="1"/>
    <col min="33" max="33" width="12.7109375" customWidth="1"/>
    <col min="257" max="257" width="11.5703125" customWidth="1"/>
    <col min="258" max="288" width="7.7109375" customWidth="1"/>
    <col min="289" max="289" width="12.7109375" customWidth="1"/>
    <col min="513" max="513" width="11.5703125" customWidth="1"/>
    <col min="514" max="544" width="7.7109375" customWidth="1"/>
    <col min="545" max="545" width="12.7109375" customWidth="1"/>
    <col min="769" max="769" width="11.5703125" customWidth="1"/>
    <col min="770" max="800" width="7.7109375" customWidth="1"/>
    <col min="801" max="801" width="12.7109375" customWidth="1"/>
    <col min="1025" max="1025" width="11.5703125" customWidth="1"/>
    <col min="1026" max="1056" width="7.7109375" customWidth="1"/>
    <col min="1057" max="1057" width="12.7109375" customWidth="1"/>
    <col min="1281" max="1281" width="11.5703125" customWidth="1"/>
    <col min="1282" max="1312" width="7.7109375" customWidth="1"/>
    <col min="1313" max="1313" width="12.7109375" customWidth="1"/>
    <col min="1537" max="1537" width="11.5703125" customWidth="1"/>
    <col min="1538" max="1568" width="7.7109375" customWidth="1"/>
    <col min="1569" max="1569" width="12.7109375" customWidth="1"/>
    <col min="1793" max="1793" width="11.5703125" customWidth="1"/>
    <col min="1794" max="1824" width="7.7109375" customWidth="1"/>
    <col min="1825" max="1825" width="12.7109375" customWidth="1"/>
    <col min="2049" max="2049" width="11.5703125" customWidth="1"/>
    <col min="2050" max="2080" width="7.7109375" customWidth="1"/>
    <col min="2081" max="2081" width="12.7109375" customWidth="1"/>
    <col min="2305" max="2305" width="11.5703125" customWidth="1"/>
    <col min="2306" max="2336" width="7.7109375" customWidth="1"/>
    <col min="2337" max="2337" width="12.7109375" customWidth="1"/>
    <col min="2561" max="2561" width="11.5703125" customWidth="1"/>
    <col min="2562" max="2592" width="7.7109375" customWidth="1"/>
    <col min="2593" max="2593" width="12.7109375" customWidth="1"/>
    <col min="2817" max="2817" width="11.5703125" customWidth="1"/>
    <col min="2818" max="2848" width="7.7109375" customWidth="1"/>
    <col min="2849" max="2849" width="12.7109375" customWidth="1"/>
    <col min="3073" max="3073" width="11.5703125" customWidth="1"/>
    <col min="3074" max="3104" width="7.7109375" customWidth="1"/>
    <col min="3105" max="3105" width="12.7109375" customWidth="1"/>
    <col min="3329" max="3329" width="11.5703125" customWidth="1"/>
    <col min="3330" max="3360" width="7.7109375" customWidth="1"/>
    <col min="3361" max="3361" width="12.7109375" customWidth="1"/>
    <col min="3585" max="3585" width="11.5703125" customWidth="1"/>
    <col min="3586" max="3616" width="7.7109375" customWidth="1"/>
    <col min="3617" max="3617" width="12.7109375" customWidth="1"/>
    <col min="3841" max="3841" width="11.5703125" customWidth="1"/>
    <col min="3842" max="3872" width="7.7109375" customWidth="1"/>
    <col min="3873" max="3873" width="12.7109375" customWidth="1"/>
    <col min="4097" max="4097" width="11.5703125" customWidth="1"/>
    <col min="4098" max="4128" width="7.7109375" customWidth="1"/>
    <col min="4129" max="4129" width="12.7109375" customWidth="1"/>
    <col min="4353" max="4353" width="11.5703125" customWidth="1"/>
    <col min="4354" max="4384" width="7.7109375" customWidth="1"/>
    <col min="4385" max="4385" width="12.7109375" customWidth="1"/>
    <col min="4609" max="4609" width="11.5703125" customWidth="1"/>
    <col min="4610" max="4640" width="7.7109375" customWidth="1"/>
    <col min="4641" max="4641" width="12.7109375" customWidth="1"/>
    <col min="4865" max="4865" width="11.5703125" customWidth="1"/>
    <col min="4866" max="4896" width="7.7109375" customWidth="1"/>
    <col min="4897" max="4897" width="12.7109375" customWidth="1"/>
    <col min="5121" max="5121" width="11.5703125" customWidth="1"/>
    <col min="5122" max="5152" width="7.7109375" customWidth="1"/>
    <col min="5153" max="5153" width="12.7109375" customWidth="1"/>
    <col min="5377" max="5377" width="11.5703125" customWidth="1"/>
    <col min="5378" max="5408" width="7.7109375" customWidth="1"/>
    <col min="5409" max="5409" width="12.7109375" customWidth="1"/>
    <col min="5633" max="5633" width="11.5703125" customWidth="1"/>
    <col min="5634" max="5664" width="7.7109375" customWidth="1"/>
    <col min="5665" max="5665" width="12.7109375" customWidth="1"/>
    <col min="5889" max="5889" width="11.5703125" customWidth="1"/>
    <col min="5890" max="5920" width="7.7109375" customWidth="1"/>
    <col min="5921" max="5921" width="12.7109375" customWidth="1"/>
    <col min="6145" max="6145" width="11.5703125" customWidth="1"/>
    <col min="6146" max="6176" width="7.7109375" customWidth="1"/>
    <col min="6177" max="6177" width="12.7109375" customWidth="1"/>
    <col min="6401" max="6401" width="11.5703125" customWidth="1"/>
    <col min="6402" max="6432" width="7.7109375" customWidth="1"/>
    <col min="6433" max="6433" width="12.7109375" customWidth="1"/>
    <col min="6657" max="6657" width="11.5703125" customWidth="1"/>
    <col min="6658" max="6688" width="7.7109375" customWidth="1"/>
    <col min="6689" max="6689" width="12.7109375" customWidth="1"/>
    <col min="6913" max="6913" width="11.5703125" customWidth="1"/>
    <col min="6914" max="6944" width="7.7109375" customWidth="1"/>
    <col min="6945" max="6945" width="12.7109375" customWidth="1"/>
    <col min="7169" max="7169" width="11.5703125" customWidth="1"/>
    <col min="7170" max="7200" width="7.7109375" customWidth="1"/>
    <col min="7201" max="7201" width="12.7109375" customWidth="1"/>
    <col min="7425" max="7425" width="11.5703125" customWidth="1"/>
    <col min="7426" max="7456" width="7.7109375" customWidth="1"/>
    <col min="7457" max="7457" width="12.7109375" customWidth="1"/>
    <col min="7681" max="7681" width="11.5703125" customWidth="1"/>
    <col min="7682" max="7712" width="7.7109375" customWidth="1"/>
    <col min="7713" max="7713" width="12.7109375" customWidth="1"/>
    <col min="7937" max="7937" width="11.5703125" customWidth="1"/>
    <col min="7938" max="7968" width="7.7109375" customWidth="1"/>
    <col min="7969" max="7969" width="12.7109375" customWidth="1"/>
    <col min="8193" max="8193" width="11.5703125" customWidth="1"/>
    <col min="8194" max="8224" width="7.7109375" customWidth="1"/>
    <col min="8225" max="8225" width="12.7109375" customWidth="1"/>
    <col min="8449" max="8449" width="11.5703125" customWidth="1"/>
    <col min="8450" max="8480" width="7.7109375" customWidth="1"/>
    <col min="8481" max="8481" width="12.7109375" customWidth="1"/>
    <col min="8705" max="8705" width="11.5703125" customWidth="1"/>
    <col min="8706" max="8736" width="7.7109375" customWidth="1"/>
    <col min="8737" max="8737" width="12.7109375" customWidth="1"/>
    <col min="8961" max="8961" width="11.5703125" customWidth="1"/>
    <col min="8962" max="8992" width="7.7109375" customWidth="1"/>
    <col min="8993" max="8993" width="12.7109375" customWidth="1"/>
    <col min="9217" max="9217" width="11.5703125" customWidth="1"/>
    <col min="9218" max="9248" width="7.7109375" customWidth="1"/>
    <col min="9249" max="9249" width="12.7109375" customWidth="1"/>
    <col min="9473" max="9473" width="11.5703125" customWidth="1"/>
    <col min="9474" max="9504" width="7.7109375" customWidth="1"/>
    <col min="9505" max="9505" width="12.7109375" customWidth="1"/>
    <col min="9729" max="9729" width="11.5703125" customWidth="1"/>
    <col min="9730" max="9760" width="7.7109375" customWidth="1"/>
    <col min="9761" max="9761" width="12.7109375" customWidth="1"/>
    <col min="9985" max="9985" width="11.5703125" customWidth="1"/>
    <col min="9986" max="10016" width="7.7109375" customWidth="1"/>
    <col min="10017" max="10017" width="12.7109375" customWidth="1"/>
    <col min="10241" max="10241" width="11.5703125" customWidth="1"/>
    <col min="10242" max="10272" width="7.7109375" customWidth="1"/>
    <col min="10273" max="10273" width="12.7109375" customWidth="1"/>
    <col min="10497" max="10497" width="11.5703125" customWidth="1"/>
    <col min="10498" max="10528" width="7.7109375" customWidth="1"/>
    <col min="10529" max="10529" width="12.7109375" customWidth="1"/>
    <col min="10753" max="10753" width="11.5703125" customWidth="1"/>
    <col min="10754" max="10784" width="7.7109375" customWidth="1"/>
    <col min="10785" max="10785" width="12.7109375" customWidth="1"/>
    <col min="11009" max="11009" width="11.5703125" customWidth="1"/>
    <col min="11010" max="11040" width="7.7109375" customWidth="1"/>
    <col min="11041" max="11041" width="12.7109375" customWidth="1"/>
    <col min="11265" max="11265" width="11.5703125" customWidth="1"/>
    <col min="11266" max="11296" width="7.7109375" customWidth="1"/>
    <col min="11297" max="11297" width="12.7109375" customWidth="1"/>
    <col min="11521" max="11521" width="11.5703125" customWidth="1"/>
    <col min="11522" max="11552" width="7.7109375" customWidth="1"/>
    <col min="11553" max="11553" width="12.7109375" customWidth="1"/>
    <col min="11777" max="11777" width="11.5703125" customWidth="1"/>
    <col min="11778" max="11808" width="7.7109375" customWidth="1"/>
    <col min="11809" max="11809" width="12.7109375" customWidth="1"/>
    <col min="12033" max="12033" width="11.5703125" customWidth="1"/>
    <col min="12034" max="12064" width="7.7109375" customWidth="1"/>
    <col min="12065" max="12065" width="12.7109375" customWidth="1"/>
    <col min="12289" max="12289" width="11.5703125" customWidth="1"/>
    <col min="12290" max="12320" width="7.7109375" customWidth="1"/>
    <col min="12321" max="12321" width="12.7109375" customWidth="1"/>
    <col min="12545" max="12545" width="11.5703125" customWidth="1"/>
    <col min="12546" max="12576" width="7.7109375" customWidth="1"/>
    <col min="12577" max="12577" width="12.7109375" customWidth="1"/>
    <col min="12801" max="12801" width="11.5703125" customWidth="1"/>
    <col min="12802" max="12832" width="7.7109375" customWidth="1"/>
    <col min="12833" max="12833" width="12.7109375" customWidth="1"/>
    <col min="13057" max="13057" width="11.5703125" customWidth="1"/>
    <col min="13058" max="13088" width="7.7109375" customWidth="1"/>
    <col min="13089" max="13089" width="12.7109375" customWidth="1"/>
    <col min="13313" max="13313" width="11.5703125" customWidth="1"/>
    <col min="13314" max="13344" width="7.7109375" customWidth="1"/>
    <col min="13345" max="13345" width="12.7109375" customWidth="1"/>
    <col min="13569" max="13569" width="11.5703125" customWidth="1"/>
    <col min="13570" max="13600" width="7.7109375" customWidth="1"/>
    <col min="13601" max="13601" width="12.7109375" customWidth="1"/>
    <col min="13825" max="13825" width="11.5703125" customWidth="1"/>
    <col min="13826" max="13856" width="7.7109375" customWidth="1"/>
    <col min="13857" max="13857" width="12.7109375" customWidth="1"/>
    <col min="14081" max="14081" width="11.5703125" customWidth="1"/>
    <col min="14082" max="14112" width="7.7109375" customWidth="1"/>
    <col min="14113" max="14113" width="12.7109375" customWidth="1"/>
    <col min="14337" max="14337" width="11.5703125" customWidth="1"/>
    <col min="14338" max="14368" width="7.7109375" customWidth="1"/>
    <col min="14369" max="14369" width="12.7109375" customWidth="1"/>
    <col min="14593" max="14593" width="11.5703125" customWidth="1"/>
    <col min="14594" max="14624" width="7.7109375" customWidth="1"/>
    <col min="14625" max="14625" width="12.7109375" customWidth="1"/>
    <col min="14849" max="14849" width="11.5703125" customWidth="1"/>
    <col min="14850" max="14880" width="7.7109375" customWidth="1"/>
    <col min="14881" max="14881" width="12.7109375" customWidth="1"/>
    <col min="15105" max="15105" width="11.5703125" customWidth="1"/>
    <col min="15106" max="15136" width="7.7109375" customWidth="1"/>
    <col min="15137" max="15137" width="12.7109375" customWidth="1"/>
    <col min="15361" max="15361" width="11.5703125" customWidth="1"/>
    <col min="15362" max="15392" width="7.7109375" customWidth="1"/>
    <col min="15393" max="15393" width="12.7109375" customWidth="1"/>
    <col min="15617" max="15617" width="11.5703125" customWidth="1"/>
    <col min="15618" max="15648" width="7.7109375" customWidth="1"/>
    <col min="15649" max="15649" width="12.7109375" customWidth="1"/>
    <col min="15873" max="15873" width="11.5703125" customWidth="1"/>
    <col min="15874" max="15904" width="7.7109375" customWidth="1"/>
    <col min="15905" max="15905" width="12.7109375" customWidth="1"/>
    <col min="16129" max="16129" width="11.5703125" customWidth="1"/>
    <col min="16130" max="16160" width="7.7109375" customWidth="1"/>
    <col min="16161" max="16161" width="12.7109375" customWidth="1"/>
  </cols>
  <sheetData>
    <row r="1" spans="1:32" ht="18">
      <c r="A1" s="1"/>
      <c r="B1" s="2" t="str">
        <f>'[10]Dia 1 (b)'!C1</f>
        <v>OUTUBRO DE 2023</v>
      </c>
      <c r="C1" s="3"/>
      <c r="D1" s="4"/>
      <c r="E1" s="5"/>
      <c r="F1" s="2"/>
      <c r="G1" s="3"/>
      <c r="H1" s="3"/>
      <c r="I1" s="3"/>
      <c r="J1" s="3"/>
      <c r="K1" s="3" t="s">
        <v>0</v>
      </c>
      <c r="L1" s="3"/>
      <c r="M1" s="3"/>
      <c r="N1" s="6"/>
      <c r="O1" s="7"/>
      <c r="P1" s="8"/>
      <c r="Q1" s="7"/>
      <c r="R1" s="7"/>
      <c r="S1" s="7"/>
      <c r="T1" s="7"/>
      <c r="U1" s="7"/>
      <c r="V1" s="9"/>
      <c r="W1" s="3"/>
      <c r="X1" s="3"/>
      <c r="Y1" s="3"/>
      <c r="Z1" s="3"/>
      <c r="AA1" s="3"/>
      <c r="AB1" s="3"/>
      <c r="AC1" s="3"/>
      <c r="AD1" s="3"/>
      <c r="AE1" s="3"/>
      <c r="AF1" s="3"/>
    </row>
    <row r="2" spans="1:32" ht="15.75" thickBot="1">
      <c r="A2" s="1"/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</row>
    <row r="3" spans="1:32" ht="20.100000000000001" customHeight="1" thickBot="1">
      <c r="A3" s="10" t="s">
        <v>1</v>
      </c>
      <c r="B3" s="11">
        <v>1</v>
      </c>
      <c r="C3" s="11">
        <v>2</v>
      </c>
      <c r="D3" s="11">
        <v>3</v>
      </c>
      <c r="E3" s="11">
        <v>4</v>
      </c>
      <c r="F3" s="11">
        <v>5</v>
      </c>
      <c r="G3" s="11">
        <v>6</v>
      </c>
      <c r="H3" s="11">
        <v>7</v>
      </c>
      <c r="I3" s="11">
        <v>8</v>
      </c>
      <c r="J3" s="11">
        <v>9</v>
      </c>
      <c r="K3" s="11">
        <v>10</v>
      </c>
      <c r="L3" s="11">
        <v>11</v>
      </c>
      <c r="M3" s="11">
        <v>12</v>
      </c>
      <c r="N3" s="11">
        <v>13</v>
      </c>
      <c r="O3" s="11">
        <v>14</v>
      </c>
      <c r="P3" s="11">
        <v>15</v>
      </c>
      <c r="Q3" s="11">
        <v>16</v>
      </c>
      <c r="R3" s="11">
        <v>17</v>
      </c>
      <c r="S3" s="11">
        <v>18</v>
      </c>
      <c r="T3" s="11">
        <v>19</v>
      </c>
      <c r="U3" s="11">
        <v>20</v>
      </c>
      <c r="V3" s="11">
        <v>21</v>
      </c>
      <c r="W3" s="11">
        <v>22</v>
      </c>
      <c r="X3" s="11">
        <v>23</v>
      </c>
      <c r="Y3" s="11">
        <v>24</v>
      </c>
      <c r="Z3" s="12">
        <v>25</v>
      </c>
      <c r="AA3" s="12">
        <v>26</v>
      </c>
      <c r="AB3" s="12">
        <v>27</v>
      </c>
      <c r="AC3" s="12">
        <v>28</v>
      </c>
      <c r="AD3" s="12">
        <v>29</v>
      </c>
      <c r="AE3" s="12">
        <v>30</v>
      </c>
      <c r="AF3" s="13">
        <v>31</v>
      </c>
    </row>
    <row r="4" spans="1:32" ht="20.100000000000001" customHeight="1">
      <c r="A4" s="14">
        <v>1</v>
      </c>
      <c r="B4" s="59"/>
      <c r="C4" s="59"/>
      <c r="D4" s="59"/>
      <c r="E4" s="59"/>
      <c r="F4" s="59"/>
      <c r="G4" s="59"/>
      <c r="H4" s="59"/>
      <c r="I4" s="59"/>
      <c r="J4" s="59"/>
      <c r="K4" s="59"/>
      <c r="L4" s="59"/>
      <c r="M4" s="59"/>
      <c r="N4" s="59"/>
      <c r="O4" s="59"/>
      <c r="P4" s="59"/>
      <c r="Q4" s="59"/>
      <c r="R4" s="59"/>
      <c r="S4" s="59"/>
      <c r="T4" s="59"/>
      <c r="U4" s="59"/>
      <c r="V4" s="59"/>
      <c r="W4" s="59"/>
      <c r="X4" s="59"/>
      <c r="Y4" s="59"/>
      <c r="Z4" s="59"/>
      <c r="AA4" s="59"/>
      <c r="AB4" s="59"/>
      <c r="AC4" s="59"/>
      <c r="AD4" s="59"/>
      <c r="AE4" s="59"/>
      <c r="AF4" s="59"/>
    </row>
    <row r="5" spans="1:32" ht="20.100000000000001" customHeight="1">
      <c r="A5" s="14">
        <v>2</v>
      </c>
      <c r="B5" s="59"/>
      <c r="C5" s="59"/>
      <c r="D5" s="59"/>
      <c r="E5" s="59"/>
      <c r="F5" s="59"/>
      <c r="G5" s="59"/>
      <c r="H5" s="59"/>
      <c r="I5" s="59"/>
      <c r="J5" s="59"/>
      <c r="K5" s="59"/>
      <c r="L5" s="59"/>
      <c r="M5" s="59"/>
      <c r="N5" s="59"/>
      <c r="O5" s="59"/>
      <c r="P5" s="59"/>
      <c r="Q5" s="59"/>
      <c r="R5" s="59"/>
      <c r="S5" s="59"/>
      <c r="T5" s="59"/>
      <c r="U5" s="59"/>
      <c r="V5" s="59"/>
      <c r="W5" s="59"/>
      <c r="X5" s="59"/>
      <c r="Y5" s="59"/>
      <c r="Z5" s="59"/>
      <c r="AA5" s="59"/>
      <c r="AB5" s="59"/>
      <c r="AC5" s="59"/>
      <c r="AD5" s="59"/>
      <c r="AE5" s="59"/>
      <c r="AF5" s="59"/>
    </row>
    <row r="6" spans="1:32" ht="20.100000000000001" customHeight="1">
      <c r="A6" s="14">
        <v>3</v>
      </c>
      <c r="B6" s="59"/>
      <c r="C6" s="59"/>
      <c r="D6" s="59"/>
      <c r="E6" s="59"/>
      <c r="F6" s="59"/>
      <c r="G6" s="59"/>
      <c r="H6" s="59"/>
      <c r="I6" s="59"/>
      <c r="J6" s="59"/>
      <c r="K6" s="59"/>
      <c r="L6" s="59"/>
      <c r="M6" s="59"/>
      <c r="N6" s="59"/>
      <c r="O6" s="59"/>
      <c r="P6" s="59"/>
      <c r="Q6" s="59"/>
      <c r="R6" s="59"/>
      <c r="S6" s="59"/>
      <c r="T6" s="59"/>
      <c r="U6" s="59"/>
      <c r="V6" s="59"/>
      <c r="W6" s="59"/>
      <c r="X6" s="59"/>
      <c r="Y6" s="59"/>
      <c r="Z6" s="59"/>
      <c r="AA6" s="59"/>
      <c r="AB6" s="59"/>
      <c r="AC6" s="59"/>
      <c r="AD6" s="59"/>
      <c r="AE6" s="59"/>
      <c r="AF6" s="59"/>
    </row>
    <row r="7" spans="1:32" ht="20.100000000000001" customHeight="1">
      <c r="A7" s="14">
        <v>4</v>
      </c>
      <c r="B7" s="59"/>
      <c r="C7" s="59"/>
      <c r="D7" s="59"/>
      <c r="E7" s="59"/>
      <c r="F7" s="59"/>
      <c r="G7" s="59"/>
      <c r="H7" s="59"/>
      <c r="I7" s="59"/>
      <c r="J7" s="59"/>
      <c r="K7" s="59"/>
      <c r="L7" s="59"/>
      <c r="M7" s="59"/>
      <c r="N7" s="59"/>
      <c r="O7" s="59"/>
      <c r="P7" s="59"/>
      <c r="Q7" s="59"/>
      <c r="R7" s="59"/>
      <c r="S7" s="59"/>
      <c r="T7" s="59"/>
      <c r="U7" s="59"/>
      <c r="V7" s="59"/>
      <c r="W7" s="59"/>
      <c r="X7" s="59"/>
      <c r="Y7" s="59"/>
      <c r="Z7" s="59"/>
      <c r="AA7" s="59"/>
      <c r="AB7" s="59"/>
      <c r="AC7" s="59"/>
      <c r="AD7" s="59"/>
      <c r="AE7" s="59"/>
      <c r="AF7" s="59"/>
    </row>
    <row r="8" spans="1:32" ht="20.100000000000001" customHeight="1">
      <c r="A8" s="14">
        <v>5</v>
      </c>
      <c r="B8" s="59"/>
      <c r="C8" s="59"/>
      <c r="D8" s="59"/>
      <c r="E8" s="59"/>
      <c r="F8" s="59"/>
      <c r="G8" s="59"/>
      <c r="H8" s="59"/>
      <c r="I8" s="59"/>
      <c r="J8" s="59"/>
      <c r="K8" s="59"/>
      <c r="L8" s="59"/>
      <c r="M8" s="59"/>
      <c r="N8" s="59"/>
      <c r="O8" s="59"/>
      <c r="P8" s="59"/>
      <c r="Q8" s="59"/>
      <c r="R8" s="59"/>
      <c r="S8" s="59"/>
      <c r="T8" s="59"/>
      <c r="U8" s="59"/>
      <c r="V8" s="59"/>
      <c r="W8" s="59"/>
      <c r="X8" s="59"/>
      <c r="Y8" s="59"/>
      <c r="Z8" s="59"/>
      <c r="AA8" s="59"/>
      <c r="AB8" s="59"/>
      <c r="AC8" s="59"/>
      <c r="AD8" s="59"/>
      <c r="AE8" s="59"/>
      <c r="AF8" s="59"/>
    </row>
    <row r="9" spans="1:32" ht="20.100000000000001" customHeight="1">
      <c r="A9" s="14">
        <v>6</v>
      </c>
      <c r="B9" s="59"/>
      <c r="C9" s="59"/>
      <c r="D9" s="59"/>
      <c r="E9" s="59"/>
      <c r="F9" s="59"/>
      <c r="G9" s="59"/>
      <c r="H9" s="59"/>
      <c r="I9" s="59"/>
      <c r="J9" s="59"/>
      <c r="K9" s="59"/>
      <c r="L9" s="59"/>
      <c r="M9" s="59"/>
      <c r="N9" s="59"/>
      <c r="O9" s="59"/>
      <c r="P9" s="59"/>
      <c r="Q9" s="59"/>
      <c r="R9" s="59"/>
      <c r="S9" s="59"/>
      <c r="T9" s="59"/>
      <c r="U9" s="59"/>
      <c r="V9" s="59"/>
      <c r="W9" s="59"/>
      <c r="X9" s="59"/>
      <c r="Y9" s="59"/>
      <c r="Z9" s="59"/>
      <c r="AA9" s="59"/>
      <c r="AB9" s="59"/>
      <c r="AC9" s="59"/>
      <c r="AD9" s="59"/>
      <c r="AE9" s="59"/>
      <c r="AF9" s="59"/>
    </row>
    <row r="10" spans="1:32" ht="20.100000000000001" customHeight="1">
      <c r="A10" s="14">
        <v>7</v>
      </c>
      <c r="B10" s="15">
        <f>'[10]Dia 1 (b)'!$X16</f>
        <v>14.752830923552949</v>
      </c>
      <c r="C10" s="15">
        <f>'[10]Dia 2 (b)'!$X16</f>
        <v>12.44117372460583</v>
      </c>
      <c r="D10" s="15">
        <f>'[10]Dia 3 (b)'!$X16</f>
        <v>12.201604570512618</v>
      </c>
      <c r="E10" s="15">
        <f>'[10]Dia 4 (b)'!$X16</f>
        <v>14.695438645568764</v>
      </c>
      <c r="F10" s="15">
        <f>'[10]Dia 5 (b)'!$X16</f>
        <v>15.175283883798253</v>
      </c>
      <c r="G10" s="15">
        <f>'[10]Dia 6 (b)'!$X16</f>
        <v>14.369730943610405</v>
      </c>
      <c r="H10" s="15">
        <f>'[10]Dia 7 (b)'!$X16</f>
        <v>17.17863832870524</v>
      </c>
      <c r="I10" s="15">
        <f>'[10]Dia 8 (b)'!$X16</f>
        <v>15.367955406821315</v>
      </c>
      <c r="J10" s="15">
        <f>'[10]Dia 9 (b)'!$X16</f>
        <v>14.758870976260773</v>
      </c>
      <c r="K10" s="15">
        <f>'[10]Dia 10 (b)'!$X16</f>
        <v>12.603703279363996</v>
      </c>
      <c r="L10" s="15">
        <f>'[10]Dia 11 (b)'!$X16</f>
        <v>13.101395569405287</v>
      </c>
      <c r="M10" s="15">
        <f>'[10]Dia 12 (b)'!$X16</f>
        <v>15.527441352558368</v>
      </c>
      <c r="N10" s="15">
        <f>'[10]Dia 13 (b)'!$X16</f>
        <v>11.871286754262652</v>
      </c>
      <c r="O10" s="15">
        <f>'[10]Dia 14 (b)'!$X16</f>
        <v>10.25411521842995</v>
      </c>
      <c r="P10" s="15">
        <f>'[10]Dia 15 (b)'!$X16</f>
        <v>11.235176084485305</v>
      </c>
      <c r="Q10" s="15">
        <f>'[10]Dia 16 (b)'!$X16</f>
        <v>14.34451067489468</v>
      </c>
      <c r="R10" s="15">
        <f>'[10]Dia 17 (b)'!$X16</f>
        <v>14.165665071741769</v>
      </c>
      <c r="S10" s="15">
        <f>'[10]Dia 18 (b)'!$X16</f>
        <v>13.081878210950643</v>
      </c>
      <c r="T10" s="15">
        <f>'[10]Dia 19 (b)'!$X16</f>
        <v>11.456212834629643</v>
      </c>
      <c r="U10" s="15">
        <f>'[10]Dia 20 (b)'!$X16</f>
        <v>11.771375394565744</v>
      </c>
      <c r="V10" s="15">
        <f>'[10]Dia 21 (b)'!$X16</f>
        <v>11.757374334610818</v>
      </c>
      <c r="W10" s="15">
        <f>'[10]Dia 22 (b)'!$X16</f>
        <v>11.068609074551476</v>
      </c>
      <c r="X10" s="15">
        <f>'[10]Dia 23 (b)'!$X16</f>
        <v>12.739646726234438</v>
      </c>
      <c r="Y10" s="15">
        <f>'[10]Dia 24 (b)'!$X16</f>
        <v>14.954849876097585</v>
      </c>
      <c r="Z10" s="15">
        <f>'[10]Dia 25 (b)'!$X16</f>
        <v>14.657223998883453</v>
      </c>
      <c r="AA10" s="15">
        <f>'[10]Dia 26 (b)'!$X16</f>
        <v>13.839727154848207</v>
      </c>
      <c r="AB10" s="15">
        <f>'[10]Dia 27 (b)'!$X16</f>
        <v>13.03022146510018</v>
      </c>
      <c r="AC10" s="15">
        <f>'[10]Dia 28 (b)'!$X16</f>
        <v>15.36875716884391</v>
      </c>
      <c r="AD10" s="15">
        <f>'[10]Dia 29 (b)'!$X16</f>
        <v>15.713423938906322</v>
      </c>
      <c r="AE10" s="15">
        <f>'[10]Dia 30 (b)'!$X16</f>
        <v>16.885587818979218</v>
      </c>
      <c r="AF10" s="15">
        <f>'[10]Dia 31 (b)'!$X16</f>
        <v>18.722174900740708</v>
      </c>
    </row>
    <row r="11" spans="1:32" ht="20.100000000000001" customHeight="1">
      <c r="A11" s="14">
        <v>8</v>
      </c>
      <c r="B11" s="15">
        <f>'[10]Dia 1 (b)'!$X17</f>
        <v>14.791664134296486</v>
      </c>
      <c r="C11" s="15">
        <f>'[10]Dia 2 (b)'!$X17</f>
        <v>12.23040674968799</v>
      </c>
      <c r="D11" s="15">
        <f>'[10]Dia 3 (b)'!$X17</f>
        <v>12.108560388496155</v>
      </c>
      <c r="E11" s="15">
        <f>'[10]Dia 4 (b)'!$X17</f>
        <v>15.03472755361102</v>
      </c>
      <c r="F11" s="15">
        <f>'[10]Dia 5 (b)'!$X17</f>
        <v>15.667677982578589</v>
      </c>
      <c r="G11" s="15">
        <f>'[10]Dia 6 (b)'!$X17</f>
        <v>15.023188784715746</v>
      </c>
      <c r="H11" s="15">
        <f>'[10]Dia 7 (b)'!$X17</f>
        <v>16.43499622175452</v>
      </c>
      <c r="I11" s="15">
        <f>'[10]Dia 8 (b)'!$X17</f>
        <v>15.515671447477686</v>
      </c>
      <c r="J11" s="15">
        <f>'[10]Dia 9 (b)'!$X17</f>
        <v>14.249914446671555</v>
      </c>
      <c r="K11" s="15">
        <f>'[10]Dia 10 (b)'!$X17</f>
        <v>12.633842278500168</v>
      </c>
      <c r="L11" s="15">
        <f>'[10]Dia 11 (b)'!$X17</f>
        <v>13.210815003493813</v>
      </c>
      <c r="M11" s="15">
        <f>'[10]Dia 12 (b)'!$X17</f>
        <v>16.227994950856097</v>
      </c>
      <c r="N11" s="15">
        <f>'[10]Dia 13 (b)'!$X17</f>
        <v>12.102083600061826</v>
      </c>
      <c r="O11" s="15">
        <f>'[10]Dia 14 (b)'!$X17</f>
        <v>10.521314761684463</v>
      </c>
      <c r="P11" s="15">
        <f>'[10]Dia 15 (b)'!$X17</f>
        <v>11.403205512821442</v>
      </c>
      <c r="Q11" s="15">
        <f>'[10]Dia 16 (b)'!$X17</f>
        <v>14.45333085632047</v>
      </c>
      <c r="R11" s="15">
        <f>'[10]Dia 17 (b)'!$X17</f>
        <v>14.39774952213291</v>
      </c>
      <c r="S11" s="15">
        <f>'[10]Dia 18 (b)'!$X17</f>
        <v>13.286329122822032</v>
      </c>
      <c r="T11" s="15">
        <f>'[10]Dia 19 (b)'!$X17</f>
        <v>11.434632677867972</v>
      </c>
      <c r="U11" s="15">
        <f>'[10]Dia 20 (b)'!$X17</f>
        <v>11.5119479447591</v>
      </c>
      <c r="V11" s="15">
        <f>'[10]Dia 21 (b)'!$X17</f>
        <v>11.894590572480141</v>
      </c>
      <c r="W11" s="15">
        <f>'[10]Dia 22 (b)'!$X17</f>
        <v>11.332951443698581</v>
      </c>
      <c r="X11" s="15">
        <f>'[10]Dia 23 (b)'!$X17</f>
        <v>13.172467813700424</v>
      </c>
      <c r="Y11" s="15">
        <f>'[10]Dia 24 (b)'!$X17</f>
        <v>15.077905181933074</v>
      </c>
      <c r="Z11" s="15">
        <f>'[10]Dia 25 (b)'!$X17</f>
        <v>14.410739113372379</v>
      </c>
      <c r="AA11" s="15">
        <f>'[10]Dia 26 (b)'!$X17</f>
        <v>13.754189047103269</v>
      </c>
      <c r="AB11" s="15">
        <f>'[10]Dia 27 (b)'!$X17</f>
        <v>13.208840522526529</v>
      </c>
      <c r="AC11" s="15">
        <f>'[10]Dia 28 (b)'!$X17</f>
        <v>15.241145021112228</v>
      </c>
      <c r="AD11" s="15">
        <f>'[10]Dia 29 (b)'!$X17</f>
        <v>14.846023648413814</v>
      </c>
      <c r="AE11" s="15">
        <f>'[10]Dia 30 (b)'!$X17</f>
        <v>16.764285212672718</v>
      </c>
      <c r="AF11" s="15">
        <f>'[10]Dia 31 (b)'!$X17</f>
        <v>18.516262247317929</v>
      </c>
    </row>
    <row r="12" spans="1:32" ht="20.100000000000001" customHeight="1">
      <c r="A12" s="14">
        <v>9</v>
      </c>
      <c r="B12" s="15">
        <f>'[10]Dia 1 (b)'!$X18</f>
        <v>15.138653322277085</v>
      </c>
      <c r="C12" s="15">
        <f>'[10]Dia 2 (b)'!$X18</f>
        <v>12.386625739030084</v>
      </c>
      <c r="D12" s="15">
        <f>'[10]Dia 3 (b)'!$X18</f>
        <v>12.750617483509119</v>
      </c>
      <c r="E12" s="15">
        <f>'[10]Dia 4 (b)'!$X18</f>
        <v>15.2427854877703</v>
      </c>
      <c r="F12" s="15">
        <f>'[10]Dia 5 (b)'!$X18</f>
        <v>15.693857884571203</v>
      </c>
      <c r="G12" s="15">
        <f>'[10]Dia 6 (b)'!$X18</f>
        <v>15.414970369664513</v>
      </c>
      <c r="H12" s="15">
        <f>'[10]Dia 7 (b)'!$X18</f>
        <v>15.90419567905151</v>
      </c>
      <c r="I12" s="15">
        <f>'[10]Dia 8 (b)'!$X18</f>
        <v>15.775096363736408</v>
      </c>
      <c r="J12" s="15">
        <f>'[10]Dia 9 (b)'!$X18</f>
        <v>14.236377405710304</v>
      </c>
      <c r="K12" s="15">
        <f>'[10]Dia 10 (b)'!$X18</f>
        <v>12.588188783700696</v>
      </c>
      <c r="L12" s="15">
        <f>'[10]Dia 11 (b)'!$X18</f>
        <v>13.526507733323221</v>
      </c>
      <c r="M12" s="15">
        <f>'[10]Dia 12 (b)'!$X18</f>
        <v>16.726822099824386</v>
      </c>
      <c r="N12" s="15">
        <f>'[10]Dia 13 (b)'!$X18</f>
        <v>11.92921628016899</v>
      </c>
      <c r="O12" s="15">
        <f>'[10]Dia 14 (b)'!$X18</f>
        <v>10.715691780638258</v>
      </c>
      <c r="P12" s="15">
        <f>'[10]Dia 15 (b)'!$X18</f>
        <v>11.744853220861852</v>
      </c>
      <c r="Q12" s="15">
        <f>'[10]Dia 16 (b)'!$X18</f>
        <v>14.786049312693487</v>
      </c>
      <c r="R12" s="15">
        <f>'[10]Dia 17 (b)'!$X18</f>
        <v>13.907063759358095</v>
      </c>
      <c r="S12" s="15">
        <f>'[10]Dia 18 (b)'!$X18</f>
        <v>13.502221989744239</v>
      </c>
      <c r="T12" s="15">
        <f>'[10]Dia 19 (b)'!$X18</f>
        <v>11.40551125321527</v>
      </c>
      <c r="U12" s="15">
        <f>'[10]Dia 20 (b)'!$X18</f>
        <v>11.651355677291955</v>
      </c>
      <c r="V12" s="15">
        <f>'[10]Dia 21 (b)'!$X18</f>
        <v>11.766775453598942</v>
      </c>
      <c r="W12" s="15">
        <f>'[10]Dia 22 (b)'!$X18</f>
        <v>11.689293100272634</v>
      </c>
      <c r="X12" s="15">
        <f>'[10]Dia 23 (b)'!$X18</f>
        <v>13.164636597365726</v>
      </c>
      <c r="Y12" s="15">
        <f>'[10]Dia 24 (b)'!$X18</f>
        <v>14.334527796674967</v>
      </c>
      <c r="Z12" s="15">
        <f>'[10]Dia 25 (b)'!$X18</f>
        <v>14.189385612512149</v>
      </c>
      <c r="AA12" s="15">
        <f>'[10]Dia 26 (b)'!$X18</f>
        <v>13.452140280099435</v>
      </c>
      <c r="AB12" s="15">
        <f>'[10]Dia 27 (b)'!$X18</f>
        <v>13.784469925485773</v>
      </c>
      <c r="AC12" s="15">
        <f>'[10]Dia 28 (b)'!$X18</f>
        <v>15.062346447928276</v>
      </c>
      <c r="AD12" s="15">
        <f>'[10]Dia 29 (b)'!$X18</f>
        <v>15.302295810446568</v>
      </c>
      <c r="AE12" s="15">
        <f>'[10]Dia 30 (b)'!$X18</f>
        <v>17.137867409500899</v>
      </c>
      <c r="AF12" s="15">
        <f>'[10]Dia 31 (b)'!$X18</f>
        <v>18.15612938400794</v>
      </c>
    </row>
    <row r="13" spans="1:32" ht="20.100000000000001" customHeight="1">
      <c r="A13" s="14">
        <v>10</v>
      </c>
      <c r="B13" s="15">
        <f>'[10]Dia 1 (b)'!$X19</f>
        <v>15.450251033818036</v>
      </c>
      <c r="C13" s="15">
        <f>'[10]Dia 2 (b)'!$X19</f>
        <v>12.384535848455716</v>
      </c>
      <c r="D13" s="15">
        <f>'[10]Dia 3 (b)'!$X19</f>
        <v>12.541356812860126</v>
      </c>
      <c r="E13" s="15">
        <f>'[10]Dia 4 (b)'!$X19</f>
        <v>15.737477307210057</v>
      </c>
      <c r="F13" s="15">
        <f>'[10]Dia 5 (b)'!$X19</f>
        <v>16.761633738349516</v>
      </c>
      <c r="G13" s="15">
        <f>'[10]Dia 6 (b)'!$X19</f>
        <v>15.968993771756608</v>
      </c>
      <c r="H13" s="15">
        <f>'[10]Dia 7 (b)'!$X19</f>
        <v>16.274320749241014</v>
      </c>
      <c r="I13" s="15">
        <f>'[10]Dia 8 (b)'!$X19</f>
        <v>16.012379023112711</v>
      </c>
      <c r="J13" s="15">
        <f>'[10]Dia 9 (b)'!$X19</f>
        <v>12.83282143222411</v>
      </c>
      <c r="K13" s="15">
        <f>'[10]Dia 10 (b)'!$X19</f>
        <v>13.078752780320521</v>
      </c>
      <c r="L13" s="15">
        <f>'[10]Dia 11 (b)'!$X19</f>
        <v>14.168204409329613</v>
      </c>
      <c r="M13" s="15">
        <f>'[10]Dia 12 (b)'!$X19</f>
        <v>15.71381000375132</v>
      </c>
      <c r="N13" s="15">
        <f>'[10]Dia 13 (b)'!$X19</f>
        <v>12.328921900170691</v>
      </c>
      <c r="O13" s="15">
        <f>'[10]Dia 14 (b)'!$X19</f>
        <v>10.807797820093306</v>
      </c>
      <c r="P13" s="15">
        <f>'[10]Dia 15 (b)'!$X19</f>
        <v>11.73687055557674</v>
      </c>
      <c r="Q13" s="15">
        <f>'[10]Dia 16 (b)'!$X19</f>
        <v>14.756934822113141</v>
      </c>
      <c r="R13" s="15">
        <f>'[10]Dia 17 (b)'!$X19</f>
        <v>14.449078307769481</v>
      </c>
      <c r="S13" s="15">
        <f>'[10]Dia 18 (b)'!$X19</f>
        <v>13.472975550414381</v>
      </c>
      <c r="T13" s="15">
        <f>'[10]Dia 19 (b)'!$X19</f>
        <v>11.500239379005267</v>
      </c>
      <c r="U13" s="15">
        <f>'[10]Dia 20 (b)'!$X19</f>
        <v>12.020966957938249</v>
      </c>
      <c r="V13" s="15">
        <f>'[10]Dia 21 (b)'!$X19</f>
        <v>12.01262686249431</v>
      </c>
      <c r="W13" s="15">
        <f>'[10]Dia 22 (b)'!$X19</f>
        <v>11.48657424472673</v>
      </c>
      <c r="X13" s="15">
        <f>'[10]Dia 23 (b)'!$X19</f>
        <v>12.943485251477734</v>
      </c>
      <c r="Y13" s="15">
        <f>'[10]Dia 24 (b)'!$X19</f>
        <v>13.142198420880435</v>
      </c>
      <c r="Z13" s="15">
        <f>'[10]Dia 25 (b)'!$X19</f>
        <v>13.897301289067114</v>
      </c>
      <c r="AA13" s="15">
        <f>'[10]Dia 26 (b)'!$X19</f>
        <v>14.038151108376152</v>
      </c>
      <c r="AB13" s="15">
        <f>'[10]Dia 27 (b)'!$X19</f>
        <v>14.400855572664895</v>
      </c>
      <c r="AC13" s="15">
        <f>'[10]Dia 28 (b)'!$X19</f>
        <v>13.890832893958123</v>
      </c>
      <c r="AD13" s="15">
        <f>'[10]Dia 29 (b)'!$X19</f>
        <v>15.834446636288254</v>
      </c>
      <c r="AE13" s="15">
        <f>'[10]Dia 30 (b)'!$X19</f>
        <v>17.280361069834321</v>
      </c>
      <c r="AF13" s="15">
        <f>'[10]Dia 31 (b)'!$X19</f>
        <v>18.244011742464949</v>
      </c>
    </row>
    <row r="14" spans="1:32" ht="20.100000000000001" customHeight="1">
      <c r="A14" s="14">
        <v>11</v>
      </c>
      <c r="B14" s="15">
        <f>'[10]Dia 1 (b)'!$X20</f>
        <v>15.317378187466566</v>
      </c>
      <c r="C14" s="15">
        <f>'[10]Dia 2 (b)'!$X20</f>
        <v>12.639634283536688</v>
      </c>
      <c r="D14" s="15">
        <f>'[10]Dia 3 (b)'!$X20</f>
        <v>13.560676244256394</v>
      </c>
      <c r="E14" s="15">
        <f>'[10]Dia 4 (b)'!$X20</f>
        <v>15.577192154123274</v>
      </c>
      <c r="F14" s="15">
        <f>'[10]Dia 5 (b)'!$X20</f>
        <v>16.639246640824314</v>
      </c>
      <c r="G14" s="15">
        <f>'[10]Dia 6 (b)'!$X20</f>
        <v>16.622872104018544</v>
      </c>
      <c r="H14" s="15">
        <f>'[10]Dia 7 (b)'!$X20</f>
        <v>16.181380148909401</v>
      </c>
      <c r="I14" s="15">
        <f>'[10]Dia 8 (b)'!$X20</f>
        <v>15.974911461565744</v>
      </c>
      <c r="J14" s="15">
        <f>'[10]Dia 9 (b)'!$X20</f>
        <v>13.072407974310011</v>
      </c>
      <c r="K14" s="15">
        <f>'[10]Dia 10 (b)'!$X20</f>
        <v>12.343529824810368</v>
      </c>
      <c r="L14" s="15">
        <f>'[10]Dia 11 (b)'!$X20</f>
        <v>13.900213081683592</v>
      </c>
      <c r="M14" s="15">
        <f>'[10]Dia 12 (b)'!$X20</f>
        <v>15.934621437389827</v>
      </c>
      <c r="N14" s="15">
        <f>'[10]Dia 13 (b)'!$X20</f>
        <v>12.075367904647516</v>
      </c>
      <c r="O14" s="15">
        <f>'[10]Dia 14 (b)'!$X20</f>
        <v>10.788167444441415</v>
      </c>
      <c r="P14" s="15">
        <f>'[10]Dia 15 (b)'!$X20</f>
        <v>12.164194948248998</v>
      </c>
      <c r="Q14" s="15">
        <f>'[10]Dia 16 (b)'!$X20</f>
        <v>15.195740964654087</v>
      </c>
      <c r="R14" s="15">
        <f>'[10]Dia 17 (b)'!$X20</f>
        <v>14.468149371365275</v>
      </c>
      <c r="S14" s="15">
        <f>'[10]Dia 18 (b)'!$X20</f>
        <v>13.689467523854736</v>
      </c>
      <c r="T14" s="15">
        <f>'[10]Dia 19 (b)'!$X20</f>
        <v>11.413215781136165</v>
      </c>
      <c r="U14" s="15">
        <f>'[10]Dia 20 (b)'!$X20</f>
        <v>12.156574293846599</v>
      </c>
      <c r="V14" s="15">
        <f>'[10]Dia 21 (b)'!$X20</f>
        <v>12.352665194434312</v>
      </c>
      <c r="W14" s="15">
        <f>'[10]Dia 22 (b)'!$X20</f>
        <v>11.546470535788558</v>
      </c>
      <c r="X14" s="15">
        <f>'[10]Dia 23 (b)'!$X20</f>
        <v>13.217624095272198</v>
      </c>
      <c r="Y14" s="15">
        <f>'[10]Dia 24 (b)'!$X20</f>
        <v>13.286716501876914</v>
      </c>
      <c r="Z14" s="15">
        <f>'[10]Dia 25 (b)'!$X20</f>
        <v>13.899898578338696</v>
      </c>
      <c r="AA14" s="15">
        <f>'[10]Dia 26 (b)'!$X20</f>
        <v>13.785219612681109</v>
      </c>
      <c r="AB14" s="15">
        <f>'[10]Dia 27 (b)'!$X20</f>
        <v>14.010835905866973</v>
      </c>
      <c r="AC14" s="15">
        <f>'[10]Dia 28 (b)'!$X20</f>
        <v>14.378006446398739</v>
      </c>
      <c r="AD14" s="15">
        <f>'[10]Dia 29 (b)'!$X20</f>
        <v>15.534494852368715</v>
      </c>
      <c r="AE14" s="15">
        <f>'[10]Dia 30 (b)'!$X20</f>
        <v>15.652871560138946</v>
      </c>
      <c r="AF14" s="15">
        <f>'[10]Dia 31 (b)'!$X20</f>
        <v>16.713667582032617</v>
      </c>
    </row>
    <row r="15" spans="1:32" ht="20.100000000000001" customHeight="1">
      <c r="A15" s="14">
        <v>12</v>
      </c>
      <c r="B15" s="15">
        <f>'[10]Dia 1 (b)'!$X21</f>
        <v>15.321872421270623</v>
      </c>
      <c r="C15" s="15">
        <f>'[10]Dia 2 (b)'!$X21</f>
        <v>12.918079187616591</v>
      </c>
      <c r="D15" s="15">
        <f>'[10]Dia 3 (b)'!$X21</f>
        <v>14.113129618968665</v>
      </c>
      <c r="E15" s="15">
        <f>'[10]Dia 4 (b)'!$X21</f>
        <v>16.176364528485212</v>
      </c>
      <c r="F15" s="15">
        <f>'[10]Dia 5 (b)'!$X21</f>
        <v>17.152298869823014</v>
      </c>
      <c r="G15" s="15">
        <f>'[10]Dia 6 (b)'!$X21</f>
        <v>17.40976994766509</v>
      </c>
      <c r="H15" s="15">
        <f>'[10]Dia 7 (b)'!$X21</f>
        <v>16.588980028281181</v>
      </c>
      <c r="I15" s="15">
        <f>'[10]Dia 8 (b)'!$X21</f>
        <v>16.280708328150535</v>
      </c>
      <c r="J15" s="15">
        <f>'[10]Dia 9 (b)'!$X21</f>
        <v>14.467432056978883</v>
      </c>
      <c r="K15" s="15">
        <f>'[10]Dia 10 (b)'!$X21</f>
        <v>12.526225431629044</v>
      </c>
      <c r="L15" s="15">
        <f>'[10]Dia 11 (b)'!$X21</f>
        <v>13.937987901654759</v>
      </c>
      <c r="M15" s="15">
        <f>'[10]Dia 12 (b)'!$X21</f>
        <v>18.385180437592712</v>
      </c>
      <c r="N15" s="15">
        <f>'[10]Dia 13 (b)'!$X21</f>
        <v>11.959729588689425</v>
      </c>
      <c r="O15" s="15">
        <f>'[10]Dia 14 (b)'!$X21</f>
        <v>10.749528483399009</v>
      </c>
      <c r="P15" s="15">
        <f>'[10]Dia 15 (b)'!$X21</f>
        <v>12.852322802720357</v>
      </c>
      <c r="Q15" s="15">
        <f>'[10]Dia 16 (b)'!$X21</f>
        <v>15.240503709269252</v>
      </c>
      <c r="R15" s="15">
        <f>'[10]Dia 17 (b)'!$X21</f>
        <v>14.592103819794655</v>
      </c>
      <c r="S15" s="15">
        <f>'[10]Dia 18 (b)'!$X21</f>
        <v>13.58107057898814</v>
      </c>
      <c r="T15" s="15">
        <f>'[10]Dia 19 (b)'!$X21</f>
        <v>11.172539689702129</v>
      </c>
      <c r="U15" s="15">
        <f>'[10]Dia 20 (b)'!$X21</f>
        <v>11.744899184047725</v>
      </c>
      <c r="V15" s="15">
        <f>'[10]Dia 21 (b)'!$X21</f>
        <v>12.396450858656843</v>
      </c>
      <c r="W15" s="15">
        <f>'[10]Dia 22 (b)'!$X21</f>
        <v>12.191310035324991</v>
      </c>
      <c r="X15" s="15">
        <f>'[10]Dia 23 (b)'!$X21</f>
        <v>11.844019415340433</v>
      </c>
      <c r="Y15" s="15">
        <f>'[10]Dia 24 (b)'!$X21</f>
        <v>12.724976077488089</v>
      </c>
      <c r="Z15" s="15">
        <f>'[10]Dia 25 (b)'!$X21</f>
        <v>13.728276148446534</v>
      </c>
      <c r="AA15" s="15">
        <f>'[10]Dia 26 (b)'!$X21</f>
        <v>13.897040579354533</v>
      </c>
      <c r="AB15" s="15">
        <f>'[10]Dia 27 (b)'!$X21</f>
        <v>14.87583030592776</v>
      </c>
      <c r="AC15" s="15">
        <f>'[10]Dia 28 (b)'!$X21</f>
        <v>15.13588681006946</v>
      </c>
      <c r="AD15" s="15">
        <f>'[10]Dia 29 (b)'!$X21</f>
        <v>16.138995541417067</v>
      </c>
      <c r="AE15" s="15">
        <f>'[10]Dia 30 (b)'!$X21</f>
        <v>15.264899640380335</v>
      </c>
      <c r="AF15" s="15">
        <f>'[10]Dia 31 (b)'!$X21</f>
        <v>17.667269695817467</v>
      </c>
    </row>
    <row r="16" spans="1:32" ht="20.100000000000001" customHeight="1">
      <c r="A16" s="14">
        <v>13</v>
      </c>
      <c r="B16" s="15">
        <f>'[10]Dia 1 (b)'!$X22</f>
        <v>16.001929446046564</v>
      </c>
      <c r="C16" s="15">
        <f>'[10]Dia 2 (b)'!$X22</f>
        <v>12.665816837995516</v>
      </c>
      <c r="D16" s="15">
        <f>'[10]Dia 3 (b)'!$X22</f>
        <v>14.81084706275152</v>
      </c>
      <c r="E16" s="15">
        <f>'[10]Dia 4 (b)'!$X22</f>
        <v>16.115362382843347</v>
      </c>
      <c r="F16" s="15">
        <f>'[10]Dia 5 (b)'!$X22</f>
        <v>16.73665085427491</v>
      </c>
      <c r="G16" s="15">
        <f>'[10]Dia 6 (b)'!$X22</f>
        <v>17.286418089960016</v>
      </c>
      <c r="H16" s="15">
        <f>'[10]Dia 7 (b)'!$X22</f>
        <v>16.594105864364245</v>
      </c>
      <c r="I16" s="15">
        <f>'[10]Dia 8 (b)'!$X22</f>
        <v>17.303227747562421</v>
      </c>
      <c r="J16" s="15">
        <f>'[10]Dia 9 (b)'!$X22</f>
        <v>14.092435855143659</v>
      </c>
      <c r="K16" s="15">
        <f>'[10]Dia 10 (b)'!$X22</f>
        <v>13.166223161971464</v>
      </c>
      <c r="L16" s="15">
        <f>'[10]Dia 11 (b)'!$X22</f>
        <v>14.304819049067788</v>
      </c>
      <c r="M16" s="15">
        <f>'[10]Dia 12 (b)'!$X22</f>
        <v>18.263009547572892</v>
      </c>
      <c r="N16" s="15">
        <f>'[10]Dia 13 (b)'!$X22</f>
        <v>11.925275519233288</v>
      </c>
      <c r="O16" s="15">
        <f>'[10]Dia 14 (b)'!$X22</f>
        <v>11.346709651531963</v>
      </c>
      <c r="P16" s="15">
        <f>'[10]Dia 15 (b)'!$X22</f>
        <v>13.599878695247206</v>
      </c>
      <c r="Q16" s="15">
        <f>'[10]Dia 16 (b)'!$X22</f>
        <v>15.13900191488543</v>
      </c>
      <c r="R16" s="15">
        <f>'[10]Dia 17 (b)'!$X22</f>
        <v>14.108113812815814</v>
      </c>
      <c r="S16" s="15">
        <f>'[10]Dia 18 (b)'!$X22</f>
        <v>13.811938381025872</v>
      </c>
      <c r="T16" s="15">
        <f>'[10]Dia 19 (b)'!$X22</f>
        <v>11.111220706242314</v>
      </c>
      <c r="U16" s="15">
        <f>'[10]Dia 20 (b)'!$X22</f>
        <v>12.540577620588897</v>
      </c>
      <c r="V16" s="15">
        <f>'[10]Dia 21 (b)'!$X22</f>
        <v>12.802193344110933</v>
      </c>
      <c r="W16" s="15">
        <f>'[10]Dia 22 (b)'!$X22</f>
        <v>13.224411393096565</v>
      </c>
      <c r="X16" s="15">
        <f>'[10]Dia 23 (b)'!$X22</f>
        <v>11.466139847900504</v>
      </c>
      <c r="Y16" s="15">
        <f>'[10]Dia 24 (b)'!$X22</f>
        <v>12.521703926535352</v>
      </c>
      <c r="Z16" s="15">
        <f>'[10]Dia 25 (b)'!$X22</f>
        <v>13.704884031679409</v>
      </c>
      <c r="AA16" s="15">
        <f>'[10]Dia 26 (b)'!$X22</f>
        <v>14.19823710176783</v>
      </c>
      <c r="AB16" s="15">
        <f>'[10]Dia 27 (b)'!$X22</f>
        <v>15.550573250630537</v>
      </c>
      <c r="AC16" s="15">
        <f>'[10]Dia 28 (b)'!$X22</f>
        <v>14.800927771464675</v>
      </c>
      <c r="AD16" s="15">
        <f>'[10]Dia 29 (b)'!$X22</f>
        <v>16.023464540859777</v>
      </c>
      <c r="AE16" s="15">
        <f>'[10]Dia 30 (b)'!$X22</f>
        <v>15.460994189721516</v>
      </c>
      <c r="AF16" s="15">
        <f>'[10]Dia 31 (b)'!$X22</f>
        <v>17.609094220810881</v>
      </c>
    </row>
    <row r="17" spans="1:32" ht="20.100000000000001" customHeight="1">
      <c r="A17" s="14">
        <v>14</v>
      </c>
      <c r="B17" s="15">
        <f>'[10]Dia 1 (b)'!$X23</f>
        <v>15.151327658831162</v>
      </c>
      <c r="C17" s="15">
        <f>'[10]Dia 2 (b)'!$X23</f>
        <v>13.255687282550111</v>
      </c>
      <c r="D17" s="15">
        <f>'[10]Dia 3 (b)'!$X23</f>
        <v>15.629626971023239</v>
      </c>
      <c r="E17" s="15">
        <f>'[10]Dia 4 (b)'!$X23</f>
        <v>15.850980348590683</v>
      </c>
      <c r="F17" s="15">
        <f>'[10]Dia 5 (b)'!$X23</f>
        <v>16.650244838830684</v>
      </c>
      <c r="G17" s="15">
        <f>'[10]Dia 6 (b)'!$X23</f>
        <v>15.845298239432434</v>
      </c>
      <c r="H17" s="15">
        <f>'[10]Dia 7 (b)'!$X23</f>
        <v>20.241616761724966</v>
      </c>
      <c r="I17" s="15">
        <f>'[10]Dia 8 (b)'!$X23</f>
        <v>17.332440445646835</v>
      </c>
      <c r="J17" s="15">
        <f>'[10]Dia 9 (b)'!$X23</f>
        <v>14.300223834048422</v>
      </c>
      <c r="K17" s="15">
        <f>'[10]Dia 10 (b)'!$X23</f>
        <v>12.640022354761475</v>
      </c>
      <c r="L17" s="15">
        <f>'[10]Dia 11 (b)'!$X23</f>
        <v>12.75321326906181</v>
      </c>
      <c r="M17" s="15">
        <f>'[10]Dia 12 (b)'!$X23</f>
        <v>16.649914853330959</v>
      </c>
      <c r="N17" s="15">
        <f>'[10]Dia 13 (b)'!$X23</f>
        <v>11.139982220771135</v>
      </c>
      <c r="O17" s="15">
        <f>'[10]Dia 14 (b)'!$X23</f>
        <v>11.171496489330734</v>
      </c>
      <c r="P17" s="15">
        <f>'[10]Dia 15 (b)'!$X23</f>
        <v>13.456107142158039</v>
      </c>
      <c r="Q17" s="15">
        <f>'[10]Dia 16 (b)'!$X23</f>
        <v>13.862380692349195</v>
      </c>
      <c r="R17" s="15">
        <f>'[10]Dia 17 (b)'!$X23</f>
        <v>14.023513836816552</v>
      </c>
      <c r="S17" s="15">
        <f>'[10]Dia 18 (b)'!$X23</f>
        <v>13.337396205827268</v>
      </c>
      <c r="T17" s="15">
        <f>'[10]Dia 19 (b)'!$X23</f>
        <v>11.079652173618124</v>
      </c>
      <c r="U17" s="15">
        <f>'[10]Dia 20 (b)'!$X23</f>
        <v>12.169897957560273</v>
      </c>
      <c r="V17" s="15">
        <f>'[10]Dia 21 (b)'!$X23</f>
        <v>12.413468033852524</v>
      </c>
      <c r="W17" s="15">
        <f>'[10]Dia 22 (b)'!$X23</f>
        <v>13.429428279789438</v>
      </c>
      <c r="X17" s="15">
        <f>'[10]Dia 23 (b)'!$X23</f>
        <v>15.53334691457019</v>
      </c>
      <c r="Y17" s="15">
        <f>'[10]Dia 24 (b)'!$X23</f>
        <v>12.981167242919881</v>
      </c>
      <c r="Z17" s="15">
        <f>'[10]Dia 25 (b)'!$X23</f>
        <v>14.195128536454149</v>
      </c>
      <c r="AA17" s="15">
        <f>'[10]Dia 26 (b)'!$X23</f>
        <v>13.977020635561654</v>
      </c>
      <c r="AB17" s="15">
        <f>'[10]Dia 27 (b)'!$X23</f>
        <v>15.357504167028047</v>
      </c>
      <c r="AC17" s="15">
        <f>'[10]Dia 28 (b)'!$X23</f>
        <v>14.783032871303755</v>
      </c>
      <c r="AD17" s="15">
        <f>'[10]Dia 29 (b)'!$X23</f>
        <v>17.990848595719687</v>
      </c>
      <c r="AE17" s="15">
        <f>'[10]Dia 30 (b)'!$X23</f>
        <v>15.161930927197107</v>
      </c>
      <c r="AF17" s="15">
        <f>'[10]Dia 31 (b)'!$X23</f>
        <v>16.766408427161782</v>
      </c>
    </row>
    <row r="18" spans="1:32" ht="20.100000000000001" customHeight="1">
      <c r="A18" s="14">
        <v>15</v>
      </c>
      <c r="B18" s="15">
        <f>'[10]Dia 1 (b)'!$X24</f>
        <v>15.253172339368936</v>
      </c>
      <c r="C18" s="15">
        <f>'[10]Dia 2 (b)'!$X24</f>
        <v>13.188775280183165</v>
      </c>
      <c r="D18" s="15">
        <f>'[10]Dia 3 (b)'!$X24</f>
        <v>15.68552731551577</v>
      </c>
      <c r="E18" s="15">
        <f>'[10]Dia 4 (b)'!$X24</f>
        <v>15.588401030721629</v>
      </c>
      <c r="F18" s="15">
        <f>'[10]Dia 5 (b)'!$X24</f>
        <v>14.871962279302981</v>
      </c>
      <c r="G18" s="15">
        <f>'[10]Dia 6 (b)'!$X24</f>
        <v>16.12156855675066</v>
      </c>
      <c r="H18" s="15">
        <f>'[10]Dia 7 (b)'!$X24</f>
        <v>20.036622294905609</v>
      </c>
      <c r="I18" s="15">
        <f>'[10]Dia 8 (b)'!$X24</f>
        <v>16.765598446676989</v>
      </c>
      <c r="J18" s="15">
        <f>'[10]Dia 9 (b)'!$X24</f>
        <v>13.585365524769291</v>
      </c>
      <c r="K18" s="15">
        <f>'[10]Dia 10 (b)'!$X24</f>
        <v>12.664262739606615</v>
      </c>
      <c r="L18" s="15">
        <f>'[10]Dia 11 (b)'!$X24</f>
        <v>12.657994696927263</v>
      </c>
      <c r="M18" s="15">
        <f>'[10]Dia 12 (b)'!$X24</f>
        <v>15.8038110460409</v>
      </c>
      <c r="N18" s="15">
        <f>'[10]Dia 13 (b)'!$X24</f>
        <v>11.222722052610584</v>
      </c>
      <c r="O18" s="15">
        <f>'[10]Dia 14 (b)'!$X24</f>
        <v>11.489485094782451</v>
      </c>
      <c r="P18" s="15">
        <f>'[10]Dia 15 (b)'!$X24</f>
        <v>13.671021433546144</v>
      </c>
      <c r="Q18" s="15">
        <f>'[10]Dia 16 (b)'!$X24</f>
        <v>14.159292699340792</v>
      </c>
      <c r="R18" s="15">
        <f>'[10]Dia 17 (b)'!$X24</f>
        <v>13.282892907898461</v>
      </c>
      <c r="S18" s="15">
        <f>'[10]Dia 18 (b)'!$X24</f>
        <v>13.754722956508983</v>
      </c>
      <c r="T18" s="15">
        <f>'[10]Dia 19 (b)'!$X24</f>
        <v>11.056618519386006</v>
      </c>
      <c r="U18" s="15">
        <f>'[10]Dia 20 (b)'!$X24</f>
        <v>12.009406429433806</v>
      </c>
      <c r="V18" s="15">
        <f>'[10]Dia 21 (b)'!$X24</f>
        <v>11.783931761551383</v>
      </c>
      <c r="W18" s="15">
        <f>'[10]Dia 22 (b)'!$X24</f>
        <v>13.380854289220384</v>
      </c>
      <c r="X18" s="15">
        <f>'[10]Dia 23 (b)'!$X24</f>
        <v>14.615537444443513</v>
      </c>
      <c r="Y18" s="15">
        <f>'[10]Dia 24 (b)'!$X24</f>
        <v>12.811660801013415</v>
      </c>
      <c r="Z18" s="15">
        <f>'[10]Dia 25 (b)'!$X24</f>
        <v>13.96575317232802</v>
      </c>
      <c r="AA18" s="15">
        <f>'[10]Dia 26 (b)'!$X24</f>
        <v>13.173888984410977</v>
      </c>
      <c r="AB18" s="15">
        <f>'[10]Dia 27 (b)'!$X24</f>
        <v>14.529725942995237</v>
      </c>
      <c r="AC18" s="15">
        <f>'[10]Dia 28 (b)'!$X24</f>
        <v>15.044002473151236</v>
      </c>
      <c r="AD18" s="15">
        <f>'[10]Dia 29 (b)'!$X24</f>
        <v>19.034974231461533</v>
      </c>
      <c r="AE18" s="15">
        <f>'[10]Dia 30 (b)'!$X24</f>
        <v>15.007623021322377</v>
      </c>
      <c r="AF18" s="15">
        <f>'[10]Dia 31 (b)'!$X24</f>
        <v>15.535828205438362</v>
      </c>
    </row>
    <row r="19" spans="1:32" ht="20.100000000000001" customHeight="1">
      <c r="A19" s="14">
        <v>16</v>
      </c>
      <c r="B19" s="59"/>
      <c r="C19" s="59"/>
      <c r="D19" s="59"/>
      <c r="E19" s="59"/>
      <c r="F19" s="59"/>
      <c r="G19" s="59"/>
      <c r="H19" s="59"/>
      <c r="I19" s="59"/>
      <c r="J19" s="59"/>
      <c r="K19" s="59"/>
      <c r="L19" s="59"/>
      <c r="M19" s="59"/>
      <c r="N19" s="59"/>
      <c r="O19" s="59"/>
      <c r="P19" s="59"/>
      <c r="Q19" s="59"/>
      <c r="R19" s="59"/>
      <c r="S19" s="59"/>
      <c r="T19" s="59"/>
      <c r="U19" s="59"/>
      <c r="V19" s="59"/>
      <c r="W19" s="59"/>
      <c r="X19" s="59"/>
      <c r="Y19" s="59"/>
      <c r="Z19" s="59"/>
      <c r="AA19" s="59"/>
      <c r="AB19" s="59"/>
      <c r="AC19" s="59"/>
      <c r="AD19" s="59"/>
      <c r="AE19" s="59"/>
      <c r="AF19" s="59"/>
    </row>
    <row r="20" spans="1:32" ht="20.100000000000001" customHeight="1">
      <c r="A20" s="14">
        <v>17</v>
      </c>
      <c r="B20" s="59"/>
      <c r="C20" s="59"/>
      <c r="D20" s="59"/>
      <c r="E20" s="59"/>
      <c r="F20" s="59"/>
      <c r="G20" s="59"/>
      <c r="H20" s="59"/>
      <c r="I20" s="59"/>
      <c r="J20" s="59"/>
      <c r="K20" s="59"/>
      <c r="L20" s="59"/>
      <c r="M20" s="59"/>
      <c r="N20" s="59"/>
      <c r="O20" s="59"/>
      <c r="P20" s="59"/>
      <c r="Q20" s="59"/>
      <c r="R20" s="59"/>
      <c r="S20" s="59"/>
      <c r="T20" s="59"/>
      <c r="U20" s="59"/>
      <c r="V20" s="59"/>
      <c r="W20" s="59"/>
      <c r="X20" s="59"/>
      <c r="Y20" s="59"/>
      <c r="Z20" s="59"/>
      <c r="AA20" s="59"/>
      <c r="AB20" s="59"/>
      <c r="AC20" s="59"/>
      <c r="AD20" s="59"/>
      <c r="AE20" s="59"/>
      <c r="AF20" s="59"/>
    </row>
    <row r="21" spans="1:32" ht="20.100000000000001" customHeight="1">
      <c r="A21" s="14">
        <v>18</v>
      </c>
      <c r="B21" s="59"/>
      <c r="C21" s="59"/>
      <c r="D21" s="59"/>
      <c r="E21" s="59"/>
      <c r="F21" s="59"/>
      <c r="G21" s="59"/>
      <c r="H21" s="59"/>
      <c r="I21" s="59"/>
      <c r="J21" s="59"/>
      <c r="K21" s="59"/>
      <c r="L21" s="59"/>
      <c r="M21" s="59"/>
      <c r="N21" s="59"/>
      <c r="O21" s="59"/>
      <c r="P21" s="59"/>
      <c r="Q21" s="59"/>
      <c r="R21" s="59"/>
      <c r="S21" s="59"/>
      <c r="T21" s="59"/>
      <c r="U21" s="59"/>
      <c r="V21" s="59"/>
      <c r="W21" s="59"/>
      <c r="X21" s="59"/>
      <c r="Y21" s="59"/>
      <c r="Z21" s="59"/>
      <c r="AA21" s="59"/>
      <c r="AB21" s="59"/>
      <c r="AC21" s="59"/>
      <c r="AD21" s="59"/>
      <c r="AE21" s="59"/>
      <c r="AF21" s="59"/>
    </row>
    <row r="22" spans="1:32" ht="20.100000000000001" customHeight="1">
      <c r="A22" s="14">
        <v>19</v>
      </c>
      <c r="B22" s="59"/>
      <c r="C22" s="59"/>
      <c r="D22" s="59"/>
      <c r="E22" s="59"/>
      <c r="F22" s="59"/>
      <c r="G22" s="59"/>
      <c r="H22" s="59"/>
      <c r="I22" s="59"/>
      <c r="J22" s="59"/>
      <c r="K22" s="59"/>
      <c r="L22" s="59"/>
      <c r="M22" s="59"/>
      <c r="N22" s="59"/>
      <c r="O22" s="59"/>
      <c r="P22" s="59"/>
      <c r="Q22" s="59"/>
      <c r="R22" s="59"/>
      <c r="S22" s="59"/>
      <c r="T22" s="59"/>
      <c r="U22" s="59"/>
      <c r="V22" s="59"/>
      <c r="W22" s="59"/>
      <c r="X22" s="59"/>
      <c r="Y22" s="59"/>
      <c r="Z22" s="59"/>
      <c r="AA22" s="59"/>
      <c r="AB22" s="59"/>
      <c r="AC22" s="59"/>
      <c r="AD22" s="59"/>
      <c r="AE22" s="59"/>
      <c r="AF22" s="59"/>
    </row>
    <row r="23" spans="1:32" ht="20.100000000000001" customHeight="1">
      <c r="A23" s="14">
        <v>20</v>
      </c>
      <c r="B23" s="59"/>
      <c r="C23" s="59"/>
      <c r="D23" s="59"/>
      <c r="E23" s="59"/>
      <c r="F23" s="59"/>
      <c r="G23" s="59"/>
      <c r="H23" s="59"/>
      <c r="I23" s="59"/>
      <c r="J23" s="59"/>
      <c r="K23" s="59"/>
      <c r="L23" s="59"/>
      <c r="M23" s="59"/>
      <c r="N23" s="59"/>
      <c r="O23" s="59"/>
      <c r="P23" s="59"/>
      <c r="Q23" s="59"/>
      <c r="R23" s="59"/>
      <c r="S23" s="59"/>
      <c r="T23" s="59"/>
      <c r="U23" s="59"/>
      <c r="V23" s="59"/>
      <c r="W23" s="59"/>
      <c r="X23" s="59"/>
      <c r="Y23" s="59"/>
      <c r="Z23" s="59"/>
      <c r="AA23" s="59"/>
      <c r="AB23" s="59"/>
      <c r="AC23" s="59"/>
      <c r="AD23" s="59"/>
      <c r="AE23" s="59"/>
      <c r="AF23" s="59"/>
    </row>
    <row r="24" spans="1:32" ht="20.100000000000001" customHeight="1">
      <c r="A24" s="14">
        <v>21</v>
      </c>
      <c r="B24" s="59"/>
      <c r="C24" s="59"/>
      <c r="D24" s="59"/>
      <c r="E24" s="59"/>
      <c r="F24" s="59"/>
      <c r="G24" s="59"/>
      <c r="H24" s="59"/>
      <c r="I24" s="59"/>
      <c r="J24" s="59"/>
      <c r="K24" s="59"/>
      <c r="L24" s="59"/>
      <c r="M24" s="59"/>
      <c r="N24" s="59"/>
      <c r="O24" s="59"/>
      <c r="P24" s="59"/>
      <c r="Q24" s="59"/>
      <c r="R24" s="59"/>
      <c r="S24" s="59"/>
      <c r="T24" s="59"/>
      <c r="U24" s="59"/>
      <c r="V24" s="59"/>
      <c r="W24" s="59"/>
      <c r="X24" s="59"/>
      <c r="Y24" s="59"/>
      <c r="Z24" s="59"/>
      <c r="AA24" s="59"/>
      <c r="AB24" s="59"/>
      <c r="AC24" s="59"/>
      <c r="AD24" s="59"/>
      <c r="AE24" s="59"/>
      <c r="AF24" s="59"/>
    </row>
    <row r="25" spans="1:32" ht="20.100000000000001" customHeight="1">
      <c r="A25" s="14">
        <v>22</v>
      </c>
      <c r="B25" s="59"/>
      <c r="C25" s="59"/>
      <c r="D25" s="59"/>
      <c r="E25" s="59"/>
      <c r="F25" s="59"/>
      <c r="G25" s="59"/>
      <c r="H25" s="59"/>
      <c r="I25" s="59"/>
      <c r="J25" s="59"/>
      <c r="K25" s="59"/>
      <c r="L25" s="59"/>
      <c r="M25" s="59"/>
      <c r="N25" s="59"/>
      <c r="O25" s="59"/>
      <c r="P25" s="59"/>
      <c r="Q25" s="59"/>
      <c r="R25" s="59"/>
      <c r="S25" s="59"/>
      <c r="T25" s="59"/>
      <c r="U25" s="59"/>
      <c r="V25" s="59"/>
      <c r="W25" s="59"/>
      <c r="X25" s="59"/>
      <c r="Y25" s="59"/>
      <c r="Z25" s="59"/>
      <c r="AA25" s="59"/>
      <c r="AB25" s="59"/>
      <c r="AC25" s="59"/>
      <c r="AD25" s="59"/>
      <c r="AE25" s="59"/>
      <c r="AF25" s="59"/>
    </row>
    <row r="26" spans="1:32" ht="20.100000000000001" customHeight="1">
      <c r="A26" s="14">
        <v>23</v>
      </c>
      <c r="B26" s="59"/>
      <c r="C26" s="59"/>
      <c r="D26" s="59"/>
      <c r="E26" s="59"/>
      <c r="F26" s="59"/>
      <c r="G26" s="59"/>
      <c r="H26" s="59"/>
      <c r="I26" s="59"/>
      <c r="J26" s="59"/>
      <c r="K26" s="59"/>
      <c r="L26" s="59"/>
      <c r="M26" s="59"/>
      <c r="N26" s="59"/>
      <c r="O26" s="59"/>
      <c r="P26" s="59"/>
      <c r="Q26" s="59"/>
      <c r="R26" s="59"/>
      <c r="S26" s="59"/>
      <c r="T26" s="59"/>
      <c r="U26" s="59"/>
      <c r="V26" s="59"/>
      <c r="W26" s="59"/>
      <c r="X26" s="59"/>
      <c r="Y26" s="59"/>
      <c r="Z26" s="59"/>
      <c r="AA26" s="59"/>
      <c r="AB26" s="59"/>
      <c r="AC26" s="59"/>
      <c r="AD26" s="59"/>
      <c r="AE26" s="59"/>
      <c r="AF26" s="59"/>
    </row>
    <row r="27" spans="1:32" ht="20.100000000000001" customHeight="1" thickBot="1">
      <c r="A27" s="14">
        <v>24</v>
      </c>
      <c r="B27" s="59"/>
      <c r="C27" s="59"/>
      <c r="D27" s="59"/>
      <c r="E27" s="59"/>
      <c r="F27" s="59"/>
      <c r="G27" s="59"/>
      <c r="H27" s="59"/>
      <c r="I27" s="59"/>
      <c r="J27" s="59"/>
      <c r="K27" s="59"/>
      <c r="L27" s="59"/>
      <c r="M27" s="59"/>
      <c r="N27" s="59"/>
      <c r="O27" s="59"/>
      <c r="P27" s="59"/>
      <c r="Q27" s="59"/>
      <c r="R27" s="59"/>
      <c r="S27" s="59"/>
      <c r="T27" s="59"/>
      <c r="U27" s="59"/>
      <c r="V27" s="59"/>
      <c r="W27" s="59"/>
      <c r="X27" s="59"/>
      <c r="Y27" s="59"/>
      <c r="Z27" s="59"/>
      <c r="AA27" s="59"/>
      <c r="AB27" s="59"/>
      <c r="AC27" s="59"/>
      <c r="AD27" s="59"/>
      <c r="AE27" s="59"/>
      <c r="AF27" s="59"/>
    </row>
    <row r="28" spans="1:32" ht="16.5" thickTop="1">
      <c r="A28" s="17"/>
      <c r="B28" s="19"/>
      <c r="C28" s="19"/>
      <c r="D28" s="19"/>
      <c r="E28" s="19"/>
      <c r="F28" s="19"/>
      <c r="G28" s="19"/>
      <c r="H28" s="19"/>
      <c r="I28" s="19"/>
      <c r="J28" s="19"/>
      <c r="K28" s="19"/>
      <c r="L28" s="19"/>
      <c r="M28" s="19"/>
      <c r="N28" s="60" t="s">
        <v>14</v>
      </c>
      <c r="O28" s="19"/>
      <c r="P28" s="19"/>
      <c r="Q28" s="19"/>
      <c r="R28" s="19"/>
      <c r="S28" s="19"/>
      <c r="T28" s="19"/>
      <c r="U28" s="19"/>
      <c r="V28" s="20"/>
      <c r="W28" s="19"/>
      <c r="X28" s="19"/>
      <c r="Y28" s="19"/>
      <c r="Z28" s="19"/>
      <c r="AA28" s="19"/>
      <c r="AB28" s="19"/>
      <c r="AC28" s="19"/>
      <c r="AD28" s="19"/>
      <c r="AE28" s="19"/>
      <c r="AF28" s="21"/>
    </row>
    <row r="29" spans="1:32" ht="15.75">
      <c r="A29" s="22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23"/>
    </row>
    <row r="30" spans="1:32" ht="15.75">
      <c r="A30" s="24" t="s">
        <v>3</v>
      </c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23"/>
    </row>
    <row r="31" spans="1:32" ht="15.75">
      <c r="A31" s="24" t="s">
        <v>4</v>
      </c>
      <c r="B31" s="25"/>
      <c r="C31" s="25"/>
      <c r="D31" s="25"/>
      <c r="E31" s="25"/>
      <c r="F31" s="25"/>
      <c r="G31" s="25"/>
      <c r="H31" s="25"/>
      <c r="I31" s="25"/>
      <c r="J31" s="25"/>
      <c r="K31" s="25"/>
      <c r="L31" s="25"/>
      <c r="M31" s="25"/>
      <c r="N31" s="25"/>
      <c r="O31" s="25"/>
      <c r="P31" s="25"/>
      <c r="Q31" s="25"/>
      <c r="R31" s="25"/>
      <c r="S31" s="25"/>
      <c r="T31" s="25"/>
      <c r="U31" s="25"/>
      <c r="V31" s="25"/>
      <c r="W31" s="25"/>
      <c r="X31" s="25"/>
      <c r="Y31" s="25"/>
      <c r="Z31" s="25"/>
      <c r="AA31" s="25"/>
      <c r="AB31" s="25"/>
      <c r="AC31" s="25"/>
      <c r="AD31" s="25"/>
      <c r="AE31" s="25"/>
      <c r="AF31" s="26"/>
    </row>
    <row r="32" spans="1:32" ht="15.75">
      <c r="A32" s="27"/>
      <c r="B32" s="28"/>
      <c r="C32" s="28"/>
      <c r="D32" s="28"/>
      <c r="E32" s="28"/>
      <c r="F32" s="28"/>
      <c r="G32" s="28"/>
      <c r="H32" s="28"/>
      <c r="I32" s="28"/>
      <c r="J32" s="28"/>
      <c r="K32" s="28"/>
      <c r="L32" s="28"/>
      <c r="M32" s="28"/>
      <c r="N32" s="28"/>
      <c r="O32" s="28"/>
      <c r="P32" s="28"/>
      <c r="Q32" s="28"/>
      <c r="R32" s="28"/>
      <c r="S32" s="28"/>
      <c r="T32" s="28"/>
      <c r="U32" s="28"/>
      <c r="V32" s="28"/>
      <c r="W32" s="28"/>
      <c r="X32" s="28"/>
      <c r="Y32" s="28"/>
      <c r="Z32" s="28"/>
      <c r="AA32" s="28"/>
      <c r="AB32" s="28"/>
      <c r="AC32" s="28"/>
      <c r="AD32" s="28"/>
      <c r="AE32" s="28"/>
      <c r="AF32" s="29"/>
    </row>
    <row r="33" spans="1:32" ht="15.75">
      <c r="A33" s="27"/>
      <c r="B33" s="28"/>
      <c r="C33" s="28"/>
      <c r="D33" s="28"/>
      <c r="E33" s="28"/>
      <c r="F33" s="28"/>
      <c r="G33" s="28"/>
      <c r="H33" s="28"/>
      <c r="I33" s="28"/>
      <c r="J33" s="28"/>
      <c r="K33" s="28"/>
      <c r="L33" s="28"/>
      <c r="M33" s="28"/>
      <c r="N33" s="28"/>
      <c r="O33" s="28"/>
      <c r="P33" s="28"/>
      <c r="Q33" s="28"/>
      <c r="R33" s="28"/>
      <c r="S33" s="28"/>
      <c r="T33" s="28"/>
      <c r="U33" s="28"/>
      <c r="V33" s="28"/>
      <c r="W33" s="28"/>
      <c r="X33" s="28"/>
      <c r="Y33" s="28"/>
      <c r="Z33" s="28"/>
      <c r="AA33" s="28"/>
      <c r="AB33" s="28"/>
      <c r="AC33" s="28"/>
      <c r="AD33" s="28"/>
      <c r="AE33" s="28"/>
      <c r="AF33" s="29"/>
    </row>
    <row r="34" spans="1:32" ht="15.75">
      <c r="A34" s="24" t="s">
        <v>5</v>
      </c>
      <c r="B34" s="28"/>
      <c r="C34" s="28"/>
      <c r="D34" s="28"/>
      <c r="E34" s="28"/>
      <c r="F34" s="28"/>
      <c r="G34" s="28"/>
      <c r="H34" s="28"/>
      <c r="I34" s="28"/>
      <c r="J34" s="28"/>
      <c r="K34" s="28"/>
      <c r="L34" s="28"/>
      <c r="M34" s="28"/>
      <c r="N34" s="28"/>
      <c r="O34" s="28"/>
      <c r="P34" s="28"/>
      <c r="Q34" s="28"/>
      <c r="R34" s="28"/>
      <c r="S34" s="28"/>
      <c r="T34" s="28"/>
      <c r="U34" s="28"/>
      <c r="V34" s="28"/>
      <c r="W34" s="28"/>
      <c r="X34" s="28"/>
      <c r="Y34" s="28"/>
      <c r="Z34" s="28"/>
      <c r="AA34" s="28"/>
      <c r="AB34" s="28"/>
      <c r="AC34" s="28"/>
      <c r="AD34" s="28"/>
      <c r="AE34" s="28"/>
      <c r="AF34" s="29"/>
    </row>
    <row r="35" spans="1:32" ht="15.75">
      <c r="A35" s="24" t="s">
        <v>4</v>
      </c>
      <c r="B35" s="25"/>
      <c r="C35" s="25"/>
      <c r="D35" s="25"/>
      <c r="E35" s="25"/>
      <c r="F35" s="25"/>
      <c r="G35" s="25"/>
      <c r="H35" s="25"/>
      <c r="I35" s="25"/>
      <c r="J35" s="25"/>
      <c r="K35" s="25"/>
      <c r="L35" s="25"/>
      <c r="M35" s="25"/>
      <c r="N35" s="25"/>
      <c r="O35" s="25"/>
      <c r="P35" s="25"/>
      <c r="Q35" s="25"/>
      <c r="R35" s="25"/>
      <c r="S35" s="25"/>
      <c r="T35" s="25"/>
      <c r="U35" s="25"/>
      <c r="V35" s="25"/>
      <c r="W35" s="25"/>
      <c r="X35" s="25"/>
      <c r="Y35" s="25"/>
      <c r="Z35" s="25"/>
      <c r="AA35" s="25"/>
      <c r="AB35" s="25"/>
      <c r="AC35" s="25"/>
      <c r="AD35" s="25"/>
      <c r="AE35" s="25"/>
      <c r="AF35" s="26"/>
    </row>
    <row r="36" spans="1:32" ht="15.75">
      <c r="A36" s="24"/>
      <c r="B36" s="25"/>
      <c r="C36" s="25"/>
      <c r="D36" s="25"/>
      <c r="E36" s="25"/>
      <c r="F36" s="25"/>
      <c r="G36" s="25"/>
      <c r="H36" s="25"/>
      <c r="I36" s="25"/>
      <c r="J36" s="25"/>
      <c r="K36" s="25"/>
      <c r="L36" s="25"/>
      <c r="M36" s="25"/>
      <c r="N36" s="25"/>
      <c r="O36" s="25"/>
      <c r="P36" s="25"/>
      <c r="Q36" s="25"/>
      <c r="R36" s="25"/>
      <c r="S36" s="25"/>
      <c r="T36" s="25"/>
      <c r="U36" s="25"/>
      <c r="V36" s="25"/>
      <c r="W36" s="25"/>
      <c r="X36" s="25"/>
      <c r="Y36" s="25"/>
      <c r="Z36" s="25"/>
      <c r="AA36" s="25"/>
      <c r="AB36" s="25"/>
      <c r="AC36" s="25"/>
      <c r="AD36" s="25"/>
      <c r="AE36" s="25"/>
      <c r="AF36" s="26"/>
    </row>
    <row r="37" spans="1:32" ht="15.75">
      <c r="A37" s="27"/>
      <c r="B37" s="28"/>
      <c r="C37" s="28"/>
      <c r="D37" s="28"/>
      <c r="E37" s="28"/>
      <c r="F37" s="28"/>
      <c r="G37" s="28"/>
      <c r="H37" s="28"/>
      <c r="I37" s="28"/>
      <c r="J37" s="28"/>
      <c r="K37" s="28"/>
      <c r="L37" s="28"/>
      <c r="M37" s="28"/>
      <c r="N37" s="28"/>
      <c r="O37" s="28"/>
      <c r="P37" s="28"/>
      <c r="Q37" s="28"/>
      <c r="R37" s="28"/>
      <c r="S37" s="28"/>
      <c r="T37" s="28"/>
      <c r="U37" s="28"/>
      <c r="V37" s="28"/>
      <c r="W37" s="28"/>
      <c r="X37" s="28"/>
      <c r="Y37" s="28"/>
      <c r="Z37" s="28"/>
      <c r="AA37" s="28"/>
      <c r="AB37" s="28"/>
      <c r="AC37" s="28"/>
      <c r="AD37" s="28"/>
      <c r="AE37" s="28"/>
      <c r="AF37" s="29"/>
    </row>
    <row r="38" spans="1:32" ht="15.75">
      <c r="A38" s="24" t="s">
        <v>6</v>
      </c>
      <c r="B38" s="28"/>
      <c r="C38" s="28"/>
      <c r="D38" s="28"/>
      <c r="E38" s="28"/>
      <c r="F38" s="28"/>
      <c r="G38" s="28"/>
      <c r="H38" s="28"/>
      <c r="I38" s="28"/>
      <c r="J38" s="28"/>
      <c r="K38" s="28"/>
      <c r="L38" s="28"/>
      <c r="M38" s="28"/>
      <c r="N38" s="28"/>
      <c r="O38" s="28"/>
      <c r="P38" s="28"/>
      <c r="Q38" s="28"/>
      <c r="R38" s="28"/>
      <c r="S38" s="28"/>
      <c r="T38" s="28"/>
      <c r="U38" s="28"/>
      <c r="V38" s="28"/>
      <c r="W38" s="28"/>
      <c r="X38" s="28"/>
      <c r="Y38" s="28"/>
      <c r="Z38" s="28"/>
      <c r="AA38" s="28"/>
      <c r="AB38" s="28"/>
      <c r="AC38" s="28"/>
      <c r="AD38" s="28"/>
      <c r="AE38" s="28"/>
      <c r="AF38" s="29"/>
    </row>
    <row r="39" spans="1:32" ht="15.75">
      <c r="A39" s="24" t="s">
        <v>4</v>
      </c>
      <c r="B39" s="25"/>
      <c r="C39" s="25"/>
      <c r="D39" s="25"/>
      <c r="E39" s="25"/>
      <c r="F39" s="25"/>
      <c r="G39" s="25"/>
      <c r="H39" s="25"/>
      <c r="I39" s="25"/>
      <c r="J39" s="25"/>
      <c r="K39" s="25"/>
      <c r="L39" s="25"/>
      <c r="M39" s="25"/>
      <c r="N39" s="25"/>
      <c r="O39" s="25"/>
      <c r="P39" s="25"/>
      <c r="Q39" s="25"/>
      <c r="R39" s="25"/>
      <c r="S39" s="25"/>
      <c r="T39" s="25"/>
      <c r="U39" s="25"/>
      <c r="V39" s="25"/>
      <c r="W39" s="25"/>
      <c r="X39" s="25"/>
      <c r="Y39" s="25"/>
      <c r="Z39" s="25"/>
      <c r="AA39" s="25"/>
      <c r="AB39" s="25"/>
      <c r="AC39" s="25"/>
      <c r="AD39" s="25"/>
      <c r="AE39" s="25"/>
      <c r="AF39" s="26"/>
    </row>
    <row r="40" spans="1:32" ht="15.75">
      <c r="A40" s="24"/>
      <c r="B40" s="25"/>
      <c r="C40" s="25"/>
      <c r="D40" s="25"/>
      <c r="E40" s="25"/>
      <c r="F40" s="25"/>
      <c r="G40" s="25"/>
      <c r="H40" s="25"/>
      <c r="I40" s="25"/>
      <c r="J40" s="25"/>
      <c r="K40" s="25"/>
      <c r="L40" s="25"/>
      <c r="M40" s="25"/>
      <c r="N40" s="25"/>
      <c r="O40" s="25"/>
      <c r="P40" s="25"/>
      <c r="Q40" s="25"/>
      <c r="R40" s="25"/>
      <c r="S40" s="25"/>
      <c r="T40" s="25"/>
      <c r="U40" s="25"/>
      <c r="V40" s="25"/>
      <c r="W40" s="25"/>
      <c r="X40" s="25"/>
      <c r="Y40" s="25"/>
      <c r="Z40" s="25"/>
      <c r="AA40" s="25"/>
      <c r="AB40" s="25"/>
      <c r="AC40" s="25"/>
      <c r="AD40" s="25"/>
      <c r="AE40" s="25"/>
      <c r="AF40" s="26"/>
    </row>
    <row r="41" spans="1:32" ht="15.75">
      <c r="A41" s="27"/>
      <c r="B41" s="28"/>
      <c r="C41" s="28"/>
      <c r="D41" s="28"/>
      <c r="E41" s="28"/>
      <c r="F41" s="28"/>
      <c r="G41" s="28"/>
      <c r="H41" s="28"/>
      <c r="I41" s="28"/>
      <c r="J41" s="28"/>
      <c r="K41" s="28"/>
      <c r="L41" s="28"/>
      <c r="M41" s="28"/>
      <c r="N41" s="28"/>
      <c r="O41" s="28"/>
      <c r="P41" s="28"/>
      <c r="Q41" s="28"/>
      <c r="R41" s="28"/>
      <c r="S41" s="28"/>
      <c r="T41" s="28"/>
      <c r="U41" s="28"/>
      <c r="V41" s="28"/>
      <c r="W41" s="28"/>
      <c r="X41" s="28"/>
      <c r="Y41" s="28"/>
      <c r="Z41" s="28"/>
      <c r="AA41" s="28"/>
      <c r="AB41" s="28"/>
      <c r="AC41" s="28"/>
      <c r="AD41" s="28"/>
      <c r="AE41" s="28"/>
      <c r="AF41" s="29"/>
    </row>
    <row r="42" spans="1:32" ht="15.75">
      <c r="A42" s="24" t="s">
        <v>7</v>
      </c>
      <c r="B42" s="28"/>
      <c r="C42" s="28"/>
      <c r="D42" s="28"/>
      <c r="E42" s="28"/>
      <c r="F42" s="28"/>
      <c r="G42" s="28"/>
      <c r="H42" s="28"/>
      <c r="I42" s="28"/>
      <c r="J42" s="28"/>
      <c r="K42" s="28"/>
      <c r="L42" s="28"/>
      <c r="M42" s="28"/>
      <c r="N42" s="28"/>
      <c r="O42" s="28"/>
      <c r="P42" s="28"/>
      <c r="Q42" s="28"/>
      <c r="R42" s="28"/>
      <c r="S42" s="28"/>
      <c r="T42" s="28"/>
      <c r="U42" s="28"/>
      <c r="V42" s="28"/>
      <c r="W42" s="28"/>
      <c r="X42" s="28"/>
      <c r="Y42" s="28"/>
      <c r="Z42" s="28"/>
      <c r="AA42" s="28"/>
      <c r="AB42" s="28"/>
      <c r="AC42" s="28"/>
      <c r="AD42" s="28"/>
      <c r="AE42" s="28"/>
      <c r="AF42" s="29"/>
    </row>
    <row r="43" spans="1:32" ht="15.75">
      <c r="A43" s="24" t="s">
        <v>4</v>
      </c>
      <c r="B43" s="25"/>
      <c r="C43" s="25"/>
      <c r="D43" s="25"/>
      <c r="E43" s="25"/>
      <c r="F43" s="25"/>
      <c r="G43" s="25"/>
      <c r="H43" s="25"/>
      <c r="I43" s="25"/>
      <c r="J43" s="25"/>
      <c r="K43" s="25"/>
      <c r="L43" s="25"/>
      <c r="M43" s="25"/>
      <c r="N43" s="25"/>
      <c r="O43" s="25"/>
      <c r="P43" s="25"/>
      <c r="Q43" s="25"/>
      <c r="R43" s="25"/>
      <c r="S43" s="25"/>
      <c r="T43" s="25"/>
      <c r="U43" s="25"/>
      <c r="V43" s="25"/>
      <c r="W43" s="25"/>
      <c r="X43" s="25"/>
      <c r="Y43" s="25"/>
      <c r="Z43" s="25"/>
      <c r="AA43" s="25"/>
      <c r="AB43" s="25"/>
      <c r="AC43" s="25"/>
      <c r="AD43" s="25"/>
      <c r="AE43" s="25"/>
      <c r="AF43" s="26"/>
    </row>
    <row r="44" spans="1:32" ht="15.75">
      <c r="A44" s="24"/>
      <c r="B44" s="25"/>
      <c r="C44" s="25"/>
      <c r="D44" s="25"/>
      <c r="E44" s="25"/>
      <c r="F44" s="25"/>
      <c r="G44" s="25"/>
      <c r="H44" s="25"/>
      <c r="I44" s="25"/>
      <c r="J44" s="25"/>
      <c r="K44" s="25"/>
      <c r="L44" s="25"/>
      <c r="M44" s="25"/>
      <c r="N44" s="25"/>
      <c r="O44" s="25"/>
      <c r="P44" s="25"/>
      <c r="Q44" s="25"/>
      <c r="R44" s="25"/>
      <c r="S44" s="25"/>
      <c r="T44" s="25"/>
      <c r="U44" s="25"/>
      <c r="V44" s="25"/>
      <c r="W44" s="25"/>
      <c r="X44" s="25"/>
      <c r="Y44" s="25"/>
      <c r="Z44" s="25"/>
      <c r="AA44" s="25"/>
      <c r="AB44" s="25"/>
      <c r="AC44" s="25"/>
      <c r="AD44" s="25"/>
      <c r="AE44" s="25"/>
      <c r="AF44" s="26"/>
    </row>
    <row r="45" spans="1:32" ht="15.75">
      <c r="A45" s="22"/>
      <c r="B45" s="30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23"/>
    </row>
    <row r="46" spans="1:32" ht="15.75">
      <c r="A46" s="31"/>
      <c r="B46" s="30"/>
      <c r="C46" s="3"/>
      <c r="D46" s="3"/>
      <c r="E46" s="3"/>
      <c r="F46" s="3"/>
      <c r="G46" s="3"/>
      <c r="H46" s="32" t="s">
        <v>3</v>
      </c>
      <c r="I46" s="30"/>
      <c r="J46" s="33"/>
      <c r="K46" s="34" t="s">
        <v>5</v>
      </c>
      <c r="L46" s="33"/>
      <c r="M46" s="33"/>
      <c r="N46" s="34" t="s">
        <v>6</v>
      </c>
      <c r="O46" s="33"/>
      <c r="P46" s="33"/>
      <c r="Q46" s="34" t="s">
        <v>7</v>
      </c>
      <c r="R46" s="30"/>
      <c r="S46" s="30"/>
      <c r="T46" s="33" t="s">
        <v>3</v>
      </c>
      <c r="U46" s="33"/>
      <c r="V46" s="33" t="s">
        <v>3</v>
      </c>
      <c r="W46" s="33"/>
      <c r="X46" s="33" t="s">
        <v>8</v>
      </c>
      <c r="Y46" s="3"/>
      <c r="Z46" s="3"/>
      <c r="AA46" s="3"/>
      <c r="AB46" s="3"/>
      <c r="AC46" s="3"/>
      <c r="AD46" s="3"/>
      <c r="AE46" s="3"/>
      <c r="AF46" s="23"/>
    </row>
    <row r="47" spans="1:32" ht="15.75">
      <c r="A47" s="31"/>
      <c r="B47" s="30"/>
      <c r="C47" s="3"/>
      <c r="D47" s="3"/>
      <c r="E47" s="3"/>
      <c r="F47" s="3"/>
      <c r="G47" s="3"/>
      <c r="H47" s="35" t="s">
        <v>9</v>
      </c>
      <c r="I47" s="30"/>
      <c r="J47" s="33"/>
      <c r="K47" s="33" t="s">
        <v>9</v>
      </c>
      <c r="L47" s="33"/>
      <c r="M47" s="33"/>
      <c r="N47" s="33" t="s">
        <v>9</v>
      </c>
      <c r="O47" s="33"/>
      <c r="P47" s="33"/>
      <c r="Q47" s="33" t="s">
        <v>9</v>
      </c>
      <c r="R47" s="30"/>
      <c r="S47" s="30"/>
      <c r="T47" s="33" t="s">
        <v>10</v>
      </c>
      <c r="U47" s="33"/>
      <c r="V47" s="33" t="s">
        <v>11</v>
      </c>
      <c r="W47" s="33"/>
      <c r="X47" s="33" t="s">
        <v>12</v>
      </c>
      <c r="Y47" s="3"/>
      <c r="Z47" s="3"/>
      <c r="AA47" s="3"/>
      <c r="AB47" s="3"/>
      <c r="AC47" s="3"/>
      <c r="AD47" s="3"/>
      <c r="AE47" s="3"/>
      <c r="AF47" s="23"/>
    </row>
    <row r="48" spans="1:32" ht="15.75">
      <c r="A48" s="31"/>
      <c r="B48" s="30"/>
      <c r="C48" s="3"/>
      <c r="D48" s="3"/>
      <c r="E48" s="3"/>
      <c r="F48" s="3"/>
      <c r="G48" s="3"/>
      <c r="H48" s="28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23"/>
    </row>
    <row r="49" spans="1:32" ht="16.5" thickBot="1">
      <c r="A49" s="36"/>
      <c r="B49" s="37"/>
      <c r="C49" s="38"/>
      <c r="D49" s="38"/>
      <c r="E49" s="38"/>
      <c r="F49" s="38"/>
      <c r="G49" s="38"/>
      <c r="H49" s="39"/>
      <c r="I49" s="38"/>
      <c r="J49" s="40"/>
      <c r="K49" s="39"/>
      <c r="L49" s="40"/>
      <c r="M49" s="40"/>
      <c r="N49" s="39"/>
      <c r="O49" s="40"/>
      <c r="P49" s="40"/>
      <c r="Q49" s="39"/>
      <c r="R49" s="38"/>
      <c r="S49" s="39"/>
      <c r="T49" s="39"/>
      <c r="U49" s="39"/>
      <c r="V49" s="39"/>
      <c r="W49" s="39"/>
      <c r="X49" s="39"/>
      <c r="Y49" s="38"/>
      <c r="Z49" s="38"/>
      <c r="AA49" s="38"/>
      <c r="AB49" s="38"/>
      <c r="AC49" s="38"/>
      <c r="AD49" s="38"/>
      <c r="AE49" s="38"/>
      <c r="AF49" s="41"/>
    </row>
    <row r="50" spans="1:32" ht="15.75" thickTop="1">
      <c r="B50" s="42"/>
    </row>
    <row r="51" spans="1:32">
      <c r="B51" s="42"/>
    </row>
    <row r="52" spans="1:32">
      <c r="B52" s="42"/>
    </row>
    <row r="53" spans="1:32">
      <c r="B53" s="42"/>
    </row>
    <row r="54" spans="1:32">
      <c r="B54" s="42"/>
    </row>
    <row r="55" spans="1:32">
      <c r="B55" s="42"/>
    </row>
    <row r="56" spans="1:32">
      <c r="B56" s="42"/>
    </row>
    <row r="57" spans="1:32">
      <c r="B57" s="42"/>
    </row>
    <row r="58" spans="1:32">
      <c r="B58" s="42"/>
    </row>
    <row r="59" spans="1:32">
      <c r="B59" s="42"/>
    </row>
    <row r="60" spans="1:32">
      <c r="B60" s="42"/>
    </row>
    <row r="61" spans="1:32">
      <c r="B61" s="42"/>
    </row>
    <row r="62" spans="1:32">
      <c r="B62" s="42"/>
    </row>
    <row r="63" spans="1:32">
      <c r="B63" s="42"/>
    </row>
    <row r="64" spans="1:32">
      <c r="B64" s="42"/>
    </row>
    <row r="65" spans="2:2">
      <c r="B65" s="42"/>
    </row>
    <row r="66" spans="2:2">
      <c r="B66" s="42"/>
    </row>
    <row r="67" spans="2:2">
      <c r="B67" s="42"/>
    </row>
    <row r="68" spans="2:2">
      <c r="B68" s="42"/>
    </row>
    <row r="69" spans="2:2">
      <c r="B69" s="42"/>
    </row>
    <row r="70" spans="2:2">
      <c r="B70" s="42"/>
    </row>
    <row r="71" spans="2:2">
      <c r="B71" s="42"/>
    </row>
    <row r="72" spans="2:2">
      <c r="B72" s="42"/>
    </row>
    <row r="73" spans="2:2">
      <c r="B73" s="42"/>
    </row>
    <row r="74" spans="2:2">
      <c r="B74" s="42"/>
    </row>
    <row r="75" spans="2:2">
      <c r="B75" s="42"/>
    </row>
    <row r="76" spans="2:2">
      <c r="B76" s="42"/>
    </row>
    <row r="77" spans="2:2">
      <c r="B77" s="42"/>
    </row>
    <row r="78" spans="2:2">
      <c r="B78" s="42"/>
    </row>
    <row r="79" spans="2:2">
      <c r="B79" s="42"/>
    </row>
    <row r="80" spans="2:2">
      <c r="B80" s="42"/>
    </row>
    <row r="81" spans="2:2">
      <c r="B81" s="42"/>
    </row>
    <row r="82" spans="2:2">
      <c r="B82" s="42"/>
    </row>
    <row r="83" spans="2:2">
      <c r="B83" s="42"/>
    </row>
    <row r="84" spans="2:2">
      <c r="B84" s="42"/>
    </row>
    <row r="85" spans="2:2">
      <c r="B85" s="42"/>
    </row>
    <row r="86" spans="2:2">
      <c r="B86" s="42"/>
    </row>
    <row r="87" spans="2:2">
      <c r="B87" s="42"/>
    </row>
    <row r="88" spans="2:2">
      <c r="B88" s="42"/>
    </row>
    <row r="89" spans="2:2">
      <c r="B89" s="42"/>
    </row>
    <row r="90" spans="2:2">
      <c r="B90" s="42"/>
    </row>
    <row r="91" spans="2:2">
      <c r="B91" s="42"/>
    </row>
    <row r="92" spans="2:2">
      <c r="B92" s="42"/>
    </row>
    <row r="93" spans="2:2">
      <c r="B93" s="42"/>
    </row>
    <row r="94" spans="2:2">
      <c r="B94" s="42"/>
    </row>
    <row r="95" spans="2:2">
      <c r="B95" s="42"/>
    </row>
    <row r="96" spans="2:2">
      <c r="B96" s="42"/>
    </row>
    <row r="97" spans="2:2">
      <c r="B97" s="42"/>
    </row>
    <row r="98" spans="2:2">
      <c r="B98" s="42"/>
    </row>
    <row r="99" spans="2:2">
      <c r="B99" s="42"/>
    </row>
    <row r="100" spans="2:2">
      <c r="B100" s="42"/>
    </row>
    <row r="101" spans="2:2">
      <c r="B101" s="42"/>
    </row>
    <row r="102" spans="2:2">
      <c r="B102" s="42"/>
    </row>
    <row r="103" spans="2:2">
      <c r="B103" s="42"/>
    </row>
    <row r="104" spans="2:2">
      <c r="B104" s="42"/>
    </row>
    <row r="105" spans="2:2">
      <c r="B105" s="42"/>
    </row>
    <row r="106" spans="2:2">
      <c r="B106" s="42"/>
    </row>
    <row r="107" spans="2:2">
      <c r="B107" s="42"/>
    </row>
    <row r="108" spans="2:2">
      <c r="B108" s="42"/>
    </row>
    <row r="109" spans="2:2">
      <c r="B109" s="42"/>
    </row>
    <row r="110" spans="2:2">
      <c r="B110" s="42"/>
    </row>
    <row r="111" spans="2:2">
      <c r="B111" s="42"/>
    </row>
    <row r="112" spans="2:2">
      <c r="B112" s="42"/>
    </row>
    <row r="113" spans="2:2">
      <c r="B113" s="42"/>
    </row>
    <row r="114" spans="2:2">
      <c r="B114" s="42"/>
    </row>
    <row r="115" spans="2:2">
      <c r="B115" s="42"/>
    </row>
    <row r="116" spans="2:2">
      <c r="B116" s="42"/>
    </row>
    <row r="117" spans="2:2">
      <c r="B117" s="42"/>
    </row>
    <row r="118" spans="2:2">
      <c r="B118" s="42"/>
    </row>
    <row r="119" spans="2:2">
      <c r="B119" s="42"/>
    </row>
    <row r="120" spans="2:2">
      <c r="B120" s="42"/>
    </row>
    <row r="121" spans="2:2">
      <c r="B121" s="42"/>
    </row>
    <row r="122" spans="2:2">
      <c r="B122" s="42"/>
    </row>
    <row r="123" spans="2:2">
      <c r="B123" s="42"/>
    </row>
    <row r="124" spans="2:2">
      <c r="B124" s="42"/>
    </row>
    <row r="125" spans="2:2">
      <c r="B125" s="42"/>
    </row>
    <row r="126" spans="2:2">
      <c r="B126" s="42"/>
    </row>
    <row r="127" spans="2:2">
      <c r="B127" s="42"/>
    </row>
    <row r="128" spans="2:2">
      <c r="B128" s="42"/>
    </row>
    <row r="129" spans="2:2">
      <c r="B129" s="42"/>
    </row>
    <row r="130" spans="2:2">
      <c r="B130" s="42"/>
    </row>
    <row r="131" spans="2:2">
      <c r="B131" s="42"/>
    </row>
    <row r="132" spans="2:2">
      <c r="B132" s="42"/>
    </row>
    <row r="133" spans="2:2">
      <c r="B133" s="42"/>
    </row>
    <row r="134" spans="2:2">
      <c r="B134" s="42"/>
    </row>
    <row r="135" spans="2:2">
      <c r="B135" s="42"/>
    </row>
    <row r="136" spans="2:2">
      <c r="B136" s="42"/>
    </row>
    <row r="137" spans="2:2">
      <c r="B137" s="42"/>
    </row>
    <row r="138" spans="2:2">
      <c r="B138" s="42"/>
    </row>
    <row r="139" spans="2:2">
      <c r="B139" s="42"/>
    </row>
    <row r="140" spans="2:2">
      <c r="B140" s="42"/>
    </row>
    <row r="141" spans="2:2">
      <c r="B141" s="42"/>
    </row>
    <row r="142" spans="2:2">
      <c r="B142" s="42"/>
    </row>
    <row r="143" spans="2:2">
      <c r="B143" s="42"/>
    </row>
    <row r="144" spans="2:2">
      <c r="B144" s="42"/>
    </row>
    <row r="145" spans="2:2">
      <c r="B145" s="42"/>
    </row>
    <row r="146" spans="2:2">
      <c r="B146" s="42"/>
    </row>
    <row r="147" spans="2:2">
      <c r="B147" s="42"/>
    </row>
    <row r="148" spans="2:2">
      <c r="B148" s="42"/>
    </row>
    <row r="149" spans="2:2">
      <c r="B149" s="42"/>
    </row>
    <row r="150" spans="2:2">
      <c r="B150" s="42"/>
    </row>
    <row r="151" spans="2:2">
      <c r="B151" s="42"/>
    </row>
    <row r="152" spans="2:2">
      <c r="B152" s="42"/>
    </row>
    <row r="153" spans="2:2">
      <c r="B153" s="42"/>
    </row>
    <row r="154" spans="2:2">
      <c r="B154" s="42"/>
    </row>
    <row r="155" spans="2:2">
      <c r="B155" s="42"/>
    </row>
    <row r="156" spans="2:2">
      <c r="B156" s="42"/>
    </row>
    <row r="157" spans="2:2">
      <c r="B157" s="42"/>
    </row>
    <row r="158" spans="2:2">
      <c r="B158" s="42"/>
    </row>
    <row r="159" spans="2:2">
      <c r="B159" s="42"/>
    </row>
    <row r="160" spans="2:2">
      <c r="B160" s="42"/>
    </row>
    <row r="161" spans="2:2">
      <c r="B161" s="42"/>
    </row>
    <row r="162" spans="2:2">
      <c r="B162" s="42"/>
    </row>
    <row r="163" spans="2:2">
      <c r="B163" s="42"/>
    </row>
    <row r="164" spans="2:2">
      <c r="B164" s="42"/>
    </row>
    <row r="165" spans="2:2">
      <c r="B165" s="42"/>
    </row>
    <row r="166" spans="2:2">
      <c r="B166" s="42"/>
    </row>
    <row r="167" spans="2:2">
      <c r="B167" s="42"/>
    </row>
    <row r="168" spans="2:2">
      <c r="B168" s="42"/>
    </row>
    <row r="169" spans="2:2">
      <c r="B169" s="42"/>
    </row>
    <row r="170" spans="2:2">
      <c r="B170" s="42"/>
    </row>
    <row r="171" spans="2:2">
      <c r="B171" s="42"/>
    </row>
    <row r="172" spans="2:2">
      <c r="B172" s="42"/>
    </row>
    <row r="173" spans="2:2">
      <c r="B173" s="42"/>
    </row>
    <row r="174" spans="2:2">
      <c r="B174" s="42"/>
    </row>
    <row r="175" spans="2:2">
      <c r="B175" s="42"/>
    </row>
    <row r="176" spans="2:2">
      <c r="B176" s="42"/>
    </row>
    <row r="177" spans="2:2">
      <c r="B177" s="42"/>
    </row>
    <row r="178" spans="2:2">
      <c r="B178" s="42"/>
    </row>
    <row r="179" spans="2:2">
      <c r="B179" s="42"/>
    </row>
    <row r="180" spans="2:2">
      <c r="B180" s="42"/>
    </row>
    <row r="181" spans="2:2">
      <c r="B181" s="42"/>
    </row>
    <row r="182" spans="2:2">
      <c r="B182" s="42"/>
    </row>
    <row r="183" spans="2:2">
      <c r="B183" s="42"/>
    </row>
    <row r="184" spans="2:2">
      <c r="B184" s="42"/>
    </row>
    <row r="185" spans="2:2">
      <c r="B185" s="42"/>
    </row>
    <row r="186" spans="2:2">
      <c r="B186" s="42"/>
    </row>
    <row r="187" spans="2:2">
      <c r="B187" s="42"/>
    </row>
    <row r="188" spans="2:2">
      <c r="B188" s="42"/>
    </row>
    <row r="189" spans="2:2">
      <c r="B189" s="42"/>
    </row>
    <row r="190" spans="2:2">
      <c r="B190" s="42"/>
    </row>
    <row r="191" spans="2:2">
      <c r="B191" s="42"/>
    </row>
    <row r="192" spans="2:2">
      <c r="B192" s="42"/>
    </row>
    <row r="193" spans="2:2">
      <c r="B193" s="42"/>
    </row>
    <row r="194" spans="2:2">
      <c r="B194" s="42"/>
    </row>
    <row r="195" spans="2:2">
      <c r="B195" s="42"/>
    </row>
    <row r="196" spans="2:2">
      <c r="B196" s="42"/>
    </row>
    <row r="197" spans="2:2">
      <c r="B197" s="42"/>
    </row>
    <row r="198" spans="2:2">
      <c r="B198" s="42"/>
    </row>
    <row r="199" spans="2:2">
      <c r="B199" s="42"/>
    </row>
    <row r="200" spans="2:2">
      <c r="B200" s="42"/>
    </row>
    <row r="201" spans="2:2">
      <c r="B201" s="42"/>
    </row>
    <row r="202" spans="2:2">
      <c r="B202" s="42"/>
    </row>
    <row r="203" spans="2:2">
      <c r="B203" s="42"/>
    </row>
    <row r="204" spans="2:2">
      <c r="B204" s="42"/>
    </row>
    <row r="205" spans="2:2">
      <c r="B205" s="42"/>
    </row>
    <row r="206" spans="2:2">
      <c r="B206" s="42"/>
    </row>
    <row r="207" spans="2:2">
      <c r="B207" s="42"/>
    </row>
    <row r="208" spans="2:2">
      <c r="B208" s="42"/>
    </row>
    <row r="209" spans="2:2">
      <c r="B209" s="42"/>
    </row>
    <row r="210" spans="2:2">
      <c r="B210" s="42"/>
    </row>
    <row r="211" spans="2:2">
      <c r="B211" s="42"/>
    </row>
    <row r="212" spans="2:2">
      <c r="B212" s="42"/>
    </row>
    <row r="213" spans="2:2">
      <c r="B213" s="42"/>
    </row>
    <row r="214" spans="2:2">
      <c r="B214" s="42"/>
    </row>
    <row r="215" spans="2:2">
      <c r="B215" s="42"/>
    </row>
    <row r="216" spans="2:2">
      <c r="B216" s="42"/>
    </row>
    <row r="217" spans="2:2">
      <c r="B217" s="42"/>
    </row>
    <row r="218" spans="2:2">
      <c r="B218" s="42"/>
    </row>
    <row r="219" spans="2:2">
      <c r="B219" s="42"/>
    </row>
    <row r="220" spans="2:2">
      <c r="B220" s="42"/>
    </row>
    <row r="221" spans="2:2">
      <c r="B221" s="42"/>
    </row>
    <row r="222" spans="2:2">
      <c r="B222" s="42"/>
    </row>
    <row r="223" spans="2:2">
      <c r="B223" s="42"/>
    </row>
    <row r="224" spans="2:2">
      <c r="B224" s="42"/>
    </row>
    <row r="225" spans="2:2">
      <c r="B225" s="42"/>
    </row>
    <row r="226" spans="2:2">
      <c r="B226" s="42"/>
    </row>
    <row r="227" spans="2:2">
      <c r="B227" s="42"/>
    </row>
    <row r="228" spans="2:2">
      <c r="B228" s="42"/>
    </row>
    <row r="229" spans="2:2">
      <c r="B229" s="42"/>
    </row>
    <row r="230" spans="2:2">
      <c r="B230" s="42"/>
    </row>
    <row r="231" spans="2:2">
      <c r="B231" s="42"/>
    </row>
    <row r="232" spans="2:2">
      <c r="B232" s="42"/>
    </row>
    <row r="233" spans="2:2">
      <c r="B233" s="42"/>
    </row>
    <row r="234" spans="2:2">
      <c r="B234" s="42"/>
    </row>
    <row r="235" spans="2:2">
      <c r="B235" s="42"/>
    </row>
    <row r="236" spans="2:2">
      <c r="B236" s="42"/>
    </row>
    <row r="237" spans="2:2">
      <c r="B237" s="42"/>
    </row>
    <row r="238" spans="2:2">
      <c r="B238" s="42"/>
    </row>
    <row r="239" spans="2:2">
      <c r="B239" s="42"/>
    </row>
    <row r="240" spans="2:2">
      <c r="B240" s="42"/>
    </row>
    <row r="241" spans="2:2">
      <c r="B241" s="42"/>
    </row>
    <row r="242" spans="2:2">
      <c r="B242" s="42"/>
    </row>
    <row r="243" spans="2:2">
      <c r="B243" s="42"/>
    </row>
    <row r="244" spans="2:2">
      <c r="B244" s="42"/>
    </row>
    <row r="245" spans="2:2">
      <c r="B245" s="42"/>
    </row>
    <row r="246" spans="2:2">
      <c r="B246" s="42"/>
    </row>
    <row r="247" spans="2:2">
      <c r="B247" s="42"/>
    </row>
    <row r="248" spans="2:2">
      <c r="B248" s="42"/>
    </row>
    <row r="249" spans="2:2">
      <c r="B249" s="42"/>
    </row>
    <row r="250" spans="2:2">
      <c r="B250" s="42"/>
    </row>
    <row r="251" spans="2:2">
      <c r="B251" s="42"/>
    </row>
    <row r="252" spans="2:2">
      <c r="B252" s="42"/>
    </row>
    <row r="253" spans="2:2">
      <c r="B253" s="42"/>
    </row>
    <row r="254" spans="2:2">
      <c r="B254" s="42"/>
    </row>
    <row r="255" spans="2:2">
      <c r="B255" s="42"/>
    </row>
    <row r="256" spans="2:2">
      <c r="B256" s="42"/>
    </row>
    <row r="257" spans="2:2">
      <c r="B257" s="42"/>
    </row>
    <row r="258" spans="2:2">
      <c r="B258" s="42"/>
    </row>
    <row r="259" spans="2:2">
      <c r="B259" s="42"/>
    </row>
    <row r="260" spans="2:2">
      <c r="B260" s="42"/>
    </row>
    <row r="261" spans="2:2">
      <c r="B261" s="42"/>
    </row>
    <row r="262" spans="2:2">
      <c r="B262" s="42"/>
    </row>
    <row r="263" spans="2:2">
      <c r="B263" s="42"/>
    </row>
    <row r="264" spans="2:2">
      <c r="B264" s="42"/>
    </row>
    <row r="265" spans="2:2">
      <c r="B265" s="42"/>
    </row>
    <row r="266" spans="2:2">
      <c r="B266" s="42"/>
    </row>
    <row r="267" spans="2:2">
      <c r="B267" s="42"/>
    </row>
    <row r="268" spans="2:2">
      <c r="B268" s="42"/>
    </row>
    <row r="269" spans="2:2">
      <c r="B269" s="42"/>
    </row>
    <row r="270" spans="2:2">
      <c r="B270" s="42"/>
    </row>
    <row r="271" spans="2:2">
      <c r="B271" s="42"/>
    </row>
    <row r="272" spans="2:2">
      <c r="B272" s="42"/>
    </row>
    <row r="273" spans="2:2">
      <c r="B273" s="42"/>
    </row>
    <row r="274" spans="2:2">
      <c r="B274" s="42"/>
    </row>
    <row r="275" spans="2:2">
      <c r="B275" s="42"/>
    </row>
    <row r="276" spans="2:2">
      <c r="B276" s="42"/>
    </row>
    <row r="277" spans="2:2">
      <c r="B277" s="42"/>
    </row>
    <row r="278" spans="2:2">
      <c r="B278" s="42"/>
    </row>
    <row r="279" spans="2:2">
      <c r="B279" s="42"/>
    </row>
    <row r="280" spans="2:2">
      <c r="B280" s="42"/>
    </row>
    <row r="281" spans="2:2">
      <c r="B281" s="42"/>
    </row>
    <row r="282" spans="2:2">
      <c r="B282" s="42"/>
    </row>
    <row r="283" spans="2:2">
      <c r="B283" s="42"/>
    </row>
    <row r="284" spans="2:2">
      <c r="B284" s="42"/>
    </row>
    <row r="285" spans="2:2">
      <c r="B285" s="42"/>
    </row>
    <row r="286" spans="2:2">
      <c r="B286" s="42"/>
    </row>
    <row r="287" spans="2:2">
      <c r="B287" s="42"/>
    </row>
    <row r="288" spans="2:2">
      <c r="B288" s="42"/>
    </row>
    <row r="289" spans="2:2">
      <c r="B289" s="42"/>
    </row>
    <row r="290" spans="2:2">
      <c r="B290" s="42"/>
    </row>
    <row r="291" spans="2:2">
      <c r="B291" s="42"/>
    </row>
    <row r="292" spans="2:2">
      <c r="B292" s="42"/>
    </row>
    <row r="293" spans="2:2">
      <c r="B293" s="42"/>
    </row>
    <row r="294" spans="2:2">
      <c r="B294" s="42"/>
    </row>
    <row r="295" spans="2:2">
      <c r="B295" s="42"/>
    </row>
    <row r="296" spans="2:2">
      <c r="B296" s="42"/>
    </row>
    <row r="297" spans="2:2">
      <c r="B297" s="42"/>
    </row>
    <row r="298" spans="2:2">
      <c r="B298" s="42"/>
    </row>
    <row r="299" spans="2:2">
      <c r="B299" s="42"/>
    </row>
    <row r="300" spans="2:2">
      <c r="B300" s="42"/>
    </row>
    <row r="301" spans="2:2">
      <c r="B301" s="42"/>
    </row>
    <row r="302" spans="2:2">
      <c r="B302" s="42"/>
    </row>
    <row r="303" spans="2:2">
      <c r="B303" s="42"/>
    </row>
    <row r="304" spans="2:2">
      <c r="B304" s="42"/>
    </row>
    <row r="305" spans="2:2">
      <c r="B305" s="42"/>
    </row>
    <row r="306" spans="2:2">
      <c r="B306" s="42"/>
    </row>
    <row r="307" spans="2:2">
      <c r="B307" s="42"/>
    </row>
    <row r="308" spans="2:2">
      <c r="B308" s="42"/>
    </row>
    <row r="309" spans="2:2">
      <c r="B309" s="42"/>
    </row>
    <row r="310" spans="2:2">
      <c r="B310" s="42"/>
    </row>
    <row r="311" spans="2:2">
      <c r="B311" s="42"/>
    </row>
    <row r="312" spans="2:2">
      <c r="B312" s="42"/>
    </row>
    <row r="313" spans="2:2">
      <c r="B313" s="42"/>
    </row>
    <row r="314" spans="2:2">
      <c r="B314" s="42"/>
    </row>
    <row r="315" spans="2:2">
      <c r="B315" s="42"/>
    </row>
    <row r="316" spans="2:2">
      <c r="B316" s="42"/>
    </row>
    <row r="317" spans="2:2">
      <c r="B317" s="42"/>
    </row>
    <row r="318" spans="2:2">
      <c r="B318" s="42"/>
    </row>
    <row r="319" spans="2:2">
      <c r="B319" s="42"/>
    </row>
    <row r="320" spans="2:2">
      <c r="B320" s="42"/>
    </row>
    <row r="321" spans="2:2">
      <c r="B321" s="42"/>
    </row>
    <row r="322" spans="2:2">
      <c r="B322" s="42"/>
    </row>
    <row r="323" spans="2:2">
      <c r="B323" s="42"/>
    </row>
    <row r="324" spans="2:2">
      <c r="B324" s="42"/>
    </row>
    <row r="325" spans="2:2">
      <c r="B325" s="42"/>
    </row>
    <row r="326" spans="2:2">
      <c r="B326" s="42"/>
    </row>
    <row r="327" spans="2:2">
      <c r="B327" s="42"/>
    </row>
    <row r="328" spans="2:2">
      <c r="B328" s="42"/>
    </row>
    <row r="329" spans="2:2">
      <c r="B329" s="42"/>
    </row>
    <row r="330" spans="2:2">
      <c r="B330" s="42"/>
    </row>
    <row r="331" spans="2:2">
      <c r="B331" s="42"/>
    </row>
    <row r="332" spans="2:2">
      <c r="B332" s="42"/>
    </row>
    <row r="333" spans="2:2">
      <c r="B333" s="42"/>
    </row>
    <row r="334" spans="2:2">
      <c r="B334" s="42"/>
    </row>
    <row r="335" spans="2:2">
      <c r="B335" s="42"/>
    </row>
    <row r="336" spans="2:2">
      <c r="B336" s="42"/>
    </row>
    <row r="337" spans="2:2">
      <c r="B337" s="42"/>
    </row>
    <row r="338" spans="2:2">
      <c r="B338" s="42"/>
    </row>
    <row r="339" spans="2:2">
      <c r="B339" s="42"/>
    </row>
    <row r="340" spans="2:2">
      <c r="B340" s="42"/>
    </row>
    <row r="341" spans="2:2">
      <c r="B341" s="42"/>
    </row>
    <row r="342" spans="2:2">
      <c r="B342" s="42"/>
    </row>
    <row r="343" spans="2:2">
      <c r="B343" s="42"/>
    </row>
    <row r="344" spans="2:2">
      <c r="B344" s="42"/>
    </row>
    <row r="345" spans="2:2">
      <c r="B345" s="42"/>
    </row>
    <row r="346" spans="2:2">
      <c r="B346" s="42"/>
    </row>
    <row r="347" spans="2:2">
      <c r="B347" s="42"/>
    </row>
    <row r="348" spans="2:2">
      <c r="B348" s="42"/>
    </row>
    <row r="349" spans="2:2">
      <c r="B349" s="42"/>
    </row>
    <row r="350" spans="2:2">
      <c r="B350" s="42"/>
    </row>
    <row r="351" spans="2:2">
      <c r="B351" s="42"/>
    </row>
    <row r="352" spans="2:2">
      <c r="B352" s="42"/>
    </row>
    <row r="353" spans="2:2">
      <c r="B353" s="42"/>
    </row>
    <row r="354" spans="2:2">
      <c r="B354" s="42"/>
    </row>
    <row r="355" spans="2:2">
      <c r="B355" s="42"/>
    </row>
    <row r="356" spans="2:2">
      <c r="B356" s="42"/>
    </row>
    <row r="357" spans="2:2">
      <c r="B357" s="42"/>
    </row>
    <row r="358" spans="2:2">
      <c r="B358" s="42"/>
    </row>
    <row r="359" spans="2:2">
      <c r="B359" s="42"/>
    </row>
    <row r="360" spans="2:2">
      <c r="B360" s="42"/>
    </row>
    <row r="361" spans="2:2">
      <c r="B361" s="42"/>
    </row>
    <row r="362" spans="2:2">
      <c r="B362" s="42"/>
    </row>
    <row r="363" spans="2:2">
      <c r="B363" s="42"/>
    </row>
    <row r="364" spans="2:2">
      <c r="B364" s="42"/>
    </row>
    <row r="365" spans="2:2">
      <c r="B365" s="42"/>
    </row>
    <row r="366" spans="2:2">
      <c r="B366" s="42"/>
    </row>
    <row r="367" spans="2:2">
      <c r="B367" s="42"/>
    </row>
    <row r="368" spans="2:2">
      <c r="B368" s="42"/>
    </row>
    <row r="369" spans="2:2">
      <c r="B369" s="42"/>
    </row>
    <row r="370" spans="2:2">
      <c r="B370" s="42"/>
    </row>
    <row r="371" spans="2:2">
      <c r="B371" s="42"/>
    </row>
    <row r="372" spans="2:2">
      <c r="B372" s="42"/>
    </row>
    <row r="373" spans="2:2">
      <c r="B373" s="42"/>
    </row>
    <row r="374" spans="2:2">
      <c r="B374" s="42"/>
    </row>
    <row r="375" spans="2:2">
      <c r="B375" s="42"/>
    </row>
    <row r="376" spans="2:2">
      <c r="B376" s="42"/>
    </row>
    <row r="377" spans="2:2">
      <c r="B377" s="42"/>
    </row>
    <row r="378" spans="2:2">
      <c r="B378" s="42"/>
    </row>
    <row r="379" spans="2:2">
      <c r="B379" s="42"/>
    </row>
    <row r="380" spans="2:2">
      <c r="B380" s="42"/>
    </row>
    <row r="381" spans="2:2">
      <c r="B381" s="42"/>
    </row>
    <row r="382" spans="2:2">
      <c r="B382" s="42"/>
    </row>
    <row r="383" spans="2:2">
      <c r="B383" s="42"/>
    </row>
    <row r="384" spans="2:2">
      <c r="B384" s="42"/>
    </row>
    <row r="385" spans="2:2">
      <c r="B385" s="42"/>
    </row>
    <row r="386" spans="2:2">
      <c r="B386" s="42"/>
    </row>
    <row r="387" spans="2:2">
      <c r="B387" s="42"/>
    </row>
    <row r="388" spans="2:2">
      <c r="B388" s="42"/>
    </row>
    <row r="389" spans="2:2">
      <c r="B389" s="42"/>
    </row>
    <row r="390" spans="2:2">
      <c r="B390" s="42"/>
    </row>
    <row r="391" spans="2:2">
      <c r="B391" s="42"/>
    </row>
    <row r="392" spans="2:2">
      <c r="B392" s="42"/>
    </row>
    <row r="393" spans="2:2">
      <c r="B393" s="42"/>
    </row>
    <row r="394" spans="2:2">
      <c r="B394" s="42"/>
    </row>
    <row r="395" spans="2:2">
      <c r="B395" s="42"/>
    </row>
    <row r="396" spans="2:2">
      <c r="B396" s="42"/>
    </row>
    <row r="397" spans="2:2">
      <c r="B397" s="42"/>
    </row>
    <row r="398" spans="2:2">
      <c r="B398" s="42"/>
    </row>
    <row r="399" spans="2:2">
      <c r="B399" s="42"/>
    </row>
    <row r="400" spans="2:2">
      <c r="B400" s="42"/>
    </row>
    <row r="401" spans="2:2">
      <c r="B401" s="42"/>
    </row>
    <row r="402" spans="2:2">
      <c r="B402" s="42"/>
    </row>
    <row r="403" spans="2:2">
      <c r="B403" s="42"/>
    </row>
    <row r="404" spans="2:2">
      <c r="B404" s="42"/>
    </row>
    <row r="405" spans="2:2">
      <c r="B405" s="42"/>
    </row>
    <row r="406" spans="2:2">
      <c r="B406" s="42"/>
    </row>
    <row r="407" spans="2:2">
      <c r="B407" s="42"/>
    </row>
    <row r="408" spans="2:2">
      <c r="B408" s="42"/>
    </row>
    <row r="409" spans="2:2">
      <c r="B409" s="42"/>
    </row>
    <row r="410" spans="2:2">
      <c r="B410" s="42"/>
    </row>
    <row r="411" spans="2:2">
      <c r="B411" s="42"/>
    </row>
    <row r="412" spans="2:2">
      <c r="B412" s="42"/>
    </row>
    <row r="413" spans="2:2">
      <c r="B413" s="42"/>
    </row>
    <row r="414" spans="2:2">
      <c r="B414" s="42"/>
    </row>
    <row r="415" spans="2:2">
      <c r="B415" s="42"/>
    </row>
    <row r="416" spans="2:2">
      <c r="B416" s="42"/>
    </row>
    <row r="417" spans="2:2">
      <c r="B417" s="42"/>
    </row>
    <row r="418" spans="2:2">
      <c r="B418" s="42"/>
    </row>
    <row r="419" spans="2:2">
      <c r="B419" s="42"/>
    </row>
    <row r="420" spans="2:2">
      <c r="B420" s="42"/>
    </row>
    <row r="421" spans="2:2">
      <c r="B421" s="42"/>
    </row>
    <row r="422" spans="2:2">
      <c r="B422" s="42"/>
    </row>
    <row r="423" spans="2:2">
      <c r="B423" s="42"/>
    </row>
    <row r="424" spans="2:2">
      <c r="B424" s="42"/>
    </row>
    <row r="425" spans="2:2">
      <c r="B425" s="42"/>
    </row>
    <row r="426" spans="2:2">
      <c r="B426" s="42"/>
    </row>
    <row r="427" spans="2:2">
      <c r="B427" s="42"/>
    </row>
    <row r="428" spans="2:2">
      <c r="B428" s="42"/>
    </row>
    <row r="429" spans="2:2">
      <c r="B429" s="42"/>
    </row>
    <row r="430" spans="2:2">
      <c r="B430" s="42"/>
    </row>
    <row r="431" spans="2:2">
      <c r="B431" s="42"/>
    </row>
    <row r="432" spans="2:2">
      <c r="B432" s="42"/>
    </row>
    <row r="433" spans="2:2">
      <c r="B433" s="42"/>
    </row>
    <row r="434" spans="2:2">
      <c r="B434" s="42"/>
    </row>
    <row r="435" spans="2:2">
      <c r="B435" s="42"/>
    </row>
    <row r="436" spans="2:2">
      <c r="B436" s="42"/>
    </row>
    <row r="437" spans="2:2">
      <c r="B437" s="42"/>
    </row>
    <row r="438" spans="2:2">
      <c r="B438" s="42"/>
    </row>
    <row r="439" spans="2:2">
      <c r="B439" s="42"/>
    </row>
    <row r="440" spans="2:2">
      <c r="B440" s="42"/>
    </row>
    <row r="441" spans="2:2">
      <c r="B441" s="42"/>
    </row>
    <row r="442" spans="2:2">
      <c r="B442" s="42"/>
    </row>
    <row r="443" spans="2:2">
      <c r="B443" s="42"/>
    </row>
    <row r="444" spans="2:2">
      <c r="B444" s="42"/>
    </row>
    <row r="445" spans="2:2">
      <c r="B445" s="42"/>
    </row>
    <row r="446" spans="2:2">
      <c r="B446" s="42"/>
    </row>
    <row r="447" spans="2:2">
      <c r="B447" s="42"/>
    </row>
    <row r="448" spans="2:2">
      <c r="B448" s="42"/>
    </row>
    <row r="449" spans="2:2">
      <c r="B449" s="42"/>
    </row>
    <row r="450" spans="2:2">
      <c r="B450" s="42"/>
    </row>
    <row r="451" spans="2:2">
      <c r="B451" s="42"/>
    </row>
    <row r="452" spans="2:2">
      <c r="B452" s="42"/>
    </row>
    <row r="453" spans="2:2">
      <c r="B453" s="42"/>
    </row>
    <row r="454" spans="2:2">
      <c r="B454" s="42"/>
    </row>
    <row r="455" spans="2:2">
      <c r="B455" s="42"/>
    </row>
    <row r="456" spans="2:2">
      <c r="B456" s="42"/>
    </row>
    <row r="457" spans="2:2">
      <c r="B457" s="42"/>
    </row>
    <row r="458" spans="2:2">
      <c r="B458" s="42"/>
    </row>
    <row r="459" spans="2:2">
      <c r="B459" s="42"/>
    </row>
    <row r="460" spans="2:2">
      <c r="B460" s="42"/>
    </row>
    <row r="461" spans="2:2">
      <c r="B461" s="42"/>
    </row>
    <row r="462" spans="2:2">
      <c r="B462" s="42"/>
    </row>
    <row r="463" spans="2:2">
      <c r="B463" s="42"/>
    </row>
    <row r="464" spans="2:2">
      <c r="B464" s="42"/>
    </row>
    <row r="465" spans="2:2">
      <c r="B465" s="42"/>
    </row>
    <row r="466" spans="2:2">
      <c r="B466" s="42"/>
    </row>
    <row r="467" spans="2:2">
      <c r="B467" s="42"/>
    </row>
    <row r="468" spans="2:2">
      <c r="B468" s="42"/>
    </row>
    <row r="469" spans="2:2">
      <c r="B469" s="42"/>
    </row>
    <row r="470" spans="2:2">
      <c r="B470" s="42"/>
    </row>
    <row r="471" spans="2:2">
      <c r="B471" s="42"/>
    </row>
    <row r="472" spans="2:2">
      <c r="B472" s="42"/>
    </row>
    <row r="473" spans="2:2">
      <c r="B473" s="42"/>
    </row>
    <row r="474" spans="2:2">
      <c r="B474" s="42"/>
    </row>
    <row r="475" spans="2:2">
      <c r="B475" s="42"/>
    </row>
    <row r="476" spans="2:2">
      <c r="B476" s="42"/>
    </row>
    <row r="477" spans="2:2">
      <c r="B477" s="42"/>
    </row>
    <row r="478" spans="2:2">
      <c r="B478" s="42"/>
    </row>
    <row r="479" spans="2:2">
      <c r="B479" s="42"/>
    </row>
    <row r="480" spans="2:2">
      <c r="B480" s="42"/>
    </row>
    <row r="481" spans="2:2">
      <c r="B481" s="42"/>
    </row>
    <row r="482" spans="2:2">
      <c r="B482" s="42"/>
    </row>
    <row r="483" spans="2:2">
      <c r="B483" s="42"/>
    </row>
    <row r="484" spans="2:2">
      <c r="B484" s="42"/>
    </row>
    <row r="485" spans="2:2">
      <c r="B485" s="42"/>
    </row>
    <row r="486" spans="2:2">
      <c r="B486" s="42"/>
    </row>
    <row r="487" spans="2:2">
      <c r="B487" s="42"/>
    </row>
    <row r="488" spans="2:2">
      <c r="B488" s="42"/>
    </row>
    <row r="489" spans="2:2">
      <c r="B489" s="42"/>
    </row>
    <row r="490" spans="2:2">
      <c r="B490" s="42"/>
    </row>
    <row r="491" spans="2:2">
      <c r="B491" s="42"/>
    </row>
    <row r="492" spans="2:2">
      <c r="B492" s="42"/>
    </row>
    <row r="493" spans="2:2">
      <c r="B493" s="42"/>
    </row>
    <row r="494" spans="2:2">
      <c r="B494" s="42"/>
    </row>
    <row r="495" spans="2:2">
      <c r="B495" s="42"/>
    </row>
    <row r="496" spans="2:2">
      <c r="B496" s="42"/>
    </row>
    <row r="497" spans="2:2">
      <c r="B497" s="42"/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>
  <dimension ref="A1:AF497"/>
  <sheetViews>
    <sheetView zoomScale="70" zoomScaleNormal="70" workbookViewId="0">
      <selection activeCell="B4" sqref="B4:AF9"/>
    </sheetView>
  </sheetViews>
  <sheetFormatPr defaultColWidth="5.7109375" defaultRowHeight="15"/>
  <cols>
    <col min="1" max="1" width="11.5703125" customWidth="1"/>
    <col min="2" max="32" width="7.7109375" style="43" customWidth="1"/>
    <col min="33" max="33" width="12.7109375" customWidth="1"/>
    <col min="257" max="257" width="11.5703125" customWidth="1"/>
    <col min="258" max="288" width="7.7109375" customWidth="1"/>
    <col min="289" max="289" width="12.7109375" customWidth="1"/>
    <col min="513" max="513" width="11.5703125" customWidth="1"/>
    <col min="514" max="544" width="7.7109375" customWidth="1"/>
    <col min="545" max="545" width="12.7109375" customWidth="1"/>
    <col min="769" max="769" width="11.5703125" customWidth="1"/>
    <col min="770" max="800" width="7.7109375" customWidth="1"/>
    <col min="801" max="801" width="12.7109375" customWidth="1"/>
    <col min="1025" max="1025" width="11.5703125" customWidth="1"/>
    <col min="1026" max="1056" width="7.7109375" customWidth="1"/>
    <col min="1057" max="1057" width="12.7109375" customWidth="1"/>
    <col min="1281" max="1281" width="11.5703125" customWidth="1"/>
    <col min="1282" max="1312" width="7.7109375" customWidth="1"/>
    <col min="1313" max="1313" width="12.7109375" customWidth="1"/>
    <col min="1537" max="1537" width="11.5703125" customWidth="1"/>
    <col min="1538" max="1568" width="7.7109375" customWidth="1"/>
    <col min="1569" max="1569" width="12.7109375" customWidth="1"/>
    <col min="1793" max="1793" width="11.5703125" customWidth="1"/>
    <col min="1794" max="1824" width="7.7109375" customWidth="1"/>
    <col min="1825" max="1825" width="12.7109375" customWidth="1"/>
    <col min="2049" max="2049" width="11.5703125" customWidth="1"/>
    <col min="2050" max="2080" width="7.7109375" customWidth="1"/>
    <col min="2081" max="2081" width="12.7109375" customWidth="1"/>
    <col min="2305" max="2305" width="11.5703125" customWidth="1"/>
    <col min="2306" max="2336" width="7.7109375" customWidth="1"/>
    <col min="2337" max="2337" width="12.7109375" customWidth="1"/>
    <col min="2561" max="2561" width="11.5703125" customWidth="1"/>
    <col min="2562" max="2592" width="7.7109375" customWidth="1"/>
    <col min="2593" max="2593" width="12.7109375" customWidth="1"/>
    <col min="2817" max="2817" width="11.5703125" customWidth="1"/>
    <col min="2818" max="2848" width="7.7109375" customWidth="1"/>
    <col min="2849" max="2849" width="12.7109375" customWidth="1"/>
    <col min="3073" max="3073" width="11.5703125" customWidth="1"/>
    <col min="3074" max="3104" width="7.7109375" customWidth="1"/>
    <col min="3105" max="3105" width="12.7109375" customWidth="1"/>
    <col min="3329" max="3329" width="11.5703125" customWidth="1"/>
    <col min="3330" max="3360" width="7.7109375" customWidth="1"/>
    <col min="3361" max="3361" width="12.7109375" customWidth="1"/>
    <col min="3585" max="3585" width="11.5703125" customWidth="1"/>
    <col min="3586" max="3616" width="7.7109375" customWidth="1"/>
    <col min="3617" max="3617" width="12.7109375" customWidth="1"/>
    <col min="3841" max="3841" width="11.5703125" customWidth="1"/>
    <col min="3842" max="3872" width="7.7109375" customWidth="1"/>
    <col min="3873" max="3873" width="12.7109375" customWidth="1"/>
    <col min="4097" max="4097" width="11.5703125" customWidth="1"/>
    <col min="4098" max="4128" width="7.7109375" customWidth="1"/>
    <col min="4129" max="4129" width="12.7109375" customWidth="1"/>
    <col min="4353" max="4353" width="11.5703125" customWidth="1"/>
    <col min="4354" max="4384" width="7.7109375" customWidth="1"/>
    <col min="4385" max="4385" width="12.7109375" customWidth="1"/>
    <col min="4609" max="4609" width="11.5703125" customWidth="1"/>
    <col min="4610" max="4640" width="7.7109375" customWidth="1"/>
    <col min="4641" max="4641" width="12.7109375" customWidth="1"/>
    <col min="4865" max="4865" width="11.5703125" customWidth="1"/>
    <col min="4866" max="4896" width="7.7109375" customWidth="1"/>
    <col min="4897" max="4897" width="12.7109375" customWidth="1"/>
    <col min="5121" max="5121" width="11.5703125" customWidth="1"/>
    <col min="5122" max="5152" width="7.7109375" customWidth="1"/>
    <col min="5153" max="5153" width="12.7109375" customWidth="1"/>
    <col min="5377" max="5377" width="11.5703125" customWidth="1"/>
    <col min="5378" max="5408" width="7.7109375" customWidth="1"/>
    <col min="5409" max="5409" width="12.7109375" customWidth="1"/>
    <col min="5633" max="5633" width="11.5703125" customWidth="1"/>
    <col min="5634" max="5664" width="7.7109375" customWidth="1"/>
    <col min="5665" max="5665" width="12.7109375" customWidth="1"/>
    <col min="5889" max="5889" width="11.5703125" customWidth="1"/>
    <col min="5890" max="5920" width="7.7109375" customWidth="1"/>
    <col min="5921" max="5921" width="12.7109375" customWidth="1"/>
    <col min="6145" max="6145" width="11.5703125" customWidth="1"/>
    <col min="6146" max="6176" width="7.7109375" customWidth="1"/>
    <col min="6177" max="6177" width="12.7109375" customWidth="1"/>
    <col min="6401" max="6401" width="11.5703125" customWidth="1"/>
    <col min="6402" max="6432" width="7.7109375" customWidth="1"/>
    <col min="6433" max="6433" width="12.7109375" customWidth="1"/>
    <col min="6657" max="6657" width="11.5703125" customWidth="1"/>
    <col min="6658" max="6688" width="7.7109375" customWidth="1"/>
    <col min="6689" max="6689" width="12.7109375" customWidth="1"/>
    <col min="6913" max="6913" width="11.5703125" customWidth="1"/>
    <col min="6914" max="6944" width="7.7109375" customWidth="1"/>
    <col min="6945" max="6945" width="12.7109375" customWidth="1"/>
    <col min="7169" max="7169" width="11.5703125" customWidth="1"/>
    <col min="7170" max="7200" width="7.7109375" customWidth="1"/>
    <col min="7201" max="7201" width="12.7109375" customWidth="1"/>
    <col min="7425" max="7425" width="11.5703125" customWidth="1"/>
    <col min="7426" max="7456" width="7.7109375" customWidth="1"/>
    <col min="7457" max="7457" width="12.7109375" customWidth="1"/>
    <col min="7681" max="7681" width="11.5703125" customWidth="1"/>
    <col min="7682" max="7712" width="7.7109375" customWidth="1"/>
    <col min="7713" max="7713" width="12.7109375" customWidth="1"/>
    <col min="7937" max="7937" width="11.5703125" customWidth="1"/>
    <col min="7938" max="7968" width="7.7109375" customWidth="1"/>
    <col min="7969" max="7969" width="12.7109375" customWidth="1"/>
    <col min="8193" max="8193" width="11.5703125" customWidth="1"/>
    <col min="8194" max="8224" width="7.7109375" customWidth="1"/>
    <col min="8225" max="8225" width="12.7109375" customWidth="1"/>
    <col min="8449" max="8449" width="11.5703125" customWidth="1"/>
    <col min="8450" max="8480" width="7.7109375" customWidth="1"/>
    <col min="8481" max="8481" width="12.7109375" customWidth="1"/>
    <col min="8705" max="8705" width="11.5703125" customWidth="1"/>
    <col min="8706" max="8736" width="7.7109375" customWidth="1"/>
    <col min="8737" max="8737" width="12.7109375" customWidth="1"/>
    <col min="8961" max="8961" width="11.5703125" customWidth="1"/>
    <col min="8962" max="8992" width="7.7109375" customWidth="1"/>
    <col min="8993" max="8993" width="12.7109375" customWidth="1"/>
    <col min="9217" max="9217" width="11.5703125" customWidth="1"/>
    <col min="9218" max="9248" width="7.7109375" customWidth="1"/>
    <col min="9249" max="9249" width="12.7109375" customWidth="1"/>
    <col min="9473" max="9473" width="11.5703125" customWidth="1"/>
    <col min="9474" max="9504" width="7.7109375" customWidth="1"/>
    <col min="9505" max="9505" width="12.7109375" customWidth="1"/>
    <col min="9729" max="9729" width="11.5703125" customWidth="1"/>
    <col min="9730" max="9760" width="7.7109375" customWidth="1"/>
    <col min="9761" max="9761" width="12.7109375" customWidth="1"/>
    <col min="9985" max="9985" width="11.5703125" customWidth="1"/>
    <col min="9986" max="10016" width="7.7109375" customWidth="1"/>
    <col min="10017" max="10017" width="12.7109375" customWidth="1"/>
    <col min="10241" max="10241" width="11.5703125" customWidth="1"/>
    <col min="10242" max="10272" width="7.7109375" customWidth="1"/>
    <col min="10273" max="10273" width="12.7109375" customWidth="1"/>
    <col min="10497" max="10497" width="11.5703125" customWidth="1"/>
    <col min="10498" max="10528" width="7.7109375" customWidth="1"/>
    <col min="10529" max="10529" width="12.7109375" customWidth="1"/>
    <col min="10753" max="10753" width="11.5703125" customWidth="1"/>
    <col min="10754" max="10784" width="7.7109375" customWidth="1"/>
    <col min="10785" max="10785" width="12.7109375" customWidth="1"/>
    <col min="11009" max="11009" width="11.5703125" customWidth="1"/>
    <col min="11010" max="11040" width="7.7109375" customWidth="1"/>
    <col min="11041" max="11041" width="12.7109375" customWidth="1"/>
    <col min="11265" max="11265" width="11.5703125" customWidth="1"/>
    <col min="11266" max="11296" width="7.7109375" customWidth="1"/>
    <col min="11297" max="11297" width="12.7109375" customWidth="1"/>
    <col min="11521" max="11521" width="11.5703125" customWidth="1"/>
    <col min="11522" max="11552" width="7.7109375" customWidth="1"/>
    <col min="11553" max="11553" width="12.7109375" customWidth="1"/>
    <col min="11777" max="11777" width="11.5703125" customWidth="1"/>
    <col min="11778" max="11808" width="7.7109375" customWidth="1"/>
    <col min="11809" max="11809" width="12.7109375" customWidth="1"/>
    <col min="12033" max="12033" width="11.5703125" customWidth="1"/>
    <col min="12034" max="12064" width="7.7109375" customWidth="1"/>
    <col min="12065" max="12065" width="12.7109375" customWidth="1"/>
    <col min="12289" max="12289" width="11.5703125" customWidth="1"/>
    <col min="12290" max="12320" width="7.7109375" customWidth="1"/>
    <col min="12321" max="12321" width="12.7109375" customWidth="1"/>
    <col min="12545" max="12545" width="11.5703125" customWidth="1"/>
    <col min="12546" max="12576" width="7.7109375" customWidth="1"/>
    <col min="12577" max="12577" width="12.7109375" customWidth="1"/>
    <col min="12801" max="12801" width="11.5703125" customWidth="1"/>
    <col min="12802" max="12832" width="7.7109375" customWidth="1"/>
    <col min="12833" max="12833" width="12.7109375" customWidth="1"/>
    <col min="13057" max="13057" width="11.5703125" customWidth="1"/>
    <col min="13058" max="13088" width="7.7109375" customWidth="1"/>
    <col min="13089" max="13089" width="12.7109375" customWidth="1"/>
    <col min="13313" max="13313" width="11.5703125" customWidth="1"/>
    <col min="13314" max="13344" width="7.7109375" customWidth="1"/>
    <col min="13345" max="13345" width="12.7109375" customWidth="1"/>
    <col min="13569" max="13569" width="11.5703125" customWidth="1"/>
    <col min="13570" max="13600" width="7.7109375" customWidth="1"/>
    <col min="13601" max="13601" width="12.7109375" customWidth="1"/>
    <col min="13825" max="13825" width="11.5703125" customWidth="1"/>
    <col min="13826" max="13856" width="7.7109375" customWidth="1"/>
    <col min="13857" max="13857" width="12.7109375" customWidth="1"/>
    <col min="14081" max="14081" width="11.5703125" customWidth="1"/>
    <col min="14082" max="14112" width="7.7109375" customWidth="1"/>
    <col min="14113" max="14113" width="12.7109375" customWidth="1"/>
    <col min="14337" max="14337" width="11.5703125" customWidth="1"/>
    <col min="14338" max="14368" width="7.7109375" customWidth="1"/>
    <col min="14369" max="14369" width="12.7109375" customWidth="1"/>
    <col min="14593" max="14593" width="11.5703125" customWidth="1"/>
    <col min="14594" max="14624" width="7.7109375" customWidth="1"/>
    <col min="14625" max="14625" width="12.7109375" customWidth="1"/>
    <col min="14849" max="14849" width="11.5703125" customWidth="1"/>
    <col min="14850" max="14880" width="7.7109375" customWidth="1"/>
    <col min="14881" max="14881" width="12.7109375" customWidth="1"/>
    <col min="15105" max="15105" width="11.5703125" customWidth="1"/>
    <col min="15106" max="15136" width="7.7109375" customWidth="1"/>
    <col min="15137" max="15137" width="12.7109375" customWidth="1"/>
    <col min="15361" max="15361" width="11.5703125" customWidth="1"/>
    <col min="15362" max="15392" width="7.7109375" customWidth="1"/>
    <col min="15393" max="15393" width="12.7109375" customWidth="1"/>
    <col min="15617" max="15617" width="11.5703125" customWidth="1"/>
    <col min="15618" max="15648" width="7.7109375" customWidth="1"/>
    <col min="15649" max="15649" width="12.7109375" customWidth="1"/>
    <col min="15873" max="15873" width="11.5703125" customWidth="1"/>
    <col min="15874" max="15904" width="7.7109375" customWidth="1"/>
    <col min="15905" max="15905" width="12.7109375" customWidth="1"/>
    <col min="16129" max="16129" width="11.5703125" customWidth="1"/>
    <col min="16130" max="16160" width="7.7109375" customWidth="1"/>
    <col min="16161" max="16161" width="12.7109375" customWidth="1"/>
  </cols>
  <sheetData>
    <row r="1" spans="1:32" ht="18">
      <c r="A1" s="1"/>
      <c r="B1" s="2" t="str">
        <f>'[11]Dia 1 (b)'!C1</f>
        <v>NOVEMBRO de 2023</v>
      </c>
      <c r="C1" s="3"/>
      <c r="D1" s="4"/>
      <c r="E1" s="5"/>
      <c r="F1" s="2"/>
      <c r="G1" s="3"/>
      <c r="H1" s="3"/>
      <c r="I1" s="3"/>
      <c r="J1" s="3"/>
      <c r="K1" s="3" t="s">
        <v>0</v>
      </c>
      <c r="L1" s="3"/>
      <c r="M1" s="3"/>
      <c r="N1" s="6"/>
      <c r="O1" s="7"/>
      <c r="P1" s="8"/>
      <c r="Q1" s="7"/>
      <c r="R1" s="7"/>
      <c r="S1" s="7"/>
      <c r="T1" s="7"/>
      <c r="U1" s="7"/>
      <c r="V1" s="9"/>
      <c r="W1" s="3"/>
      <c r="X1" s="3"/>
      <c r="Y1" s="3"/>
      <c r="Z1" s="3"/>
      <c r="AA1" s="3"/>
      <c r="AB1" s="3"/>
      <c r="AC1" s="3"/>
      <c r="AD1" s="3"/>
      <c r="AE1" s="3"/>
      <c r="AF1" s="3"/>
    </row>
    <row r="2" spans="1:32" ht="15.75" thickBot="1">
      <c r="A2" s="1"/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</row>
    <row r="3" spans="1:32" ht="20.100000000000001" customHeight="1" thickBot="1">
      <c r="A3" s="10" t="s">
        <v>1</v>
      </c>
      <c r="B3" s="11">
        <v>1</v>
      </c>
      <c r="C3" s="11">
        <v>2</v>
      </c>
      <c r="D3" s="11">
        <v>3</v>
      </c>
      <c r="E3" s="11">
        <v>4</v>
      </c>
      <c r="F3" s="11">
        <v>5</v>
      </c>
      <c r="G3" s="11">
        <v>6</v>
      </c>
      <c r="H3" s="11">
        <v>7</v>
      </c>
      <c r="I3" s="11">
        <v>8</v>
      </c>
      <c r="J3" s="11">
        <v>9</v>
      </c>
      <c r="K3" s="11">
        <v>10</v>
      </c>
      <c r="L3" s="11">
        <v>11</v>
      </c>
      <c r="M3" s="11">
        <v>12</v>
      </c>
      <c r="N3" s="11">
        <v>13</v>
      </c>
      <c r="O3" s="11">
        <v>14</v>
      </c>
      <c r="P3" s="11">
        <v>15</v>
      </c>
      <c r="Q3" s="11">
        <v>16</v>
      </c>
      <c r="R3" s="11">
        <v>17</v>
      </c>
      <c r="S3" s="11">
        <v>18</v>
      </c>
      <c r="T3" s="11">
        <v>19</v>
      </c>
      <c r="U3" s="11">
        <v>20</v>
      </c>
      <c r="V3" s="11">
        <v>21</v>
      </c>
      <c r="W3" s="11">
        <v>22</v>
      </c>
      <c r="X3" s="11">
        <v>23</v>
      </c>
      <c r="Y3" s="11">
        <v>24</v>
      </c>
      <c r="Z3" s="12">
        <v>25</v>
      </c>
      <c r="AA3" s="12">
        <v>26</v>
      </c>
      <c r="AB3" s="12">
        <v>27</v>
      </c>
      <c r="AC3" s="12">
        <v>28</v>
      </c>
      <c r="AD3" s="12">
        <v>29</v>
      </c>
      <c r="AE3" s="12">
        <v>30</v>
      </c>
      <c r="AF3" s="13"/>
    </row>
    <row r="4" spans="1:32" ht="20.100000000000001" customHeight="1">
      <c r="A4" s="14">
        <v>1</v>
      </c>
      <c r="B4" s="59"/>
      <c r="C4" s="59"/>
      <c r="D4" s="59"/>
      <c r="E4" s="59"/>
      <c r="F4" s="59"/>
      <c r="G4" s="59"/>
      <c r="H4" s="59"/>
      <c r="I4" s="59"/>
      <c r="J4" s="59"/>
      <c r="K4" s="59"/>
      <c r="L4" s="59"/>
      <c r="M4" s="59"/>
      <c r="N4" s="59"/>
      <c r="O4" s="59"/>
      <c r="P4" s="59"/>
      <c r="Q4" s="59"/>
      <c r="R4" s="59"/>
      <c r="S4" s="59"/>
      <c r="T4" s="59"/>
      <c r="U4" s="59"/>
      <c r="V4" s="59"/>
      <c r="W4" s="59"/>
      <c r="X4" s="59"/>
      <c r="Y4" s="59"/>
      <c r="Z4" s="59"/>
      <c r="AA4" s="59"/>
      <c r="AB4" s="59"/>
      <c r="AC4" s="59"/>
      <c r="AD4" s="59"/>
      <c r="AE4" s="59"/>
      <c r="AF4" s="59"/>
    </row>
    <row r="5" spans="1:32" ht="20.100000000000001" customHeight="1">
      <c r="A5" s="14">
        <v>2</v>
      </c>
      <c r="B5" s="59"/>
      <c r="C5" s="59"/>
      <c r="D5" s="59"/>
      <c r="E5" s="59"/>
      <c r="F5" s="59"/>
      <c r="G5" s="59"/>
      <c r="H5" s="59"/>
      <c r="I5" s="59"/>
      <c r="J5" s="59"/>
      <c r="K5" s="59"/>
      <c r="L5" s="59"/>
      <c r="M5" s="59"/>
      <c r="N5" s="59"/>
      <c r="O5" s="59"/>
      <c r="P5" s="59"/>
      <c r="Q5" s="59"/>
      <c r="R5" s="59"/>
      <c r="S5" s="59"/>
      <c r="T5" s="59"/>
      <c r="U5" s="59"/>
      <c r="V5" s="59"/>
      <c r="W5" s="59"/>
      <c r="X5" s="59"/>
      <c r="Y5" s="59"/>
      <c r="Z5" s="59"/>
      <c r="AA5" s="59"/>
      <c r="AB5" s="59"/>
      <c r="AC5" s="59"/>
      <c r="AD5" s="59"/>
      <c r="AE5" s="59"/>
      <c r="AF5" s="59"/>
    </row>
    <row r="6" spans="1:32" ht="20.100000000000001" customHeight="1">
      <c r="A6" s="14">
        <v>3</v>
      </c>
      <c r="B6" s="59"/>
      <c r="C6" s="59"/>
      <c r="D6" s="59"/>
      <c r="E6" s="59"/>
      <c r="F6" s="59"/>
      <c r="G6" s="59"/>
      <c r="H6" s="59"/>
      <c r="I6" s="59"/>
      <c r="J6" s="59"/>
      <c r="K6" s="59"/>
      <c r="L6" s="59"/>
      <c r="M6" s="59"/>
      <c r="N6" s="59"/>
      <c r="O6" s="59"/>
      <c r="P6" s="59"/>
      <c r="Q6" s="59"/>
      <c r="R6" s="59"/>
      <c r="S6" s="59"/>
      <c r="T6" s="59"/>
      <c r="U6" s="59"/>
      <c r="V6" s="59"/>
      <c r="W6" s="59"/>
      <c r="X6" s="59"/>
      <c r="Y6" s="59"/>
      <c r="Z6" s="59"/>
      <c r="AA6" s="59"/>
      <c r="AB6" s="59"/>
      <c r="AC6" s="59"/>
      <c r="AD6" s="59"/>
      <c r="AE6" s="59"/>
      <c r="AF6" s="59"/>
    </row>
    <row r="7" spans="1:32" ht="20.100000000000001" customHeight="1">
      <c r="A7" s="14">
        <v>4</v>
      </c>
      <c r="B7" s="59"/>
      <c r="C7" s="59"/>
      <c r="D7" s="59"/>
      <c r="E7" s="59"/>
      <c r="F7" s="59"/>
      <c r="G7" s="59"/>
      <c r="H7" s="59"/>
      <c r="I7" s="59"/>
      <c r="J7" s="59"/>
      <c r="K7" s="59"/>
      <c r="L7" s="59"/>
      <c r="M7" s="59"/>
      <c r="N7" s="59"/>
      <c r="O7" s="59"/>
      <c r="P7" s="59"/>
      <c r="Q7" s="59"/>
      <c r="R7" s="59"/>
      <c r="S7" s="59"/>
      <c r="T7" s="59"/>
      <c r="U7" s="59"/>
      <c r="V7" s="59"/>
      <c r="W7" s="59"/>
      <c r="X7" s="59"/>
      <c r="Y7" s="59"/>
      <c r="Z7" s="59"/>
      <c r="AA7" s="59"/>
      <c r="AB7" s="59"/>
      <c r="AC7" s="59"/>
      <c r="AD7" s="59"/>
      <c r="AE7" s="59"/>
      <c r="AF7" s="59"/>
    </row>
    <row r="8" spans="1:32" ht="20.100000000000001" customHeight="1">
      <c r="A8" s="14">
        <v>5</v>
      </c>
      <c r="B8" s="59"/>
      <c r="C8" s="59"/>
      <c r="D8" s="59"/>
      <c r="E8" s="59"/>
      <c r="F8" s="59"/>
      <c r="G8" s="59"/>
      <c r="H8" s="59"/>
      <c r="I8" s="59"/>
      <c r="J8" s="59"/>
      <c r="K8" s="59"/>
      <c r="L8" s="59"/>
      <c r="M8" s="59"/>
      <c r="N8" s="59"/>
      <c r="O8" s="59"/>
      <c r="P8" s="59"/>
      <c r="Q8" s="59"/>
      <c r="R8" s="59"/>
      <c r="S8" s="59"/>
      <c r="T8" s="59"/>
      <c r="U8" s="59"/>
      <c r="V8" s="59"/>
      <c r="W8" s="59"/>
      <c r="X8" s="59"/>
      <c r="Y8" s="59"/>
      <c r="Z8" s="59"/>
      <c r="AA8" s="59"/>
      <c r="AB8" s="59"/>
      <c r="AC8" s="59"/>
      <c r="AD8" s="59"/>
      <c r="AE8" s="59"/>
      <c r="AF8" s="59"/>
    </row>
    <row r="9" spans="1:32" ht="20.100000000000001" customHeight="1">
      <c r="A9" s="14">
        <v>6</v>
      </c>
      <c r="B9" s="59"/>
      <c r="C9" s="59"/>
      <c r="D9" s="59"/>
      <c r="E9" s="59"/>
      <c r="F9" s="59"/>
      <c r="G9" s="59"/>
      <c r="H9" s="59"/>
      <c r="I9" s="59"/>
      <c r="J9" s="59"/>
      <c r="K9" s="59"/>
      <c r="L9" s="59"/>
      <c r="M9" s="59"/>
      <c r="N9" s="59"/>
      <c r="O9" s="59"/>
      <c r="P9" s="59"/>
      <c r="Q9" s="59"/>
      <c r="R9" s="59"/>
      <c r="S9" s="59"/>
      <c r="T9" s="59"/>
      <c r="U9" s="59"/>
      <c r="V9" s="59"/>
      <c r="W9" s="59"/>
      <c r="X9" s="59"/>
      <c r="Y9" s="59"/>
      <c r="Z9" s="59"/>
      <c r="AA9" s="59"/>
      <c r="AB9" s="59"/>
      <c r="AC9" s="59"/>
      <c r="AD9" s="59"/>
      <c r="AE9" s="59"/>
      <c r="AF9" s="59"/>
    </row>
    <row r="10" spans="1:32" ht="20.100000000000001" customHeight="1">
      <c r="A10" s="14">
        <v>7</v>
      </c>
      <c r="B10" s="15">
        <f>'[11]Dia 1 (b)'!$X16</f>
        <v>13.265627392233394</v>
      </c>
      <c r="C10" s="15">
        <f>'[11]Dia 2 (b)'!$X16</f>
        <v>11.928298365640895</v>
      </c>
      <c r="D10" s="15">
        <f>'[11]Dia 3 (b)'!$X16</f>
        <v>14.5162051241994</v>
      </c>
      <c r="E10" s="15">
        <f>'[11]Dia 4 (b)'!$X16</f>
        <v>13.101742711357405</v>
      </c>
      <c r="F10" s="15">
        <f>'[11]Dia 5 (b)'!$X16</f>
        <v>8.7809212137515438</v>
      </c>
      <c r="G10" s="15">
        <f>'[11]Dia 6 (b)'!$X16</f>
        <v>8.0780329856670541</v>
      </c>
      <c r="H10" s="15">
        <f>'[11]Dia 7 (b)'!$X16</f>
        <v>9.9127605228752298</v>
      </c>
      <c r="I10" s="15">
        <f>'[11]Dia 8 (b)'!$X16</f>
        <v>10.955448030831967</v>
      </c>
      <c r="J10" s="15">
        <f>'[11]Dia 9 (b)'!$X16</f>
        <v>11.598628773065091</v>
      </c>
      <c r="K10" s="15">
        <f>'[11]Dia 10 (b)'!$X16</f>
        <v>13.566972599194177</v>
      </c>
      <c r="L10" s="15">
        <f>'[11]Dia 11 (b)'!$X16</f>
        <v>15.062683889551236</v>
      </c>
      <c r="M10" s="15">
        <f>'[11]Dia 12 (b)'!$X16</f>
        <v>16.835135341761283</v>
      </c>
      <c r="N10" s="15">
        <f>'[11]Dia 13 (b)'!$X16</f>
        <v>14.201097556426356</v>
      </c>
      <c r="O10" s="15">
        <f>'[11]Dia 14 (b)'!$X16</f>
        <v>15.677099471964507</v>
      </c>
      <c r="P10" s="15">
        <f>'[11]Dia 15 (b)'!$X16</f>
        <v>16.548857258187152</v>
      </c>
      <c r="Q10" s="15">
        <f>'[11]Dia 16 (b)'!$X16</f>
        <v>15.888199102309029</v>
      </c>
      <c r="R10" s="15">
        <f>'[11]Dia 17 (b)'!$X16</f>
        <v>15.025281260758746</v>
      </c>
      <c r="S10" s="15">
        <f>'[11]Dia 18 (b)'!$X16</f>
        <v>15.75075513357446</v>
      </c>
      <c r="T10" s="15">
        <f>'[11]Dia 19 (b)'!$X16</f>
        <v>16.697198483877507</v>
      </c>
      <c r="U10" s="15">
        <f>'[11]Dia 20 (b)'!$X16</f>
        <v>14.554002210942166</v>
      </c>
      <c r="V10" s="15">
        <f>'[11]Dia 21 (b)'!$X16</f>
        <v>15.064099808030512</v>
      </c>
      <c r="W10" s="15">
        <f>'[11]Dia 22 (b)'!$X16</f>
        <v>16.60521334765313</v>
      </c>
      <c r="X10" s="15">
        <f>'[11]Dia 23 (b)'!$X16</f>
        <v>16.446589842874946</v>
      </c>
      <c r="Y10" s="15">
        <f>'[11]Dia 24 (b)'!$X16</f>
        <v>14.028875788055156</v>
      </c>
      <c r="Z10" s="15">
        <f>'[11]Dia 25 (b)'!$X16</f>
        <v>10.131706171610166</v>
      </c>
      <c r="AA10" s="15">
        <f>'[11]Dia 26 (b)'!$X16</f>
        <v>11.53414584437491</v>
      </c>
      <c r="AB10" s="15">
        <f>'[11]Dia 27 (b)'!$X16</f>
        <v>13.068569780201555</v>
      </c>
      <c r="AC10" s="15">
        <f>'[11]Dia 28 (b)'!$X16</f>
        <v>15.395633715506428</v>
      </c>
      <c r="AD10" s="15">
        <f>'[11]Dia 29 (b)'!$X16</f>
        <v>15.101030897178912</v>
      </c>
      <c r="AE10" s="15">
        <f>'[11]Dia 30 (b)'!$X16</f>
        <v>14.90687118736235</v>
      </c>
      <c r="AF10" s="15"/>
    </row>
    <row r="11" spans="1:32" ht="20.100000000000001" customHeight="1">
      <c r="A11" s="14">
        <v>8</v>
      </c>
      <c r="B11" s="15">
        <f>'[11]Dia 1 (b)'!$X17</f>
        <v>13.659549768276475</v>
      </c>
      <c r="C11" s="15">
        <f>'[11]Dia 2 (b)'!$X17</f>
        <v>11.998609386724846</v>
      </c>
      <c r="D11" s="15">
        <f>'[11]Dia 3 (b)'!$X17</f>
        <v>15.148874987668467</v>
      </c>
      <c r="E11" s="15">
        <f>'[11]Dia 4 (b)'!$X17</f>
        <v>13.3142533558201</v>
      </c>
      <c r="F11" s="15">
        <f>'[11]Dia 5 (b)'!$X17</f>
        <v>9.1601354594900464</v>
      </c>
      <c r="G11" s="15">
        <f>'[11]Dia 6 (b)'!$X17</f>
        <v>7.8273804126561997</v>
      </c>
      <c r="H11" s="15">
        <f>'[11]Dia 7 (b)'!$X17</f>
        <v>10.109169288518673</v>
      </c>
      <c r="I11" s="15">
        <f>'[11]Dia 8 (b)'!$X17</f>
        <v>10.913645746106605</v>
      </c>
      <c r="J11" s="15">
        <f>'[11]Dia 9 (b)'!$X17</f>
        <v>11.226854369285226</v>
      </c>
      <c r="K11" s="15">
        <f>'[11]Dia 10 (b)'!$X17</f>
        <v>13.022109100919149</v>
      </c>
      <c r="L11" s="15">
        <f>'[11]Dia 11 (b)'!$X17</f>
        <v>15.230442143648899</v>
      </c>
      <c r="M11" s="15">
        <f>'[11]Dia 12 (b)'!$X17</f>
        <v>16.191029466105199</v>
      </c>
      <c r="N11" s="15">
        <f>'[11]Dia 13 (b)'!$X17</f>
        <v>14.143301262629993</v>
      </c>
      <c r="O11" s="15">
        <f>'[11]Dia 14 (b)'!$X17</f>
        <v>15.658147724246403</v>
      </c>
      <c r="P11" s="15">
        <f>'[11]Dia 15 (b)'!$X17</f>
        <v>16.199881450811933</v>
      </c>
      <c r="Q11" s="15">
        <f>'[11]Dia 16 (b)'!$X17</f>
        <v>14.485188284878843</v>
      </c>
      <c r="R11" s="15">
        <f>'[11]Dia 17 (b)'!$X17</f>
        <v>15.613200400115133</v>
      </c>
      <c r="S11" s="15">
        <f>'[11]Dia 18 (b)'!$X17</f>
        <v>14.939424309893983</v>
      </c>
      <c r="T11" s="15">
        <f>'[11]Dia 19 (b)'!$X17</f>
        <v>16.683265878108518</v>
      </c>
      <c r="U11" s="15">
        <f>'[11]Dia 20 (b)'!$X17</f>
        <v>15.053334245564804</v>
      </c>
      <c r="V11" s="15">
        <f>'[11]Dia 21 (b)'!$X17</f>
        <v>15.203834275572991</v>
      </c>
      <c r="W11" s="15">
        <f>'[11]Dia 22 (b)'!$X17</f>
        <v>16.706735967310021</v>
      </c>
      <c r="X11" s="15">
        <f>'[11]Dia 23 (b)'!$X17</f>
        <v>16.328706264017562</v>
      </c>
      <c r="Y11" s="15">
        <f>'[11]Dia 24 (b)'!$X17</f>
        <v>13.974988472051756</v>
      </c>
      <c r="Z11" s="15">
        <f>'[11]Dia 25 (b)'!$X17</f>
        <v>10.336664190595583</v>
      </c>
      <c r="AA11" s="15">
        <f>'[11]Dia 26 (b)'!$X17</f>
        <v>11.551170789788708</v>
      </c>
      <c r="AB11" s="15">
        <f>'[11]Dia 27 (b)'!$X17</f>
        <v>13.0649524793397</v>
      </c>
      <c r="AC11" s="15">
        <f>'[11]Dia 28 (b)'!$X17</f>
        <v>15.351015210617382</v>
      </c>
      <c r="AD11" s="15">
        <f>'[11]Dia 29 (b)'!$X17</f>
        <v>14.970392834807326</v>
      </c>
      <c r="AE11" s="15">
        <f>'[11]Dia 30 (b)'!$X17</f>
        <v>14.930657069549886</v>
      </c>
      <c r="AF11" s="15"/>
    </row>
    <row r="12" spans="1:32" ht="20.100000000000001" customHeight="1">
      <c r="A12" s="14">
        <v>9</v>
      </c>
      <c r="B12" s="15">
        <f>'[11]Dia 1 (b)'!$X18</f>
        <v>13.31507516563175</v>
      </c>
      <c r="C12" s="15">
        <f>'[11]Dia 2 (b)'!$X18</f>
        <v>11.94277597099976</v>
      </c>
      <c r="D12" s="15">
        <f>'[11]Dia 3 (b)'!$X18</f>
        <v>15.159823622734226</v>
      </c>
      <c r="E12" s="15">
        <f>'[11]Dia 4 (b)'!$X18</f>
        <v>12.299368574677365</v>
      </c>
      <c r="F12" s="15">
        <f>'[11]Dia 5 (b)'!$X18</f>
        <v>9.1364511450770021</v>
      </c>
      <c r="G12" s="15">
        <f>'[11]Dia 6 (b)'!$X18</f>
        <v>7.8815643960246149</v>
      </c>
      <c r="H12" s="15">
        <f>'[11]Dia 7 (b)'!$X18</f>
        <v>9.9464561810586645</v>
      </c>
      <c r="I12" s="15">
        <f>'[11]Dia 8 (b)'!$X18</f>
        <v>10.947913586584781</v>
      </c>
      <c r="J12" s="15">
        <f>'[11]Dia 9 (b)'!$X18</f>
        <v>11.024115678262934</v>
      </c>
      <c r="K12" s="15">
        <f>'[11]Dia 10 (b)'!$X18</f>
        <v>11.653481814008877</v>
      </c>
      <c r="L12" s="15">
        <f>'[11]Dia 11 (b)'!$X18</f>
        <v>14.163339720091564</v>
      </c>
      <c r="M12" s="15">
        <f>'[11]Dia 12 (b)'!$X18</f>
        <v>11.795845790241147</v>
      </c>
      <c r="N12" s="15">
        <f>'[11]Dia 13 (b)'!$X18</f>
        <v>13.17630005372132</v>
      </c>
      <c r="O12" s="15">
        <f>'[11]Dia 14 (b)'!$X18</f>
        <v>15.379501992259094</v>
      </c>
      <c r="P12" s="15">
        <f>'[11]Dia 15 (b)'!$X18</f>
        <v>16.735545048705362</v>
      </c>
      <c r="Q12" s="15">
        <f>'[11]Dia 16 (b)'!$X18</f>
        <v>14.6049162985199</v>
      </c>
      <c r="R12" s="15">
        <f>'[11]Dia 17 (b)'!$X18</f>
        <v>15.477384159984265</v>
      </c>
      <c r="S12" s="15">
        <f>'[11]Dia 18 (b)'!$X18</f>
        <v>15.289057081139461</v>
      </c>
      <c r="T12" s="15">
        <f>'[11]Dia 19 (b)'!$X18</f>
        <v>16.042106024483477</v>
      </c>
      <c r="U12" s="15">
        <f>'[11]Dia 20 (b)'!$X18</f>
        <v>15.075109090890125</v>
      </c>
      <c r="V12" s="15">
        <f>'[11]Dia 21 (b)'!$X18</f>
        <v>15.143725060235116</v>
      </c>
      <c r="W12" s="15">
        <f>'[11]Dia 22 (b)'!$X18</f>
        <v>16.645914335615686</v>
      </c>
      <c r="X12" s="15">
        <f>'[11]Dia 23 (b)'!$X18</f>
        <v>16.913628436611592</v>
      </c>
      <c r="Y12" s="15">
        <f>'[11]Dia 24 (b)'!$X18</f>
        <v>13.529466571684223</v>
      </c>
      <c r="Z12" s="15">
        <f>'[11]Dia 25 (b)'!$X18</f>
        <v>11.033413264993071</v>
      </c>
      <c r="AA12" s="15">
        <f>'[11]Dia 26 (b)'!$X18</f>
        <v>11.615914057413914</v>
      </c>
      <c r="AB12" s="15">
        <f>'[11]Dia 27 (b)'!$X18</f>
        <v>13.889563600885861</v>
      </c>
      <c r="AC12" s="15">
        <f>'[11]Dia 28 (b)'!$X18</f>
        <v>15.628316911406902</v>
      </c>
      <c r="AD12" s="15">
        <f>'[11]Dia 29 (b)'!$X18</f>
        <v>15.069433028419878</v>
      </c>
      <c r="AE12" s="15">
        <f>'[11]Dia 30 (b)'!$X18</f>
        <v>15.335251733357374</v>
      </c>
      <c r="AF12" s="15"/>
    </row>
    <row r="13" spans="1:32" ht="20.100000000000001" customHeight="1">
      <c r="A13" s="14">
        <v>10</v>
      </c>
      <c r="B13" s="15">
        <f>'[11]Dia 1 (b)'!$X19</f>
        <v>13.284702599783031</v>
      </c>
      <c r="C13" s="15">
        <f>'[11]Dia 2 (b)'!$X19</f>
        <v>12.361398193345149</v>
      </c>
      <c r="D13" s="15">
        <f>'[11]Dia 3 (b)'!$X19</f>
        <v>15.65915801606535</v>
      </c>
      <c r="E13" s="15">
        <f>'[11]Dia 4 (b)'!$X19</f>
        <v>11.571145151759145</v>
      </c>
      <c r="F13" s="15">
        <f>'[11]Dia 5 (b)'!$X19</f>
        <v>8.7185482041942883</v>
      </c>
      <c r="G13" s="15">
        <f>'[11]Dia 6 (b)'!$X19</f>
        <v>8.4657536359996826</v>
      </c>
      <c r="H13" s="15">
        <f>'[11]Dia 7 (b)'!$X19</f>
        <v>10.36589327198449</v>
      </c>
      <c r="I13" s="15">
        <f>'[11]Dia 8 (b)'!$X19</f>
        <v>10.574220719443499</v>
      </c>
      <c r="J13" s="15">
        <f>'[11]Dia 9 (b)'!$X19</f>
        <v>10.508345082809539</v>
      </c>
      <c r="K13" s="15">
        <f>'[11]Dia 10 (b)'!$X19</f>
        <v>12.662477858051684</v>
      </c>
      <c r="L13" s="15">
        <f>'[11]Dia 11 (b)'!$X19</f>
        <v>13.306173789026573</v>
      </c>
      <c r="M13" s="15">
        <f>'[11]Dia 12 (b)'!$X19</f>
        <v>10.99694980603886</v>
      </c>
      <c r="N13" s="15">
        <f>'[11]Dia 13 (b)'!$X19</f>
        <v>11.896600466713798</v>
      </c>
      <c r="O13" s="15">
        <f>'[11]Dia 14 (b)'!$X19</f>
        <v>13.945857204215629</v>
      </c>
      <c r="P13" s="15">
        <f>'[11]Dia 15 (b)'!$X19</f>
        <v>16.636831831802244</v>
      </c>
      <c r="Q13" s="15">
        <f>'[11]Dia 16 (b)'!$X19</f>
        <v>13.557641917329208</v>
      </c>
      <c r="R13" s="15">
        <f>'[11]Dia 17 (b)'!$X19</f>
        <v>15.527742988357636</v>
      </c>
      <c r="S13" s="15">
        <f>'[11]Dia 18 (b)'!$X19</f>
        <v>15.229138975464895</v>
      </c>
      <c r="T13" s="15">
        <f>'[11]Dia 19 (b)'!$X19</f>
        <v>15.787359910043266</v>
      </c>
      <c r="U13" s="15">
        <f>'[11]Dia 20 (b)'!$X19</f>
        <v>15.417005648370717</v>
      </c>
      <c r="V13" s="15">
        <f>'[11]Dia 21 (b)'!$X19</f>
        <v>15.342249639980045</v>
      </c>
      <c r="W13" s="15">
        <f>'[11]Dia 22 (b)'!$X19</f>
        <v>16.189501894568796</v>
      </c>
      <c r="X13" s="15">
        <f>'[11]Dia 23 (b)'!$X19</f>
        <v>18.082868287730914</v>
      </c>
      <c r="Y13" s="15">
        <f>'[11]Dia 24 (b)'!$X19</f>
        <v>13.73737570469765</v>
      </c>
      <c r="Z13" s="15">
        <f>'[11]Dia 25 (b)'!$X19</f>
        <v>10.707981338567009</v>
      </c>
      <c r="AA13" s="15">
        <f>'[11]Dia 26 (b)'!$X19</f>
        <v>11.782586431496293</v>
      </c>
      <c r="AB13" s="15">
        <f>'[11]Dia 27 (b)'!$X19</f>
        <v>14.164895678748026</v>
      </c>
      <c r="AC13" s="15">
        <f>'[11]Dia 28 (b)'!$X19</f>
        <v>15.402575360011616</v>
      </c>
      <c r="AD13" s="15">
        <f>'[11]Dia 29 (b)'!$X19</f>
        <v>15.383483502672401</v>
      </c>
      <c r="AE13" s="15">
        <f>'[11]Dia 30 (b)'!$X19</f>
        <v>14.622081351657137</v>
      </c>
      <c r="AF13" s="15"/>
    </row>
    <row r="14" spans="1:32" ht="20.100000000000001" customHeight="1">
      <c r="A14" s="14">
        <v>11</v>
      </c>
      <c r="B14" s="15">
        <f>'[11]Dia 1 (b)'!$X20</f>
        <v>13.57654819646462</v>
      </c>
      <c r="C14" s="15">
        <f>'[11]Dia 2 (b)'!$X20</f>
        <v>12.038544423025778</v>
      </c>
      <c r="D14" s="15">
        <f>'[11]Dia 3 (b)'!$X20</f>
        <v>14.874879895821152</v>
      </c>
      <c r="E14" s="15">
        <f>'[11]Dia 4 (b)'!$X20</f>
        <v>11.368157116175462</v>
      </c>
      <c r="F14" s="15">
        <f>'[11]Dia 5 (b)'!$X20</f>
        <v>9.1763787259462575</v>
      </c>
      <c r="G14" s="15">
        <f>'[11]Dia 6 (b)'!$X20</f>
        <v>8.7079579642097347</v>
      </c>
      <c r="H14" s="15">
        <f>'[11]Dia 7 (b)'!$X20</f>
        <v>10.52175708982432</v>
      </c>
      <c r="I14" s="15">
        <f>'[11]Dia 8 (b)'!$X20</f>
        <v>10.479880080144108</v>
      </c>
      <c r="J14" s="15">
        <f>'[11]Dia 9 (b)'!$X20</f>
        <v>10.837744273272623</v>
      </c>
      <c r="K14" s="15">
        <f>'[11]Dia 10 (b)'!$X20</f>
        <v>12.97863580759569</v>
      </c>
      <c r="L14" s="15">
        <f>'[11]Dia 11 (b)'!$X20</f>
        <v>10.896571695503868</v>
      </c>
      <c r="M14" s="15">
        <f>'[11]Dia 12 (b)'!$X20</f>
        <v>10.44266086566954</v>
      </c>
      <c r="N14" s="15">
        <f>'[11]Dia 13 (b)'!$X20</f>
        <v>10.855755248040774</v>
      </c>
      <c r="O14" s="15">
        <f>'[11]Dia 14 (b)'!$X20</f>
        <v>12.253396274184281</v>
      </c>
      <c r="P14" s="15">
        <f>'[11]Dia 15 (b)'!$X20</f>
        <v>16.061689588935643</v>
      </c>
      <c r="Q14" s="15">
        <f>'[11]Dia 16 (b)'!$X20</f>
        <v>12.782586984053712</v>
      </c>
      <c r="R14" s="15">
        <f>'[11]Dia 17 (b)'!$X20</f>
        <v>14.90692133520546</v>
      </c>
      <c r="S14" s="15">
        <f>'[11]Dia 18 (b)'!$X20</f>
        <v>16.169532855248008</v>
      </c>
      <c r="T14" s="15">
        <f>'[11]Dia 19 (b)'!$X20</f>
        <v>15.126306502707585</v>
      </c>
      <c r="U14" s="15">
        <f>'[11]Dia 20 (b)'!$X20</f>
        <v>15.278644838857156</v>
      </c>
      <c r="V14" s="15">
        <f>'[11]Dia 21 (b)'!$X20</f>
        <v>15.860628111927978</v>
      </c>
      <c r="W14" s="15">
        <f>'[11]Dia 22 (b)'!$X20</f>
        <v>15.789439567272201</v>
      </c>
      <c r="X14" s="15">
        <f>'[11]Dia 23 (b)'!$X20</f>
        <v>17.495893342157199</v>
      </c>
      <c r="Y14" s="15">
        <f>'[11]Dia 24 (b)'!$X20</f>
        <v>13.000188380491716</v>
      </c>
      <c r="Z14" s="15">
        <f>'[11]Dia 25 (b)'!$X20</f>
        <v>11.00912506407664</v>
      </c>
      <c r="AA14" s="15">
        <f>'[11]Dia 26 (b)'!$X20</f>
        <v>12.389653911052621</v>
      </c>
      <c r="AB14" s="15">
        <f>'[11]Dia 27 (b)'!$X20</f>
        <v>13.543167026887856</v>
      </c>
      <c r="AC14" s="15">
        <f>'[11]Dia 28 (b)'!$X20</f>
        <v>16.161822687530954</v>
      </c>
      <c r="AD14" s="15">
        <f>'[11]Dia 29 (b)'!$X20</f>
        <v>15.425922463612636</v>
      </c>
      <c r="AE14" s="15">
        <f>'[11]Dia 30 (b)'!$X20</f>
        <v>15.582800397317433</v>
      </c>
      <c r="AF14" s="15"/>
    </row>
    <row r="15" spans="1:32" ht="20.100000000000001" customHeight="1">
      <c r="A15" s="14">
        <v>12</v>
      </c>
      <c r="B15" s="15">
        <f>'[11]Dia 1 (b)'!$X21</f>
        <v>13.791845963048232</v>
      </c>
      <c r="C15" s="15">
        <f>'[11]Dia 2 (b)'!$X21</f>
        <v>12.208414777882131</v>
      </c>
      <c r="D15" s="15">
        <f>'[11]Dia 3 (b)'!$X21</f>
        <v>15.338706910130718</v>
      </c>
      <c r="E15" s="15">
        <f>'[11]Dia 4 (b)'!$X21</f>
        <v>9.750769942141627</v>
      </c>
      <c r="F15" s="15">
        <f>'[11]Dia 5 (b)'!$X21</f>
        <v>9.7849202120664494</v>
      </c>
      <c r="G15" s="15">
        <f>'[11]Dia 6 (b)'!$X21</f>
        <v>9.62793228709101</v>
      </c>
      <c r="H15" s="15">
        <f>'[11]Dia 7 (b)'!$X21</f>
        <v>10.517712605621881</v>
      </c>
      <c r="I15" s="15">
        <f>'[11]Dia 8 (b)'!$X21</f>
        <v>9.7426242209394438</v>
      </c>
      <c r="J15" s="15">
        <f>'[11]Dia 9 (b)'!$X21</f>
        <v>12.260816796393245</v>
      </c>
      <c r="K15" s="15">
        <f>'[11]Dia 10 (b)'!$X21</f>
        <v>13.045188779154001</v>
      </c>
      <c r="L15" s="15">
        <f>'[11]Dia 11 (b)'!$X21</f>
        <v>10.61161252561774</v>
      </c>
      <c r="M15" s="15">
        <f>'[11]Dia 12 (b)'!$X21</f>
        <v>9.5970253477411696</v>
      </c>
      <c r="N15" s="15">
        <f>'[11]Dia 13 (b)'!$X21</f>
        <v>9.6670823994425295</v>
      </c>
      <c r="O15" s="15">
        <f>'[11]Dia 14 (b)'!$X21</f>
        <v>10.83889644728959</v>
      </c>
      <c r="P15" s="15">
        <f>'[11]Dia 15 (b)'!$X21</f>
        <v>15.794177111386327</v>
      </c>
      <c r="Q15" s="15">
        <f>'[11]Dia 16 (b)'!$X21</f>
        <v>13.951209335211493</v>
      </c>
      <c r="R15" s="15">
        <f>'[11]Dia 17 (b)'!$X21</f>
        <v>13.800724708070076</v>
      </c>
      <c r="S15" s="15">
        <f>'[11]Dia 18 (b)'!$X21</f>
        <v>15.563411542963344</v>
      </c>
      <c r="T15" s="15">
        <f>'[11]Dia 19 (b)'!$X21</f>
        <v>14.824538384445482</v>
      </c>
      <c r="U15" s="15">
        <f>'[11]Dia 20 (b)'!$X21</f>
        <v>15.516784357185452</v>
      </c>
      <c r="V15" s="15">
        <f>'[11]Dia 21 (b)'!$X21</f>
        <v>15.469638697754803</v>
      </c>
      <c r="W15" s="15">
        <f>'[11]Dia 22 (b)'!$X21</f>
        <v>16.050450161895139</v>
      </c>
      <c r="X15" s="15">
        <f>'[11]Dia 23 (b)'!$X21</f>
        <v>16.591659955046612</v>
      </c>
      <c r="Y15" s="15">
        <f>'[11]Dia 24 (b)'!$X21</f>
        <v>13.128447152433139</v>
      </c>
      <c r="Z15" s="15">
        <f>'[11]Dia 25 (b)'!$X21</f>
        <v>11.723003494042928</v>
      </c>
      <c r="AA15" s="15">
        <f>'[11]Dia 26 (b)'!$X21</f>
        <v>13.170592753856782</v>
      </c>
      <c r="AB15" s="15">
        <f>'[11]Dia 27 (b)'!$X21</f>
        <v>14.142309694496454</v>
      </c>
      <c r="AC15" s="15">
        <f>'[11]Dia 28 (b)'!$X21</f>
        <v>16.261617370775781</v>
      </c>
      <c r="AD15" s="15">
        <f>'[11]Dia 29 (b)'!$X21</f>
        <v>15.304913005431498</v>
      </c>
      <c r="AE15" s="15">
        <f>'[11]Dia 30 (b)'!$X21</f>
        <v>15.519768352727626</v>
      </c>
      <c r="AF15" s="15"/>
    </row>
    <row r="16" spans="1:32" ht="20.100000000000001" customHeight="1">
      <c r="A16" s="14">
        <v>13</v>
      </c>
      <c r="B16" s="15">
        <f>'[11]Dia 1 (b)'!$X22</f>
        <v>13.766898797088119</v>
      </c>
      <c r="C16" s="15">
        <f>'[11]Dia 2 (b)'!$X22</f>
        <v>12.731756470291151</v>
      </c>
      <c r="D16" s="15">
        <f>'[11]Dia 3 (b)'!$X22</f>
        <v>15.434144337072707</v>
      </c>
      <c r="E16" s="15">
        <f>'[11]Dia 4 (b)'!$X22</f>
        <v>9.6312432594892794</v>
      </c>
      <c r="F16" s="15">
        <f>'[11]Dia 5 (b)'!$X22</f>
        <v>10.090080772340185</v>
      </c>
      <c r="G16" s="15">
        <f>'[11]Dia 6 (b)'!$X22</f>
        <v>10.356729749112695</v>
      </c>
      <c r="H16" s="15">
        <f>'[11]Dia 7 (b)'!$X22</f>
        <v>9.7747542538134233</v>
      </c>
      <c r="I16" s="15">
        <f>'[11]Dia 8 (b)'!$X22</f>
        <v>9.5867962930667527</v>
      </c>
      <c r="J16" s="15">
        <f>'[11]Dia 9 (b)'!$X22</f>
        <v>11.962940924022822</v>
      </c>
      <c r="K16" s="15">
        <f>'[11]Dia 10 (b)'!$X22</f>
        <v>16.775287038656092</v>
      </c>
      <c r="L16" s="15">
        <f>'[11]Dia 11 (b)'!$X22</f>
        <v>10.023160673274395</v>
      </c>
      <c r="M16" s="15">
        <f>'[11]Dia 12 (b)'!$X22</f>
        <v>10.071237706496605</v>
      </c>
      <c r="N16" s="15">
        <f>'[11]Dia 13 (b)'!$X22</f>
        <v>9.0951955021317676</v>
      </c>
      <c r="O16" s="15">
        <f>'[11]Dia 14 (b)'!$X22</f>
        <v>10.748611426083389</v>
      </c>
      <c r="P16" s="15">
        <f>'[11]Dia 15 (b)'!$X22</f>
        <v>14.215964235423929</v>
      </c>
      <c r="Q16" s="15">
        <f>'[11]Dia 16 (b)'!$X22</f>
        <v>13.442098167188817</v>
      </c>
      <c r="R16" s="15">
        <f>'[11]Dia 17 (b)'!$X22</f>
        <v>14.048783837944491</v>
      </c>
      <c r="S16" s="15">
        <f>'[11]Dia 18 (b)'!$X22</f>
        <v>16.081324866102964</v>
      </c>
      <c r="T16" s="15">
        <f>'[11]Dia 19 (b)'!$X22</f>
        <v>15.119341000493687</v>
      </c>
      <c r="U16" s="15">
        <f>'[11]Dia 20 (b)'!$X22</f>
        <v>14.983326361908542</v>
      </c>
      <c r="V16" s="15">
        <f>'[11]Dia 21 (b)'!$X22</f>
        <v>15.387776039783054</v>
      </c>
      <c r="W16" s="15">
        <f>'[11]Dia 22 (b)'!$X22</f>
        <v>15.523664047714783</v>
      </c>
      <c r="X16" s="15">
        <f>'[11]Dia 23 (b)'!$X22</f>
        <v>15.654538762660852</v>
      </c>
      <c r="Y16" s="15">
        <f>'[11]Dia 24 (b)'!$X22</f>
        <v>12.711198311834952</v>
      </c>
      <c r="Z16" s="15">
        <f>'[11]Dia 25 (b)'!$X22</f>
        <v>10.727489818521004</v>
      </c>
      <c r="AA16" s="15">
        <f>'[11]Dia 26 (b)'!$X22</f>
        <v>12.385661307729032</v>
      </c>
      <c r="AB16" s="15">
        <f>'[11]Dia 27 (b)'!$X22</f>
        <v>15.044722029052</v>
      </c>
      <c r="AC16" s="15">
        <f>'[11]Dia 28 (b)'!$X22</f>
        <v>15.992838841560651</v>
      </c>
      <c r="AD16" s="15">
        <f>'[11]Dia 29 (b)'!$X22</f>
        <v>15.865662223151942</v>
      </c>
      <c r="AE16" s="15">
        <f>'[11]Dia 30 (b)'!$X22</f>
        <v>15.965754720426</v>
      </c>
      <c r="AF16" s="15"/>
    </row>
    <row r="17" spans="1:32" ht="20.100000000000001" customHeight="1">
      <c r="A17" s="14">
        <v>14</v>
      </c>
      <c r="B17" s="15">
        <f>'[11]Dia 1 (b)'!$X23</f>
        <v>13.610685140385494</v>
      </c>
      <c r="C17" s="15">
        <f>'[11]Dia 2 (b)'!$X23</f>
        <v>12.613132913661101</v>
      </c>
      <c r="D17" s="15">
        <f>'[11]Dia 3 (b)'!$X23</f>
        <v>16.471901869066354</v>
      </c>
      <c r="E17" s="15">
        <f>'[11]Dia 4 (b)'!$X23</f>
        <v>8.884607395137424</v>
      </c>
      <c r="F17" s="15">
        <f>'[11]Dia 5 (b)'!$X23</f>
        <v>10.312711373997653</v>
      </c>
      <c r="G17" s="15">
        <f>'[11]Dia 6 (b)'!$X23</f>
        <v>9.9553422816463026</v>
      </c>
      <c r="H17" s="15">
        <f>'[11]Dia 7 (b)'!$X23</f>
        <v>11.185614912718558</v>
      </c>
      <c r="I17" s="15">
        <f>'[11]Dia 8 (b)'!$X23</f>
        <v>8.3459895943502573</v>
      </c>
      <c r="J17" s="15">
        <f>'[11]Dia 9 (b)'!$X23</f>
        <v>12.680845974074771</v>
      </c>
      <c r="K17" s="15">
        <f>'[11]Dia 10 (b)'!$X23</f>
        <v>16.46707127433957</v>
      </c>
      <c r="L17" s="15">
        <f>'[11]Dia 11 (b)'!$X23</f>
        <v>10.764552472849822</v>
      </c>
      <c r="M17" s="15">
        <f>'[11]Dia 12 (b)'!$X23</f>
        <v>8.9150309175169085</v>
      </c>
      <c r="N17" s="15">
        <f>'[11]Dia 13 (b)'!$X23</f>
        <v>9.0401655540569088</v>
      </c>
      <c r="O17" s="15">
        <f>'[11]Dia 14 (b)'!$X23</f>
        <v>10.113344143063511</v>
      </c>
      <c r="P17" s="15">
        <f>'[11]Dia 15 (b)'!$X23</f>
        <v>13.391239066050497</v>
      </c>
      <c r="Q17" s="15">
        <f>'[11]Dia 16 (b)'!$X23</f>
        <v>13.214412314085575</v>
      </c>
      <c r="R17" s="15">
        <f>'[11]Dia 17 (b)'!$X23</f>
        <v>13.183608792223289</v>
      </c>
      <c r="S17" s="15">
        <f>'[11]Dia 18 (b)'!$X23</f>
        <v>15.7915373560547</v>
      </c>
      <c r="T17" s="15">
        <f>'[11]Dia 19 (b)'!$X23</f>
        <v>15.411187833921728</v>
      </c>
      <c r="U17" s="15">
        <f>'[11]Dia 20 (b)'!$X23</f>
        <v>15.022009387105946</v>
      </c>
      <c r="V17" s="15">
        <f>'[11]Dia 21 (b)'!$X23</f>
        <v>15.062432945435431</v>
      </c>
      <c r="W17" s="15">
        <f>'[11]Dia 22 (b)'!$X23</f>
        <v>15.897191913371049</v>
      </c>
      <c r="X17" s="15">
        <f>'[11]Dia 23 (b)'!$X23</f>
        <v>15.186106599552756</v>
      </c>
      <c r="Y17" s="15">
        <f>'[11]Dia 24 (b)'!$X23</f>
        <v>11.660102572599481</v>
      </c>
      <c r="Z17" s="15">
        <f>'[11]Dia 25 (b)'!$X23</f>
        <v>11.305115389723357</v>
      </c>
      <c r="AA17" s="15">
        <f>'[11]Dia 26 (b)'!$X23</f>
        <v>12.431236252366702</v>
      </c>
      <c r="AB17" s="15">
        <f>'[11]Dia 27 (b)'!$X23</f>
        <v>15.273696291024528</v>
      </c>
      <c r="AC17" s="15">
        <f>'[11]Dia 28 (b)'!$X23</f>
        <v>14.995159237343314</v>
      </c>
      <c r="AD17" s="15">
        <f>'[11]Dia 29 (b)'!$X23</f>
        <v>15.221827335037057</v>
      </c>
      <c r="AE17" s="15">
        <f>'[11]Dia 30 (b)'!$X23</f>
        <v>16.198355600268759</v>
      </c>
      <c r="AF17" s="15"/>
    </row>
    <row r="18" spans="1:32" ht="20.100000000000001" customHeight="1">
      <c r="A18" s="14">
        <v>15</v>
      </c>
      <c r="B18" s="15">
        <f>'[11]Dia 1 (b)'!$X24</f>
        <v>13.494582666617571</v>
      </c>
      <c r="C18" s="15">
        <f>'[11]Dia 2 (b)'!$X24</f>
        <v>12.959984959810672</v>
      </c>
      <c r="D18" s="15">
        <f>'[11]Dia 3 (b)'!$X24</f>
        <v>17.232724466114615</v>
      </c>
      <c r="E18" s="15">
        <f>'[11]Dia 4 (b)'!$X24</f>
        <v>7.3978137317438026</v>
      </c>
      <c r="F18" s="15">
        <f>'[11]Dia 5 (b)'!$X24</f>
        <v>10.205944185496016</v>
      </c>
      <c r="G18" s="15">
        <f>'[11]Dia 6 (b)'!$X24</f>
        <v>10.416738518639516</v>
      </c>
      <c r="H18" s="15">
        <f>'[11]Dia 7 (b)'!$X24</f>
        <v>11.41228637800109</v>
      </c>
      <c r="I18" s="15">
        <f>'[11]Dia 8 (b)'!$X24</f>
        <v>8.6196676136065289</v>
      </c>
      <c r="J18" s="15">
        <f>'[11]Dia 9 (b)'!$X24</f>
        <v>12.745052154889656</v>
      </c>
      <c r="K18" s="15">
        <f>'[11]Dia 10 (b)'!$X24</f>
        <v>15.911819596520642</v>
      </c>
      <c r="L18" s="15">
        <f>'[11]Dia 11 (b)'!$X24</f>
        <v>11.291716214789625</v>
      </c>
      <c r="M18" s="15">
        <f>'[11]Dia 12 (b)'!$X24</f>
        <v>9.310103513304675</v>
      </c>
      <c r="N18" s="15">
        <f>'[11]Dia 13 (b)'!$X24</f>
        <v>8.79377196513882</v>
      </c>
      <c r="O18" s="15">
        <f>'[11]Dia 14 (b)'!$X24</f>
        <v>18.600002673063209</v>
      </c>
      <c r="P18" s="15">
        <f>'[11]Dia 15 (b)'!$X24</f>
        <v>13.163019749917042</v>
      </c>
      <c r="Q18" s="15">
        <f>'[11]Dia 16 (b)'!$X24</f>
        <v>13.540568820125198</v>
      </c>
      <c r="R18" s="15">
        <f>'[11]Dia 17 (b)'!$X24</f>
        <v>12.869267076930637</v>
      </c>
      <c r="S18" s="15">
        <f>'[11]Dia 18 (b)'!$X24</f>
        <v>14.917826520537712</v>
      </c>
      <c r="T18" s="15">
        <f>'[11]Dia 19 (b)'!$X24</f>
        <v>15.129073435080656</v>
      </c>
      <c r="U18" s="15">
        <f>'[11]Dia 20 (b)'!$X24</f>
        <v>15.028638966138836</v>
      </c>
      <c r="V18" s="15">
        <f>'[11]Dia 21 (b)'!$X24</f>
        <v>17.556573789847114</v>
      </c>
      <c r="W18" s="15">
        <f>'[11]Dia 22 (b)'!$X24</f>
        <v>17.021382639032957</v>
      </c>
      <c r="X18" s="15">
        <f>'[11]Dia 23 (b)'!$X24</f>
        <v>17.526976948474964</v>
      </c>
      <c r="Y18" s="15">
        <f>'[11]Dia 24 (b)'!$X24</f>
        <v>10.551313220442792</v>
      </c>
      <c r="Z18" s="15">
        <f>'[11]Dia 25 (b)'!$X24</f>
        <v>11.615380267679413</v>
      </c>
      <c r="AA18" s="15">
        <f>'[11]Dia 26 (b)'!$X24</f>
        <v>13.044192924334448</v>
      </c>
      <c r="AB18" s="15">
        <f>'[11]Dia 27 (b)'!$X24</f>
        <v>15.328616388635863</v>
      </c>
      <c r="AC18" s="15">
        <f>'[11]Dia 28 (b)'!$X24</f>
        <v>14.348789870612601</v>
      </c>
      <c r="AD18" s="15">
        <f>'[11]Dia 29 (b)'!$X24</f>
        <v>15.622972199447586</v>
      </c>
      <c r="AE18" s="15">
        <f>'[11]Dia 30 (b)'!$X24</f>
        <v>15.657072644799811</v>
      </c>
      <c r="AF18" s="15"/>
    </row>
    <row r="19" spans="1:32" ht="20.100000000000001" customHeight="1">
      <c r="A19" s="14">
        <v>16</v>
      </c>
      <c r="B19" s="59"/>
      <c r="C19" s="59"/>
      <c r="D19" s="59"/>
      <c r="E19" s="59"/>
      <c r="F19" s="59"/>
      <c r="G19" s="59"/>
      <c r="H19" s="59"/>
      <c r="I19" s="59"/>
      <c r="J19" s="59"/>
      <c r="K19" s="59"/>
      <c r="L19" s="59"/>
      <c r="M19" s="59"/>
      <c r="N19" s="59"/>
      <c r="O19" s="59"/>
      <c r="P19" s="59"/>
      <c r="Q19" s="59"/>
      <c r="R19" s="59"/>
      <c r="S19" s="59"/>
      <c r="T19" s="59"/>
      <c r="U19" s="59"/>
      <c r="V19" s="59"/>
      <c r="W19" s="59"/>
      <c r="X19" s="59"/>
      <c r="Y19" s="59"/>
      <c r="Z19" s="59"/>
      <c r="AA19" s="59"/>
      <c r="AB19" s="59"/>
      <c r="AC19" s="59"/>
      <c r="AD19" s="59"/>
      <c r="AE19" s="59"/>
      <c r="AF19" s="59"/>
    </row>
    <row r="20" spans="1:32" ht="20.100000000000001" customHeight="1">
      <c r="A20" s="14">
        <v>17</v>
      </c>
      <c r="B20" s="59"/>
      <c r="C20" s="59"/>
      <c r="D20" s="59"/>
      <c r="E20" s="59"/>
      <c r="F20" s="59"/>
      <c r="G20" s="59"/>
      <c r="H20" s="59"/>
      <c r="I20" s="59"/>
      <c r="J20" s="59"/>
      <c r="K20" s="59"/>
      <c r="L20" s="59"/>
      <c r="M20" s="59"/>
      <c r="N20" s="59"/>
      <c r="O20" s="59"/>
      <c r="P20" s="59"/>
      <c r="Q20" s="59"/>
      <c r="R20" s="59"/>
      <c r="S20" s="59"/>
      <c r="T20" s="59"/>
      <c r="U20" s="59"/>
      <c r="V20" s="59"/>
      <c r="W20" s="59"/>
      <c r="X20" s="59"/>
      <c r="Y20" s="59"/>
      <c r="Z20" s="59"/>
      <c r="AA20" s="59"/>
      <c r="AB20" s="59"/>
      <c r="AC20" s="59"/>
      <c r="AD20" s="59"/>
      <c r="AE20" s="59"/>
      <c r="AF20" s="59"/>
    </row>
    <row r="21" spans="1:32" ht="20.100000000000001" customHeight="1">
      <c r="A21" s="14">
        <v>18</v>
      </c>
      <c r="B21" s="59"/>
      <c r="C21" s="59"/>
      <c r="D21" s="59"/>
      <c r="E21" s="59"/>
      <c r="F21" s="59"/>
      <c r="G21" s="59"/>
      <c r="H21" s="59"/>
      <c r="I21" s="59"/>
      <c r="J21" s="59"/>
      <c r="K21" s="59"/>
      <c r="L21" s="59"/>
      <c r="M21" s="59"/>
      <c r="N21" s="59"/>
      <c r="O21" s="59"/>
      <c r="P21" s="59"/>
      <c r="Q21" s="59"/>
      <c r="R21" s="59"/>
      <c r="S21" s="59"/>
      <c r="T21" s="59"/>
      <c r="U21" s="59"/>
      <c r="V21" s="59"/>
      <c r="W21" s="59"/>
      <c r="X21" s="59"/>
      <c r="Y21" s="59"/>
      <c r="Z21" s="59"/>
      <c r="AA21" s="59"/>
      <c r="AB21" s="59"/>
      <c r="AC21" s="59"/>
      <c r="AD21" s="59"/>
      <c r="AE21" s="59"/>
      <c r="AF21" s="59"/>
    </row>
    <row r="22" spans="1:32" ht="20.100000000000001" customHeight="1">
      <c r="A22" s="14">
        <v>19</v>
      </c>
      <c r="B22" s="59"/>
      <c r="C22" s="59"/>
      <c r="D22" s="59"/>
      <c r="E22" s="59"/>
      <c r="F22" s="59"/>
      <c r="G22" s="59"/>
      <c r="H22" s="59"/>
      <c r="I22" s="59"/>
      <c r="J22" s="59"/>
      <c r="K22" s="59"/>
      <c r="L22" s="59"/>
      <c r="M22" s="59"/>
      <c r="N22" s="59"/>
      <c r="O22" s="59"/>
      <c r="P22" s="59"/>
      <c r="Q22" s="59"/>
      <c r="R22" s="59"/>
      <c r="S22" s="59"/>
      <c r="T22" s="59"/>
      <c r="U22" s="59"/>
      <c r="V22" s="59"/>
      <c r="W22" s="59"/>
      <c r="X22" s="59"/>
      <c r="Y22" s="59"/>
      <c r="Z22" s="59"/>
      <c r="AA22" s="59"/>
      <c r="AB22" s="59"/>
      <c r="AC22" s="59"/>
      <c r="AD22" s="59"/>
      <c r="AE22" s="59"/>
      <c r="AF22" s="59"/>
    </row>
    <row r="23" spans="1:32" ht="20.100000000000001" customHeight="1">
      <c r="A23" s="14">
        <v>20</v>
      </c>
      <c r="B23" s="59"/>
      <c r="C23" s="59"/>
      <c r="D23" s="59"/>
      <c r="E23" s="59"/>
      <c r="F23" s="59"/>
      <c r="G23" s="59"/>
      <c r="H23" s="59"/>
      <c r="I23" s="59"/>
      <c r="J23" s="59"/>
      <c r="K23" s="59"/>
      <c r="L23" s="59"/>
      <c r="M23" s="59"/>
      <c r="N23" s="59"/>
      <c r="O23" s="59"/>
      <c r="P23" s="59"/>
      <c r="Q23" s="59"/>
      <c r="R23" s="59"/>
      <c r="S23" s="59"/>
      <c r="T23" s="59"/>
      <c r="U23" s="59"/>
      <c r="V23" s="59"/>
      <c r="W23" s="59"/>
      <c r="X23" s="59"/>
      <c r="Y23" s="59"/>
      <c r="Z23" s="59"/>
      <c r="AA23" s="59"/>
      <c r="AB23" s="59"/>
      <c r="AC23" s="59"/>
      <c r="AD23" s="59"/>
      <c r="AE23" s="59"/>
      <c r="AF23" s="59"/>
    </row>
    <row r="24" spans="1:32" ht="20.100000000000001" customHeight="1">
      <c r="A24" s="14">
        <v>21</v>
      </c>
      <c r="B24" s="59"/>
      <c r="C24" s="59"/>
      <c r="D24" s="59"/>
      <c r="E24" s="59"/>
      <c r="F24" s="59"/>
      <c r="G24" s="59"/>
      <c r="H24" s="59"/>
      <c r="I24" s="59"/>
      <c r="J24" s="59"/>
      <c r="K24" s="59"/>
      <c r="L24" s="59"/>
      <c r="M24" s="59"/>
      <c r="N24" s="59"/>
      <c r="O24" s="59"/>
      <c r="P24" s="59"/>
      <c r="Q24" s="59"/>
      <c r="R24" s="59"/>
      <c r="S24" s="59"/>
      <c r="T24" s="59"/>
      <c r="U24" s="59"/>
      <c r="V24" s="59"/>
      <c r="W24" s="59"/>
      <c r="X24" s="59"/>
      <c r="Y24" s="59"/>
      <c r="Z24" s="59"/>
      <c r="AA24" s="59"/>
      <c r="AB24" s="59"/>
      <c r="AC24" s="59"/>
      <c r="AD24" s="59"/>
      <c r="AE24" s="59"/>
      <c r="AF24" s="59"/>
    </row>
    <row r="25" spans="1:32" ht="20.100000000000001" customHeight="1">
      <c r="A25" s="14">
        <v>22</v>
      </c>
      <c r="B25" s="59"/>
      <c r="C25" s="59"/>
      <c r="D25" s="59"/>
      <c r="E25" s="59"/>
      <c r="F25" s="59"/>
      <c r="G25" s="59"/>
      <c r="H25" s="59"/>
      <c r="I25" s="59"/>
      <c r="J25" s="59"/>
      <c r="K25" s="59"/>
      <c r="L25" s="59"/>
      <c r="M25" s="59"/>
      <c r="N25" s="59"/>
      <c r="O25" s="59"/>
      <c r="P25" s="59"/>
      <c r="Q25" s="59"/>
      <c r="R25" s="59"/>
      <c r="S25" s="59"/>
      <c r="T25" s="59"/>
      <c r="U25" s="59"/>
      <c r="V25" s="59"/>
      <c r="W25" s="59"/>
      <c r="X25" s="59"/>
      <c r="Y25" s="59"/>
      <c r="Z25" s="59"/>
      <c r="AA25" s="59"/>
      <c r="AB25" s="59"/>
      <c r="AC25" s="59"/>
      <c r="AD25" s="59"/>
      <c r="AE25" s="59"/>
      <c r="AF25" s="59"/>
    </row>
    <row r="26" spans="1:32" ht="20.100000000000001" customHeight="1">
      <c r="A26" s="14">
        <v>23</v>
      </c>
      <c r="B26" s="59"/>
      <c r="C26" s="59"/>
      <c r="D26" s="59"/>
      <c r="E26" s="59"/>
      <c r="F26" s="59"/>
      <c r="G26" s="59"/>
      <c r="H26" s="59"/>
      <c r="I26" s="59"/>
      <c r="J26" s="59"/>
      <c r="K26" s="59"/>
      <c r="L26" s="59"/>
      <c r="M26" s="59"/>
      <c r="N26" s="59"/>
      <c r="O26" s="59"/>
      <c r="P26" s="59"/>
      <c r="Q26" s="59"/>
      <c r="R26" s="59"/>
      <c r="S26" s="59"/>
      <c r="T26" s="59"/>
      <c r="U26" s="59"/>
      <c r="V26" s="59"/>
      <c r="W26" s="59"/>
      <c r="X26" s="59"/>
      <c r="Y26" s="59"/>
      <c r="Z26" s="59"/>
      <c r="AA26" s="59"/>
      <c r="AB26" s="59"/>
      <c r="AC26" s="59"/>
      <c r="AD26" s="59"/>
      <c r="AE26" s="59"/>
      <c r="AF26" s="59"/>
    </row>
    <row r="27" spans="1:32" ht="20.100000000000001" customHeight="1" thickBot="1">
      <c r="A27" s="14">
        <v>24</v>
      </c>
      <c r="B27" s="59"/>
      <c r="C27" s="59"/>
      <c r="D27" s="59"/>
      <c r="E27" s="59"/>
      <c r="F27" s="59"/>
      <c r="G27" s="59"/>
      <c r="H27" s="59"/>
      <c r="I27" s="59"/>
      <c r="J27" s="59"/>
      <c r="K27" s="59"/>
      <c r="L27" s="59"/>
      <c r="M27" s="59"/>
      <c r="N27" s="59"/>
      <c r="O27" s="59"/>
      <c r="P27" s="59"/>
      <c r="Q27" s="59"/>
      <c r="R27" s="59"/>
      <c r="S27" s="59"/>
      <c r="T27" s="59"/>
      <c r="U27" s="59"/>
      <c r="V27" s="59"/>
      <c r="W27" s="59"/>
      <c r="X27" s="59"/>
      <c r="Y27" s="59"/>
      <c r="Z27" s="59"/>
      <c r="AA27" s="59"/>
      <c r="AB27" s="59"/>
      <c r="AC27" s="59"/>
      <c r="AD27" s="59"/>
      <c r="AE27" s="59"/>
      <c r="AF27" s="59"/>
    </row>
    <row r="28" spans="1:32" ht="16.5" thickTop="1">
      <c r="A28" s="17"/>
      <c r="B28" s="19"/>
      <c r="C28" s="19"/>
      <c r="D28" s="19"/>
      <c r="E28" s="19"/>
      <c r="F28" s="19"/>
      <c r="G28" s="19"/>
      <c r="H28" s="19"/>
      <c r="I28" s="19"/>
      <c r="J28" s="19"/>
      <c r="K28" s="19"/>
      <c r="L28" s="19"/>
      <c r="M28" s="19"/>
      <c r="N28" s="60" t="s">
        <v>14</v>
      </c>
      <c r="O28" s="19"/>
      <c r="P28" s="19"/>
      <c r="Q28" s="19"/>
      <c r="R28" s="19"/>
      <c r="S28" s="19"/>
      <c r="T28" s="19"/>
      <c r="U28" s="19"/>
      <c r="V28" s="19"/>
      <c r="W28" s="19"/>
      <c r="X28" s="19"/>
      <c r="Y28" s="19"/>
      <c r="Z28" s="19"/>
      <c r="AA28" s="19"/>
      <c r="AB28" s="19"/>
      <c r="AC28" s="19"/>
      <c r="AD28" s="19"/>
      <c r="AE28" s="19"/>
      <c r="AF28" s="21"/>
    </row>
    <row r="29" spans="1:32" ht="15.75">
      <c r="A29" s="22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23"/>
    </row>
    <row r="30" spans="1:32" ht="15.75">
      <c r="A30" s="24" t="s">
        <v>3</v>
      </c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23"/>
    </row>
    <row r="31" spans="1:32" ht="15.75">
      <c r="A31" s="24" t="s">
        <v>4</v>
      </c>
      <c r="B31" s="25"/>
      <c r="C31" s="25"/>
      <c r="D31" s="25"/>
      <c r="E31" s="25"/>
      <c r="F31" s="25"/>
      <c r="G31" s="25"/>
      <c r="H31" s="25"/>
      <c r="I31" s="25"/>
      <c r="J31" s="25"/>
      <c r="K31" s="25"/>
      <c r="L31" s="25"/>
      <c r="M31" s="25"/>
      <c r="N31" s="25"/>
      <c r="O31" s="25"/>
      <c r="P31" s="25"/>
      <c r="Q31" s="25"/>
      <c r="R31" s="25"/>
      <c r="S31" s="25"/>
      <c r="T31" s="25"/>
      <c r="U31" s="25"/>
      <c r="V31" s="25"/>
      <c r="W31" s="25"/>
      <c r="X31" s="25"/>
      <c r="Y31" s="25"/>
      <c r="Z31" s="25"/>
      <c r="AA31" s="25"/>
      <c r="AB31" s="25"/>
      <c r="AC31" s="25"/>
      <c r="AD31" s="25"/>
      <c r="AE31" s="25"/>
      <c r="AF31" s="26"/>
    </row>
    <row r="32" spans="1:32" ht="15.75">
      <c r="A32" s="27"/>
      <c r="B32" s="28"/>
      <c r="C32" s="28"/>
      <c r="D32" s="28"/>
      <c r="E32" s="28"/>
      <c r="F32" s="28"/>
      <c r="G32" s="28"/>
      <c r="H32" s="28"/>
      <c r="I32" s="28"/>
      <c r="J32" s="28"/>
      <c r="K32" s="28"/>
      <c r="L32" s="28"/>
      <c r="M32" s="28"/>
      <c r="N32" s="28"/>
      <c r="O32" s="28"/>
      <c r="P32" s="28"/>
      <c r="Q32" s="28"/>
      <c r="R32" s="28"/>
      <c r="S32" s="28"/>
      <c r="T32" s="28"/>
      <c r="U32" s="28"/>
      <c r="V32" s="28"/>
      <c r="W32" s="28"/>
      <c r="X32" s="28"/>
      <c r="Y32" s="28"/>
      <c r="Z32" s="28"/>
      <c r="AA32" s="28"/>
      <c r="AB32" s="28"/>
      <c r="AC32" s="28"/>
      <c r="AD32" s="28"/>
      <c r="AE32" s="28"/>
      <c r="AF32" s="29"/>
    </row>
    <row r="33" spans="1:32" ht="15.75">
      <c r="A33" s="27"/>
      <c r="B33" s="28"/>
      <c r="C33" s="28"/>
      <c r="D33" s="28"/>
      <c r="E33" s="28"/>
      <c r="F33" s="28"/>
      <c r="G33" s="28"/>
      <c r="H33" s="28"/>
      <c r="I33" s="28"/>
      <c r="J33" s="28"/>
      <c r="K33" s="28"/>
      <c r="L33" s="28"/>
      <c r="M33" s="28"/>
      <c r="N33" s="28"/>
      <c r="O33" s="28"/>
      <c r="P33" s="28"/>
      <c r="Q33" s="28"/>
      <c r="R33" s="28"/>
      <c r="S33" s="28"/>
      <c r="T33" s="28"/>
      <c r="U33" s="28"/>
      <c r="V33" s="28"/>
      <c r="W33" s="28"/>
      <c r="X33" s="28"/>
      <c r="Y33" s="28"/>
      <c r="Z33" s="28"/>
      <c r="AA33" s="28"/>
      <c r="AB33" s="28"/>
      <c r="AC33" s="28"/>
      <c r="AD33" s="28"/>
      <c r="AE33" s="28"/>
      <c r="AF33" s="29"/>
    </row>
    <row r="34" spans="1:32" ht="15.75">
      <c r="A34" s="24" t="s">
        <v>5</v>
      </c>
      <c r="B34" s="28"/>
      <c r="C34" s="28"/>
      <c r="D34" s="28"/>
      <c r="E34" s="28"/>
      <c r="F34" s="28"/>
      <c r="G34" s="28"/>
      <c r="H34" s="28"/>
      <c r="I34" s="28"/>
      <c r="J34" s="28"/>
      <c r="K34" s="28"/>
      <c r="L34" s="28"/>
      <c r="M34" s="28"/>
      <c r="N34" s="28"/>
      <c r="O34" s="28"/>
      <c r="P34" s="28"/>
      <c r="Q34" s="28"/>
      <c r="R34" s="28"/>
      <c r="S34" s="28"/>
      <c r="T34" s="28"/>
      <c r="U34" s="28"/>
      <c r="V34" s="28"/>
      <c r="W34" s="28"/>
      <c r="X34" s="28"/>
      <c r="Y34" s="28"/>
      <c r="Z34" s="28"/>
      <c r="AA34" s="28"/>
      <c r="AB34" s="28"/>
      <c r="AC34" s="28"/>
      <c r="AD34" s="28"/>
      <c r="AE34" s="28"/>
      <c r="AF34" s="29"/>
    </row>
    <row r="35" spans="1:32" ht="15.75">
      <c r="A35" s="24" t="s">
        <v>4</v>
      </c>
      <c r="B35" s="25"/>
      <c r="C35" s="25"/>
      <c r="D35" s="25"/>
      <c r="E35" s="25"/>
      <c r="F35" s="25"/>
      <c r="G35" s="25"/>
      <c r="H35" s="25"/>
      <c r="I35" s="25"/>
      <c r="J35" s="25"/>
      <c r="K35" s="25"/>
      <c r="L35" s="25"/>
      <c r="M35" s="25"/>
      <c r="N35" s="25"/>
      <c r="O35" s="25"/>
      <c r="P35" s="25"/>
      <c r="Q35" s="25"/>
      <c r="R35" s="25"/>
      <c r="S35" s="25"/>
      <c r="T35" s="25"/>
      <c r="U35" s="25"/>
      <c r="V35" s="25"/>
      <c r="W35" s="25"/>
      <c r="X35" s="25"/>
      <c r="Y35" s="25"/>
      <c r="Z35" s="25"/>
      <c r="AA35" s="25"/>
      <c r="AB35" s="25"/>
      <c r="AC35" s="25"/>
      <c r="AD35" s="25"/>
      <c r="AE35" s="25"/>
      <c r="AF35" s="26"/>
    </row>
    <row r="36" spans="1:32" ht="15.75">
      <c r="A36" s="24"/>
      <c r="B36" s="25"/>
      <c r="C36" s="25"/>
      <c r="D36" s="25"/>
      <c r="E36" s="25"/>
      <c r="F36" s="25"/>
      <c r="G36" s="25"/>
      <c r="H36" s="25"/>
      <c r="I36" s="25"/>
      <c r="J36" s="25"/>
      <c r="K36" s="25"/>
      <c r="L36" s="25"/>
      <c r="M36" s="25"/>
      <c r="N36" s="25"/>
      <c r="O36" s="25"/>
      <c r="P36" s="25"/>
      <c r="Q36" s="25"/>
      <c r="R36" s="25"/>
      <c r="S36" s="25"/>
      <c r="T36" s="25"/>
      <c r="U36" s="25"/>
      <c r="V36" s="25"/>
      <c r="W36" s="25"/>
      <c r="X36" s="25"/>
      <c r="Y36" s="25"/>
      <c r="Z36" s="25"/>
      <c r="AA36" s="25"/>
      <c r="AB36" s="25"/>
      <c r="AC36" s="25"/>
      <c r="AD36" s="25"/>
      <c r="AE36" s="25"/>
      <c r="AF36" s="26"/>
    </row>
    <row r="37" spans="1:32" ht="15.75">
      <c r="A37" s="27"/>
      <c r="B37" s="28"/>
      <c r="C37" s="28"/>
      <c r="D37" s="28"/>
      <c r="E37" s="28"/>
      <c r="F37" s="28"/>
      <c r="G37" s="28"/>
      <c r="H37" s="28"/>
      <c r="I37" s="28"/>
      <c r="J37" s="28"/>
      <c r="K37" s="28"/>
      <c r="L37" s="28"/>
      <c r="M37" s="28"/>
      <c r="N37" s="28"/>
      <c r="O37" s="28"/>
      <c r="P37" s="28"/>
      <c r="Q37" s="28"/>
      <c r="R37" s="28"/>
      <c r="S37" s="28"/>
      <c r="T37" s="28"/>
      <c r="U37" s="28"/>
      <c r="V37" s="28"/>
      <c r="W37" s="28"/>
      <c r="X37" s="28"/>
      <c r="Y37" s="28"/>
      <c r="Z37" s="28"/>
      <c r="AA37" s="28"/>
      <c r="AB37" s="28"/>
      <c r="AC37" s="28"/>
      <c r="AD37" s="28"/>
      <c r="AE37" s="28"/>
      <c r="AF37" s="29"/>
    </row>
    <row r="38" spans="1:32" ht="15.75">
      <c r="A38" s="24" t="s">
        <v>6</v>
      </c>
      <c r="B38" s="28"/>
      <c r="C38" s="28"/>
      <c r="D38" s="28"/>
      <c r="E38" s="28"/>
      <c r="F38" s="28"/>
      <c r="G38" s="28"/>
      <c r="H38" s="28"/>
      <c r="I38" s="28"/>
      <c r="J38" s="28"/>
      <c r="K38" s="28"/>
      <c r="L38" s="28"/>
      <c r="M38" s="28"/>
      <c r="N38" s="28"/>
      <c r="O38" s="28"/>
      <c r="P38" s="28"/>
      <c r="Q38" s="28"/>
      <c r="R38" s="28"/>
      <c r="S38" s="28"/>
      <c r="T38" s="28"/>
      <c r="U38" s="28"/>
      <c r="V38" s="28"/>
      <c r="W38" s="28"/>
      <c r="X38" s="28"/>
      <c r="Y38" s="28"/>
      <c r="Z38" s="28"/>
      <c r="AA38" s="28"/>
      <c r="AB38" s="28"/>
      <c r="AC38" s="28"/>
      <c r="AD38" s="28"/>
      <c r="AE38" s="28"/>
      <c r="AF38" s="29"/>
    </row>
    <row r="39" spans="1:32" ht="15.75">
      <c r="A39" s="24" t="s">
        <v>4</v>
      </c>
      <c r="B39" s="25"/>
      <c r="C39" s="25"/>
      <c r="D39" s="25"/>
      <c r="E39" s="25"/>
      <c r="F39" s="25"/>
      <c r="G39" s="25"/>
      <c r="H39" s="25"/>
      <c r="I39" s="25"/>
      <c r="J39" s="25"/>
      <c r="K39" s="25"/>
      <c r="L39" s="25"/>
      <c r="M39" s="25"/>
      <c r="N39" s="25"/>
      <c r="O39" s="25"/>
      <c r="P39" s="25"/>
      <c r="Q39" s="25"/>
      <c r="R39" s="25"/>
      <c r="S39" s="25"/>
      <c r="T39" s="25"/>
      <c r="U39" s="25"/>
      <c r="V39" s="25"/>
      <c r="W39" s="25"/>
      <c r="X39" s="25"/>
      <c r="Y39" s="25"/>
      <c r="Z39" s="25"/>
      <c r="AA39" s="25"/>
      <c r="AB39" s="25"/>
      <c r="AC39" s="25"/>
      <c r="AD39" s="25"/>
      <c r="AE39" s="25"/>
      <c r="AF39" s="26"/>
    </row>
    <row r="40" spans="1:32" ht="15.75">
      <c r="A40" s="24"/>
      <c r="B40" s="25"/>
      <c r="C40" s="25"/>
      <c r="D40" s="25"/>
      <c r="E40" s="25"/>
      <c r="F40" s="25"/>
      <c r="G40" s="25"/>
      <c r="H40" s="25"/>
      <c r="I40" s="25"/>
      <c r="J40" s="25"/>
      <c r="K40" s="25"/>
      <c r="L40" s="25"/>
      <c r="M40" s="25"/>
      <c r="N40" s="25"/>
      <c r="O40" s="25"/>
      <c r="P40" s="25"/>
      <c r="Q40" s="25"/>
      <c r="R40" s="25"/>
      <c r="S40" s="25"/>
      <c r="T40" s="25"/>
      <c r="U40" s="25"/>
      <c r="V40" s="25"/>
      <c r="W40" s="25"/>
      <c r="X40" s="25"/>
      <c r="Y40" s="25"/>
      <c r="Z40" s="25"/>
      <c r="AA40" s="25"/>
      <c r="AB40" s="25"/>
      <c r="AC40" s="25"/>
      <c r="AD40" s="25"/>
      <c r="AE40" s="25"/>
      <c r="AF40" s="26"/>
    </row>
    <row r="41" spans="1:32" ht="15.75">
      <c r="A41" s="27"/>
      <c r="B41" s="28"/>
      <c r="C41" s="28"/>
      <c r="D41" s="28"/>
      <c r="E41" s="28"/>
      <c r="F41" s="28"/>
      <c r="G41" s="28"/>
      <c r="H41" s="28"/>
      <c r="I41" s="28"/>
      <c r="J41" s="28"/>
      <c r="K41" s="28"/>
      <c r="L41" s="28"/>
      <c r="M41" s="28"/>
      <c r="N41" s="28"/>
      <c r="O41" s="28"/>
      <c r="P41" s="28"/>
      <c r="Q41" s="28"/>
      <c r="R41" s="28"/>
      <c r="S41" s="28"/>
      <c r="T41" s="28"/>
      <c r="U41" s="28"/>
      <c r="V41" s="28"/>
      <c r="W41" s="28"/>
      <c r="X41" s="28"/>
      <c r="Y41" s="28"/>
      <c r="Z41" s="28"/>
      <c r="AA41" s="28"/>
      <c r="AB41" s="28"/>
      <c r="AC41" s="28"/>
      <c r="AD41" s="28"/>
      <c r="AE41" s="28"/>
      <c r="AF41" s="29"/>
    </row>
    <row r="42" spans="1:32" ht="15.75">
      <c r="A42" s="24" t="s">
        <v>7</v>
      </c>
      <c r="B42" s="28"/>
      <c r="C42" s="28"/>
      <c r="D42" s="28"/>
      <c r="E42" s="28"/>
      <c r="F42" s="28"/>
      <c r="G42" s="28"/>
      <c r="H42" s="28"/>
      <c r="I42" s="28"/>
      <c r="J42" s="28"/>
      <c r="K42" s="28"/>
      <c r="L42" s="28"/>
      <c r="M42" s="28"/>
      <c r="N42" s="28"/>
      <c r="O42" s="28"/>
      <c r="P42" s="28"/>
      <c r="Q42" s="28"/>
      <c r="R42" s="28"/>
      <c r="S42" s="28"/>
      <c r="T42" s="28"/>
      <c r="U42" s="28"/>
      <c r="V42" s="28"/>
      <c r="W42" s="28"/>
      <c r="X42" s="28"/>
      <c r="Y42" s="28"/>
      <c r="Z42" s="28"/>
      <c r="AA42" s="28"/>
      <c r="AB42" s="28"/>
      <c r="AC42" s="28"/>
      <c r="AD42" s="28"/>
      <c r="AE42" s="28"/>
      <c r="AF42" s="29"/>
    </row>
    <row r="43" spans="1:32" ht="15.75">
      <c r="A43" s="24" t="s">
        <v>4</v>
      </c>
      <c r="B43" s="25"/>
      <c r="C43" s="25"/>
      <c r="D43" s="25"/>
      <c r="E43" s="25"/>
      <c r="F43" s="25"/>
      <c r="G43" s="25"/>
      <c r="H43" s="25"/>
      <c r="I43" s="25"/>
      <c r="J43" s="25"/>
      <c r="K43" s="25"/>
      <c r="L43" s="25"/>
      <c r="M43" s="25"/>
      <c r="N43" s="25"/>
      <c r="O43" s="25"/>
      <c r="P43" s="25"/>
      <c r="Q43" s="25"/>
      <c r="R43" s="25"/>
      <c r="S43" s="25"/>
      <c r="T43" s="25"/>
      <c r="U43" s="25"/>
      <c r="V43" s="25"/>
      <c r="W43" s="25"/>
      <c r="X43" s="25"/>
      <c r="Y43" s="25"/>
      <c r="Z43" s="25"/>
      <c r="AA43" s="25"/>
      <c r="AB43" s="25"/>
      <c r="AC43" s="25"/>
      <c r="AD43" s="25"/>
      <c r="AE43" s="25"/>
      <c r="AF43" s="26"/>
    </row>
    <row r="44" spans="1:32" ht="15.75">
      <c r="A44" s="24"/>
      <c r="B44" s="25"/>
      <c r="C44" s="25"/>
      <c r="D44" s="25"/>
      <c r="E44" s="25"/>
      <c r="F44" s="25"/>
      <c r="G44" s="25"/>
      <c r="H44" s="25"/>
      <c r="I44" s="25"/>
      <c r="J44" s="25"/>
      <c r="K44" s="25"/>
      <c r="L44" s="25"/>
      <c r="M44" s="25"/>
      <c r="N44" s="25"/>
      <c r="O44" s="25"/>
      <c r="P44" s="25"/>
      <c r="Q44" s="25"/>
      <c r="R44" s="25"/>
      <c r="S44" s="25"/>
      <c r="T44" s="25"/>
      <c r="U44" s="25"/>
      <c r="V44" s="25"/>
      <c r="W44" s="25"/>
      <c r="X44" s="25"/>
      <c r="Y44" s="25"/>
      <c r="Z44" s="25"/>
      <c r="AA44" s="25"/>
      <c r="AB44" s="25"/>
      <c r="AC44" s="25"/>
      <c r="AD44" s="25"/>
      <c r="AE44" s="25"/>
      <c r="AF44" s="26"/>
    </row>
    <row r="45" spans="1:32" ht="15.75">
      <c r="A45" s="22"/>
      <c r="B45" s="30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23"/>
    </row>
    <row r="46" spans="1:32" ht="15.75">
      <c r="A46" s="31"/>
      <c r="B46" s="30"/>
      <c r="C46" s="3"/>
      <c r="D46" s="3"/>
      <c r="E46" s="3"/>
      <c r="F46" s="3"/>
      <c r="G46" s="3"/>
      <c r="H46" s="32" t="s">
        <v>3</v>
      </c>
      <c r="I46" s="30"/>
      <c r="J46" s="33"/>
      <c r="K46" s="34" t="s">
        <v>5</v>
      </c>
      <c r="L46" s="33"/>
      <c r="M46" s="33"/>
      <c r="N46" s="34" t="s">
        <v>6</v>
      </c>
      <c r="O46" s="33"/>
      <c r="P46" s="33"/>
      <c r="Q46" s="34" t="s">
        <v>7</v>
      </c>
      <c r="R46" s="30"/>
      <c r="S46" s="30"/>
      <c r="T46" s="33" t="s">
        <v>3</v>
      </c>
      <c r="U46" s="33"/>
      <c r="V46" s="33" t="s">
        <v>3</v>
      </c>
      <c r="W46" s="33"/>
      <c r="X46" s="33" t="s">
        <v>8</v>
      </c>
      <c r="Y46" s="3"/>
      <c r="Z46" s="3"/>
      <c r="AA46" s="3"/>
      <c r="AB46" s="3"/>
      <c r="AC46" s="3"/>
      <c r="AD46" s="3"/>
      <c r="AE46" s="3"/>
      <c r="AF46" s="23"/>
    </row>
    <row r="47" spans="1:32" ht="15.75">
      <c r="A47" s="31"/>
      <c r="B47" s="30"/>
      <c r="C47" s="3"/>
      <c r="D47" s="3"/>
      <c r="E47" s="3"/>
      <c r="F47" s="3"/>
      <c r="G47" s="3"/>
      <c r="H47" s="35" t="s">
        <v>9</v>
      </c>
      <c r="I47" s="30"/>
      <c r="J47" s="33"/>
      <c r="K47" s="33" t="s">
        <v>9</v>
      </c>
      <c r="L47" s="33"/>
      <c r="M47" s="33"/>
      <c r="N47" s="33" t="s">
        <v>9</v>
      </c>
      <c r="O47" s="33"/>
      <c r="P47" s="33"/>
      <c r="Q47" s="33" t="s">
        <v>9</v>
      </c>
      <c r="R47" s="30"/>
      <c r="S47" s="30"/>
      <c r="T47" s="33" t="s">
        <v>10</v>
      </c>
      <c r="U47" s="33"/>
      <c r="V47" s="33" t="s">
        <v>11</v>
      </c>
      <c r="W47" s="33"/>
      <c r="X47" s="33" t="s">
        <v>12</v>
      </c>
      <c r="Y47" s="3"/>
      <c r="Z47" s="3"/>
      <c r="AA47" s="3"/>
      <c r="AB47" s="3"/>
      <c r="AC47" s="3"/>
      <c r="AD47" s="3"/>
      <c r="AE47" s="3"/>
      <c r="AF47" s="23"/>
    </row>
    <row r="48" spans="1:32" ht="15.75">
      <c r="A48" s="31"/>
      <c r="B48" s="30"/>
      <c r="C48" s="3"/>
      <c r="D48" s="3"/>
      <c r="E48" s="3"/>
      <c r="F48" s="3"/>
      <c r="G48" s="3"/>
      <c r="H48" s="28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23"/>
    </row>
    <row r="49" spans="1:32" ht="16.5" thickBot="1">
      <c r="A49" s="36"/>
      <c r="B49" s="37"/>
      <c r="C49" s="38"/>
      <c r="D49" s="38"/>
      <c r="E49" s="38"/>
      <c r="F49" s="38"/>
      <c r="G49" s="38"/>
      <c r="H49" s="39"/>
      <c r="I49" s="38"/>
      <c r="J49" s="40"/>
      <c r="K49" s="39"/>
      <c r="L49" s="40"/>
      <c r="M49" s="40"/>
      <c r="N49" s="39"/>
      <c r="O49" s="40"/>
      <c r="P49" s="40"/>
      <c r="Q49" s="39"/>
      <c r="R49" s="38"/>
      <c r="S49" s="39"/>
      <c r="T49" s="39"/>
      <c r="U49" s="39"/>
      <c r="V49" s="39"/>
      <c r="W49" s="39"/>
      <c r="X49" s="39"/>
      <c r="Y49" s="38"/>
      <c r="Z49" s="38"/>
      <c r="AA49" s="38"/>
      <c r="AB49" s="38"/>
      <c r="AC49" s="38"/>
      <c r="AD49" s="38"/>
      <c r="AE49" s="38"/>
      <c r="AF49" s="41"/>
    </row>
    <row r="50" spans="1:32" ht="15.75" thickTop="1">
      <c r="B50" s="42"/>
    </row>
    <row r="51" spans="1:32">
      <c r="B51" s="42"/>
    </row>
    <row r="52" spans="1:32">
      <c r="B52" s="42"/>
    </row>
    <row r="53" spans="1:32">
      <c r="B53" s="42"/>
    </row>
    <row r="54" spans="1:32">
      <c r="B54" s="42"/>
    </row>
    <row r="55" spans="1:32">
      <c r="B55" s="42"/>
    </row>
    <row r="56" spans="1:32">
      <c r="B56" s="42"/>
    </row>
    <row r="57" spans="1:32">
      <c r="B57" s="42"/>
    </row>
    <row r="58" spans="1:32">
      <c r="B58" s="42"/>
    </row>
    <row r="59" spans="1:32">
      <c r="B59" s="42"/>
    </row>
    <row r="60" spans="1:32">
      <c r="B60" s="42"/>
    </row>
    <row r="61" spans="1:32">
      <c r="B61" s="42"/>
    </row>
    <row r="62" spans="1:32">
      <c r="B62" s="42"/>
    </row>
    <row r="63" spans="1:32">
      <c r="B63" s="42"/>
    </row>
    <row r="64" spans="1:32">
      <c r="B64" s="42"/>
    </row>
    <row r="65" spans="2:2">
      <c r="B65" s="42"/>
    </row>
    <row r="66" spans="2:2">
      <c r="B66" s="42"/>
    </row>
    <row r="67" spans="2:2">
      <c r="B67" s="42"/>
    </row>
    <row r="68" spans="2:2">
      <c r="B68" s="42"/>
    </row>
    <row r="69" spans="2:2">
      <c r="B69" s="42"/>
    </row>
    <row r="70" spans="2:2">
      <c r="B70" s="42"/>
    </row>
    <row r="71" spans="2:2">
      <c r="B71" s="42"/>
    </row>
    <row r="72" spans="2:2">
      <c r="B72" s="42"/>
    </row>
    <row r="73" spans="2:2">
      <c r="B73" s="42"/>
    </row>
    <row r="74" spans="2:2">
      <c r="B74" s="42"/>
    </row>
    <row r="75" spans="2:2">
      <c r="B75" s="42"/>
    </row>
    <row r="76" spans="2:2">
      <c r="B76" s="42"/>
    </row>
    <row r="77" spans="2:2">
      <c r="B77" s="42"/>
    </row>
    <row r="78" spans="2:2">
      <c r="B78" s="42"/>
    </row>
    <row r="79" spans="2:2">
      <c r="B79" s="42"/>
    </row>
    <row r="80" spans="2:2">
      <c r="B80" s="42"/>
    </row>
    <row r="81" spans="2:2">
      <c r="B81" s="42"/>
    </row>
    <row r="82" spans="2:2">
      <c r="B82" s="42"/>
    </row>
    <row r="83" spans="2:2">
      <c r="B83" s="42"/>
    </row>
    <row r="84" spans="2:2">
      <c r="B84" s="42"/>
    </row>
    <row r="85" spans="2:2">
      <c r="B85" s="42"/>
    </row>
    <row r="86" spans="2:2">
      <c r="B86" s="42"/>
    </row>
    <row r="87" spans="2:2">
      <c r="B87" s="42"/>
    </row>
    <row r="88" spans="2:2">
      <c r="B88" s="42"/>
    </row>
    <row r="89" spans="2:2">
      <c r="B89" s="42"/>
    </row>
    <row r="90" spans="2:2">
      <c r="B90" s="42"/>
    </row>
    <row r="91" spans="2:2">
      <c r="B91" s="42"/>
    </row>
    <row r="92" spans="2:2">
      <c r="B92" s="42"/>
    </row>
    <row r="93" spans="2:2">
      <c r="B93" s="42"/>
    </row>
    <row r="94" spans="2:2">
      <c r="B94" s="42"/>
    </row>
    <row r="95" spans="2:2">
      <c r="B95" s="42"/>
    </row>
    <row r="96" spans="2:2">
      <c r="B96" s="42"/>
    </row>
    <row r="97" spans="2:2">
      <c r="B97" s="42"/>
    </row>
    <row r="98" spans="2:2">
      <c r="B98" s="42"/>
    </row>
    <row r="99" spans="2:2">
      <c r="B99" s="42"/>
    </row>
    <row r="100" spans="2:2">
      <c r="B100" s="42"/>
    </row>
    <row r="101" spans="2:2">
      <c r="B101" s="42"/>
    </row>
    <row r="102" spans="2:2">
      <c r="B102" s="42"/>
    </row>
    <row r="103" spans="2:2">
      <c r="B103" s="42"/>
    </row>
    <row r="104" spans="2:2">
      <c r="B104" s="42"/>
    </row>
    <row r="105" spans="2:2">
      <c r="B105" s="42"/>
    </row>
    <row r="106" spans="2:2">
      <c r="B106" s="42"/>
    </row>
    <row r="107" spans="2:2">
      <c r="B107" s="42"/>
    </row>
    <row r="108" spans="2:2">
      <c r="B108" s="42"/>
    </row>
    <row r="109" spans="2:2">
      <c r="B109" s="42"/>
    </row>
    <row r="110" spans="2:2">
      <c r="B110" s="42"/>
    </row>
    <row r="111" spans="2:2">
      <c r="B111" s="42"/>
    </row>
    <row r="112" spans="2:2">
      <c r="B112" s="42"/>
    </row>
    <row r="113" spans="2:2">
      <c r="B113" s="42"/>
    </row>
    <row r="114" spans="2:2">
      <c r="B114" s="42"/>
    </row>
    <row r="115" spans="2:2">
      <c r="B115" s="42"/>
    </row>
    <row r="116" spans="2:2">
      <c r="B116" s="42"/>
    </row>
    <row r="117" spans="2:2">
      <c r="B117" s="42"/>
    </row>
    <row r="118" spans="2:2">
      <c r="B118" s="42"/>
    </row>
    <row r="119" spans="2:2">
      <c r="B119" s="42"/>
    </row>
    <row r="120" spans="2:2">
      <c r="B120" s="42"/>
    </row>
    <row r="121" spans="2:2">
      <c r="B121" s="42"/>
    </row>
    <row r="122" spans="2:2">
      <c r="B122" s="42"/>
    </row>
    <row r="123" spans="2:2">
      <c r="B123" s="42"/>
    </row>
    <row r="124" spans="2:2">
      <c r="B124" s="42"/>
    </row>
    <row r="125" spans="2:2">
      <c r="B125" s="42"/>
    </row>
    <row r="126" spans="2:2">
      <c r="B126" s="42"/>
    </row>
    <row r="127" spans="2:2">
      <c r="B127" s="42"/>
    </row>
    <row r="128" spans="2:2">
      <c r="B128" s="42"/>
    </row>
    <row r="129" spans="2:2">
      <c r="B129" s="42"/>
    </row>
    <row r="130" spans="2:2">
      <c r="B130" s="42"/>
    </row>
    <row r="131" spans="2:2">
      <c r="B131" s="42"/>
    </row>
    <row r="132" spans="2:2">
      <c r="B132" s="42"/>
    </row>
    <row r="133" spans="2:2">
      <c r="B133" s="42"/>
    </row>
    <row r="134" spans="2:2">
      <c r="B134" s="42"/>
    </row>
    <row r="135" spans="2:2">
      <c r="B135" s="42"/>
    </row>
    <row r="136" spans="2:2">
      <c r="B136" s="42"/>
    </row>
    <row r="137" spans="2:2">
      <c r="B137" s="42"/>
    </row>
    <row r="138" spans="2:2">
      <c r="B138" s="42"/>
    </row>
    <row r="139" spans="2:2">
      <c r="B139" s="42"/>
    </row>
    <row r="140" spans="2:2">
      <c r="B140" s="42"/>
    </row>
    <row r="141" spans="2:2">
      <c r="B141" s="42"/>
    </row>
    <row r="142" spans="2:2">
      <c r="B142" s="42"/>
    </row>
    <row r="143" spans="2:2">
      <c r="B143" s="42"/>
    </row>
    <row r="144" spans="2:2">
      <c r="B144" s="42"/>
    </row>
    <row r="145" spans="2:2">
      <c r="B145" s="42"/>
    </row>
    <row r="146" spans="2:2">
      <c r="B146" s="42"/>
    </row>
    <row r="147" spans="2:2">
      <c r="B147" s="42"/>
    </row>
    <row r="148" spans="2:2">
      <c r="B148" s="42"/>
    </row>
    <row r="149" spans="2:2">
      <c r="B149" s="42"/>
    </row>
    <row r="150" spans="2:2">
      <c r="B150" s="42"/>
    </row>
    <row r="151" spans="2:2">
      <c r="B151" s="42"/>
    </row>
    <row r="152" spans="2:2">
      <c r="B152" s="42"/>
    </row>
    <row r="153" spans="2:2">
      <c r="B153" s="42"/>
    </row>
    <row r="154" spans="2:2">
      <c r="B154" s="42"/>
    </row>
    <row r="155" spans="2:2">
      <c r="B155" s="42"/>
    </row>
    <row r="156" spans="2:2">
      <c r="B156" s="42"/>
    </row>
    <row r="157" spans="2:2">
      <c r="B157" s="42"/>
    </row>
    <row r="158" spans="2:2">
      <c r="B158" s="42"/>
    </row>
    <row r="159" spans="2:2">
      <c r="B159" s="42"/>
    </row>
    <row r="160" spans="2:2">
      <c r="B160" s="42"/>
    </row>
    <row r="161" spans="2:2">
      <c r="B161" s="42"/>
    </row>
    <row r="162" spans="2:2">
      <c r="B162" s="42"/>
    </row>
    <row r="163" spans="2:2">
      <c r="B163" s="42"/>
    </row>
    <row r="164" spans="2:2">
      <c r="B164" s="42"/>
    </row>
    <row r="165" spans="2:2">
      <c r="B165" s="42"/>
    </row>
    <row r="166" spans="2:2">
      <c r="B166" s="42"/>
    </row>
    <row r="167" spans="2:2">
      <c r="B167" s="42"/>
    </row>
    <row r="168" spans="2:2">
      <c r="B168" s="42"/>
    </row>
    <row r="169" spans="2:2">
      <c r="B169" s="42"/>
    </row>
    <row r="170" spans="2:2">
      <c r="B170" s="42"/>
    </row>
    <row r="171" spans="2:2">
      <c r="B171" s="42"/>
    </row>
    <row r="172" spans="2:2">
      <c r="B172" s="42"/>
    </row>
    <row r="173" spans="2:2">
      <c r="B173" s="42"/>
    </row>
    <row r="174" spans="2:2">
      <c r="B174" s="42"/>
    </row>
    <row r="175" spans="2:2">
      <c r="B175" s="42"/>
    </row>
    <row r="176" spans="2:2">
      <c r="B176" s="42"/>
    </row>
    <row r="177" spans="2:2">
      <c r="B177" s="42"/>
    </row>
    <row r="178" spans="2:2">
      <c r="B178" s="42"/>
    </row>
    <row r="179" spans="2:2">
      <c r="B179" s="42"/>
    </row>
    <row r="180" spans="2:2">
      <c r="B180" s="42"/>
    </row>
    <row r="181" spans="2:2">
      <c r="B181" s="42"/>
    </row>
    <row r="182" spans="2:2">
      <c r="B182" s="42"/>
    </row>
    <row r="183" spans="2:2">
      <c r="B183" s="42"/>
    </row>
    <row r="184" spans="2:2">
      <c r="B184" s="42"/>
    </row>
    <row r="185" spans="2:2">
      <c r="B185" s="42"/>
    </row>
    <row r="186" spans="2:2">
      <c r="B186" s="42"/>
    </row>
    <row r="187" spans="2:2">
      <c r="B187" s="42"/>
    </row>
    <row r="188" spans="2:2">
      <c r="B188" s="42"/>
    </row>
    <row r="189" spans="2:2">
      <c r="B189" s="42"/>
    </row>
    <row r="190" spans="2:2">
      <c r="B190" s="42"/>
    </row>
    <row r="191" spans="2:2">
      <c r="B191" s="42"/>
    </row>
    <row r="192" spans="2:2">
      <c r="B192" s="42"/>
    </row>
    <row r="193" spans="2:2">
      <c r="B193" s="42"/>
    </row>
    <row r="194" spans="2:2">
      <c r="B194" s="42"/>
    </row>
    <row r="195" spans="2:2">
      <c r="B195" s="42"/>
    </row>
    <row r="196" spans="2:2">
      <c r="B196" s="42"/>
    </row>
    <row r="197" spans="2:2">
      <c r="B197" s="42"/>
    </row>
    <row r="198" spans="2:2">
      <c r="B198" s="42"/>
    </row>
    <row r="199" spans="2:2">
      <c r="B199" s="42"/>
    </row>
    <row r="200" spans="2:2">
      <c r="B200" s="42"/>
    </row>
    <row r="201" spans="2:2">
      <c r="B201" s="42"/>
    </row>
    <row r="202" spans="2:2">
      <c r="B202" s="42"/>
    </row>
    <row r="203" spans="2:2">
      <c r="B203" s="42"/>
    </row>
    <row r="204" spans="2:2">
      <c r="B204" s="42"/>
    </row>
    <row r="205" spans="2:2">
      <c r="B205" s="42"/>
    </row>
    <row r="206" spans="2:2">
      <c r="B206" s="42"/>
    </row>
    <row r="207" spans="2:2">
      <c r="B207" s="42"/>
    </row>
    <row r="208" spans="2:2">
      <c r="B208" s="42"/>
    </row>
    <row r="209" spans="2:2">
      <c r="B209" s="42"/>
    </row>
    <row r="210" spans="2:2">
      <c r="B210" s="42"/>
    </row>
    <row r="211" spans="2:2">
      <c r="B211" s="42"/>
    </row>
    <row r="212" spans="2:2">
      <c r="B212" s="42"/>
    </row>
    <row r="213" spans="2:2">
      <c r="B213" s="42"/>
    </row>
    <row r="214" spans="2:2">
      <c r="B214" s="42"/>
    </row>
    <row r="215" spans="2:2">
      <c r="B215" s="42"/>
    </row>
    <row r="216" spans="2:2">
      <c r="B216" s="42"/>
    </row>
    <row r="217" spans="2:2">
      <c r="B217" s="42"/>
    </row>
    <row r="218" spans="2:2">
      <c r="B218" s="42"/>
    </row>
    <row r="219" spans="2:2">
      <c r="B219" s="42"/>
    </row>
    <row r="220" spans="2:2">
      <c r="B220" s="42"/>
    </row>
    <row r="221" spans="2:2">
      <c r="B221" s="42"/>
    </row>
    <row r="222" spans="2:2">
      <c r="B222" s="42"/>
    </row>
    <row r="223" spans="2:2">
      <c r="B223" s="42"/>
    </row>
    <row r="224" spans="2:2">
      <c r="B224" s="42"/>
    </row>
    <row r="225" spans="2:2">
      <c r="B225" s="42"/>
    </row>
    <row r="226" spans="2:2">
      <c r="B226" s="42"/>
    </row>
    <row r="227" spans="2:2">
      <c r="B227" s="42"/>
    </row>
    <row r="228" spans="2:2">
      <c r="B228" s="42"/>
    </row>
    <row r="229" spans="2:2">
      <c r="B229" s="42"/>
    </row>
    <row r="230" spans="2:2">
      <c r="B230" s="42"/>
    </row>
    <row r="231" spans="2:2">
      <c r="B231" s="42"/>
    </row>
    <row r="232" spans="2:2">
      <c r="B232" s="42"/>
    </row>
    <row r="233" spans="2:2">
      <c r="B233" s="42"/>
    </row>
    <row r="234" spans="2:2">
      <c r="B234" s="42"/>
    </row>
    <row r="235" spans="2:2">
      <c r="B235" s="42"/>
    </row>
    <row r="236" spans="2:2">
      <c r="B236" s="42"/>
    </row>
    <row r="237" spans="2:2">
      <c r="B237" s="42"/>
    </row>
    <row r="238" spans="2:2">
      <c r="B238" s="42"/>
    </row>
    <row r="239" spans="2:2">
      <c r="B239" s="42"/>
    </row>
    <row r="240" spans="2:2">
      <c r="B240" s="42"/>
    </row>
    <row r="241" spans="2:2">
      <c r="B241" s="42"/>
    </row>
    <row r="242" spans="2:2">
      <c r="B242" s="42"/>
    </row>
    <row r="243" spans="2:2">
      <c r="B243" s="42"/>
    </row>
    <row r="244" spans="2:2">
      <c r="B244" s="42"/>
    </row>
    <row r="245" spans="2:2">
      <c r="B245" s="42"/>
    </row>
    <row r="246" spans="2:2">
      <c r="B246" s="42"/>
    </row>
    <row r="247" spans="2:2">
      <c r="B247" s="42"/>
    </row>
    <row r="248" spans="2:2">
      <c r="B248" s="42"/>
    </row>
    <row r="249" spans="2:2">
      <c r="B249" s="42"/>
    </row>
    <row r="250" spans="2:2">
      <c r="B250" s="42"/>
    </row>
    <row r="251" spans="2:2">
      <c r="B251" s="42"/>
    </row>
    <row r="252" spans="2:2">
      <c r="B252" s="42"/>
    </row>
    <row r="253" spans="2:2">
      <c r="B253" s="42"/>
    </row>
    <row r="254" spans="2:2">
      <c r="B254" s="42"/>
    </row>
    <row r="255" spans="2:2">
      <c r="B255" s="42"/>
    </row>
    <row r="256" spans="2:2">
      <c r="B256" s="42"/>
    </row>
    <row r="257" spans="2:2">
      <c r="B257" s="42"/>
    </row>
    <row r="258" spans="2:2">
      <c r="B258" s="42"/>
    </row>
    <row r="259" spans="2:2">
      <c r="B259" s="42"/>
    </row>
    <row r="260" spans="2:2">
      <c r="B260" s="42"/>
    </row>
    <row r="261" spans="2:2">
      <c r="B261" s="42"/>
    </row>
    <row r="262" spans="2:2">
      <c r="B262" s="42"/>
    </row>
    <row r="263" spans="2:2">
      <c r="B263" s="42"/>
    </row>
    <row r="264" spans="2:2">
      <c r="B264" s="42"/>
    </row>
    <row r="265" spans="2:2">
      <c r="B265" s="42"/>
    </row>
    <row r="266" spans="2:2">
      <c r="B266" s="42"/>
    </row>
    <row r="267" spans="2:2">
      <c r="B267" s="42"/>
    </row>
    <row r="268" spans="2:2">
      <c r="B268" s="42"/>
    </row>
    <row r="269" spans="2:2">
      <c r="B269" s="42"/>
    </row>
    <row r="270" spans="2:2">
      <c r="B270" s="42"/>
    </row>
    <row r="271" spans="2:2">
      <c r="B271" s="42"/>
    </row>
    <row r="272" spans="2:2">
      <c r="B272" s="42"/>
    </row>
    <row r="273" spans="2:2">
      <c r="B273" s="42"/>
    </row>
    <row r="274" spans="2:2">
      <c r="B274" s="42"/>
    </row>
    <row r="275" spans="2:2">
      <c r="B275" s="42"/>
    </row>
    <row r="276" spans="2:2">
      <c r="B276" s="42"/>
    </row>
    <row r="277" spans="2:2">
      <c r="B277" s="42"/>
    </row>
    <row r="278" spans="2:2">
      <c r="B278" s="42"/>
    </row>
    <row r="279" spans="2:2">
      <c r="B279" s="42"/>
    </row>
    <row r="280" spans="2:2">
      <c r="B280" s="42"/>
    </row>
    <row r="281" spans="2:2">
      <c r="B281" s="42"/>
    </row>
    <row r="282" spans="2:2">
      <c r="B282" s="42"/>
    </row>
    <row r="283" spans="2:2">
      <c r="B283" s="42"/>
    </row>
    <row r="284" spans="2:2">
      <c r="B284" s="42"/>
    </row>
    <row r="285" spans="2:2">
      <c r="B285" s="42"/>
    </row>
    <row r="286" spans="2:2">
      <c r="B286" s="42"/>
    </row>
    <row r="287" spans="2:2">
      <c r="B287" s="42"/>
    </row>
    <row r="288" spans="2:2">
      <c r="B288" s="42"/>
    </row>
    <row r="289" spans="2:2">
      <c r="B289" s="42"/>
    </row>
    <row r="290" spans="2:2">
      <c r="B290" s="42"/>
    </row>
    <row r="291" spans="2:2">
      <c r="B291" s="42"/>
    </row>
    <row r="292" spans="2:2">
      <c r="B292" s="42"/>
    </row>
    <row r="293" spans="2:2">
      <c r="B293" s="42"/>
    </row>
    <row r="294" spans="2:2">
      <c r="B294" s="42"/>
    </row>
    <row r="295" spans="2:2">
      <c r="B295" s="42"/>
    </row>
    <row r="296" spans="2:2">
      <c r="B296" s="42"/>
    </row>
    <row r="297" spans="2:2">
      <c r="B297" s="42"/>
    </row>
    <row r="298" spans="2:2">
      <c r="B298" s="42"/>
    </row>
    <row r="299" spans="2:2">
      <c r="B299" s="42"/>
    </row>
    <row r="300" spans="2:2">
      <c r="B300" s="42"/>
    </row>
    <row r="301" spans="2:2">
      <c r="B301" s="42"/>
    </row>
    <row r="302" spans="2:2">
      <c r="B302" s="42"/>
    </row>
    <row r="303" spans="2:2">
      <c r="B303" s="42"/>
    </row>
    <row r="304" spans="2:2">
      <c r="B304" s="42"/>
    </row>
    <row r="305" spans="2:2">
      <c r="B305" s="42"/>
    </row>
    <row r="306" spans="2:2">
      <c r="B306" s="42"/>
    </row>
    <row r="307" spans="2:2">
      <c r="B307" s="42"/>
    </row>
    <row r="308" spans="2:2">
      <c r="B308" s="42"/>
    </row>
    <row r="309" spans="2:2">
      <c r="B309" s="42"/>
    </row>
    <row r="310" spans="2:2">
      <c r="B310" s="42"/>
    </row>
    <row r="311" spans="2:2">
      <c r="B311" s="42"/>
    </row>
    <row r="312" spans="2:2">
      <c r="B312" s="42"/>
    </row>
    <row r="313" spans="2:2">
      <c r="B313" s="42"/>
    </row>
    <row r="314" spans="2:2">
      <c r="B314" s="42"/>
    </row>
    <row r="315" spans="2:2">
      <c r="B315" s="42"/>
    </row>
    <row r="316" spans="2:2">
      <c r="B316" s="42"/>
    </row>
    <row r="317" spans="2:2">
      <c r="B317" s="42"/>
    </row>
    <row r="318" spans="2:2">
      <c r="B318" s="42"/>
    </row>
    <row r="319" spans="2:2">
      <c r="B319" s="42"/>
    </row>
    <row r="320" spans="2:2">
      <c r="B320" s="42"/>
    </row>
    <row r="321" spans="2:2">
      <c r="B321" s="42"/>
    </row>
    <row r="322" spans="2:2">
      <c r="B322" s="42"/>
    </row>
    <row r="323" spans="2:2">
      <c r="B323" s="42"/>
    </row>
    <row r="324" spans="2:2">
      <c r="B324" s="42"/>
    </row>
    <row r="325" spans="2:2">
      <c r="B325" s="42"/>
    </row>
    <row r="326" spans="2:2">
      <c r="B326" s="42"/>
    </row>
    <row r="327" spans="2:2">
      <c r="B327" s="42"/>
    </row>
    <row r="328" spans="2:2">
      <c r="B328" s="42"/>
    </row>
    <row r="329" spans="2:2">
      <c r="B329" s="42"/>
    </row>
    <row r="330" spans="2:2">
      <c r="B330" s="42"/>
    </row>
    <row r="331" spans="2:2">
      <c r="B331" s="42"/>
    </row>
    <row r="332" spans="2:2">
      <c r="B332" s="42"/>
    </row>
    <row r="333" spans="2:2">
      <c r="B333" s="42"/>
    </row>
    <row r="334" spans="2:2">
      <c r="B334" s="42"/>
    </row>
    <row r="335" spans="2:2">
      <c r="B335" s="42"/>
    </row>
    <row r="336" spans="2:2">
      <c r="B336" s="42"/>
    </row>
    <row r="337" spans="2:2">
      <c r="B337" s="42"/>
    </row>
    <row r="338" spans="2:2">
      <c r="B338" s="42"/>
    </row>
    <row r="339" spans="2:2">
      <c r="B339" s="42"/>
    </row>
    <row r="340" spans="2:2">
      <c r="B340" s="42"/>
    </row>
    <row r="341" spans="2:2">
      <c r="B341" s="42"/>
    </row>
    <row r="342" spans="2:2">
      <c r="B342" s="42"/>
    </row>
    <row r="343" spans="2:2">
      <c r="B343" s="42"/>
    </row>
    <row r="344" spans="2:2">
      <c r="B344" s="42"/>
    </row>
    <row r="345" spans="2:2">
      <c r="B345" s="42"/>
    </row>
    <row r="346" spans="2:2">
      <c r="B346" s="42"/>
    </row>
    <row r="347" spans="2:2">
      <c r="B347" s="42"/>
    </row>
    <row r="348" spans="2:2">
      <c r="B348" s="42"/>
    </row>
    <row r="349" spans="2:2">
      <c r="B349" s="42"/>
    </row>
    <row r="350" spans="2:2">
      <c r="B350" s="42"/>
    </row>
    <row r="351" spans="2:2">
      <c r="B351" s="42"/>
    </row>
    <row r="352" spans="2:2">
      <c r="B352" s="42"/>
    </row>
    <row r="353" spans="2:2">
      <c r="B353" s="42"/>
    </row>
    <row r="354" spans="2:2">
      <c r="B354" s="42"/>
    </row>
    <row r="355" spans="2:2">
      <c r="B355" s="42"/>
    </row>
    <row r="356" spans="2:2">
      <c r="B356" s="42"/>
    </row>
    <row r="357" spans="2:2">
      <c r="B357" s="42"/>
    </row>
    <row r="358" spans="2:2">
      <c r="B358" s="42"/>
    </row>
    <row r="359" spans="2:2">
      <c r="B359" s="42"/>
    </row>
    <row r="360" spans="2:2">
      <c r="B360" s="42"/>
    </row>
    <row r="361" spans="2:2">
      <c r="B361" s="42"/>
    </row>
    <row r="362" spans="2:2">
      <c r="B362" s="42"/>
    </row>
    <row r="363" spans="2:2">
      <c r="B363" s="42"/>
    </row>
    <row r="364" spans="2:2">
      <c r="B364" s="42"/>
    </row>
    <row r="365" spans="2:2">
      <c r="B365" s="42"/>
    </row>
    <row r="366" spans="2:2">
      <c r="B366" s="42"/>
    </row>
    <row r="367" spans="2:2">
      <c r="B367" s="42"/>
    </row>
    <row r="368" spans="2:2">
      <c r="B368" s="42"/>
    </row>
    <row r="369" spans="2:2">
      <c r="B369" s="42"/>
    </row>
    <row r="370" spans="2:2">
      <c r="B370" s="42"/>
    </row>
    <row r="371" spans="2:2">
      <c r="B371" s="42"/>
    </row>
    <row r="372" spans="2:2">
      <c r="B372" s="42"/>
    </row>
    <row r="373" spans="2:2">
      <c r="B373" s="42"/>
    </row>
    <row r="374" spans="2:2">
      <c r="B374" s="42"/>
    </row>
    <row r="375" spans="2:2">
      <c r="B375" s="42"/>
    </row>
    <row r="376" spans="2:2">
      <c r="B376" s="42"/>
    </row>
    <row r="377" spans="2:2">
      <c r="B377" s="42"/>
    </row>
    <row r="378" spans="2:2">
      <c r="B378" s="42"/>
    </row>
    <row r="379" spans="2:2">
      <c r="B379" s="42"/>
    </row>
    <row r="380" spans="2:2">
      <c r="B380" s="42"/>
    </row>
    <row r="381" spans="2:2">
      <c r="B381" s="42"/>
    </row>
    <row r="382" spans="2:2">
      <c r="B382" s="42"/>
    </row>
    <row r="383" spans="2:2">
      <c r="B383" s="42"/>
    </row>
    <row r="384" spans="2:2">
      <c r="B384" s="42"/>
    </row>
    <row r="385" spans="2:2">
      <c r="B385" s="42"/>
    </row>
    <row r="386" spans="2:2">
      <c r="B386" s="42"/>
    </row>
    <row r="387" spans="2:2">
      <c r="B387" s="42"/>
    </row>
    <row r="388" spans="2:2">
      <c r="B388" s="42"/>
    </row>
    <row r="389" spans="2:2">
      <c r="B389" s="42"/>
    </row>
    <row r="390" spans="2:2">
      <c r="B390" s="42"/>
    </row>
    <row r="391" spans="2:2">
      <c r="B391" s="42"/>
    </row>
    <row r="392" spans="2:2">
      <c r="B392" s="42"/>
    </row>
    <row r="393" spans="2:2">
      <c r="B393" s="42"/>
    </row>
    <row r="394" spans="2:2">
      <c r="B394" s="42"/>
    </row>
    <row r="395" spans="2:2">
      <c r="B395" s="42"/>
    </row>
    <row r="396" spans="2:2">
      <c r="B396" s="42"/>
    </row>
    <row r="397" spans="2:2">
      <c r="B397" s="42"/>
    </row>
    <row r="398" spans="2:2">
      <c r="B398" s="42"/>
    </row>
    <row r="399" spans="2:2">
      <c r="B399" s="42"/>
    </row>
    <row r="400" spans="2:2">
      <c r="B400" s="42"/>
    </row>
    <row r="401" spans="2:2">
      <c r="B401" s="42"/>
    </row>
    <row r="402" spans="2:2">
      <c r="B402" s="42"/>
    </row>
    <row r="403" spans="2:2">
      <c r="B403" s="42"/>
    </row>
    <row r="404" spans="2:2">
      <c r="B404" s="42"/>
    </row>
    <row r="405" spans="2:2">
      <c r="B405" s="42"/>
    </row>
    <row r="406" spans="2:2">
      <c r="B406" s="42"/>
    </row>
    <row r="407" spans="2:2">
      <c r="B407" s="42"/>
    </row>
    <row r="408" spans="2:2">
      <c r="B408" s="42"/>
    </row>
    <row r="409" spans="2:2">
      <c r="B409" s="42"/>
    </row>
    <row r="410" spans="2:2">
      <c r="B410" s="42"/>
    </row>
    <row r="411" spans="2:2">
      <c r="B411" s="42"/>
    </row>
    <row r="412" spans="2:2">
      <c r="B412" s="42"/>
    </row>
    <row r="413" spans="2:2">
      <c r="B413" s="42"/>
    </row>
    <row r="414" spans="2:2">
      <c r="B414" s="42"/>
    </row>
    <row r="415" spans="2:2">
      <c r="B415" s="42"/>
    </row>
    <row r="416" spans="2:2">
      <c r="B416" s="42"/>
    </row>
    <row r="417" spans="2:2">
      <c r="B417" s="42"/>
    </row>
    <row r="418" spans="2:2">
      <c r="B418" s="42"/>
    </row>
    <row r="419" spans="2:2">
      <c r="B419" s="42"/>
    </row>
    <row r="420" spans="2:2">
      <c r="B420" s="42"/>
    </row>
    <row r="421" spans="2:2">
      <c r="B421" s="42"/>
    </row>
    <row r="422" spans="2:2">
      <c r="B422" s="42"/>
    </row>
    <row r="423" spans="2:2">
      <c r="B423" s="42"/>
    </row>
    <row r="424" spans="2:2">
      <c r="B424" s="42"/>
    </row>
    <row r="425" spans="2:2">
      <c r="B425" s="42"/>
    </row>
    <row r="426" spans="2:2">
      <c r="B426" s="42"/>
    </row>
    <row r="427" spans="2:2">
      <c r="B427" s="42"/>
    </row>
    <row r="428" spans="2:2">
      <c r="B428" s="42"/>
    </row>
    <row r="429" spans="2:2">
      <c r="B429" s="42"/>
    </row>
    <row r="430" spans="2:2">
      <c r="B430" s="42"/>
    </row>
    <row r="431" spans="2:2">
      <c r="B431" s="42"/>
    </row>
    <row r="432" spans="2:2">
      <c r="B432" s="42"/>
    </row>
    <row r="433" spans="2:2">
      <c r="B433" s="42"/>
    </row>
    <row r="434" spans="2:2">
      <c r="B434" s="42"/>
    </row>
    <row r="435" spans="2:2">
      <c r="B435" s="42"/>
    </row>
    <row r="436" spans="2:2">
      <c r="B436" s="42"/>
    </row>
    <row r="437" spans="2:2">
      <c r="B437" s="42"/>
    </row>
    <row r="438" spans="2:2">
      <c r="B438" s="42"/>
    </row>
    <row r="439" spans="2:2">
      <c r="B439" s="42"/>
    </row>
    <row r="440" spans="2:2">
      <c r="B440" s="42"/>
    </row>
    <row r="441" spans="2:2">
      <c r="B441" s="42"/>
    </row>
    <row r="442" spans="2:2">
      <c r="B442" s="42"/>
    </row>
    <row r="443" spans="2:2">
      <c r="B443" s="42"/>
    </row>
    <row r="444" spans="2:2">
      <c r="B444" s="42"/>
    </row>
    <row r="445" spans="2:2">
      <c r="B445" s="42"/>
    </row>
    <row r="446" spans="2:2">
      <c r="B446" s="42"/>
    </row>
    <row r="447" spans="2:2">
      <c r="B447" s="42"/>
    </row>
    <row r="448" spans="2:2">
      <c r="B448" s="42"/>
    </row>
    <row r="449" spans="2:2">
      <c r="B449" s="42"/>
    </row>
    <row r="450" spans="2:2">
      <c r="B450" s="42"/>
    </row>
    <row r="451" spans="2:2">
      <c r="B451" s="42"/>
    </row>
    <row r="452" spans="2:2">
      <c r="B452" s="42"/>
    </row>
    <row r="453" spans="2:2">
      <c r="B453" s="42"/>
    </row>
    <row r="454" spans="2:2">
      <c r="B454" s="42"/>
    </row>
    <row r="455" spans="2:2">
      <c r="B455" s="42"/>
    </row>
    <row r="456" spans="2:2">
      <c r="B456" s="42"/>
    </row>
    <row r="457" spans="2:2">
      <c r="B457" s="42"/>
    </row>
    <row r="458" spans="2:2">
      <c r="B458" s="42"/>
    </row>
    <row r="459" spans="2:2">
      <c r="B459" s="42"/>
    </row>
    <row r="460" spans="2:2">
      <c r="B460" s="42"/>
    </row>
    <row r="461" spans="2:2">
      <c r="B461" s="42"/>
    </row>
    <row r="462" spans="2:2">
      <c r="B462" s="42"/>
    </row>
    <row r="463" spans="2:2">
      <c r="B463" s="42"/>
    </row>
    <row r="464" spans="2:2">
      <c r="B464" s="42"/>
    </row>
    <row r="465" spans="2:2">
      <c r="B465" s="42"/>
    </row>
    <row r="466" spans="2:2">
      <c r="B466" s="42"/>
    </row>
    <row r="467" spans="2:2">
      <c r="B467" s="42"/>
    </row>
    <row r="468" spans="2:2">
      <c r="B468" s="42"/>
    </row>
    <row r="469" spans="2:2">
      <c r="B469" s="42"/>
    </row>
    <row r="470" spans="2:2">
      <c r="B470" s="42"/>
    </row>
    <row r="471" spans="2:2">
      <c r="B471" s="42"/>
    </row>
    <row r="472" spans="2:2">
      <c r="B472" s="42"/>
    </row>
    <row r="473" spans="2:2">
      <c r="B473" s="42"/>
    </row>
    <row r="474" spans="2:2">
      <c r="B474" s="42"/>
    </row>
    <row r="475" spans="2:2">
      <c r="B475" s="42"/>
    </row>
    <row r="476" spans="2:2">
      <c r="B476" s="42"/>
    </row>
    <row r="477" spans="2:2">
      <c r="B477" s="42"/>
    </row>
    <row r="478" spans="2:2">
      <c r="B478" s="42"/>
    </row>
    <row r="479" spans="2:2">
      <c r="B479" s="42"/>
    </row>
    <row r="480" spans="2:2">
      <c r="B480" s="42"/>
    </row>
    <row r="481" spans="2:2">
      <c r="B481" s="42"/>
    </row>
    <row r="482" spans="2:2">
      <c r="B482" s="42"/>
    </row>
    <row r="483" spans="2:2">
      <c r="B483" s="42"/>
    </row>
    <row r="484" spans="2:2">
      <c r="B484" s="42"/>
    </row>
    <row r="485" spans="2:2">
      <c r="B485" s="42"/>
    </row>
    <row r="486" spans="2:2">
      <c r="B486" s="42"/>
    </row>
    <row r="487" spans="2:2">
      <c r="B487" s="42"/>
    </row>
    <row r="488" spans="2:2">
      <c r="B488" s="42"/>
    </row>
    <row r="489" spans="2:2">
      <c r="B489" s="42"/>
    </row>
    <row r="490" spans="2:2">
      <c r="B490" s="42"/>
    </row>
    <row r="491" spans="2:2">
      <c r="B491" s="42"/>
    </row>
    <row r="492" spans="2:2">
      <c r="B492" s="42"/>
    </row>
    <row r="493" spans="2:2">
      <c r="B493" s="42"/>
    </row>
    <row r="494" spans="2:2">
      <c r="B494" s="42"/>
    </row>
    <row r="495" spans="2:2">
      <c r="B495" s="42"/>
    </row>
    <row r="496" spans="2:2">
      <c r="B496" s="42"/>
    </row>
    <row r="497" spans="2:2">
      <c r="B497" s="42"/>
    </row>
  </sheetData>
  <pageMargins left="0.511811024" right="0.511811024" top="0.78740157499999996" bottom="0.78740157499999996" header="0.31496062000000002" footer="0.31496062000000002"/>
</worksheet>
</file>

<file path=xl/worksheets/sheet12.xml><?xml version="1.0" encoding="utf-8"?>
<worksheet xmlns="http://schemas.openxmlformats.org/spreadsheetml/2006/main" xmlns:r="http://schemas.openxmlformats.org/officeDocument/2006/relationships">
  <dimension ref="A1:AF497"/>
  <sheetViews>
    <sheetView zoomScale="70" zoomScaleNormal="70" workbookViewId="0">
      <selection activeCell="B4" sqref="B4:AF9"/>
    </sheetView>
  </sheetViews>
  <sheetFormatPr defaultColWidth="5.7109375" defaultRowHeight="15"/>
  <cols>
    <col min="1" max="1" width="11.5703125" customWidth="1"/>
    <col min="2" max="32" width="7.7109375" style="43" customWidth="1"/>
    <col min="33" max="33" width="12.7109375" customWidth="1"/>
    <col min="257" max="257" width="11.5703125" customWidth="1"/>
    <col min="258" max="288" width="7.7109375" customWidth="1"/>
    <col min="289" max="289" width="12.7109375" customWidth="1"/>
    <col min="513" max="513" width="11.5703125" customWidth="1"/>
    <col min="514" max="544" width="7.7109375" customWidth="1"/>
    <col min="545" max="545" width="12.7109375" customWidth="1"/>
    <col min="769" max="769" width="11.5703125" customWidth="1"/>
    <col min="770" max="800" width="7.7109375" customWidth="1"/>
    <col min="801" max="801" width="12.7109375" customWidth="1"/>
    <col min="1025" max="1025" width="11.5703125" customWidth="1"/>
    <col min="1026" max="1056" width="7.7109375" customWidth="1"/>
    <col min="1057" max="1057" width="12.7109375" customWidth="1"/>
    <col min="1281" max="1281" width="11.5703125" customWidth="1"/>
    <col min="1282" max="1312" width="7.7109375" customWidth="1"/>
    <col min="1313" max="1313" width="12.7109375" customWidth="1"/>
    <col min="1537" max="1537" width="11.5703125" customWidth="1"/>
    <col min="1538" max="1568" width="7.7109375" customWidth="1"/>
    <col min="1569" max="1569" width="12.7109375" customWidth="1"/>
    <col min="1793" max="1793" width="11.5703125" customWidth="1"/>
    <col min="1794" max="1824" width="7.7109375" customWidth="1"/>
    <col min="1825" max="1825" width="12.7109375" customWidth="1"/>
    <col min="2049" max="2049" width="11.5703125" customWidth="1"/>
    <col min="2050" max="2080" width="7.7109375" customWidth="1"/>
    <col min="2081" max="2081" width="12.7109375" customWidth="1"/>
    <col min="2305" max="2305" width="11.5703125" customWidth="1"/>
    <col min="2306" max="2336" width="7.7109375" customWidth="1"/>
    <col min="2337" max="2337" width="12.7109375" customWidth="1"/>
    <col min="2561" max="2561" width="11.5703125" customWidth="1"/>
    <col min="2562" max="2592" width="7.7109375" customWidth="1"/>
    <col min="2593" max="2593" width="12.7109375" customWidth="1"/>
    <col min="2817" max="2817" width="11.5703125" customWidth="1"/>
    <col min="2818" max="2848" width="7.7109375" customWidth="1"/>
    <col min="2849" max="2849" width="12.7109375" customWidth="1"/>
    <col min="3073" max="3073" width="11.5703125" customWidth="1"/>
    <col min="3074" max="3104" width="7.7109375" customWidth="1"/>
    <col min="3105" max="3105" width="12.7109375" customWidth="1"/>
    <col min="3329" max="3329" width="11.5703125" customWidth="1"/>
    <col min="3330" max="3360" width="7.7109375" customWidth="1"/>
    <col min="3361" max="3361" width="12.7109375" customWidth="1"/>
    <col min="3585" max="3585" width="11.5703125" customWidth="1"/>
    <col min="3586" max="3616" width="7.7109375" customWidth="1"/>
    <col min="3617" max="3617" width="12.7109375" customWidth="1"/>
    <col min="3841" max="3841" width="11.5703125" customWidth="1"/>
    <col min="3842" max="3872" width="7.7109375" customWidth="1"/>
    <col min="3873" max="3873" width="12.7109375" customWidth="1"/>
    <col min="4097" max="4097" width="11.5703125" customWidth="1"/>
    <col min="4098" max="4128" width="7.7109375" customWidth="1"/>
    <col min="4129" max="4129" width="12.7109375" customWidth="1"/>
    <col min="4353" max="4353" width="11.5703125" customWidth="1"/>
    <col min="4354" max="4384" width="7.7109375" customWidth="1"/>
    <col min="4385" max="4385" width="12.7109375" customWidth="1"/>
    <col min="4609" max="4609" width="11.5703125" customWidth="1"/>
    <col min="4610" max="4640" width="7.7109375" customWidth="1"/>
    <col min="4641" max="4641" width="12.7109375" customWidth="1"/>
    <col min="4865" max="4865" width="11.5703125" customWidth="1"/>
    <col min="4866" max="4896" width="7.7109375" customWidth="1"/>
    <col min="4897" max="4897" width="12.7109375" customWidth="1"/>
    <col min="5121" max="5121" width="11.5703125" customWidth="1"/>
    <col min="5122" max="5152" width="7.7109375" customWidth="1"/>
    <col min="5153" max="5153" width="12.7109375" customWidth="1"/>
    <col min="5377" max="5377" width="11.5703125" customWidth="1"/>
    <col min="5378" max="5408" width="7.7109375" customWidth="1"/>
    <col min="5409" max="5409" width="12.7109375" customWidth="1"/>
    <col min="5633" max="5633" width="11.5703125" customWidth="1"/>
    <col min="5634" max="5664" width="7.7109375" customWidth="1"/>
    <col min="5665" max="5665" width="12.7109375" customWidth="1"/>
    <col min="5889" max="5889" width="11.5703125" customWidth="1"/>
    <col min="5890" max="5920" width="7.7109375" customWidth="1"/>
    <col min="5921" max="5921" width="12.7109375" customWidth="1"/>
    <col min="6145" max="6145" width="11.5703125" customWidth="1"/>
    <col min="6146" max="6176" width="7.7109375" customWidth="1"/>
    <col min="6177" max="6177" width="12.7109375" customWidth="1"/>
    <col min="6401" max="6401" width="11.5703125" customWidth="1"/>
    <col min="6402" max="6432" width="7.7109375" customWidth="1"/>
    <col min="6433" max="6433" width="12.7109375" customWidth="1"/>
    <col min="6657" max="6657" width="11.5703125" customWidth="1"/>
    <col min="6658" max="6688" width="7.7109375" customWidth="1"/>
    <col min="6689" max="6689" width="12.7109375" customWidth="1"/>
    <col min="6913" max="6913" width="11.5703125" customWidth="1"/>
    <col min="6914" max="6944" width="7.7109375" customWidth="1"/>
    <col min="6945" max="6945" width="12.7109375" customWidth="1"/>
    <col min="7169" max="7169" width="11.5703125" customWidth="1"/>
    <col min="7170" max="7200" width="7.7109375" customWidth="1"/>
    <col min="7201" max="7201" width="12.7109375" customWidth="1"/>
    <col min="7425" max="7425" width="11.5703125" customWidth="1"/>
    <col min="7426" max="7456" width="7.7109375" customWidth="1"/>
    <col min="7457" max="7457" width="12.7109375" customWidth="1"/>
    <col min="7681" max="7681" width="11.5703125" customWidth="1"/>
    <col min="7682" max="7712" width="7.7109375" customWidth="1"/>
    <col min="7713" max="7713" width="12.7109375" customWidth="1"/>
    <col min="7937" max="7937" width="11.5703125" customWidth="1"/>
    <col min="7938" max="7968" width="7.7109375" customWidth="1"/>
    <col min="7969" max="7969" width="12.7109375" customWidth="1"/>
    <col min="8193" max="8193" width="11.5703125" customWidth="1"/>
    <col min="8194" max="8224" width="7.7109375" customWidth="1"/>
    <col min="8225" max="8225" width="12.7109375" customWidth="1"/>
    <col min="8449" max="8449" width="11.5703125" customWidth="1"/>
    <col min="8450" max="8480" width="7.7109375" customWidth="1"/>
    <col min="8481" max="8481" width="12.7109375" customWidth="1"/>
    <col min="8705" max="8705" width="11.5703125" customWidth="1"/>
    <col min="8706" max="8736" width="7.7109375" customWidth="1"/>
    <col min="8737" max="8737" width="12.7109375" customWidth="1"/>
    <col min="8961" max="8961" width="11.5703125" customWidth="1"/>
    <col min="8962" max="8992" width="7.7109375" customWidth="1"/>
    <col min="8993" max="8993" width="12.7109375" customWidth="1"/>
    <col min="9217" max="9217" width="11.5703125" customWidth="1"/>
    <col min="9218" max="9248" width="7.7109375" customWidth="1"/>
    <col min="9249" max="9249" width="12.7109375" customWidth="1"/>
    <col min="9473" max="9473" width="11.5703125" customWidth="1"/>
    <col min="9474" max="9504" width="7.7109375" customWidth="1"/>
    <col min="9505" max="9505" width="12.7109375" customWidth="1"/>
    <col min="9729" max="9729" width="11.5703125" customWidth="1"/>
    <col min="9730" max="9760" width="7.7109375" customWidth="1"/>
    <col min="9761" max="9761" width="12.7109375" customWidth="1"/>
    <col min="9985" max="9985" width="11.5703125" customWidth="1"/>
    <col min="9986" max="10016" width="7.7109375" customWidth="1"/>
    <col min="10017" max="10017" width="12.7109375" customWidth="1"/>
    <col min="10241" max="10241" width="11.5703125" customWidth="1"/>
    <col min="10242" max="10272" width="7.7109375" customWidth="1"/>
    <col min="10273" max="10273" width="12.7109375" customWidth="1"/>
    <col min="10497" max="10497" width="11.5703125" customWidth="1"/>
    <col min="10498" max="10528" width="7.7109375" customWidth="1"/>
    <col min="10529" max="10529" width="12.7109375" customWidth="1"/>
    <col min="10753" max="10753" width="11.5703125" customWidth="1"/>
    <col min="10754" max="10784" width="7.7109375" customWidth="1"/>
    <col min="10785" max="10785" width="12.7109375" customWidth="1"/>
    <col min="11009" max="11009" width="11.5703125" customWidth="1"/>
    <col min="11010" max="11040" width="7.7109375" customWidth="1"/>
    <col min="11041" max="11041" width="12.7109375" customWidth="1"/>
    <col min="11265" max="11265" width="11.5703125" customWidth="1"/>
    <col min="11266" max="11296" width="7.7109375" customWidth="1"/>
    <col min="11297" max="11297" width="12.7109375" customWidth="1"/>
    <col min="11521" max="11521" width="11.5703125" customWidth="1"/>
    <col min="11522" max="11552" width="7.7109375" customWidth="1"/>
    <col min="11553" max="11553" width="12.7109375" customWidth="1"/>
    <col min="11777" max="11777" width="11.5703125" customWidth="1"/>
    <col min="11778" max="11808" width="7.7109375" customWidth="1"/>
    <col min="11809" max="11809" width="12.7109375" customWidth="1"/>
    <col min="12033" max="12033" width="11.5703125" customWidth="1"/>
    <col min="12034" max="12064" width="7.7109375" customWidth="1"/>
    <col min="12065" max="12065" width="12.7109375" customWidth="1"/>
    <col min="12289" max="12289" width="11.5703125" customWidth="1"/>
    <col min="12290" max="12320" width="7.7109375" customWidth="1"/>
    <col min="12321" max="12321" width="12.7109375" customWidth="1"/>
    <col min="12545" max="12545" width="11.5703125" customWidth="1"/>
    <col min="12546" max="12576" width="7.7109375" customWidth="1"/>
    <col min="12577" max="12577" width="12.7109375" customWidth="1"/>
    <col min="12801" max="12801" width="11.5703125" customWidth="1"/>
    <col min="12802" max="12832" width="7.7109375" customWidth="1"/>
    <col min="12833" max="12833" width="12.7109375" customWidth="1"/>
    <col min="13057" max="13057" width="11.5703125" customWidth="1"/>
    <col min="13058" max="13088" width="7.7109375" customWidth="1"/>
    <col min="13089" max="13089" width="12.7109375" customWidth="1"/>
    <col min="13313" max="13313" width="11.5703125" customWidth="1"/>
    <col min="13314" max="13344" width="7.7109375" customWidth="1"/>
    <col min="13345" max="13345" width="12.7109375" customWidth="1"/>
    <col min="13569" max="13569" width="11.5703125" customWidth="1"/>
    <col min="13570" max="13600" width="7.7109375" customWidth="1"/>
    <col min="13601" max="13601" width="12.7109375" customWidth="1"/>
    <col min="13825" max="13825" width="11.5703125" customWidth="1"/>
    <col min="13826" max="13856" width="7.7109375" customWidth="1"/>
    <col min="13857" max="13857" width="12.7109375" customWidth="1"/>
    <col min="14081" max="14081" width="11.5703125" customWidth="1"/>
    <col min="14082" max="14112" width="7.7109375" customWidth="1"/>
    <col min="14113" max="14113" width="12.7109375" customWidth="1"/>
    <col min="14337" max="14337" width="11.5703125" customWidth="1"/>
    <col min="14338" max="14368" width="7.7109375" customWidth="1"/>
    <col min="14369" max="14369" width="12.7109375" customWidth="1"/>
    <col min="14593" max="14593" width="11.5703125" customWidth="1"/>
    <col min="14594" max="14624" width="7.7109375" customWidth="1"/>
    <col min="14625" max="14625" width="12.7109375" customWidth="1"/>
    <col min="14849" max="14849" width="11.5703125" customWidth="1"/>
    <col min="14850" max="14880" width="7.7109375" customWidth="1"/>
    <col min="14881" max="14881" width="12.7109375" customWidth="1"/>
    <col min="15105" max="15105" width="11.5703125" customWidth="1"/>
    <col min="15106" max="15136" width="7.7109375" customWidth="1"/>
    <col min="15137" max="15137" width="12.7109375" customWidth="1"/>
    <col min="15361" max="15361" width="11.5703125" customWidth="1"/>
    <col min="15362" max="15392" width="7.7109375" customWidth="1"/>
    <col min="15393" max="15393" width="12.7109375" customWidth="1"/>
    <col min="15617" max="15617" width="11.5703125" customWidth="1"/>
    <col min="15618" max="15648" width="7.7109375" customWidth="1"/>
    <col min="15649" max="15649" width="12.7109375" customWidth="1"/>
    <col min="15873" max="15873" width="11.5703125" customWidth="1"/>
    <col min="15874" max="15904" width="7.7109375" customWidth="1"/>
    <col min="15905" max="15905" width="12.7109375" customWidth="1"/>
    <col min="16129" max="16129" width="11.5703125" customWidth="1"/>
    <col min="16130" max="16160" width="7.7109375" customWidth="1"/>
    <col min="16161" max="16161" width="12.7109375" customWidth="1"/>
  </cols>
  <sheetData>
    <row r="1" spans="1:32" ht="18">
      <c r="A1" s="1"/>
      <c r="B1" s="2" t="str">
        <f>'[12]Dia 1 (b)'!C1</f>
        <v>DEZEMBRO DE 2023</v>
      </c>
      <c r="C1" s="3"/>
      <c r="D1" s="4"/>
      <c r="E1" s="5"/>
      <c r="F1" s="2"/>
      <c r="G1" s="3"/>
      <c r="H1" s="3"/>
      <c r="I1" s="3"/>
      <c r="J1" s="3"/>
      <c r="K1" s="3" t="s">
        <v>0</v>
      </c>
      <c r="L1" s="3"/>
      <c r="M1" s="3"/>
      <c r="N1" s="6"/>
      <c r="O1" s="7"/>
      <c r="P1" s="8"/>
      <c r="Q1" s="7"/>
      <c r="R1" s="7"/>
      <c r="S1" s="7"/>
      <c r="T1" s="7"/>
      <c r="U1" s="7"/>
      <c r="V1" s="9"/>
      <c r="W1" s="3"/>
      <c r="X1" s="3"/>
      <c r="Y1" s="3"/>
      <c r="Z1" s="3"/>
      <c r="AA1" s="3"/>
      <c r="AB1" s="3"/>
      <c r="AC1" s="3"/>
      <c r="AD1" s="3"/>
      <c r="AE1" s="3"/>
      <c r="AF1" s="3"/>
    </row>
    <row r="2" spans="1:32" ht="15.75" thickBot="1">
      <c r="A2" s="1"/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</row>
    <row r="3" spans="1:32" ht="20.100000000000001" customHeight="1" thickBot="1">
      <c r="A3" s="10" t="s">
        <v>1</v>
      </c>
      <c r="B3" s="11">
        <v>1</v>
      </c>
      <c r="C3" s="11">
        <v>2</v>
      </c>
      <c r="D3" s="11">
        <v>3</v>
      </c>
      <c r="E3" s="11">
        <v>4</v>
      </c>
      <c r="F3" s="11">
        <v>5</v>
      </c>
      <c r="G3" s="11">
        <v>6</v>
      </c>
      <c r="H3" s="11">
        <v>7</v>
      </c>
      <c r="I3" s="11">
        <v>8</v>
      </c>
      <c r="J3" s="11">
        <v>9</v>
      </c>
      <c r="K3" s="11">
        <v>10</v>
      </c>
      <c r="L3" s="11">
        <v>11</v>
      </c>
      <c r="M3" s="11">
        <v>12</v>
      </c>
      <c r="N3" s="11">
        <v>13</v>
      </c>
      <c r="O3" s="11">
        <v>14</v>
      </c>
      <c r="P3" s="11">
        <v>15</v>
      </c>
      <c r="Q3" s="11">
        <v>16</v>
      </c>
      <c r="R3" s="11">
        <v>17</v>
      </c>
      <c r="S3" s="11">
        <v>18</v>
      </c>
      <c r="T3" s="11">
        <v>19</v>
      </c>
      <c r="U3" s="11">
        <v>20</v>
      </c>
      <c r="V3" s="11">
        <v>21</v>
      </c>
      <c r="W3" s="11">
        <v>22</v>
      </c>
      <c r="X3" s="11">
        <v>23</v>
      </c>
      <c r="Y3" s="11">
        <v>24</v>
      </c>
      <c r="Z3" s="12">
        <v>25</v>
      </c>
      <c r="AA3" s="12">
        <v>26</v>
      </c>
      <c r="AB3" s="12">
        <v>27</v>
      </c>
      <c r="AC3" s="12">
        <v>28</v>
      </c>
      <c r="AD3" s="12">
        <v>29</v>
      </c>
      <c r="AE3" s="12">
        <v>30</v>
      </c>
      <c r="AF3" s="13">
        <v>31</v>
      </c>
    </row>
    <row r="4" spans="1:32" ht="20.100000000000001" customHeight="1">
      <c r="A4" s="14">
        <v>1</v>
      </c>
      <c r="B4" s="59"/>
      <c r="C4" s="59"/>
      <c r="D4" s="59"/>
      <c r="E4" s="59"/>
      <c r="F4" s="59"/>
      <c r="G4" s="59"/>
      <c r="H4" s="59"/>
      <c r="I4" s="59"/>
      <c r="J4" s="59"/>
      <c r="K4" s="59"/>
      <c r="L4" s="59"/>
      <c r="M4" s="59"/>
      <c r="N4" s="59"/>
      <c r="O4" s="59"/>
      <c r="P4" s="59"/>
      <c r="Q4" s="59"/>
      <c r="R4" s="59"/>
      <c r="S4" s="59"/>
      <c r="T4" s="59"/>
      <c r="U4" s="59"/>
      <c r="V4" s="59"/>
      <c r="W4" s="59"/>
      <c r="X4" s="59"/>
      <c r="Y4" s="59"/>
      <c r="Z4" s="59"/>
      <c r="AA4" s="59"/>
      <c r="AB4" s="59"/>
      <c r="AC4" s="59"/>
      <c r="AD4" s="59"/>
      <c r="AE4" s="59"/>
      <c r="AF4" s="59"/>
    </row>
    <row r="5" spans="1:32" ht="20.100000000000001" customHeight="1">
      <c r="A5" s="14">
        <v>2</v>
      </c>
      <c r="B5" s="59"/>
      <c r="C5" s="59"/>
      <c r="D5" s="59"/>
      <c r="E5" s="59"/>
      <c r="F5" s="59"/>
      <c r="G5" s="59"/>
      <c r="H5" s="59"/>
      <c r="I5" s="59"/>
      <c r="J5" s="59"/>
      <c r="K5" s="59"/>
      <c r="L5" s="59"/>
      <c r="M5" s="59"/>
      <c r="N5" s="59"/>
      <c r="O5" s="59"/>
      <c r="P5" s="59"/>
      <c r="Q5" s="59"/>
      <c r="R5" s="59"/>
      <c r="S5" s="59"/>
      <c r="T5" s="59"/>
      <c r="U5" s="59"/>
      <c r="V5" s="59"/>
      <c r="W5" s="59"/>
      <c r="X5" s="59"/>
      <c r="Y5" s="59"/>
      <c r="Z5" s="59"/>
      <c r="AA5" s="59"/>
      <c r="AB5" s="59"/>
      <c r="AC5" s="59"/>
      <c r="AD5" s="59"/>
      <c r="AE5" s="59"/>
      <c r="AF5" s="59"/>
    </row>
    <row r="6" spans="1:32" ht="20.100000000000001" customHeight="1">
      <c r="A6" s="14">
        <v>3</v>
      </c>
      <c r="B6" s="59"/>
      <c r="C6" s="59"/>
      <c r="D6" s="59"/>
      <c r="E6" s="59"/>
      <c r="F6" s="59"/>
      <c r="G6" s="59"/>
      <c r="H6" s="59"/>
      <c r="I6" s="59"/>
      <c r="J6" s="59"/>
      <c r="K6" s="59"/>
      <c r="L6" s="59"/>
      <c r="M6" s="59"/>
      <c r="N6" s="59"/>
      <c r="O6" s="59"/>
      <c r="P6" s="59"/>
      <c r="Q6" s="59"/>
      <c r="R6" s="59"/>
      <c r="S6" s="59"/>
      <c r="T6" s="59"/>
      <c r="U6" s="59"/>
      <c r="V6" s="59"/>
      <c r="W6" s="59"/>
      <c r="X6" s="59"/>
      <c r="Y6" s="59"/>
      <c r="Z6" s="59"/>
      <c r="AA6" s="59"/>
      <c r="AB6" s="59"/>
      <c r="AC6" s="59"/>
      <c r="AD6" s="59"/>
      <c r="AE6" s="59"/>
      <c r="AF6" s="59"/>
    </row>
    <row r="7" spans="1:32" ht="20.100000000000001" customHeight="1">
      <c r="A7" s="14">
        <v>4</v>
      </c>
      <c r="B7" s="59"/>
      <c r="C7" s="59"/>
      <c r="D7" s="59"/>
      <c r="E7" s="59"/>
      <c r="F7" s="59"/>
      <c r="G7" s="59"/>
      <c r="H7" s="59"/>
      <c r="I7" s="59"/>
      <c r="J7" s="59"/>
      <c r="K7" s="59"/>
      <c r="L7" s="59"/>
      <c r="M7" s="59"/>
      <c r="N7" s="59"/>
      <c r="O7" s="59"/>
      <c r="P7" s="59"/>
      <c r="Q7" s="59"/>
      <c r="R7" s="59"/>
      <c r="S7" s="59"/>
      <c r="T7" s="59"/>
      <c r="U7" s="59"/>
      <c r="V7" s="59"/>
      <c r="W7" s="59"/>
      <c r="X7" s="59"/>
      <c r="Y7" s="59"/>
      <c r="Z7" s="59"/>
      <c r="AA7" s="59"/>
      <c r="AB7" s="59"/>
      <c r="AC7" s="59"/>
      <c r="AD7" s="59"/>
      <c r="AE7" s="59"/>
      <c r="AF7" s="59"/>
    </row>
    <row r="8" spans="1:32" ht="20.100000000000001" customHeight="1">
      <c r="A8" s="14">
        <v>5</v>
      </c>
      <c r="B8" s="59"/>
      <c r="C8" s="59"/>
      <c r="D8" s="59"/>
      <c r="E8" s="59"/>
      <c r="F8" s="59"/>
      <c r="G8" s="59"/>
      <c r="H8" s="59"/>
      <c r="I8" s="59"/>
      <c r="J8" s="59"/>
      <c r="K8" s="59"/>
      <c r="L8" s="59"/>
      <c r="M8" s="59"/>
      <c r="N8" s="59"/>
      <c r="O8" s="59"/>
      <c r="P8" s="59"/>
      <c r="Q8" s="59"/>
      <c r="R8" s="59"/>
      <c r="S8" s="59"/>
      <c r="T8" s="59"/>
      <c r="U8" s="59"/>
      <c r="V8" s="59"/>
      <c r="W8" s="59"/>
      <c r="X8" s="59"/>
      <c r="Y8" s="59"/>
      <c r="Z8" s="59"/>
      <c r="AA8" s="59"/>
      <c r="AB8" s="59"/>
      <c r="AC8" s="59"/>
      <c r="AD8" s="59"/>
      <c r="AE8" s="59"/>
      <c r="AF8" s="59"/>
    </row>
    <row r="9" spans="1:32" ht="20.100000000000001" customHeight="1">
      <c r="A9" s="14">
        <v>6</v>
      </c>
      <c r="B9" s="59"/>
      <c r="C9" s="59"/>
      <c r="D9" s="59"/>
      <c r="E9" s="59"/>
      <c r="F9" s="59"/>
      <c r="G9" s="59"/>
      <c r="H9" s="59"/>
      <c r="I9" s="59"/>
      <c r="J9" s="59"/>
      <c r="K9" s="59"/>
      <c r="L9" s="59"/>
      <c r="M9" s="59"/>
      <c r="N9" s="59"/>
      <c r="O9" s="59"/>
      <c r="P9" s="59"/>
      <c r="Q9" s="59"/>
      <c r="R9" s="59"/>
      <c r="S9" s="59"/>
      <c r="T9" s="59"/>
      <c r="U9" s="59"/>
      <c r="V9" s="59"/>
      <c r="W9" s="59"/>
      <c r="X9" s="59"/>
      <c r="Y9" s="59"/>
      <c r="Z9" s="59"/>
      <c r="AA9" s="59"/>
      <c r="AB9" s="59"/>
      <c r="AC9" s="59"/>
      <c r="AD9" s="59"/>
      <c r="AE9" s="59"/>
      <c r="AF9" s="59"/>
    </row>
    <row r="10" spans="1:32" ht="20.100000000000001" customHeight="1">
      <c r="A10" s="14">
        <v>7</v>
      </c>
      <c r="B10" s="15">
        <f>'[12]Dia 1 (b)'!$X16</f>
        <v>16.623502534097732</v>
      </c>
      <c r="C10" s="15">
        <f>'[12]Dia 2 (b)'!$X16</f>
        <v>14.669724613674465</v>
      </c>
      <c r="D10" s="15">
        <f>'[12]Dia 3 (b)'!$X16</f>
        <v>16.978775398437747</v>
      </c>
      <c r="E10" s="15">
        <f>'[12]Dia 4 (b)'!$X16</f>
        <v>14.294762960542105</v>
      </c>
      <c r="F10" s="15">
        <f>'[12]Dia 5 (b)'!$X16</f>
        <v>14.837577825118027</v>
      </c>
      <c r="G10" s="15">
        <f>'[12]Dia 6 (b)'!$X16</f>
        <v>15.659874049733173</v>
      </c>
      <c r="H10" s="15">
        <f>'[12]Dia 7 (b)'!$X16</f>
        <v>17.510186544738207</v>
      </c>
      <c r="I10" s="15">
        <f>'[12]Dia 8 (b)'!$X16</f>
        <v>15.149175164993206</v>
      </c>
      <c r="J10" s="15">
        <f>'[12]Dia 9 (b)'!$X16</f>
        <v>12.426915448889607</v>
      </c>
      <c r="K10" s="15">
        <f>'[12]Dia 10 (b)'!$X16</f>
        <v>11.892503549198988</v>
      </c>
      <c r="L10" s="15">
        <f>'[12]Dia 11 (b)'!$X16</f>
        <v>14.631551913242635</v>
      </c>
      <c r="M10" s="15">
        <f>'[12]Dia 12 (b)'!$X16</f>
        <v>12.714684703050537</v>
      </c>
      <c r="N10" s="15">
        <f>'[12]Dia 13 (b)'!$X16</f>
        <v>12.353089424611417</v>
      </c>
      <c r="O10" s="15">
        <f>'[12]Dia 14 (b)'!$X16</f>
        <v>14.521090586578739</v>
      </c>
      <c r="P10" s="15">
        <f>'[12]Dia 15 (b)'!$X16</f>
        <v>16.105853387214434</v>
      </c>
      <c r="Q10" s="15">
        <f>'[12]Dia 16 (b)'!$X16</f>
        <v>16.337293136106346</v>
      </c>
      <c r="R10" s="15">
        <f>'[12]Dia 17 (b)'!$X16</f>
        <v>15.745631646478138</v>
      </c>
      <c r="S10" s="15">
        <f>'[12]Dia 18 (b)'!$X16</f>
        <v>13.956956185572947</v>
      </c>
      <c r="T10" s="15">
        <f>'[12]Dia 19 (b)'!$X16</f>
        <v>13.782709450225809</v>
      </c>
      <c r="U10" s="15">
        <f>'[12]Dia 20 (b)'!$X16</f>
        <v>12.148716106323329</v>
      </c>
      <c r="V10" s="15">
        <f>'[12]Dia 21 (b)'!$X16</f>
        <v>12.995846275459279</v>
      </c>
      <c r="W10" s="15">
        <f>'[12]Dia 22 (b)'!$X16</f>
        <v>15.409630329475792</v>
      </c>
      <c r="X10" s="15">
        <f>'[12]Dia 23 (b)'!$X16</f>
        <v>16.860891141452079</v>
      </c>
      <c r="Y10" s="15">
        <f>'[12]Dia 24 (b)'!$X16</f>
        <v>15.362663086621069</v>
      </c>
      <c r="Z10" s="15">
        <f>'[12]Dia 25 (b)'!$X16</f>
        <v>15.927532748580161</v>
      </c>
      <c r="AA10" s="15">
        <f>'[12]Dia 26 (b)'!$X16</f>
        <v>14.804041148054791</v>
      </c>
      <c r="AB10" s="15">
        <f>'[12]Dia 27 (b)'!$X16</f>
        <v>10.715159293494176</v>
      </c>
      <c r="AC10" s="15">
        <f>'[12]Dia 28 (b)'!$X16</f>
        <v>10.837806432962104</v>
      </c>
      <c r="AD10" s="15">
        <f>'[12]Dia 29 (b)'!$X16</f>
        <v>15.082729139203741</v>
      </c>
      <c r="AE10" s="15">
        <f>'[12]Dia 30 (b)'!$X16</f>
        <v>14.863744837818055</v>
      </c>
      <c r="AF10" s="15">
        <f>'[12]Dia 31 (b)'!$X16</f>
        <v>11.402863362843313</v>
      </c>
    </row>
    <row r="11" spans="1:32" ht="20.100000000000001" customHeight="1">
      <c r="A11" s="14">
        <v>8</v>
      </c>
      <c r="B11" s="15">
        <f>'[12]Dia 1 (b)'!$X17</f>
        <v>15.32200759100375</v>
      </c>
      <c r="C11" s="15">
        <f>'[12]Dia 2 (b)'!$X17</f>
        <v>14.363693330378222</v>
      </c>
      <c r="D11" s="15">
        <f>'[12]Dia 3 (b)'!$X17</f>
        <v>16.768079286252974</v>
      </c>
      <c r="E11" s="15">
        <f>'[12]Dia 4 (b)'!$X17</f>
        <v>14.246801870919048</v>
      </c>
      <c r="F11" s="15">
        <f>'[12]Dia 5 (b)'!$X17</f>
        <v>14.990065279736337</v>
      </c>
      <c r="G11" s="15">
        <f>'[12]Dia 6 (b)'!$X17</f>
        <v>15.717748708002384</v>
      </c>
      <c r="H11" s="15">
        <f>'[12]Dia 7 (b)'!$X17</f>
        <v>16.113523146897681</v>
      </c>
      <c r="I11" s="15">
        <f>'[12]Dia 8 (b)'!$X17</f>
        <v>13.796865979505787</v>
      </c>
      <c r="J11" s="15">
        <f>'[12]Dia 9 (b)'!$X17</f>
        <v>12.212284042264066</v>
      </c>
      <c r="K11" s="15">
        <f>'[12]Dia 10 (b)'!$X17</f>
        <v>12.497248008666404</v>
      </c>
      <c r="L11" s="15">
        <f>'[12]Dia 11 (b)'!$X17</f>
        <v>13.855365796004969</v>
      </c>
      <c r="M11" s="15">
        <f>'[12]Dia 12 (b)'!$X17</f>
        <v>12.075855304940426</v>
      </c>
      <c r="N11" s="15">
        <f>'[12]Dia 13 (b)'!$X17</f>
        <v>12.520430993510951</v>
      </c>
      <c r="O11" s="15">
        <f>'[12]Dia 14 (b)'!$X17</f>
        <v>15.009809253963079</v>
      </c>
      <c r="P11" s="15">
        <f>'[12]Dia 15 (b)'!$X17</f>
        <v>16.016467255249889</v>
      </c>
      <c r="Q11" s="15">
        <f>'[12]Dia 16 (b)'!$X17</f>
        <v>16.058783291595358</v>
      </c>
      <c r="R11" s="15">
        <f>'[12]Dia 17 (b)'!$X17</f>
        <v>15.45585824474872</v>
      </c>
      <c r="S11" s="15">
        <f>'[12]Dia 18 (b)'!$X17</f>
        <v>13.650089159129102</v>
      </c>
      <c r="T11" s="15">
        <f>'[12]Dia 19 (b)'!$X17</f>
        <v>13.577223123878857</v>
      </c>
      <c r="U11" s="15">
        <f>'[12]Dia 20 (b)'!$X17</f>
        <v>11.991342085880358</v>
      </c>
      <c r="V11" s="15">
        <f>'[12]Dia 21 (b)'!$X17</f>
        <v>12.949303127992792</v>
      </c>
      <c r="W11" s="15">
        <f>'[12]Dia 22 (b)'!$X17</f>
        <v>15.244486518609031</v>
      </c>
      <c r="X11" s="15">
        <f>'[12]Dia 23 (b)'!$X17</f>
        <v>16.368731415032425</v>
      </c>
      <c r="Y11" s="15">
        <f>'[12]Dia 24 (b)'!$X17</f>
        <v>15.172276802933835</v>
      </c>
      <c r="Z11" s="15">
        <f>'[12]Dia 25 (b)'!$X17</f>
        <v>16.012565951076944</v>
      </c>
      <c r="AA11" s="15">
        <f>'[12]Dia 26 (b)'!$X17</f>
        <v>15.177864516863176</v>
      </c>
      <c r="AB11" s="15">
        <f>'[12]Dia 27 (b)'!$X17</f>
        <v>10.030925177623001</v>
      </c>
      <c r="AC11" s="15">
        <f>'[12]Dia 28 (b)'!$X17</f>
        <v>11.050081426079325</v>
      </c>
      <c r="AD11" s="15">
        <f>'[12]Dia 29 (b)'!$X17</f>
        <v>14.646801688707127</v>
      </c>
      <c r="AE11" s="15">
        <f>'[12]Dia 30 (b)'!$X17</f>
        <v>14.481622238653566</v>
      </c>
      <c r="AF11" s="15">
        <f>'[12]Dia 31 (b)'!$X17</f>
        <v>11.388131395807195</v>
      </c>
    </row>
    <row r="12" spans="1:32" ht="20.100000000000001" customHeight="1">
      <c r="A12" s="14">
        <v>9</v>
      </c>
      <c r="B12" s="15">
        <f>'[12]Dia 1 (b)'!$X18</f>
        <v>15.1943507840967</v>
      </c>
      <c r="C12" s="15">
        <f>'[12]Dia 2 (b)'!$X18</f>
        <v>13.766960162621757</v>
      </c>
      <c r="D12" s="15">
        <f>'[12]Dia 3 (b)'!$X18</f>
        <v>15.335452278543126</v>
      </c>
      <c r="E12" s="15">
        <f>'[12]Dia 4 (b)'!$X18</f>
        <v>13.672537093829325</v>
      </c>
      <c r="F12" s="15">
        <f>'[12]Dia 5 (b)'!$X18</f>
        <v>14.650106218683408</v>
      </c>
      <c r="G12" s="15">
        <f>'[12]Dia 6 (b)'!$X18</f>
        <v>15.972087064258682</v>
      </c>
      <c r="H12" s="15">
        <f>'[12]Dia 7 (b)'!$X18</f>
        <v>15.319667853309607</v>
      </c>
      <c r="I12" s="15">
        <f>'[12]Dia 8 (b)'!$X18</f>
        <v>13.1673538243412</v>
      </c>
      <c r="J12" s="15">
        <f>'[12]Dia 9 (b)'!$X18</f>
        <v>12.876115815094151</v>
      </c>
      <c r="K12" s="15">
        <f>'[12]Dia 10 (b)'!$X18</f>
        <v>11.786221687114232</v>
      </c>
      <c r="L12" s="15">
        <f>'[12]Dia 11 (b)'!$X18</f>
        <v>14.191932555023465</v>
      </c>
      <c r="M12" s="15">
        <f>'[12]Dia 12 (b)'!$X18</f>
        <v>11.731841657909701</v>
      </c>
      <c r="N12" s="15">
        <f>'[12]Dia 13 (b)'!$X18</f>
        <v>13.053606985713362</v>
      </c>
      <c r="O12" s="15">
        <f>'[12]Dia 14 (b)'!$X18</f>
        <v>14.650710280794886</v>
      </c>
      <c r="P12" s="15">
        <f>'[12]Dia 15 (b)'!$X18</f>
        <v>15.545028761170897</v>
      </c>
      <c r="Q12" s="15">
        <f>'[12]Dia 16 (b)'!$X18</f>
        <v>15.71288472526914</v>
      </c>
      <c r="R12" s="15">
        <f>'[12]Dia 17 (b)'!$X18</f>
        <v>14.40197744646759</v>
      </c>
      <c r="S12" s="15">
        <f>'[12]Dia 18 (b)'!$X18</f>
        <v>13.303488721308547</v>
      </c>
      <c r="T12" s="15">
        <f>'[12]Dia 19 (b)'!$X18</f>
        <v>13.539818247892109</v>
      </c>
      <c r="U12" s="15">
        <f>'[12]Dia 20 (b)'!$X18</f>
        <v>11.01716137598847</v>
      </c>
      <c r="V12" s="15">
        <f>'[12]Dia 21 (b)'!$X18</f>
        <v>12.989450059468167</v>
      </c>
      <c r="W12" s="15">
        <f>'[12]Dia 22 (b)'!$X18</f>
        <v>15.937648245091378</v>
      </c>
      <c r="X12" s="15">
        <f>'[12]Dia 23 (b)'!$X18</f>
        <v>15.598840362644117</v>
      </c>
      <c r="Y12" s="15">
        <f>'[12]Dia 24 (b)'!$X18</f>
        <v>14.858112554572612</v>
      </c>
      <c r="Z12" s="15">
        <f>'[12]Dia 25 (b)'!$X18</f>
        <v>15.609832765303903</v>
      </c>
      <c r="AA12" s="15">
        <f>'[12]Dia 26 (b)'!$X18</f>
        <v>15.210143534361881</v>
      </c>
      <c r="AB12" s="15">
        <f>'[12]Dia 27 (b)'!$X18</f>
        <v>10.248373593816925</v>
      </c>
      <c r="AC12" s="15">
        <f>'[12]Dia 28 (b)'!$X18</f>
        <v>10.886136586876216</v>
      </c>
      <c r="AD12" s="15">
        <f>'[12]Dia 29 (b)'!$X18</f>
        <v>14.63540374642916</v>
      </c>
      <c r="AE12" s="15">
        <f>'[12]Dia 30 (b)'!$X18</f>
        <v>14.667234199707023</v>
      </c>
      <c r="AF12" s="15">
        <f>'[12]Dia 31 (b)'!$X18</f>
        <v>11.352847229662952</v>
      </c>
    </row>
    <row r="13" spans="1:32" ht="20.100000000000001" customHeight="1">
      <c r="A13" s="14">
        <v>10</v>
      </c>
      <c r="B13" s="15">
        <f>'[12]Dia 1 (b)'!$X19</f>
        <v>14.583746144530547</v>
      </c>
      <c r="C13" s="15">
        <f>'[12]Dia 2 (b)'!$X19</f>
        <v>12.84765853299721</v>
      </c>
      <c r="D13" s="15">
        <f>'[12]Dia 3 (b)'!$X19</f>
        <v>16.606923820292831</v>
      </c>
      <c r="E13" s="15">
        <f>'[12]Dia 4 (b)'!$X19</f>
        <v>13.649649043082087</v>
      </c>
      <c r="F13" s="15">
        <f>'[12]Dia 5 (b)'!$X19</f>
        <v>14.84646840086179</v>
      </c>
      <c r="G13" s="15">
        <f>'[12]Dia 6 (b)'!$X19</f>
        <v>15.578423071466922</v>
      </c>
      <c r="H13" s="15">
        <f>'[12]Dia 7 (b)'!$X19</f>
        <v>14.90688507289323</v>
      </c>
      <c r="I13" s="15">
        <f>'[12]Dia 8 (b)'!$X19</f>
        <v>13.770837965101117</v>
      </c>
      <c r="J13" s="15">
        <f>'[12]Dia 9 (b)'!$X19</f>
        <v>13.440148702144972</v>
      </c>
      <c r="K13" s="15">
        <f>'[12]Dia 10 (b)'!$X19</f>
        <v>12.40492687061751</v>
      </c>
      <c r="L13" s="15">
        <f>'[12]Dia 11 (b)'!$X19</f>
        <v>14.531665840105546</v>
      </c>
      <c r="M13" s="15">
        <f>'[12]Dia 12 (b)'!$X19</f>
        <v>11.931670822959209</v>
      </c>
      <c r="N13" s="15">
        <f>'[12]Dia 13 (b)'!$X19</f>
        <v>13.307989422543626</v>
      </c>
      <c r="O13" s="15">
        <f>'[12]Dia 14 (b)'!$X19</f>
        <v>14.476442829469466</v>
      </c>
      <c r="P13" s="15">
        <f>'[12]Dia 15 (b)'!$X19</f>
        <v>14.565278709504616</v>
      </c>
      <c r="Q13" s="15">
        <f>'[12]Dia 16 (b)'!$X19</f>
        <v>15.104928900287488</v>
      </c>
      <c r="R13" s="15">
        <f>'[12]Dia 17 (b)'!$X19</f>
        <v>13.521388029472671</v>
      </c>
      <c r="S13" s="15">
        <f>'[12]Dia 18 (b)'!$X19</f>
        <v>13.449866366295659</v>
      </c>
      <c r="T13" s="15">
        <f>'[12]Dia 19 (b)'!$X19</f>
        <v>13.662640633391197</v>
      </c>
      <c r="U13" s="15">
        <f>'[12]Dia 20 (b)'!$X19</f>
        <v>11.875874833695441</v>
      </c>
      <c r="V13" s="15">
        <f>'[12]Dia 21 (b)'!$X19</f>
        <v>13.200259616310563</v>
      </c>
      <c r="W13" s="15">
        <f>'[12]Dia 22 (b)'!$X19</f>
        <v>15.627384801856145</v>
      </c>
      <c r="X13" s="15">
        <f>'[12]Dia 23 (b)'!$X19</f>
        <v>15.090600635817216</v>
      </c>
      <c r="Y13" s="15">
        <f>'[12]Dia 24 (b)'!$X19</f>
        <v>14.657159855457076</v>
      </c>
      <c r="Z13" s="15">
        <f>'[12]Dia 25 (b)'!$X19</f>
        <v>15.289298327767955</v>
      </c>
      <c r="AA13" s="15">
        <f>'[12]Dia 26 (b)'!$X19</f>
        <v>15.935748798969753</v>
      </c>
      <c r="AB13" s="15">
        <f>'[12]Dia 27 (b)'!$X19</f>
        <v>10.327341177123435</v>
      </c>
      <c r="AC13" s="15">
        <f>'[12]Dia 28 (b)'!$X19</f>
        <v>11.527241718122108</v>
      </c>
      <c r="AD13" s="15">
        <f>'[12]Dia 29 (b)'!$X19</f>
        <v>14.801339495579182</v>
      </c>
      <c r="AE13" s="15">
        <f>'[12]Dia 30 (b)'!$X19</f>
        <v>14.24990872563561</v>
      </c>
      <c r="AF13" s="15">
        <f>'[12]Dia 31 (b)'!$X19</f>
        <v>11.866140471032436</v>
      </c>
    </row>
    <row r="14" spans="1:32" ht="20.100000000000001" customHeight="1">
      <c r="A14" s="14">
        <v>11</v>
      </c>
      <c r="B14" s="15">
        <f>'[12]Dia 1 (b)'!$X20</f>
        <v>14.631332684885702</v>
      </c>
      <c r="C14" s="15">
        <f>'[12]Dia 2 (b)'!$X20</f>
        <v>13.630138899021196</v>
      </c>
      <c r="D14" s="15">
        <f>'[12]Dia 3 (b)'!$X20</f>
        <v>15.359555062186097</v>
      </c>
      <c r="E14" s="15">
        <f>'[12]Dia 4 (b)'!$X20</f>
        <v>14.794980336352726</v>
      </c>
      <c r="F14" s="15">
        <f>'[12]Dia 5 (b)'!$X20</f>
        <v>14.158578114009146</v>
      </c>
      <c r="G14" s="15">
        <f>'[12]Dia 6 (b)'!$X20</f>
        <v>14.752557838478834</v>
      </c>
      <c r="H14" s="15">
        <f>'[12]Dia 7 (b)'!$X20</f>
        <v>13.8072558497374</v>
      </c>
      <c r="I14" s="15">
        <f>'[12]Dia 8 (b)'!$X20</f>
        <v>13.68446616319503</v>
      </c>
      <c r="J14" s="15">
        <f>'[12]Dia 9 (b)'!$X20</f>
        <v>13.233053544471524</v>
      </c>
      <c r="K14" s="15">
        <f>'[12]Dia 10 (b)'!$X20</f>
        <v>13.08908654361089</v>
      </c>
      <c r="L14" s="15">
        <f>'[12]Dia 11 (b)'!$X20</f>
        <v>13.601417594342044</v>
      </c>
      <c r="M14" s="15">
        <f>'[12]Dia 12 (b)'!$X20</f>
        <v>12.791303583276932</v>
      </c>
      <c r="N14" s="15">
        <f>'[12]Dia 13 (b)'!$X20</f>
        <v>14.006885213748959</v>
      </c>
      <c r="O14" s="15">
        <f>'[12]Dia 14 (b)'!$X20</f>
        <v>10.698112584315213</v>
      </c>
      <c r="P14" s="15">
        <f>'[12]Dia 15 (b)'!$X20</f>
        <v>13.183426351307183</v>
      </c>
      <c r="Q14" s="15">
        <f>'[12]Dia 16 (b)'!$X20</f>
        <v>14.093259828756706</v>
      </c>
      <c r="R14" s="15">
        <f>'[12]Dia 17 (b)'!$X20</f>
        <v>12.625026304060246</v>
      </c>
      <c r="S14" s="15">
        <f>'[12]Dia 18 (b)'!$X20</f>
        <v>9.3680746928607217</v>
      </c>
      <c r="T14" s="15">
        <f>'[12]Dia 19 (b)'!$X20</f>
        <v>13.673310620042992</v>
      </c>
      <c r="U14" s="15">
        <f>'[12]Dia 20 (b)'!$X20</f>
        <v>12.796022464872083</v>
      </c>
      <c r="V14" s="15">
        <f>'[12]Dia 21 (b)'!$X20</f>
        <v>12.972348768643116</v>
      </c>
      <c r="W14" s="15">
        <f>'[12]Dia 22 (b)'!$X20</f>
        <v>15.917445820211153</v>
      </c>
      <c r="X14" s="15">
        <f>'[12]Dia 23 (b)'!$X20</f>
        <v>15.031881380216852</v>
      </c>
      <c r="Y14" s="15">
        <f>'[12]Dia 24 (b)'!$X20</f>
        <v>14.277601844345549</v>
      </c>
      <c r="Z14" s="15">
        <f>'[12]Dia 25 (b)'!$X20</f>
        <v>15.020009730903407</v>
      </c>
      <c r="AA14" s="15">
        <f>'[12]Dia 26 (b)'!$X20</f>
        <v>16.009391319333243</v>
      </c>
      <c r="AB14" s="15">
        <f>'[12]Dia 27 (b)'!$X20</f>
        <v>11.159666836595697</v>
      </c>
      <c r="AC14" s="15">
        <f>'[12]Dia 28 (b)'!$X20</f>
        <v>11.584050062734583</v>
      </c>
      <c r="AD14" s="15">
        <f>'[12]Dia 29 (b)'!$X20</f>
        <v>13.665072077221522</v>
      </c>
      <c r="AE14" s="15">
        <f>'[12]Dia 30 (b)'!$X20</f>
        <v>14.425446270799744</v>
      </c>
      <c r="AF14" s="15">
        <f>'[12]Dia 31 (b)'!$X20</f>
        <v>12.427496629024271</v>
      </c>
    </row>
    <row r="15" spans="1:32" ht="20.100000000000001" customHeight="1">
      <c r="A15" s="14">
        <v>12</v>
      </c>
      <c r="B15" s="15">
        <f>'[12]Dia 1 (b)'!$X21</f>
        <v>15.62391638116757</v>
      </c>
      <c r="C15" s="15">
        <f>'[12]Dia 2 (b)'!$X21</f>
        <v>14.034182618209117</v>
      </c>
      <c r="D15" s="15">
        <f>'[12]Dia 3 (b)'!$X21</f>
        <v>13.764778668450406</v>
      </c>
      <c r="E15" s="15">
        <f>'[12]Dia 4 (b)'!$X21</f>
        <v>14.099743451171916</v>
      </c>
      <c r="F15" s="15">
        <f>'[12]Dia 5 (b)'!$X21</f>
        <v>13.901459268413268</v>
      </c>
      <c r="G15" s="15">
        <f>'[12]Dia 6 (b)'!$X21</f>
        <v>16.206355055430528</v>
      </c>
      <c r="H15" s="15">
        <f>'[12]Dia 7 (b)'!$X21</f>
        <v>14.126826700307143</v>
      </c>
      <c r="I15" s="15">
        <f>'[12]Dia 8 (b)'!$X21</f>
        <v>14.081523704631893</v>
      </c>
      <c r="J15" s="15">
        <f>'[12]Dia 9 (b)'!$X21</f>
        <v>13.057094832804912</v>
      </c>
      <c r="K15" s="15">
        <f>'[12]Dia 10 (b)'!$X21</f>
        <v>15.563382045692874</v>
      </c>
      <c r="L15" s="15">
        <f>'[12]Dia 11 (b)'!$X21</f>
        <v>14.80928853520825</v>
      </c>
      <c r="M15" s="15">
        <f>'[12]Dia 12 (b)'!$X21</f>
        <v>12.896879728154316</v>
      </c>
      <c r="N15" s="15">
        <f>'[12]Dia 13 (b)'!$X21</f>
        <v>13.829500357624461</v>
      </c>
      <c r="O15" s="15">
        <f>'[12]Dia 14 (b)'!$X21</f>
        <v>10.168700057531298</v>
      </c>
      <c r="P15" s="15">
        <f>'[12]Dia 15 (b)'!$X21</f>
        <v>16.862143868353723</v>
      </c>
      <c r="Q15" s="15">
        <f>'[12]Dia 16 (b)'!$X21</f>
        <v>16.909008374830744</v>
      </c>
      <c r="R15" s="15">
        <f>'[12]Dia 17 (b)'!$X21</f>
        <v>13.249644333597546</v>
      </c>
      <c r="S15" s="15">
        <f>'[12]Dia 18 (b)'!$X21</f>
        <v>10.469213181564085</v>
      </c>
      <c r="T15" s="15">
        <f>'[12]Dia 19 (b)'!$X21</f>
        <v>13.268282008009953</v>
      </c>
      <c r="U15" s="15">
        <f>'[12]Dia 20 (b)'!$X21</f>
        <v>12.642179646709524</v>
      </c>
      <c r="V15" s="15">
        <f>'[12]Dia 21 (b)'!$X21</f>
        <v>13.175957775918953</v>
      </c>
      <c r="W15" s="15">
        <f>'[12]Dia 22 (b)'!$X21</f>
        <v>15.39091048472975</v>
      </c>
      <c r="X15" s="15">
        <f>'[12]Dia 23 (b)'!$X21</f>
        <v>13.752932137767148</v>
      </c>
      <c r="Y15" s="15">
        <f>'[12]Dia 24 (b)'!$X21</f>
        <v>13.41630448229194</v>
      </c>
      <c r="Z15" s="15">
        <f>'[12]Dia 25 (b)'!$X21</f>
        <v>15.265888579666608</v>
      </c>
      <c r="AA15" s="15">
        <f>'[12]Dia 26 (b)'!$X21</f>
        <v>15.838569057177544</v>
      </c>
      <c r="AB15" s="15">
        <f>'[12]Dia 27 (b)'!$X21</f>
        <v>11.762330014634262</v>
      </c>
      <c r="AC15" s="15">
        <f>'[12]Dia 28 (b)'!$X21</f>
        <v>11.575843502657769</v>
      </c>
      <c r="AD15" s="15">
        <f>'[12]Dia 29 (b)'!$X21</f>
        <v>10.740169684912251</v>
      </c>
      <c r="AE15" s="15">
        <f>'[12]Dia 30 (b)'!$X21</f>
        <v>14.475483066672268</v>
      </c>
      <c r="AF15" s="15">
        <f>'[12]Dia 31 (b)'!$X21</f>
        <v>12.289266522892602</v>
      </c>
    </row>
    <row r="16" spans="1:32" ht="20.100000000000001" customHeight="1">
      <c r="A16" s="14">
        <v>13</v>
      </c>
      <c r="B16" s="15">
        <f>'[12]Dia 1 (b)'!$X22</f>
        <v>15.728258776182587</v>
      </c>
      <c r="C16" s="15">
        <f>'[12]Dia 2 (b)'!$X22</f>
        <v>12.872375097058688</v>
      </c>
      <c r="D16" s="15">
        <f>'[12]Dia 3 (b)'!$X22</f>
        <v>16.644375111296696</v>
      </c>
      <c r="E16" s="15">
        <f>'[12]Dia 4 (b)'!$X22</f>
        <v>14.468632283813912</v>
      </c>
      <c r="F16" s="15">
        <f>'[12]Dia 5 (b)'!$X22</f>
        <v>16.103545891799588</v>
      </c>
      <c r="G16" s="15">
        <f>'[12]Dia 6 (b)'!$X22</f>
        <v>14.680829655713969</v>
      </c>
      <c r="H16" s="15">
        <f>'[12]Dia 7 (b)'!$X22</f>
        <v>14.032445419669905</v>
      </c>
      <c r="I16" s="15">
        <f>'[12]Dia 8 (b)'!$X22</f>
        <v>15.252699858514985</v>
      </c>
      <c r="J16" s="15">
        <f>'[12]Dia 9 (b)'!$X22</f>
        <v>13.331421706874352</v>
      </c>
      <c r="K16" s="15">
        <f>'[12]Dia 10 (b)'!$X22</f>
        <v>15.003374123654901</v>
      </c>
      <c r="L16" s="15">
        <f>'[12]Dia 11 (b)'!$X22</f>
        <v>15.068493698303868</v>
      </c>
      <c r="M16" s="15">
        <f>'[12]Dia 12 (b)'!$X22</f>
        <v>12.604475088474286</v>
      </c>
      <c r="N16" s="15">
        <f>'[12]Dia 13 (b)'!$X22</f>
        <v>13.924388242023737</v>
      </c>
      <c r="O16" s="15">
        <f>'[12]Dia 14 (b)'!$X22</f>
        <v>15.811959164173498</v>
      </c>
      <c r="P16" s="15">
        <f>'[12]Dia 15 (b)'!$X22</f>
        <v>17.298014565192165</v>
      </c>
      <c r="Q16" s="15">
        <f>'[12]Dia 16 (b)'!$X22</f>
        <v>18.568075593913729</v>
      </c>
      <c r="R16" s="15">
        <f>'[12]Dia 17 (b)'!$X22</f>
        <v>18.021033165894526</v>
      </c>
      <c r="S16" s="15">
        <f>'[12]Dia 18 (b)'!$X22</f>
        <v>12.817417907732757</v>
      </c>
      <c r="T16" s="15">
        <f>'[12]Dia 19 (b)'!$X22</f>
        <v>15.634362231552869</v>
      </c>
      <c r="U16" s="15">
        <f>'[12]Dia 20 (b)'!$X22</f>
        <v>13.425228839220839</v>
      </c>
      <c r="V16" s="15">
        <f>'[12]Dia 21 (b)'!$X22</f>
        <v>15.620232943263805</v>
      </c>
      <c r="W16" s="15">
        <f>'[12]Dia 22 (b)'!$X22</f>
        <v>15.270735530729064</v>
      </c>
      <c r="X16" s="15">
        <f>'[12]Dia 23 (b)'!$X22</f>
        <v>14.090414321403514</v>
      </c>
      <c r="Y16" s="15">
        <f>'[12]Dia 24 (b)'!$X22</f>
        <v>12.927504718232745</v>
      </c>
      <c r="Z16" s="15">
        <f>'[12]Dia 25 (b)'!$X22</f>
        <v>13.436966673129657</v>
      </c>
      <c r="AA16" s="15">
        <f>'[12]Dia 26 (b)'!$X22</f>
        <v>15.766597679717128</v>
      </c>
      <c r="AB16" s="15">
        <f>'[12]Dia 27 (b)'!$X22</f>
        <v>11.701077413695309</v>
      </c>
      <c r="AC16" s="15">
        <f>'[12]Dia 28 (b)'!$X22</f>
        <v>11.474435313220347</v>
      </c>
      <c r="AD16" s="15">
        <f>'[12]Dia 29 (b)'!$X22</f>
        <v>11.35382984647411</v>
      </c>
      <c r="AE16" s="15">
        <f>'[12]Dia 30 (b)'!$X22</f>
        <v>13.892282780056755</v>
      </c>
      <c r="AF16" s="15">
        <f>'[12]Dia 31 (b)'!$X22</f>
        <v>13.650105595402875</v>
      </c>
    </row>
    <row r="17" spans="1:32" ht="20.100000000000001" customHeight="1">
      <c r="A17" s="14">
        <v>14</v>
      </c>
      <c r="B17" s="15">
        <f>'[12]Dia 1 (b)'!$X23</f>
        <v>16.54424562269844</v>
      </c>
      <c r="C17" s="15">
        <f>'[12]Dia 2 (b)'!$X23</f>
        <v>14.079054924673468</v>
      </c>
      <c r="D17" s="15">
        <f>'[12]Dia 3 (b)'!$X23</f>
        <v>18.245847955781734</v>
      </c>
      <c r="E17" s="15">
        <f>'[12]Dia 4 (b)'!$X23</f>
        <v>18.135041129007789</v>
      </c>
      <c r="F17" s="15">
        <f>'[12]Dia 5 (b)'!$X23</f>
        <v>16.505234261038176</v>
      </c>
      <c r="G17" s="15">
        <f>'[12]Dia 6 (b)'!$X23</f>
        <v>16.034050986219537</v>
      </c>
      <c r="H17" s="15">
        <f>'[12]Dia 7 (b)'!$X23</f>
        <v>13.492851776287809</v>
      </c>
      <c r="I17" s="15">
        <f>'[12]Dia 8 (b)'!$X23</f>
        <v>16.473167108807839</v>
      </c>
      <c r="J17" s="15">
        <f>'[12]Dia 9 (b)'!$X23</f>
        <v>12.980963275744539</v>
      </c>
      <c r="K17" s="15">
        <f>'[12]Dia 10 (b)'!$X23</f>
        <v>14.971435179083548</v>
      </c>
      <c r="L17" s="15">
        <f>'[12]Dia 11 (b)'!$X23</f>
        <v>14.630591927187993</v>
      </c>
      <c r="M17" s="15">
        <f>'[12]Dia 12 (b)'!$X23</f>
        <v>12.487945275052137</v>
      </c>
      <c r="N17" s="15">
        <f>'[12]Dia 13 (b)'!$X23</f>
        <v>14.169375191840789</v>
      </c>
      <c r="O17" s="15">
        <f>'[12]Dia 14 (b)'!$X23</f>
        <v>16.204987353739487</v>
      </c>
      <c r="P17" s="15">
        <f>'[12]Dia 15 (b)'!$X23</f>
        <v>18.632849700126332</v>
      </c>
      <c r="Q17" s="15">
        <f>'[12]Dia 16 (b)'!$X23</f>
        <v>18.250473894948563</v>
      </c>
      <c r="R17" s="15">
        <f>'[12]Dia 17 (b)'!$X23</f>
        <v>17.540569392275998</v>
      </c>
      <c r="S17" s="15">
        <f>'[12]Dia 18 (b)'!$X23</f>
        <v>11.936962535908037</v>
      </c>
      <c r="T17" s="15">
        <f>'[12]Dia 19 (b)'!$X23</f>
        <v>17.27556014877295</v>
      </c>
      <c r="U17" s="15">
        <f>'[12]Dia 20 (b)'!$X23</f>
        <v>12.761503170077058</v>
      </c>
      <c r="V17" s="15">
        <f>'[12]Dia 21 (b)'!$X23</f>
        <v>15.954931936472464</v>
      </c>
      <c r="W17" s="15">
        <f>'[12]Dia 22 (b)'!$X23</f>
        <v>14.695685291752747</v>
      </c>
      <c r="X17" s="15">
        <f>'[12]Dia 23 (b)'!$X23</f>
        <v>15.122467270583462</v>
      </c>
      <c r="Y17" s="15">
        <f>'[12]Dia 24 (b)'!$X23</f>
        <v>13.145671572601811</v>
      </c>
      <c r="Z17" s="15">
        <f>'[12]Dia 25 (b)'!$X23</f>
        <v>13.414323366666979</v>
      </c>
      <c r="AA17" s="15">
        <f>'[12]Dia 26 (b)'!$X23</f>
        <v>16.214539460408769</v>
      </c>
      <c r="AB17" s="15">
        <f>'[12]Dia 27 (b)'!$X23</f>
        <v>11.265003663725212</v>
      </c>
      <c r="AC17" s="15">
        <f>'[12]Dia 28 (b)'!$X23</f>
        <v>12.80840648873698</v>
      </c>
      <c r="AD17" s="15">
        <f>'[12]Dia 29 (b)'!$X23</f>
        <v>12.407575312957134</v>
      </c>
      <c r="AE17" s="15">
        <f>'[12]Dia 30 (b)'!$X23</f>
        <v>13.684654549139752</v>
      </c>
      <c r="AF17" s="15">
        <f>'[12]Dia 31 (b)'!$X23</f>
        <v>13.580187208433491</v>
      </c>
    </row>
    <row r="18" spans="1:32" ht="20.100000000000001" customHeight="1">
      <c r="A18" s="14">
        <v>15</v>
      </c>
      <c r="B18" s="15">
        <f>'[12]Dia 1 (b)'!$X24</f>
        <v>16.936837100126407</v>
      </c>
      <c r="C18" s="15">
        <f>'[12]Dia 2 (b)'!$X24</f>
        <v>16.920949259384482</v>
      </c>
      <c r="D18" s="15">
        <f>'[12]Dia 3 (b)'!$X24</f>
        <v>17.929619185659941</v>
      </c>
      <c r="E18" s="15">
        <f>'[12]Dia 4 (b)'!$X24</f>
        <v>17.310744709496632</v>
      </c>
      <c r="F18" s="15">
        <f>'[12]Dia 5 (b)'!$X24</f>
        <v>16.173764136514006</v>
      </c>
      <c r="G18" s="15">
        <f>'[12]Dia 6 (b)'!$X24</f>
        <v>14.353650403965043</v>
      </c>
      <c r="H18" s="15">
        <f>'[12]Dia 7 (b)'!$X24</f>
        <v>13.380392177499289</v>
      </c>
      <c r="I18" s="15">
        <f>'[12]Dia 8 (b)'!$X24</f>
        <v>16.113199850033439</v>
      </c>
      <c r="J18" s="15">
        <f>'[12]Dia 9 (b)'!$X24</f>
        <v>13.016744585161961</v>
      </c>
      <c r="K18" s="15">
        <f>'[12]Dia 10 (b)'!$X24</f>
        <v>14.112317359289252</v>
      </c>
      <c r="L18" s="15">
        <f>'[12]Dia 11 (b)'!$X24</f>
        <v>14.756131712930888</v>
      </c>
      <c r="M18" s="15">
        <f>'[12]Dia 12 (b)'!$X24</f>
        <v>11.851223613961247</v>
      </c>
      <c r="N18" s="15">
        <f>'[12]Dia 13 (b)'!$X24</f>
        <v>14.92613634308819</v>
      </c>
      <c r="O18" s="15">
        <f>'[12]Dia 14 (b)'!$X24</f>
        <v>16.096577487242488</v>
      </c>
      <c r="P18" s="15">
        <f>'[12]Dia 15 (b)'!$X24</f>
        <v>17.903163916110373</v>
      </c>
      <c r="Q18" s="15">
        <f>'[12]Dia 16 (b)'!$X24</f>
        <v>18.278584664207891</v>
      </c>
      <c r="R18" s="15">
        <f>'[12]Dia 17 (b)'!$X24</f>
        <v>17.946649339200164</v>
      </c>
      <c r="S18" s="15">
        <f>'[12]Dia 18 (b)'!$X24</f>
        <v>14.318056780746545</v>
      </c>
      <c r="T18" s="15">
        <f>'[12]Dia 19 (b)'!$X24</f>
        <v>14.954521365664885</v>
      </c>
      <c r="U18" s="15">
        <f>'[12]Dia 20 (b)'!$X24</f>
        <v>13.085603353249594</v>
      </c>
      <c r="V18" s="15">
        <f>'[12]Dia 21 (b)'!$X24</f>
        <v>15.93622114067982</v>
      </c>
      <c r="W18" s="15">
        <f>'[12]Dia 22 (b)'!$X24</f>
        <v>15.201720849041896</v>
      </c>
      <c r="X18" s="15">
        <f>'[12]Dia 23 (b)'!$X24</f>
        <v>14.192770599816821</v>
      </c>
      <c r="Y18" s="15">
        <f>'[12]Dia 24 (b)'!$X24</f>
        <v>12.689091834291236</v>
      </c>
      <c r="Z18" s="15">
        <f>'[12]Dia 25 (b)'!$X24</f>
        <v>13.096501228925582</v>
      </c>
      <c r="AA18" s="15">
        <f>'[12]Dia 26 (b)'!$X24</f>
        <v>15.956056468907683</v>
      </c>
      <c r="AB18" s="15">
        <f>'[12]Dia 27 (b)'!$X24</f>
        <v>11.532639177389205</v>
      </c>
      <c r="AC18" s="15">
        <f>'[12]Dia 28 (b)'!$X24</f>
        <v>14.007738452528557</v>
      </c>
      <c r="AD18" s="15">
        <f>'[12]Dia 29 (b)'!$X24</f>
        <v>12.283096774963179</v>
      </c>
      <c r="AE18" s="15">
        <f>'[12]Dia 30 (b)'!$X24</f>
        <v>12.483971176850664</v>
      </c>
      <c r="AF18" s="15">
        <f>'[12]Dia 31 (b)'!$X24</f>
        <v>13.764884258908513</v>
      </c>
    </row>
    <row r="19" spans="1:32" ht="20.100000000000001" customHeight="1">
      <c r="A19" s="14">
        <v>16</v>
      </c>
      <c r="B19" s="59"/>
      <c r="C19" s="59"/>
      <c r="D19" s="59"/>
      <c r="E19" s="59"/>
      <c r="F19" s="59"/>
      <c r="G19" s="59"/>
      <c r="H19" s="59"/>
      <c r="I19" s="59"/>
      <c r="J19" s="59"/>
      <c r="K19" s="59"/>
      <c r="L19" s="59"/>
      <c r="M19" s="59"/>
      <c r="N19" s="59"/>
      <c r="O19" s="59"/>
      <c r="P19" s="59"/>
      <c r="Q19" s="59"/>
      <c r="R19" s="59"/>
      <c r="S19" s="59"/>
      <c r="T19" s="59"/>
      <c r="U19" s="59"/>
      <c r="V19" s="59"/>
      <c r="W19" s="59"/>
      <c r="X19" s="59"/>
      <c r="Y19" s="59"/>
      <c r="Z19" s="59"/>
      <c r="AA19" s="59"/>
      <c r="AB19" s="59"/>
      <c r="AC19" s="59"/>
      <c r="AD19" s="59"/>
      <c r="AE19" s="59"/>
      <c r="AF19" s="59"/>
    </row>
    <row r="20" spans="1:32" ht="20.100000000000001" customHeight="1">
      <c r="A20" s="14">
        <v>17</v>
      </c>
      <c r="B20" s="59"/>
      <c r="C20" s="59"/>
      <c r="D20" s="59"/>
      <c r="E20" s="59"/>
      <c r="F20" s="59"/>
      <c r="G20" s="59"/>
      <c r="H20" s="59"/>
      <c r="I20" s="59"/>
      <c r="J20" s="59"/>
      <c r="K20" s="59"/>
      <c r="L20" s="59"/>
      <c r="M20" s="59"/>
      <c r="N20" s="59"/>
      <c r="O20" s="59"/>
      <c r="P20" s="59"/>
      <c r="Q20" s="59"/>
      <c r="R20" s="59"/>
      <c r="S20" s="59"/>
      <c r="T20" s="59"/>
      <c r="U20" s="59"/>
      <c r="V20" s="59"/>
      <c r="W20" s="59"/>
      <c r="X20" s="59"/>
      <c r="Y20" s="59"/>
      <c r="Z20" s="59"/>
      <c r="AA20" s="59"/>
      <c r="AB20" s="59"/>
      <c r="AC20" s="59"/>
      <c r="AD20" s="59"/>
      <c r="AE20" s="59"/>
      <c r="AF20" s="59"/>
    </row>
    <row r="21" spans="1:32" ht="20.100000000000001" customHeight="1">
      <c r="A21" s="14">
        <v>18</v>
      </c>
      <c r="B21" s="59"/>
      <c r="C21" s="59"/>
      <c r="D21" s="59"/>
      <c r="E21" s="59"/>
      <c r="F21" s="59"/>
      <c r="G21" s="59"/>
      <c r="H21" s="59"/>
      <c r="I21" s="59"/>
      <c r="J21" s="59"/>
      <c r="K21" s="59"/>
      <c r="L21" s="59"/>
      <c r="M21" s="59"/>
      <c r="N21" s="59"/>
      <c r="O21" s="59"/>
      <c r="P21" s="59"/>
      <c r="Q21" s="59"/>
      <c r="R21" s="59"/>
      <c r="S21" s="59"/>
      <c r="T21" s="59"/>
      <c r="U21" s="59"/>
      <c r="V21" s="59"/>
      <c r="W21" s="59"/>
      <c r="X21" s="59"/>
      <c r="Y21" s="59"/>
      <c r="Z21" s="59"/>
      <c r="AA21" s="59"/>
      <c r="AB21" s="59"/>
      <c r="AC21" s="59"/>
      <c r="AD21" s="59"/>
      <c r="AE21" s="59"/>
      <c r="AF21" s="59"/>
    </row>
    <row r="22" spans="1:32" ht="20.100000000000001" customHeight="1">
      <c r="A22" s="14">
        <v>19</v>
      </c>
      <c r="B22" s="59"/>
      <c r="C22" s="59"/>
      <c r="D22" s="59"/>
      <c r="E22" s="59"/>
      <c r="F22" s="59"/>
      <c r="G22" s="59"/>
      <c r="H22" s="59"/>
      <c r="I22" s="59"/>
      <c r="J22" s="59"/>
      <c r="K22" s="59"/>
      <c r="L22" s="59"/>
      <c r="M22" s="59"/>
      <c r="N22" s="59"/>
      <c r="O22" s="59"/>
      <c r="P22" s="59"/>
      <c r="Q22" s="59"/>
      <c r="R22" s="59"/>
      <c r="S22" s="59"/>
      <c r="T22" s="59"/>
      <c r="U22" s="59"/>
      <c r="V22" s="59"/>
      <c r="W22" s="59"/>
      <c r="X22" s="59"/>
      <c r="Y22" s="59"/>
      <c r="Z22" s="59"/>
      <c r="AA22" s="59"/>
      <c r="AB22" s="59"/>
      <c r="AC22" s="59"/>
      <c r="AD22" s="59"/>
      <c r="AE22" s="59"/>
      <c r="AF22" s="59"/>
    </row>
    <row r="23" spans="1:32" ht="20.100000000000001" customHeight="1">
      <c r="A23" s="14">
        <v>20</v>
      </c>
      <c r="B23" s="59"/>
      <c r="C23" s="59"/>
      <c r="D23" s="59"/>
      <c r="E23" s="59"/>
      <c r="F23" s="59"/>
      <c r="G23" s="59"/>
      <c r="H23" s="59"/>
      <c r="I23" s="59"/>
      <c r="J23" s="59"/>
      <c r="K23" s="59"/>
      <c r="L23" s="59"/>
      <c r="M23" s="59"/>
      <c r="N23" s="59"/>
      <c r="O23" s="59"/>
      <c r="P23" s="59"/>
      <c r="Q23" s="59"/>
      <c r="R23" s="59"/>
      <c r="S23" s="59"/>
      <c r="T23" s="59"/>
      <c r="U23" s="59"/>
      <c r="V23" s="59"/>
      <c r="W23" s="59"/>
      <c r="X23" s="59"/>
      <c r="Y23" s="59"/>
      <c r="Z23" s="59"/>
      <c r="AA23" s="59"/>
      <c r="AB23" s="59"/>
      <c r="AC23" s="59"/>
      <c r="AD23" s="59"/>
      <c r="AE23" s="59"/>
      <c r="AF23" s="59"/>
    </row>
    <row r="24" spans="1:32" ht="20.100000000000001" customHeight="1">
      <c r="A24" s="14">
        <v>21</v>
      </c>
      <c r="B24" s="59"/>
      <c r="C24" s="59"/>
      <c r="D24" s="59"/>
      <c r="E24" s="59"/>
      <c r="F24" s="59"/>
      <c r="G24" s="59"/>
      <c r="H24" s="59"/>
      <c r="I24" s="59"/>
      <c r="J24" s="59"/>
      <c r="K24" s="59"/>
      <c r="L24" s="59"/>
      <c r="M24" s="59"/>
      <c r="N24" s="59"/>
      <c r="O24" s="59"/>
      <c r="P24" s="59"/>
      <c r="Q24" s="59"/>
      <c r="R24" s="59"/>
      <c r="S24" s="59"/>
      <c r="T24" s="59"/>
      <c r="U24" s="59"/>
      <c r="V24" s="59"/>
      <c r="W24" s="59"/>
      <c r="X24" s="59"/>
      <c r="Y24" s="59"/>
      <c r="Z24" s="59"/>
      <c r="AA24" s="59"/>
      <c r="AB24" s="59"/>
      <c r="AC24" s="59"/>
      <c r="AD24" s="59"/>
      <c r="AE24" s="59"/>
      <c r="AF24" s="59"/>
    </row>
    <row r="25" spans="1:32" ht="20.100000000000001" customHeight="1">
      <c r="A25" s="14">
        <v>22</v>
      </c>
      <c r="B25" s="59"/>
      <c r="C25" s="59"/>
      <c r="D25" s="59"/>
      <c r="E25" s="59"/>
      <c r="F25" s="59"/>
      <c r="G25" s="59"/>
      <c r="H25" s="59"/>
      <c r="I25" s="59"/>
      <c r="J25" s="59"/>
      <c r="K25" s="59"/>
      <c r="L25" s="59"/>
      <c r="M25" s="59"/>
      <c r="N25" s="59"/>
      <c r="O25" s="59"/>
      <c r="P25" s="59"/>
      <c r="Q25" s="59"/>
      <c r="R25" s="59"/>
      <c r="S25" s="59"/>
      <c r="T25" s="59"/>
      <c r="U25" s="59"/>
      <c r="V25" s="59"/>
      <c r="W25" s="59"/>
      <c r="X25" s="59"/>
      <c r="Y25" s="59"/>
      <c r="Z25" s="59"/>
      <c r="AA25" s="59"/>
      <c r="AB25" s="59"/>
      <c r="AC25" s="59"/>
      <c r="AD25" s="59"/>
      <c r="AE25" s="59"/>
      <c r="AF25" s="59"/>
    </row>
    <row r="26" spans="1:32" ht="20.100000000000001" customHeight="1">
      <c r="A26" s="14">
        <v>23</v>
      </c>
      <c r="B26" s="59"/>
      <c r="C26" s="59"/>
      <c r="D26" s="59"/>
      <c r="E26" s="59"/>
      <c r="F26" s="59"/>
      <c r="G26" s="59"/>
      <c r="H26" s="59"/>
      <c r="I26" s="59"/>
      <c r="J26" s="59"/>
      <c r="K26" s="59"/>
      <c r="L26" s="59"/>
      <c r="M26" s="59"/>
      <c r="N26" s="59"/>
      <c r="O26" s="59"/>
      <c r="P26" s="59"/>
      <c r="Q26" s="59"/>
      <c r="R26" s="59"/>
      <c r="S26" s="59"/>
      <c r="T26" s="59"/>
      <c r="U26" s="59"/>
      <c r="V26" s="59"/>
      <c r="W26" s="59"/>
      <c r="X26" s="59"/>
      <c r="Y26" s="59"/>
      <c r="Z26" s="59"/>
      <c r="AA26" s="59"/>
      <c r="AB26" s="59"/>
      <c r="AC26" s="59"/>
      <c r="AD26" s="59"/>
      <c r="AE26" s="59"/>
      <c r="AF26" s="59"/>
    </row>
    <row r="27" spans="1:32" ht="20.100000000000001" customHeight="1" thickBot="1">
      <c r="A27" s="14">
        <v>24</v>
      </c>
      <c r="B27" s="59"/>
      <c r="C27" s="59"/>
      <c r="D27" s="59"/>
      <c r="E27" s="59"/>
      <c r="F27" s="59"/>
      <c r="G27" s="59"/>
      <c r="H27" s="59"/>
      <c r="I27" s="59"/>
      <c r="J27" s="59"/>
      <c r="K27" s="59"/>
      <c r="L27" s="59"/>
      <c r="M27" s="59"/>
      <c r="N27" s="59"/>
      <c r="O27" s="59"/>
      <c r="P27" s="59"/>
      <c r="Q27" s="59"/>
      <c r="R27" s="59"/>
      <c r="S27" s="59"/>
      <c r="T27" s="59"/>
      <c r="U27" s="59"/>
      <c r="V27" s="59"/>
      <c r="W27" s="59"/>
      <c r="X27" s="59"/>
      <c r="Y27" s="59"/>
      <c r="Z27" s="59"/>
      <c r="AA27" s="59"/>
      <c r="AB27" s="59"/>
      <c r="AC27" s="59"/>
      <c r="AD27" s="59"/>
      <c r="AE27" s="59"/>
      <c r="AF27" s="59"/>
    </row>
    <row r="28" spans="1:32" ht="16.5" thickTop="1">
      <c r="A28" s="17"/>
      <c r="B28" s="19"/>
      <c r="C28" s="19"/>
      <c r="D28" s="19"/>
      <c r="E28" s="19"/>
      <c r="F28" s="19"/>
      <c r="G28" s="19"/>
      <c r="H28" s="19"/>
      <c r="I28" s="19"/>
      <c r="J28" s="19"/>
      <c r="K28" s="19"/>
      <c r="L28" s="19"/>
      <c r="M28" s="19"/>
      <c r="N28" s="60" t="s">
        <v>14</v>
      </c>
      <c r="O28" s="19"/>
      <c r="P28" s="19"/>
      <c r="Q28" s="19"/>
      <c r="R28" s="19"/>
      <c r="S28" s="19"/>
      <c r="T28" s="19"/>
      <c r="U28" s="19"/>
      <c r="V28" s="19"/>
      <c r="W28" s="19"/>
      <c r="X28" s="19"/>
      <c r="Y28" s="19"/>
      <c r="Z28" s="19"/>
      <c r="AA28" s="19"/>
      <c r="AB28" s="19"/>
      <c r="AC28" s="19"/>
      <c r="AD28" s="19"/>
      <c r="AE28" s="19"/>
      <c r="AF28" s="21"/>
    </row>
    <row r="29" spans="1:32" ht="15.75">
      <c r="A29" s="22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23"/>
    </row>
    <row r="30" spans="1:32" ht="15.75">
      <c r="A30" s="24" t="s">
        <v>3</v>
      </c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23"/>
    </row>
    <row r="31" spans="1:32" ht="15.75">
      <c r="A31" s="24" t="s">
        <v>4</v>
      </c>
      <c r="B31" s="25"/>
      <c r="C31" s="25"/>
      <c r="D31" s="25"/>
      <c r="E31" s="25"/>
      <c r="F31" s="25"/>
      <c r="G31" s="25"/>
      <c r="H31" s="25"/>
      <c r="I31" s="25"/>
      <c r="J31" s="25"/>
      <c r="K31" s="25"/>
      <c r="L31" s="25"/>
      <c r="M31" s="25"/>
      <c r="N31" s="25"/>
      <c r="O31" s="25"/>
      <c r="P31" s="25"/>
      <c r="Q31" s="25"/>
      <c r="R31" s="25"/>
      <c r="S31" s="25"/>
      <c r="T31" s="25"/>
      <c r="U31" s="25"/>
      <c r="V31" s="25"/>
      <c r="W31" s="25"/>
      <c r="X31" s="25"/>
      <c r="Y31" s="25"/>
      <c r="Z31" s="25"/>
      <c r="AA31" s="25"/>
      <c r="AB31" s="25"/>
      <c r="AC31" s="25"/>
      <c r="AD31" s="25"/>
      <c r="AE31" s="25"/>
      <c r="AF31" s="26"/>
    </row>
    <row r="32" spans="1:32" ht="15.75">
      <c r="A32" s="27"/>
      <c r="B32" s="28"/>
      <c r="C32" s="28"/>
      <c r="D32" s="28"/>
      <c r="E32" s="28"/>
      <c r="F32" s="28"/>
      <c r="G32" s="28"/>
      <c r="H32" s="28"/>
      <c r="I32" s="28"/>
      <c r="J32" s="28"/>
      <c r="K32" s="28"/>
      <c r="L32" s="28"/>
      <c r="M32" s="28"/>
      <c r="N32" s="28"/>
      <c r="O32" s="28"/>
      <c r="P32" s="28"/>
      <c r="Q32" s="28"/>
      <c r="R32" s="28"/>
      <c r="S32" s="28"/>
      <c r="T32" s="28"/>
      <c r="U32" s="28"/>
      <c r="V32" s="28"/>
      <c r="W32" s="28"/>
      <c r="X32" s="28"/>
      <c r="Y32" s="28"/>
      <c r="Z32" s="28"/>
      <c r="AA32" s="28"/>
      <c r="AB32" s="28"/>
      <c r="AC32" s="28"/>
      <c r="AD32" s="28"/>
      <c r="AE32" s="28"/>
      <c r="AF32" s="29"/>
    </row>
    <row r="33" spans="1:32" ht="15.75">
      <c r="A33" s="27"/>
      <c r="B33" s="28"/>
      <c r="C33" s="28"/>
      <c r="D33" s="28"/>
      <c r="E33" s="28"/>
      <c r="F33" s="28"/>
      <c r="G33" s="28"/>
      <c r="H33" s="28"/>
      <c r="I33" s="28"/>
      <c r="J33" s="28"/>
      <c r="K33" s="28"/>
      <c r="L33" s="28"/>
      <c r="M33" s="28"/>
      <c r="N33" s="28"/>
      <c r="O33" s="28"/>
      <c r="P33" s="28"/>
      <c r="Q33" s="28"/>
      <c r="R33" s="28"/>
      <c r="S33" s="28"/>
      <c r="T33" s="28"/>
      <c r="U33" s="28"/>
      <c r="V33" s="28"/>
      <c r="W33" s="28"/>
      <c r="X33" s="28"/>
      <c r="Y33" s="28"/>
      <c r="Z33" s="28"/>
      <c r="AA33" s="28"/>
      <c r="AB33" s="28"/>
      <c r="AC33" s="28"/>
      <c r="AD33" s="28"/>
      <c r="AE33" s="28"/>
      <c r="AF33" s="29"/>
    </row>
    <row r="34" spans="1:32" ht="15.75">
      <c r="A34" s="24" t="s">
        <v>5</v>
      </c>
      <c r="B34" s="28"/>
      <c r="C34" s="28"/>
      <c r="D34" s="28"/>
      <c r="E34" s="28"/>
      <c r="F34" s="28"/>
      <c r="G34" s="28"/>
      <c r="H34" s="28"/>
      <c r="I34" s="28"/>
      <c r="J34" s="28"/>
      <c r="K34" s="28"/>
      <c r="L34" s="28"/>
      <c r="M34" s="28"/>
      <c r="N34" s="28"/>
      <c r="O34" s="28"/>
      <c r="P34" s="28"/>
      <c r="Q34" s="28"/>
      <c r="R34" s="28"/>
      <c r="S34" s="28"/>
      <c r="T34" s="28"/>
      <c r="U34" s="28"/>
      <c r="V34" s="28"/>
      <c r="W34" s="28"/>
      <c r="X34" s="28"/>
      <c r="Y34" s="28"/>
      <c r="Z34" s="28"/>
      <c r="AA34" s="28"/>
      <c r="AB34" s="28"/>
      <c r="AC34" s="28"/>
      <c r="AD34" s="28"/>
      <c r="AE34" s="28"/>
      <c r="AF34" s="29"/>
    </row>
    <row r="35" spans="1:32" ht="15.75">
      <c r="A35" s="24" t="s">
        <v>4</v>
      </c>
      <c r="B35" s="25"/>
      <c r="C35" s="25"/>
      <c r="D35" s="25"/>
      <c r="E35" s="25"/>
      <c r="F35" s="25"/>
      <c r="G35" s="25"/>
      <c r="H35" s="25"/>
      <c r="I35" s="25"/>
      <c r="J35" s="25"/>
      <c r="K35" s="25"/>
      <c r="L35" s="25"/>
      <c r="M35" s="25"/>
      <c r="N35" s="25"/>
      <c r="O35" s="25"/>
      <c r="P35" s="25"/>
      <c r="Q35" s="25"/>
      <c r="R35" s="25"/>
      <c r="S35" s="25"/>
      <c r="T35" s="25"/>
      <c r="U35" s="25"/>
      <c r="V35" s="25"/>
      <c r="W35" s="25"/>
      <c r="X35" s="25"/>
      <c r="Y35" s="25"/>
      <c r="Z35" s="25"/>
      <c r="AA35" s="25"/>
      <c r="AB35" s="25"/>
      <c r="AC35" s="25"/>
      <c r="AD35" s="25"/>
      <c r="AE35" s="25"/>
      <c r="AF35" s="26"/>
    </row>
    <row r="36" spans="1:32" ht="15.75">
      <c r="A36" s="24"/>
      <c r="B36" s="25"/>
      <c r="C36" s="25"/>
      <c r="D36" s="25"/>
      <c r="E36" s="25"/>
      <c r="F36" s="25"/>
      <c r="G36" s="25"/>
      <c r="H36" s="25"/>
      <c r="I36" s="25"/>
      <c r="J36" s="25"/>
      <c r="K36" s="25"/>
      <c r="L36" s="25"/>
      <c r="M36" s="25"/>
      <c r="N36" s="25"/>
      <c r="O36" s="25"/>
      <c r="P36" s="25"/>
      <c r="Q36" s="25"/>
      <c r="R36" s="25"/>
      <c r="S36" s="25"/>
      <c r="T36" s="25"/>
      <c r="U36" s="25"/>
      <c r="V36" s="25"/>
      <c r="W36" s="25"/>
      <c r="X36" s="25"/>
      <c r="Y36" s="25"/>
      <c r="Z36" s="25"/>
      <c r="AA36" s="25"/>
      <c r="AB36" s="25"/>
      <c r="AC36" s="25"/>
      <c r="AD36" s="25"/>
      <c r="AE36" s="25"/>
      <c r="AF36" s="26"/>
    </row>
    <row r="37" spans="1:32" ht="15.75">
      <c r="A37" s="27"/>
      <c r="B37" s="28"/>
      <c r="C37" s="28"/>
      <c r="D37" s="28"/>
      <c r="E37" s="28"/>
      <c r="F37" s="28"/>
      <c r="G37" s="28"/>
      <c r="H37" s="28"/>
      <c r="I37" s="28"/>
      <c r="J37" s="28"/>
      <c r="K37" s="28"/>
      <c r="L37" s="28"/>
      <c r="M37" s="28"/>
      <c r="N37" s="28"/>
      <c r="O37" s="28"/>
      <c r="P37" s="28"/>
      <c r="Q37" s="28"/>
      <c r="R37" s="28"/>
      <c r="S37" s="28"/>
      <c r="T37" s="28"/>
      <c r="U37" s="28"/>
      <c r="V37" s="28"/>
      <c r="W37" s="28"/>
      <c r="X37" s="28"/>
      <c r="Y37" s="28"/>
      <c r="Z37" s="28"/>
      <c r="AA37" s="28"/>
      <c r="AB37" s="28"/>
      <c r="AC37" s="28"/>
      <c r="AD37" s="28"/>
      <c r="AE37" s="28"/>
      <c r="AF37" s="29"/>
    </row>
    <row r="38" spans="1:32" ht="15.75">
      <c r="A38" s="24" t="s">
        <v>6</v>
      </c>
      <c r="B38" s="28"/>
      <c r="C38" s="28"/>
      <c r="D38" s="28"/>
      <c r="E38" s="28"/>
      <c r="F38" s="28"/>
      <c r="G38" s="28"/>
      <c r="H38" s="28"/>
      <c r="I38" s="28"/>
      <c r="J38" s="28"/>
      <c r="K38" s="28"/>
      <c r="L38" s="28"/>
      <c r="M38" s="28"/>
      <c r="N38" s="28"/>
      <c r="O38" s="28"/>
      <c r="P38" s="28"/>
      <c r="Q38" s="28"/>
      <c r="R38" s="28"/>
      <c r="S38" s="28"/>
      <c r="T38" s="28"/>
      <c r="U38" s="28"/>
      <c r="V38" s="28"/>
      <c r="W38" s="28"/>
      <c r="X38" s="28"/>
      <c r="Y38" s="28"/>
      <c r="Z38" s="28"/>
      <c r="AA38" s="28"/>
      <c r="AB38" s="28"/>
      <c r="AC38" s="28"/>
      <c r="AD38" s="28"/>
      <c r="AE38" s="28"/>
      <c r="AF38" s="29"/>
    </row>
    <row r="39" spans="1:32" ht="15.75">
      <c r="A39" s="24" t="s">
        <v>4</v>
      </c>
      <c r="B39" s="25"/>
      <c r="C39" s="25"/>
      <c r="D39" s="25"/>
      <c r="E39" s="25"/>
      <c r="F39" s="25"/>
      <c r="G39" s="25"/>
      <c r="H39" s="25"/>
      <c r="I39" s="25"/>
      <c r="J39" s="25"/>
      <c r="K39" s="25"/>
      <c r="L39" s="25"/>
      <c r="M39" s="25"/>
      <c r="N39" s="25"/>
      <c r="O39" s="25"/>
      <c r="P39" s="25"/>
      <c r="Q39" s="25"/>
      <c r="R39" s="25"/>
      <c r="S39" s="25"/>
      <c r="T39" s="25"/>
      <c r="U39" s="25"/>
      <c r="V39" s="25"/>
      <c r="W39" s="25"/>
      <c r="X39" s="25"/>
      <c r="Y39" s="25"/>
      <c r="Z39" s="25"/>
      <c r="AA39" s="25"/>
      <c r="AB39" s="25"/>
      <c r="AC39" s="25"/>
      <c r="AD39" s="25"/>
      <c r="AE39" s="25"/>
      <c r="AF39" s="26"/>
    </row>
    <row r="40" spans="1:32" ht="15.75">
      <c r="A40" s="24"/>
      <c r="B40" s="25"/>
      <c r="C40" s="25"/>
      <c r="D40" s="25"/>
      <c r="E40" s="25"/>
      <c r="F40" s="25"/>
      <c r="G40" s="25"/>
      <c r="H40" s="25"/>
      <c r="I40" s="25"/>
      <c r="J40" s="25"/>
      <c r="K40" s="25"/>
      <c r="L40" s="25"/>
      <c r="M40" s="25"/>
      <c r="N40" s="25"/>
      <c r="O40" s="25"/>
      <c r="P40" s="25"/>
      <c r="Q40" s="25"/>
      <c r="R40" s="25"/>
      <c r="S40" s="25"/>
      <c r="T40" s="25"/>
      <c r="U40" s="25"/>
      <c r="V40" s="25"/>
      <c r="W40" s="25"/>
      <c r="X40" s="25"/>
      <c r="Y40" s="25"/>
      <c r="Z40" s="25"/>
      <c r="AA40" s="25"/>
      <c r="AB40" s="25"/>
      <c r="AC40" s="25"/>
      <c r="AD40" s="25"/>
      <c r="AE40" s="25"/>
      <c r="AF40" s="26"/>
    </row>
    <row r="41" spans="1:32" ht="15.75">
      <c r="A41" s="27"/>
      <c r="B41" s="28"/>
      <c r="C41" s="28"/>
      <c r="D41" s="28"/>
      <c r="E41" s="28"/>
      <c r="F41" s="28"/>
      <c r="G41" s="28"/>
      <c r="H41" s="28"/>
      <c r="I41" s="28"/>
      <c r="J41" s="28"/>
      <c r="K41" s="28"/>
      <c r="L41" s="28"/>
      <c r="M41" s="28"/>
      <c r="N41" s="28"/>
      <c r="O41" s="28"/>
      <c r="P41" s="28"/>
      <c r="Q41" s="28"/>
      <c r="R41" s="28"/>
      <c r="S41" s="28"/>
      <c r="T41" s="28"/>
      <c r="U41" s="28"/>
      <c r="V41" s="28"/>
      <c r="W41" s="28"/>
      <c r="X41" s="28"/>
      <c r="Y41" s="28"/>
      <c r="Z41" s="28"/>
      <c r="AA41" s="28"/>
      <c r="AB41" s="28"/>
      <c r="AC41" s="28"/>
      <c r="AD41" s="28"/>
      <c r="AE41" s="28"/>
      <c r="AF41" s="29"/>
    </row>
    <row r="42" spans="1:32" ht="15.75">
      <c r="A42" s="24" t="s">
        <v>7</v>
      </c>
      <c r="B42" s="28"/>
      <c r="C42" s="28"/>
      <c r="D42" s="28"/>
      <c r="E42" s="28"/>
      <c r="F42" s="28"/>
      <c r="G42" s="28"/>
      <c r="H42" s="28"/>
      <c r="I42" s="28"/>
      <c r="J42" s="28"/>
      <c r="K42" s="28"/>
      <c r="L42" s="28"/>
      <c r="M42" s="28"/>
      <c r="N42" s="28"/>
      <c r="O42" s="28"/>
      <c r="P42" s="28"/>
      <c r="Q42" s="28"/>
      <c r="R42" s="28"/>
      <c r="S42" s="28"/>
      <c r="T42" s="28"/>
      <c r="U42" s="28"/>
      <c r="V42" s="28"/>
      <c r="W42" s="28"/>
      <c r="X42" s="28"/>
      <c r="Y42" s="28"/>
      <c r="Z42" s="28"/>
      <c r="AA42" s="28"/>
      <c r="AB42" s="28"/>
      <c r="AC42" s="28"/>
      <c r="AD42" s="28"/>
      <c r="AE42" s="28"/>
      <c r="AF42" s="29"/>
    </row>
    <row r="43" spans="1:32" ht="15.75">
      <c r="A43" s="24" t="s">
        <v>4</v>
      </c>
      <c r="B43" s="25"/>
      <c r="C43" s="25"/>
      <c r="D43" s="25"/>
      <c r="E43" s="25"/>
      <c r="F43" s="25"/>
      <c r="G43" s="25"/>
      <c r="H43" s="25"/>
      <c r="I43" s="25"/>
      <c r="J43" s="25"/>
      <c r="K43" s="25"/>
      <c r="L43" s="25"/>
      <c r="M43" s="25"/>
      <c r="N43" s="25"/>
      <c r="O43" s="25"/>
      <c r="P43" s="25"/>
      <c r="Q43" s="25"/>
      <c r="R43" s="25"/>
      <c r="S43" s="25"/>
      <c r="T43" s="25"/>
      <c r="U43" s="25"/>
      <c r="V43" s="25"/>
      <c r="W43" s="25"/>
      <c r="X43" s="25"/>
      <c r="Y43" s="25"/>
      <c r="Z43" s="25"/>
      <c r="AA43" s="25"/>
      <c r="AB43" s="25"/>
      <c r="AC43" s="25"/>
      <c r="AD43" s="25"/>
      <c r="AE43" s="25"/>
      <c r="AF43" s="26"/>
    </row>
    <row r="44" spans="1:32" ht="15.75">
      <c r="A44" s="24"/>
      <c r="B44" s="25"/>
      <c r="C44" s="25"/>
      <c r="D44" s="25"/>
      <c r="E44" s="25"/>
      <c r="F44" s="25"/>
      <c r="G44" s="25"/>
      <c r="H44" s="25"/>
      <c r="I44" s="25"/>
      <c r="J44" s="25"/>
      <c r="K44" s="25"/>
      <c r="L44" s="25"/>
      <c r="M44" s="25"/>
      <c r="N44" s="25"/>
      <c r="O44" s="25"/>
      <c r="P44" s="25"/>
      <c r="Q44" s="25"/>
      <c r="R44" s="25"/>
      <c r="S44" s="25"/>
      <c r="T44" s="25"/>
      <c r="U44" s="25"/>
      <c r="V44" s="25"/>
      <c r="W44" s="25"/>
      <c r="X44" s="25"/>
      <c r="Y44" s="25"/>
      <c r="Z44" s="25"/>
      <c r="AA44" s="25"/>
      <c r="AB44" s="25"/>
      <c r="AC44" s="25"/>
      <c r="AD44" s="25"/>
      <c r="AE44" s="25"/>
      <c r="AF44" s="26"/>
    </row>
    <row r="45" spans="1:32" ht="15.75">
      <c r="A45" s="22"/>
      <c r="B45" s="30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23"/>
    </row>
    <row r="46" spans="1:32" ht="15.75">
      <c r="A46" s="31"/>
      <c r="B46" s="30"/>
      <c r="C46" s="3"/>
      <c r="D46" s="3"/>
      <c r="E46" s="3"/>
      <c r="F46" s="3"/>
      <c r="G46" s="3"/>
      <c r="H46" s="32" t="s">
        <v>3</v>
      </c>
      <c r="I46" s="30"/>
      <c r="J46" s="33"/>
      <c r="K46" s="34" t="s">
        <v>5</v>
      </c>
      <c r="L46" s="33"/>
      <c r="M46" s="33"/>
      <c r="N46" s="34" t="s">
        <v>6</v>
      </c>
      <c r="O46" s="33"/>
      <c r="P46" s="33"/>
      <c r="Q46" s="34" t="s">
        <v>7</v>
      </c>
      <c r="R46" s="30"/>
      <c r="S46" s="30"/>
      <c r="T46" s="33" t="s">
        <v>3</v>
      </c>
      <c r="U46" s="33"/>
      <c r="V46" s="33" t="s">
        <v>3</v>
      </c>
      <c r="W46" s="33"/>
      <c r="X46" s="33" t="s">
        <v>8</v>
      </c>
      <c r="Y46" s="3"/>
      <c r="Z46" s="3"/>
      <c r="AA46" s="3"/>
      <c r="AB46" s="3"/>
      <c r="AC46" s="3"/>
      <c r="AD46" s="3"/>
      <c r="AE46" s="3"/>
      <c r="AF46" s="23"/>
    </row>
    <row r="47" spans="1:32" ht="15.75">
      <c r="A47" s="31"/>
      <c r="B47" s="30"/>
      <c r="C47" s="3"/>
      <c r="D47" s="3"/>
      <c r="E47" s="3"/>
      <c r="F47" s="3"/>
      <c r="G47" s="3"/>
      <c r="H47" s="35" t="s">
        <v>9</v>
      </c>
      <c r="I47" s="30"/>
      <c r="J47" s="33"/>
      <c r="K47" s="33" t="s">
        <v>9</v>
      </c>
      <c r="L47" s="33"/>
      <c r="M47" s="33"/>
      <c r="N47" s="33" t="s">
        <v>9</v>
      </c>
      <c r="O47" s="33"/>
      <c r="P47" s="33"/>
      <c r="Q47" s="33" t="s">
        <v>9</v>
      </c>
      <c r="R47" s="30"/>
      <c r="S47" s="30"/>
      <c r="T47" s="33" t="s">
        <v>10</v>
      </c>
      <c r="U47" s="33"/>
      <c r="V47" s="33" t="s">
        <v>11</v>
      </c>
      <c r="W47" s="33"/>
      <c r="X47" s="33" t="s">
        <v>12</v>
      </c>
      <c r="Y47" s="3"/>
      <c r="Z47" s="3"/>
      <c r="AA47" s="3"/>
      <c r="AB47" s="3"/>
      <c r="AC47" s="3"/>
      <c r="AD47" s="3"/>
      <c r="AE47" s="3"/>
      <c r="AF47" s="23"/>
    </row>
    <row r="48" spans="1:32" ht="15.75">
      <c r="A48" s="31"/>
      <c r="B48" s="30"/>
      <c r="C48" s="3"/>
      <c r="D48" s="3"/>
      <c r="E48" s="3"/>
      <c r="F48" s="3"/>
      <c r="G48" s="3"/>
      <c r="H48" s="28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23"/>
    </row>
    <row r="49" spans="1:32" ht="16.5" thickBot="1">
      <c r="A49" s="36"/>
      <c r="B49" s="37"/>
      <c r="C49" s="38"/>
      <c r="D49" s="38"/>
      <c r="E49" s="38"/>
      <c r="F49" s="38"/>
      <c r="G49" s="38"/>
      <c r="H49" s="39"/>
      <c r="I49" s="38"/>
      <c r="J49" s="40"/>
      <c r="K49" s="39"/>
      <c r="L49" s="40"/>
      <c r="M49" s="40"/>
      <c r="N49" s="39"/>
      <c r="O49" s="40"/>
      <c r="P49" s="40"/>
      <c r="Q49" s="39"/>
      <c r="R49" s="38"/>
      <c r="S49" s="39"/>
      <c r="T49" s="39"/>
      <c r="U49" s="39"/>
      <c r="V49" s="39"/>
      <c r="W49" s="39"/>
      <c r="X49" s="39"/>
      <c r="Y49" s="38"/>
      <c r="Z49" s="38"/>
      <c r="AA49" s="38"/>
      <c r="AB49" s="38"/>
      <c r="AC49" s="38"/>
      <c r="AD49" s="38"/>
      <c r="AE49" s="38"/>
      <c r="AF49" s="41"/>
    </row>
    <row r="50" spans="1:32" ht="15.75" thickTop="1">
      <c r="B50" s="42"/>
    </row>
    <row r="51" spans="1:32">
      <c r="B51" s="42"/>
    </row>
    <row r="52" spans="1:32">
      <c r="B52" s="42"/>
    </row>
    <row r="53" spans="1:32">
      <c r="B53" s="42"/>
    </row>
    <row r="54" spans="1:32">
      <c r="B54" s="42"/>
    </row>
    <row r="55" spans="1:32">
      <c r="B55" s="42"/>
    </row>
    <row r="56" spans="1:32">
      <c r="B56" s="42"/>
    </row>
    <row r="57" spans="1:32">
      <c r="B57" s="42"/>
    </row>
    <row r="58" spans="1:32">
      <c r="B58" s="42"/>
    </row>
    <row r="59" spans="1:32">
      <c r="B59" s="42"/>
    </row>
    <row r="60" spans="1:32">
      <c r="B60" s="42"/>
    </row>
    <row r="61" spans="1:32">
      <c r="B61" s="42"/>
    </row>
    <row r="62" spans="1:32">
      <c r="B62" s="42"/>
    </row>
    <row r="63" spans="1:32">
      <c r="B63" s="42"/>
    </row>
    <row r="64" spans="1:32">
      <c r="B64" s="42"/>
    </row>
    <row r="65" spans="2:2">
      <c r="B65" s="42"/>
    </row>
    <row r="66" spans="2:2">
      <c r="B66" s="42"/>
    </row>
    <row r="67" spans="2:2">
      <c r="B67" s="42"/>
    </row>
    <row r="68" spans="2:2">
      <c r="B68" s="42"/>
    </row>
    <row r="69" spans="2:2">
      <c r="B69" s="42"/>
    </row>
    <row r="70" spans="2:2">
      <c r="B70" s="42"/>
    </row>
    <row r="71" spans="2:2">
      <c r="B71" s="42"/>
    </row>
    <row r="72" spans="2:2">
      <c r="B72" s="42"/>
    </row>
    <row r="73" spans="2:2">
      <c r="B73" s="42"/>
    </row>
    <row r="74" spans="2:2">
      <c r="B74" s="42"/>
    </row>
    <row r="75" spans="2:2">
      <c r="B75" s="42"/>
    </row>
    <row r="76" spans="2:2">
      <c r="B76" s="42"/>
    </row>
    <row r="77" spans="2:2">
      <c r="B77" s="42"/>
    </row>
    <row r="78" spans="2:2">
      <c r="B78" s="42"/>
    </row>
    <row r="79" spans="2:2">
      <c r="B79" s="42"/>
    </row>
    <row r="80" spans="2:2">
      <c r="B80" s="42"/>
    </row>
    <row r="81" spans="2:2">
      <c r="B81" s="42"/>
    </row>
    <row r="82" spans="2:2">
      <c r="B82" s="42"/>
    </row>
    <row r="83" spans="2:2">
      <c r="B83" s="42"/>
    </row>
    <row r="84" spans="2:2">
      <c r="B84" s="42"/>
    </row>
    <row r="85" spans="2:2">
      <c r="B85" s="42"/>
    </row>
    <row r="86" spans="2:2">
      <c r="B86" s="42"/>
    </row>
    <row r="87" spans="2:2">
      <c r="B87" s="42"/>
    </row>
    <row r="88" spans="2:2">
      <c r="B88" s="42"/>
    </row>
    <row r="89" spans="2:2">
      <c r="B89" s="42"/>
    </row>
    <row r="90" spans="2:2">
      <c r="B90" s="42"/>
    </row>
    <row r="91" spans="2:2">
      <c r="B91" s="42"/>
    </row>
    <row r="92" spans="2:2">
      <c r="B92" s="42"/>
    </row>
    <row r="93" spans="2:2">
      <c r="B93" s="42"/>
    </row>
    <row r="94" spans="2:2">
      <c r="B94" s="42"/>
    </row>
    <row r="95" spans="2:2">
      <c r="B95" s="42"/>
    </row>
    <row r="96" spans="2:2">
      <c r="B96" s="42"/>
    </row>
    <row r="97" spans="2:2">
      <c r="B97" s="42"/>
    </row>
    <row r="98" spans="2:2">
      <c r="B98" s="42"/>
    </row>
    <row r="99" spans="2:2">
      <c r="B99" s="42"/>
    </row>
    <row r="100" spans="2:2">
      <c r="B100" s="42"/>
    </row>
    <row r="101" spans="2:2">
      <c r="B101" s="42"/>
    </row>
    <row r="102" spans="2:2">
      <c r="B102" s="42"/>
    </row>
    <row r="103" spans="2:2">
      <c r="B103" s="42"/>
    </row>
    <row r="104" spans="2:2">
      <c r="B104" s="42"/>
    </row>
    <row r="105" spans="2:2">
      <c r="B105" s="42"/>
    </row>
    <row r="106" spans="2:2">
      <c r="B106" s="42"/>
    </row>
    <row r="107" spans="2:2">
      <c r="B107" s="42"/>
    </row>
    <row r="108" spans="2:2">
      <c r="B108" s="42"/>
    </row>
    <row r="109" spans="2:2">
      <c r="B109" s="42"/>
    </row>
    <row r="110" spans="2:2">
      <c r="B110" s="42"/>
    </row>
    <row r="111" spans="2:2">
      <c r="B111" s="42"/>
    </row>
    <row r="112" spans="2:2">
      <c r="B112" s="42"/>
    </row>
    <row r="113" spans="2:2">
      <c r="B113" s="42"/>
    </row>
    <row r="114" spans="2:2">
      <c r="B114" s="42"/>
    </row>
    <row r="115" spans="2:2">
      <c r="B115" s="42"/>
    </row>
    <row r="116" spans="2:2">
      <c r="B116" s="42"/>
    </row>
    <row r="117" spans="2:2">
      <c r="B117" s="42"/>
    </row>
    <row r="118" spans="2:2">
      <c r="B118" s="42"/>
    </row>
    <row r="119" spans="2:2">
      <c r="B119" s="42"/>
    </row>
    <row r="120" spans="2:2">
      <c r="B120" s="42"/>
    </row>
    <row r="121" spans="2:2">
      <c r="B121" s="42"/>
    </row>
    <row r="122" spans="2:2">
      <c r="B122" s="42"/>
    </row>
    <row r="123" spans="2:2">
      <c r="B123" s="42"/>
    </row>
    <row r="124" spans="2:2">
      <c r="B124" s="42"/>
    </row>
    <row r="125" spans="2:2">
      <c r="B125" s="42"/>
    </row>
    <row r="126" spans="2:2">
      <c r="B126" s="42"/>
    </row>
    <row r="127" spans="2:2">
      <c r="B127" s="42"/>
    </row>
    <row r="128" spans="2:2">
      <c r="B128" s="42"/>
    </row>
    <row r="129" spans="2:2">
      <c r="B129" s="42"/>
    </row>
    <row r="130" spans="2:2">
      <c r="B130" s="42"/>
    </row>
    <row r="131" spans="2:2">
      <c r="B131" s="42"/>
    </row>
    <row r="132" spans="2:2">
      <c r="B132" s="42"/>
    </row>
    <row r="133" spans="2:2">
      <c r="B133" s="42"/>
    </row>
    <row r="134" spans="2:2">
      <c r="B134" s="42"/>
    </row>
    <row r="135" spans="2:2">
      <c r="B135" s="42"/>
    </row>
    <row r="136" spans="2:2">
      <c r="B136" s="42"/>
    </row>
    <row r="137" spans="2:2">
      <c r="B137" s="42"/>
    </row>
    <row r="138" spans="2:2">
      <c r="B138" s="42"/>
    </row>
    <row r="139" spans="2:2">
      <c r="B139" s="42"/>
    </row>
    <row r="140" spans="2:2">
      <c r="B140" s="42"/>
    </row>
    <row r="141" spans="2:2">
      <c r="B141" s="42"/>
    </row>
    <row r="142" spans="2:2">
      <c r="B142" s="42"/>
    </row>
    <row r="143" spans="2:2">
      <c r="B143" s="42"/>
    </row>
    <row r="144" spans="2:2">
      <c r="B144" s="42"/>
    </row>
    <row r="145" spans="2:2">
      <c r="B145" s="42"/>
    </row>
    <row r="146" spans="2:2">
      <c r="B146" s="42"/>
    </row>
    <row r="147" spans="2:2">
      <c r="B147" s="42"/>
    </row>
    <row r="148" spans="2:2">
      <c r="B148" s="42"/>
    </row>
    <row r="149" spans="2:2">
      <c r="B149" s="42"/>
    </row>
    <row r="150" spans="2:2">
      <c r="B150" s="42"/>
    </row>
    <row r="151" spans="2:2">
      <c r="B151" s="42"/>
    </row>
    <row r="152" spans="2:2">
      <c r="B152" s="42"/>
    </row>
    <row r="153" spans="2:2">
      <c r="B153" s="42"/>
    </row>
    <row r="154" spans="2:2">
      <c r="B154" s="42"/>
    </row>
    <row r="155" spans="2:2">
      <c r="B155" s="42"/>
    </row>
    <row r="156" spans="2:2">
      <c r="B156" s="42"/>
    </row>
    <row r="157" spans="2:2">
      <c r="B157" s="42"/>
    </row>
    <row r="158" spans="2:2">
      <c r="B158" s="42"/>
    </row>
    <row r="159" spans="2:2">
      <c r="B159" s="42"/>
    </row>
    <row r="160" spans="2:2">
      <c r="B160" s="42"/>
    </row>
    <row r="161" spans="2:2">
      <c r="B161" s="42"/>
    </row>
    <row r="162" spans="2:2">
      <c r="B162" s="42"/>
    </row>
    <row r="163" spans="2:2">
      <c r="B163" s="42"/>
    </row>
    <row r="164" spans="2:2">
      <c r="B164" s="42"/>
    </row>
    <row r="165" spans="2:2">
      <c r="B165" s="42"/>
    </row>
    <row r="166" spans="2:2">
      <c r="B166" s="42"/>
    </row>
    <row r="167" spans="2:2">
      <c r="B167" s="42"/>
    </row>
    <row r="168" spans="2:2">
      <c r="B168" s="42"/>
    </row>
    <row r="169" spans="2:2">
      <c r="B169" s="42"/>
    </row>
    <row r="170" spans="2:2">
      <c r="B170" s="42"/>
    </row>
    <row r="171" spans="2:2">
      <c r="B171" s="42"/>
    </row>
    <row r="172" spans="2:2">
      <c r="B172" s="42"/>
    </row>
    <row r="173" spans="2:2">
      <c r="B173" s="42"/>
    </row>
    <row r="174" spans="2:2">
      <c r="B174" s="42"/>
    </row>
    <row r="175" spans="2:2">
      <c r="B175" s="42"/>
    </row>
    <row r="176" spans="2:2">
      <c r="B176" s="42"/>
    </row>
    <row r="177" spans="2:2">
      <c r="B177" s="42"/>
    </row>
    <row r="178" spans="2:2">
      <c r="B178" s="42"/>
    </row>
    <row r="179" spans="2:2">
      <c r="B179" s="42"/>
    </row>
    <row r="180" spans="2:2">
      <c r="B180" s="42"/>
    </row>
    <row r="181" spans="2:2">
      <c r="B181" s="42"/>
    </row>
    <row r="182" spans="2:2">
      <c r="B182" s="42"/>
    </row>
    <row r="183" spans="2:2">
      <c r="B183" s="42"/>
    </row>
    <row r="184" spans="2:2">
      <c r="B184" s="42"/>
    </row>
    <row r="185" spans="2:2">
      <c r="B185" s="42"/>
    </row>
    <row r="186" spans="2:2">
      <c r="B186" s="42"/>
    </row>
    <row r="187" spans="2:2">
      <c r="B187" s="42"/>
    </row>
    <row r="188" spans="2:2">
      <c r="B188" s="42"/>
    </row>
    <row r="189" spans="2:2">
      <c r="B189" s="42"/>
    </row>
    <row r="190" spans="2:2">
      <c r="B190" s="42"/>
    </row>
    <row r="191" spans="2:2">
      <c r="B191" s="42"/>
    </row>
    <row r="192" spans="2:2">
      <c r="B192" s="42"/>
    </row>
    <row r="193" spans="2:2">
      <c r="B193" s="42"/>
    </row>
    <row r="194" spans="2:2">
      <c r="B194" s="42"/>
    </row>
    <row r="195" spans="2:2">
      <c r="B195" s="42"/>
    </row>
    <row r="196" spans="2:2">
      <c r="B196" s="42"/>
    </row>
    <row r="197" spans="2:2">
      <c r="B197" s="42"/>
    </row>
    <row r="198" spans="2:2">
      <c r="B198" s="42"/>
    </row>
    <row r="199" spans="2:2">
      <c r="B199" s="42"/>
    </row>
    <row r="200" spans="2:2">
      <c r="B200" s="42"/>
    </row>
    <row r="201" spans="2:2">
      <c r="B201" s="42"/>
    </row>
    <row r="202" spans="2:2">
      <c r="B202" s="42"/>
    </row>
    <row r="203" spans="2:2">
      <c r="B203" s="42"/>
    </row>
    <row r="204" spans="2:2">
      <c r="B204" s="42"/>
    </row>
    <row r="205" spans="2:2">
      <c r="B205" s="42"/>
    </row>
    <row r="206" spans="2:2">
      <c r="B206" s="42"/>
    </row>
    <row r="207" spans="2:2">
      <c r="B207" s="42"/>
    </row>
    <row r="208" spans="2:2">
      <c r="B208" s="42"/>
    </row>
    <row r="209" spans="2:2">
      <c r="B209" s="42"/>
    </row>
    <row r="210" spans="2:2">
      <c r="B210" s="42"/>
    </row>
    <row r="211" spans="2:2">
      <c r="B211" s="42"/>
    </row>
    <row r="212" spans="2:2">
      <c r="B212" s="42"/>
    </row>
    <row r="213" spans="2:2">
      <c r="B213" s="42"/>
    </row>
    <row r="214" spans="2:2">
      <c r="B214" s="42"/>
    </row>
    <row r="215" spans="2:2">
      <c r="B215" s="42"/>
    </row>
    <row r="216" spans="2:2">
      <c r="B216" s="42"/>
    </row>
    <row r="217" spans="2:2">
      <c r="B217" s="42"/>
    </row>
    <row r="218" spans="2:2">
      <c r="B218" s="42"/>
    </row>
    <row r="219" spans="2:2">
      <c r="B219" s="42"/>
    </row>
    <row r="220" spans="2:2">
      <c r="B220" s="42"/>
    </row>
    <row r="221" spans="2:2">
      <c r="B221" s="42"/>
    </row>
    <row r="222" spans="2:2">
      <c r="B222" s="42"/>
    </row>
    <row r="223" spans="2:2">
      <c r="B223" s="42"/>
    </row>
    <row r="224" spans="2:2">
      <c r="B224" s="42"/>
    </row>
    <row r="225" spans="2:2">
      <c r="B225" s="42"/>
    </row>
    <row r="226" spans="2:2">
      <c r="B226" s="42"/>
    </row>
    <row r="227" spans="2:2">
      <c r="B227" s="42"/>
    </row>
    <row r="228" spans="2:2">
      <c r="B228" s="42"/>
    </row>
    <row r="229" spans="2:2">
      <c r="B229" s="42"/>
    </row>
    <row r="230" spans="2:2">
      <c r="B230" s="42"/>
    </row>
    <row r="231" spans="2:2">
      <c r="B231" s="42"/>
    </row>
    <row r="232" spans="2:2">
      <c r="B232" s="42"/>
    </row>
    <row r="233" spans="2:2">
      <c r="B233" s="42"/>
    </row>
    <row r="234" spans="2:2">
      <c r="B234" s="42"/>
    </row>
    <row r="235" spans="2:2">
      <c r="B235" s="42"/>
    </row>
    <row r="236" spans="2:2">
      <c r="B236" s="42"/>
    </row>
    <row r="237" spans="2:2">
      <c r="B237" s="42"/>
    </row>
    <row r="238" spans="2:2">
      <c r="B238" s="42"/>
    </row>
    <row r="239" spans="2:2">
      <c r="B239" s="42"/>
    </row>
    <row r="240" spans="2:2">
      <c r="B240" s="42"/>
    </row>
    <row r="241" spans="2:2">
      <c r="B241" s="42"/>
    </row>
    <row r="242" spans="2:2">
      <c r="B242" s="42"/>
    </row>
    <row r="243" spans="2:2">
      <c r="B243" s="42"/>
    </row>
    <row r="244" spans="2:2">
      <c r="B244" s="42"/>
    </row>
    <row r="245" spans="2:2">
      <c r="B245" s="42"/>
    </row>
    <row r="246" spans="2:2">
      <c r="B246" s="42"/>
    </row>
    <row r="247" spans="2:2">
      <c r="B247" s="42"/>
    </row>
    <row r="248" spans="2:2">
      <c r="B248" s="42"/>
    </row>
    <row r="249" spans="2:2">
      <c r="B249" s="42"/>
    </row>
    <row r="250" spans="2:2">
      <c r="B250" s="42"/>
    </row>
    <row r="251" spans="2:2">
      <c r="B251" s="42"/>
    </row>
    <row r="252" spans="2:2">
      <c r="B252" s="42"/>
    </row>
    <row r="253" spans="2:2">
      <c r="B253" s="42"/>
    </row>
    <row r="254" spans="2:2">
      <c r="B254" s="42"/>
    </row>
    <row r="255" spans="2:2">
      <c r="B255" s="42"/>
    </row>
    <row r="256" spans="2:2">
      <c r="B256" s="42"/>
    </row>
    <row r="257" spans="2:2">
      <c r="B257" s="42"/>
    </row>
    <row r="258" spans="2:2">
      <c r="B258" s="42"/>
    </row>
    <row r="259" spans="2:2">
      <c r="B259" s="42"/>
    </row>
    <row r="260" spans="2:2">
      <c r="B260" s="42"/>
    </row>
    <row r="261" spans="2:2">
      <c r="B261" s="42"/>
    </row>
    <row r="262" spans="2:2">
      <c r="B262" s="42"/>
    </row>
    <row r="263" spans="2:2">
      <c r="B263" s="42"/>
    </row>
    <row r="264" spans="2:2">
      <c r="B264" s="42"/>
    </row>
    <row r="265" spans="2:2">
      <c r="B265" s="42"/>
    </row>
    <row r="266" spans="2:2">
      <c r="B266" s="42"/>
    </row>
    <row r="267" spans="2:2">
      <c r="B267" s="42"/>
    </row>
    <row r="268" spans="2:2">
      <c r="B268" s="42"/>
    </row>
    <row r="269" spans="2:2">
      <c r="B269" s="42"/>
    </row>
    <row r="270" spans="2:2">
      <c r="B270" s="42"/>
    </row>
    <row r="271" spans="2:2">
      <c r="B271" s="42"/>
    </row>
    <row r="272" spans="2:2">
      <c r="B272" s="42"/>
    </row>
    <row r="273" spans="2:2">
      <c r="B273" s="42"/>
    </row>
    <row r="274" spans="2:2">
      <c r="B274" s="42"/>
    </row>
    <row r="275" spans="2:2">
      <c r="B275" s="42"/>
    </row>
    <row r="276" spans="2:2">
      <c r="B276" s="42"/>
    </row>
    <row r="277" spans="2:2">
      <c r="B277" s="42"/>
    </row>
    <row r="278" spans="2:2">
      <c r="B278" s="42"/>
    </row>
    <row r="279" spans="2:2">
      <c r="B279" s="42"/>
    </row>
    <row r="280" spans="2:2">
      <c r="B280" s="42"/>
    </row>
    <row r="281" spans="2:2">
      <c r="B281" s="42"/>
    </row>
    <row r="282" spans="2:2">
      <c r="B282" s="42"/>
    </row>
    <row r="283" spans="2:2">
      <c r="B283" s="42"/>
    </row>
    <row r="284" spans="2:2">
      <c r="B284" s="42"/>
    </row>
    <row r="285" spans="2:2">
      <c r="B285" s="42"/>
    </row>
    <row r="286" spans="2:2">
      <c r="B286" s="42"/>
    </row>
    <row r="287" spans="2:2">
      <c r="B287" s="42"/>
    </row>
    <row r="288" spans="2:2">
      <c r="B288" s="42"/>
    </row>
    <row r="289" spans="2:2">
      <c r="B289" s="42"/>
    </row>
    <row r="290" spans="2:2">
      <c r="B290" s="42"/>
    </row>
    <row r="291" spans="2:2">
      <c r="B291" s="42"/>
    </row>
    <row r="292" spans="2:2">
      <c r="B292" s="42"/>
    </row>
    <row r="293" spans="2:2">
      <c r="B293" s="42"/>
    </row>
    <row r="294" spans="2:2">
      <c r="B294" s="42"/>
    </row>
    <row r="295" spans="2:2">
      <c r="B295" s="42"/>
    </row>
    <row r="296" spans="2:2">
      <c r="B296" s="42"/>
    </row>
    <row r="297" spans="2:2">
      <c r="B297" s="42"/>
    </row>
    <row r="298" spans="2:2">
      <c r="B298" s="42"/>
    </row>
    <row r="299" spans="2:2">
      <c r="B299" s="42"/>
    </row>
    <row r="300" spans="2:2">
      <c r="B300" s="42"/>
    </row>
    <row r="301" spans="2:2">
      <c r="B301" s="42"/>
    </row>
    <row r="302" spans="2:2">
      <c r="B302" s="42"/>
    </row>
    <row r="303" spans="2:2">
      <c r="B303" s="42"/>
    </row>
    <row r="304" spans="2:2">
      <c r="B304" s="42"/>
    </row>
    <row r="305" spans="2:2">
      <c r="B305" s="42"/>
    </row>
    <row r="306" spans="2:2">
      <c r="B306" s="42"/>
    </row>
    <row r="307" spans="2:2">
      <c r="B307" s="42"/>
    </row>
    <row r="308" spans="2:2">
      <c r="B308" s="42"/>
    </row>
    <row r="309" spans="2:2">
      <c r="B309" s="42"/>
    </row>
    <row r="310" spans="2:2">
      <c r="B310" s="42"/>
    </row>
    <row r="311" spans="2:2">
      <c r="B311" s="42"/>
    </row>
    <row r="312" spans="2:2">
      <c r="B312" s="42"/>
    </row>
    <row r="313" spans="2:2">
      <c r="B313" s="42"/>
    </row>
    <row r="314" spans="2:2">
      <c r="B314" s="42"/>
    </row>
    <row r="315" spans="2:2">
      <c r="B315" s="42"/>
    </row>
    <row r="316" spans="2:2">
      <c r="B316" s="42"/>
    </row>
    <row r="317" spans="2:2">
      <c r="B317" s="42"/>
    </row>
    <row r="318" spans="2:2">
      <c r="B318" s="42"/>
    </row>
    <row r="319" spans="2:2">
      <c r="B319" s="42"/>
    </row>
    <row r="320" spans="2:2">
      <c r="B320" s="42"/>
    </row>
    <row r="321" spans="2:2">
      <c r="B321" s="42"/>
    </row>
    <row r="322" spans="2:2">
      <c r="B322" s="42"/>
    </row>
    <row r="323" spans="2:2">
      <c r="B323" s="42"/>
    </row>
    <row r="324" spans="2:2">
      <c r="B324" s="42"/>
    </row>
    <row r="325" spans="2:2">
      <c r="B325" s="42"/>
    </row>
    <row r="326" spans="2:2">
      <c r="B326" s="42"/>
    </row>
    <row r="327" spans="2:2">
      <c r="B327" s="42"/>
    </row>
    <row r="328" spans="2:2">
      <c r="B328" s="42"/>
    </row>
    <row r="329" spans="2:2">
      <c r="B329" s="42"/>
    </row>
    <row r="330" spans="2:2">
      <c r="B330" s="42"/>
    </row>
    <row r="331" spans="2:2">
      <c r="B331" s="42"/>
    </row>
    <row r="332" spans="2:2">
      <c r="B332" s="42"/>
    </row>
    <row r="333" spans="2:2">
      <c r="B333" s="42"/>
    </row>
    <row r="334" spans="2:2">
      <c r="B334" s="42"/>
    </row>
    <row r="335" spans="2:2">
      <c r="B335" s="42"/>
    </row>
    <row r="336" spans="2:2">
      <c r="B336" s="42"/>
    </row>
    <row r="337" spans="2:2">
      <c r="B337" s="42"/>
    </row>
    <row r="338" spans="2:2">
      <c r="B338" s="42"/>
    </row>
    <row r="339" spans="2:2">
      <c r="B339" s="42"/>
    </row>
    <row r="340" spans="2:2">
      <c r="B340" s="42"/>
    </row>
    <row r="341" spans="2:2">
      <c r="B341" s="42"/>
    </row>
    <row r="342" spans="2:2">
      <c r="B342" s="42"/>
    </row>
    <row r="343" spans="2:2">
      <c r="B343" s="42"/>
    </row>
    <row r="344" spans="2:2">
      <c r="B344" s="42"/>
    </row>
    <row r="345" spans="2:2">
      <c r="B345" s="42"/>
    </row>
    <row r="346" spans="2:2">
      <c r="B346" s="42"/>
    </row>
    <row r="347" spans="2:2">
      <c r="B347" s="42"/>
    </row>
    <row r="348" spans="2:2">
      <c r="B348" s="42"/>
    </row>
    <row r="349" spans="2:2">
      <c r="B349" s="42"/>
    </row>
    <row r="350" spans="2:2">
      <c r="B350" s="42"/>
    </row>
    <row r="351" spans="2:2">
      <c r="B351" s="42"/>
    </row>
    <row r="352" spans="2:2">
      <c r="B352" s="42"/>
    </row>
    <row r="353" spans="2:2">
      <c r="B353" s="42"/>
    </row>
    <row r="354" spans="2:2">
      <c r="B354" s="42"/>
    </row>
    <row r="355" spans="2:2">
      <c r="B355" s="42"/>
    </row>
    <row r="356" spans="2:2">
      <c r="B356" s="42"/>
    </row>
    <row r="357" spans="2:2">
      <c r="B357" s="42"/>
    </row>
    <row r="358" spans="2:2">
      <c r="B358" s="42"/>
    </row>
    <row r="359" spans="2:2">
      <c r="B359" s="42"/>
    </row>
    <row r="360" spans="2:2">
      <c r="B360" s="42"/>
    </row>
    <row r="361" spans="2:2">
      <c r="B361" s="42"/>
    </row>
    <row r="362" spans="2:2">
      <c r="B362" s="42"/>
    </row>
    <row r="363" spans="2:2">
      <c r="B363" s="42"/>
    </row>
    <row r="364" spans="2:2">
      <c r="B364" s="42"/>
    </row>
    <row r="365" spans="2:2">
      <c r="B365" s="42"/>
    </row>
    <row r="366" spans="2:2">
      <c r="B366" s="42"/>
    </row>
    <row r="367" spans="2:2">
      <c r="B367" s="42"/>
    </row>
    <row r="368" spans="2:2">
      <c r="B368" s="42"/>
    </row>
    <row r="369" spans="2:2">
      <c r="B369" s="42"/>
    </row>
    <row r="370" spans="2:2">
      <c r="B370" s="42"/>
    </row>
    <row r="371" spans="2:2">
      <c r="B371" s="42"/>
    </row>
    <row r="372" spans="2:2">
      <c r="B372" s="42"/>
    </row>
    <row r="373" spans="2:2">
      <c r="B373" s="42"/>
    </row>
    <row r="374" spans="2:2">
      <c r="B374" s="42"/>
    </row>
    <row r="375" spans="2:2">
      <c r="B375" s="42"/>
    </row>
    <row r="376" spans="2:2">
      <c r="B376" s="42"/>
    </row>
    <row r="377" spans="2:2">
      <c r="B377" s="42"/>
    </row>
    <row r="378" spans="2:2">
      <c r="B378" s="42"/>
    </row>
    <row r="379" spans="2:2">
      <c r="B379" s="42"/>
    </row>
    <row r="380" spans="2:2">
      <c r="B380" s="42"/>
    </row>
    <row r="381" spans="2:2">
      <c r="B381" s="42"/>
    </row>
    <row r="382" spans="2:2">
      <c r="B382" s="42"/>
    </row>
    <row r="383" spans="2:2">
      <c r="B383" s="42"/>
    </row>
    <row r="384" spans="2:2">
      <c r="B384" s="42"/>
    </row>
    <row r="385" spans="2:2">
      <c r="B385" s="42"/>
    </row>
    <row r="386" spans="2:2">
      <c r="B386" s="42"/>
    </row>
    <row r="387" spans="2:2">
      <c r="B387" s="42"/>
    </row>
    <row r="388" spans="2:2">
      <c r="B388" s="42"/>
    </row>
    <row r="389" spans="2:2">
      <c r="B389" s="42"/>
    </row>
    <row r="390" spans="2:2">
      <c r="B390" s="42"/>
    </row>
    <row r="391" spans="2:2">
      <c r="B391" s="42"/>
    </row>
    <row r="392" spans="2:2">
      <c r="B392" s="42"/>
    </row>
    <row r="393" spans="2:2">
      <c r="B393" s="42"/>
    </row>
    <row r="394" spans="2:2">
      <c r="B394" s="42"/>
    </row>
    <row r="395" spans="2:2">
      <c r="B395" s="42"/>
    </row>
    <row r="396" spans="2:2">
      <c r="B396" s="42"/>
    </row>
    <row r="397" spans="2:2">
      <c r="B397" s="42"/>
    </row>
    <row r="398" spans="2:2">
      <c r="B398" s="42"/>
    </row>
    <row r="399" spans="2:2">
      <c r="B399" s="42"/>
    </row>
    <row r="400" spans="2:2">
      <c r="B400" s="42"/>
    </row>
    <row r="401" spans="2:2">
      <c r="B401" s="42"/>
    </row>
    <row r="402" spans="2:2">
      <c r="B402" s="42"/>
    </row>
    <row r="403" spans="2:2">
      <c r="B403" s="42"/>
    </row>
    <row r="404" spans="2:2">
      <c r="B404" s="42"/>
    </row>
    <row r="405" spans="2:2">
      <c r="B405" s="42"/>
    </row>
    <row r="406" spans="2:2">
      <c r="B406" s="42"/>
    </row>
    <row r="407" spans="2:2">
      <c r="B407" s="42"/>
    </row>
    <row r="408" spans="2:2">
      <c r="B408" s="42"/>
    </row>
    <row r="409" spans="2:2">
      <c r="B409" s="42"/>
    </row>
    <row r="410" spans="2:2">
      <c r="B410" s="42"/>
    </row>
    <row r="411" spans="2:2">
      <c r="B411" s="42"/>
    </row>
    <row r="412" spans="2:2">
      <c r="B412" s="42"/>
    </row>
    <row r="413" spans="2:2">
      <c r="B413" s="42"/>
    </row>
    <row r="414" spans="2:2">
      <c r="B414" s="42"/>
    </row>
    <row r="415" spans="2:2">
      <c r="B415" s="42"/>
    </row>
    <row r="416" spans="2:2">
      <c r="B416" s="42"/>
    </row>
    <row r="417" spans="2:2">
      <c r="B417" s="42"/>
    </row>
    <row r="418" spans="2:2">
      <c r="B418" s="42"/>
    </row>
    <row r="419" spans="2:2">
      <c r="B419" s="42"/>
    </row>
    <row r="420" spans="2:2">
      <c r="B420" s="42"/>
    </row>
    <row r="421" spans="2:2">
      <c r="B421" s="42"/>
    </row>
    <row r="422" spans="2:2">
      <c r="B422" s="42"/>
    </row>
    <row r="423" spans="2:2">
      <c r="B423" s="42"/>
    </row>
    <row r="424" spans="2:2">
      <c r="B424" s="42"/>
    </row>
    <row r="425" spans="2:2">
      <c r="B425" s="42"/>
    </row>
    <row r="426" spans="2:2">
      <c r="B426" s="42"/>
    </row>
    <row r="427" spans="2:2">
      <c r="B427" s="42"/>
    </row>
    <row r="428" spans="2:2">
      <c r="B428" s="42"/>
    </row>
    <row r="429" spans="2:2">
      <c r="B429" s="42"/>
    </row>
    <row r="430" spans="2:2">
      <c r="B430" s="42"/>
    </row>
    <row r="431" spans="2:2">
      <c r="B431" s="42"/>
    </row>
    <row r="432" spans="2:2">
      <c r="B432" s="42"/>
    </row>
    <row r="433" spans="2:2">
      <c r="B433" s="42"/>
    </row>
    <row r="434" spans="2:2">
      <c r="B434" s="42"/>
    </row>
    <row r="435" spans="2:2">
      <c r="B435" s="42"/>
    </row>
    <row r="436" spans="2:2">
      <c r="B436" s="42"/>
    </row>
    <row r="437" spans="2:2">
      <c r="B437" s="42"/>
    </row>
    <row r="438" spans="2:2">
      <c r="B438" s="42"/>
    </row>
    <row r="439" spans="2:2">
      <c r="B439" s="42"/>
    </row>
    <row r="440" spans="2:2">
      <c r="B440" s="42"/>
    </row>
    <row r="441" spans="2:2">
      <c r="B441" s="42"/>
    </row>
    <row r="442" spans="2:2">
      <c r="B442" s="42"/>
    </row>
    <row r="443" spans="2:2">
      <c r="B443" s="42"/>
    </row>
    <row r="444" spans="2:2">
      <c r="B444" s="42"/>
    </row>
    <row r="445" spans="2:2">
      <c r="B445" s="42"/>
    </row>
    <row r="446" spans="2:2">
      <c r="B446" s="42"/>
    </row>
    <row r="447" spans="2:2">
      <c r="B447" s="42"/>
    </row>
    <row r="448" spans="2:2">
      <c r="B448" s="42"/>
    </row>
    <row r="449" spans="2:2">
      <c r="B449" s="42"/>
    </row>
    <row r="450" spans="2:2">
      <c r="B450" s="42"/>
    </row>
    <row r="451" spans="2:2">
      <c r="B451" s="42"/>
    </row>
    <row r="452" spans="2:2">
      <c r="B452" s="42"/>
    </row>
    <row r="453" spans="2:2">
      <c r="B453" s="42"/>
    </row>
    <row r="454" spans="2:2">
      <c r="B454" s="42"/>
    </row>
    <row r="455" spans="2:2">
      <c r="B455" s="42"/>
    </row>
    <row r="456" spans="2:2">
      <c r="B456" s="42"/>
    </row>
    <row r="457" spans="2:2">
      <c r="B457" s="42"/>
    </row>
    <row r="458" spans="2:2">
      <c r="B458" s="42"/>
    </row>
    <row r="459" spans="2:2">
      <c r="B459" s="42"/>
    </row>
    <row r="460" spans="2:2">
      <c r="B460" s="42"/>
    </row>
    <row r="461" spans="2:2">
      <c r="B461" s="42"/>
    </row>
    <row r="462" spans="2:2">
      <c r="B462" s="42"/>
    </row>
    <row r="463" spans="2:2">
      <c r="B463" s="42"/>
    </row>
    <row r="464" spans="2:2">
      <c r="B464" s="42"/>
    </row>
    <row r="465" spans="2:2">
      <c r="B465" s="42"/>
    </row>
    <row r="466" spans="2:2">
      <c r="B466" s="42"/>
    </row>
    <row r="467" spans="2:2">
      <c r="B467" s="42"/>
    </row>
    <row r="468" spans="2:2">
      <c r="B468" s="42"/>
    </row>
    <row r="469" spans="2:2">
      <c r="B469" s="42"/>
    </row>
    <row r="470" spans="2:2">
      <c r="B470" s="42"/>
    </row>
    <row r="471" spans="2:2">
      <c r="B471" s="42"/>
    </row>
    <row r="472" spans="2:2">
      <c r="B472" s="42"/>
    </row>
    <row r="473" spans="2:2">
      <c r="B473" s="42"/>
    </row>
    <row r="474" spans="2:2">
      <c r="B474" s="42"/>
    </row>
    <row r="475" spans="2:2">
      <c r="B475" s="42"/>
    </row>
    <row r="476" spans="2:2">
      <c r="B476" s="42"/>
    </row>
    <row r="477" spans="2:2">
      <c r="B477" s="42"/>
    </row>
    <row r="478" spans="2:2">
      <c r="B478" s="42"/>
    </row>
    <row r="479" spans="2:2">
      <c r="B479" s="42"/>
    </row>
    <row r="480" spans="2:2">
      <c r="B480" s="42"/>
    </row>
    <row r="481" spans="2:2">
      <c r="B481" s="42"/>
    </row>
    <row r="482" spans="2:2">
      <c r="B482" s="42"/>
    </row>
    <row r="483" spans="2:2">
      <c r="B483" s="42"/>
    </row>
    <row r="484" spans="2:2">
      <c r="B484" s="42"/>
    </row>
    <row r="485" spans="2:2">
      <c r="B485" s="42"/>
    </row>
    <row r="486" spans="2:2">
      <c r="B486" s="42"/>
    </row>
    <row r="487" spans="2:2">
      <c r="B487" s="42"/>
    </row>
    <row r="488" spans="2:2">
      <c r="B488" s="42"/>
    </row>
    <row r="489" spans="2:2">
      <c r="B489" s="42"/>
    </row>
    <row r="490" spans="2:2">
      <c r="B490" s="42"/>
    </row>
    <row r="491" spans="2:2">
      <c r="B491" s="42"/>
    </row>
    <row r="492" spans="2:2">
      <c r="B492" s="42"/>
    </row>
    <row r="493" spans="2:2">
      <c r="B493" s="42"/>
    </row>
    <row r="494" spans="2:2">
      <c r="B494" s="42"/>
    </row>
    <row r="495" spans="2:2">
      <c r="B495" s="42"/>
    </row>
    <row r="496" spans="2:2">
      <c r="B496" s="42"/>
    </row>
    <row r="497" spans="2:2">
      <c r="B497" s="42"/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12</vt:i4>
      </vt:variant>
    </vt:vector>
  </HeadingPairs>
  <TitlesOfParts>
    <vt:vector size="12" baseType="lpstr">
      <vt:lpstr>Jan</vt:lpstr>
      <vt:lpstr>Fev</vt:lpstr>
      <vt:lpstr>Mar</vt:lpstr>
      <vt:lpstr>Abr</vt:lpstr>
      <vt:lpstr>Mai</vt:lpstr>
      <vt:lpstr>Jun</vt:lpstr>
      <vt:lpstr>Jul</vt:lpstr>
      <vt:lpstr>Ago</vt:lpstr>
      <vt:lpstr>Set</vt:lpstr>
      <vt:lpstr>Out</vt:lpstr>
      <vt:lpstr>Nov</vt:lpstr>
      <vt:lpstr>Dez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Emilia</dc:creator>
  <cp:lastModifiedBy>Emilia</cp:lastModifiedBy>
  <dcterms:created xsi:type="dcterms:W3CDTF">2026-03-11T18:34:21Z</dcterms:created>
  <dcterms:modified xsi:type="dcterms:W3CDTF">2026-03-11T18:34:37Z</dcterms:modified>
</cp:coreProperties>
</file>