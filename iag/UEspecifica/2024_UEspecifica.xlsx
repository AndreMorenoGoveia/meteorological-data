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3870" yWindow="120" windowWidth="20790" windowHeight="13740" tabRatio="871"/>
  </bookViews>
  <sheets>
    <sheet name="Jan" sheetId="2" r:id="rId1"/>
    <sheet name="Fev" sheetId="3" r:id="rId2"/>
    <sheet name="Mar" sheetId="1" r:id="rId3"/>
    <sheet name="Abr" sheetId="5" r:id="rId4"/>
    <sheet name="Mai" sheetId="4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2" r:id="rId11"/>
    <sheet name="Dez" sheetId="11" r:id="rId12"/>
    <sheet name="Média Diária" sheetId="13" r:id="rId13"/>
    <sheet name="Máxima Mensal" sheetId="14" r:id="rId14"/>
    <sheet name="Mínima Mensal " sheetId="15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8" i="11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E18" i="12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18" i="10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E18" i="9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18" i="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18" i="7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E18" i="6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18" i="4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E18" i="5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D18" i="3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18" i="1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AF18" i="2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B1"/>
  <c r="D31" i="15" l="1"/>
  <c r="D31" i="14"/>
  <c r="H8" i="15"/>
  <c r="H27"/>
  <c r="H23" i="14"/>
  <c r="H11" i="15"/>
  <c r="H7"/>
  <c r="H24"/>
  <c r="H7" i="14"/>
  <c r="H19" i="15"/>
  <c r="H3"/>
  <c r="G30" i="14"/>
  <c r="G26"/>
  <c r="G22"/>
  <c r="G18"/>
  <c r="G14"/>
  <c r="G10"/>
  <c r="G6"/>
  <c r="G32" i="15"/>
  <c r="G28"/>
  <c r="G20"/>
  <c r="G16"/>
  <c r="G12"/>
  <c r="G4"/>
  <c r="G31" i="14"/>
  <c r="G27"/>
  <c r="G24" i="15"/>
  <c r="G19" i="14"/>
  <c r="G15"/>
  <c r="G11"/>
  <c r="G7"/>
  <c r="G3"/>
  <c r="G23"/>
  <c r="G23" i="15"/>
  <c r="G7"/>
  <c r="F23"/>
  <c r="F7"/>
  <c r="F30" i="14"/>
  <c r="F26"/>
  <c r="F22"/>
  <c r="F18"/>
  <c r="F14"/>
  <c r="F10"/>
  <c r="F6"/>
  <c r="F31" i="15"/>
  <c r="F19"/>
  <c r="F15"/>
  <c r="F3"/>
  <c r="F27"/>
  <c r="F11"/>
  <c r="E27"/>
  <c r="E19"/>
  <c r="E11"/>
  <c r="E3"/>
  <c r="E23"/>
  <c r="E7"/>
  <c r="E31"/>
  <c r="E15"/>
  <c r="D31" i="13" l="1"/>
  <c r="G24"/>
  <c r="G5"/>
  <c r="G21"/>
  <c r="G8"/>
  <c r="G25"/>
  <c r="G13"/>
  <c r="G29"/>
  <c r="G9"/>
  <c r="G17"/>
  <c r="G33"/>
  <c r="F17"/>
  <c r="F5"/>
  <c r="F21"/>
  <c r="F9"/>
  <c r="F25"/>
  <c r="F13"/>
  <c r="F29"/>
  <c r="G11" i="15"/>
  <c r="G8"/>
  <c r="H15" i="14"/>
  <c r="H31"/>
  <c r="H12" i="15"/>
  <c r="E6" i="14"/>
  <c r="E10"/>
  <c r="E14"/>
  <c r="E18"/>
  <c r="E22"/>
  <c r="E26"/>
  <c r="E30"/>
  <c r="H4" i="15"/>
  <c r="H16"/>
  <c r="H20"/>
  <c r="H32"/>
  <c r="H6" i="14"/>
  <c r="H10"/>
  <c r="H14"/>
  <c r="H18"/>
  <c r="H22"/>
  <c r="H26"/>
  <c r="H30"/>
  <c r="G3" i="15"/>
  <c r="H15"/>
  <c r="H31"/>
  <c r="I19"/>
  <c r="I19" i="14"/>
  <c r="H28" i="15"/>
  <c r="H4" i="14"/>
  <c r="H12"/>
  <c r="H16"/>
  <c r="H20"/>
  <c r="H28"/>
  <c r="H32"/>
  <c r="H5" i="15"/>
  <c r="H9"/>
  <c r="H13"/>
  <c r="H17"/>
  <c r="H21"/>
  <c r="H25"/>
  <c r="H29"/>
  <c r="H5" i="14"/>
  <c r="H9"/>
  <c r="H13"/>
  <c r="H17"/>
  <c r="H21"/>
  <c r="H25"/>
  <c r="H29"/>
  <c r="H6" i="15"/>
  <c r="H10"/>
  <c r="H14"/>
  <c r="H18"/>
  <c r="H22"/>
  <c r="H26"/>
  <c r="H30"/>
  <c r="G8" i="14"/>
  <c r="G5" i="15"/>
  <c r="G9"/>
  <c r="G13"/>
  <c r="G17"/>
  <c r="G21"/>
  <c r="G25"/>
  <c r="G29"/>
  <c r="G33"/>
  <c r="G5" i="14"/>
  <c r="G9"/>
  <c r="G13"/>
  <c r="G17"/>
  <c r="G21"/>
  <c r="G25"/>
  <c r="G29"/>
  <c r="G33"/>
  <c r="F3"/>
  <c r="F4" i="15"/>
  <c r="F8"/>
  <c r="F12"/>
  <c r="F16"/>
  <c r="F20"/>
  <c r="F24"/>
  <c r="F28"/>
  <c r="F32"/>
  <c r="F5"/>
  <c r="F9"/>
  <c r="F13"/>
  <c r="F17"/>
  <c r="F21"/>
  <c r="F25"/>
  <c r="F29"/>
  <c r="F5" i="14"/>
  <c r="F9"/>
  <c r="F13"/>
  <c r="F17"/>
  <c r="F21"/>
  <c r="F25"/>
  <c r="F29"/>
  <c r="E3"/>
  <c r="E4" i="15"/>
  <c r="E8"/>
  <c r="E12"/>
  <c r="E16"/>
  <c r="E20"/>
  <c r="E24"/>
  <c r="E28"/>
  <c r="E32"/>
  <c r="E5"/>
  <c r="E9"/>
  <c r="E13"/>
  <c r="E17"/>
  <c r="E21"/>
  <c r="E25"/>
  <c r="E29"/>
  <c r="E33"/>
  <c r="E6"/>
  <c r="E14"/>
  <c r="E18"/>
  <c r="E22"/>
  <c r="E30"/>
  <c r="J31"/>
  <c r="J30" i="14"/>
  <c r="J27" i="15"/>
  <c r="J26" i="14"/>
  <c r="J23" i="15"/>
  <c r="J22" i="14"/>
  <c r="J19" i="15"/>
  <c r="J18" i="14"/>
  <c r="J15" i="15"/>
  <c r="J14" i="14"/>
  <c r="J11" i="15"/>
  <c r="J10" i="14"/>
  <c r="J7" i="15"/>
  <c r="J6" i="14"/>
  <c r="J3" i="15"/>
  <c r="E21" i="14" l="1"/>
  <c r="E5"/>
  <c r="E20"/>
  <c r="E4"/>
  <c r="E19"/>
  <c r="F20"/>
  <c r="F4"/>
  <c r="F19"/>
  <c r="G32"/>
  <c r="G16"/>
  <c r="H27"/>
  <c r="H3"/>
  <c r="E33"/>
  <c r="E17"/>
  <c r="E32"/>
  <c r="E16"/>
  <c r="E31"/>
  <c r="E15"/>
  <c r="F32"/>
  <c r="F16"/>
  <c r="F31"/>
  <c r="F15"/>
  <c r="G28"/>
  <c r="G12"/>
  <c r="H19"/>
  <c r="E29"/>
  <c r="E13"/>
  <c r="E28"/>
  <c r="E12"/>
  <c r="E27"/>
  <c r="E11"/>
  <c r="F28"/>
  <c r="F12"/>
  <c r="F27"/>
  <c r="F11"/>
  <c r="G24"/>
  <c r="H24"/>
  <c r="H8"/>
  <c r="E25"/>
  <c r="E9"/>
  <c r="E24"/>
  <c r="E8"/>
  <c r="E23"/>
  <c r="E7"/>
  <c r="F24"/>
  <c r="F8"/>
  <c r="F23"/>
  <c r="F7"/>
  <c r="G20"/>
  <c r="G4"/>
  <c r="H11"/>
  <c r="J8" i="13"/>
  <c r="J20"/>
  <c r="J28"/>
  <c r="J12"/>
  <c r="J4"/>
  <c r="J16"/>
  <c r="J24"/>
  <c r="J32"/>
  <c r="J5"/>
  <c r="J9"/>
  <c r="J13"/>
  <c r="J17"/>
  <c r="J21"/>
  <c r="J25"/>
  <c r="J29"/>
  <c r="J33"/>
  <c r="H27"/>
  <c r="H10"/>
  <c r="H12"/>
  <c r="H29"/>
  <c r="H13"/>
  <c r="H30"/>
  <c r="H26"/>
  <c r="H23"/>
  <c r="H7"/>
  <c r="H25"/>
  <c r="H9"/>
  <c r="H28"/>
  <c r="H3"/>
  <c r="H14"/>
  <c r="H18"/>
  <c r="H19"/>
  <c r="H21"/>
  <c r="H5"/>
  <c r="H24"/>
  <c r="H8"/>
  <c r="H23" i="15"/>
  <c r="H35" s="1"/>
  <c r="H6" i="13"/>
  <c r="H31"/>
  <c r="H15"/>
  <c r="H22"/>
  <c r="H17"/>
  <c r="H20"/>
  <c r="H4"/>
  <c r="H11"/>
  <c r="H32"/>
  <c r="H16"/>
  <c r="G30" i="15"/>
  <c r="G14"/>
  <c r="G7" i="13"/>
  <c r="G28"/>
  <c r="G4"/>
  <c r="G31" i="15"/>
  <c r="G26"/>
  <c r="G10"/>
  <c r="G6" i="13"/>
  <c r="G19"/>
  <c r="G3"/>
  <c r="G20"/>
  <c r="G15" i="15"/>
  <c r="G27"/>
  <c r="G26" i="13"/>
  <c r="G22" i="15"/>
  <c r="G6"/>
  <c r="G31" i="13"/>
  <c r="G15"/>
  <c r="G22"/>
  <c r="G16"/>
  <c r="G14"/>
  <c r="G18" i="15"/>
  <c r="G30" i="13"/>
  <c r="G27"/>
  <c r="G11"/>
  <c r="G10"/>
  <c r="G32"/>
  <c r="G12"/>
  <c r="G19" i="15"/>
  <c r="G18" i="13"/>
  <c r="G23"/>
  <c r="F18" i="15"/>
  <c r="F30"/>
  <c r="F14"/>
  <c r="F19" i="13"/>
  <c r="F3"/>
  <c r="F18"/>
  <c r="F28"/>
  <c r="F12"/>
  <c r="F26" i="15"/>
  <c r="F31" i="13"/>
  <c r="F15"/>
  <c r="F30"/>
  <c r="F14"/>
  <c r="F24"/>
  <c r="F8"/>
  <c r="F10" i="15"/>
  <c r="F22"/>
  <c r="F6"/>
  <c r="F27" i="13"/>
  <c r="F11"/>
  <c r="F26"/>
  <c r="F10"/>
  <c r="F20"/>
  <c r="F4"/>
  <c r="F23"/>
  <c r="F7"/>
  <c r="F22"/>
  <c r="F6"/>
  <c r="F32"/>
  <c r="F16"/>
  <c r="E30"/>
  <c r="E25"/>
  <c r="E27"/>
  <c r="E11"/>
  <c r="E26"/>
  <c r="E10"/>
  <c r="E21"/>
  <c r="E5"/>
  <c r="E20"/>
  <c r="E4"/>
  <c r="E31"/>
  <c r="E14"/>
  <c r="E9"/>
  <c r="E26" i="15"/>
  <c r="E10"/>
  <c r="E23" i="13"/>
  <c r="E7"/>
  <c r="E22"/>
  <c r="E6"/>
  <c r="E33"/>
  <c r="E17"/>
  <c r="E32"/>
  <c r="E16"/>
  <c r="E15"/>
  <c r="E24"/>
  <c r="E19"/>
  <c r="E3"/>
  <c r="E18"/>
  <c r="I19"/>
  <c r="E29"/>
  <c r="E13"/>
  <c r="E28"/>
  <c r="E12"/>
  <c r="E8"/>
  <c r="J3" i="14"/>
  <c r="J4" i="15"/>
  <c r="J8"/>
  <c r="J12"/>
  <c r="J16"/>
  <c r="J20"/>
  <c r="J24"/>
  <c r="J28"/>
  <c r="J32"/>
  <c r="J8" i="14"/>
  <c r="J5" i="15"/>
  <c r="J9"/>
  <c r="J13"/>
  <c r="J17"/>
  <c r="J21"/>
  <c r="J25"/>
  <c r="J29"/>
  <c r="J33"/>
  <c r="J9" i="14"/>
  <c r="J33"/>
  <c r="E35" i="15" l="1"/>
  <c r="J21" i="14"/>
  <c r="J25"/>
  <c r="J24"/>
  <c r="J23"/>
  <c r="J7"/>
  <c r="J5"/>
  <c r="J20"/>
  <c r="J4"/>
  <c r="J19"/>
  <c r="J17"/>
  <c r="J32"/>
  <c r="J16"/>
  <c r="J31"/>
  <c r="J15"/>
  <c r="J29"/>
  <c r="J13"/>
  <c r="J28"/>
  <c r="J12"/>
  <c r="J27"/>
  <c r="J11"/>
  <c r="E35"/>
  <c r="G35" i="13"/>
  <c r="G35" i="15"/>
  <c r="F35"/>
  <c r="F35" i="14"/>
  <c r="G35"/>
  <c r="H35"/>
  <c r="E35" i="13"/>
  <c r="F35"/>
  <c r="H35"/>
  <c r="J30" i="15"/>
  <c r="J27" i="13"/>
  <c r="J11"/>
  <c r="J26"/>
  <c r="J10"/>
  <c r="J31"/>
  <c r="J14" i="15"/>
  <c r="J26"/>
  <c r="J10"/>
  <c r="J23" i="13"/>
  <c r="J7"/>
  <c r="J22"/>
  <c r="J6"/>
  <c r="J22" i="15"/>
  <c r="J6"/>
  <c r="J19" i="13"/>
  <c r="J3"/>
  <c r="J18"/>
  <c r="J18" i="15"/>
  <c r="J15" i="13"/>
  <c r="J30"/>
  <c r="J14"/>
  <c r="M32" i="15"/>
  <c r="M31" i="14"/>
  <c r="M30"/>
  <c r="M29" i="15"/>
  <c r="M28"/>
  <c r="M27" i="14"/>
  <c r="M26"/>
  <c r="M25" i="15"/>
  <c r="M24"/>
  <c r="M23" i="14"/>
  <c r="M22"/>
  <c r="M21" i="15"/>
  <c r="M20"/>
  <c r="M19" i="14"/>
  <c r="M18"/>
  <c r="M17" i="15"/>
  <c r="M16"/>
  <c r="M15" i="14"/>
  <c r="M14"/>
  <c r="M13" i="15"/>
  <c r="M12"/>
  <c r="M11" i="14"/>
  <c r="M10"/>
  <c r="M9" i="15"/>
  <c r="M8"/>
  <c r="M7" i="14"/>
  <c r="M6"/>
  <c r="M5" i="15"/>
  <c r="M4"/>
  <c r="M3" i="14"/>
  <c r="J35" i="15" l="1"/>
  <c r="J35" i="13"/>
  <c r="J35" i="14"/>
  <c r="I31" i="15"/>
  <c r="I31" i="14"/>
  <c r="I16"/>
  <c r="I9" i="15"/>
  <c r="I9" i="14"/>
  <c r="M3" i="15"/>
  <c r="L31"/>
  <c r="L30" i="14"/>
  <c r="L27" i="15"/>
  <c r="L26" i="14"/>
  <c r="L23" i="15"/>
  <c r="L22" i="14"/>
  <c r="L19" i="15"/>
  <c r="L18" i="14"/>
  <c r="L15" i="15"/>
  <c r="L14" i="14"/>
  <c r="L11" i="15"/>
  <c r="L10" i="14"/>
  <c r="L7" i="15"/>
  <c r="L6" i="14"/>
  <c r="L3" i="15"/>
  <c r="K32"/>
  <c r="K31" i="14"/>
  <c r="K30"/>
  <c r="K29" i="15"/>
  <c r="K28"/>
  <c r="K27" i="14"/>
  <c r="K26"/>
  <c r="K25" i="15"/>
  <c r="K24"/>
  <c r="K23" i="14"/>
  <c r="K22"/>
  <c r="K21" i="15"/>
  <c r="K20"/>
  <c r="K19" i="14"/>
  <c r="K18"/>
  <c r="K17" i="15"/>
  <c r="K16"/>
  <c r="K15" i="14"/>
  <c r="K14"/>
  <c r="K13" i="15"/>
  <c r="K12"/>
  <c r="K11" i="14"/>
  <c r="K10"/>
  <c r="K9" i="15"/>
  <c r="K8"/>
  <c r="K7" i="14"/>
  <c r="K6"/>
  <c r="K5" i="15"/>
  <c r="K4"/>
  <c r="K3" i="14"/>
  <c r="M29" l="1"/>
  <c r="M13"/>
  <c r="M24"/>
  <c r="M8"/>
  <c r="M25"/>
  <c r="M9"/>
  <c r="M20"/>
  <c r="M4"/>
  <c r="M21"/>
  <c r="M5"/>
  <c r="M32"/>
  <c r="M16"/>
  <c r="M17"/>
  <c r="M28"/>
  <c r="M12"/>
  <c r="M25" i="13"/>
  <c r="M9"/>
  <c r="M24"/>
  <c r="M8"/>
  <c r="M23" i="15"/>
  <c r="M7"/>
  <c r="M19" i="13"/>
  <c r="M3"/>
  <c r="M18" i="15"/>
  <c r="M30" i="13"/>
  <c r="M14"/>
  <c r="M21"/>
  <c r="M4"/>
  <c r="M19" i="15"/>
  <c r="M31" i="13"/>
  <c r="M15"/>
  <c r="M30" i="15"/>
  <c r="M14"/>
  <c r="M26" i="13"/>
  <c r="M10"/>
  <c r="M20"/>
  <c r="M17"/>
  <c r="M32"/>
  <c r="M16"/>
  <c r="M31" i="15"/>
  <c r="M15"/>
  <c r="M27" i="13"/>
  <c r="M11"/>
  <c r="M26" i="15"/>
  <c r="M10"/>
  <c r="M22" i="13"/>
  <c r="M6"/>
  <c r="M5"/>
  <c r="M29"/>
  <c r="M13"/>
  <c r="M28"/>
  <c r="M12"/>
  <c r="M27" i="15"/>
  <c r="M11"/>
  <c r="M23" i="13"/>
  <c r="M7"/>
  <c r="M22" i="15"/>
  <c r="M6"/>
  <c r="M18" i="13"/>
  <c r="L16"/>
  <c r="L28"/>
  <c r="L32"/>
  <c r="L4"/>
  <c r="L12"/>
  <c r="L24"/>
  <c r="L5"/>
  <c r="L9"/>
  <c r="L13"/>
  <c r="L17"/>
  <c r="L21"/>
  <c r="L25"/>
  <c r="L29"/>
  <c r="L33"/>
  <c r="L8"/>
  <c r="L20"/>
  <c r="I9"/>
  <c r="I31"/>
  <c r="D10" i="14"/>
  <c r="D10" i="15"/>
  <c r="D28"/>
  <c r="D28" i="14"/>
  <c r="D30"/>
  <c r="D30" i="15"/>
  <c r="D23" i="14"/>
  <c r="D23" i="15"/>
  <c r="I25"/>
  <c r="I25" i="14"/>
  <c r="I17" i="15"/>
  <c r="I17" i="14"/>
  <c r="I14"/>
  <c r="I14" i="15"/>
  <c r="I21"/>
  <c r="I21" i="14"/>
  <c r="I3" i="15"/>
  <c r="I8" i="14"/>
  <c r="I8" i="15"/>
  <c r="L3" i="14"/>
  <c r="L4" i="15"/>
  <c r="L8"/>
  <c r="L12"/>
  <c r="L16"/>
  <c r="L20"/>
  <c r="L24"/>
  <c r="L28"/>
  <c r="L32"/>
  <c r="L5"/>
  <c r="L9"/>
  <c r="L13"/>
  <c r="L17"/>
  <c r="L21"/>
  <c r="L25"/>
  <c r="L29"/>
  <c r="L33"/>
  <c r="K3"/>
  <c r="K25" i="14" l="1"/>
  <c r="K9"/>
  <c r="L29"/>
  <c r="L13"/>
  <c r="L28"/>
  <c r="L12"/>
  <c r="L27"/>
  <c r="L11"/>
  <c r="K32"/>
  <c r="K16"/>
  <c r="K21"/>
  <c r="K5"/>
  <c r="L25"/>
  <c r="L9"/>
  <c r="L24"/>
  <c r="L8"/>
  <c r="L23"/>
  <c r="L7"/>
  <c r="K28"/>
  <c r="K12"/>
  <c r="K17"/>
  <c r="L21"/>
  <c r="L5"/>
  <c r="L20"/>
  <c r="L4"/>
  <c r="L19"/>
  <c r="K24"/>
  <c r="K8"/>
  <c r="K29"/>
  <c r="K13"/>
  <c r="L33"/>
  <c r="L17"/>
  <c r="L32"/>
  <c r="L16"/>
  <c r="L31"/>
  <c r="L15"/>
  <c r="K20"/>
  <c r="K4"/>
  <c r="M35" i="15"/>
  <c r="M35" i="13"/>
  <c r="M35" i="14"/>
  <c r="L26" i="15"/>
  <c r="L23" i="13"/>
  <c r="L7"/>
  <c r="L22"/>
  <c r="L6"/>
  <c r="L22" i="15"/>
  <c r="L6"/>
  <c r="L19" i="13"/>
  <c r="L3"/>
  <c r="L18"/>
  <c r="L18" i="15"/>
  <c r="L31" i="13"/>
  <c r="L15"/>
  <c r="L30"/>
  <c r="L14"/>
  <c r="L10" i="15"/>
  <c r="L30"/>
  <c r="L14"/>
  <c r="L27" i="13"/>
  <c r="L11"/>
  <c r="L26"/>
  <c r="L10"/>
  <c r="K24"/>
  <c r="K18" i="15"/>
  <c r="K29" i="13"/>
  <c r="K13"/>
  <c r="K28"/>
  <c r="K12"/>
  <c r="K27" i="15"/>
  <c r="K11"/>
  <c r="K23" i="13"/>
  <c r="K7"/>
  <c r="K22" i="15"/>
  <c r="K6"/>
  <c r="K18" i="13"/>
  <c r="K9"/>
  <c r="K25"/>
  <c r="K23" i="15"/>
  <c r="K3" i="13"/>
  <c r="K14"/>
  <c r="K20"/>
  <c r="K19" i="15"/>
  <c r="K31" i="13"/>
  <c r="K15"/>
  <c r="K30" i="15"/>
  <c r="K14"/>
  <c r="K26" i="13"/>
  <c r="K10"/>
  <c r="K8"/>
  <c r="K7" i="15"/>
  <c r="K19" i="13"/>
  <c r="K30"/>
  <c r="K21"/>
  <c r="K5"/>
  <c r="K4"/>
  <c r="K17"/>
  <c r="K32"/>
  <c r="K16"/>
  <c r="K31" i="15"/>
  <c r="K15"/>
  <c r="K27" i="13"/>
  <c r="K11"/>
  <c r="K26" i="15"/>
  <c r="K10"/>
  <c r="K22" i="13"/>
  <c r="K6"/>
  <c r="I8"/>
  <c r="I16"/>
  <c r="I14"/>
  <c r="I17"/>
  <c r="I25"/>
  <c r="I16" i="15"/>
  <c r="I21" i="13"/>
  <c r="D30"/>
  <c r="D23"/>
  <c r="D28"/>
  <c r="D10"/>
  <c r="D11" i="14"/>
  <c r="D19"/>
  <c r="D19" i="15"/>
  <c r="D4"/>
  <c r="D4" i="14"/>
  <c r="I3"/>
  <c r="I6"/>
  <c r="I6" i="15"/>
  <c r="C4" i="13" l="1"/>
  <c r="L35" i="15"/>
  <c r="C5"/>
  <c r="K35"/>
  <c r="C24" i="13"/>
  <c r="C21" i="15"/>
  <c r="C21" i="14"/>
  <c r="K35" i="13"/>
  <c r="L35"/>
  <c r="K35" i="14"/>
  <c r="L35"/>
  <c r="C17"/>
  <c r="C17" i="15"/>
  <c r="C3" i="14"/>
  <c r="C23"/>
  <c r="C23" i="15"/>
  <c r="C4" i="14"/>
  <c r="C4" i="15"/>
  <c r="C31" i="14"/>
  <c r="C31" i="15"/>
  <c r="C28" i="14"/>
  <c r="C28" i="15"/>
  <c r="C19" i="14"/>
  <c r="C19" i="15"/>
  <c r="C32"/>
  <c r="C32" i="14"/>
  <c r="C24"/>
  <c r="C24" i="15"/>
  <c r="C25"/>
  <c r="C25" i="14"/>
  <c r="C13"/>
  <c r="C13" i="15"/>
  <c r="C22" i="14"/>
  <c r="C22" i="15"/>
  <c r="C10"/>
  <c r="C15" i="14"/>
  <c r="C15" i="15"/>
  <c r="C10" i="14"/>
  <c r="I6" i="13"/>
  <c r="I3"/>
  <c r="D11" i="15"/>
  <c r="D4" i="13"/>
  <c r="D19"/>
  <c r="D11"/>
  <c r="D9" i="15"/>
  <c r="D9" i="14"/>
  <c r="D13"/>
  <c r="D13" i="15"/>
  <c r="D25" i="14"/>
  <c r="D25" i="15"/>
  <c r="D15" i="14"/>
  <c r="D15" i="15"/>
  <c r="D26" i="14"/>
  <c r="D3"/>
  <c r="D3" i="15"/>
  <c r="D14" i="14"/>
  <c r="D14" i="15"/>
  <c r="D21"/>
  <c r="D21" i="14"/>
  <c r="N28"/>
  <c r="N28" i="15"/>
  <c r="C5" i="14" l="1"/>
  <c r="C21" i="13"/>
  <c r="C5"/>
  <c r="C9"/>
  <c r="C9" i="15"/>
  <c r="C9" i="14"/>
  <c r="C10" i="13"/>
  <c r="C22"/>
  <c r="C19"/>
  <c r="C28"/>
  <c r="C3"/>
  <c r="C31"/>
  <c r="C23"/>
  <c r="C6" i="14"/>
  <c r="C6" i="15"/>
  <c r="C25" i="13"/>
  <c r="C17"/>
  <c r="C32"/>
  <c r="C33" i="14"/>
  <c r="C33" i="15"/>
  <c r="C3"/>
  <c r="C15" i="13"/>
  <c r="C13"/>
  <c r="C27" i="15"/>
  <c r="C27" i="14"/>
  <c r="N28" i="13"/>
  <c r="I12"/>
  <c r="D25"/>
  <c r="D26"/>
  <c r="D13"/>
  <c r="D9"/>
  <c r="D26" i="15"/>
  <c r="D3" i="13"/>
  <c r="D21"/>
  <c r="D14"/>
  <c r="D15"/>
  <c r="I10" i="15"/>
  <c r="I12" i="14"/>
  <c r="I10"/>
  <c r="I12" i="15"/>
  <c r="I32"/>
  <c r="I32" i="14"/>
  <c r="N22" i="15"/>
  <c r="N31"/>
  <c r="N5" i="14"/>
  <c r="N5" i="15"/>
  <c r="N25"/>
  <c r="N25" i="14"/>
  <c r="C33" i="13" l="1"/>
  <c r="C27"/>
  <c r="C6"/>
  <c r="N22"/>
  <c r="N5"/>
  <c r="N25"/>
  <c r="I10"/>
  <c r="I32"/>
  <c r="D5" i="15"/>
  <c r="D5" i="14"/>
  <c r="D6"/>
  <c r="D6" i="15"/>
  <c r="D18" i="14"/>
  <c r="D18" i="15"/>
  <c r="D22" i="14"/>
  <c r="D22" i="15"/>
  <c r="D27" i="14"/>
  <c r="D7"/>
  <c r="D16" i="15"/>
  <c r="D16" i="14"/>
  <c r="I30"/>
  <c r="I30" i="15"/>
  <c r="N18" i="14"/>
  <c r="N18" i="15"/>
  <c r="N29"/>
  <c r="N29" i="14"/>
  <c r="N11"/>
  <c r="N11" i="15"/>
  <c r="N33" i="14"/>
  <c r="N33" i="15"/>
  <c r="N27"/>
  <c r="N27" i="14"/>
  <c r="N24"/>
  <c r="N9" i="15"/>
  <c r="N22" i="14" l="1"/>
  <c r="N31"/>
  <c r="C30"/>
  <c r="C30" i="15"/>
  <c r="C12"/>
  <c r="C12" i="14"/>
  <c r="N29" i="13"/>
  <c r="N33"/>
  <c r="N11"/>
  <c r="N24"/>
  <c r="N27"/>
  <c r="N18"/>
  <c r="N9"/>
  <c r="N31"/>
  <c r="I30"/>
  <c r="D7" i="15"/>
  <c r="D18" i="13"/>
  <c r="D6"/>
  <c r="D7"/>
  <c r="D16"/>
  <c r="D27" i="15"/>
  <c r="D27" i="13"/>
  <c r="D22"/>
  <c r="D5"/>
  <c r="D20" i="15"/>
  <c r="D20" i="14"/>
  <c r="D12" i="15"/>
  <c r="D12" i="14"/>
  <c r="D17" i="15"/>
  <c r="D17" i="14"/>
  <c r="D8" i="15"/>
  <c r="D8" i="14"/>
  <c r="D29"/>
  <c r="D29" i="15"/>
  <c r="D24"/>
  <c r="D24" i="14"/>
  <c r="I4" i="15"/>
  <c r="I4" i="14"/>
  <c r="I7" i="15"/>
  <c r="I7" i="14"/>
  <c r="N15"/>
  <c r="N15" i="15"/>
  <c r="N7" i="14"/>
  <c r="N7" i="15"/>
  <c r="N26" i="14"/>
  <c r="N26" i="15"/>
  <c r="N19" i="14"/>
  <c r="N19" i="15"/>
  <c r="N9" i="14" l="1"/>
  <c r="D35" i="15"/>
  <c r="C29"/>
  <c r="C29" i="14"/>
  <c r="C8"/>
  <c r="C8" i="15"/>
  <c r="C30" i="13"/>
  <c r="C16" i="15"/>
  <c r="C16" i="14"/>
  <c r="C14"/>
  <c r="C14" i="15"/>
  <c r="C11"/>
  <c r="C11" i="14"/>
  <c r="C20"/>
  <c r="C20" i="15"/>
  <c r="C18" i="14"/>
  <c r="C18" i="15"/>
  <c r="C26" i="14"/>
  <c r="C26" i="15"/>
  <c r="C7" i="14"/>
  <c r="C12" i="13"/>
  <c r="N7"/>
  <c r="N26"/>
  <c r="N19"/>
  <c r="N15"/>
  <c r="N24" i="15"/>
  <c r="I7" i="13"/>
  <c r="I4"/>
  <c r="D12"/>
  <c r="D24"/>
  <c r="D17"/>
  <c r="D29"/>
  <c r="D8"/>
  <c r="D20"/>
  <c r="I24" i="14"/>
  <c r="I24" i="15"/>
  <c r="I27" i="14"/>
  <c r="I13" i="15"/>
  <c r="I13" i="14"/>
  <c r="I26"/>
  <c r="I26" i="15"/>
  <c r="I29"/>
  <c r="I29" i="14"/>
  <c r="I11" i="15"/>
  <c r="I22" i="14"/>
  <c r="I22" i="15"/>
  <c r="I15"/>
  <c r="I5"/>
  <c r="I5" i="14"/>
  <c r="I33" i="15"/>
  <c r="I33" i="14"/>
  <c r="I18"/>
  <c r="I18" i="15"/>
  <c r="N4"/>
  <c r="N4" i="14"/>
  <c r="N3"/>
  <c r="N3" i="15"/>
  <c r="N14" i="14"/>
  <c r="N14" i="15"/>
  <c r="N21" i="14"/>
  <c r="N21" i="15"/>
  <c r="N16"/>
  <c r="N16" i="14"/>
  <c r="N30"/>
  <c r="N30" i="15"/>
  <c r="N32"/>
  <c r="N32" i="14"/>
  <c r="D35" l="1"/>
  <c r="D35" i="13"/>
  <c r="C26"/>
  <c r="C8"/>
  <c r="C7" i="15"/>
  <c r="C35" s="1"/>
  <c r="C11" i="13"/>
  <c r="C20"/>
  <c r="C7"/>
  <c r="C18"/>
  <c r="C14"/>
  <c r="C16"/>
  <c r="C29"/>
  <c r="N3"/>
  <c r="N30"/>
  <c r="N4"/>
  <c r="N14"/>
  <c r="N16"/>
  <c r="N32"/>
  <c r="N21"/>
  <c r="I13"/>
  <c r="I5"/>
  <c r="I22"/>
  <c r="I29"/>
  <c r="I33"/>
  <c r="I24"/>
  <c r="I18"/>
  <c r="I26"/>
  <c r="I23" i="15"/>
  <c r="I23" i="14"/>
  <c r="I11"/>
  <c r="I28"/>
  <c r="I28" i="15"/>
  <c r="I20"/>
  <c r="I20" i="14"/>
  <c r="N23"/>
  <c r="N23" i="15"/>
  <c r="N12" i="14"/>
  <c r="N12" i="15"/>
  <c r="N17" i="14"/>
  <c r="N17" i="15"/>
  <c r="N8" i="14"/>
  <c r="N8" i="15"/>
  <c r="I15" i="14" l="1"/>
  <c r="C35" i="13"/>
  <c r="C35" i="14"/>
  <c r="N8" i="13"/>
  <c r="N17"/>
  <c r="N23"/>
  <c r="N12"/>
  <c r="I11"/>
  <c r="I28"/>
  <c r="I23"/>
  <c r="I27"/>
  <c r="I20"/>
  <c r="I15"/>
  <c r="I27" i="15"/>
  <c r="I35" s="1"/>
  <c r="N6" i="14"/>
  <c r="N6" i="15"/>
  <c r="N20"/>
  <c r="N20" i="14"/>
  <c r="N13" i="15"/>
  <c r="N13" i="14"/>
  <c r="N10"/>
  <c r="N10" i="15"/>
  <c r="N35" l="1"/>
  <c r="I35" i="13"/>
  <c r="I35" i="14"/>
  <c r="N20" i="13"/>
  <c r="N6"/>
  <c r="N10"/>
  <c r="N13"/>
  <c r="N35" l="1"/>
  <c r="N35" i="14"/>
</calcChain>
</file>

<file path=xl/sharedStrings.xml><?xml version="1.0" encoding="utf-8"?>
<sst xmlns="http://schemas.openxmlformats.org/spreadsheetml/2006/main" count="439" uniqueCount="64">
  <si>
    <t>H/D</t>
  </si>
  <si>
    <t>MÉDIA</t>
  </si>
  <si>
    <t>DIÁRIA</t>
  </si>
  <si>
    <t>MÁXIMA</t>
  </si>
  <si>
    <t>MÍNIMA</t>
  </si>
  <si>
    <t>AMPLITUDE</t>
  </si>
  <si>
    <t>DIF. DAS</t>
  </si>
  <si>
    <t>MENSAL</t>
  </si>
  <si>
    <t>DAS MÁX.</t>
  </si>
  <si>
    <t>DAS MÍN.</t>
  </si>
  <si>
    <t>MÉDIAS</t>
  </si>
  <si>
    <t>Umid. Específica (g.kg-1)</t>
  </si>
  <si>
    <t>MÉDIA DIÁRIA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</si>
  <si>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</si>
  <si>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</si>
  <si>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</si>
  <si>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</si>
  <si>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</si>
  <si>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</si>
  <si>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</si>
  <si>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</si>
  <si>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</si>
  <si>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</si>
  <si>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</si>
  <si>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</si>
  <si>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</si>
  <si>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</si>
  <si>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</si>
  <si>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</si>
  <si>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</si>
  <si>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</si>
  <si>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</si>
  <si>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</si>
  <si>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</si>
  <si>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</si>
  <si>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</si>
  <si>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</si>
  <si>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</si>
  <si>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</si>
  <si>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</si>
  <si>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</si>
  <si>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</si>
  <si>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</si>
  <si>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</si>
  <si>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</si>
  <si>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</si>
  <si>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</si>
  <si>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</si>
  <si>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</si>
  <si>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</si>
  <si>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</si>
  <si>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</si>
  <si>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</si>
  <si>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</si>
  <si>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</si>
  <si>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</si>
  <si>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Média</t>
  </si>
  <si>
    <t>Mensal</t>
  </si>
  <si>
    <t>MÁXIMA DIÁRIA</t>
  </si>
  <si>
    <t>MÍNIMA DIÁRIA</t>
  </si>
  <si>
    <t>Máxima</t>
  </si>
  <si>
    <t>Mínima</t>
  </si>
  <si>
    <t>NÃO ESTÃO SENDO MAIS INTERPOLADOS AS OBSERVAÇÕES ENTRE AS 16H E 6H.</t>
  </si>
  <si>
    <t>Perda de Observação -99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</si>
</sst>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indexed="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164" fontId="1" fillId="2" borderId="0" xfId="0" quotePrefix="1" applyNumberFormat="1" applyFont="1" applyFill="1" applyAlignment="1">
      <alignment horizontal="left"/>
    </xf>
    <xf numFmtId="0" fontId="2" fillId="2" borderId="0" xfId="0" applyFont="1" applyFill="1"/>
    <xf numFmtId="0" fontId="2" fillId="2" borderId="0" xfId="0" quotePrefix="1" applyFont="1" applyFill="1" applyAlignment="1">
      <alignment horizontal="left"/>
    </xf>
    <xf numFmtId="164" fontId="2" fillId="2" borderId="0" xfId="0" applyNumberFormat="1" applyFont="1" applyFill="1"/>
    <xf numFmtId="0" fontId="2" fillId="2" borderId="1" xfId="0" applyFont="1" applyFill="1" applyBorder="1" applyAlignment="1" applyProtection="1">
      <alignment horizontal="center"/>
    </xf>
    <xf numFmtId="1" fontId="2" fillId="2" borderId="2" xfId="0" applyNumberFormat="1" applyFont="1" applyFill="1" applyBorder="1" applyAlignment="1" applyProtection="1">
      <alignment horizontal="center"/>
    </xf>
    <xf numFmtId="1" fontId="2" fillId="2" borderId="3" xfId="0" applyNumberFormat="1" applyFont="1" applyFill="1" applyBorder="1" applyAlignment="1" applyProtection="1">
      <alignment horizontal="center"/>
    </xf>
    <xf numFmtId="1" fontId="2" fillId="2" borderId="3" xfId="0" applyNumberFormat="1" applyFont="1" applyFill="1" applyBorder="1" applyAlignment="1">
      <alignment horizontal="center"/>
    </xf>
    <xf numFmtId="1" fontId="2" fillId="2" borderId="4" xfId="0" applyNumberFormat="1" applyFont="1" applyFill="1" applyBorder="1" applyAlignment="1">
      <alignment horizontal="center"/>
    </xf>
    <xf numFmtId="0" fontId="2" fillId="2" borderId="5" xfId="0" applyFont="1" applyFill="1" applyBorder="1" applyAlignment="1" applyProtection="1">
      <alignment horizontal="center"/>
    </xf>
    <xf numFmtId="165" fontId="3" fillId="2" borderId="6" xfId="0" applyNumberFormat="1" applyFont="1" applyFill="1" applyBorder="1" applyAlignment="1">
      <alignment horizontal="center"/>
    </xf>
    <xf numFmtId="0" fontId="3" fillId="2" borderId="7" xfId="0" applyFont="1" applyFill="1" applyBorder="1"/>
    <xf numFmtId="164" fontId="0" fillId="2" borderId="8" xfId="0" applyNumberFormat="1" applyFill="1" applyBorder="1"/>
    <xf numFmtId="164" fontId="0" fillId="2" borderId="9" xfId="0" applyNumberFormat="1" applyFill="1" applyBorder="1"/>
    <xf numFmtId="0" fontId="3" fillId="2" borderId="10" xfId="0" applyFont="1" applyFill="1" applyBorder="1"/>
    <xf numFmtId="164" fontId="0" fillId="2" borderId="11" xfId="0" applyNumberFormat="1" applyFill="1" applyBorder="1"/>
    <xf numFmtId="0" fontId="2" fillId="2" borderId="10" xfId="0" quotePrefix="1" applyFont="1" applyFill="1" applyBorder="1" applyAlignment="1">
      <alignment horizontal="left"/>
    </xf>
    <xf numFmtId="164" fontId="0" fillId="2" borderId="0" xfId="0" applyNumberFormat="1" applyFill="1" applyBorder="1"/>
    <xf numFmtId="164" fontId="3" fillId="2" borderId="0" xfId="0" applyNumberFormat="1" applyFont="1" applyFill="1" applyBorder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0" fontId="2" fillId="2" borderId="10" xfId="0" applyFont="1" applyFill="1" applyBorder="1"/>
    <xf numFmtId="164" fontId="3" fillId="2" borderId="0" xfId="0" applyNumberFormat="1" applyFont="1" applyFill="1"/>
    <xf numFmtId="164" fontId="3" fillId="2" borderId="11" xfId="0" applyNumberFormat="1" applyFont="1" applyFill="1" applyBorder="1"/>
    <xf numFmtId="164" fontId="3" fillId="2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10" xfId="0" applyFill="1" applyBorder="1"/>
    <xf numFmtId="0" fontId="2" fillId="2" borderId="0" xfId="0" quotePrefix="1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quotePrefix="1" applyNumberFormat="1" applyFon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164" fontId="3" fillId="2" borderId="0" xfId="0" applyNumberFormat="1" applyFont="1" applyFill="1" applyBorder="1"/>
    <xf numFmtId="0" fontId="0" fillId="2" borderId="12" xfId="0" applyFill="1" applyBorder="1"/>
    <xf numFmtId="164" fontId="0" fillId="2" borderId="13" xfId="0" applyNumberFormat="1" applyFill="1" applyBorder="1" applyAlignment="1">
      <alignment horizontal="center"/>
    </xf>
    <xf numFmtId="164" fontId="0" fillId="2" borderId="13" xfId="0" applyNumberFormat="1" applyFill="1" applyBorder="1"/>
    <xf numFmtId="164" fontId="3" fillId="2" borderId="13" xfId="0" applyNumberFormat="1" applyFont="1" applyFill="1" applyBorder="1" applyAlignment="1">
      <alignment horizontal="center"/>
    </xf>
    <xf numFmtId="164" fontId="3" fillId="2" borderId="13" xfId="0" applyNumberFormat="1" applyFont="1" applyFill="1" applyBorder="1"/>
    <xf numFmtId="164" fontId="0" fillId="2" borderId="14" xfId="0" applyNumberFormat="1" applyFill="1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4" fillId="2" borderId="0" xfId="0" quotePrefix="1" applyNumberFormat="1" applyFont="1" applyFill="1" applyAlignment="1">
      <alignment horizontal="left"/>
    </xf>
    <xf numFmtId="0" fontId="5" fillId="2" borderId="0" xfId="0" applyFont="1" applyFill="1"/>
    <xf numFmtId="0" fontId="5" fillId="2" borderId="0" xfId="0" quotePrefix="1" applyFont="1" applyFill="1" applyAlignment="1">
      <alignment horizontal="left"/>
    </xf>
    <xf numFmtId="164" fontId="5" fillId="2" borderId="0" xfId="0" applyNumberFormat="1" applyFont="1" applyFill="1"/>
    <xf numFmtId="0" fontId="2" fillId="2" borderId="1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0" xfId="0" quotePrefix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5" fillId="2" borderId="0" xfId="0" quotePrefix="1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/>
    <xf numFmtId="164" fontId="1" fillId="3" borderId="0" xfId="0" applyNumberFormat="1" applyFont="1" applyFill="1"/>
    <xf numFmtId="164" fontId="0" fillId="3" borderId="0" xfId="0" applyNumberFormat="1" applyFill="1"/>
    <xf numFmtId="164" fontId="1" fillId="3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left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164" fontId="2" fillId="3" borderId="0" xfId="0" applyNumberFormat="1" applyFont="1" applyFill="1"/>
    <xf numFmtId="0" fontId="2" fillId="3" borderId="15" xfId="0" applyFont="1" applyFill="1" applyBorder="1" applyAlignment="1">
      <alignment horizontal="center"/>
    </xf>
    <xf numFmtId="1" fontId="2" fillId="3" borderId="16" xfId="0" applyNumberFormat="1" applyFont="1" applyFill="1" applyBorder="1" applyAlignment="1">
      <alignment horizontal="center"/>
    </xf>
    <xf numFmtId="1" fontId="2" fillId="3" borderId="17" xfId="0" applyNumberFormat="1" applyFont="1" applyFill="1" applyBorder="1" applyAlignment="1">
      <alignment horizontal="center"/>
    </xf>
    <xf numFmtId="1" fontId="2" fillId="3" borderId="18" xfId="0" applyNumberFormat="1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165" fontId="3" fillId="3" borderId="20" xfId="0" applyNumberFormat="1" applyFont="1" applyFill="1" applyBorder="1" applyAlignment="1">
      <alignment horizontal="center"/>
    </xf>
    <xf numFmtId="0" fontId="6" fillId="0" borderId="21" xfId="0" applyFont="1" applyBorder="1" applyAlignment="1">
      <alignment horizontal="left"/>
    </xf>
    <xf numFmtId="0" fontId="0" fillId="0" borderId="22" xfId="0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4" fontId="7" fillId="0" borderId="0" xfId="0" applyNumberFormat="1" applyFont="1"/>
    <xf numFmtId="0" fontId="6" fillId="4" borderId="23" xfId="0" applyFont="1" applyFill="1" applyBorder="1"/>
    <xf numFmtId="164" fontId="2" fillId="4" borderId="24" xfId="0" applyNumberFormat="1" applyFont="1" applyFill="1" applyBorder="1" applyAlignment="1">
      <alignment horizontal="center"/>
    </xf>
    <xf numFmtId="0" fontId="6" fillId="4" borderId="25" xfId="0" applyFont="1" applyFill="1" applyBorder="1"/>
    <xf numFmtId="164" fontId="0" fillId="4" borderId="26" xfId="0" applyNumberFormat="1" applyFill="1" applyBorder="1" applyAlignment="1">
      <alignment horizontal="center"/>
    </xf>
    <xf numFmtId="164" fontId="0" fillId="4" borderId="27" xfId="0" applyNumberFormat="1" applyFill="1" applyBorder="1" applyAlignment="1">
      <alignment horizontal="center"/>
    </xf>
    <xf numFmtId="165" fontId="9" fillId="2" borderId="6" xfId="0" applyNumberFormat="1" applyFont="1" applyFill="1" applyBorder="1" applyAlignment="1">
      <alignment horizontal="center"/>
    </xf>
    <xf numFmtId="165" fontId="9" fillId="3" borderId="20" xfId="0" applyNumberFormat="1" applyFont="1" applyFill="1" applyBorder="1" applyAlignment="1">
      <alignment horizontal="center"/>
    </xf>
    <xf numFmtId="164" fontId="8" fillId="2" borderId="8" xfId="0" applyNumberFormat="1" applyFont="1" applyFill="1" applyBorder="1"/>
    <xf numFmtId="164" fontId="10" fillId="2" borderId="0" xfId="0" applyNumberFormat="1" applyFont="1" applyFill="1" applyAlignment="1">
      <alignment horizontal="center"/>
    </xf>
    <xf numFmtId="165" fontId="3" fillId="2" borderId="29" xfId="0" applyNumberFormat="1" applyFont="1" applyFill="1" applyBorder="1" applyAlignment="1">
      <alignment horizontal="center"/>
    </xf>
    <xf numFmtId="165" fontId="9" fillId="2" borderId="29" xfId="0" applyNumberFormat="1" applyFont="1" applyFill="1" applyBorder="1" applyAlignment="1">
      <alignment horizontal="center"/>
    </xf>
    <xf numFmtId="0" fontId="0" fillId="0" borderId="2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1f2024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2f2024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3f2024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4f2024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5f2024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6f2024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7f2024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8f2024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09f2024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0f2024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1f2024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4%20V-F%20S/12f2024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JANEIRO DE 2024</v>
          </cell>
        </row>
        <row r="16">
          <cell r="X16">
            <v>12.027926619849467</v>
          </cell>
        </row>
        <row r="17">
          <cell r="X17">
            <v>12.490844912134346</v>
          </cell>
        </row>
        <row r="18">
          <cell r="X18">
            <v>12.15023651735474</v>
          </cell>
        </row>
        <row r="19">
          <cell r="X19">
            <v>12.461852470715856</v>
          </cell>
        </row>
        <row r="20">
          <cell r="X20">
            <v>13.079153228479596</v>
          </cell>
        </row>
        <row r="21">
          <cell r="X21">
            <v>13.793107955917899</v>
          </cell>
        </row>
        <row r="22">
          <cell r="X22">
            <v>13.667083084772582</v>
          </cell>
        </row>
        <row r="23">
          <cell r="X23">
            <v>13.625038138184458</v>
          </cell>
        </row>
        <row r="24">
          <cell r="X24">
            <v>13.658851729389031</v>
          </cell>
        </row>
      </sheetData>
      <sheetData sheetId="5"/>
      <sheetData sheetId="6">
        <row r="10">
          <cell r="X10">
            <v>36.281323308265378</v>
          </cell>
        </row>
        <row r="16">
          <cell r="X16">
            <v>12.898449785857068</v>
          </cell>
        </row>
        <row r="17">
          <cell r="X17">
            <v>12.87484986698807</v>
          </cell>
        </row>
        <row r="18">
          <cell r="X18">
            <v>13.129176661037055</v>
          </cell>
        </row>
        <row r="19">
          <cell r="X19">
            <v>13.156931377919921</v>
          </cell>
        </row>
        <row r="20">
          <cell r="X20">
            <v>13.118900760940011</v>
          </cell>
        </row>
        <row r="21">
          <cell r="X21">
            <v>14.48038494115743</v>
          </cell>
        </row>
        <row r="22">
          <cell r="X22">
            <v>14.846194009607402</v>
          </cell>
        </row>
        <row r="23">
          <cell r="X23">
            <v>15.169757062031497</v>
          </cell>
        </row>
        <row r="24">
          <cell r="X24">
            <v>14.612373015800072</v>
          </cell>
        </row>
      </sheetData>
      <sheetData sheetId="7"/>
      <sheetData sheetId="8">
        <row r="10">
          <cell r="X10">
            <v>36.727106503813367</v>
          </cell>
        </row>
        <row r="16">
          <cell r="X16">
            <v>15.319810178698555</v>
          </cell>
        </row>
        <row r="17">
          <cell r="X17">
            <v>15.628434776706017</v>
          </cell>
        </row>
        <row r="18">
          <cell r="X18">
            <v>15.582000120681656</v>
          </cell>
        </row>
        <row r="19">
          <cell r="X19">
            <v>15.462000574332119</v>
          </cell>
        </row>
        <row r="20">
          <cell r="X20">
            <v>15.221213152371623</v>
          </cell>
        </row>
        <row r="21">
          <cell r="X21">
            <v>14.261880324987816</v>
          </cell>
        </row>
        <row r="22">
          <cell r="X22">
            <v>14.069719580056772</v>
          </cell>
        </row>
        <row r="23">
          <cell r="X23">
            <v>17.393879022549996</v>
          </cell>
        </row>
        <row r="24">
          <cell r="X24">
            <v>16.70514685489464</v>
          </cell>
        </row>
      </sheetData>
      <sheetData sheetId="9"/>
      <sheetData sheetId="10">
        <row r="10">
          <cell r="X10">
            <v>35.856665134451298</v>
          </cell>
        </row>
        <row r="16">
          <cell r="X16">
            <v>15.164382193079136</v>
          </cell>
        </row>
        <row r="17">
          <cell r="X17">
            <v>15.652118100167964</v>
          </cell>
        </row>
        <row r="18">
          <cell r="X18">
            <v>15.965438846831523</v>
          </cell>
        </row>
        <row r="19">
          <cell r="X19">
            <v>16.288490858599712</v>
          </cell>
        </row>
        <row r="20">
          <cell r="X20">
            <v>16.126696848038236</v>
          </cell>
        </row>
        <row r="21">
          <cell r="X21">
            <v>17.188686247475864</v>
          </cell>
        </row>
        <row r="22">
          <cell r="X22">
            <v>16.46824644857962</v>
          </cell>
        </row>
        <row r="23">
          <cell r="X23">
            <v>16.893199291140355</v>
          </cell>
        </row>
        <row r="24">
          <cell r="X24">
            <v>15.88364452923998</v>
          </cell>
        </row>
      </sheetData>
      <sheetData sheetId="11"/>
      <sheetData sheetId="12">
        <row r="10">
          <cell r="X10">
            <v>36.514250409938569</v>
          </cell>
        </row>
        <row r="16">
          <cell r="X16">
            <v>14.866126249690328</v>
          </cell>
        </row>
        <row r="17">
          <cell r="X17">
            <v>14.756436567771503</v>
          </cell>
        </row>
        <row r="18">
          <cell r="X18">
            <v>15.123439585668837</v>
          </cell>
        </row>
        <row r="19">
          <cell r="X19">
            <v>14.945192774730575</v>
          </cell>
        </row>
        <row r="20">
          <cell r="X20">
            <v>15.050243968953305</v>
          </cell>
        </row>
        <row r="21">
          <cell r="X21">
            <v>15.27011797937935</v>
          </cell>
        </row>
        <row r="22">
          <cell r="X22">
            <v>15.147318048662918</v>
          </cell>
        </row>
        <row r="23">
          <cell r="X23">
            <v>15.849295550476951</v>
          </cell>
        </row>
        <row r="24">
          <cell r="X24">
            <v>15.203247556980626</v>
          </cell>
        </row>
      </sheetData>
      <sheetData sheetId="13"/>
      <sheetData sheetId="14">
        <row r="10">
          <cell r="X10">
            <v>35.795322082950726</v>
          </cell>
        </row>
        <row r="16">
          <cell r="X16">
            <v>14.22285371119936</v>
          </cell>
        </row>
        <row r="17">
          <cell r="X17">
            <v>13.661778189680991</v>
          </cell>
        </row>
        <row r="18">
          <cell r="X18">
            <v>14.578493057707735</v>
          </cell>
        </row>
        <row r="19">
          <cell r="X19">
            <v>13.976741874505715</v>
          </cell>
        </row>
        <row r="20">
          <cell r="X20">
            <v>14.046319981746722</v>
          </cell>
        </row>
        <row r="21">
          <cell r="X21">
            <v>15.556384484105902</v>
          </cell>
        </row>
        <row r="22">
          <cell r="X22">
            <v>15.51000808679464</v>
          </cell>
        </row>
        <row r="23">
          <cell r="X23">
            <v>14.822099563543304</v>
          </cell>
        </row>
        <row r="24">
          <cell r="X24">
            <v>14.854747978398741</v>
          </cell>
        </row>
      </sheetData>
      <sheetData sheetId="15"/>
      <sheetData sheetId="16">
        <row r="10">
          <cell r="X10">
            <v>37.101990284430215</v>
          </cell>
        </row>
        <row r="16">
          <cell r="X16">
            <v>14.198264970329017</v>
          </cell>
        </row>
        <row r="17">
          <cell r="X17">
            <v>14.473832089425356</v>
          </cell>
        </row>
        <row r="18">
          <cell r="X18">
            <v>14.32850219124907</v>
          </cell>
        </row>
        <row r="19">
          <cell r="X19">
            <v>14.137882267689484</v>
          </cell>
        </row>
        <row r="20">
          <cell r="X20">
            <v>14.813889006484994</v>
          </cell>
        </row>
        <row r="21">
          <cell r="X21">
            <v>13.164593811001696</v>
          </cell>
        </row>
        <row r="22">
          <cell r="X22">
            <v>12.319265756477709</v>
          </cell>
        </row>
        <row r="23">
          <cell r="X23">
            <v>17.316063214711686</v>
          </cell>
        </row>
        <row r="24">
          <cell r="X24">
            <v>17.080649484723178</v>
          </cell>
        </row>
      </sheetData>
      <sheetData sheetId="17"/>
      <sheetData sheetId="18">
        <row r="10">
          <cell r="X10">
            <v>36.905226262988833</v>
          </cell>
        </row>
        <row r="16">
          <cell r="X16">
            <v>16.224167556596498</v>
          </cell>
        </row>
        <row r="17">
          <cell r="X17">
            <v>15.417816731385997</v>
          </cell>
        </row>
        <row r="18">
          <cell r="X18">
            <v>14.861559704263351</v>
          </cell>
        </row>
        <row r="19">
          <cell r="X19">
            <v>13.885719660518689</v>
          </cell>
        </row>
        <row r="20">
          <cell r="X20">
            <v>14.66951561841894</v>
          </cell>
        </row>
        <row r="21">
          <cell r="X21">
            <v>14.143791523538216</v>
          </cell>
        </row>
        <row r="22">
          <cell r="X22">
            <v>13.983061014149285</v>
          </cell>
        </row>
        <row r="23">
          <cell r="X23">
            <v>14.465038942776692</v>
          </cell>
        </row>
        <row r="24">
          <cell r="X24">
            <v>13.815392709241154</v>
          </cell>
        </row>
      </sheetData>
      <sheetData sheetId="19"/>
      <sheetData sheetId="20">
        <row r="10">
          <cell r="X10">
            <v>35.547445416004997</v>
          </cell>
        </row>
        <row r="16">
          <cell r="X16">
            <v>16.566282880392574</v>
          </cell>
        </row>
        <row r="17">
          <cell r="X17">
            <v>15.444796641777549</v>
          </cell>
        </row>
        <row r="18">
          <cell r="X18">
            <v>15.713408521726258</v>
          </cell>
        </row>
        <row r="19">
          <cell r="X19">
            <v>14.934641057572399</v>
          </cell>
        </row>
        <row r="20">
          <cell r="X20">
            <v>16.498478097325183</v>
          </cell>
        </row>
        <row r="21">
          <cell r="X21">
            <v>15.373883879933979</v>
          </cell>
        </row>
        <row r="22">
          <cell r="X22">
            <v>14.295586726306892</v>
          </cell>
        </row>
        <row r="23">
          <cell r="X23">
            <v>14.2237335327147</v>
          </cell>
        </row>
        <row r="24">
          <cell r="X24">
            <v>13.784453226148612</v>
          </cell>
        </row>
      </sheetData>
      <sheetData sheetId="21"/>
      <sheetData sheetId="22">
        <row r="10">
          <cell r="X10">
            <v>36.872340388815999</v>
          </cell>
        </row>
        <row r="16">
          <cell r="X16">
            <v>16.48960594386152</v>
          </cell>
        </row>
        <row r="17">
          <cell r="X17">
            <v>15.931345948630645</v>
          </cell>
        </row>
        <row r="18">
          <cell r="X18">
            <v>15.72497684973475</v>
          </cell>
        </row>
        <row r="19">
          <cell r="X19">
            <v>14.925348545222148</v>
          </cell>
        </row>
        <row r="20">
          <cell r="X20">
            <v>14.737000661755827</v>
          </cell>
        </row>
        <row r="21">
          <cell r="X21">
            <v>13.866719606682821</v>
          </cell>
        </row>
        <row r="22">
          <cell r="X22">
            <v>13.293316330234004</v>
          </cell>
        </row>
        <row r="23">
          <cell r="X23">
            <v>12.968697112275606</v>
          </cell>
        </row>
        <row r="24">
          <cell r="X24">
            <v>12.298297382257608</v>
          </cell>
        </row>
      </sheetData>
      <sheetData sheetId="23"/>
      <sheetData sheetId="24">
        <row r="10">
          <cell r="X10">
            <v>37.328570733890736</v>
          </cell>
        </row>
        <row r="16">
          <cell r="X16">
            <v>16.741624174606866</v>
          </cell>
        </row>
        <row r="17">
          <cell r="X17">
            <v>17.316515848357621</v>
          </cell>
        </row>
        <row r="18">
          <cell r="X18">
            <v>16.646668822268854</v>
          </cell>
        </row>
        <row r="19">
          <cell r="X19">
            <v>16.126699245429084</v>
          </cell>
        </row>
        <row r="20">
          <cell r="X20">
            <v>16.179751739691056</v>
          </cell>
        </row>
        <row r="21">
          <cell r="X21">
            <v>15.914957340950467</v>
          </cell>
        </row>
        <row r="22">
          <cell r="X22">
            <v>15.371552155089462</v>
          </cell>
        </row>
        <row r="23">
          <cell r="X23">
            <v>15.111625012849652</v>
          </cell>
        </row>
        <row r="24">
          <cell r="X24">
            <v>14.507370840273392</v>
          </cell>
        </row>
      </sheetData>
      <sheetData sheetId="25"/>
      <sheetData sheetId="26">
        <row r="10">
          <cell r="X10">
            <v>38.480020009548873</v>
          </cell>
        </row>
        <row r="16">
          <cell r="X16">
            <v>16.957825104903019</v>
          </cell>
        </row>
        <row r="17">
          <cell r="X17">
            <v>16.990957350553344</v>
          </cell>
        </row>
        <row r="18">
          <cell r="X18">
            <v>16.645889500570856</v>
          </cell>
        </row>
        <row r="19">
          <cell r="X19">
            <v>16.44429124999586</v>
          </cell>
        </row>
        <row r="20">
          <cell r="X20">
            <v>16.601834935754752</v>
          </cell>
        </row>
        <row r="21">
          <cell r="X21">
            <v>16.276564109239573</v>
          </cell>
        </row>
        <row r="22">
          <cell r="X22">
            <v>16.3410205232735</v>
          </cell>
        </row>
        <row r="23">
          <cell r="X23">
            <v>18.8529515918401</v>
          </cell>
        </row>
        <row r="24">
          <cell r="X24">
            <v>18.13769854479543</v>
          </cell>
        </row>
      </sheetData>
      <sheetData sheetId="27"/>
      <sheetData sheetId="28">
        <row r="10">
          <cell r="X10">
            <v>36.657887283414944</v>
          </cell>
        </row>
        <row r="16">
          <cell r="X16">
            <v>15.489895874806002</v>
          </cell>
        </row>
        <row r="17">
          <cell r="X17">
            <v>15.986338407079028</v>
          </cell>
        </row>
        <row r="18">
          <cell r="X18">
            <v>16.195588388825964</v>
          </cell>
        </row>
        <row r="19">
          <cell r="X19">
            <v>15.288028239832656</v>
          </cell>
        </row>
        <row r="20">
          <cell r="X20">
            <v>14.620228476026297</v>
          </cell>
        </row>
        <row r="21">
          <cell r="X21">
            <v>14.430109461138061</v>
          </cell>
        </row>
        <row r="22">
          <cell r="X22">
            <v>14.307761073929049</v>
          </cell>
        </row>
        <row r="23">
          <cell r="X23">
            <v>13.781999866498033</v>
          </cell>
        </row>
        <row r="24">
          <cell r="X24">
            <v>13.567626493901367</v>
          </cell>
        </row>
      </sheetData>
      <sheetData sheetId="29"/>
      <sheetData sheetId="30">
        <row r="10">
          <cell r="X10">
            <v>34.695703250289952</v>
          </cell>
        </row>
        <row r="16">
          <cell r="X16">
            <v>13.138849460792642</v>
          </cell>
        </row>
        <row r="17">
          <cell r="X17">
            <v>13.174783103562035</v>
          </cell>
        </row>
        <row r="18">
          <cell r="X18">
            <v>13.655604300292948</v>
          </cell>
        </row>
        <row r="19">
          <cell r="X19">
            <v>14.375978310637409</v>
          </cell>
        </row>
        <row r="20">
          <cell r="X20">
            <v>14.60287489774749</v>
          </cell>
        </row>
        <row r="21">
          <cell r="X21">
            <v>14.897404694702098</v>
          </cell>
        </row>
        <row r="22">
          <cell r="X22">
            <v>14.249227973841565</v>
          </cell>
        </row>
        <row r="23">
          <cell r="X23">
            <v>14.503661451226398</v>
          </cell>
        </row>
        <row r="24">
          <cell r="X24">
            <v>16.48793407596575</v>
          </cell>
        </row>
      </sheetData>
      <sheetData sheetId="31"/>
      <sheetData sheetId="32">
        <row r="10">
          <cell r="X10">
            <v>37.329527354151594</v>
          </cell>
        </row>
        <row r="16">
          <cell r="X16">
            <v>17.846404292013926</v>
          </cell>
        </row>
        <row r="17">
          <cell r="X17">
            <v>16.54757024199878</v>
          </cell>
        </row>
        <row r="18">
          <cell r="X18">
            <v>17.163898674220473</v>
          </cell>
        </row>
        <row r="19">
          <cell r="X19">
            <v>16.577583847002433</v>
          </cell>
        </row>
        <row r="20">
          <cell r="X20">
            <v>15.579248111963771</v>
          </cell>
        </row>
        <row r="21">
          <cell r="X21">
            <v>15.476272032886586</v>
          </cell>
        </row>
        <row r="22">
          <cell r="X22">
            <v>14.767187019443593</v>
          </cell>
        </row>
        <row r="23">
          <cell r="X23">
            <v>14.356649068957706</v>
          </cell>
        </row>
        <row r="24">
          <cell r="X24">
            <v>14.45538350855986</v>
          </cell>
        </row>
      </sheetData>
      <sheetData sheetId="33"/>
      <sheetData sheetId="34">
        <row r="10">
          <cell r="X10">
            <v>37.840877714660714</v>
          </cell>
        </row>
        <row r="16">
          <cell r="X16">
            <v>16.460522731914839</v>
          </cell>
        </row>
        <row r="17">
          <cell r="X17">
            <v>16.084214920813633</v>
          </cell>
        </row>
        <row r="18">
          <cell r="X18">
            <v>15.908222024531954</v>
          </cell>
        </row>
        <row r="19">
          <cell r="X19">
            <v>15.377479848081052</v>
          </cell>
        </row>
        <row r="20">
          <cell r="X20">
            <v>14.983352182100083</v>
          </cell>
        </row>
        <row r="21">
          <cell r="X21">
            <v>14.841312488285389</v>
          </cell>
        </row>
        <row r="22">
          <cell r="X22">
            <v>14.403341977386237</v>
          </cell>
        </row>
        <row r="23">
          <cell r="X23">
            <v>13.638500742494385</v>
          </cell>
        </row>
        <row r="24">
          <cell r="X24">
            <v>14.240404127273925</v>
          </cell>
        </row>
      </sheetData>
      <sheetData sheetId="35"/>
      <sheetData sheetId="36">
        <row r="10">
          <cell r="X10">
            <v>37.682733923893437</v>
          </cell>
        </row>
        <row r="16">
          <cell r="X16">
            <v>17.79755123444318</v>
          </cell>
        </row>
        <row r="17">
          <cell r="X17">
            <v>16.773583314503128</v>
          </cell>
        </row>
        <row r="18">
          <cell r="X18">
            <v>17.245017739504711</v>
          </cell>
        </row>
        <row r="19">
          <cell r="X19">
            <v>16.14257995990344</v>
          </cell>
        </row>
        <row r="20">
          <cell r="X20">
            <v>16.358822238791543</v>
          </cell>
        </row>
        <row r="21">
          <cell r="X21">
            <v>16.287209323832986</v>
          </cell>
        </row>
        <row r="22">
          <cell r="X22">
            <v>15.107161087135941</v>
          </cell>
        </row>
        <row r="23">
          <cell r="X23">
            <v>14.815340101115018</v>
          </cell>
        </row>
        <row r="24">
          <cell r="X24">
            <v>19.00654294073059</v>
          </cell>
        </row>
      </sheetData>
      <sheetData sheetId="37"/>
      <sheetData sheetId="38">
        <row r="10">
          <cell r="X10">
            <v>39.880077679147327</v>
          </cell>
        </row>
        <row r="16">
          <cell r="X16">
            <v>17.276123726992516</v>
          </cell>
        </row>
        <row r="17">
          <cell r="X17">
            <v>17.38922197588224</v>
          </cell>
        </row>
        <row r="18">
          <cell r="X18">
            <v>17.329183222268775</v>
          </cell>
        </row>
        <row r="19">
          <cell r="X19">
            <v>16.807754347639559</v>
          </cell>
        </row>
        <row r="20">
          <cell r="X20">
            <v>16.721025754295145</v>
          </cell>
        </row>
        <row r="21">
          <cell r="X21">
            <v>15.476272397439315</v>
          </cell>
        </row>
        <row r="22">
          <cell r="X22">
            <v>15.320462512876995</v>
          </cell>
        </row>
        <row r="23">
          <cell r="X23">
            <v>16.243398920490151</v>
          </cell>
        </row>
        <row r="24">
          <cell r="X24">
            <v>19.076713554134813</v>
          </cell>
        </row>
      </sheetData>
      <sheetData sheetId="39"/>
      <sheetData sheetId="40">
        <row r="10">
          <cell r="X10">
            <v>35.484373992612646</v>
          </cell>
        </row>
        <row r="16">
          <cell r="X16">
            <v>14.806554457396267</v>
          </cell>
        </row>
        <row r="17">
          <cell r="X17">
            <v>14.26027160257982</v>
          </cell>
        </row>
        <row r="18">
          <cell r="X18">
            <v>14.208808153363515</v>
          </cell>
        </row>
        <row r="19">
          <cell r="X19">
            <v>15.088186878482363</v>
          </cell>
        </row>
        <row r="20">
          <cell r="X20">
            <v>15.2035312296673</v>
          </cell>
        </row>
        <row r="21">
          <cell r="X21">
            <v>14.723845935394051</v>
          </cell>
        </row>
        <row r="22">
          <cell r="X22">
            <v>16.185670288470547</v>
          </cell>
        </row>
        <row r="23">
          <cell r="X23">
            <v>16.15012965735086</v>
          </cell>
        </row>
        <row r="24">
          <cell r="X24">
            <v>16.658077752257078</v>
          </cell>
        </row>
      </sheetData>
      <sheetData sheetId="41"/>
      <sheetData sheetId="42">
        <row r="10">
          <cell r="X10">
            <v>36.014871455513777</v>
          </cell>
        </row>
        <row r="16">
          <cell r="X16">
            <v>15.123870445374729</v>
          </cell>
        </row>
        <row r="17">
          <cell r="X17">
            <v>15.411702037256321</v>
          </cell>
        </row>
        <row r="18">
          <cell r="X18">
            <v>15.447850106240695</v>
          </cell>
        </row>
        <row r="19">
          <cell r="X19">
            <v>16.481394612291616</v>
          </cell>
        </row>
        <row r="20">
          <cell r="X20">
            <v>17.04151137458814</v>
          </cell>
        </row>
        <row r="21">
          <cell r="X21">
            <v>17.027962983355426</v>
          </cell>
        </row>
        <row r="22">
          <cell r="X22">
            <v>17.288330964033037</v>
          </cell>
        </row>
        <row r="23">
          <cell r="X23">
            <v>17.015210106204997</v>
          </cell>
        </row>
        <row r="24">
          <cell r="X24">
            <v>17.082821488712145</v>
          </cell>
        </row>
      </sheetData>
      <sheetData sheetId="43"/>
      <sheetData sheetId="44">
        <row r="10">
          <cell r="X10">
            <v>37.466062520567604</v>
          </cell>
        </row>
        <row r="16">
          <cell r="X16">
            <v>15.809028025793694</v>
          </cell>
        </row>
        <row r="17">
          <cell r="X17">
            <v>15.397807284763505</v>
          </cell>
        </row>
        <row r="18">
          <cell r="X18">
            <v>15.672439707907744</v>
          </cell>
        </row>
        <row r="19">
          <cell r="X19">
            <v>15.207773028896467</v>
          </cell>
        </row>
        <row r="20">
          <cell r="X20">
            <v>16.25830026189594</v>
          </cell>
        </row>
        <row r="21">
          <cell r="X21">
            <v>15.69595267774727</v>
          </cell>
        </row>
        <row r="22">
          <cell r="X22">
            <v>16.329980362515986</v>
          </cell>
        </row>
        <row r="23">
          <cell r="X23">
            <v>17.300767573206254</v>
          </cell>
        </row>
        <row r="24">
          <cell r="X24">
            <v>16.946934787612516</v>
          </cell>
        </row>
      </sheetData>
      <sheetData sheetId="45"/>
      <sheetData sheetId="46">
        <row r="10">
          <cell r="X10">
            <v>35.069581583610365</v>
          </cell>
        </row>
        <row r="16">
          <cell r="X16">
            <v>14.751694987989817</v>
          </cell>
        </row>
        <row r="17">
          <cell r="X17">
            <v>14.704820545529937</v>
          </cell>
        </row>
        <row r="18">
          <cell r="X18">
            <v>15.340809536920187</v>
          </cell>
        </row>
        <row r="19">
          <cell r="X19">
            <v>14.316621547147605</v>
          </cell>
        </row>
        <row r="20">
          <cell r="X20">
            <v>14.181303945905633</v>
          </cell>
        </row>
        <row r="21">
          <cell r="X21">
            <v>14.545259419609938</v>
          </cell>
        </row>
        <row r="22">
          <cell r="X22">
            <v>14.525508789668619</v>
          </cell>
        </row>
        <row r="23">
          <cell r="X23">
            <v>14.18308272893433</v>
          </cell>
        </row>
        <row r="24">
          <cell r="X24">
            <v>14.223578151187056</v>
          </cell>
        </row>
      </sheetData>
      <sheetData sheetId="47"/>
      <sheetData sheetId="48">
        <row r="10">
          <cell r="X10">
            <v>34.073569948328498</v>
          </cell>
        </row>
        <row r="16">
          <cell r="X16">
            <v>13.255762969587318</v>
          </cell>
        </row>
        <row r="17">
          <cell r="X17">
            <v>13.514488726670651</v>
          </cell>
        </row>
        <row r="18">
          <cell r="X18">
            <v>13.853758091249441</v>
          </cell>
        </row>
        <row r="19">
          <cell r="X19">
            <v>14.117832982603741</v>
          </cell>
        </row>
        <row r="20">
          <cell r="X20">
            <v>13.757120488454339</v>
          </cell>
        </row>
        <row r="21">
          <cell r="X21">
            <v>14.138594921982405</v>
          </cell>
        </row>
        <row r="22">
          <cell r="X22">
            <v>14.152548666207696</v>
          </cell>
        </row>
        <row r="23">
          <cell r="X23">
            <v>13.339331294326223</v>
          </cell>
        </row>
        <row r="24">
          <cell r="X24">
            <v>12.705534016960666</v>
          </cell>
        </row>
      </sheetData>
      <sheetData sheetId="49"/>
      <sheetData sheetId="50">
        <row r="10">
          <cell r="X10">
            <v>36.851459213904661</v>
          </cell>
        </row>
        <row r="16">
          <cell r="X16">
            <v>12.24167571114678</v>
          </cell>
        </row>
        <row r="17">
          <cell r="X17">
            <v>12.64639653794168</v>
          </cell>
        </row>
        <row r="18">
          <cell r="X18">
            <v>12.574703157344674</v>
          </cell>
        </row>
        <row r="19">
          <cell r="X19">
            <v>12.704896426712992</v>
          </cell>
        </row>
        <row r="20">
          <cell r="X20">
            <v>13.024902603928345</v>
          </cell>
        </row>
        <row r="21">
          <cell r="X21">
            <v>13.545851770699437</v>
          </cell>
        </row>
        <row r="22">
          <cell r="X22">
            <v>13.547770970367077</v>
          </cell>
        </row>
        <row r="23">
          <cell r="X23">
            <v>13.786074938448381</v>
          </cell>
        </row>
        <row r="24">
          <cell r="X24">
            <v>13.7775367625249</v>
          </cell>
        </row>
      </sheetData>
      <sheetData sheetId="51"/>
      <sheetData sheetId="52">
        <row r="10">
          <cell r="X10">
            <v>35.531910204097905</v>
          </cell>
        </row>
        <row r="16">
          <cell r="X16">
            <v>12.992008466256104</v>
          </cell>
        </row>
        <row r="17">
          <cell r="X17">
            <v>13.156866381657798</v>
          </cell>
        </row>
        <row r="18">
          <cell r="X18">
            <v>13.77357229742344</v>
          </cell>
        </row>
        <row r="19">
          <cell r="X19">
            <v>14.976480974569165</v>
          </cell>
        </row>
        <row r="20">
          <cell r="X20">
            <v>13.240098358445369</v>
          </cell>
        </row>
        <row r="21">
          <cell r="X21">
            <v>13.04659526593221</v>
          </cell>
        </row>
        <row r="22">
          <cell r="X22">
            <v>12.486608342325715</v>
          </cell>
        </row>
        <row r="23">
          <cell r="X23">
            <v>13.286277300139695</v>
          </cell>
        </row>
        <row r="24">
          <cell r="X24">
            <v>12.93997890181342</v>
          </cell>
        </row>
      </sheetData>
      <sheetData sheetId="53"/>
      <sheetData sheetId="54">
        <row r="10">
          <cell r="X10">
            <v>35.549814222905987</v>
          </cell>
        </row>
        <row r="16">
          <cell r="X16">
            <v>11.890605114758859</v>
          </cell>
        </row>
        <row r="17">
          <cell r="X17">
            <v>12.287647012704239</v>
          </cell>
        </row>
        <row r="18">
          <cell r="X18">
            <v>12.653571071206253</v>
          </cell>
        </row>
        <row r="19">
          <cell r="X19">
            <v>12.95417180976891</v>
          </cell>
        </row>
        <row r="20">
          <cell r="X20">
            <v>12.613594802497808</v>
          </cell>
        </row>
        <row r="21">
          <cell r="X21">
            <v>12.813912056509208</v>
          </cell>
        </row>
        <row r="22">
          <cell r="X22">
            <v>13.834794466918993</v>
          </cell>
        </row>
        <row r="23">
          <cell r="X23">
            <v>12.616366619583511</v>
          </cell>
        </row>
        <row r="24">
          <cell r="X24">
            <v>12.487891708254846</v>
          </cell>
        </row>
      </sheetData>
      <sheetData sheetId="55"/>
      <sheetData sheetId="56">
        <row r="10">
          <cell r="X10">
            <v>35.670660814205547</v>
          </cell>
        </row>
        <row r="16">
          <cell r="X16">
            <v>13.868936731765171</v>
          </cell>
        </row>
        <row r="17">
          <cell r="X17">
            <v>13.921878952027786</v>
          </cell>
        </row>
        <row r="18">
          <cell r="X18">
            <v>13.893055629495915</v>
          </cell>
        </row>
        <row r="19">
          <cell r="X19">
            <v>13.866048696834877</v>
          </cell>
        </row>
        <row r="20">
          <cell r="X20">
            <v>14.170995783153321</v>
          </cell>
        </row>
        <row r="21">
          <cell r="X21">
            <v>13.848883386668714</v>
          </cell>
        </row>
        <row r="22">
          <cell r="X22">
            <v>14.392877261291119</v>
          </cell>
        </row>
        <row r="23">
          <cell r="X23">
            <v>14.163775135689775</v>
          </cell>
        </row>
        <row r="24">
          <cell r="X24">
            <v>15.007342285898677</v>
          </cell>
        </row>
      </sheetData>
      <sheetData sheetId="57"/>
      <sheetData sheetId="58">
        <row r="10">
          <cell r="X10">
            <v>36.509909269562321</v>
          </cell>
        </row>
        <row r="16">
          <cell r="X16">
            <v>14.178068341287403</v>
          </cell>
        </row>
        <row r="17">
          <cell r="X17">
            <v>13.926699134273226</v>
          </cell>
        </row>
        <row r="18">
          <cell r="X18">
            <v>13.732439015366584</v>
          </cell>
        </row>
        <row r="19">
          <cell r="X19">
            <v>14.023441414318169</v>
          </cell>
        </row>
        <row r="20">
          <cell r="X20">
            <v>12.830185040826706</v>
          </cell>
        </row>
        <row r="21">
          <cell r="X21">
            <v>13.444193976140291</v>
          </cell>
        </row>
        <row r="22">
          <cell r="X22">
            <v>13.909528174733431</v>
          </cell>
        </row>
        <row r="23">
          <cell r="X23">
            <v>13.390636167285166</v>
          </cell>
        </row>
        <row r="24">
          <cell r="X24">
            <v>12.652359524534342</v>
          </cell>
        </row>
      </sheetData>
      <sheetData sheetId="59"/>
      <sheetData sheetId="60">
        <row r="10">
          <cell r="X10">
            <v>34.577429291230423</v>
          </cell>
        </row>
        <row r="16">
          <cell r="X16">
            <v>13.465432313620665</v>
          </cell>
        </row>
        <row r="17">
          <cell r="X17">
            <v>13.11879825301563</v>
          </cell>
        </row>
        <row r="18">
          <cell r="X18">
            <v>12.945607341764516</v>
          </cell>
        </row>
        <row r="19">
          <cell r="X19">
            <v>12.92370386057488</v>
          </cell>
        </row>
        <row r="20">
          <cell r="X20">
            <v>12.563802060876748</v>
          </cell>
        </row>
        <row r="21">
          <cell r="X21">
            <v>12.512928227848397</v>
          </cell>
        </row>
        <row r="22">
          <cell r="X22">
            <v>12.835171851466074</v>
          </cell>
        </row>
        <row r="23">
          <cell r="X23">
            <v>11.417736264966763</v>
          </cell>
        </row>
        <row r="24">
          <cell r="X24">
            <v>10.257794359073788</v>
          </cell>
        </row>
      </sheetData>
      <sheetData sheetId="61"/>
      <sheetData sheetId="62">
        <row r="10">
          <cell r="X10">
            <v>36.1565453215985</v>
          </cell>
        </row>
        <row r="16">
          <cell r="X16">
            <v>15.376298049026156</v>
          </cell>
        </row>
        <row r="17">
          <cell r="X17">
            <v>14.467558764623819</v>
          </cell>
        </row>
        <row r="18">
          <cell r="X18">
            <v>12.769800796069735</v>
          </cell>
        </row>
        <row r="19">
          <cell r="X19">
            <v>11.974304893393365</v>
          </cell>
        </row>
        <row r="20">
          <cell r="X20">
            <v>10.482732632803845</v>
          </cell>
        </row>
        <row r="21">
          <cell r="X21">
            <v>10.801435682716242</v>
          </cell>
        </row>
        <row r="22">
          <cell r="X22">
            <v>9.3093026688913358</v>
          </cell>
        </row>
        <row r="23">
          <cell r="X23">
            <v>9.4242488776230893</v>
          </cell>
        </row>
        <row r="24">
          <cell r="X24">
            <v>9.5058199100235576</v>
          </cell>
        </row>
      </sheetData>
      <sheetData sheetId="63"/>
      <sheetData sheetId="64">
        <row r="10">
          <cell r="X10">
            <v>35.608640225857251</v>
          </cell>
        </row>
        <row r="16">
          <cell r="X16">
            <v>15.123020329118949</v>
          </cell>
        </row>
        <row r="17">
          <cell r="X17">
            <v>14.974338958897819</v>
          </cell>
        </row>
        <row r="18">
          <cell r="X18">
            <v>14.689776018042918</v>
          </cell>
        </row>
        <row r="19">
          <cell r="X19">
            <v>14.428157419593942</v>
          </cell>
        </row>
        <row r="20">
          <cell r="X20">
            <v>13.53552615751639</v>
          </cell>
        </row>
        <row r="21">
          <cell r="X21">
            <v>14.43371496288048</v>
          </cell>
        </row>
        <row r="22">
          <cell r="X22">
            <v>16.459702801280987</v>
          </cell>
        </row>
        <row r="23">
          <cell r="X23">
            <v>17.06965860616819</v>
          </cell>
        </row>
        <row r="24">
          <cell r="X24">
            <v>12.040672926291338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FEVEREIRO DE 2024</v>
          </cell>
        </row>
        <row r="16">
          <cell r="X16">
            <v>13.838866130912447</v>
          </cell>
        </row>
        <row r="17">
          <cell r="X17">
            <v>13.201324018392766</v>
          </cell>
        </row>
        <row r="18">
          <cell r="X18">
            <v>13.012365824483178</v>
          </cell>
        </row>
        <row r="19">
          <cell r="X19">
            <v>14.372764775553216</v>
          </cell>
        </row>
        <row r="20">
          <cell r="X20">
            <v>13.110150697738124</v>
          </cell>
        </row>
        <row r="21">
          <cell r="X21">
            <v>12.334790710412063</v>
          </cell>
        </row>
        <row r="22">
          <cell r="X22">
            <v>13.257238141329555</v>
          </cell>
        </row>
        <row r="23">
          <cell r="X23">
            <v>13.396929899438183</v>
          </cell>
        </row>
        <row r="24">
          <cell r="X24">
            <v>15.826812888581159</v>
          </cell>
        </row>
      </sheetData>
      <sheetData sheetId="5"/>
      <sheetData sheetId="6">
        <row r="10">
          <cell r="X10">
            <v>35.109707600309896</v>
          </cell>
        </row>
        <row r="16">
          <cell r="X16">
            <v>14.708345447907215</v>
          </cell>
        </row>
        <row r="17">
          <cell r="X17">
            <v>14.439855471564638</v>
          </cell>
        </row>
        <row r="18">
          <cell r="X18">
            <v>14.117888858914037</v>
          </cell>
        </row>
        <row r="19">
          <cell r="X19">
            <v>15.591591690647961</v>
          </cell>
        </row>
        <row r="20">
          <cell r="X20">
            <v>15.410076043364846</v>
          </cell>
        </row>
        <row r="21">
          <cell r="X21">
            <v>14.716439160110498</v>
          </cell>
        </row>
        <row r="22">
          <cell r="X22">
            <v>16.529861027125907</v>
          </cell>
        </row>
        <row r="23">
          <cell r="X23">
            <v>13.631085152077558</v>
          </cell>
        </row>
        <row r="24">
          <cell r="X24">
            <v>14.349996187032669</v>
          </cell>
        </row>
      </sheetData>
      <sheetData sheetId="7"/>
      <sheetData sheetId="8">
        <row r="10">
          <cell r="X10">
            <v>35.221893390741279</v>
          </cell>
        </row>
        <row r="16">
          <cell r="X16">
            <v>14.464591097975545</v>
          </cell>
        </row>
        <row r="17">
          <cell r="X17">
            <v>14.58145063437461</v>
          </cell>
        </row>
        <row r="18">
          <cell r="X18">
            <v>14.629606714718431</v>
          </cell>
        </row>
        <row r="19">
          <cell r="X19">
            <v>14.827489235579268</v>
          </cell>
        </row>
        <row r="20">
          <cell r="X20">
            <v>14.801537619362035</v>
          </cell>
        </row>
        <row r="21">
          <cell r="X21">
            <v>15.648212655839767</v>
          </cell>
        </row>
        <row r="22">
          <cell r="X22">
            <v>14.074986967914414</v>
          </cell>
        </row>
        <row r="23">
          <cell r="X23">
            <v>15.114118559547768</v>
          </cell>
        </row>
        <row r="24">
          <cell r="X24">
            <v>15.193642153901093</v>
          </cell>
        </row>
      </sheetData>
      <sheetData sheetId="9"/>
      <sheetData sheetId="10">
        <row r="10">
          <cell r="X10">
            <v>36.563780492440863</v>
          </cell>
        </row>
        <row r="16">
          <cell r="X16">
            <v>15.501971410512851</v>
          </cell>
        </row>
        <row r="17">
          <cell r="X17">
            <v>14.152757049528352</v>
          </cell>
        </row>
        <row r="18">
          <cell r="X18">
            <v>14.804225787732376</v>
          </cell>
        </row>
        <row r="19">
          <cell r="X19">
            <v>12.23350970593698</v>
          </cell>
        </row>
        <row r="20">
          <cell r="X20">
            <v>12.911985668314301</v>
          </cell>
        </row>
        <row r="21">
          <cell r="X21">
            <v>12.239709158897931</v>
          </cell>
        </row>
        <row r="22">
          <cell r="X22">
            <v>12.863860447192929</v>
          </cell>
        </row>
        <row r="23">
          <cell r="X23">
            <v>15.853856049650522</v>
          </cell>
        </row>
        <row r="24">
          <cell r="X24">
            <v>15.106621130626365</v>
          </cell>
        </row>
      </sheetData>
      <sheetData sheetId="11"/>
      <sheetData sheetId="12">
        <row r="10">
          <cell r="X10">
            <v>34.284602101501591</v>
          </cell>
        </row>
        <row r="16">
          <cell r="X16">
            <v>14.312972741777518</v>
          </cell>
        </row>
        <row r="17">
          <cell r="X17">
            <v>14.053838894862869</v>
          </cell>
        </row>
        <row r="18">
          <cell r="X18">
            <v>14.812767233495199</v>
          </cell>
        </row>
        <row r="19">
          <cell r="X19">
            <v>12.577258227066837</v>
          </cell>
        </row>
        <row r="20">
          <cell r="X20">
            <v>11.297610273354124</v>
          </cell>
        </row>
        <row r="21">
          <cell r="X21">
            <v>11.209048865197261</v>
          </cell>
        </row>
        <row r="22">
          <cell r="X22">
            <v>13.604816331182118</v>
          </cell>
        </row>
        <row r="23">
          <cell r="X23">
            <v>11.565455142555241</v>
          </cell>
        </row>
        <row r="24">
          <cell r="X24">
            <v>11.949454966121827</v>
          </cell>
        </row>
      </sheetData>
      <sheetData sheetId="13"/>
      <sheetData sheetId="14">
        <row r="10">
          <cell r="X10">
            <v>34.357144944018771</v>
          </cell>
        </row>
        <row r="16">
          <cell r="X16">
            <v>14.667100316658642</v>
          </cell>
        </row>
        <row r="17">
          <cell r="X17">
            <v>14.991205951453802</v>
          </cell>
        </row>
        <row r="18">
          <cell r="X18">
            <v>14.052355907653027</v>
          </cell>
        </row>
        <row r="19">
          <cell r="X19">
            <v>14.02893470029624</v>
          </cell>
        </row>
        <row r="20">
          <cell r="X20">
            <v>15.150383773862497</v>
          </cell>
        </row>
        <row r="21">
          <cell r="X21">
            <v>14.246545923607238</v>
          </cell>
        </row>
        <row r="22">
          <cell r="X22">
            <v>14.009021809774516</v>
          </cell>
        </row>
        <row r="23">
          <cell r="X23">
            <v>15.661438389346918</v>
          </cell>
        </row>
        <row r="24">
          <cell r="X24">
            <v>15.62356436526504</v>
          </cell>
        </row>
      </sheetData>
      <sheetData sheetId="15"/>
      <sheetData sheetId="16">
        <row r="10">
          <cell r="X10">
            <v>35.312723410025519</v>
          </cell>
        </row>
        <row r="16">
          <cell r="X16">
            <v>15.153795686646744</v>
          </cell>
        </row>
        <row r="17">
          <cell r="X17">
            <v>15.515924459106442</v>
          </cell>
        </row>
        <row r="18">
          <cell r="X18">
            <v>15.207157564032434</v>
          </cell>
        </row>
        <row r="19">
          <cell r="X19">
            <v>13.97408754804202</v>
          </cell>
        </row>
        <row r="20">
          <cell r="X20">
            <v>13.009002622758429</v>
          </cell>
        </row>
        <row r="21">
          <cell r="X21">
            <v>12.66568718554862</v>
          </cell>
        </row>
        <row r="22">
          <cell r="X22">
            <v>12.562081652837078</v>
          </cell>
        </row>
        <row r="23">
          <cell r="X23">
            <v>16.41909282433803</v>
          </cell>
        </row>
        <row r="24">
          <cell r="X24">
            <v>17.386680561133367</v>
          </cell>
        </row>
      </sheetData>
      <sheetData sheetId="17"/>
      <sheetData sheetId="18">
        <row r="10">
          <cell r="X10">
            <v>34.952175045573718</v>
          </cell>
        </row>
        <row r="16">
          <cell r="X16">
            <v>15.264911983792485</v>
          </cell>
        </row>
        <row r="17">
          <cell r="X17">
            <v>15.552889375031311</v>
          </cell>
        </row>
        <row r="18">
          <cell r="X18">
            <v>15.663299352380783</v>
          </cell>
        </row>
        <row r="19">
          <cell r="X19">
            <v>15.113544779751065</v>
          </cell>
        </row>
        <row r="20">
          <cell r="X20">
            <v>13.426700290366453</v>
          </cell>
        </row>
        <row r="21">
          <cell r="X21">
            <v>12.970577153609158</v>
          </cell>
        </row>
        <row r="22">
          <cell r="X22">
            <v>15.345086159568259</v>
          </cell>
        </row>
        <row r="23">
          <cell r="X23">
            <v>15.361096955093585</v>
          </cell>
        </row>
        <row r="24">
          <cell r="X24">
            <v>16.097639663143113</v>
          </cell>
        </row>
      </sheetData>
      <sheetData sheetId="19"/>
      <sheetData sheetId="20">
        <row r="10">
          <cell r="X10">
            <v>36.342035866039012</v>
          </cell>
        </row>
        <row r="16">
          <cell r="X16">
            <v>15.144748666690734</v>
          </cell>
        </row>
        <row r="17">
          <cell r="X17">
            <v>14.895577043438553</v>
          </cell>
        </row>
        <row r="18">
          <cell r="X18">
            <v>14.856753251075231</v>
          </cell>
        </row>
        <row r="19">
          <cell r="X19">
            <v>15.65427339534652</v>
          </cell>
        </row>
        <row r="20">
          <cell r="X20">
            <v>14.77193078935837</v>
          </cell>
        </row>
        <row r="21">
          <cell r="X21">
            <v>16.121757783707775</v>
          </cell>
        </row>
        <row r="22">
          <cell r="X22">
            <v>16.979737766129862</v>
          </cell>
        </row>
        <row r="23">
          <cell r="X23">
            <v>17.32215215346444</v>
          </cell>
        </row>
        <row r="24">
          <cell r="X24">
            <v>16.857862569041099</v>
          </cell>
        </row>
      </sheetData>
      <sheetData sheetId="21"/>
      <sheetData sheetId="22">
        <row r="10">
          <cell r="X10">
            <v>36.745310597052779</v>
          </cell>
        </row>
        <row r="16">
          <cell r="X16">
            <v>15.760466720242068</v>
          </cell>
        </row>
        <row r="17">
          <cell r="X17">
            <v>15.60192980949979</v>
          </cell>
        </row>
        <row r="18">
          <cell r="X18">
            <v>15.556404611746583</v>
          </cell>
        </row>
        <row r="19">
          <cell r="X19">
            <v>14.746996467053998</v>
          </cell>
        </row>
        <row r="20">
          <cell r="X20">
            <v>14.011060531339485</v>
          </cell>
        </row>
        <row r="21">
          <cell r="X21">
            <v>13.963993692896844</v>
          </cell>
        </row>
        <row r="22">
          <cell r="X22">
            <v>11.867800875100952</v>
          </cell>
        </row>
        <row r="23">
          <cell r="X23">
            <v>15.069223565372958</v>
          </cell>
        </row>
        <row r="24">
          <cell r="X24">
            <v>16.500324055952969</v>
          </cell>
        </row>
      </sheetData>
      <sheetData sheetId="23"/>
      <sheetData sheetId="24">
        <row r="10">
          <cell r="X10">
            <v>36.779662062601503</v>
          </cell>
        </row>
        <row r="16">
          <cell r="X16">
            <v>15.631344216587198</v>
          </cell>
        </row>
        <row r="17">
          <cell r="X17">
            <v>15.32642698662594</v>
          </cell>
        </row>
        <row r="18">
          <cell r="X18">
            <v>14.176858178679966</v>
          </cell>
        </row>
        <row r="19">
          <cell r="X19">
            <v>13.721825831060965</v>
          </cell>
        </row>
        <row r="20">
          <cell r="X20">
            <v>13.230705905614325</v>
          </cell>
        </row>
        <row r="21">
          <cell r="X21">
            <v>13.021837986125696</v>
          </cell>
        </row>
        <row r="22">
          <cell r="X22">
            <v>13.329632716902827</v>
          </cell>
        </row>
        <row r="23">
          <cell r="X23">
            <v>12.670447268861647</v>
          </cell>
        </row>
        <row r="24">
          <cell r="X24">
            <v>16.43460051092174</v>
          </cell>
        </row>
      </sheetData>
      <sheetData sheetId="25"/>
      <sheetData sheetId="26">
        <row r="10">
          <cell r="X10">
            <v>37.367442075928587</v>
          </cell>
        </row>
        <row r="16">
          <cell r="X16">
            <v>15.409135524101382</v>
          </cell>
        </row>
        <row r="17">
          <cell r="X17">
            <v>15.249762436341305</v>
          </cell>
        </row>
        <row r="18">
          <cell r="X18">
            <v>15.138878203369327</v>
          </cell>
        </row>
        <row r="19">
          <cell r="X19">
            <v>14.529745390179242</v>
          </cell>
        </row>
        <row r="20">
          <cell r="X20">
            <v>14.942655403895943</v>
          </cell>
        </row>
        <row r="21">
          <cell r="X21">
            <v>14.215732821890796</v>
          </cell>
        </row>
        <row r="22">
          <cell r="X22">
            <v>13.761146303505258</v>
          </cell>
        </row>
        <row r="23">
          <cell r="X23">
            <v>14.369899310700093</v>
          </cell>
        </row>
        <row r="24">
          <cell r="X24">
            <v>13.855674251581792</v>
          </cell>
        </row>
      </sheetData>
      <sheetData sheetId="27"/>
      <sheetData sheetId="28">
        <row r="10">
          <cell r="X10">
            <v>36.057000295944654</v>
          </cell>
        </row>
        <row r="16">
          <cell r="X16">
            <v>14.716899240165075</v>
          </cell>
        </row>
        <row r="17">
          <cell r="X17">
            <v>14.521351280730757</v>
          </cell>
        </row>
        <row r="18">
          <cell r="X18">
            <v>14.571683481211647</v>
          </cell>
        </row>
        <row r="19">
          <cell r="X19">
            <v>14.656153763804079</v>
          </cell>
        </row>
        <row r="20">
          <cell r="X20">
            <v>15.155027155141608</v>
          </cell>
        </row>
        <row r="21">
          <cell r="X21">
            <v>15.824019271531428</v>
          </cell>
        </row>
        <row r="22">
          <cell r="X22">
            <v>15.445295024615184</v>
          </cell>
        </row>
        <row r="23">
          <cell r="X23">
            <v>15.004850281109904</v>
          </cell>
        </row>
        <row r="24">
          <cell r="X24">
            <v>14.372769133622979</v>
          </cell>
        </row>
      </sheetData>
      <sheetData sheetId="29"/>
      <sheetData sheetId="30">
        <row r="10">
          <cell r="X10">
            <v>36.53662680112074</v>
          </cell>
        </row>
        <row r="16">
          <cell r="X16">
            <v>15.717599873333372</v>
          </cell>
        </row>
        <row r="17">
          <cell r="X17">
            <v>15.462690502886446</v>
          </cell>
        </row>
        <row r="18">
          <cell r="X18">
            <v>15.162912556685731</v>
          </cell>
        </row>
        <row r="19">
          <cell r="X19">
            <v>15.083303743624036</v>
          </cell>
        </row>
        <row r="20">
          <cell r="X20">
            <v>16.807199406111536</v>
          </cell>
        </row>
        <row r="21">
          <cell r="X21">
            <v>16.155555657521493</v>
          </cell>
        </row>
        <row r="22">
          <cell r="X22">
            <v>17.599298288499991</v>
          </cell>
        </row>
        <row r="23">
          <cell r="X23">
            <v>17.279240526307792</v>
          </cell>
        </row>
        <row r="24">
          <cell r="X24">
            <v>17.241079737493365</v>
          </cell>
        </row>
      </sheetData>
      <sheetData sheetId="31"/>
      <sheetData sheetId="32">
        <row r="10">
          <cell r="X10">
            <v>36.681641822395434</v>
          </cell>
        </row>
        <row r="16">
          <cell r="X16">
            <v>15.131060911000457</v>
          </cell>
        </row>
        <row r="17">
          <cell r="X17">
            <v>15.308588178206048</v>
          </cell>
        </row>
        <row r="18">
          <cell r="X18">
            <v>15.219867859040889</v>
          </cell>
        </row>
        <row r="19">
          <cell r="X19">
            <v>15.605132646674235</v>
          </cell>
        </row>
        <row r="20">
          <cell r="X20">
            <v>15.637875884833141</v>
          </cell>
        </row>
        <row r="21">
          <cell r="X21">
            <v>15.722223985100461</v>
          </cell>
        </row>
        <row r="22">
          <cell r="X22">
            <v>15.590771400689286</v>
          </cell>
        </row>
        <row r="23">
          <cell r="X23">
            <v>15.419486224120053</v>
          </cell>
        </row>
        <row r="24">
          <cell r="X24">
            <v>15.5035223635031</v>
          </cell>
        </row>
      </sheetData>
      <sheetData sheetId="33"/>
      <sheetData sheetId="34">
        <row r="10">
          <cell r="X10">
            <v>35.58757366756663</v>
          </cell>
        </row>
        <row r="16">
          <cell r="X16">
            <v>14.193834176224334</v>
          </cell>
        </row>
        <row r="17">
          <cell r="X17">
            <v>14.658135110086587</v>
          </cell>
        </row>
        <row r="18">
          <cell r="X18">
            <v>14.590326578052805</v>
          </cell>
        </row>
        <row r="19">
          <cell r="X19">
            <v>14.705518908306514</v>
          </cell>
        </row>
        <row r="20">
          <cell r="X20">
            <v>14.138655248178694</v>
          </cell>
        </row>
        <row r="21">
          <cell r="X21">
            <v>14.539354570026205</v>
          </cell>
        </row>
        <row r="22">
          <cell r="X22">
            <v>15.336100672923992</v>
          </cell>
        </row>
        <row r="23">
          <cell r="X23">
            <v>15.530901491407624</v>
          </cell>
        </row>
        <row r="24">
          <cell r="X24">
            <v>15.457525152310359</v>
          </cell>
        </row>
      </sheetData>
      <sheetData sheetId="35"/>
      <sheetData sheetId="36">
        <row r="10">
          <cell r="X10">
            <v>35.637170381575636</v>
          </cell>
        </row>
        <row r="16">
          <cell r="X16">
            <v>13.66422141330111</v>
          </cell>
        </row>
        <row r="17">
          <cell r="X17">
            <v>12.334497392858044</v>
          </cell>
        </row>
        <row r="18">
          <cell r="X18">
            <v>13.227171165936696</v>
          </cell>
        </row>
        <row r="19">
          <cell r="X19">
            <v>12.824166530074082</v>
          </cell>
        </row>
        <row r="20">
          <cell r="X20">
            <v>13.342905129716042</v>
          </cell>
        </row>
        <row r="21">
          <cell r="X21">
            <v>13.885484610206628</v>
          </cell>
        </row>
        <row r="22">
          <cell r="X22">
            <v>14.549200115353727</v>
          </cell>
        </row>
        <row r="23">
          <cell r="X23">
            <v>14.854394106556818</v>
          </cell>
        </row>
        <row r="24">
          <cell r="X24">
            <v>15.873710195493489</v>
          </cell>
        </row>
      </sheetData>
      <sheetData sheetId="37"/>
      <sheetData sheetId="38">
        <row r="10">
          <cell r="X10">
            <v>37.238050803620119</v>
          </cell>
        </row>
        <row r="16">
          <cell r="X16">
            <v>14.792690320294412</v>
          </cell>
        </row>
        <row r="17">
          <cell r="X17">
            <v>14.709313650202871</v>
          </cell>
        </row>
        <row r="18">
          <cell r="X18">
            <v>14.917734871578055</v>
          </cell>
        </row>
        <row r="19">
          <cell r="X19">
            <v>14.492164800361691</v>
          </cell>
        </row>
        <row r="20">
          <cell r="X20">
            <v>14.689421887412093</v>
          </cell>
        </row>
        <row r="21">
          <cell r="X21">
            <v>14.566855067760686</v>
          </cell>
        </row>
        <row r="22">
          <cell r="X22">
            <v>15.521335542312023</v>
          </cell>
        </row>
        <row r="23">
          <cell r="X23">
            <v>16.532206757841291</v>
          </cell>
        </row>
        <row r="24">
          <cell r="X24">
            <v>15.689128787957781</v>
          </cell>
        </row>
      </sheetData>
      <sheetData sheetId="39"/>
      <sheetData sheetId="40">
        <row r="10">
          <cell r="X10">
            <v>37.23272454776501</v>
          </cell>
        </row>
        <row r="16">
          <cell r="X16">
            <v>14.779765607425636</v>
          </cell>
        </row>
        <row r="17">
          <cell r="X17">
            <v>16.01721813580496</v>
          </cell>
        </row>
        <row r="18">
          <cell r="X18">
            <v>14.745545209199177</v>
          </cell>
        </row>
        <row r="19">
          <cell r="X19">
            <v>15.193466706872766</v>
          </cell>
        </row>
        <row r="20">
          <cell r="X20">
            <v>14.994152594209018</v>
          </cell>
        </row>
        <row r="21">
          <cell r="X21">
            <v>13.538664838323704</v>
          </cell>
        </row>
        <row r="22">
          <cell r="X22">
            <v>13.746895995386524</v>
          </cell>
        </row>
        <row r="23">
          <cell r="X23">
            <v>16.433592607806741</v>
          </cell>
        </row>
        <row r="24">
          <cell r="X24">
            <v>17.744859963512805</v>
          </cell>
        </row>
      </sheetData>
      <sheetData sheetId="41"/>
      <sheetData sheetId="42">
        <row r="10">
          <cell r="X10">
            <v>36.735546950155936</v>
          </cell>
        </row>
        <row r="16">
          <cell r="X16">
            <v>15.864175796133798</v>
          </cell>
        </row>
        <row r="17">
          <cell r="X17">
            <v>17.409616113553838</v>
          </cell>
        </row>
        <row r="18">
          <cell r="X18">
            <v>17.028033949440701</v>
          </cell>
        </row>
        <row r="19">
          <cell r="X19">
            <v>15.92080478805512</v>
          </cell>
        </row>
        <row r="20">
          <cell r="X20">
            <v>17.315317597418776</v>
          </cell>
        </row>
        <row r="21">
          <cell r="X21">
            <v>18.264631106058452</v>
          </cell>
        </row>
        <row r="22">
          <cell r="X22">
            <v>17.483145732932776</v>
          </cell>
        </row>
        <row r="23">
          <cell r="X23">
            <v>15.768568256242542</v>
          </cell>
        </row>
        <row r="24">
          <cell r="X24">
            <v>16.378616067423586</v>
          </cell>
        </row>
      </sheetData>
      <sheetData sheetId="43"/>
      <sheetData sheetId="44">
        <row r="10">
          <cell r="X10">
            <v>35.967166849408535</v>
          </cell>
        </row>
        <row r="16">
          <cell r="X16">
            <v>15.03690147705035</v>
          </cell>
        </row>
        <row r="17">
          <cell r="X17">
            <v>14.801933668851863</v>
          </cell>
        </row>
        <row r="18">
          <cell r="X18">
            <v>14.635848839254894</v>
          </cell>
        </row>
        <row r="19">
          <cell r="X19">
            <v>14.538027227760093</v>
          </cell>
        </row>
        <row r="20">
          <cell r="X20">
            <v>14.288514067154283</v>
          </cell>
        </row>
        <row r="21">
          <cell r="X21">
            <v>14.946474058682416</v>
          </cell>
        </row>
        <row r="22">
          <cell r="X22">
            <v>16.45726073931754</v>
          </cell>
        </row>
        <row r="23">
          <cell r="X23">
            <v>16.212138401687376</v>
          </cell>
        </row>
        <row r="24">
          <cell r="X24">
            <v>17.301844209940022</v>
          </cell>
        </row>
      </sheetData>
      <sheetData sheetId="45"/>
      <sheetData sheetId="46">
        <row r="10">
          <cell r="X10">
            <v>36.033988196869998</v>
          </cell>
        </row>
        <row r="16">
          <cell r="X16">
            <v>15.463283991339889</v>
          </cell>
        </row>
        <row r="17">
          <cell r="X17">
            <v>15.618464381500948</v>
          </cell>
        </row>
        <row r="18">
          <cell r="X18">
            <v>15.427830305552725</v>
          </cell>
        </row>
        <row r="19">
          <cell r="X19">
            <v>16.101103728481231</v>
          </cell>
        </row>
        <row r="20">
          <cell r="X20">
            <v>15.408242195634722</v>
          </cell>
        </row>
        <row r="21">
          <cell r="X21">
            <v>15.741954366950944</v>
          </cell>
        </row>
        <row r="22">
          <cell r="X22">
            <v>15.081742579272165</v>
          </cell>
        </row>
        <row r="23">
          <cell r="X23">
            <v>14.476887046064705</v>
          </cell>
        </row>
        <row r="24">
          <cell r="X24">
            <v>16.98590398901873</v>
          </cell>
        </row>
      </sheetData>
      <sheetData sheetId="47"/>
      <sheetData sheetId="48">
        <row r="10">
          <cell r="X10">
            <v>35.458308311019884</v>
          </cell>
        </row>
        <row r="16">
          <cell r="X16">
            <v>16.649377208538883</v>
          </cell>
        </row>
        <row r="17">
          <cell r="X17">
            <v>16.176648520149072</v>
          </cell>
        </row>
        <row r="18">
          <cell r="X18">
            <v>15.94047130982729</v>
          </cell>
        </row>
        <row r="19">
          <cell r="X19">
            <v>15.605420304657663</v>
          </cell>
        </row>
        <row r="20">
          <cell r="X20">
            <v>16.758343214991704</v>
          </cell>
        </row>
        <row r="21">
          <cell r="X21">
            <v>16.10816376360885</v>
          </cell>
        </row>
        <row r="22">
          <cell r="X22">
            <v>15.956406875729444</v>
          </cell>
        </row>
        <row r="23">
          <cell r="X23">
            <v>15.541274640268323</v>
          </cell>
        </row>
        <row r="24">
          <cell r="X24">
            <v>15.771124832461084</v>
          </cell>
        </row>
      </sheetData>
      <sheetData sheetId="49"/>
      <sheetData sheetId="50">
        <row r="10">
          <cell r="X10">
            <v>36.162217160231464</v>
          </cell>
        </row>
        <row r="16">
          <cell r="X16">
            <v>17.277676488077585</v>
          </cell>
        </row>
        <row r="17">
          <cell r="X17">
            <v>18.187729993681071</v>
          </cell>
        </row>
        <row r="18">
          <cell r="X18">
            <v>16.97966443235801</v>
          </cell>
        </row>
        <row r="19">
          <cell r="X19">
            <v>16.27554244493545</v>
          </cell>
        </row>
        <row r="20">
          <cell r="X20">
            <v>16.451652427663195</v>
          </cell>
        </row>
        <row r="21">
          <cell r="X21">
            <v>16.618935525270349</v>
          </cell>
        </row>
        <row r="22">
          <cell r="X22">
            <v>16.945357322091724</v>
          </cell>
        </row>
        <row r="23">
          <cell r="X23">
            <v>16.543521558770948</v>
          </cell>
        </row>
        <row r="24">
          <cell r="X24">
            <v>16.814121830479639</v>
          </cell>
        </row>
      </sheetData>
      <sheetData sheetId="51"/>
      <sheetData sheetId="52">
        <row r="10">
          <cell r="X10">
            <v>36.544722607739878</v>
          </cell>
        </row>
        <row r="16">
          <cell r="X16">
            <v>17.515622606902081</v>
          </cell>
        </row>
        <row r="17">
          <cell r="X17">
            <v>17.417965551074335</v>
          </cell>
        </row>
        <row r="18">
          <cell r="X18">
            <v>17.187707140213874</v>
          </cell>
        </row>
        <row r="19">
          <cell r="X19">
            <v>16.930710220179687</v>
          </cell>
        </row>
        <row r="20">
          <cell r="X20">
            <v>16.831737861136894</v>
          </cell>
        </row>
        <row r="21">
          <cell r="X21">
            <v>16.885483587493237</v>
          </cell>
        </row>
        <row r="22">
          <cell r="X22">
            <v>16.651319494542467</v>
          </cell>
        </row>
        <row r="23">
          <cell r="X23">
            <v>16.810263428946485</v>
          </cell>
        </row>
        <row r="24">
          <cell r="X24">
            <v>17.738845998364408</v>
          </cell>
        </row>
      </sheetData>
      <sheetData sheetId="53"/>
      <sheetData sheetId="54">
        <row r="10">
          <cell r="X10">
            <v>36.345218862083691</v>
          </cell>
        </row>
        <row r="16">
          <cell r="X16">
            <v>16.29090489889132</v>
          </cell>
        </row>
        <row r="17">
          <cell r="X17">
            <v>15.812303174729163</v>
          </cell>
        </row>
        <row r="18">
          <cell r="X18">
            <v>15.723504076796408</v>
          </cell>
        </row>
        <row r="19">
          <cell r="X19">
            <v>16.628059693621967</v>
          </cell>
        </row>
        <row r="20">
          <cell r="X20">
            <v>16.838449645637628</v>
          </cell>
        </row>
        <row r="21">
          <cell r="X21">
            <v>17.188276186187942</v>
          </cell>
        </row>
        <row r="22">
          <cell r="X22">
            <v>17.195874090585725</v>
          </cell>
        </row>
        <row r="23">
          <cell r="X23">
            <v>17.383406856232153</v>
          </cell>
        </row>
        <row r="24">
          <cell r="X24">
            <v>17.225720539185829</v>
          </cell>
        </row>
      </sheetData>
      <sheetData sheetId="55"/>
      <sheetData sheetId="56">
        <row r="10">
          <cell r="X10">
            <v>36.55569192179972</v>
          </cell>
        </row>
        <row r="16">
          <cell r="X16">
            <v>16.660607580831631</v>
          </cell>
        </row>
        <row r="17">
          <cell r="X17">
            <v>16.320065347763517</v>
          </cell>
        </row>
        <row r="18">
          <cell r="X18">
            <v>16.463084779168657</v>
          </cell>
        </row>
        <row r="19">
          <cell r="X19">
            <v>16.067726194296952</v>
          </cell>
        </row>
        <row r="20">
          <cell r="X20">
            <v>16.56574969162093</v>
          </cell>
        </row>
        <row r="21">
          <cell r="X21">
            <v>16.23256639273604</v>
          </cell>
        </row>
        <row r="22">
          <cell r="X22">
            <v>17.454525857817607</v>
          </cell>
        </row>
        <row r="23">
          <cell r="X23">
            <v>16.163287231970699</v>
          </cell>
        </row>
        <row r="24">
          <cell r="X24">
            <v>16.522382231605487</v>
          </cell>
        </row>
      </sheetData>
      <sheetData sheetId="57"/>
      <sheetData sheetId="58">
        <row r="10">
          <cell r="X10">
            <v>36.160053079727248</v>
          </cell>
        </row>
        <row r="16">
          <cell r="X16">
            <v>17.196573353841433</v>
          </cell>
        </row>
        <row r="17">
          <cell r="X17">
            <v>17.180778382915765</v>
          </cell>
        </row>
        <row r="18">
          <cell r="X18">
            <v>17.557129221394273</v>
          </cell>
        </row>
        <row r="19">
          <cell r="X19">
            <v>17.879921288809864</v>
          </cell>
        </row>
        <row r="20">
          <cell r="X20">
            <v>17.677964699952945</v>
          </cell>
        </row>
        <row r="21">
          <cell r="X21">
            <v>18.128251276292563</v>
          </cell>
        </row>
        <row r="22">
          <cell r="X22">
            <v>17.755614171643561</v>
          </cell>
        </row>
        <row r="23">
          <cell r="X23">
            <v>20.926176548475805</v>
          </cell>
        </row>
        <row r="24">
          <cell r="X24">
            <v>19.009952722551759</v>
          </cell>
        </row>
      </sheetData>
      <sheetData sheetId="59"/>
      <sheetData sheetId="60">
        <row r="10">
          <cell r="X10">
            <v>36.791563762840198</v>
          </cell>
        </row>
        <row r="16">
          <cell r="X16">
            <v>17.763297348885246</v>
          </cell>
        </row>
        <row r="17">
          <cell r="X17">
            <v>16.687860744703816</v>
          </cell>
        </row>
        <row r="18">
          <cell r="X18">
            <v>15.98063400750303</v>
          </cell>
        </row>
        <row r="19">
          <cell r="X19">
            <v>16.905764647390978</v>
          </cell>
        </row>
        <row r="20">
          <cell r="X20">
            <v>17.471101518768432</v>
          </cell>
        </row>
        <row r="21">
          <cell r="X21">
            <v>16.841451455027606</v>
          </cell>
        </row>
        <row r="22">
          <cell r="X22">
            <v>15.086289523063966</v>
          </cell>
        </row>
        <row r="23">
          <cell r="X23">
            <v>14.743466130979078</v>
          </cell>
        </row>
        <row r="24">
          <cell r="X24">
            <v>15.021532843534384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MARÇO DE 2024</v>
          </cell>
        </row>
        <row r="16">
          <cell r="X16">
            <v>17.195195774223556</v>
          </cell>
        </row>
        <row r="17">
          <cell r="X17">
            <v>17.391254482538184</v>
          </cell>
        </row>
        <row r="18">
          <cell r="X18">
            <v>16.428958930841766</v>
          </cell>
        </row>
        <row r="19">
          <cell r="X19">
            <v>16.280458517954749</v>
          </cell>
        </row>
        <row r="20">
          <cell r="X20">
            <v>17.02467485645364</v>
          </cell>
        </row>
        <row r="21">
          <cell r="X21">
            <v>16.520703848148109</v>
          </cell>
        </row>
        <row r="22">
          <cell r="X22">
            <v>16.116454216012791</v>
          </cell>
        </row>
        <row r="23">
          <cell r="X23">
            <v>14.45352064196342</v>
          </cell>
        </row>
        <row r="24">
          <cell r="X24">
            <v>16.990873710164376</v>
          </cell>
        </row>
      </sheetData>
      <sheetData sheetId="5"/>
      <sheetData sheetId="6">
        <row r="10">
          <cell r="X10">
            <v>36.058395147124493</v>
          </cell>
        </row>
        <row r="16">
          <cell r="X16">
            <v>14.200017100611493</v>
          </cell>
        </row>
        <row r="17">
          <cell r="X17">
            <v>14.485960780382074</v>
          </cell>
        </row>
        <row r="18">
          <cell r="X18">
            <v>13.194780917658179</v>
          </cell>
        </row>
        <row r="19">
          <cell r="X19">
            <v>12.612600370314651</v>
          </cell>
        </row>
        <row r="20">
          <cell r="X20">
            <v>12.136278010217234</v>
          </cell>
        </row>
        <row r="21">
          <cell r="X21">
            <v>13.496984429718665</v>
          </cell>
        </row>
        <row r="22">
          <cell r="X22">
            <v>14.102160012376302</v>
          </cell>
        </row>
        <row r="23">
          <cell r="X23">
            <v>14.028598547320476</v>
          </cell>
        </row>
        <row r="24">
          <cell r="X24">
            <v>14.413433720692986</v>
          </cell>
        </row>
      </sheetData>
      <sheetData sheetId="7"/>
      <sheetData sheetId="8">
        <row r="10">
          <cell r="X10">
            <v>35.984474077121</v>
          </cell>
        </row>
        <row r="16">
          <cell r="X16">
            <v>13.642522217042552</v>
          </cell>
        </row>
        <row r="17">
          <cell r="X17">
            <v>13.516495470115844</v>
          </cell>
        </row>
        <row r="18">
          <cell r="X18">
            <v>13.714141981749584</v>
          </cell>
        </row>
        <row r="19">
          <cell r="X19">
            <v>14.09709787223302</v>
          </cell>
        </row>
        <row r="20">
          <cell r="X20">
            <v>14.709387692194511</v>
          </cell>
        </row>
        <row r="21">
          <cell r="X21">
            <v>15.073296312796453</v>
          </cell>
        </row>
        <row r="22">
          <cell r="X22">
            <v>13.294409333815178</v>
          </cell>
        </row>
        <row r="23">
          <cell r="X23">
            <v>15.96447938971348</v>
          </cell>
        </row>
        <row r="24">
          <cell r="X24">
            <v>17.371667466891768</v>
          </cell>
        </row>
      </sheetData>
      <sheetData sheetId="9"/>
      <sheetData sheetId="10">
        <row r="10">
          <cell r="X10">
            <v>35.998311612639455</v>
          </cell>
        </row>
        <row r="16">
          <cell r="X16">
            <v>15.18795988397182</v>
          </cell>
        </row>
        <row r="17">
          <cell r="X17">
            <v>14.854463400849196</v>
          </cell>
        </row>
        <row r="18">
          <cell r="X18">
            <v>14.696215467709008</v>
          </cell>
        </row>
        <row r="19">
          <cell r="X19">
            <v>14.654023163964046</v>
          </cell>
        </row>
        <row r="20">
          <cell r="X20">
            <v>14.321530597963744</v>
          </cell>
        </row>
        <row r="21">
          <cell r="X21">
            <v>15.330543247630672</v>
          </cell>
        </row>
        <row r="22">
          <cell r="X22">
            <v>13.328086522738991</v>
          </cell>
        </row>
        <row r="23">
          <cell r="X23">
            <v>12.645956438616325</v>
          </cell>
        </row>
        <row r="24">
          <cell r="X24">
            <v>17.301618479575183</v>
          </cell>
        </row>
      </sheetData>
      <sheetData sheetId="11"/>
      <sheetData sheetId="12">
        <row r="10">
          <cell r="X10">
            <v>35.679775735138158</v>
          </cell>
        </row>
        <row r="16">
          <cell r="X16">
            <v>16.976901828544563</v>
          </cell>
        </row>
        <row r="17">
          <cell r="X17">
            <v>16.943893429135489</v>
          </cell>
        </row>
        <row r="18">
          <cell r="X18">
            <v>16.846948950560062</v>
          </cell>
        </row>
        <row r="19">
          <cell r="X19">
            <v>15.903616226947973</v>
          </cell>
        </row>
        <row r="20">
          <cell r="X20">
            <v>16.535686042029894</v>
          </cell>
        </row>
        <row r="21">
          <cell r="X21">
            <v>16.425788334351015</v>
          </cell>
        </row>
        <row r="22">
          <cell r="X22">
            <v>16.539414069593775</v>
          </cell>
        </row>
        <row r="23">
          <cell r="X23">
            <v>15.657716148166934</v>
          </cell>
        </row>
        <row r="24">
          <cell r="X24">
            <v>18.588493917612311</v>
          </cell>
        </row>
      </sheetData>
      <sheetData sheetId="13"/>
      <sheetData sheetId="14">
        <row r="10">
          <cell r="X10">
            <v>35.470603444652042</v>
          </cell>
        </row>
        <row r="16">
          <cell r="X16">
            <v>17.176831013967838</v>
          </cell>
        </row>
        <row r="17">
          <cell r="X17">
            <v>16.593662377061019</v>
          </cell>
        </row>
        <row r="18">
          <cell r="X18">
            <v>16.400528965095155</v>
          </cell>
        </row>
        <row r="19">
          <cell r="X19">
            <v>15.418121156775548</v>
          </cell>
        </row>
        <row r="20">
          <cell r="X20">
            <v>15.386962388207648</v>
          </cell>
        </row>
        <row r="21">
          <cell r="X21">
            <v>16.13845761295509</v>
          </cell>
        </row>
        <row r="22">
          <cell r="X22">
            <v>16.724447614349831</v>
          </cell>
        </row>
        <row r="23">
          <cell r="X23">
            <v>15.350235011370577</v>
          </cell>
        </row>
        <row r="24">
          <cell r="X24">
            <v>15.978798736855513</v>
          </cell>
        </row>
      </sheetData>
      <sheetData sheetId="15"/>
      <sheetData sheetId="16">
        <row r="10">
          <cell r="X10">
            <v>37.07616833130146</v>
          </cell>
        </row>
        <row r="16">
          <cell r="X16">
            <v>15.475464968818557</v>
          </cell>
        </row>
        <row r="17">
          <cell r="X17">
            <v>15.844836553972277</v>
          </cell>
        </row>
        <row r="18">
          <cell r="X18">
            <v>15.960402786542376</v>
          </cell>
        </row>
        <row r="19">
          <cell r="X19">
            <v>16.018726336814872</v>
          </cell>
        </row>
        <row r="20">
          <cell r="X20">
            <v>16.448955479359753</v>
          </cell>
        </row>
        <row r="21">
          <cell r="X21">
            <v>16.683303044941056</v>
          </cell>
        </row>
        <row r="22">
          <cell r="X22">
            <v>16.787269687228701</v>
          </cell>
        </row>
        <row r="23">
          <cell r="X23">
            <v>16.64785155054663</v>
          </cell>
        </row>
        <row r="24">
          <cell r="X24">
            <v>16.824326889971772</v>
          </cell>
        </row>
      </sheetData>
      <sheetData sheetId="17"/>
      <sheetData sheetId="18">
        <row r="10">
          <cell r="X10">
            <v>36.805307680354829</v>
          </cell>
        </row>
        <row r="16">
          <cell r="X16">
            <v>16.042394510338212</v>
          </cell>
        </row>
        <row r="17">
          <cell r="X17">
            <v>16.026390270338965</v>
          </cell>
        </row>
        <row r="18">
          <cell r="X18">
            <v>15.894790030748787</v>
          </cell>
        </row>
        <row r="19">
          <cell r="X19">
            <v>16.163480404017459</v>
          </cell>
        </row>
        <row r="20">
          <cell r="X20">
            <v>16.033573686393446</v>
          </cell>
        </row>
        <row r="21">
          <cell r="X21">
            <v>15.744826742155603</v>
          </cell>
        </row>
        <row r="22">
          <cell r="X22">
            <v>16.451374414305651</v>
          </cell>
        </row>
        <row r="23">
          <cell r="X23">
            <v>15.575219636285121</v>
          </cell>
        </row>
        <row r="24">
          <cell r="X24">
            <v>18.491490197134883</v>
          </cell>
        </row>
      </sheetData>
      <sheetData sheetId="19"/>
      <sheetData sheetId="20">
        <row r="10">
          <cell r="X10">
            <v>37.889584727304175</v>
          </cell>
        </row>
        <row r="16">
          <cell r="X16">
            <v>17.782832998647912</v>
          </cell>
        </row>
        <row r="17">
          <cell r="X17">
            <v>18.261152660606029</v>
          </cell>
        </row>
        <row r="18">
          <cell r="X18">
            <v>18.376835947009464</v>
          </cell>
        </row>
        <row r="19">
          <cell r="X19">
            <v>18.266139114682769</v>
          </cell>
        </row>
        <row r="20">
          <cell r="X20">
            <v>17.976996178753385</v>
          </cell>
        </row>
        <row r="21">
          <cell r="X21">
            <v>16.907890557546512</v>
          </cell>
        </row>
        <row r="22">
          <cell r="X22">
            <v>17.468176724296853</v>
          </cell>
        </row>
        <row r="23">
          <cell r="X23">
            <v>17.286345190439143</v>
          </cell>
        </row>
        <row r="24">
          <cell r="X24">
            <v>18.124676448869739</v>
          </cell>
        </row>
      </sheetData>
      <sheetData sheetId="21"/>
      <sheetData sheetId="22">
        <row r="10">
          <cell r="X10">
            <v>38.12012174155069</v>
          </cell>
        </row>
        <row r="16">
          <cell r="X16">
            <v>17.230684737306298</v>
          </cell>
        </row>
        <row r="17">
          <cell r="X17">
            <v>17.333243988304751</v>
          </cell>
        </row>
        <row r="18">
          <cell r="X18">
            <v>17.593327695877896</v>
          </cell>
        </row>
        <row r="19">
          <cell r="X19">
            <v>17.486041920730571</v>
          </cell>
        </row>
        <row r="20">
          <cell r="X20">
            <v>17.158447345222754</v>
          </cell>
        </row>
        <row r="21">
          <cell r="X21">
            <v>19.573887921564413</v>
          </cell>
        </row>
        <row r="22">
          <cell r="X22">
            <v>16.605260643576607</v>
          </cell>
        </row>
        <row r="23">
          <cell r="X23">
            <v>17.53878807480076</v>
          </cell>
        </row>
        <row r="24">
          <cell r="X24">
            <v>16.933492831694824</v>
          </cell>
        </row>
      </sheetData>
      <sheetData sheetId="23"/>
      <sheetData sheetId="24">
        <row r="10">
          <cell r="X10">
            <v>36.555272880735565</v>
          </cell>
        </row>
        <row r="16">
          <cell r="X16">
            <v>14.841700068866835</v>
          </cell>
        </row>
        <row r="17">
          <cell r="X17">
            <v>14.201264341292546</v>
          </cell>
        </row>
        <row r="18">
          <cell r="X18">
            <v>13.065894727329253</v>
          </cell>
        </row>
        <row r="19">
          <cell r="X19">
            <v>12.587720447716212</v>
          </cell>
        </row>
        <row r="20">
          <cell r="X20">
            <v>12.869404515237136</v>
          </cell>
        </row>
        <row r="21">
          <cell r="X21">
            <v>11.797719435644062</v>
          </cell>
        </row>
        <row r="22">
          <cell r="X22">
            <v>13.147696378726343</v>
          </cell>
        </row>
        <row r="23">
          <cell r="X23">
            <v>14.576172689183331</v>
          </cell>
        </row>
        <row r="24">
          <cell r="X24">
            <v>15.273985668610575</v>
          </cell>
        </row>
      </sheetData>
      <sheetData sheetId="25"/>
      <sheetData sheetId="26">
        <row r="10">
          <cell r="X10">
            <v>34.972216036233284</v>
          </cell>
        </row>
        <row r="16">
          <cell r="X16">
            <v>12.367715438546176</v>
          </cell>
        </row>
        <row r="17">
          <cell r="X17">
            <v>12.324210556353142</v>
          </cell>
        </row>
        <row r="18">
          <cell r="X18">
            <v>11.893749766311872</v>
          </cell>
        </row>
        <row r="19">
          <cell r="X19">
            <v>11.076472259685628</v>
          </cell>
        </row>
        <row r="20">
          <cell r="X20">
            <v>12.237466968160371</v>
          </cell>
        </row>
        <row r="21">
          <cell r="X21">
            <v>13.76245485860818</v>
          </cell>
        </row>
        <row r="22">
          <cell r="X22">
            <v>15.325192604477929</v>
          </cell>
        </row>
        <row r="23">
          <cell r="X23">
            <v>15.680506657394327</v>
          </cell>
        </row>
        <row r="24">
          <cell r="X24">
            <v>15.379758127713977</v>
          </cell>
        </row>
      </sheetData>
      <sheetData sheetId="27"/>
      <sheetData sheetId="28">
        <row r="10">
          <cell r="X10">
            <v>35.770271036108859</v>
          </cell>
        </row>
        <row r="16">
          <cell r="X16">
            <v>14.774628321581556</v>
          </cell>
        </row>
        <row r="17">
          <cell r="X17">
            <v>15.119728311377221</v>
          </cell>
        </row>
        <row r="18">
          <cell r="X18">
            <v>15.25174264991608</v>
          </cell>
        </row>
        <row r="19">
          <cell r="X19">
            <v>15.911901065266832</v>
          </cell>
        </row>
        <row r="20">
          <cell r="X20">
            <v>15.640705580051373</v>
          </cell>
        </row>
        <row r="21">
          <cell r="X21">
            <v>14.36136535059312</v>
          </cell>
        </row>
        <row r="22">
          <cell r="X22">
            <v>17.218821910245488</v>
          </cell>
        </row>
        <row r="23">
          <cell r="X23">
            <v>17.222516801986362</v>
          </cell>
        </row>
        <row r="24">
          <cell r="X24">
            <v>16.911925941380783</v>
          </cell>
        </row>
      </sheetData>
      <sheetData sheetId="29"/>
      <sheetData sheetId="30">
        <row r="10">
          <cell r="X10">
            <v>39.384726852559346</v>
          </cell>
        </row>
        <row r="16">
          <cell r="X16">
            <v>16.850957122506244</v>
          </cell>
        </row>
        <row r="17">
          <cell r="X17">
            <v>16.810118664369227</v>
          </cell>
        </row>
        <row r="18">
          <cell r="X18">
            <v>16.553441096464717</v>
          </cell>
        </row>
        <row r="19">
          <cell r="X19">
            <v>16.646171211091282</v>
          </cell>
        </row>
        <row r="20">
          <cell r="X20">
            <v>16.290925587072788</v>
          </cell>
        </row>
        <row r="21">
          <cell r="X21">
            <v>15.720799132303888</v>
          </cell>
        </row>
        <row r="22">
          <cell r="X22">
            <v>15.638989111478732</v>
          </cell>
        </row>
        <row r="23">
          <cell r="X23">
            <v>14.212656640543685</v>
          </cell>
        </row>
        <row r="24">
          <cell r="X24">
            <v>18.918290608389462</v>
          </cell>
        </row>
      </sheetData>
      <sheetData sheetId="31"/>
      <sheetData sheetId="32">
        <row r="10">
          <cell r="X10">
            <v>38.087411397140052</v>
          </cell>
        </row>
        <row r="16">
          <cell r="X16">
            <v>16.988317693175762</v>
          </cell>
        </row>
        <row r="17">
          <cell r="X17">
            <v>17.0082986100619</v>
          </cell>
        </row>
        <row r="18">
          <cell r="X18">
            <v>16.623006702403039</v>
          </cell>
        </row>
        <row r="19">
          <cell r="X19">
            <v>15.61551395492949</v>
          </cell>
        </row>
        <row r="20">
          <cell r="X20">
            <v>14.665972723804574</v>
          </cell>
        </row>
        <row r="21">
          <cell r="X21">
            <v>13.781521478635163</v>
          </cell>
        </row>
        <row r="22">
          <cell r="X22">
            <v>14.017020086336512</v>
          </cell>
        </row>
        <row r="23">
          <cell r="X23">
            <v>13.327548662332608</v>
          </cell>
        </row>
        <row r="24">
          <cell r="X24">
            <v>13.292119649076994</v>
          </cell>
        </row>
      </sheetData>
      <sheetData sheetId="33"/>
      <sheetData sheetId="34">
        <row r="10">
          <cell r="X10">
            <v>40.266227259087586</v>
          </cell>
        </row>
        <row r="16">
          <cell r="X16">
            <v>17.053221187986246</v>
          </cell>
        </row>
        <row r="17">
          <cell r="X17">
            <v>16.946416100209397</v>
          </cell>
        </row>
        <row r="18">
          <cell r="X18">
            <v>16.766882394694708</v>
          </cell>
        </row>
        <row r="19">
          <cell r="X19">
            <v>15.817566511970869</v>
          </cell>
        </row>
        <row r="20">
          <cell r="X20">
            <v>15.303156278699905</v>
          </cell>
        </row>
        <row r="21">
          <cell r="X21">
            <v>15.769670439408932</v>
          </cell>
        </row>
        <row r="22">
          <cell r="X22">
            <v>13.796302090201809</v>
          </cell>
        </row>
        <row r="23">
          <cell r="X23">
            <v>15.22593374819188</v>
          </cell>
        </row>
        <row r="24">
          <cell r="X24">
            <v>15.080992838848374</v>
          </cell>
        </row>
      </sheetData>
      <sheetData sheetId="35"/>
      <sheetData sheetId="36">
        <row r="10">
          <cell r="X10">
            <v>37.089014811346864</v>
          </cell>
        </row>
        <row r="16">
          <cell r="X16">
            <v>17.502157002994689</v>
          </cell>
        </row>
        <row r="17">
          <cell r="X17">
            <v>17.561801821366082</v>
          </cell>
        </row>
        <row r="18">
          <cell r="X18">
            <v>16.85760513622548</v>
          </cell>
        </row>
        <row r="19">
          <cell r="X19">
            <v>16.795980174217405</v>
          </cell>
        </row>
        <row r="20">
          <cell r="X20">
            <v>16.582767291797879</v>
          </cell>
        </row>
        <row r="21">
          <cell r="X21">
            <v>16.172666410520907</v>
          </cell>
        </row>
        <row r="22">
          <cell r="X22">
            <v>17.006224040084764</v>
          </cell>
        </row>
        <row r="23">
          <cell r="X23">
            <v>14.508276588206863</v>
          </cell>
        </row>
        <row r="24">
          <cell r="X24">
            <v>14.760299852023859</v>
          </cell>
        </row>
      </sheetData>
      <sheetData sheetId="37"/>
      <sheetData sheetId="38">
        <row r="10">
          <cell r="X10">
            <v>36.701956685887993</v>
          </cell>
        </row>
        <row r="16">
          <cell r="X16">
            <v>16.757333047292001</v>
          </cell>
        </row>
        <row r="17">
          <cell r="X17">
            <v>16.514924898896719</v>
          </cell>
        </row>
        <row r="18">
          <cell r="X18">
            <v>17.006835629830299</v>
          </cell>
        </row>
        <row r="19">
          <cell r="X19">
            <v>16.571968560504697</v>
          </cell>
        </row>
        <row r="20">
          <cell r="X20">
            <v>15.29286258384472</v>
          </cell>
        </row>
        <row r="21">
          <cell r="X21">
            <v>15.994065302689071</v>
          </cell>
        </row>
        <row r="22">
          <cell r="X22">
            <v>19.396703528301007</v>
          </cell>
        </row>
        <row r="23">
          <cell r="X23">
            <v>18.877332910585025</v>
          </cell>
        </row>
        <row r="24">
          <cell r="X24">
            <v>19.234600589034066</v>
          </cell>
        </row>
      </sheetData>
      <sheetData sheetId="39"/>
      <sheetData sheetId="40">
        <row r="10">
          <cell r="X10">
            <v>36.321670369346542</v>
          </cell>
        </row>
        <row r="16">
          <cell r="X16">
            <v>17.532336883471849</v>
          </cell>
        </row>
        <row r="17">
          <cell r="X17">
            <v>18.06067025553174</v>
          </cell>
        </row>
        <row r="18">
          <cell r="X18">
            <v>17.57013861957325</v>
          </cell>
        </row>
        <row r="19">
          <cell r="X19">
            <v>17.433135955198598</v>
          </cell>
        </row>
        <row r="20">
          <cell r="X20">
            <v>17.503584173912781</v>
          </cell>
        </row>
        <row r="21">
          <cell r="X21">
            <v>16.623804448509155</v>
          </cell>
        </row>
        <row r="22">
          <cell r="X22">
            <v>16.496834901438071</v>
          </cell>
        </row>
        <row r="23">
          <cell r="X23">
            <v>16.34839878761434</v>
          </cell>
        </row>
        <row r="24">
          <cell r="X24">
            <v>19.544906403962298</v>
          </cell>
        </row>
      </sheetData>
      <sheetData sheetId="41"/>
      <sheetData sheetId="42">
        <row r="10">
          <cell r="X10">
            <v>37.436466165295265</v>
          </cell>
        </row>
        <row r="16">
          <cell r="X16">
            <v>17.598590064521087</v>
          </cell>
        </row>
        <row r="17">
          <cell r="X17">
            <v>17.63846483775367</v>
          </cell>
        </row>
        <row r="18">
          <cell r="X18">
            <v>17.725067414192296</v>
          </cell>
        </row>
        <row r="19">
          <cell r="X19">
            <v>17.241101156783156</v>
          </cell>
        </row>
        <row r="20">
          <cell r="X20">
            <v>16.782702520860369</v>
          </cell>
        </row>
        <row r="21">
          <cell r="X21">
            <v>16.409206110145487</v>
          </cell>
        </row>
        <row r="22">
          <cell r="X22">
            <v>15.491551022751693</v>
          </cell>
        </row>
        <row r="23">
          <cell r="X23">
            <v>16.118496571295989</v>
          </cell>
        </row>
        <row r="24">
          <cell r="X24">
            <v>16.538572219540601</v>
          </cell>
        </row>
      </sheetData>
      <sheetData sheetId="43"/>
      <sheetData sheetId="44">
        <row r="10">
          <cell r="X10">
            <v>37.767167686690001</v>
          </cell>
        </row>
        <row r="16">
          <cell r="X16">
            <v>17.045158513647426</v>
          </cell>
        </row>
        <row r="17">
          <cell r="X17">
            <v>16.608028633829317</v>
          </cell>
        </row>
        <row r="18">
          <cell r="X18">
            <v>17.040638976794337</v>
          </cell>
        </row>
        <row r="19">
          <cell r="X19">
            <v>16.997883765851522</v>
          </cell>
        </row>
        <row r="20">
          <cell r="X20">
            <v>16.980062741074693</v>
          </cell>
        </row>
        <row r="21">
          <cell r="X21">
            <v>16.817299427316673</v>
          </cell>
        </row>
        <row r="22">
          <cell r="X22">
            <v>15.664893257961337</v>
          </cell>
        </row>
        <row r="23">
          <cell r="X23">
            <v>16.647835316434527</v>
          </cell>
        </row>
        <row r="24">
          <cell r="X24">
            <v>16.171342303697401</v>
          </cell>
        </row>
      </sheetData>
      <sheetData sheetId="45"/>
      <sheetData sheetId="46">
        <row r="10">
          <cell r="X10">
            <v>37.052179006646099</v>
          </cell>
        </row>
        <row r="16">
          <cell r="X16">
            <v>15.680074934095671</v>
          </cell>
        </row>
        <row r="17">
          <cell r="X17">
            <v>16.004505676831037</v>
          </cell>
        </row>
        <row r="18">
          <cell r="X18">
            <v>15.948792020979333</v>
          </cell>
        </row>
        <row r="19">
          <cell r="X19">
            <v>15.999469036807714</v>
          </cell>
        </row>
        <row r="20">
          <cell r="X20">
            <v>15.017222604459967</v>
          </cell>
        </row>
        <row r="21">
          <cell r="X21">
            <v>14.878696400967049</v>
          </cell>
        </row>
        <row r="22">
          <cell r="X22">
            <v>14.4173960761125</v>
          </cell>
        </row>
        <row r="23">
          <cell r="X23">
            <v>14.687610031508644</v>
          </cell>
        </row>
        <row r="24">
          <cell r="X24">
            <v>14.007954441754288</v>
          </cell>
        </row>
      </sheetData>
      <sheetData sheetId="47"/>
      <sheetData sheetId="48">
        <row r="10">
          <cell r="X10">
            <v>34.486459341026546</v>
          </cell>
        </row>
        <row r="16">
          <cell r="X16">
            <v>11.862078200676729</v>
          </cell>
        </row>
        <row r="17">
          <cell r="X17">
            <v>12.095128675075186</v>
          </cell>
        </row>
        <row r="18">
          <cell r="X18">
            <v>11.88149267175991</v>
          </cell>
        </row>
        <row r="19">
          <cell r="X19">
            <v>12.326641331032924</v>
          </cell>
        </row>
        <row r="20">
          <cell r="X20">
            <v>12.789549849499952</v>
          </cell>
        </row>
        <row r="21">
          <cell r="X21">
            <v>12.833540805908781</v>
          </cell>
        </row>
        <row r="22">
          <cell r="X22">
            <v>12.797304060344816</v>
          </cell>
        </row>
        <row r="23">
          <cell r="X23">
            <v>12.844888381978793</v>
          </cell>
        </row>
        <row r="24">
          <cell r="X24">
            <v>12.768453037371014</v>
          </cell>
        </row>
      </sheetData>
      <sheetData sheetId="49"/>
      <sheetData sheetId="50">
        <row r="10">
          <cell r="X10">
            <v>35.925320798215573</v>
          </cell>
        </row>
        <row r="16">
          <cell r="X16">
            <v>13.335322070063118</v>
          </cell>
        </row>
        <row r="17">
          <cell r="X17">
            <v>13.327959816736842</v>
          </cell>
        </row>
        <row r="18">
          <cell r="X18">
            <v>13.813111201557399</v>
          </cell>
        </row>
        <row r="19">
          <cell r="X19">
            <v>13.453177206252075</v>
          </cell>
        </row>
        <row r="20">
          <cell r="X20">
            <v>13.844382854832951</v>
          </cell>
        </row>
        <row r="21">
          <cell r="X21">
            <v>13.884087961302042</v>
          </cell>
        </row>
        <row r="22">
          <cell r="X22">
            <v>13.896088605777827</v>
          </cell>
        </row>
        <row r="23">
          <cell r="X23">
            <v>13.877371275662362</v>
          </cell>
        </row>
        <row r="24">
          <cell r="X24">
            <v>14.598771867602633</v>
          </cell>
        </row>
      </sheetData>
      <sheetData sheetId="51"/>
      <sheetData sheetId="52">
        <row r="10">
          <cell r="X10">
            <v>36.128216718357642</v>
          </cell>
        </row>
        <row r="16">
          <cell r="X16">
            <v>13.462438143191683</v>
          </cell>
        </row>
        <row r="17">
          <cell r="X17">
            <v>13.590140728406837</v>
          </cell>
        </row>
        <row r="18">
          <cell r="X18">
            <v>13.47913870832763</v>
          </cell>
        </row>
        <row r="19">
          <cell r="X19">
            <v>13.70598398792886</v>
          </cell>
        </row>
        <row r="20">
          <cell r="X20">
            <v>14.410144086500623</v>
          </cell>
        </row>
        <row r="21">
          <cell r="X21">
            <v>14.467752165032737</v>
          </cell>
        </row>
        <row r="22">
          <cell r="X22">
            <v>13.982949659261518</v>
          </cell>
        </row>
        <row r="23">
          <cell r="X23">
            <v>14.469259140640062</v>
          </cell>
        </row>
        <row r="24">
          <cell r="X24">
            <v>14.583677574560499</v>
          </cell>
        </row>
      </sheetData>
      <sheetData sheetId="53"/>
      <sheetData sheetId="54">
        <row r="10">
          <cell r="X10">
            <v>35.096322186923672</v>
          </cell>
        </row>
        <row r="16">
          <cell r="X16">
            <v>13.24367791418025</v>
          </cell>
        </row>
        <row r="17">
          <cell r="X17">
            <v>14.050658667973634</v>
          </cell>
        </row>
        <row r="18">
          <cell r="X18">
            <v>13.346396197589211</v>
          </cell>
        </row>
        <row r="19">
          <cell r="X19">
            <v>12.691784689926298</v>
          </cell>
        </row>
        <row r="20">
          <cell r="X20">
            <v>12.686253138493553</v>
          </cell>
        </row>
        <row r="21">
          <cell r="X21">
            <v>13.471629052837963</v>
          </cell>
        </row>
        <row r="22">
          <cell r="X22">
            <v>13.185275134699909</v>
          </cell>
        </row>
        <row r="23">
          <cell r="X23">
            <v>13.887534422197385</v>
          </cell>
        </row>
        <row r="24">
          <cell r="X24">
            <v>14.152308006324834</v>
          </cell>
        </row>
      </sheetData>
      <sheetData sheetId="55"/>
      <sheetData sheetId="56">
        <row r="10">
          <cell r="X10">
            <v>35.763763349127302</v>
          </cell>
        </row>
        <row r="16">
          <cell r="X16">
            <v>13.298750421113198</v>
          </cell>
        </row>
        <row r="17">
          <cell r="X17">
            <v>12.780499802404462</v>
          </cell>
        </row>
        <row r="18">
          <cell r="X18">
            <v>12.94498526936564</v>
          </cell>
        </row>
        <row r="19">
          <cell r="X19">
            <v>12.90637783868786</v>
          </cell>
        </row>
        <row r="20">
          <cell r="X20">
            <v>13.547440991022215</v>
          </cell>
        </row>
        <row r="21">
          <cell r="X21">
            <v>13.779553750297188</v>
          </cell>
        </row>
        <row r="22">
          <cell r="X22">
            <v>13.346118623250424</v>
          </cell>
        </row>
        <row r="23">
          <cell r="X23">
            <v>13.649022966925271</v>
          </cell>
        </row>
        <row r="24">
          <cell r="X24">
            <v>13.84782642791013</v>
          </cell>
        </row>
      </sheetData>
      <sheetData sheetId="57"/>
      <sheetData sheetId="58">
        <row r="10">
          <cell r="X10">
            <v>35.369888578233834</v>
          </cell>
        </row>
        <row r="16">
          <cell r="X16">
            <v>14.160238538414706</v>
          </cell>
        </row>
        <row r="17">
          <cell r="X17">
            <v>14.293940315220125</v>
          </cell>
        </row>
        <row r="18">
          <cell r="X18">
            <v>14.562396072230422</v>
          </cell>
        </row>
        <row r="19">
          <cell r="X19">
            <v>15.087744016102757</v>
          </cell>
        </row>
        <row r="20">
          <cell r="X20">
            <v>15.281821908966558</v>
          </cell>
        </row>
        <row r="21">
          <cell r="X21">
            <v>15.286804492310816</v>
          </cell>
        </row>
        <row r="22">
          <cell r="X22">
            <v>15.793885781627131</v>
          </cell>
        </row>
        <row r="23">
          <cell r="X23">
            <v>15.477801512618516</v>
          </cell>
        </row>
        <row r="24">
          <cell r="X24">
            <v>15.245563455699266</v>
          </cell>
        </row>
      </sheetData>
      <sheetData sheetId="59"/>
      <sheetData sheetId="60">
        <row r="10">
          <cell r="X10">
            <v>36.312079425513311</v>
          </cell>
        </row>
        <row r="16">
          <cell r="X16">
            <v>15.333008592100676</v>
          </cell>
        </row>
        <row r="17">
          <cell r="X17">
            <v>15.635738324801963</v>
          </cell>
        </row>
        <row r="18">
          <cell r="X18">
            <v>15.405117693509744</v>
          </cell>
        </row>
        <row r="19">
          <cell r="X19">
            <v>15.306215801070095</v>
          </cell>
        </row>
        <row r="20">
          <cell r="X20">
            <v>14.996542976482182</v>
          </cell>
        </row>
        <row r="21">
          <cell r="X21">
            <v>15.147339551418867</v>
          </cell>
        </row>
        <row r="22">
          <cell r="X22">
            <v>15.095042221374248</v>
          </cell>
        </row>
        <row r="23">
          <cell r="X23">
            <v>15.292949202797926</v>
          </cell>
        </row>
        <row r="24">
          <cell r="X24">
            <v>16.000664057989809</v>
          </cell>
        </row>
      </sheetData>
      <sheetData sheetId="61"/>
      <sheetData sheetId="62">
        <row r="10">
          <cell r="X10">
            <v>35.447891515894796</v>
          </cell>
        </row>
        <row r="16">
          <cell r="X16">
            <v>14.851055350164145</v>
          </cell>
        </row>
        <row r="17">
          <cell r="X17">
            <v>14.760092231413674</v>
          </cell>
        </row>
        <row r="18">
          <cell r="X18">
            <v>14.619885124976507</v>
          </cell>
        </row>
        <row r="19">
          <cell r="X19">
            <v>14.46211240671248</v>
          </cell>
        </row>
        <row r="20">
          <cell r="X20">
            <v>14.566800750822066</v>
          </cell>
        </row>
        <row r="21">
          <cell r="X21">
            <v>15.293209045476694</v>
          </cell>
        </row>
        <row r="22">
          <cell r="X22">
            <v>14.691737731753991</v>
          </cell>
        </row>
        <row r="23">
          <cell r="X23">
            <v>15.412342043113425</v>
          </cell>
        </row>
        <row r="24">
          <cell r="X24">
            <v>15.748204046406899</v>
          </cell>
        </row>
      </sheetData>
      <sheetData sheetId="63"/>
      <sheetData sheetId="64">
        <row r="10">
          <cell r="X10">
            <v>34.939626515477563</v>
          </cell>
        </row>
        <row r="16">
          <cell r="X16">
            <v>12.131474857753455</v>
          </cell>
        </row>
        <row r="17">
          <cell r="X17">
            <v>14.492606077950422</v>
          </cell>
        </row>
        <row r="18">
          <cell r="X18">
            <v>13.39304675154534</v>
          </cell>
        </row>
        <row r="19">
          <cell r="X19">
            <v>12.853552915894973</v>
          </cell>
        </row>
        <row r="20">
          <cell r="X20">
            <v>10.140210494774788</v>
          </cell>
        </row>
        <row r="21">
          <cell r="X21">
            <v>9.5574190195425199</v>
          </cell>
        </row>
        <row r="22">
          <cell r="X22">
            <v>9.2844450112801979</v>
          </cell>
        </row>
        <row r="23">
          <cell r="X23">
            <v>9.2593019969996142</v>
          </cell>
        </row>
        <row r="24">
          <cell r="X24">
            <v>9.6930474098836452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ABRIL DE 2024</v>
          </cell>
        </row>
        <row r="16">
          <cell r="X16">
            <v>13.832728370771845</v>
          </cell>
        </row>
        <row r="17">
          <cell r="X17">
            <v>12.621491551905589</v>
          </cell>
        </row>
        <row r="18">
          <cell r="X18">
            <v>13.190412051917292</v>
          </cell>
        </row>
        <row r="19">
          <cell r="X19">
            <v>12.321970303928225</v>
          </cell>
        </row>
        <row r="20">
          <cell r="X20">
            <v>11.693026255070331</v>
          </cell>
        </row>
        <row r="21">
          <cell r="X21">
            <v>10.415035741289136</v>
          </cell>
        </row>
        <row r="22">
          <cell r="X22">
            <v>8.4931766862747402</v>
          </cell>
        </row>
        <row r="23">
          <cell r="X23">
            <v>8.664627943513084</v>
          </cell>
        </row>
        <row r="24">
          <cell r="X24">
            <v>9.5756910184094242</v>
          </cell>
        </row>
      </sheetData>
      <sheetData sheetId="5"/>
      <sheetData sheetId="6">
        <row r="10">
          <cell r="X10">
            <v>36.004360919947807</v>
          </cell>
        </row>
        <row r="16">
          <cell r="X16">
            <v>14.112960556918742</v>
          </cell>
        </row>
        <row r="17">
          <cell r="X17">
            <v>14.136764486521345</v>
          </cell>
        </row>
        <row r="18">
          <cell r="X18">
            <v>14.55491652041305</v>
          </cell>
        </row>
        <row r="19">
          <cell r="X19">
            <v>14.129519663150676</v>
          </cell>
        </row>
        <row r="20">
          <cell r="X20">
            <v>13.528606224115187</v>
          </cell>
        </row>
        <row r="21">
          <cell r="X21">
            <v>12.14653098744232</v>
          </cell>
        </row>
        <row r="22">
          <cell r="X22">
            <v>12.205354768366011</v>
          </cell>
        </row>
        <row r="23">
          <cell r="X23">
            <v>13.200747151034903</v>
          </cell>
        </row>
        <row r="24">
          <cell r="X24">
            <v>16.818937217872119</v>
          </cell>
        </row>
      </sheetData>
      <sheetData sheetId="7"/>
      <sheetData sheetId="8">
        <row r="10">
          <cell r="X10">
            <v>33.962636489328062</v>
          </cell>
        </row>
        <row r="16">
          <cell r="X16">
            <v>14.675661189242149</v>
          </cell>
        </row>
        <row r="17">
          <cell r="X17">
            <v>14.7801301315031</v>
          </cell>
        </row>
        <row r="18">
          <cell r="X18">
            <v>13.556447410663198</v>
          </cell>
        </row>
        <row r="19">
          <cell r="X19">
            <v>14.1714754913628</v>
          </cell>
        </row>
        <row r="20">
          <cell r="X20">
            <v>14.444994777167732</v>
          </cell>
        </row>
        <row r="21">
          <cell r="X21">
            <v>13.666666827297327</v>
          </cell>
        </row>
        <row r="22">
          <cell r="X22">
            <v>13.936531149190717</v>
          </cell>
        </row>
        <row r="23">
          <cell r="X23">
            <v>13.419918627830564</v>
          </cell>
        </row>
        <row r="24">
          <cell r="X24">
            <v>16.051342691787479</v>
          </cell>
        </row>
      </sheetData>
      <sheetData sheetId="9"/>
      <sheetData sheetId="10">
        <row r="10">
          <cell r="X10">
            <v>34.303564857266053</v>
          </cell>
        </row>
        <row r="16">
          <cell r="X16">
            <v>13.560300960777903</v>
          </cell>
        </row>
        <row r="17">
          <cell r="X17">
            <v>14.465105815205687</v>
          </cell>
        </row>
        <row r="18">
          <cell r="X18">
            <v>14.949233902716934</v>
          </cell>
        </row>
        <row r="19">
          <cell r="X19">
            <v>14.729748538109774</v>
          </cell>
        </row>
        <row r="20">
          <cell r="X20">
            <v>14.705882412106353</v>
          </cell>
        </row>
        <row r="21">
          <cell r="X21">
            <v>14.423088909069349</v>
          </cell>
        </row>
        <row r="22">
          <cell r="X22">
            <v>13.721830522307872</v>
          </cell>
        </row>
        <row r="23">
          <cell r="X23">
            <v>12.658953247308013</v>
          </cell>
        </row>
        <row r="24">
          <cell r="X24">
            <v>15.228762752827912</v>
          </cell>
        </row>
      </sheetData>
      <sheetData sheetId="11"/>
      <sheetData sheetId="12">
        <row r="10">
          <cell r="X10">
            <v>34.634298404789817</v>
          </cell>
        </row>
        <row r="16">
          <cell r="X16">
            <v>14.667868736804484</v>
          </cell>
        </row>
        <row r="17">
          <cell r="X17">
            <v>14.644888039845258</v>
          </cell>
        </row>
        <row r="18">
          <cell r="X18">
            <v>14.455132626898836</v>
          </cell>
        </row>
        <row r="19">
          <cell r="X19">
            <v>14.068168410649363</v>
          </cell>
        </row>
        <row r="20">
          <cell r="X20">
            <v>12.802908259300169</v>
          </cell>
        </row>
        <row r="21">
          <cell r="X21">
            <v>11.095841876503002</v>
          </cell>
        </row>
        <row r="22">
          <cell r="X22">
            <v>9.7177735358077211</v>
          </cell>
        </row>
        <row r="23">
          <cell r="X23">
            <v>10.524497016248946</v>
          </cell>
        </row>
        <row r="24">
          <cell r="X24">
            <v>11.172013548252597</v>
          </cell>
        </row>
      </sheetData>
      <sheetData sheetId="13"/>
      <sheetData sheetId="14">
        <row r="10">
          <cell r="X10">
            <v>36.695964946356</v>
          </cell>
        </row>
        <row r="16">
          <cell r="X16">
            <v>14.781088312795479</v>
          </cell>
        </row>
        <row r="17">
          <cell r="X17">
            <v>13.997202302151562</v>
          </cell>
        </row>
        <row r="18">
          <cell r="X18">
            <v>13.808384737704726</v>
          </cell>
        </row>
        <row r="19">
          <cell r="X19">
            <v>13.256999036578909</v>
          </cell>
        </row>
        <row r="20">
          <cell r="X20">
            <v>13.561201427275963</v>
          </cell>
        </row>
        <row r="21">
          <cell r="X21">
            <v>14.200527040724383</v>
          </cell>
        </row>
        <row r="22">
          <cell r="X22">
            <v>14.765339947447934</v>
          </cell>
        </row>
        <row r="23">
          <cell r="X23">
            <v>14.920171925287887</v>
          </cell>
        </row>
        <row r="24">
          <cell r="X24">
            <v>14.91230113887649</v>
          </cell>
        </row>
      </sheetData>
      <sheetData sheetId="15"/>
      <sheetData sheetId="16">
        <row r="10">
          <cell r="X10">
            <v>36.10742601071243</v>
          </cell>
        </row>
        <row r="16">
          <cell r="X16">
            <v>13.786661244580545</v>
          </cell>
        </row>
        <row r="17">
          <cell r="X17">
            <v>13.798754184169404</v>
          </cell>
        </row>
        <row r="18">
          <cell r="X18">
            <v>13.948523115270815</v>
          </cell>
        </row>
        <row r="19">
          <cell r="X19">
            <v>13.680441474059309</v>
          </cell>
        </row>
        <row r="20">
          <cell r="X20">
            <v>14.48793602509534</v>
          </cell>
        </row>
        <row r="21">
          <cell r="X21">
            <v>13.503860786808513</v>
          </cell>
        </row>
        <row r="22">
          <cell r="X22">
            <v>13.336445919187621</v>
          </cell>
        </row>
        <row r="23">
          <cell r="X23">
            <v>15.170403620006338</v>
          </cell>
        </row>
        <row r="24">
          <cell r="X24">
            <v>14.616516913850845</v>
          </cell>
        </row>
      </sheetData>
      <sheetData sheetId="17"/>
      <sheetData sheetId="18">
        <row r="10">
          <cell r="X10">
            <v>35.879708173593755</v>
          </cell>
        </row>
        <row r="16">
          <cell r="X16">
            <v>14.356910522213582</v>
          </cell>
        </row>
        <row r="17">
          <cell r="X17">
            <v>14.612167928029541</v>
          </cell>
        </row>
        <row r="18">
          <cell r="X18">
            <v>14.462930965666743</v>
          </cell>
        </row>
        <row r="19">
          <cell r="X19">
            <v>14.405453058030783</v>
          </cell>
        </row>
        <row r="20">
          <cell r="X20">
            <v>14.328349003624208</v>
          </cell>
        </row>
        <row r="21">
          <cell r="X21">
            <v>14.410083265265889</v>
          </cell>
        </row>
        <row r="22">
          <cell r="X22">
            <v>14.671269777088602</v>
          </cell>
        </row>
        <row r="23">
          <cell r="X23">
            <v>15.075589477223456</v>
          </cell>
        </row>
        <row r="24">
          <cell r="X24">
            <v>16.199937682019893</v>
          </cell>
        </row>
      </sheetData>
      <sheetData sheetId="19"/>
      <sheetData sheetId="20">
        <row r="10">
          <cell r="X10">
            <v>35.975580947977477</v>
          </cell>
        </row>
        <row r="16">
          <cell r="X16">
            <v>14.208506204267888</v>
          </cell>
        </row>
        <row r="17">
          <cell r="X17">
            <v>15.705127240408975</v>
          </cell>
        </row>
        <row r="18">
          <cell r="X18">
            <v>16.016613770973066</v>
          </cell>
        </row>
        <row r="19">
          <cell r="X19">
            <v>15.068287252222145</v>
          </cell>
        </row>
        <row r="20">
          <cell r="X20">
            <v>13.844235878919511</v>
          </cell>
        </row>
        <row r="21">
          <cell r="X21">
            <v>14.010183301395339</v>
          </cell>
        </row>
        <row r="22">
          <cell r="X22">
            <v>14.272775341681811</v>
          </cell>
        </row>
        <row r="23">
          <cell r="X23">
            <v>13.863062664188838</v>
          </cell>
        </row>
        <row r="24">
          <cell r="X24">
            <v>15.142353576081312</v>
          </cell>
        </row>
      </sheetData>
      <sheetData sheetId="21"/>
      <sheetData sheetId="22">
        <row r="10">
          <cell r="X10">
            <v>36.211353579228401</v>
          </cell>
        </row>
        <row r="16">
          <cell r="X16">
            <v>14.13319181810027</v>
          </cell>
        </row>
        <row r="17">
          <cell r="X17">
            <v>15.130223726397443</v>
          </cell>
        </row>
        <row r="18">
          <cell r="X18">
            <v>15.290174726326356</v>
          </cell>
        </row>
        <row r="19">
          <cell r="X19">
            <v>14.679508942365821</v>
          </cell>
        </row>
        <row r="20">
          <cell r="X20">
            <v>14.884197304019462</v>
          </cell>
        </row>
        <row r="21">
          <cell r="X21">
            <v>13.358217709093136</v>
          </cell>
        </row>
        <row r="22">
          <cell r="X22">
            <v>13.551266518548708</v>
          </cell>
        </row>
        <row r="23">
          <cell r="X23">
            <v>15.70219626449812</v>
          </cell>
        </row>
        <row r="24">
          <cell r="X24">
            <v>16.590269556972824</v>
          </cell>
        </row>
      </sheetData>
      <sheetData sheetId="23"/>
      <sheetData sheetId="24">
        <row r="10">
          <cell r="X10">
            <v>35.636298693892726</v>
          </cell>
        </row>
        <row r="16">
          <cell r="X16">
            <v>14.812372951094602</v>
          </cell>
        </row>
        <row r="17">
          <cell r="X17">
            <v>15.041601547462562</v>
          </cell>
        </row>
        <row r="18">
          <cell r="X18">
            <v>15.363103016331365</v>
          </cell>
        </row>
        <row r="19">
          <cell r="X19">
            <v>14.984623196930102</v>
          </cell>
        </row>
        <row r="20">
          <cell r="X20">
            <v>14.838488717844715</v>
          </cell>
        </row>
        <row r="21">
          <cell r="X21">
            <v>15.00274573242865</v>
          </cell>
        </row>
        <row r="22">
          <cell r="X22">
            <v>16.431747103404991</v>
          </cell>
        </row>
        <row r="23">
          <cell r="X23">
            <v>15.904567293580511</v>
          </cell>
        </row>
        <row r="24">
          <cell r="X24">
            <v>15.480437629042932</v>
          </cell>
        </row>
      </sheetData>
      <sheetData sheetId="25"/>
      <sheetData sheetId="26">
        <row r="10">
          <cell r="X10">
            <v>36.901811511854483</v>
          </cell>
        </row>
        <row r="16">
          <cell r="X16">
            <v>14.223169874407176</v>
          </cell>
        </row>
        <row r="17">
          <cell r="X17">
            <v>14.458901495048929</v>
          </cell>
        </row>
        <row r="18">
          <cell r="X18">
            <v>13.789904753530022</v>
          </cell>
        </row>
        <row r="19">
          <cell r="X19">
            <v>14.152772853961901</v>
          </cell>
        </row>
        <row r="20">
          <cell r="X20">
            <v>13.635707618900623</v>
          </cell>
        </row>
        <row r="21">
          <cell r="X21">
            <v>14.010525247680242</v>
          </cell>
        </row>
        <row r="22">
          <cell r="X22">
            <v>15.052913555487061</v>
          </cell>
        </row>
        <row r="23">
          <cell r="X23">
            <v>14.958442024735263</v>
          </cell>
        </row>
        <row r="24">
          <cell r="X24">
            <v>15.007669638629235</v>
          </cell>
        </row>
      </sheetData>
      <sheetData sheetId="27"/>
      <sheetData sheetId="28">
        <row r="10">
          <cell r="X10">
            <v>34.95848759470848</v>
          </cell>
        </row>
        <row r="16">
          <cell r="X16">
            <v>13.781724664244948</v>
          </cell>
        </row>
        <row r="17">
          <cell r="X17">
            <v>13.880767474268181</v>
          </cell>
        </row>
        <row r="18">
          <cell r="X18">
            <v>14.175762150819013</v>
          </cell>
        </row>
        <row r="19">
          <cell r="X19">
            <v>14.707754533142527</v>
          </cell>
        </row>
        <row r="20">
          <cell r="X20">
            <v>13.516677757889843</v>
          </cell>
        </row>
        <row r="21">
          <cell r="X21">
            <v>13.196172933415527</v>
          </cell>
        </row>
        <row r="22">
          <cell r="X22">
            <v>13.535363846598043</v>
          </cell>
        </row>
        <row r="23">
          <cell r="X23">
            <v>12.882588018333616</v>
          </cell>
        </row>
        <row r="24">
          <cell r="X24">
            <v>16.219247713587066</v>
          </cell>
        </row>
      </sheetData>
      <sheetData sheetId="29"/>
      <sheetData sheetId="30">
        <row r="10">
          <cell r="X10">
            <v>34.864970421424033</v>
          </cell>
        </row>
        <row r="16">
          <cell r="X16">
            <v>14.715378887190951</v>
          </cell>
        </row>
        <row r="17">
          <cell r="X17">
            <v>14.797102758042772</v>
          </cell>
        </row>
        <row r="18">
          <cell r="X18">
            <v>14.792543824120591</v>
          </cell>
        </row>
        <row r="19">
          <cell r="X19">
            <v>14.546714832067265</v>
          </cell>
        </row>
        <row r="20">
          <cell r="X20">
            <v>14.580832542212196</v>
          </cell>
        </row>
        <row r="21">
          <cell r="X21">
            <v>14.01160297425467</v>
          </cell>
        </row>
        <row r="22">
          <cell r="X22">
            <v>14.788858537713097</v>
          </cell>
        </row>
        <row r="23">
          <cell r="X23">
            <v>15.258645677598354</v>
          </cell>
        </row>
        <row r="24">
          <cell r="X24">
            <v>15.029645232928813</v>
          </cell>
        </row>
      </sheetData>
      <sheetData sheetId="31"/>
      <sheetData sheetId="32">
        <row r="10">
          <cell r="X10">
            <v>35.364482718731502</v>
          </cell>
        </row>
        <row r="16">
          <cell r="X16">
            <v>14.995266926132791</v>
          </cell>
        </row>
        <row r="17">
          <cell r="X17">
            <v>15.448978008018965</v>
          </cell>
        </row>
        <row r="18">
          <cell r="X18">
            <v>16.191058296435493</v>
          </cell>
        </row>
        <row r="19">
          <cell r="X19">
            <v>16.062361310404029</v>
          </cell>
        </row>
        <row r="20">
          <cell r="X20">
            <v>15.000867687575884</v>
          </cell>
        </row>
        <row r="21">
          <cell r="X21">
            <v>14.752118775824222</v>
          </cell>
        </row>
        <row r="22">
          <cell r="X22">
            <v>14.072832532900218</v>
          </cell>
        </row>
        <row r="23">
          <cell r="X23">
            <v>13.917081892206065</v>
          </cell>
        </row>
        <row r="24">
          <cell r="X24">
            <v>16.430963564089609</v>
          </cell>
        </row>
      </sheetData>
      <sheetData sheetId="33"/>
      <sheetData sheetId="34">
        <row r="10">
          <cell r="X10">
            <v>36.249640236264256</v>
          </cell>
        </row>
        <row r="16">
          <cell r="X16">
            <v>15.482771323398151</v>
          </cell>
        </row>
        <row r="17">
          <cell r="X17">
            <v>15.842464396466678</v>
          </cell>
        </row>
        <row r="18">
          <cell r="X18">
            <v>15.646324196617542</v>
          </cell>
        </row>
        <row r="19">
          <cell r="X19">
            <v>14.974443503584094</v>
          </cell>
        </row>
        <row r="20">
          <cell r="X20">
            <v>14.012244745986484</v>
          </cell>
        </row>
        <row r="21">
          <cell r="X21">
            <v>14.201693981627445</v>
          </cell>
        </row>
        <row r="22">
          <cell r="X22">
            <v>12.888892379443664</v>
          </cell>
        </row>
        <row r="23">
          <cell r="X23">
            <v>14.964953825390809</v>
          </cell>
        </row>
        <row r="24">
          <cell r="X24">
            <v>13.823186260503858</v>
          </cell>
        </row>
      </sheetData>
      <sheetData sheetId="35"/>
      <sheetData sheetId="36">
        <row r="10">
          <cell r="X10">
            <v>37.814713504629346</v>
          </cell>
        </row>
        <row r="16">
          <cell r="X16">
            <v>16.850957122506244</v>
          </cell>
        </row>
        <row r="17">
          <cell r="X17">
            <v>17.620610673532102</v>
          </cell>
        </row>
        <row r="18">
          <cell r="X18">
            <v>17.469208356797836</v>
          </cell>
        </row>
        <row r="19">
          <cell r="X19">
            <v>15.381686572148258</v>
          </cell>
        </row>
        <row r="20">
          <cell r="X20">
            <v>15.290595549464728</v>
          </cell>
        </row>
        <row r="21">
          <cell r="X21">
            <v>15.136818864398876</v>
          </cell>
        </row>
        <row r="22">
          <cell r="X22">
            <v>15.3877150207223</v>
          </cell>
        </row>
        <row r="23">
          <cell r="X23">
            <v>15.674575664242022</v>
          </cell>
        </row>
        <row r="24">
          <cell r="X24">
            <v>15.44595078158137</v>
          </cell>
        </row>
      </sheetData>
      <sheetData sheetId="37"/>
      <sheetData sheetId="38">
        <row r="10">
          <cell r="X10">
            <v>35.828241749575525</v>
          </cell>
        </row>
        <row r="16">
          <cell r="X16">
            <v>12.421625301308115</v>
          </cell>
        </row>
        <row r="17">
          <cell r="X17">
            <v>12.126157228588712</v>
          </cell>
        </row>
        <row r="18">
          <cell r="X18">
            <v>11.996597993188107</v>
          </cell>
        </row>
        <row r="19">
          <cell r="X19">
            <v>11.225327053469172</v>
          </cell>
        </row>
        <row r="20">
          <cell r="X20">
            <v>11.454082559351486</v>
          </cell>
        </row>
        <row r="21">
          <cell r="X21">
            <v>11.22982368521275</v>
          </cell>
        </row>
        <row r="22">
          <cell r="X22">
            <v>11.799491459424885</v>
          </cell>
        </row>
        <row r="23">
          <cell r="X23">
            <v>12.162064349295219</v>
          </cell>
        </row>
        <row r="24">
          <cell r="X24">
            <v>11.561515889488467</v>
          </cell>
        </row>
      </sheetData>
      <sheetData sheetId="39"/>
      <sheetData sheetId="40">
        <row r="10">
          <cell r="X10">
            <v>33.495548302962483</v>
          </cell>
        </row>
        <row r="16">
          <cell r="X16">
            <v>10.317221066704144</v>
          </cell>
        </row>
        <row r="17">
          <cell r="X17">
            <v>10.346386504377612</v>
          </cell>
        </row>
        <row r="18">
          <cell r="X18">
            <v>7.523156987026745</v>
          </cell>
        </row>
        <row r="19">
          <cell r="X19">
            <v>7.1146638765024974</v>
          </cell>
        </row>
        <row r="20">
          <cell r="X20">
            <v>6.4224498873851541</v>
          </cell>
        </row>
        <row r="21">
          <cell r="X21">
            <v>7.4175313173253752</v>
          </cell>
        </row>
        <row r="22">
          <cell r="X22">
            <v>9.0490231928317169</v>
          </cell>
        </row>
        <row r="23">
          <cell r="X23">
            <v>9.1663764882912648</v>
          </cell>
        </row>
        <row r="24">
          <cell r="X24">
            <v>9.5451644083051832</v>
          </cell>
        </row>
      </sheetData>
      <sheetData sheetId="41"/>
      <sheetData sheetId="42">
        <row r="10">
          <cell r="X10">
            <v>34.742566806194404</v>
          </cell>
        </row>
        <row r="16">
          <cell r="X16">
            <v>10.912961784919203</v>
          </cell>
        </row>
        <row r="17">
          <cell r="X17">
            <v>11.246838694923014</v>
          </cell>
        </row>
        <row r="18">
          <cell r="X18">
            <v>11.24335436000438</v>
          </cell>
        </row>
        <row r="19">
          <cell r="X19">
            <v>10.908214756124892</v>
          </cell>
        </row>
        <row r="20">
          <cell r="X20">
            <v>11.2061905093506</v>
          </cell>
        </row>
        <row r="21">
          <cell r="X21">
            <v>11.22473836979108</v>
          </cell>
        </row>
        <row r="22">
          <cell r="X22">
            <v>11.368760603652696</v>
          </cell>
        </row>
        <row r="23">
          <cell r="X23">
            <v>13.25387035093274</v>
          </cell>
        </row>
        <row r="24">
          <cell r="X24">
            <v>13.247475595422795</v>
          </cell>
        </row>
      </sheetData>
      <sheetData sheetId="43"/>
      <sheetData sheetId="44">
        <row r="10">
          <cell r="X10">
            <v>34.532888581606244</v>
          </cell>
        </row>
        <row r="16">
          <cell r="X16">
            <v>11.803014616938968</v>
          </cell>
        </row>
        <row r="17">
          <cell r="X17">
            <v>11.826151335047456</v>
          </cell>
        </row>
        <row r="18">
          <cell r="X18">
            <v>12.302938099942121</v>
          </cell>
        </row>
        <row r="19">
          <cell r="X19">
            <v>12.103560534914784</v>
          </cell>
        </row>
        <row r="20">
          <cell r="X20">
            <v>12.129661145677096</v>
          </cell>
        </row>
        <row r="21">
          <cell r="X21">
            <v>11.095320906881408</v>
          </cell>
        </row>
        <row r="22">
          <cell r="X22">
            <v>9.3691449902455393</v>
          </cell>
        </row>
        <row r="23">
          <cell r="X23">
            <v>9.1335867266278328</v>
          </cell>
        </row>
        <row r="24">
          <cell r="X24">
            <v>9.6986018983161006</v>
          </cell>
        </row>
      </sheetData>
      <sheetData sheetId="45"/>
      <sheetData sheetId="46">
        <row r="10">
          <cell r="X10">
            <v>35.073082891719714</v>
          </cell>
        </row>
        <row r="16">
          <cell r="X16">
            <v>12.242345768034189</v>
          </cell>
        </row>
        <row r="17">
          <cell r="X17">
            <v>12.764581082480758</v>
          </cell>
        </row>
        <row r="18">
          <cell r="X18">
            <v>12.269896369198735</v>
          </cell>
        </row>
        <row r="19">
          <cell r="X19">
            <v>11.845078191286664</v>
          </cell>
        </row>
        <row r="20">
          <cell r="X20">
            <v>10.7392221723905</v>
          </cell>
        </row>
        <row r="21">
          <cell r="X21">
            <v>9.0580584767477266</v>
          </cell>
        </row>
        <row r="22">
          <cell r="X22">
            <v>8.9840566491531249</v>
          </cell>
        </row>
        <row r="23">
          <cell r="X23">
            <v>8.5346035115550851</v>
          </cell>
        </row>
        <row r="24">
          <cell r="X24">
            <v>9.0026710541096406</v>
          </cell>
        </row>
      </sheetData>
      <sheetData sheetId="47"/>
      <sheetData sheetId="48">
        <row r="10">
          <cell r="X10">
            <v>33.401690556730756</v>
          </cell>
        </row>
        <row r="16">
          <cell r="X16">
            <v>11.724184056911914</v>
          </cell>
        </row>
        <row r="17">
          <cell r="X17">
            <v>12.395415885496327</v>
          </cell>
        </row>
        <row r="18">
          <cell r="X18">
            <v>11.346750794427047</v>
          </cell>
        </row>
        <row r="19">
          <cell r="X19">
            <v>9.9103303627649524</v>
          </cell>
        </row>
        <row r="20">
          <cell r="X20">
            <v>10.458194240685897</v>
          </cell>
        </row>
        <row r="21">
          <cell r="X21">
            <v>9.316949680520894</v>
          </cell>
        </row>
        <row r="22">
          <cell r="X22">
            <v>9.9555119219851882</v>
          </cell>
        </row>
        <row r="23">
          <cell r="X23">
            <v>8.9626741599174871</v>
          </cell>
        </row>
        <row r="24">
          <cell r="X24">
            <v>9.5659365301469972</v>
          </cell>
        </row>
      </sheetData>
      <sheetData sheetId="49"/>
      <sheetData sheetId="50">
        <row r="10">
          <cell r="X10">
            <v>33.903697611616252</v>
          </cell>
        </row>
        <row r="16">
          <cell r="X16">
            <v>12.284462612805198</v>
          </cell>
        </row>
        <row r="17">
          <cell r="X17">
            <v>13.545273247204479</v>
          </cell>
        </row>
        <row r="18">
          <cell r="X18">
            <v>10.804529618552898</v>
          </cell>
        </row>
        <row r="19">
          <cell r="X19">
            <v>11.775466867305909</v>
          </cell>
        </row>
        <row r="20">
          <cell r="X20">
            <v>11.416895098522101</v>
          </cell>
        </row>
        <row r="21">
          <cell r="X21">
            <v>11.052587109180051</v>
          </cell>
        </row>
        <row r="22">
          <cell r="X22">
            <v>11.586195170841139</v>
          </cell>
        </row>
        <row r="23">
          <cell r="X23">
            <v>12.213833439491388</v>
          </cell>
        </row>
        <row r="24">
          <cell r="X24">
            <v>12.857065387434101</v>
          </cell>
        </row>
      </sheetData>
      <sheetData sheetId="51"/>
      <sheetData sheetId="52">
        <row r="10">
          <cell r="X10">
            <v>35.75396540254453</v>
          </cell>
        </row>
        <row r="16">
          <cell r="X16">
            <v>14.212874814519441</v>
          </cell>
        </row>
        <row r="17">
          <cell r="X17">
            <v>14.332232621288382</v>
          </cell>
        </row>
        <row r="18">
          <cell r="X18">
            <v>13.872522671989399</v>
          </cell>
        </row>
        <row r="19">
          <cell r="X19">
            <v>14.702492982468623</v>
          </cell>
        </row>
        <row r="20">
          <cell r="X20">
            <v>15.150887469120383</v>
          </cell>
        </row>
        <row r="21">
          <cell r="X21">
            <v>15.096293014975332</v>
          </cell>
        </row>
        <row r="22">
          <cell r="X22">
            <v>15.568091223274919</v>
          </cell>
        </row>
        <row r="23">
          <cell r="X23">
            <v>15.726788803433854</v>
          </cell>
        </row>
        <row r="24">
          <cell r="X24">
            <v>15.414882240726705</v>
          </cell>
        </row>
      </sheetData>
      <sheetData sheetId="53"/>
      <sheetData sheetId="54">
        <row r="10">
          <cell r="X10">
            <v>34.795981447501568</v>
          </cell>
        </row>
        <row r="16">
          <cell r="X16">
            <v>14.307863620563801</v>
          </cell>
        </row>
        <row r="17">
          <cell r="X17">
            <v>14.703615001705174</v>
          </cell>
        </row>
        <row r="18">
          <cell r="X18">
            <v>14.453107283846938</v>
          </cell>
        </row>
        <row r="19">
          <cell r="X19">
            <v>14.168454177100395</v>
          </cell>
        </row>
        <row r="20">
          <cell r="X20">
            <v>14.462508665032866</v>
          </cell>
        </row>
        <row r="21">
          <cell r="X21">
            <v>14.157317750862958</v>
          </cell>
        </row>
        <row r="22">
          <cell r="X22">
            <v>14.553073363781049</v>
          </cell>
        </row>
        <row r="23">
          <cell r="X23">
            <v>13.803419672568449</v>
          </cell>
        </row>
        <row r="24">
          <cell r="X24">
            <v>16.286178859301472</v>
          </cell>
        </row>
      </sheetData>
      <sheetData sheetId="55"/>
      <sheetData sheetId="56">
        <row r="10">
          <cell r="X10">
            <v>38.36108829766706</v>
          </cell>
        </row>
        <row r="16">
          <cell r="X16">
            <v>14.81849176730041</v>
          </cell>
        </row>
        <row r="17">
          <cell r="X17">
            <v>15.099977577659709</v>
          </cell>
        </row>
        <row r="18">
          <cell r="X18">
            <v>14.592456232222643</v>
          </cell>
        </row>
        <row r="19">
          <cell r="X19">
            <v>14.365825369598836</v>
          </cell>
        </row>
        <row r="20">
          <cell r="X20">
            <v>13.785605747094563</v>
          </cell>
        </row>
        <row r="21">
          <cell r="X21">
            <v>14.092086732708715</v>
          </cell>
        </row>
        <row r="22">
          <cell r="X22">
            <v>13.058423244529244</v>
          </cell>
        </row>
        <row r="23">
          <cell r="X23">
            <v>13.115368001420073</v>
          </cell>
        </row>
        <row r="24">
          <cell r="X24">
            <v>12.658992332893092</v>
          </cell>
        </row>
      </sheetData>
      <sheetData sheetId="57"/>
      <sheetData sheetId="58">
        <row r="10">
          <cell r="X10">
            <v>35.705858648329453</v>
          </cell>
        </row>
        <row r="16">
          <cell r="X16">
            <v>13.905650361051638</v>
          </cell>
        </row>
        <row r="17">
          <cell r="X17">
            <v>14.196353769724158</v>
          </cell>
        </row>
        <row r="18">
          <cell r="X18">
            <v>13.456314948697928</v>
          </cell>
        </row>
        <row r="19">
          <cell r="X19">
            <v>12.554836216159574</v>
          </cell>
        </row>
        <row r="20">
          <cell r="X20">
            <v>12.766392984638079</v>
          </cell>
        </row>
        <row r="21">
          <cell r="X21">
            <v>13.244106836527919</v>
          </cell>
        </row>
        <row r="22">
          <cell r="X22">
            <v>12.112694584411443</v>
          </cell>
        </row>
        <row r="23">
          <cell r="X23">
            <v>12.635772905974473</v>
          </cell>
        </row>
        <row r="24">
          <cell r="X24">
            <v>12.262360680403599</v>
          </cell>
        </row>
      </sheetData>
      <sheetData sheetId="59"/>
      <sheetData sheetId="60">
        <row r="10">
          <cell r="X10">
            <v>36.652370675026525</v>
          </cell>
        </row>
        <row r="16">
          <cell r="X16">
            <v>15.113421061537025</v>
          </cell>
        </row>
        <row r="17">
          <cell r="X17">
            <v>14.854488006081738</v>
          </cell>
        </row>
        <row r="18">
          <cell r="X18">
            <v>14.959905664849288</v>
          </cell>
        </row>
        <row r="19">
          <cell r="X19">
            <v>14.935911036205709</v>
          </cell>
        </row>
        <row r="20">
          <cell r="X20">
            <v>15.364805109751941</v>
          </cell>
        </row>
        <row r="21">
          <cell r="X21">
            <v>15.488314024408965</v>
          </cell>
        </row>
        <row r="22">
          <cell r="X22">
            <v>13.899878112375008</v>
          </cell>
        </row>
        <row r="23">
          <cell r="X23">
            <v>13.979481595041074</v>
          </cell>
        </row>
        <row r="24">
          <cell r="X24">
            <v>12.392917646776382</v>
          </cell>
        </row>
      </sheetData>
      <sheetData sheetId="61"/>
      <sheetData sheetId="62">
        <row r="10">
          <cell r="X10">
            <v>36.584487198648034</v>
          </cell>
        </row>
        <row r="16">
          <cell r="X16">
            <v>14.346690348757285</v>
          </cell>
        </row>
        <row r="17">
          <cell r="X17">
            <v>14.439716617028626</v>
          </cell>
        </row>
        <row r="18">
          <cell r="X18">
            <v>13.19636791297359</v>
          </cell>
        </row>
        <row r="19">
          <cell r="X19">
            <v>12.311883860168191</v>
          </cell>
        </row>
        <row r="20">
          <cell r="X20">
            <v>11.128299832919579</v>
          </cell>
        </row>
        <row r="21">
          <cell r="X21">
            <v>11.17447230935139</v>
          </cell>
        </row>
        <row r="22">
          <cell r="X22">
            <v>10.220166831541997</v>
          </cell>
        </row>
        <row r="23">
          <cell r="X23">
            <v>10.23452589288833</v>
          </cell>
        </row>
        <row r="24">
          <cell r="X24">
            <v>10.27932729976413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MAIO DE 2024</v>
          </cell>
        </row>
        <row r="16">
          <cell r="X16">
            <v>13.076038833698366</v>
          </cell>
        </row>
        <row r="17">
          <cell r="X17">
            <v>13.565536520457131</v>
          </cell>
        </row>
        <row r="18">
          <cell r="X18">
            <v>13.664488630976608</v>
          </cell>
        </row>
        <row r="19">
          <cell r="X19">
            <v>12.357598569748829</v>
          </cell>
        </row>
        <row r="20">
          <cell r="X20">
            <v>11.133595006905788</v>
          </cell>
        </row>
        <row r="21">
          <cell r="X21">
            <v>11.180735900040615</v>
          </cell>
        </row>
        <row r="22">
          <cell r="X22">
            <v>10.429091219502157</v>
          </cell>
        </row>
        <row r="23">
          <cell r="X23">
            <v>10.845719761778895</v>
          </cell>
        </row>
        <row r="24">
          <cell r="X24">
            <v>10.508400843618855</v>
          </cell>
        </row>
      </sheetData>
      <sheetData sheetId="5"/>
      <sheetData sheetId="6">
        <row r="10">
          <cell r="X10">
            <v>34.343981690666467</v>
          </cell>
        </row>
        <row r="16">
          <cell r="X16">
            <v>13.281520008217523</v>
          </cell>
        </row>
        <row r="17">
          <cell r="X17">
            <v>14.927238667140108</v>
          </cell>
        </row>
        <row r="18">
          <cell r="X18">
            <v>12.49476556005296</v>
          </cell>
        </row>
        <row r="19">
          <cell r="X19">
            <v>12.32203980489183</v>
          </cell>
        </row>
        <row r="20">
          <cell r="X20">
            <v>11.980876418080664</v>
          </cell>
        </row>
        <row r="21">
          <cell r="X21">
            <v>11.962436368775943</v>
          </cell>
        </row>
        <row r="22">
          <cell r="X22">
            <v>10.25663202223387</v>
          </cell>
        </row>
        <row r="23">
          <cell r="X23">
            <v>10.235644208190799</v>
          </cell>
        </row>
        <row r="24">
          <cell r="X24">
            <v>10.379550362271795</v>
          </cell>
        </row>
      </sheetData>
      <sheetData sheetId="7"/>
      <sheetData sheetId="8">
        <row r="10">
          <cell r="X10">
            <v>37.301862373562443</v>
          </cell>
        </row>
        <row r="16">
          <cell r="X16">
            <v>13.646747514527345</v>
          </cell>
        </row>
        <row r="17">
          <cell r="X17">
            <v>15.569723550029231</v>
          </cell>
        </row>
        <row r="18">
          <cell r="X18">
            <v>15.276671606501552</v>
          </cell>
        </row>
        <row r="19">
          <cell r="X19">
            <v>14.153180910262254</v>
          </cell>
        </row>
        <row r="20">
          <cell r="X20">
            <v>13.322538595463818</v>
          </cell>
        </row>
        <row r="21">
          <cell r="X21">
            <v>16.495724499616053</v>
          </cell>
        </row>
        <row r="22">
          <cell r="X22">
            <v>13.297546286660907</v>
          </cell>
        </row>
        <row r="23">
          <cell r="X23">
            <v>12.054505973071322</v>
          </cell>
        </row>
        <row r="24">
          <cell r="X24">
            <v>11.312633198459141</v>
          </cell>
        </row>
      </sheetData>
      <sheetData sheetId="9"/>
      <sheetData sheetId="10">
        <row r="10">
          <cell r="X10">
            <v>36.041709189446259</v>
          </cell>
        </row>
        <row r="16">
          <cell r="X16">
            <v>14.025620459095588</v>
          </cell>
        </row>
        <row r="17">
          <cell r="X17">
            <v>14.125348735136418</v>
          </cell>
        </row>
        <row r="18">
          <cell r="X18">
            <v>13.709084688271238</v>
          </cell>
        </row>
        <row r="19">
          <cell r="X19">
            <v>13.469445105299764</v>
          </cell>
        </row>
        <row r="20">
          <cell r="X20">
            <v>12.544330316174003</v>
          </cell>
        </row>
        <row r="21">
          <cell r="X21">
            <v>10.96789196353472</v>
          </cell>
        </row>
        <row r="22">
          <cell r="X22">
            <v>10.118684700569714</v>
          </cell>
        </row>
        <row r="23">
          <cell r="X23">
            <v>10.550421136689206</v>
          </cell>
        </row>
        <row r="24">
          <cell r="X24">
            <v>9.579266114293457</v>
          </cell>
        </row>
      </sheetData>
      <sheetData sheetId="11"/>
      <sheetData sheetId="12">
        <row r="10">
          <cell r="X10">
            <v>35.274872016086682</v>
          </cell>
        </row>
        <row r="16">
          <cell r="X16">
            <v>12.59998028125454</v>
          </cell>
        </row>
        <row r="17">
          <cell r="X17">
            <v>13.653580713741553</v>
          </cell>
        </row>
        <row r="18">
          <cell r="X18">
            <v>12.904416709967597</v>
          </cell>
        </row>
        <row r="19">
          <cell r="X19">
            <v>12.104228002145296</v>
          </cell>
        </row>
        <row r="20">
          <cell r="X20">
            <v>11.273914509660203</v>
          </cell>
        </row>
        <row r="21">
          <cell r="X21">
            <v>8.391744652345837</v>
          </cell>
        </row>
        <row r="22">
          <cell r="X22">
            <v>7.5664279214633563</v>
          </cell>
        </row>
        <row r="23">
          <cell r="X23">
            <v>6.9932909013042561</v>
          </cell>
        </row>
        <row r="24">
          <cell r="X24">
            <v>7.1225290965249259</v>
          </cell>
        </row>
      </sheetData>
      <sheetData sheetId="13"/>
      <sheetData sheetId="14">
        <row r="10">
          <cell r="X10">
            <v>31.945575525886731</v>
          </cell>
        </row>
        <row r="16">
          <cell r="X16">
            <v>12.488760578099665</v>
          </cell>
        </row>
        <row r="17">
          <cell r="X17">
            <v>12.64105987909692</v>
          </cell>
        </row>
        <row r="18">
          <cell r="X18">
            <v>12.295370212819563</v>
          </cell>
        </row>
        <row r="19">
          <cell r="X19">
            <v>10.701799598601104</v>
          </cell>
        </row>
        <row r="20">
          <cell r="X20">
            <v>9.3554098604171472</v>
          </cell>
        </row>
        <row r="21">
          <cell r="X21">
            <v>9.3433678378242835</v>
          </cell>
        </row>
        <row r="22">
          <cell r="X22">
            <v>7.5921743812093236</v>
          </cell>
        </row>
        <row r="23">
          <cell r="X23">
            <v>8.3198695404982672</v>
          </cell>
        </row>
        <row r="24">
          <cell r="X24">
            <v>8.8341476207932672</v>
          </cell>
        </row>
      </sheetData>
      <sheetData sheetId="15"/>
      <sheetData sheetId="16">
        <row r="10">
          <cell r="X10">
            <v>34.748770960713756</v>
          </cell>
        </row>
        <row r="16">
          <cell r="X16">
            <v>11.995830021876907</v>
          </cell>
        </row>
        <row r="17">
          <cell r="X17">
            <v>13.200612019113226</v>
          </cell>
        </row>
        <row r="18">
          <cell r="X18">
            <v>13.20849134777918</v>
          </cell>
        </row>
        <row r="19">
          <cell r="X19">
            <v>12.721498563795929</v>
          </cell>
        </row>
        <row r="20">
          <cell r="X20">
            <v>12.675836638887379</v>
          </cell>
        </row>
        <row r="21">
          <cell r="X21">
            <v>10.876570528669916</v>
          </cell>
        </row>
        <row r="22">
          <cell r="X22">
            <v>10.460765933052157</v>
          </cell>
        </row>
        <row r="23">
          <cell r="X23">
            <v>9.2833298175620644</v>
          </cell>
        </row>
        <row r="24">
          <cell r="X24">
            <v>9.5724657787210568</v>
          </cell>
        </row>
      </sheetData>
      <sheetData sheetId="17"/>
      <sheetData sheetId="18">
        <row r="10">
          <cell r="X10">
            <v>36.447445721200765</v>
          </cell>
        </row>
        <row r="16">
          <cell r="X16">
            <v>13.345255778309289</v>
          </cell>
        </row>
        <row r="17">
          <cell r="X17">
            <v>13.164325466482312</v>
          </cell>
        </row>
        <row r="18">
          <cell r="X18">
            <v>12.597872707776988</v>
          </cell>
        </row>
        <row r="19">
          <cell r="X19">
            <v>11.787367972286944</v>
          </cell>
        </row>
        <row r="20">
          <cell r="X20">
            <v>11.319521154115721</v>
          </cell>
        </row>
        <row r="21">
          <cell r="X21">
            <v>11.222969810272421</v>
          </cell>
        </row>
        <row r="22">
          <cell r="X22">
            <v>11.253108259899092</v>
          </cell>
        </row>
        <row r="23">
          <cell r="X23">
            <v>10.721523764580224</v>
          </cell>
        </row>
        <row r="24">
          <cell r="X24">
            <v>11.422344469875005</v>
          </cell>
        </row>
      </sheetData>
      <sheetData sheetId="19"/>
      <sheetData sheetId="20">
        <row r="10">
          <cell r="X10">
            <v>34.993077496091843</v>
          </cell>
        </row>
        <row r="16">
          <cell r="X16">
            <v>12.174732665267806</v>
          </cell>
        </row>
        <row r="17">
          <cell r="X17">
            <v>14.236695074521439</v>
          </cell>
        </row>
        <row r="18">
          <cell r="X18">
            <v>12.059115126897577</v>
          </cell>
        </row>
        <row r="19">
          <cell r="X19">
            <v>11.700915977955173</v>
          </cell>
        </row>
        <row r="20">
          <cell r="X20">
            <v>12.152676812643952</v>
          </cell>
        </row>
        <row r="21">
          <cell r="X21">
            <v>11.620132570337315</v>
          </cell>
        </row>
        <row r="22">
          <cell r="X22">
            <v>10.494946024197338</v>
          </cell>
        </row>
        <row r="23">
          <cell r="X23">
            <v>10.413213069514683</v>
          </cell>
        </row>
        <row r="24">
          <cell r="X24">
            <v>13.619021162017054</v>
          </cell>
        </row>
      </sheetData>
      <sheetData sheetId="21"/>
      <sheetData sheetId="22">
        <row r="10">
          <cell r="X10">
            <v>34.909525357078266</v>
          </cell>
        </row>
        <row r="16">
          <cell r="X16">
            <v>14.1511260065652</v>
          </cell>
        </row>
        <row r="17">
          <cell r="X17">
            <v>14.662095401568601</v>
          </cell>
        </row>
        <row r="18">
          <cell r="X18">
            <v>14.020434276899213</v>
          </cell>
        </row>
        <row r="19">
          <cell r="X19">
            <v>13.195635341147808</v>
          </cell>
        </row>
        <row r="20">
          <cell r="X20">
            <v>13.255249272572341</v>
          </cell>
        </row>
        <row r="21">
          <cell r="X21">
            <v>13.075974345666268</v>
          </cell>
        </row>
        <row r="22">
          <cell r="X22">
            <v>12.103295636905246</v>
          </cell>
        </row>
        <row r="23">
          <cell r="X23">
            <v>11.849860001989615</v>
          </cell>
        </row>
        <row r="24">
          <cell r="X24">
            <v>12.300861355198888</v>
          </cell>
        </row>
      </sheetData>
      <sheetData sheetId="23"/>
      <sheetData sheetId="24">
        <row r="10">
          <cell r="X10">
            <v>35.867715187185979</v>
          </cell>
        </row>
        <row r="16">
          <cell r="X16">
            <v>13.987387430258554</v>
          </cell>
        </row>
        <row r="17">
          <cell r="X17">
            <v>14.83901217050515</v>
          </cell>
        </row>
        <row r="18">
          <cell r="X18">
            <v>13.390937215890881</v>
          </cell>
        </row>
        <row r="19">
          <cell r="X19">
            <v>11.844729291182057</v>
          </cell>
        </row>
        <row r="20">
          <cell r="X20">
            <v>11.775417488649731</v>
          </cell>
        </row>
        <row r="21">
          <cell r="X21">
            <v>11.231403651307595</v>
          </cell>
        </row>
        <row r="22">
          <cell r="X22">
            <v>10.369554300560448</v>
          </cell>
        </row>
        <row r="23">
          <cell r="X23">
            <v>9.0966273890427072</v>
          </cell>
        </row>
        <row r="24">
          <cell r="X24">
            <v>9.6231092540018448</v>
          </cell>
        </row>
      </sheetData>
      <sheetData sheetId="25"/>
      <sheetData sheetId="26">
        <row r="10">
          <cell r="X10">
            <v>35.403967864718553</v>
          </cell>
        </row>
        <row r="16">
          <cell r="X16">
            <v>11.724709360941679</v>
          </cell>
        </row>
        <row r="17">
          <cell r="X17">
            <v>12.349504804208587</v>
          </cell>
        </row>
        <row r="18">
          <cell r="X18">
            <v>11.438191504647394</v>
          </cell>
        </row>
        <row r="19">
          <cell r="X19">
            <v>10.93891303246126</v>
          </cell>
        </row>
        <row r="20">
          <cell r="X20">
            <v>11.118817339760795</v>
          </cell>
        </row>
        <row r="21">
          <cell r="X21">
            <v>9.2118727341866578</v>
          </cell>
        </row>
        <row r="22">
          <cell r="X22">
            <v>9.6668101097487664</v>
          </cell>
        </row>
        <row r="23">
          <cell r="X23">
            <v>9.5966962668799489</v>
          </cell>
        </row>
        <row r="24">
          <cell r="X24">
            <v>9.035301060763052</v>
          </cell>
        </row>
      </sheetData>
      <sheetData sheetId="27"/>
      <sheetData sheetId="28">
        <row r="10">
          <cell r="X10">
            <v>33.361076799070524</v>
          </cell>
        </row>
        <row r="16">
          <cell r="X16">
            <v>9.9141377221267017</v>
          </cell>
        </row>
        <row r="17">
          <cell r="X17">
            <v>10.292855188984017</v>
          </cell>
        </row>
        <row r="18">
          <cell r="X18">
            <v>10.50316804465359</v>
          </cell>
        </row>
        <row r="19">
          <cell r="X19">
            <v>10.525949001692295</v>
          </cell>
        </row>
        <row r="20">
          <cell r="X20">
            <v>9.5039166860085089</v>
          </cell>
        </row>
        <row r="21">
          <cell r="X21">
            <v>9.0929995694986694</v>
          </cell>
        </row>
        <row r="22">
          <cell r="X22">
            <v>9.6280018126555618</v>
          </cell>
        </row>
        <row r="23">
          <cell r="X23">
            <v>8.8602958133850862</v>
          </cell>
        </row>
        <row r="24">
          <cell r="X24">
            <v>9.1740754255816324</v>
          </cell>
        </row>
      </sheetData>
      <sheetData sheetId="29"/>
      <sheetData sheetId="30">
        <row r="10">
          <cell r="X10">
            <v>35.206378552134645</v>
          </cell>
        </row>
        <row r="16">
          <cell r="X16">
            <v>14.253081289763758</v>
          </cell>
        </row>
        <row r="17">
          <cell r="X17">
            <v>14.010164730261049</v>
          </cell>
        </row>
        <row r="18">
          <cell r="X18">
            <v>13.357081720923659</v>
          </cell>
        </row>
        <row r="19">
          <cell r="X19">
            <v>12.966560358409684</v>
          </cell>
        </row>
        <row r="20">
          <cell r="X20">
            <v>13.531907001105147</v>
          </cell>
        </row>
        <row r="21">
          <cell r="X21">
            <v>13.827172632901938</v>
          </cell>
        </row>
        <row r="22">
          <cell r="X22">
            <v>14.301747941367564</v>
          </cell>
        </row>
        <row r="23">
          <cell r="X23">
            <v>13.426025813763991</v>
          </cell>
        </row>
        <row r="24">
          <cell r="X24">
            <v>13.072212785512038</v>
          </cell>
        </row>
      </sheetData>
      <sheetData sheetId="31"/>
      <sheetData sheetId="32">
        <row r="10">
          <cell r="X10">
            <v>35.124627644848474</v>
          </cell>
        </row>
        <row r="16">
          <cell r="X16">
            <v>11.61548392373474</v>
          </cell>
        </row>
        <row r="17">
          <cell r="X17">
            <v>11.76480412348679</v>
          </cell>
        </row>
        <row r="18">
          <cell r="X18">
            <v>11.837846243950706</v>
          </cell>
        </row>
        <row r="19">
          <cell r="X19">
            <v>11.912834916248929</v>
          </cell>
        </row>
        <row r="20">
          <cell r="X20">
            <v>11.627060017913516</v>
          </cell>
        </row>
        <row r="21">
          <cell r="X21">
            <v>11.752836311878896</v>
          </cell>
        </row>
        <row r="22">
          <cell r="X22">
            <v>11.677648900746965</v>
          </cell>
        </row>
        <row r="23">
          <cell r="X23">
            <v>11.559514702068325</v>
          </cell>
        </row>
        <row r="24">
          <cell r="X24">
            <v>11.563056200026704</v>
          </cell>
        </row>
      </sheetData>
      <sheetData sheetId="33"/>
      <sheetData sheetId="34">
        <row r="10">
          <cell r="X10">
            <v>35.889595858153172</v>
          </cell>
        </row>
        <row r="16">
          <cell r="X16">
            <v>12.344331532065398</v>
          </cell>
        </row>
        <row r="17">
          <cell r="X17">
            <v>12.665820234565043</v>
          </cell>
        </row>
        <row r="18">
          <cell r="X18">
            <v>12.616653588092237</v>
          </cell>
        </row>
        <row r="19">
          <cell r="X19">
            <v>12.98807351925738</v>
          </cell>
        </row>
        <row r="20">
          <cell r="X20">
            <v>13.314389670861695</v>
          </cell>
        </row>
        <row r="21">
          <cell r="X21">
            <v>13.34062007884938</v>
          </cell>
        </row>
        <row r="22">
          <cell r="X22">
            <v>13.090670263898168</v>
          </cell>
        </row>
        <row r="23">
          <cell r="X23">
            <v>13.315224885279749</v>
          </cell>
        </row>
        <row r="24">
          <cell r="X24">
            <v>13.40259175636052</v>
          </cell>
        </row>
      </sheetData>
      <sheetData sheetId="35"/>
      <sheetData sheetId="36">
        <row r="10">
          <cell r="X10">
            <v>35.577562299564455</v>
          </cell>
        </row>
        <row r="16">
          <cell r="X16">
            <v>13.298505337817936</v>
          </cell>
        </row>
        <row r="17">
          <cell r="X17">
            <v>13.864437124394412</v>
          </cell>
        </row>
        <row r="18">
          <cell r="X18">
            <v>13.006501116125257</v>
          </cell>
        </row>
        <row r="19">
          <cell r="X19">
            <v>11.544352218802365</v>
          </cell>
        </row>
        <row r="20">
          <cell r="X20">
            <v>11.474967411437458</v>
          </cell>
        </row>
        <row r="21">
          <cell r="X21">
            <v>11.490740776559658</v>
          </cell>
        </row>
        <row r="22">
          <cell r="X22">
            <v>10.130528591499115</v>
          </cell>
        </row>
        <row r="23">
          <cell r="X23">
            <v>9.8363085101293066</v>
          </cell>
        </row>
        <row r="24">
          <cell r="X24">
            <v>9.7044399780336086</v>
          </cell>
        </row>
      </sheetData>
      <sheetData sheetId="37"/>
      <sheetData sheetId="38">
        <row r="10">
          <cell r="X10">
            <v>35.071367864025824</v>
          </cell>
        </row>
        <row r="16">
          <cell r="X16">
            <v>13.290727669333757</v>
          </cell>
        </row>
        <row r="17">
          <cell r="X17">
            <v>13.953436853439987</v>
          </cell>
        </row>
        <row r="18">
          <cell r="X18">
            <v>13.708815454862799</v>
          </cell>
        </row>
        <row r="19">
          <cell r="X19">
            <v>12.99894356630972</v>
          </cell>
        </row>
        <row r="20">
          <cell r="X20">
            <v>12.890523379934185</v>
          </cell>
        </row>
        <row r="21">
          <cell r="X21">
            <v>11.131222530472071</v>
          </cell>
        </row>
        <row r="22">
          <cell r="X22">
            <v>10.131255171733685</v>
          </cell>
        </row>
        <row r="23">
          <cell r="X23">
            <v>10.029985690557123</v>
          </cell>
        </row>
        <row r="24">
          <cell r="X24">
            <v>10.293712712627686</v>
          </cell>
        </row>
      </sheetData>
      <sheetData sheetId="39"/>
      <sheetData sheetId="40">
        <row r="10">
          <cell r="X10">
            <v>35.775220333341352</v>
          </cell>
        </row>
        <row r="16">
          <cell r="X16">
            <v>13.20374088966375</v>
          </cell>
        </row>
        <row r="17">
          <cell r="X17">
            <v>13.249365801262449</v>
          </cell>
        </row>
        <row r="18">
          <cell r="X18">
            <v>12.851914203002108</v>
          </cell>
        </row>
        <row r="19">
          <cell r="X19">
            <v>12.77824930131337</v>
          </cell>
        </row>
        <row r="20">
          <cell r="X20">
            <v>12.741758206319192</v>
          </cell>
        </row>
        <row r="21">
          <cell r="X21">
            <v>13.361476222720601</v>
          </cell>
        </row>
        <row r="22">
          <cell r="X22">
            <v>12.873453039786794</v>
          </cell>
        </row>
        <row r="23">
          <cell r="X23">
            <v>13.154963418772068</v>
          </cell>
        </row>
        <row r="24">
          <cell r="X24">
            <v>13.157133202748897</v>
          </cell>
        </row>
      </sheetData>
      <sheetData sheetId="41"/>
      <sheetData sheetId="42">
        <row r="10">
          <cell r="X10">
            <v>36.024587694524222</v>
          </cell>
        </row>
        <row r="16">
          <cell r="X16">
            <v>14.586576763325949</v>
          </cell>
        </row>
        <row r="17">
          <cell r="X17">
            <v>15.430169274281919</v>
          </cell>
        </row>
        <row r="18">
          <cell r="X18">
            <v>15.141812324336861</v>
          </cell>
        </row>
        <row r="19">
          <cell r="X19">
            <v>15.737367353128313</v>
          </cell>
        </row>
        <row r="20">
          <cell r="X20">
            <v>15.054659217889721</v>
          </cell>
        </row>
        <row r="21">
          <cell r="X21">
            <v>13.957935486446409</v>
          </cell>
        </row>
        <row r="22">
          <cell r="X22">
            <v>15.43687376814748</v>
          </cell>
        </row>
        <row r="23">
          <cell r="X23">
            <v>14.967142877895022</v>
          </cell>
        </row>
        <row r="24">
          <cell r="X24">
            <v>13.795142716584293</v>
          </cell>
        </row>
      </sheetData>
      <sheetData sheetId="43"/>
      <sheetData sheetId="44">
        <row r="10">
          <cell r="X10">
            <v>35.032638682363753</v>
          </cell>
        </row>
        <row r="16">
          <cell r="X16">
            <v>11.391451913717018</v>
          </cell>
        </row>
        <row r="17">
          <cell r="X17">
            <v>11.686368013048931</v>
          </cell>
        </row>
        <row r="18">
          <cell r="X18">
            <v>11.86770611887848</v>
          </cell>
        </row>
        <row r="19">
          <cell r="X19">
            <v>12.138243624373883</v>
          </cell>
        </row>
        <row r="20">
          <cell r="X20">
            <v>12.180961058652345</v>
          </cell>
        </row>
        <row r="21">
          <cell r="X21">
            <v>12.270632567160654</v>
          </cell>
        </row>
        <row r="22">
          <cell r="X22">
            <v>12.725130957764883</v>
          </cell>
        </row>
        <row r="23">
          <cell r="X23">
            <v>13.32210270810809</v>
          </cell>
        </row>
        <row r="24">
          <cell r="X24">
            <v>13.839568071421073</v>
          </cell>
        </row>
      </sheetData>
      <sheetData sheetId="45"/>
      <sheetData sheetId="46">
        <row r="10">
          <cell r="X10">
            <v>33.855918906132381</v>
          </cell>
        </row>
        <row r="16">
          <cell r="X16">
            <v>12.875017153225423</v>
          </cell>
        </row>
        <row r="17">
          <cell r="X17">
            <v>12.953556046778143</v>
          </cell>
        </row>
        <row r="18">
          <cell r="X18">
            <v>13.485150114952898</v>
          </cell>
        </row>
        <row r="19">
          <cell r="X19">
            <v>13.079812602815855</v>
          </cell>
        </row>
        <row r="20">
          <cell r="X20">
            <v>12.545569315747434</v>
          </cell>
        </row>
        <row r="21">
          <cell r="X21">
            <v>12.747840343735698</v>
          </cell>
        </row>
        <row r="22">
          <cell r="X22">
            <v>12.933711866120593</v>
          </cell>
        </row>
        <row r="23">
          <cell r="X23">
            <v>11.318421414755747</v>
          </cell>
        </row>
        <row r="24">
          <cell r="X24">
            <v>10.486542548876034</v>
          </cell>
        </row>
      </sheetData>
      <sheetData sheetId="47"/>
      <sheetData sheetId="48">
        <row r="10">
          <cell r="X10">
            <v>34.888949308937157</v>
          </cell>
        </row>
        <row r="16">
          <cell r="X16">
            <v>11.481473743580452</v>
          </cell>
        </row>
        <row r="17">
          <cell r="X17">
            <v>12.407343779175541</v>
          </cell>
        </row>
        <row r="18">
          <cell r="X18">
            <v>11.098794697187669</v>
          </cell>
        </row>
        <row r="19">
          <cell r="X19">
            <v>10.597231135102133</v>
          </cell>
        </row>
        <row r="20">
          <cell r="X20">
            <v>9.767359497465506</v>
          </cell>
        </row>
        <row r="21">
          <cell r="X21">
            <v>10.257587917999178</v>
          </cell>
        </row>
        <row r="22">
          <cell r="X22">
            <v>9.7692040378243625</v>
          </cell>
        </row>
        <row r="23">
          <cell r="X23">
            <v>9.1454766930817204</v>
          </cell>
        </row>
        <row r="24">
          <cell r="X24">
            <v>8.8953332931568081</v>
          </cell>
        </row>
      </sheetData>
      <sheetData sheetId="49"/>
      <sheetData sheetId="50">
        <row r="10">
          <cell r="X10">
            <v>35.259644040130894</v>
          </cell>
        </row>
        <row r="16">
          <cell r="X16">
            <v>10.426677388563824</v>
          </cell>
        </row>
        <row r="17">
          <cell r="X17">
            <v>11.731830975840266</v>
          </cell>
        </row>
        <row r="18">
          <cell r="X18">
            <v>10.721464743337375</v>
          </cell>
        </row>
        <row r="19">
          <cell r="X19">
            <v>11.807983484032784</v>
          </cell>
        </row>
        <row r="20">
          <cell r="X20">
            <v>12.890381538739115</v>
          </cell>
        </row>
        <row r="21">
          <cell r="X21">
            <v>12.108053325670557</v>
          </cell>
        </row>
        <row r="22">
          <cell r="X22">
            <v>13.368513136133025</v>
          </cell>
        </row>
        <row r="23">
          <cell r="X23">
            <v>12.055291605153124</v>
          </cell>
        </row>
        <row r="24">
          <cell r="X24">
            <v>12.765185318968888</v>
          </cell>
        </row>
      </sheetData>
      <sheetData sheetId="51"/>
      <sheetData sheetId="52">
        <row r="10">
          <cell r="X10">
            <v>34.05053683629658</v>
          </cell>
        </row>
        <row r="16">
          <cell r="X16">
            <v>11.660048739775089</v>
          </cell>
        </row>
        <row r="17">
          <cell r="X17">
            <v>11.801816813420341</v>
          </cell>
        </row>
        <row r="18">
          <cell r="X18">
            <v>11.310630036307044</v>
          </cell>
        </row>
        <row r="19">
          <cell r="X19">
            <v>11.730556175287369</v>
          </cell>
        </row>
        <row r="20">
          <cell r="X20">
            <v>11.079022130919864</v>
          </cell>
        </row>
        <row r="21">
          <cell r="X21">
            <v>11.179093507277962</v>
          </cell>
        </row>
        <row r="22">
          <cell r="X22">
            <v>11.01717407216835</v>
          </cell>
        </row>
        <row r="23">
          <cell r="X23">
            <v>10.653358312205254</v>
          </cell>
        </row>
        <row r="24">
          <cell r="X24">
            <v>10.717184735750331</v>
          </cell>
        </row>
      </sheetData>
      <sheetData sheetId="53"/>
      <sheetData sheetId="54">
        <row r="10">
          <cell r="X10">
            <v>34.092889318361379</v>
          </cell>
        </row>
        <row r="16">
          <cell r="X16">
            <v>10.697056084645801</v>
          </cell>
        </row>
        <row r="17">
          <cell r="X17">
            <v>10.677431712743301</v>
          </cell>
        </row>
        <row r="18">
          <cell r="X18">
            <v>10.669312470179467</v>
          </cell>
        </row>
        <row r="19">
          <cell r="X19">
            <v>10.878191496291448</v>
          </cell>
        </row>
        <row r="20">
          <cell r="X20">
            <v>11.506709685878642</v>
          </cell>
        </row>
        <row r="21">
          <cell r="X21">
            <v>11.264620678589798</v>
          </cell>
        </row>
        <row r="22">
          <cell r="X22">
            <v>10.808727465327499</v>
          </cell>
        </row>
        <row r="23">
          <cell r="X23">
            <v>11.156248685401771</v>
          </cell>
        </row>
        <row r="24">
          <cell r="X24">
            <v>10.942027460971929</v>
          </cell>
        </row>
      </sheetData>
      <sheetData sheetId="55"/>
      <sheetData sheetId="56">
        <row r="10">
          <cell r="X10">
            <v>34.584546493004275</v>
          </cell>
        </row>
        <row r="16">
          <cell r="X16">
            <v>11.529647277413412</v>
          </cell>
        </row>
        <row r="17">
          <cell r="X17">
            <v>11.61004958441365</v>
          </cell>
        </row>
        <row r="18">
          <cell r="X18">
            <v>11.7623115495277</v>
          </cell>
        </row>
        <row r="19">
          <cell r="X19">
            <v>12.026490621565154</v>
          </cell>
        </row>
        <row r="20">
          <cell r="X20">
            <v>12.018192478992134</v>
          </cell>
        </row>
        <row r="21">
          <cell r="X21">
            <v>12.269003585542469</v>
          </cell>
        </row>
        <row r="22">
          <cell r="X22">
            <v>12.436872164753582</v>
          </cell>
        </row>
        <row r="23">
          <cell r="X23">
            <v>12.534953667443759</v>
          </cell>
        </row>
        <row r="24">
          <cell r="X24">
            <v>12.962710472645817</v>
          </cell>
        </row>
      </sheetData>
      <sheetData sheetId="57"/>
      <sheetData sheetId="58">
        <row r="10">
          <cell r="X10">
            <v>35.565442272862548</v>
          </cell>
        </row>
        <row r="16">
          <cell r="X16">
            <v>12.885680859068721</v>
          </cell>
        </row>
        <row r="17">
          <cell r="X17">
            <v>12.544317101009078</v>
          </cell>
        </row>
        <row r="18">
          <cell r="X18">
            <v>12.449561022365632</v>
          </cell>
        </row>
        <row r="19">
          <cell r="X19">
            <v>11.655376312379815</v>
          </cell>
        </row>
        <row r="20">
          <cell r="X20">
            <v>11.951914288726174</v>
          </cell>
        </row>
        <row r="21">
          <cell r="X21">
            <v>11.957434130496029</v>
          </cell>
        </row>
        <row r="22">
          <cell r="X22">
            <v>11.546662616329588</v>
          </cell>
        </row>
        <row r="23">
          <cell r="X23">
            <v>10.895507987473209</v>
          </cell>
        </row>
        <row r="24">
          <cell r="X24">
            <v>10.779584952992801</v>
          </cell>
        </row>
      </sheetData>
      <sheetData sheetId="59"/>
      <sheetData sheetId="60">
        <row r="10">
          <cell r="X10">
            <v>31.10996523564727</v>
          </cell>
        </row>
        <row r="16">
          <cell r="X16">
            <v>7.6544578745410314</v>
          </cell>
        </row>
        <row r="17">
          <cell r="X17">
            <v>7.6587686807263404</v>
          </cell>
        </row>
        <row r="18">
          <cell r="X18">
            <v>6.8548408909688714</v>
          </cell>
        </row>
        <row r="19">
          <cell r="X19">
            <v>6.8168077101119273</v>
          </cell>
        </row>
        <row r="20">
          <cell r="X20">
            <v>6.3630285643241544</v>
          </cell>
        </row>
        <row r="21">
          <cell r="X21">
            <v>6.8449133468620564</v>
          </cell>
        </row>
        <row r="22">
          <cell r="X22">
            <v>6.8967858638914121</v>
          </cell>
        </row>
        <row r="23">
          <cell r="X23">
            <v>6.8976754011843493</v>
          </cell>
        </row>
        <row r="24">
          <cell r="X24">
            <v>7.6324446661093877</v>
          </cell>
        </row>
      </sheetData>
      <sheetData sheetId="61"/>
      <sheetData sheetId="62">
        <row r="10">
          <cell r="X10">
            <v>31.072163995202125</v>
          </cell>
        </row>
        <row r="16">
          <cell r="X16">
            <v>7.763025408260412</v>
          </cell>
        </row>
        <row r="17">
          <cell r="X17">
            <v>8.7867065224832626</v>
          </cell>
        </row>
        <row r="18">
          <cell r="X18">
            <v>8.7072393903354204</v>
          </cell>
        </row>
        <row r="19">
          <cell r="X19">
            <v>8.5182695852963075</v>
          </cell>
        </row>
        <row r="20">
          <cell r="X20">
            <v>7.8776191126429183</v>
          </cell>
        </row>
        <row r="21">
          <cell r="X21">
            <v>7.6368088807945584</v>
          </cell>
        </row>
        <row r="22">
          <cell r="X22">
            <v>7.2020589603376033</v>
          </cell>
        </row>
        <row r="23">
          <cell r="X23">
            <v>8.0312725697824465</v>
          </cell>
        </row>
        <row r="24">
          <cell r="X24">
            <v>7.8368671715901304</v>
          </cell>
        </row>
      </sheetData>
      <sheetData sheetId="63"/>
      <sheetData sheetId="64">
        <row r="10">
          <cell r="X10">
            <v>33.315205299508278</v>
          </cell>
        </row>
        <row r="16">
          <cell r="X16">
            <v>9.0568712568266321</v>
          </cell>
        </row>
        <row r="17">
          <cell r="X17">
            <v>9.4274987573927582</v>
          </cell>
        </row>
        <row r="18">
          <cell r="X18">
            <v>9.1868249921398082</v>
          </cell>
        </row>
        <row r="19">
          <cell r="X19">
            <v>9.0502285374283957</v>
          </cell>
        </row>
        <row r="20">
          <cell r="X20">
            <v>8.7852583087688885</v>
          </cell>
        </row>
        <row r="21">
          <cell r="X21">
            <v>8.8932198573126975</v>
          </cell>
        </row>
        <row r="22">
          <cell r="X22">
            <v>9.429637270532341</v>
          </cell>
        </row>
        <row r="23">
          <cell r="X23">
            <v>9.6635079800765062</v>
          </cell>
        </row>
        <row r="24">
          <cell r="X24">
            <v>8.985818603884713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JUNHO DE 2024</v>
          </cell>
        </row>
        <row r="16">
          <cell r="X16">
            <v>8.8222206120813631</v>
          </cell>
        </row>
        <row r="17">
          <cell r="X17">
            <v>8.9695116361645777</v>
          </cell>
        </row>
        <row r="18">
          <cell r="X18">
            <v>9.1177925679584693</v>
          </cell>
        </row>
        <row r="19">
          <cell r="X19">
            <v>9.2672495904482908</v>
          </cell>
        </row>
        <row r="20">
          <cell r="X20">
            <v>8.8428425855377792</v>
          </cell>
        </row>
        <row r="21">
          <cell r="X21">
            <v>8.8302981797442222</v>
          </cell>
        </row>
        <row r="22">
          <cell r="X22">
            <v>7.8412944637807369</v>
          </cell>
        </row>
        <row r="23">
          <cell r="X23">
            <v>7.8965956121762382</v>
          </cell>
        </row>
        <row r="24">
          <cell r="X24">
            <v>7.8387858737123235</v>
          </cell>
        </row>
      </sheetData>
      <sheetData sheetId="5"/>
      <sheetData sheetId="6">
        <row r="10">
          <cell r="X10">
            <v>33.641388263610189</v>
          </cell>
        </row>
        <row r="16">
          <cell r="X16">
            <v>9.5191292831275867</v>
          </cell>
        </row>
        <row r="17">
          <cell r="X17">
            <v>9.9757513450112949</v>
          </cell>
        </row>
        <row r="18">
          <cell r="X18">
            <v>9.447914111357516</v>
          </cell>
        </row>
        <row r="19">
          <cell r="X19">
            <v>9.0285962883449962</v>
          </cell>
        </row>
        <row r="20">
          <cell r="X20">
            <v>9.9317331047673534</v>
          </cell>
        </row>
        <row r="21">
          <cell r="X21">
            <v>9.1172461471749298</v>
          </cell>
        </row>
        <row r="22">
          <cell r="X22">
            <v>9.8113887376941538</v>
          </cell>
        </row>
        <row r="23">
          <cell r="X23">
            <v>8.9194350010123351</v>
          </cell>
        </row>
        <row r="24">
          <cell r="X24">
            <v>8.2795104705608171</v>
          </cell>
        </row>
      </sheetData>
      <sheetData sheetId="7"/>
      <sheetData sheetId="8">
        <row r="10">
          <cell r="X10">
            <v>33.108290060494085</v>
          </cell>
        </row>
        <row r="16">
          <cell r="X16">
            <v>10.659364841477174</v>
          </cell>
        </row>
        <row r="17">
          <cell r="X17">
            <v>10.854306068074086</v>
          </cell>
        </row>
        <row r="18">
          <cell r="X18">
            <v>10.854172635658138</v>
          </cell>
        </row>
        <row r="19">
          <cell r="X19">
            <v>10.911120255353838</v>
          </cell>
        </row>
        <row r="20">
          <cell r="X20">
            <v>10.371229800960059</v>
          </cell>
        </row>
        <row r="21">
          <cell r="X21">
            <v>10.333341061715041</v>
          </cell>
        </row>
        <row r="22">
          <cell r="X22">
            <v>9.8883366037110978</v>
          </cell>
        </row>
        <row r="23">
          <cell r="X23">
            <v>9.3200766542690374</v>
          </cell>
        </row>
        <row r="24">
          <cell r="X24">
            <v>10.407463689599439</v>
          </cell>
        </row>
      </sheetData>
      <sheetData sheetId="9"/>
      <sheetData sheetId="10">
        <row r="10">
          <cell r="X10">
            <v>33.62471465636218</v>
          </cell>
        </row>
        <row r="16">
          <cell r="X16">
            <v>11.690528836633959</v>
          </cell>
        </row>
        <row r="17">
          <cell r="X17">
            <v>11.640066097745629</v>
          </cell>
        </row>
        <row r="18">
          <cell r="X18">
            <v>11.69965183195314</v>
          </cell>
        </row>
        <row r="19">
          <cell r="X19">
            <v>11.519778186476019</v>
          </cell>
        </row>
        <row r="20">
          <cell r="X20">
            <v>11.84495548149826</v>
          </cell>
        </row>
        <row r="21">
          <cell r="X21">
            <v>11.509352026582203</v>
          </cell>
        </row>
        <row r="22">
          <cell r="X22">
            <v>12.050126889530933</v>
          </cell>
        </row>
        <row r="23">
          <cell r="X23">
            <v>11.199945625647645</v>
          </cell>
        </row>
        <row r="24">
          <cell r="X24">
            <v>11.030717590255668</v>
          </cell>
        </row>
      </sheetData>
      <sheetData sheetId="11"/>
      <sheetData sheetId="12">
        <row r="10">
          <cell r="X10">
            <v>33.936396815458416</v>
          </cell>
        </row>
        <row r="16">
          <cell r="X16">
            <v>10.938495807559447</v>
          </cell>
        </row>
        <row r="17">
          <cell r="X17">
            <v>11.097031540548141</v>
          </cell>
        </row>
        <row r="18">
          <cell r="X18">
            <v>11.300178966950702</v>
          </cell>
        </row>
        <row r="19">
          <cell r="X19">
            <v>11.192401523763744</v>
          </cell>
        </row>
        <row r="20">
          <cell r="X20">
            <v>11.092478269978526</v>
          </cell>
        </row>
        <row r="21">
          <cell r="X21">
            <v>11.216080198004613</v>
          </cell>
        </row>
        <row r="22">
          <cell r="X22">
            <v>10.644219445884568</v>
          </cell>
        </row>
        <row r="23">
          <cell r="X23">
            <v>10.03372201693861</v>
          </cell>
        </row>
        <row r="24">
          <cell r="X24">
            <v>9.8313180319455302</v>
          </cell>
        </row>
      </sheetData>
      <sheetData sheetId="13"/>
      <sheetData sheetId="14">
        <row r="10">
          <cell r="X10">
            <v>34.837735637472875</v>
          </cell>
        </row>
        <row r="16">
          <cell r="X16">
            <v>11.053120318333008</v>
          </cell>
        </row>
        <row r="17">
          <cell r="X17">
            <v>11.117098840644347</v>
          </cell>
        </row>
        <row r="18">
          <cell r="X18">
            <v>11.395807809656306</v>
          </cell>
        </row>
        <row r="19">
          <cell r="X19">
            <v>11.530088879699651</v>
          </cell>
        </row>
        <row r="20">
          <cell r="X20">
            <v>10.942648235088525</v>
          </cell>
        </row>
        <row r="21">
          <cell r="X21">
            <v>10.810893684462689</v>
          </cell>
        </row>
        <row r="22">
          <cell r="X22">
            <v>9.9846569362803255</v>
          </cell>
        </row>
        <row r="23">
          <cell r="X23">
            <v>8.6103432954928838</v>
          </cell>
        </row>
        <row r="24">
          <cell r="X24">
            <v>8.5997486890971864</v>
          </cell>
        </row>
      </sheetData>
      <sheetData sheetId="15"/>
      <sheetData sheetId="16">
        <row r="10">
          <cell r="X10">
            <v>32.886172400126924</v>
          </cell>
        </row>
        <row r="16">
          <cell r="X16">
            <v>10.188526218376509</v>
          </cell>
        </row>
        <row r="17">
          <cell r="X17">
            <v>11.506477519883646</v>
          </cell>
        </row>
        <row r="18">
          <cell r="X18">
            <v>12.085983205109635</v>
          </cell>
        </row>
        <row r="19">
          <cell r="X19">
            <v>11.617417114321146</v>
          </cell>
        </row>
        <row r="20">
          <cell r="X20">
            <v>11.248920856373141</v>
          </cell>
        </row>
        <row r="21">
          <cell r="X21">
            <v>9.836351535525532</v>
          </cell>
        </row>
        <row r="22">
          <cell r="X22">
            <v>8.417870252497238</v>
          </cell>
        </row>
        <row r="23">
          <cell r="X23">
            <v>7.5528191454210001</v>
          </cell>
        </row>
        <row r="24">
          <cell r="X24">
            <v>7.7068267382537368</v>
          </cell>
        </row>
      </sheetData>
      <sheetData sheetId="17"/>
      <sheetData sheetId="18">
        <row r="10">
          <cell r="X10">
            <v>34.088373147595838</v>
          </cell>
        </row>
        <row r="16">
          <cell r="X16">
            <v>9.6173786826677556</v>
          </cell>
        </row>
        <row r="17">
          <cell r="X17">
            <v>11.05029649785828</v>
          </cell>
        </row>
        <row r="18">
          <cell r="X18">
            <v>10.339023509743509</v>
          </cell>
        </row>
        <row r="19">
          <cell r="X19">
            <v>10.137506380927457</v>
          </cell>
        </row>
        <row r="20">
          <cell r="X20">
            <v>10.167074721181809</v>
          </cell>
        </row>
        <row r="21">
          <cell r="X21">
            <v>9.9663946376717369</v>
          </cell>
        </row>
        <row r="22">
          <cell r="X22">
            <v>9.7290779689652549</v>
          </cell>
        </row>
        <row r="23">
          <cell r="X23">
            <v>9.2389273134480998</v>
          </cell>
        </row>
        <row r="24">
          <cell r="X24">
            <v>8.872390380245637</v>
          </cell>
        </row>
      </sheetData>
      <sheetData sheetId="19"/>
      <sheetData sheetId="20">
        <row r="10">
          <cell r="X10">
            <v>33.63202024512421</v>
          </cell>
        </row>
        <row r="16">
          <cell r="X16">
            <v>10.623866505326935</v>
          </cell>
        </row>
        <row r="17">
          <cell r="X17">
            <v>11.620624425952526</v>
          </cell>
        </row>
        <row r="18">
          <cell r="X18">
            <v>11.253697747745802</v>
          </cell>
        </row>
        <row r="19">
          <cell r="X19">
            <v>11.45142824735292</v>
          </cell>
        </row>
        <row r="20">
          <cell r="X20">
            <v>10.364169688483205</v>
          </cell>
        </row>
        <row r="21">
          <cell r="X21">
            <v>10.508534367307011</v>
          </cell>
        </row>
        <row r="22">
          <cell r="X22">
            <v>9.8523586899587698</v>
          </cell>
        </row>
        <row r="23">
          <cell r="X23">
            <v>10.166846135862794</v>
          </cell>
        </row>
        <row r="24">
          <cell r="X24">
            <v>9.6214801046632967</v>
          </cell>
        </row>
      </sheetData>
      <sheetData sheetId="21"/>
      <sheetData sheetId="22">
        <row r="10">
          <cell r="X10">
            <v>33.471560971965445</v>
          </cell>
        </row>
        <row r="16">
          <cell r="X16">
            <v>9.7587051654328718</v>
          </cell>
        </row>
        <row r="17">
          <cell r="X17">
            <v>10.81630646086378</v>
          </cell>
        </row>
        <row r="18">
          <cell r="X18">
            <v>10.631552619832432</v>
          </cell>
        </row>
        <row r="19">
          <cell r="X19">
            <v>9.5468167908771218</v>
          </cell>
        </row>
        <row r="20">
          <cell r="X20">
            <v>9.9088814699127212</v>
          </cell>
        </row>
        <row r="21">
          <cell r="X21">
            <v>10.687476455426291</v>
          </cell>
        </row>
        <row r="22">
          <cell r="X22">
            <v>10.201474408188474</v>
          </cell>
        </row>
        <row r="23">
          <cell r="X23">
            <v>9.4870293440494304</v>
          </cell>
        </row>
        <row r="24">
          <cell r="X24">
            <v>9.7924846983414735</v>
          </cell>
        </row>
      </sheetData>
      <sheetData sheetId="23"/>
      <sheetData sheetId="24">
        <row r="10">
          <cell r="X10">
            <v>33.435483513535083</v>
          </cell>
        </row>
        <row r="16">
          <cell r="X16">
            <v>10.425346205204507</v>
          </cell>
        </row>
        <row r="17">
          <cell r="X17">
            <v>11.671041710348304</v>
          </cell>
        </row>
        <row r="18">
          <cell r="X18">
            <v>11.476239935343735</v>
          </cell>
        </row>
        <row r="19">
          <cell r="X19">
            <v>11.227828836626575</v>
          </cell>
        </row>
        <row r="20">
          <cell r="X20">
            <v>11.169144388763874</v>
          </cell>
        </row>
        <row r="21">
          <cell r="X21">
            <v>9.4371697884596362</v>
          </cell>
        </row>
        <row r="22">
          <cell r="X22">
            <v>8.7447038607735799</v>
          </cell>
        </row>
        <row r="23">
          <cell r="X23">
            <v>9.1618612026729807</v>
          </cell>
        </row>
        <row r="24">
          <cell r="X24">
            <v>12.071045624632792</v>
          </cell>
        </row>
      </sheetData>
      <sheetData sheetId="25"/>
      <sheetData sheetId="26">
        <row r="10">
          <cell r="X10">
            <v>33.65407676902948</v>
          </cell>
        </row>
        <row r="16">
          <cell r="X16">
            <v>9.8963953137570488</v>
          </cell>
        </row>
        <row r="17">
          <cell r="X17">
            <v>11.09935848600381</v>
          </cell>
        </row>
        <row r="18">
          <cell r="X18">
            <v>10.385528741870504</v>
          </cell>
        </row>
        <row r="19">
          <cell r="X19">
            <v>10.486267882203435</v>
          </cell>
        </row>
        <row r="20">
          <cell r="X20">
            <v>10.319916486311087</v>
          </cell>
        </row>
        <row r="21">
          <cell r="X21">
            <v>9.6200072060309676</v>
          </cell>
        </row>
        <row r="22">
          <cell r="X22">
            <v>8.8010303654625019</v>
          </cell>
        </row>
        <row r="23">
          <cell r="X23">
            <v>8.0258287428803445</v>
          </cell>
        </row>
        <row r="24">
          <cell r="X24">
            <v>7.5905159286590536</v>
          </cell>
        </row>
      </sheetData>
      <sheetData sheetId="27"/>
      <sheetData sheetId="28">
        <row r="10">
          <cell r="X10">
            <v>33.834816744009281</v>
          </cell>
        </row>
        <row r="16">
          <cell r="X16">
            <v>9.9154971283553888</v>
          </cell>
        </row>
        <row r="17">
          <cell r="X17">
            <v>10.587506339618734</v>
          </cell>
        </row>
        <row r="18">
          <cell r="X18">
            <v>10.050361018565798</v>
          </cell>
        </row>
        <row r="19">
          <cell r="X19">
            <v>9.3697772089754672</v>
          </cell>
        </row>
        <row r="20">
          <cell r="X20">
            <v>8.8685081992093586</v>
          </cell>
        </row>
        <row r="21">
          <cell r="X21">
            <v>8.3716267074685717</v>
          </cell>
        </row>
        <row r="22">
          <cell r="X22">
            <v>7.3080162474821027</v>
          </cell>
        </row>
        <row r="23">
          <cell r="X23">
            <v>6.877681517116395</v>
          </cell>
        </row>
        <row r="24">
          <cell r="X24">
            <v>6.7531959756769071</v>
          </cell>
        </row>
      </sheetData>
      <sheetData sheetId="29"/>
      <sheetData sheetId="30">
        <row r="10">
          <cell r="X10">
            <v>30.536970840834137</v>
          </cell>
        </row>
        <row r="16">
          <cell r="X16">
            <v>7.5332787664101817</v>
          </cell>
        </row>
        <row r="17">
          <cell r="X17">
            <v>8.439446457782072</v>
          </cell>
        </row>
        <row r="18">
          <cell r="X18">
            <v>8.0323954339835417</v>
          </cell>
        </row>
        <row r="19">
          <cell r="X19">
            <v>8.0189095962161829</v>
          </cell>
        </row>
        <row r="20">
          <cell r="X20">
            <v>8.0037326287000727</v>
          </cell>
        </row>
        <row r="21">
          <cell r="X21">
            <v>8.4427575613233845</v>
          </cell>
        </row>
        <row r="22">
          <cell r="X22">
            <v>8.2418172406693646</v>
          </cell>
        </row>
        <row r="23">
          <cell r="X23">
            <v>7.7621332134901762</v>
          </cell>
        </row>
        <row r="24">
          <cell r="X24">
            <v>8.6934799379487107</v>
          </cell>
        </row>
      </sheetData>
      <sheetData sheetId="31"/>
      <sheetData sheetId="32">
        <row r="10">
          <cell r="X10">
            <v>34.708437776382759</v>
          </cell>
        </row>
        <row r="16">
          <cell r="X16">
            <v>9.9790586411241939</v>
          </cell>
        </row>
        <row r="17">
          <cell r="X17">
            <v>10.715192901388569</v>
          </cell>
        </row>
        <row r="18">
          <cell r="X18">
            <v>10.443856132802198</v>
          </cell>
        </row>
        <row r="19">
          <cell r="X19">
            <v>10.514662275097306</v>
          </cell>
        </row>
        <row r="20">
          <cell r="X20">
            <v>10.881328880865293</v>
          </cell>
        </row>
        <row r="21">
          <cell r="X21">
            <v>9.9976398361716434</v>
          </cell>
        </row>
        <row r="22">
          <cell r="X22">
            <v>9.7589707229838076</v>
          </cell>
        </row>
        <row r="23">
          <cell r="X23">
            <v>9.3037067659505883</v>
          </cell>
        </row>
        <row r="24">
          <cell r="X24">
            <v>8.6774515478385865</v>
          </cell>
        </row>
      </sheetData>
      <sheetData sheetId="33"/>
      <sheetData sheetId="34">
        <row r="10">
          <cell r="X10">
            <v>33.462700906108829</v>
          </cell>
        </row>
        <row r="16">
          <cell r="X16">
            <v>10.573565886068465</v>
          </cell>
        </row>
        <row r="17">
          <cell r="X17">
            <v>12.435734147137516</v>
          </cell>
        </row>
        <row r="18">
          <cell r="X18">
            <v>11.038352441075384</v>
          </cell>
        </row>
        <row r="19">
          <cell r="X19">
            <v>10.913878810557391</v>
          </cell>
        </row>
        <row r="20">
          <cell r="X20">
            <v>10.087060350778872</v>
          </cell>
        </row>
        <row r="21">
          <cell r="X21">
            <v>10.753095355843453</v>
          </cell>
        </row>
        <row r="22">
          <cell r="X22">
            <v>9.3587019590747147</v>
          </cell>
        </row>
        <row r="23">
          <cell r="X23">
            <v>8.2901363078812533</v>
          </cell>
        </row>
        <row r="24">
          <cell r="X24">
            <v>8.8016802753517762</v>
          </cell>
        </row>
      </sheetData>
      <sheetData sheetId="35"/>
      <sheetData sheetId="36">
        <row r="10">
          <cell r="X10">
            <v>35.817026870924465</v>
          </cell>
        </row>
        <row r="16">
          <cell r="X16">
            <v>9.2122936244407807</v>
          </cell>
        </row>
        <row r="17">
          <cell r="X17">
            <v>10.049014211644907</v>
          </cell>
        </row>
        <row r="18">
          <cell r="X18">
            <v>9.7153458775028199</v>
          </cell>
        </row>
        <row r="19">
          <cell r="X19">
            <v>8.9354369159646243</v>
          </cell>
        </row>
        <row r="20">
          <cell r="X20">
            <v>9.4521563404068996</v>
          </cell>
        </row>
        <row r="21">
          <cell r="X21">
            <v>9.1270741176569867</v>
          </cell>
        </row>
        <row r="22">
          <cell r="X22">
            <v>8.6804352253273613</v>
          </cell>
        </row>
        <row r="23">
          <cell r="X23">
            <v>9.1480326008718915</v>
          </cell>
        </row>
        <row r="24">
          <cell r="X24">
            <v>9.0669216448954124</v>
          </cell>
        </row>
      </sheetData>
      <sheetData sheetId="37"/>
      <sheetData sheetId="38">
        <row r="10">
          <cell r="X10">
            <v>34.112979112497896</v>
          </cell>
        </row>
        <row r="16">
          <cell r="X16">
            <v>8.3861031557738208</v>
          </cell>
        </row>
        <row r="17">
          <cell r="X17">
            <v>8.8227023718489868</v>
          </cell>
        </row>
        <row r="18">
          <cell r="X18">
            <v>8.2475677072562306</v>
          </cell>
        </row>
        <row r="19">
          <cell r="X19">
            <v>7.532453570144666</v>
          </cell>
        </row>
        <row r="20">
          <cell r="X20">
            <v>7.3203087791344181</v>
          </cell>
        </row>
        <row r="21">
          <cell r="X21">
            <v>8.0376591721244992</v>
          </cell>
        </row>
        <row r="22">
          <cell r="X22">
            <v>7.4228531308809131</v>
          </cell>
        </row>
        <row r="23">
          <cell r="X23">
            <v>7.8010490681623192</v>
          </cell>
        </row>
        <row r="24">
          <cell r="X24">
            <v>7.0650642431915767</v>
          </cell>
        </row>
      </sheetData>
      <sheetData sheetId="39"/>
      <sheetData sheetId="40">
        <row r="10">
          <cell r="X10">
            <v>32.951684780957876</v>
          </cell>
        </row>
        <row r="16">
          <cell r="X16">
            <v>8.4136907608943634</v>
          </cell>
        </row>
        <row r="17">
          <cell r="X17">
            <v>9.2649309953992542</v>
          </cell>
        </row>
        <row r="18">
          <cell r="X18">
            <v>8.8702552396413186</v>
          </cell>
        </row>
        <row r="19">
          <cell r="X19">
            <v>7.949108640420345</v>
          </cell>
        </row>
        <row r="20">
          <cell r="X20">
            <v>8.4022699490614148</v>
          </cell>
        </row>
        <row r="21">
          <cell r="X21">
            <v>8.2882406046302588</v>
          </cell>
        </row>
        <row r="22">
          <cell r="X22">
            <v>8.6569467609837414</v>
          </cell>
        </row>
        <row r="23">
          <cell r="X23">
            <v>7.9634390622924389</v>
          </cell>
        </row>
        <row r="24">
          <cell r="X24">
            <v>7.4516412685746412</v>
          </cell>
        </row>
      </sheetData>
      <sheetData sheetId="41"/>
      <sheetData sheetId="42">
        <row r="10">
          <cell r="X10">
            <v>32.531262590842815</v>
          </cell>
        </row>
        <row r="16">
          <cell r="X16">
            <v>8.5290964269127691</v>
          </cell>
        </row>
        <row r="17">
          <cell r="X17">
            <v>10.15292832347791</v>
          </cell>
        </row>
        <row r="18">
          <cell r="X18">
            <v>9.4209384062659485</v>
          </cell>
        </row>
        <row r="19">
          <cell r="X19">
            <v>8.2949099466917993</v>
          </cell>
        </row>
        <row r="20">
          <cell r="X20">
            <v>7.5935868701827056</v>
          </cell>
        </row>
        <row r="21">
          <cell r="X21">
            <v>6.0667003945609626</v>
          </cell>
        </row>
        <row r="22">
          <cell r="X22">
            <v>5.4950386726513143</v>
          </cell>
        </row>
        <row r="23">
          <cell r="X23">
            <v>5.0065142342388027</v>
          </cell>
        </row>
        <row r="24">
          <cell r="X24">
            <v>4.703245235969054</v>
          </cell>
        </row>
      </sheetData>
      <sheetData sheetId="43"/>
      <sheetData sheetId="44">
        <row r="10">
          <cell r="X10">
            <v>32.184370349652554</v>
          </cell>
        </row>
        <row r="16">
          <cell r="X16">
            <v>8.1881940189006883</v>
          </cell>
        </row>
        <row r="17">
          <cell r="X17">
            <v>8.6257302746736073</v>
          </cell>
        </row>
        <row r="18">
          <cell r="X18">
            <v>8.3638167387352045</v>
          </cell>
        </row>
        <row r="19">
          <cell r="X19">
            <v>8.2514401060043259</v>
          </cell>
        </row>
        <row r="20">
          <cell r="X20">
            <v>8.1001015457115155</v>
          </cell>
        </row>
        <row r="21">
          <cell r="X21">
            <v>7.9957491329790766</v>
          </cell>
        </row>
        <row r="22">
          <cell r="X22">
            <v>7.3803367503433552</v>
          </cell>
        </row>
        <row r="23">
          <cell r="X23">
            <v>6.3448780818651267</v>
          </cell>
        </row>
        <row r="24">
          <cell r="X24">
            <v>6.0309228803691362</v>
          </cell>
        </row>
      </sheetData>
      <sheetData sheetId="45"/>
      <sheetData sheetId="46">
        <row r="10">
          <cell r="X10">
            <v>33.713441210818104</v>
          </cell>
        </row>
        <row r="16">
          <cell r="X16">
            <v>9.1945966554357561</v>
          </cell>
        </row>
        <row r="17">
          <cell r="X17">
            <v>9.3997857550573052</v>
          </cell>
        </row>
        <row r="18">
          <cell r="X18">
            <v>9.3199169783896547</v>
          </cell>
        </row>
        <row r="19">
          <cell r="X19">
            <v>9.0625155849416874</v>
          </cell>
        </row>
        <row r="20">
          <cell r="X20">
            <v>8.4797898230973878</v>
          </cell>
        </row>
        <row r="21">
          <cell r="X21">
            <v>7.9794113615776592</v>
          </cell>
        </row>
        <row r="22">
          <cell r="X22">
            <v>7.5889910073392306</v>
          </cell>
        </row>
        <row r="23">
          <cell r="X23">
            <v>7.831823791598377</v>
          </cell>
        </row>
        <row r="24">
          <cell r="X24">
            <v>7.6328978142166655</v>
          </cell>
        </row>
      </sheetData>
      <sheetData sheetId="47"/>
      <sheetData sheetId="48">
        <row r="10">
          <cell r="X10">
            <v>34.926751460938156</v>
          </cell>
        </row>
        <row r="16">
          <cell r="X16">
            <v>9.7017430064053407</v>
          </cell>
        </row>
        <row r="17">
          <cell r="X17">
            <v>10.852796017154837</v>
          </cell>
        </row>
        <row r="18">
          <cell r="X18">
            <v>9.5483937607989624</v>
          </cell>
        </row>
        <row r="19">
          <cell r="X19">
            <v>9.342552999756137</v>
          </cell>
        </row>
        <row r="20">
          <cell r="X20">
            <v>9.1589810701847956</v>
          </cell>
        </row>
        <row r="21">
          <cell r="X21">
            <v>8.8338280872014874</v>
          </cell>
        </row>
        <row r="22">
          <cell r="X22">
            <v>8.9250752121238435</v>
          </cell>
        </row>
        <row r="23">
          <cell r="X23">
            <v>8.8928569903212207</v>
          </cell>
        </row>
        <row r="24">
          <cell r="X24">
            <v>8.6066517732888599</v>
          </cell>
        </row>
      </sheetData>
      <sheetData sheetId="49"/>
      <sheetData sheetId="50">
        <row r="10">
          <cell r="X10">
            <v>32.75651641707497</v>
          </cell>
        </row>
        <row r="16">
          <cell r="X16">
            <v>9.9773301521359272</v>
          </cell>
        </row>
        <row r="17">
          <cell r="X17">
            <v>11.418264575073628</v>
          </cell>
        </row>
        <row r="18">
          <cell r="X18">
            <v>10.382241619254595</v>
          </cell>
        </row>
        <row r="19">
          <cell r="X19">
            <v>9.297615413969659</v>
          </cell>
        </row>
        <row r="20">
          <cell r="X20">
            <v>9.1265145262215643</v>
          </cell>
        </row>
        <row r="21">
          <cell r="X21">
            <v>9.6848461016438332</v>
          </cell>
        </row>
        <row r="22">
          <cell r="X22">
            <v>9.4473896726142179</v>
          </cell>
        </row>
        <row r="23">
          <cell r="X23">
            <v>8.8650066763533459</v>
          </cell>
        </row>
        <row r="24">
          <cell r="X24">
            <v>8.9533992120994554</v>
          </cell>
        </row>
      </sheetData>
      <sheetData sheetId="51"/>
      <sheetData sheetId="52">
        <row r="10">
          <cell r="X10">
            <v>34.881279552767552</v>
          </cell>
        </row>
        <row r="16">
          <cell r="X16">
            <v>12.986128393271946</v>
          </cell>
        </row>
        <row r="17">
          <cell r="X17">
            <v>12.722200120783818</v>
          </cell>
        </row>
        <row r="18">
          <cell r="X18">
            <v>12.214216349831089</v>
          </cell>
        </row>
        <row r="19">
          <cell r="X19">
            <v>12.245220389523165</v>
          </cell>
        </row>
        <row r="20">
          <cell r="X20">
            <v>12.870805505187873</v>
          </cell>
        </row>
        <row r="21">
          <cell r="X21">
            <v>12.288440827410804</v>
          </cell>
        </row>
        <row r="22">
          <cell r="X22">
            <v>12.843369773472189</v>
          </cell>
        </row>
        <row r="23">
          <cell r="X23">
            <v>12.848399250573713</v>
          </cell>
        </row>
        <row r="24">
          <cell r="X24">
            <v>12.892634277634333</v>
          </cell>
        </row>
      </sheetData>
      <sheetData sheetId="53"/>
      <sheetData sheetId="54">
        <row r="10">
          <cell r="X10">
            <v>33.980942988336771</v>
          </cell>
        </row>
        <row r="16">
          <cell r="X16">
            <v>11.24657319975055</v>
          </cell>
        </row>
        <row r="17">
          <cell r="X17">
            <v>12.058422959266609</v>
          </cell>
        </row>
        <row r="18">
          <cell r="X18">
            <v>11.957176105097576</v>
          </cell>
        </row>
        <row r="19">
          <cell r="X19">
            <v>11.757155639615418</v>
          </cell>
        </row>
        <row r="20">
          <cell r="X20">
            <v>11.847821635970437</v>
          </cell>
        </row>
        <row r="21">
          <cell r="X21">
            <v>10.489225332880727</v>
          </cell>
        </row>
        <row r="22">
          <cell r="X22">
            <v>10.438594371017357</v>
          </cell>
        </row>
        <row r="23">
          <cell r="X23">
            <v>9.9298952292896701</v>
          </cell>
        </row>
        <row r="24">
          <cell r="X24">
            <v>9.9734218172189859</v>
          </cell>
        </row>
      </sheetData>
      <sheetData sheetId="55"/>
      <sheetData sheetId="56">
        <row r="10">
          <cell r="X10">
            <v>34.395738998953789</v>
          </cell>
        </row>
        <row r="16">
          <cell r="X16">
            <v>12.487055862814863</v>
          </cell>
        </row>
        <row r="17">
          <cell r="X17">
            <v>12.734725324982254</v>
          </cell>
        </row>
        <row r="18">
          <cell r="X18">
            <v>12.432132933998016</v>
          </cell>
        </row>
        <row r="19">
          <cell r="X19">
            <v>12.435461822178986</v>
          </cell>
        </row>
        <row r="20">
          <cell r="X20">
            <v>12.353061326836139</v>
          </cell>
        </row>
        <row r="21">
          <cell r="X21">
            <v>11.905619657912609</v>
          </cell>
        </row>
        <row r="22">
          <cell r="X22">
            <v>11.919266326155634</v>
          </cell>
        </row>
        <row r="23">
          <cell r="X23">
            <v>12.585063042427723</v>
          </cell>
        </row>
        <row r="24">
          <cell r="X24">
            <v>12.177372674378594</v>
          </cell>
        </row>
      </sheetData>
      <sheetData sheetId="57"/>
      <sheetData sheetId="58">
        <row r="10">
          <cell r="X10">
            <v>34.670023850246082</v>
          </cell>
        </row>
        <row r="16">
          <cell r="X16">
            <v>10.048698383051692</v>
          </cell>
        </row>
        <row r="17">
          <cell r="X17">
            <v>11.68607800347594</v>
          </cell>
        </row>
        <row r="18">
          <cell r="X18">
            <v>12.161845200013605</v>
          </cell>
        </row>
        <row r="19">
          <cell r="X19">
            <v>11.735828826868749</v>
          </cell>
        </row>
        <row r="20">
          <cell r="X20">
            <v>11.067697262525741</v>
          </cell>
        </row>
        <row r="21">
          <cell r="X21">
            <v>11.004061577020996</v>
          </cell>
        </row>
        <row r="22">
          <cell r="X22">
            <v>9.5779031902745526</v>
          </cell>
        </row>
        <row r="23">
          <cell r="X23">
            <v>9.4162286308745102</v>
          </cell>
        </row>
        <row r="24">
          <cell r="X24">
            <v>8.8035374843462186</v>
          </cell>
        </row>
      </sheetData>
      <sheetData sheetId="59"/>
      <sheetData sheetId="60">
        <row r="10">
          <cell r="X10">
            <v>35.139304489923681</v>
          </cell>
        </row>
        <row r="16">
          <cell r="X16">
            <v>10.784043341265052</v>
          </cell>
        </row>
        <row r="17">
          <cell r="X17">
            <v>11.764745076472513</v>
          </cell>
        </row>
        <row r="18">
          <cell r="X18">
            <v>11.557674019990001</v>
          </cell>
        </row>
        <row r="19">
          <cell r="X19">
            <v>11.710168326730807</v>
          </cell>
        </row>
        <row r="20">
          <cell r="X20">
            <v>11.296937211717793</v>
          </cell>
        </row>
        <row r="21">
          <cell r="X21">
            <v>10.795880500065444</v>
          </cell>
        </row>
        <row r="22">
          <cell r="X22">
            <v>11.919425696094995</v>
          </cell>
        </row>
        <row r="23">
          <cell r="X23">
            <v>11.451546459201307</v>
          </cell>
        </row>
        <row r="24">
          <cell r="X24">
            <v>12.283259372184535</v>
          </cell>
        </row>
      </sheetData>
      <sheetData sheetId="61"/>
      <sheetData sheetId="62">
        <row r="10">
          <cell r="X10">
            <v>34.128844068981174</v>
          </cell>
        </row>
        <row r="16">
          <cell r="X16">
            <v>9.1469425514983609</v>
          </cell>
        </row>
        <row r="17">
          <cell r="X17">
            <v>8.9966889391818654</v>
          </cell>
        </row>
        <row r="18">
          <cell r="X18">
            <v>8.679062604277286</v>
          </cell>
        </row>
        <row r="19">
          <cell r="X19">
            <v>8.8393920869342768</v>
          </cell>
        </row>
        <row r="20">
          <cell r="X20">
            <v>9.0476521220467827</v>
          </cell>
        </row>
        <row r="21">
          <cell r="X21">
            <v>8.8841811384985654</v>
          </cell>
        </row>
        <row r="22">
          <cell r="X22">
            <v>8.5856009114817926</v>
          </cell>
        </row>
        <row r="23">
          <cell r="X23">
            <v>8.4922143831915395</v>
          </cell>
        </row>
        <row r="24">
          <cell r="X24">
            <v>8.3929977941602925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JULHO DE 2024</v>
          </cell>
        </row>
        <row r="16">
          <cell r="X16">
            <v>8.6800789714447024</v>
          </cell>
        </row>
        <row r="17">
          <cell r="X17">
            <v>8.7916111210422176</v>
          </cell>
        </row>
        <row r="18">
          <cell r="X18">
            <v>9.0530952684936832</v>
          </cell>
        </row>
        <row r="19">
          <cell r="X19">
            <v>9.3495536468233311</v>
          </cell>
        </row>
        <row r="20">
          <cell r="X20">
            <v>9.4467379422153517</v>
          </cell>
        </row>
        <row r="21">
          <cell r="X21">
            <v>9.18314465947239</v>
          </cell>
        </row>
        <row r="22">
          <cell r="X22">
            <v>9.5800990369345556</v>
          </cell>
        </row>
        <row r="23">
          <cell r="X23">
            <v>9.5423494211113287</v>
          </cell>
        </row>
        <row r="24">
          <cell r="X24">
            <v>9.320444814642082</v>
          </cell>
        </row>
      </sheetData>
      <sheetData sheetId="5"/>
      <sheetData sheetId="6">
        <row r="10">
          <cell r="X10">
            <v>33.314281157926217</v>
          </cell>
        </row>
        <row r="16">
          <cell r="X16">
            <v>9.0788427023744518</v>
          </cell>
        </row>
        <row r="17">
          <cell r="X17">
            <v>9.1587776643757977</v>
          </cell>
        </row>
        <row r="18">
          <cell r="X18">
            <v>9.1829967610394547</v>
          </cell>
        </row>
        <row r="19">
          <cell r="X19">
            <v>9.2571164712262437</v>
          </cell>
        </row>
        <row r="20">
          <cell r="X20">
            <v>8.7635293165959975</v>
          </cell>
        </row>
        <row r="21">
          <cell r="X21">
            <v>8.952611683249426</v>
          </cell>
        </row>
        <row r="22">
          <cell r="X22">
            <v>9.2380409495569147</v>
          </cell>
        </row>
        <row r="23">
          <cell r="X23">
            <v>8.5607806674051208</v>
          </cell>
        </row>
        <row r="24">
          <cell r="X24">
            <v>7.9999062621445161</v>
          </cell>
        </row>
      </sheetData>
      <sheetData sheetId="7"/>
      <sheetData sheetId="8">
        <row r="10">
          <cell r="X10">
            <v>33.560864535969159</v>
          </cell>
        </row>
        <row r="16">
          <cell r="X16">
            <v>10.367733563357218</v>
          </cell>
        </row>
        <row r="17">
          <cell r="X17">
            <v>10.662223345816074</v>
          </cell>
        </row>
        <row r="18">
          <cell r="X18">
            <v>10.680394830436358</v>
          </cell>
        </row>
        <row r="19">
          <cell r="X19">
            <v>10.959689248743208</v>
          </cell>
        </row>
        <row r="20">
          <cell r="X20">
            <v>10.169560429005674</v>
          </cell>
        </row>
        <row r="21">
          <cell r="X21">
            <v>9.5134483236604801</v>
          </cell>
        </row>
        <row r="22">
          <cell r="X22">
            <v>8.1875511195731185</v>
          </cell>
        </row>
        <row r="23">
          <cell r="X23">
            <v>7.8561321430390505</v>
          </cell>
        </row>
        <row r="24">
          <cell r="X24">
            <v>7.0646497618219701</v>
          </cell>
        </row>
      </sheetData>
      <sheetData sheetId="9"/>
      <sheetData sheetId="10">
        <row r="10">
          <cell r="X10">
            <v>35.982227852651924</v>
          </cell>
        </row>
        <row r="16">
          <cell r="X16">
            <v>10.54722919088452</v>
          </cell>
        </row>
        <row r="17">
          <cell r="X17">
            <v>10.549377572540868</v>
          </cell>
        </row>
        <row r="18">
          <cell r="X18">
            <v>10.263597579140024</v>
          </cell>
        </row>
        <row r="19">
          <cell r="X19">
            <v>9.7173480663751324</v>
          </cell>
        </row>
        <row r="20">
          <cell r="X20">
            <v>9.8832672276534037</v>
          </cell>
        </row>
        <row r="21">
          <cell r="X21">
            <v>9.5004022876325216</v>
          </cell>
        </row>
        <row r="22">
          <cell r="X22">
            <v>9.2165796249112475</v>
          </cell>
        </row>
        <row r="23">
          <cell r="X23">
            <v>8.5596618183902393</v>
          </cell>
        </row>
        <row r="24">
          <cell r="X24">
            <v>8.7240213564900433</v>
          </cell>
        </row>
      </sheetData>
      <sheetData sheetId="11"/>
      <sheetData sheetId="12">
        <row r="10">
          <cell r="X10">
            <v>34.481545679311566</v>
          </cell>
        </row>
        <row r="16">
          <cell r="X16">
            <v>10.514154636099557</v>
          </cell>
        </row>
        <row r="17">
          <cell r="X17">
            <v>10.967849696996103</v>
          </cell>
        </row>
        <row r="18">
          <cell r="X18">
            <v>10.41079140927004</v>
          </cell>
        </row>
        <row r="19">
          <cell r="X19">
            <v>9.4478081086234198</v>
          </cell>
        </row>
        <row r="20">
          <cell r="X20">
            <v>7.8170676137951016</v>
          </cell>
        </row>
        <row r="21">
          <cell r="X21">
            <v>6.9711299663723647</v>
          </cell>
        </row>
        <row r="22">
          <cell r="X22">
            <v>6.0335771200405892</v>
          </cell>
        </row>
        <row r="23">
          <cell r="X23">
            <v>5.7881439745065144</v>
          </cell>
        </row>
        <row r="24">
          <cell r="X24">
            <v>5.8042542143423024</v>
          </cell>
        </row>
      </sheetData>
      <sheetData sheetId="13"/>
      <sheetData sheetId="14">
        <row r="10">
          <cell r="X10">
            <v>34.368833076007711</v>
          </cell>
        </row>
        <row r="16">
          <cell r="X16">
            <v>10.260320469542355</v>
          </cell>
        </row>
        <row r="17">
          <cell r="X17">
            <v>10.253402850729335</v>
          </cell>
        </row>
        <row r="18">
          <cell r="X18">
            <v>10.178703254054108</v>
          </cell>
        </row>
        <row r="19">
          <cell r="X19">
            <v>10.120781116639744</v>
          </cell>
        </row>
        <row r="20">
          <cell r="X20">
            <v>10.142987098366499</v>
          </cell>
        </row>
        <row r="21">
          <cell r="X21">
            <v>10.209146107598864</v>
          </cell>
        </row>
        <row r="22">
          <cell r="X22">
            <v>10.49810007909357</v>
          </cell>
        </row>
        <row r="23">
          <cell r="X23">
            <v>10.689629718973023</v>
          </cell>
        </row>
        <row r="24">
          <cell r="X24">
            <v>10.240993108110667</v>
          </cell>
        </row>
      </sheetData>
      <sheetData sheetId="15"/>
      <sheetData sheetId="16">
        <row r="10">
          <cell r="X10">
            <v>34.270938494155956</v>
          </cell>
        </row>
        <row r="16">
          <cell r="X16">
            <v>10.443639257822792</v>
          </cell>
        </row>
        <row r="17">
          <cell r="X17">
            <v>10.499396380164809</v>
          </cell>
        </row>
        <row r="18">
          <cell r="X18">
            <v>10.348478007296695</v>
          </cell>
        </row>
        <row r="19">
          <cell r="X19">
            <v>10.576084468739896</v>
          </cell>
        </row>
        <row r="20">
          <cell r="X20">
            <v>10.378988610861059</v>
          </cell>
        </row>
        <row r="21">
          <cell r="X21">
            <v>10.531204847962245</v>
          </cell>
        </row>
        <row r="22">
          <cell r="X22">
            <v>9.9654689058112336</v>
          </cell>
        </row>
        <row r="23">
          <cell r="X23">
            <v>8.8897001917576439</v>
          </cell>
        </row>
        <row r="24">
          <cell r="X24">
            <v>7.9116815544827244</v>
          </cell>
        </row>
      </sheetData>
      <sheetData sheetId="17"/>
      <sheetData sheetId="18">
        <row r="10">
          <cell r="X10">
            <v>32.317061330051772</v>
          </cell>
        </row>
        <row r="16">
          <cell r="X16">
            <v>9.5783611520066554</v>
          </cell>
        </row>
        <row r="17">
          <cell r="X17">
            <v>9.7933746201856504</v>
          </cell>
        </row>
        <row r="18">
          <cell r="X18">
            <v>9.8794371747117147</v>
          </cell>
        </row>
        <row r="19">
          <cell r="X19">
            <v>10.439498044627578</v>
          </cell>
        </row>
        <row r="20">
          <cell r="X20">
            <v>10.4756982547216</v>
          </cell>
        </row>
        <row r="21">
          <cell r="X21">
            <v>11.020054526640077</v>
          </cell>
        </row>
        <row r="22">
          <cell r="X22">
            <v>10.630413206981556</v>
          </cell>
        </row>
        <row r="23">
          <cell r="X23">
            <v>10.774528188006082</v>
          </cell>
        </row>
        <row r="24">
          <cell r="X24">
            <v>10.52755201061801</v>
          </cell>
        </row>
      </sheetData>
      <sheetData sheetId="19"/>
      <sheetData sheetId="20">
        <row r="10">
          <cell r="X10">
            <v>33.097308349700853</v>
          </cell>
        </row>
        <row r="16">
          <cell r="X16">
            <v>9.3494685650785101</v>
          </cell>
        </row>
        <row r="17">
          <cell r="X17">
            <v>9.3466773700715073</v>
          </cell>
        </row>
        <row r="18">
          <cell r="X18">
            <v>9.4678655920540802</v>
          </cell>
        </row>
        <row r="19">
          <cell r="X19">
            <v>9.5246080560417088</v>
          </cell>
        </row>
        <row r="20">
          <cell r="X20">
            <v>9.4830496856247866</v>
          </cell>
        </row>
        <row r="21">
          <cell r="X21">
            <v>9.7485879059817382</v>
          </cell>
        </row>
        <row r="22">
          <cell r="X22">
            <v>9.7541765730179044</v>
          </cell>
        </row>
        <row r="23">
          <cell r="X23">
            <v>9.8494614480472791</v>
          </cell>
        </row>
        <row r="24">
          <cell r="X24">
            <v>10.166538380964413</v>
          </cell>
        </row>
      </sheetData>
      <sheetData sheetId="21"/>
      <sheetData sheetId="22">
        <row r="10">
          <cell r="X10">
            <v>34.233641258237924</v>
          </cell>
        </row>
        <row r="16">
          <cell r="X16">
            <v>11.192494381227574</v>
          </cell>
        </row>
        <row r="17">
          <cell r="X17">
            <v>11.338109930382249</v>
          </cell>
        </row>
        <row r="18">
          <cell r="X18">
            <v>12.1323406414126</v>
          </cell>
        </row>
        <row r="19">
          <cell r="X19">
            <v>12.26887949379884</v>
          </cell>
        </row>
        <row r="20">
          <cell r="X20">
            <v>12.57179354194956</v>
          </cell>
        </row>
        <row r="21">
          <cell r="X21">
            <v>11.977694202515167</v>
          </cell>
        </row>
        <row r="22">
          <cell r="X22">
            <v>12.327881968233223</v>
          </cell>
        </row>
        <row r="23">
          <cell r="X23">
            <v>12.163713693318174</v>
          </cell>
        </row>
        <row r="24">
          <cell r="X24">
            <v>11.875301415681188</v>
          </cell>
        </row>
      </sheetData>
      <sheetData sheetId="23"/>
      <sheetData sheetId="24">
        <row r="10">
          <cell r="X10">
            <v>34.787345467307134</v>
          </cell>
        </row>
        <row r="16">
          <cell r="X16">
            <v>12.094762860702783</v>
          </cell>
        </row>
        <row r="17">
          <cell r="X17">
            <v>11.846409483985832</v>
          </cell>
        </row>
        <row r="18">
          <cell r="X18">
            <v>11.834296411067715</v>
          </cell>
        </row>
        <row r="19">
          <cell r="X19">
            <v>12.140539092806002</v>
          </cell>
        </row>
        <row r="20">
          <cell r="X20">
            <v>12.460178031094145</v>
          </cell>
        </row>
        <row r="21">
          <cell r="X21">
            <v>12.426947102816341</v>
          </cell>
        </row>
        <row r="22">
          <cell r="X22">
            <v>12.983793704347045</v>
          </cell>
        </row>
        <row r="23">
          <cell r="X23">
            <v>13.141167605528052</v>
          </cell>
        </row>
        <row r="24">
          <cell r="X24">
            <v>13.235982395391726</v>
          </cell>
        </row>
      </sheetData>
      <sheetData sheetId="25"/>
      <sheetData sheetId="26">
        <row r="10">
          <cell r="X10">
            <v>33.176521603465375</v>
          </cell>
        </row>
        <row r="16">
          <cell r="X16">
            <v>11.036076119820587</v>
          </cell>
        </row>
        <row r="17">
          <cell r="X17">
            <v>11.287922133415988</v>
          </cell>
        </row>
        <row r="18">
          <cell r="X18">
            <v>11.926678596274579</v>
          </cell>
        </row>
        <row r="19">
          <cell r="X19">
            <v>12.386172123377969</v>
          </cell>
        </row>
        <row r="20">
          <cell r="X20">
            <v>12.520220893084632</v>
          </cell>
        </row>
        <row r="21">
          <cell r="X21">
            <v>12.145439115463192</v>
          </cell>
        </row>
        <row r="22">
          <cell r="X22">
            <v>11.279505251434315</v>
          </cell>
        </row>
        <row r="23">
          <cell r="X23">
            <v>10.823895703473635</v>
          </cell>
        </row>
        <row r="24">
          <cell r="X24">
            <v>10.052290706982909</v>
          </cell>
        </row>
      </sheetData>
      <sheetData sheetId="27"/>
      <sheetData sheetId="28">
        <row r="10">
          <cell r="X10">
            <v>33.935023945121017</v>
          </cell>
        </row>
        <row r="16">
          <cell r="X16">
            <v>9.4386635159934524</v>
          </cell>
        </row>
        <row r="17">
          <cell r="X17">
            <v>9.2848565799067497</v>
          </cell>
        </row>
        <row r="18">
          <cell r="X18">
            <v>9.5848260328752612</v>
          </cell>
        </row>
        <row r="19">
          <cell r="X19">
            <v>9.6700066247440457</v>
          </cell>
        </row>
        <row r="20">
          <cell r="X20">
            <v>9.6894976146274363</v>
          </cell>
        </row>
        <row r="21">
          <cell r="X21">
            <v>9.6746079836240231</v>
          </cell>
        </row>
        <row r="22">
          <cell r="X22">
            <v>9.7933796126308437</v>
          </cell>
        </row>
        <row r="23">
          <cell r="X23">
            <v>9.7355002011283016</v>
          </cell>
        </row>
        <row r="24">
          <cell r="X24">
            <v>9.5214973123736595</v>
          </cell>
        </row>
      </sheetData>
      <sheetData sheetId="29"/>
      <sheetData sheetId="30">
        <row r="10">
          <cell r="X10">
            <v>33.850298377071468</v>
          </cell>
        </row>
        <row r="16">
          <cell r="X16">
            <v>10.885350719341039</v>
          </cell>
        </row>
        <row r="17">
          <cell r="X17">
            <v>11.059202940148355</v>
          </cell>
        </row>
        <row r="18">
          <cell r="X18">
            <v>11.294851228794061</v>
          </cell>
        </row>
        <row r="19">
          <cell r="X19">
            <v>11.127534886551468</v>
          </cell>
        </row>
        <row r="20">
          <cell r="X20">
            <v>10.614239260118659</v>
          </cell>
        </row>
        <row r="21">
          <cell r="X21">
            <v>10.326132699201855</v>
          </cell>
        </row>
        <row r="22">
          <cell r="X22">
            <v>9.0145083298605417</v>
          </cell>
        </row>
        <row r="23">
          <cell r="X23">
            <v>9.0614689812605889</v>
          </cell>
        </row>
        <row r="24">
          <cell r="X24">
            <v>8.6170941454844279</v>
          </cell>
        </row>
      </sheetData>
      <sheetData sheetId="31"/>
      <sheetData sheetId="32">
        <row r="10">
          <cell r="X10">
            <v>32.883506098578913</v>
          </cell>
        </row>
        <row r="16">
          <cell r="X16">
            <v>9.5179500765702052</v>
          </cell>
        </row>
        <row r="17">
          <cell r="X17">
            <v>10.059001590199548</v>
          </cell>
        </row>
        <row r="18">
          <cell r="X18">
            <v>10.417770791113682</v>
          </cell>
        </row>
        <row r="19">
          <cell r="X19">
            <v>10.566311723956774</v>
          </cell>
        </row>
        <row r="20">
          <cell r="X20">
            <v>10.610988063960219</v>
          </cell>
        </row>
        <row r="21">
          <cell r="X21">
            <v>10.525591341884866</v>
          </cell>
        </row>
        <row r="22">
          <cell r="X22">
            <v>10.654652177263371</v>
          </cell>
        </row>
        <row r="23">
          <cell r="X23">
            <v>10.075603144335519</v>
          </cell>
        </row>
        <row r="24">
          <cell r="X24">
            <v>11.138932957869583</v>
          </cell>
        </row>
      </sheetData>
      <sheetData sheetId="33"/>
      <sheetData sheetId="34">
        <row r="10">
          <cell r="X10">
            <v>32.215886486710112</v>
          </cell>
        </row>
        <row r="16">
          <cell r="X16">
            <v>10.153741189144835</v>
          </cell>
        </row>
        <row r="17">
          <cell r="X17">
            <v>10.324758134894291</v>
          </cell>
        </row>
        <row r="18">
          <cell r="X18">
            <v>10.540016187317615</v>
          </cell>
        </row>
        <row r="19">
          <cell r="X19">
            <v>10.385815260867595</v>
          </cell>
        </row>
        <row r="20">
          <cell r="X20">
            <v>10.699504882382685</v>
          </cell>
        </row>
        <row r="21">
          <cell r="X21">
            <v>10.751188726783994</v>
          </cell>
        </row>
        <row r="22">
          <cell r="X22">
            <v>10.219788945885979</v>
          </cell>
        </row>
        <row r="23">
          <cell r="X23">
            <v>10.30129145147621</v>
          </cell>
        </row>
        <row r="24">
          <cell r="X24">
            <v>10.717157726334396</v>
          </cell>
        </row>
      </sheetData>
      <sheetData sheetId="35"/>
      <sheetData sheetId="36">
        <row r="10">
          <cell r="X10">
            <v>34.310102429448904</v>
          </cell>
        </row>
        <row r="16">
          <cell r="X16">
            <v>9.352522220634496</v>
          </cell>
        </row>
        <row r="17">
          <cell r="X17">
            <v>10.194358236204888</v>
          </cell>
        </row>
        <row r="18">
          <cell r="X18">
            <v>10.317997266262793</v>
          </cell>
        </row>
        <row r="19">
          <cell r="X19">
            <v>10.374478203597798</v>
          </cell>
        </row>
        <row r="20">
          <cell r="X20">
            <v>9.873587425147381</v>
          </cell>
        </row>
        <row r="21">
          <cell r="X21">
            <v>10.169415779838568</v>
          </cell>
        </row>
        <row r="22">
          <cell r="X22">
            <v>10.010196290142513</v>
          </cell>
        </row>
        <row r="23">
          <cell r="X23">
            <v>9.3207696073228608</v>
          </cell>
        </row>
        <row r="24">
          <cell r="X24">
            <v>9.4806177634696827</v>
          </cell>
        </row>
      </sheetData>
      <sheetData sheetId="37"/>
      <sheetData sheetId="38">
        <row r="10">
          <cell r="X10">
            <v>34.097671856740519</v>
          </cell>
        </row>
        <row r="16">
          <cell r="X16">
            <v>9.4249801528400621</v>
          </cell>
        </row>
        <row r="17">
          <cell r="X17">
            <v>11.170519829927091</v>
          </cell>
        </row>
        <row r="18">
          <cell r="X18">
            <v>11.308408819964054</v>
          </cell>
        </row>
        <row r="19">
          <cell r="X19">
            <v>10.638147096420262</v>
          </cell>
        </row>
        <row r="20">
          <cell r="X20">
            <v>10.138530335329808</v>
          </cell>
        </row>
        <row r="21">
          <cell r="X21">
            <v>8.8480340257023276</v>
          </cell>
        </row>
        <row r="22">
          <cell r="X22">
            <v>8.6462573459382881</v>
          </cell>
        </row>
        <row r="23">
          <cell r="X23">
            <v>8.6586199150427703</v>
          </cell>
        </row>
        <row r="24">
          <cell r="X24">
            <v>11.364689149014083</v>
          </cell>
        </row>
      </sheetData>
      <sheetData sheetId="39"/>
      <sheetData sheetId="40">
        <row r="10">
          <cell r="X10">
            <v>33.193879195567995</v>
          </cell>
        </row>
        <row r="16">
          <cell r="X16">
            <v>8.7760740736808867</v>
          </cell>
        </row>
        <row r="17">
          <cell r="X17">
            <v>8.7679551201111554</v>
          </cell>
        </row>
        <row r="18">
          <cell r="X18">
            <v>8.6971936138425345</v>
          </cell>
        </row>
        <row r="19">
          <cell r="X19">
            <v>8.9145543767511004</v>
          </cell>
        </row>
        <row r="20">
          <cell r="X20">
            <v>8.4076816806163848</v>
          </cell>
        </row>
        <row r="21">
          <cell r="X21">
            <v>8.9230875426694976</v>
          </cell>
        </row>
        <row r="22">
          <cell r="X22">
            <v>9.13235420626261</v>
          </cell>
        </row>
        <row r="23">
          <cell r="X23">
            <v>8.7057326867673872</v>
          </cell>
        </row>
        <row r="24">
          <cell r="X24">
            <v>8.3890022888986611</v>
          </cell>
        </row>
      </sheetData>
      <sheetData sheetId="41"/>
      <sheetData sheetId="42">
        <row r="10">
          <cell r="X10">
            <v>32.877736138516227</v>
          </cell>
        </row>
        <row r="16">
          <cell r="X16">
            <v>9.6205305788796043</v>
          </cell>
        </row>
        <row r="17">
          <cell r="X17">
            <v>9.8491376662361478</v>
          </cell>
        </row>
        <row r="18">
          <cell r="X18">
            <v>9.9317997970904557</v>
          </cell>
        </row>
        <row r="19">
          <cell r="X19">
            <v>11.143735053219963</v>
          </cell>
        </row>
        <row r="20">
          <cell r="X20">
            <v>8.6709847514963521</v>
          </cell>
        </row>
        <row r="21">
          <cell r="X21">
            <v>8.7648919977764574</v>
          </cell>
        </row>
        <row r="22">
          <cell r="X22">
            <v>8.3081020809110644</v>
          </cell>
        </row>
        <row r="23">
          <cell r="X23">
            <v>6.527038544124899</v>
          </cell>
        </row>
        <row r="24">
          <cell r="X24">
            <v>6.4357214409655183</v>
          </cell>
        </row>
      </sheetData>
      <sheetData sheetId="43"/>
      <sheetData sheetId="44">
        <row r="10">
          <cell r="X10">
            <v>32.623908666206958</v>
          </cell>
        </row>
        <row r="16">
          <cell r="X16">
            <v>8.9410301856602832</v>
          </cell>
        </row>
        <row r="17">
          <cell r="X17">
            <v>9.1074116204607485</v>
          </cell>
        </row>
        <row r="18">
          <cell r="X18">
            <v>9.1498068259884633</v>
          </cell>
        </row>
        <row r="19">
          <cell r="X19">
            <v>9.398490577614</v>
          </cell>
        </row>
        <row r="20">
          <cell r="X20">
            <v>9.3930050986813001</v>
          </cell>
        </row>
        <row r="21">
          <cell r="X21">
            <v>9.4312044110557967</v>
          </cell>
        </row>
        <row r="22">
          <cell r="X22">
            <v>9.2775363233745605</v>
          </cell>
        </row>
        <row r="23">
          <cell r="X23">
            <v>9.0398277992089007</v>
          </cell>
        </row>
        <row r="24">
          <cell r="X24">
            <v>8.611215696513483</v>
          </cell>
        </row>
      </sheetData>
      <sheetData sheetId="45"/>
      <sheetData sheetId="46">
        <row r="10">
          <cell r="X10">
            <v>32.90191968658042</v>
          </cell>
        </row>
        <row r="16">
          <cell r="X16">
            <v>8.4156060944832944</v>
          </cell>
        </row>
        <row r="17">
          <cell r="X17">
            <v>10.054244556726317</v>
          </cell>
        </row>
        <row r="18">
          <cell r="X18">
            <v>10.356363457476606</v>
          </cell>
        </row>
        <row r="19">
          <cell r="X19">
            <v>9.2941380804841511</v>
          </cell>
        </row>
        <row r="20">
          <cell r="X20">
            <v>7.9299408213039779</v>
          </cell>
        </row>
        <row r="21">
          <cell r="X21">
            <v>7.7051023699265437</v>
          </cell>
        </row>
        <row r="22">
          <cell r="X22">
            <v>7.8544087777058902</v>
          </cell>
        </row>
        <row r="23">
          <cell r="X23">
            <v>7.9902188270645311</v>
          </cell>
        </row>
        <row r="24">
          <cell r="X24">
            <v>7.9094986768468099</v>
          </cell>
        </row>
      </sheetData>
      <sheetData sheetId="47"/>
      <sheetData sheetId="48">
        <row r="10">
          <cell r="X10">
            <v>31.131159259842214</v>
          </cell>
        </row>
        <row r="16">
          <cell r="X16">
            <v>7.136829237324072</v>
          </cell>
        </row>
        <row r="17">
          <cell r="X17">
            <v>8.7446527654393016</v>
          </cell>
        </row>
        <row r="18">
          <cell r="X18">
            <v>8.9690591730489029</v>
          </cell>
        </row>
        <row r="19">
          <cell r="X19">
            <v>7.03004874524476</v>
          </cell>
        </row>
        <row r="20">
          <cell r="X20">
            <v>6.293289797984853</v>
          </cell>
        </row>
        <row r="21">
          <cell r="X21">
            <v>4.8385601686809263</v>
          </cell>
        </row>
        <row r="22">
          <cell r="X22">
            <v>5.5974656409234127</v>
          </cell>
        </row>
        <row r="23">
          <cell r="X23">
            <v>5.6313421817142624</v>
          </cell>
        </row>
        <row r="24">
          <cell r="X24">
            <v>6.2280826821933646</v>
          </cell>
        </row>
      </sheetData>
      <sheetData sheetId="49"/>
      <sheetData sheetId="50">
        <row r="10">
          <cell r="X10">
            <v>31.5806875968333</v>
          </cell>
        </row>
        <row r="16">
          <cell r="X16">
            <v>7.3622271513032027</v>
          </cell>
        </row>
        <row r="17">
          <cell r="X17">
            <v>7.175917928501125</v>
          </cell>
        </row>
        <row r="18">
          <cell r="X18">
            <v>6.9087640702155415</v>
          </cell>
        </row>
        <row r="19">
          <cell r="X19">
            <v>6.5353302407079807</v>
          </cell>
        </row>
        <row r="20">
          <cell r="X20">
            <v>6.3819702238784952</v>
          </cell>
        </row>
        <row r="21">
          <cell r="X21">
            <v>6.3187096697894205</v>
          </cell>
        </row>
        <row r="22">
          <cell r="X22">
            <v>6.640332906570241</v>
          </cell>
        </row>
        <row r="23">
          <cell r="X23">
            <v>6.4685005805861122</v>
          </cell>
        </row>
        <row r="24">
          <cell r="X24">
            <v>5.9207117772814968</v>
          </cell>
        </row>
      </sheetData>
      <sheetData sheetId="51"/>
      <sheetData sheetId="52">
        <row r="10">
          <cell r="X10">
            <v>32.444811869612494</v>
          </cell>
        </row>
        <row r="16">
          <cell r="X16">
            <v>8.4706207784548493</v>
          </cell>
        </row>
        <row r="17">
          <cell r="X17">
            <v>9.4589310002378983</v>
          </cell>
        </row>
        <row r="18">
          <cell r="X18">
            <v>8.8583610779740454</v>
          </cell>
        </row>
        <row r="19">
          <cell r="X19">
            <v>8.6013274231929788</v>
          </cell>
        </row>
        <row r="20">
          <cell r="X20">
            <v>7.9179200489012738</v>
          </cell>
        </row>
        <row r="21">
          <cell r="X21">
            <v>7.0757502776409762</v>
          </cell>
        </row>
        <row r="22">
          <cell r="X22">
            <v>6.7759809274076419</v>
          </cell>
        </row>
        <row r="23">
          <cell r="X23">
            <v>6.3922307441933963</v>
          </cell>
        </row>
        <row r="24">
          <cell r="X24">
            <v>6.7435044989891129</v>
          </cell>
        </row>
      </sheetData>
      <sheetData sheetId="53"/>
      <sheetData sheetId="54">
        <row r="10">
          <cell r="X10">
            <v>33.294089326628693</v>
          </cell>
        </row>
        <row r="16">
          <cell r="X16">
            <v>8.3167863783814671</v>
          </cell>
        </row>
        <row r="17">
          <cell r="X17">
            <v>9.6535754892864887</v>
          </cell>
        </row>
        <row r="18">
          <cell r="X18">
            <v>8.9385201562309557</v>
          </cell>
        </row>
        <row r="19">
          <cell r="X19">
            <v>8.8974795150219723</v>
          </cell>
        </row>
        <row r="20">
          <cell r="X20">
            <v>8.4559433348831377</v>
          </cell>
        </row>
        <row r="21">
          <cell r="X21">
            <v>6.5288685587599744</v>
          </cell>
        </row>
        <row r="22">
          <cell r="X22">
            <v>7.2100017281268931</v>
          </cell>
        </row>
        <row r="23">
          <cell r="X23">
            <v>7.2217084391982462</v>
          </cell>
        </row>
        <row r="24">
          <cell r="X24">
            <v>7.4191837259400861</v>
          </cell>
        </row>
      </sheetData>
      <sheetData sheetId="55"/>
      <sheetData sheetId="56">
        <row r="10">
          <cell r="X10">
            <v>32.091684961227493</v>
          </cell>
        </row>
        <row r="16">
          <cell r="X16">
            <v>8.4310967873841811</v>
          </cell>
        </row>
        <row r="17">
          <cell r="X17">
            <v>9.4517263476544127</v>
          </cell>
        </row>
        <row r="18">
          <cell r="X18">
            <v>8.5051238090251715</v>
          </cell>
        </row>
        <row r="19">
          <cell r="X19">
            <v>8.4213661249662852</v>
          </cell>
        </row>
        <row r="20">
          <cell r="X20">
            <v>8.3882697365973513</v>
          </cell>
        </row>
        <row r="21">
          <cell r="X21">
            <v>7.7371972633730541</v>
          </cell>
        </row>
        <row r="22">
          <cell r="X22">
            <v>7.4998009008097055</v>
          </cell>
        </row>
        <row r="23">
          <cell r="X23">
            <v>7.5385245698161958</v>
          </cell>
        </row>
        <row r="24">
          <cell r="X24">
            <v>7.0851016013036388</v>
          </cell>
        </row>
      </sheetData>
      <sheetData sheetId="57"/>
      <sheetData sheetId="58">
        <row r="10">
          <cell r="X10">
            <v>33.921887688966756</v>
          </cell>
        </row>
        <row r="16">
          <cell r="X16">
            <v>8.8813547041163847</v>
          </cell>
        </row>
        <row r="17">
          <cell r="X17">
            <v>9.4688338434013755</v>
          </cell>
        </row>
        <row r="18">
          <cell r="X18">
            <v>9.4622655263110289</v>
          </cell>
        </row>
        <row r="19">
          <cell r="X19">
            <v>8.8431651953766686</v>
          </cell>
        </row>
        <row r="20">
          <cell r="X20">
            <v>8.8801078526247519</v>
          </cell>
        </row>
        <row r="21">
          <cell r="X21">
            <v>8.6306361249463208</v>
          </cell>
        </row>
        <row r="22">
          <cell r="X22">
            <v>8.3916405882244156</v>
          </cell>
        </row>
        <row r="23">
          <cell r="X23">
            <v>7.9421354642544983</v>
          </cell>
        </row>
        <row r="24">
          <cell r="X24">
            <v>7.4159883841383438</v>
          </cell>
        </row>
      </sheetData>
      <sheetData sheetId="59"/>
      <sheetData sheetId="60">
        <row r="10">
          <cell r="X10">
            <v>33.031653785766046</v>
          </cell>
        </row>
        <row r="16">
          <cell r="X16">
            <v>9.4977567182871425</v>
          </cell>
        </row>
        <row r="17">
          <cell r="X17">
            <v>10.585876029833925</v>
          </cell>
        </row>
        <row r="18">
          <cell r="X18">
            <v>11.155856230335456</v>
          </cell>
        </row>
        <row r="19">
          <cell r="X19">
            <v>9.7425803542512988</v>
          </cell>
        </row>
        <row r="20">
          <cell r="X20">
            <v>10.541890903795109</v>
          </cell>
        </row>
        <row r="21">
          <cell r="X21">
            <v>10.375052865211677</v>
          </cell>
        </row>
        <row r="22">
          <cell r="X22">
            <v>9.9331155067198562</v>
          </cell>
        </row>
        <row r="23">
          <cell r="X23">
            <v>9.8332073623940612</v>
          </cell>
        </row>
        <row r="24">
          <cell r="X24">
            <v>9.9774752146377583</v>
          </cell>
        </row>
      </sheetData>
      <sheetData sheetId="61"/>
      <sheetData sheetId="62">
        <row r="10">
          <cell r="X10">
            <v>33.841626187385025</v>
          </cell>
        </row>
        <row r="16">
          <cell r="X16">
            <v>9.5137351880994654</v>
          </cell>
        </row>
        <row r="17">
          <cell r="X17">
            <v>9.7382280867381592</v>
          </cell>
        </row>
        <row r="18">
          <cell r="X18">
            <v>9.8873798968056246</v>
          </cell>
        </row>
        <row r="19">
          <cell r="X19">
            <v>10.124609755513681</v>
          </cell>
        </row>
        <row r="20">
          <cell r="X20">
            <v>10.284754558642048</v>
          </cell>
        </row>
        <row r="21">
          <cell r="X21">
            <v>10.425068344436479</v>
          </cell>
        </row>
        <row r="22">
          <cell r="X22">
            <v>10.420224879367099</v>
          </cell>
        </row>
        <row r="23">
          <cell r="X23">
            <v>10.370155932730659</v>
          </cell>
        </row>
        <row r="24">
          <cell r="X24">
            <v>10.190628127908745</v>
          </cell>
        </row>
      </sheetData>
      <sheetData sheetId="63"/>
      <sheetData sheetId="64">
        <row r="10">
          <cell r="X10">
            <v>33.735285778474505</v>
          </cell>
        </row>
        <row r="16">
          <cell r="X16">
            <v>9.4099764784723448</v>
          </cell>
        </row>
        <row r="17">
          <cell r="X17">
            <v>9.5745847168640488</v>
          </cell>
        </row>
        <row r="18">
          <cell r="X18">
            <v>9.5828270246328255</v>
          </cell>
        </row>
        <row r="19">
          <cell r="X19">
            <v>9.7092923725673081</v>
          </cell>
        </row>
        <row r="20">
          <cell r="X20">
            <v>9.8282387735200736</v>
          </cell>
        </row>
        <row r="21">
          <cell r="X21">
            <v>10.240013324263016</v>
          </cell>
        </row>
        <row r="22">
          <cell r="X22">
            <v>10.272176932367028</v>
          </cell>
        </row>
        <row r="23">
          <cell r="X23">
            <v>10.109680624345255</v>
          </cell>
        </row>
        <row r="24">
          <cell r="X24">
            <v>10.313745624092324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AGOSTO DE 2024</v>
          </cell>
        </row>
        <row r="16">
          <cell r="X16">
            <v>10.576162092308939</v>
          </cell>
        </row>
        <row r="17">
          <cell r="X17">
            <v>10.558126561253026</v>
          </cell>
        </row>
        <row r="18">
          <cell r="X18">
            <v>10.539181408472082</v>
          </cell>
        </row>
        <row r="19">
          <cell r="X19">
            <v>10.460122844618896</v>
          </cell>
        </row>
        <row r="20">
          <cell r="X20">
            <v>10.613018054244394</v>
          </cell>
        </row>
        <row r="21">
          <cell r="X21">
            <v>10.511908336350819</v>
          </cell>
        </row>
        <row r="22">
          <cell r="X22">
            <v>10.015301023607055</v>
          </cell>
        </row>
        <row r="23">
          <cell r="X23">
            <v>9.3484532565112488</v>
          </cell>
        </row>
        <row r="24">
          <cell r="X24">
            <v>12.527929395816853</v>
          </cell>
        </row>
      </sheetData>
      <sheetData sheetId="5"/>
      <sheetData sheetId="6">
        <row r="10">
          <cell r="X10">
            <v>33.115900328174078</v>
          </cell>
        </row>
        <row r="16">
          <cell r="X16">
            <v>10.17595745202977</v>
          </cell>
        </row>
        <row r="17">
          <cell r="X17">
            <v>10.212480379389929</v>
          </cell>
        </row>
        <row r="18">
          <cell r="X18">
            <v>10.532683215780141</v>
          </cell>
        </row>
        <row r="19">
          <cell r="X19">
            <v>10.294094146486525</v>
          </cell>
        </row>
        <row r="20">
          <cell r="X20">
            <v>9.8611625010853761</v>
          </cell>
        </row>
        <row r="21">
          <cell r="X21">
            <v>9.4878571529155629</v>
          </cell>
        </row>
        <row r="22">
          <cell r="X22">
            <v>9.2333733179842525</v>
          </cell>
        </row>
        <row r="23">
          <cell r="X23">
            <v>7.6784688741157678</v>
          </cell>
        </row>
        <row r="24">
          <cell r="X24">
            <v>7.6296919576874274</v>
          </cell>
        </row>
      </sheetData>
      <sheetData sheetId="7"/>
      <sheetData sheetId="8">
        <row r="10">
          <cell r="X10">
            <v>33.928885987564094</v>
          </cell>
        </row>
        <row r="16">
          <cell r="X16">
            <v>8.968048878069995</v>
          </cell>
        </row>
        <row r="17">
          <cell r="X17">
            <v>9.1989667645582198</v>
          </cell>
        </row>
        <row r="18">
          <cell r="X18">
            <v>9.1439329224666306</v>
          </cell>
        </row>
        <row r="19">
          <cell r="X19">
            <v>9.0845189922193477</v>
          </cell>
        </row>
        <row r="20">
          <cell r="X20">
            <v>8.6035082584060003</v>
          </cell>
        </row>
        <row r="21">
          <cell r="X21">
            <v>9.0242453160555378</v>
          </cell>
        </row>
        <row r="22">
          <cell r="X22">
            <v>8.6949268481810371</v>
          </cell>
        </row>
        <row r="23">
          <cell r="X23">
            <v>8.1279168542764282</v>
          </cell>
        </row>
        <row r="24">
          <cell r="X24">
            <v>8.055621674469009</v>
          </cell>
        </row>
      </sheetData>
      <sheetData sheetId="9"/>
      <sheetData sheetId="10">
        <row r="10">
          <cell r="X10">
            <v>34.350329477030463</v>
          </cell>
        </row>
        <row r="16">
          <cell r="X16">
            <v>10.186977504553278</v>
          </cell>
        </row>
        <row r="17">
          <cell r="X17">
            <v>11.484222709643699</v>
          </cell>
        </row>
        <row r="18">
          <cell r="X18">
            <v>10.924780039346413</v>
          </cell>
        </row>
        <row r="19">
          <cell r="X19">
            <v>11.087467047367801</v>
          </cell>
        </row>
        <row r="20">
          <cell r="X20">
            <v>10.85308357133481</v>
          </cell>
        </row>
        <row r="21">
          <cell r="X21">
            <v>10.411793374106537</v>
          </cell>
        </row>
        <row r="22">
          <cell r="X22">
            <v>8.5673923365677478</v>
          </cell>
        </row>
        <row r="23">
          <cell r="X23">
            <v>7.9590683549955061</v>
          </cell>
        </row>
        <row r="24">
          <cell r="X24">
            <v>8.1693413975287594</v>
          </cell>
        </row>
      </sheetData>
      <sheetData sheetId="11"/>
      <sheetData sheetId="12">
        <row r="10">
          <cell r="X10">
            <v>35.183365874272532</v>
          </cell>
        </row>
        <row r="16">
          <cell r="X16">
            <v>11.357983753549869</v>
          </cell>
        </row>
        <row r="17">
          <cell r="X17">
            <v>11.897111151482536</v>
          </cell>
        </row>
        <row r="18">
          <cell r="X18">
            <v>11.140348634420254</v>
          </cell>
        </row>
        <row r="19">
          <cell r="X19">
            <v>10.341666889790904</v>
          </cell>
        </row>
        <row r="20">
          <cell r="X20">
            <v>10.267117323248174</v>
          </cell>
        </row>
        <row r="21">
          <cell r="X21">
            <v>9.3927063949752743</v>
          </cell>
        </row>
        <row r="22">
          <cell r="X22">
            <v>9.2016648578925473</v>
          </cell>
        </row>
        <row r="23">
          <cell r="X23">
            <v>8.5009730997936224</v>
          </cell>
        </row>
        <row r="24">
          <cell r="X24">
            <v>7.3961896421732645</v>
          </cell>
        </row>
      </sheetData>
      <sheetData sheetId="13"/>
      <sheetData sheetId="14">
        <row r="10">
          <cell r="X10">
            <v>33.263409611594817</v>
          </cell>
        </row>
        <row r="16">
          <cell r="X16">
            <v>9.7390376025959764</v>
          </cell>
        </row>
        <row r="17">
          <cell r="X17">
            <v>10.339845748715295</v>
          </cell>
        </row>
        <row r="18">
          <cell r="X18">
            <v>9.7956581619191443</v>
          </cell>
        </row>
        <row r="19">
          <cell r="X19">
            <v>9.8196682609423096</v>
          </cell>
        </row>
        <row r="20">
          <cell r="X20">
            <v>9.5358606890745055</v>
          </cell>
        </row>
        <row r="21">
          <cell r="X21">
            <v>8.9629353084834857</v>
          </cell>
        </row>
        <row r="22">
          <cell r="X22">
            <v>8.8113621028706888</v>
          </cell>
        </row>
        <row r="23">
          <cell r="X23">
            <v>8.0746680889416762</v>
          </cell>
        </row>
        <row r="24">
          <cell r="X24">
            <v>7.9619054810571432</v>
          </cell>
        </row>
      </sheetData>
      <sheetData sheetId="15"/>
      <sheetData sheetId="16">
        <row r="10">
          <cell r="X10">
            <v>34.831829747298123</v>
          </cell>
        </row>
        <row r="16">
          <cell r="X16">
            <v>10.104769580461793</v>
          </cell>
        </row>
        <row r="17">
          <cell r="X17">
            <v>10.846708270603019</v>
          </cell>
        </row>
        <row r="18">
          <cell r="X18">
            <v>9.9153603995338777</v>
          </cell>
        </row>
        <row r="19">
          <cell r="X19">
            <v>8.4031986261525482</v>
          </cell>
        </row>
        <row r="20">
          <cell r="X20">
            <v>7.8269447571693993</v>
          </cell>
        </row>
        <row r="21">
          <cell r="X21">
            <v>7.9084339287822303</v>
          </cell>
        </row>
        <row r="22">
          <cell r="X22">
            <v>7.0259098590455444</v>
          </cell>
        </row>
        <row r="23">
          <cell r="X23">
            <v>7.3061379241721456</v>
          </cell>
        </row>
        <row r="24">
          <cell r="X24">
            <v>7.4335429064126091</v>
          </cell>
        </row>
      </sheetData>
      <sheetData sheetId="17"/>
      <sheetData sheetId="18">
        <row r="10">
          <cell r="X10">
            <v>31.171453711598875</v>
          </cell>
        </row>
        <row r="16">
          <cell r="X16">
            <v>9.0048421989469762</v>
          </cell>
        </row>
        <row r="17">
          <cell r="X17">
            <v>9.5776688488205899</v>
          </cell>
        </row>
        <row r="18">
          <cell r="X18">
            <v>8.6981895678497576</v>
          </cell>
        </row>
        <row r="19">
          <cell r="X19">
            <v>8.4970320303743279</v>
          </cell>
        </row>
        <row r="20">
          <cell r="X20">
            <v>7.9618810696248454</v>
          </cell>
        </row>
        <row r="21">
          <cell r="X21">
            <v>7.9128645024540027</v>
          </cell>
        </row>
        <row r="22">
          <cell r="X22">
            <v>7.8350766871263531</v>
          </cell>
        </row>
        <row r="23">
          <cell r="X23">
            <v>7.51612136491224</v>
          </cell>
        </row>
        <row r="24">
          <cell r="X24">
            <v>7.5567692123158805</v>
          </cell>
        </row>
      </sheetData>
      <sheetData sheetId="19"/>
      <sheetData sheetId="20">
        <row r="10">
          <cell r="X10">
            <v>34.803657303858593</v>
          </cell>
        </row>
        <row r="16">
          <cell r="X16">
            <v>11.742187069892928</v>
          </cell>
        </row>
        <row r="17">
          <cell r="X17">
            <v>12.55232483539641</v>
          </cell>
        </row>
        <row r="18">
          <cell r="X18">
            <v>12.709230416691922</v>
          </cell>
        </row>
        <row r="19">
          <cell r="X19">
            <v>12.238686892560835</v>
          </cell>
        </row>
        <row r="20">
          <cell r="X20">
            <v>11.179249788023723</v>
          </cell>
        </row>
        <row r="21">
          <cell r="X21">
            <v>9.8713518804707459</v>
          </cell>
        </row>
        <row r="22">
          <cell r="X22">
            <v>10.181013910071817</v>
          </cell>
        </row>
        <row r="23">
          <cell r="X23">
            <v>10.36999271395643</v>
          </cell>
        </row>
        <row r="24">
          <cell r="X24">
            <v>10.794706879823467</v>
          </cell>
        </row>
      </sheetData>
      <sheetData sheetId="21"/>
      <sheetData sheetId="22">
        <row r="10">
          <cell r="X10">
            <v>31.813653737953693</v>
          </cell>
        </row>
        <row r="16">
          <cell r="X16">
            <v>7.9227953691720918</v>
          </cell>
        </row>
        <row r="17">
          <cell r="X17">
            <v>7.9139704824983035</v>
          </cell>
        </row>
        <row r="18">
          <cell r="X18">
            <v>7.7203669514261293</v>
          </cell>
        </row>
        <row r="19">
          <cell r="X19">
            <v>7.7084241898339787</v>
          </cell>
        </row>
        <row r="20">
          <cell r="X20">
            <v>7.5174099925128202</v>
          </cell>
        </row>
        <row r="21">
          <cell r="X21">
            <v>7.3143932169680239</v>
          </cell>
        </row>
        <row r="22">
          <cell r="X22">
            <v>7.4145523390595898</v>
          </cell>
        </row>
        <row r="23">
          <cell r="X23">
            <v>7.3080698838864526</v>
          </cell>
        </row>
        <row r="24">
          <cell r="X24">
            <v>6.9123639259697942</v>
          </cell>
        </row>
      </sheetData>
      <sheetData sheetId="23"/>
      <sheetData sheetId="24">
        <row r="10">
          <cell r="X10">
            <v>31.704100370379642</v>
          </cell>
        </row>
        <row r="16">
          <cell r="X16">
            <v>6.7650129534671581</v>
          </cell>
        </row>
        <row r="17">
          <cell r="X17">
            <v>7.2103462468696913</v>
          </cell>
        </row>
        <row r="18">
          <cell r="X18">
            <v>7.0350253427271179</v>
          </cell>
        </row>
        <row r="19">
          <cell r="X19">
            <v>5.5979250214094627</v>
          </cell>
        </row>
        <row r="20">
          <cell r="X20">
            <v>5.0462630419020407</v>
          </cell>
        </row>
        <row r="21">
          <cell r="X21">
            <v>4.2879976680620526</v>
          </cell>
        </row>
        <row r="22">
          <cell r="X22">
            <v>4.7386497526050704</v>
          </cell>
        </row>
        <row r="23">
          <cell r="X23">
            <v>4.9241480399670978</v>
          </cell>
        </row>
        <row r="24">
          <cell r="X24">
            <v>4.3668641839343945</v>
          </cell>
        </row>
      </sheetData>
      <sheetData sheetId="25"/>
      <sheetData sheetId="26">
        <row r="10">
          <cell r="X10">
            <v>31.768087206900763</v>
          </cell>
        </row>
        <row r="16">
          <cell r="X16">
            <v>6.1948011790208044</v>
          </cell>
        </row>
        <row r="17">
          <cell r="X17">
            <v>6.0331205081806418</v>
          </cell>
        </row>
        <row r="18">
          <cell r="X18">
            <v>5.3889300225309684</v>
          </cell>
        </row>
        <row r="19">
          <cell r="X19">
            <v>4.7075909565128455</v>
          </cell>
        </row>
        <row r="20">
          <cell r="X20">
            <v>4.9867265748206764</v>
          </cell>
        </row>
        <row r="21">
          <cell r="X21">
            <v>4.7427847805193055</v>
          </cell>
        </row>
        <row r="22">
          <cell r="X22">
            <v>4.4466667700855975</v>
          </cell>
        </row>
        <row r="23">
          <cell r="X23">
            <v>4.801214625796959</v>
          </cell>
        </row>
        <row r="24">
          <cell r="X24">
            <v>4.75296207666426</v>
          </cell>
        </row>
      </sheetData>
      <sheetData sheetId="27"/>
      <sheetData sheetId="28">
        <row r="10">
          <cell r="X10">
            <v>30.613050852676473</v>
          </cell>
        </row>
        <row r="16">
          <cell r="X16">
            <v>6.9599500472592997</v>
          </cell>
        </row>
        <row r="17">
          <cell r="X17">
            <v>6.9537812105794679</v>
          </cell>
        </row>
        <row r="18">
          <cell r="X18">
            <v>6.6687427468872826</v>
          </cell>
        </row>
        <row r="19">
          <cell r="X19">
            <v>6.5167083290914931</v>
          </cell>
        </row>
        <row r="20">
          <cell r="X20">
            <v>6.0729270394328774</v>
          </cell>
        </row>
        <row r="21">
          <cell r="X21">
            <v>6.1660301195593235</v>
          </cell>
        </row>
        <row r="22">
          <cell r="X22">
            <v>6.059362338678481</v>
          </cell>
        </row>
        <row r="23">
          <cell r="X23">
            <v>6.4890239465250161</v>
          </cell>
        </row>
        <row r="24">
          <cell r="X24">
            <v>6.2515811909755898</v>
          </cell>
        </row>
      </sheetData>
      <sheetData sheetId="29"/>
      <sheetData sheetId="30">
        <row r="10">
          <cell r="X10">
            <v>31.347837465362637</v>
          </cell>
        </row>
        <row r="16">
          <cell r="X16">
            <v>7.0046773599570491</v>
          </cell>
        </row>
        <row r="17">
          <cell r="X17">
            <v>7.0826101605867304</v>
          </cell>
        </row>
        <row r="18">
          <cell r="X18">
            <v>7.2657179646161758</v>
          </cell>
        </row>
        <row r="19">
          <cell r="X19">
            <v>7.3821000670271912</v>
          </cell>
        </row>
        <row r="20">
          <cell r="X20">
            <v>7.5120193775682038</v>
          </cell>
        </row>
        <row r="21">
          <cell r="X21">
            <v>7.5342716761582338</v>
          </cell>
        </row>
        <row r="22">
          <cell r="X22">
            <v>7.1627705143957732</v>
          </cell>
        </row>
        <row r="23">
          <cell r="X23">
            <v>7.0939362595548436</v>
          </cell>
        </row>
        <row r="24">
          <cell r="X24">
            <v>6.5083214068362478</v>
          </cell>
        </row>
      </sheetData>
      <sheetData sheetId="31"/>
      <sheetData sheetId="32">
        <row r="10">
          <cell r="X10">
            <v>32.302597329175804</v>
          </cell>
        </row>
        <row r="16">
          <cell r="X16">
            <v>8.5989812085767507</v>
          </cell>
        </row>
        <row r="17">
          <cell r="X17">
            <v>9.0233441267639609</v>
          </cell>
        </row>
        <row r="18">
          <cell r="X18">
            <v>8.9152644468056614</v>
          </cell>
        </row>
        <row r="19">
          <cell r="X19">
            <v>8.8805773892950626</v>
          </cell>
        </row>
        <row r="20">
          <cell r="X20">
            <v>8.9873028661910954</v>
          </cell>
        </row>
        <row r="21">
          <cell r="X21">
            <v>9.1648773030793489</v>
          </cell>
        </row>
        <row r="22">
          <cell r="X22">
            <v>9.0487030642487394</v>
          </cell>
        </row>
        <row r="23">
          <cell r="X23">
            <v>7.7352198257177527</v>
          </cell>
        </row>
        <row r="24">
          <cell r="X24">
            <v>7.5309318689851645</v>
          </cell>
        </row>
      </sheetData>
      <sheetData sheetId="33"/>
      <sheetData sheetId="34">
        <row r="10">
          <cell r="X10">
            <v>32.945857878435092</v>
          </cell>
        </row>
        <row r="16">
          <cell r="X16">
            <v>9.169173317183164</v>
          </cell>
        </row>
        <row r="17">
          <cell r="X17">
            <v>10.714794330793916</v>
          </cell>
        </row>
        <row r="18">
          <cell r="X18">
            <v>10.417682786723104</v>
          </cell>
        </row>
        <row r="19">
          <cell r="X19">
            <v>10.565449398120878</v>
          </cell>
        </row>
        <row r="20">
          <cell r="X20">
            <v>9.4422355074186992</v>
          </cell>
        </row>
        <row r="21">
          <cell r="X21">
            <v>8.5775468803411581</v>
          </cell>
        </row>
        <row r="22">
          <cell r="X22">
            <v>8.1340015842163389</v>
          </cell>
        </row>
        <row r="23">
          <cell r="X23">
            <v>7.1910514677746393</v>
          </cell>
        </row>
        <row r="24">
          <cell r="X24">
            <v>7.2850558619669323</v>
          </cell>
        </row>
      </sheetData>
      <sheetData sheetId="35"/>
      <sheetData sheetId="36">
        <row r="10">
          <cell r="X10">
            <v>33.506910741397995</v>
          </cell>
        </row>
        <row r="16">
          <cell r="X16">
            <v>9.6865158738539456</v>
          </cell>
        </row>
        <row r="17">
          <cell r="X17">
            <v>10.964804773083834</v>
          </cell>
        </row>
        <row r="18">
          <cell r="X18">
            <v>9.9571120990374755</v>
          </cell>
        </row>
        <row r="19">
          <cell r="X19">
            <v>9.9030060134862712</v>
          </cell>
        </row>
        <row r="20">
          <cell r="X20">
            <v>9.2404013645059955</v>
          </cell>
        </row>
        <row r="21">
          <cell r="X21">
            <v>8.0012071853675142</v>
          </cell>
        </row>
        <row r="22">
          <cell r="X22">
            <v>7.2287741905962806</v>
          </cell>
        </row>
        <row r="23">
          <cell r="X23">
            <v>6.6266503154940999</v>
          </cell>
        </row>
        <row r="24">
          <cell r="X24">
            <v>5.4213973182845576</v>
          </cell>
        </row>
      </sheetData>
      <sheetData sheetId="37"/>
      <sheetData sheetId="38">
        <row r="10">
          <cell r="X10">
            <v>29.738851175897587</v>
          </cell>
        </row>
        <row r="16">
          <cell r="X16">
            <v>8.9279836400939789</v>
          </cell>
        </row>
        <row r="17">
          <cell r="X17">
            <v>9.3986337098430823</v>
          </cell>
        </row>
        <row r="18">
          <cell r="X18">
            <v>8.0514191951232466</v>
          </cell>
        </row>
        <row r="19">
          <cell r="X19">
            <v>8.2620015297230083</v>
          </cell>
        </row>
        <row r="20">
          <cell r="X20">
            <v>6.9560014945352622</v>
          </cell>
        </row>
        <row r="21">
          <cell r="X21">
            <v>7.142510464784829</v>
          </cell>
        </row>
        <row r="22">
          <cell r="X22">
            <v>5.9539984329836457</v>
          </cell>
        </row>
        <row r="23">
          <cell r="X23">
            <v>6.4959718813712364</v>
          </cell>
        </row>
        <row r="24">
          <cell r="X24">
            <v>5.7452628920838418</v>
          </cell>
        </row>
      </sheetData>
      <sheetData sheetId="39"/>
      <sheetData sheetId="40">
        <row r="10">
          <cell r="X10">
            <v>33.049144870312233</v>
          </cell>
        </row>
        <row r="16">
          <cell r="X16">
            <v>8.1885310850244331</v>
          </cell>
        </row>
        <row r="17">
          <cell r="X17">
            <v>8.3031416659881305</v>
          </cell>
        </row>
        <row r="18">
          <cell r="X18">
            <v>7.9544151438122954</v>
          </cell>
        </row>
        <row r="19">
          <cell r="X19">
            <v>7.7875498621825416</v>
          </cell>
        </row>
        <row r="20">
          <cell r="X20">
            <v>7.5203391602571177</v>
          </cell>
        </row>
        <row r="21">
          <cell r="X21">
            <v>7.513738278463908</v>
          </cell>
        </row>
        <row r="22">
          <cell r="X22">
            <v>5.1114202278031602</v>
          </cell>
        </row>
        <row r="23">
          <cell r="X23">
            <v>4.5458005696063157</v>
          </cell>
        </row>
        <row r="24">
          <cell r="X24">
            <v>5.6484235691746507</v>
          </cell>
        </row>
      </sheetData>
      <sheetData sheetId="41"/>
      <sheetData sheetId="42">
        <row r="10">
          <cell r="X10">
            <v>32.439791280994498</v>
          </cell>
        </row>
        <row r="16">
          <cell r="X16">
            <v>10.185999578566962</v>
          </cell>
        </row>
        <row r="17">
          <cell r="X17">
            <v>11.694121750712238</v>
          </cell>
        </row>
        <row r="18">
          <cell r="X18">
            <v>11.541310910787868</v>
          </cell>
        </row>
        <row r="19">
          <cell r="X19">
            <v>10.245654788272034</v>
          </cell>
        </row>
        <row r="20">
          <cell r="X20">
            <v>9.7143759081005232</v>
          </cell>
        </row>
        <row r="21">
          <cell r="X21">
            <v>9.5311289236727692</v>
          </cell>
        </row>
        <row r="22">
          <cell r="X22">
            <v>8.5588521809201925</v>
          </cell>
        </row>
        <row r="23">
          <cell r="X23">
            <v>7.5192616593531953</v>
          </cell>
        </row>
        <row r="24">
          <cell r="X24">
            <v>10.618368615173733</v>
          </cell>
        </row>
      </sheetData>
      <sheetData sheetId="43"/>
      <sheetData sheetId="44">
        <row r="10">
          <cell r="X10">
            <v>34.529745640046698</v>
          </cell>
        </row>
        <row r="16">
          <cell r="X16">
            <v>10.440032124365123</v>
          </cell>
        </row>
        <row r="17">
          <cell r="X17">
            <v>10.089095060681265</v>
          </cell>
        </row>
        <row r="18">
          <cell r="X18">
            <v>10.111424334061981</v>
          </cell>
        </row>
        <row r="19">
          <cell r="X19">
            <v>9.6435917592774114</v>
          </cell>
        </row>
        <row r="20">
          <cell r="X20">
            <v>9.9180844104459656</v>
          </cell>
        </row>
        <row r="21">
          <cell r="X21">
            <v>9.5830145436304193</v>
          </cell>
        </row>
        <row r="22">
          <cell r="X22">
            <v>8.4819081481908984</v>
          </cell>
        </row>
        <row r="23">
          <cell r="X23">
            <v>8.6497490591244119</v>
          </cell>
        </row>
        <row r="24">
          <cell r="X24">
            <v>8.5782898061678861</v>
          </cell>
        </row>
      </sheetData>
      <sheetData sheetId="45"/>
      <sheetData sheetId="46">
        <row r="10">
          <cell r="X10">
            <v>35.692768281625732</v>
          </cell>
        </row>
        <row r="16">
          <cell r="X16">
            <v>10.326715386044926</v>
          </cell>
        </row>
        <row r="17">
          <cell r="X17">
            <v>10.16860817495477</v>
          </cell>
        </row>
        <row r="18">
          <cell r="X18">
            <v>9.7164317065611776</v>
          </cell>
        </row>
        <row r="19">
          <cell r="X19">
            <v>9.41140729781681</v>
          </cell>
        </row>
        <row r="20">
          <cell r="X20">
            <v>8.699419912309958</v>
          </cell>
        </row>
        <row r="21">
          <cell r="X21">
            <v>8.408988909877646</v>
          </cell>
        </row>
        <row r="22">
          <cell r="X22">
            <v>7.300900996393465</v>
          </cell>
        </row>
        <row r="23">
          <cell r="X23">
            <v>7.1889021747444488</v>
          </cell>
        </row>
        <row r="24">
          <cell r="X24">
            <v>6.9865138553059278</v>
          </cell>
        </row>
      </sheetData>
      <sheetData sheetId="47"/>
      <sheetData sheetId="48">
        <row r="10">
          <cell r="X10">
            <v>33.846390377241136</v>
          </cell>
        </row>
        <row r="16">
          <cell r="X16">
            <v>9.0059840222448564</v>
          </cell>
        </row>
        <row r="17">
          <cell r="X17">
            <v>9.3593659890305858</v>
          </cell>
        </row>
        <row r="18">
          <cell r="X18">
            <v>8.7579113673415545</v>
          </cell>
        </row>
        <row r="19">
          <cell r="X19">
            <v>8.5363879889529297</v>
          </cell>
        </row>
        <row r="20">
          <cell r="X20">
            <v>8.4552687008841279</v>
          </cell>
        </row>
        <row r="21">
          <cell r="X21">
            <v>7.2155324613832876</v>
          </cell>
        </row>
        <row r="22">
          <cell r="X22">
            <v>6.0772392981137067</v>
          </cell>
        </row>
        <row r="23">
          <cell r="X23">
            <v>5.9628823116559646</v>
          </cell>
        </row>
        <row r="24">
          <cell r="X24">
            <v>6.0539749232599176</v>
          </cell>
        </row>
      </sheetData>
      <sheetData sheetId="49"/>
      <sheetData sheetId="50">
        <row r="10">
          <cell r="X10">
            <v>35.628657163862101</v>
          </cell>
        </row>
        <row r="16">
          <cell r="X16">
            <v>11.763704775961507</v>
          </cell>
        </row>
        <row r="17">
          <cell r="X17">
            <v>11.185054149956535</v>
          </cell>
        </row>
        <row r="18">
          <cell r="X18">
            <v>11.61641826749813</v>
          </cell>
        </row>
        <row r="19">
          <cell r="X19">
            <v>11.346603542504269</v>
          </cell>
        </row>
        <row r="20">
          <cell r="X20">
            <v>11.258694229587833</v>
          </cell>
        </row>
        <row r="21">
          <cell r="X21">
            <v>11.299231461544426</v>
          </cell>
        </row>
        <row r="22">
          <cell r="X22">
            <v>11.028806949798568</v>
          </cell>
        </row>
        <row r="23">
          <cell r="X23">
            <v>11.23126026698456</v>
          </cell>
        </row>
        <row r="24">
          <cell r="X24">
            <v>10.807960998709387</v>
          </cell>
        </row>
      </sheetData>
      <sheetData sheetId="51"/>
      <sheetData sheetId="52">
        <row r="10">
          <cell r="X10">
            <v>32.521822601685621</v>
          </cell>
        </row>
        <row r="16">
          <cell r="X16">
            <v>8.5953805280963937</v>
          </cell>
        </row>
        <row r="17">
          <cell r="X17">
            <v>8.6101528921734722</v>
          </cell>
        </row>
        <row r="18">
          <cell r="X18">
            <v>8.3613720783301702</v>
          </cell>
        </row>
        <row r="19">
          <cell r="X19">
            <v>8.5874409162487453</v>
          </cell>
        </row>
        <row r="20">
          <cell r="X20">
            <v>8.3316031905281012</v>
          </cell>
        </row>
        <row r="21">
          <cell r="X21">
            <v>8.3375484654035841</v>
          </cell>
        </row>
        <row r="22">
          <cell r="X22">
            <v>8.1913441822331521</v>
          </cell>
        </row>
        <row r="23">
          <cell r="X23">
            <v>8.1484094684868502</v>
          </cell>
        </row>
        <row r="24">
          <cell r="X24">
            <v>8.2579927285321055</v>
          </cell>
        </row>
      </sheetData>
      <sheetData sheetId="53"/>
      <sheetData sheetId="54">
        <row r="10">
          <cell r="X10">
            <v>31.747177002185371</v>
          </cell>
        </row>
        <row r="16">
          <cell r="X16">
            <v>5.9426094005777941</v>
          </cell>
        </row>
        <row r="17">
          <cell r="X17">
            <v>6.3265875157527445</v>
          </cell>
        </row>
        <row r="18">
          <cell r="X18">
            <v>5.8265845872764563</v>
          </cell>
        </row>
        <row r="19">
          <cell r="X19">
            <v>5.8117797580343113</v>
          </cell>
        </row>
        <row r="20">
          <cell r="X20">
            <v>5.994542713400576</v>
          </cell>
        </row>
        <row r="21">
          <cell r="X21">
            <v>6.3134050352262765</v>
          </cell>
        </row>
        <row r="22">
          <cell r="X22">
            <v>6.1694606438800141</v>
          </cell>
        </row>
        <row r="23">
          <cell r="X23">
            <v>5.9959216883861801</v>
          </cell>
        </row>
        <row r="24">
          <cell r="X24">
            <v>6.1078100097339449</v>
          </cell>
        </row>
      </sheetData>
      <sheetData sheetId="55"/>
      <sheetData sheetId="56">
        <row r="10">
          <cell r="X10">
            <v>29.410217844079149</v>
          </cell>
        </row>
        <row r="16">
          <cell r="X16">
            <v>5.3010671121858124</v>
          </cell>
        </row>
        <row r="17">
          <cell r="X17">
            <v>5.5537691074420925</v>
          </cell>
        </row>
        <row r="18">
          <cell r="X18">
            <v>6.054250557857296</v>
          </cell>
        </row>
        <row r="19">
          <cell r="X19">
            <v>5.5776658994736552</v>
          </cell>
        </row>
        <row r="20">
          <cell r="X20">
            <v>4.1104048074523192</v>
          </cell>
        </row>
        <row r="21">
          <cell r="X21">
            <v>4.7841173022505936</v>
          </cell>
        </row>
        <row r="22">
          <cell r="X22">
            <v>4.8676678875885226</v>
          </cell>
        </row>
        <row r="23">
          <cell r="X23">
            <v>5.5634131143835424</v>
          </cell>
        </row>
        <row r="24">
          <cell r="X24">
            <v>5.8940762599923957</v>
          </cell>
        </row>
      </sheetData>
      <sheetData sheetId="57"/>
      <sheetData sheetId="58">
        <row r="10">
          <cell r="X10">
            <v>30.535018447514219</v>
          </cell>
        </row>
        <row r="16">
          <cell r="X16">
            <v>7.5192018421519</v>
          </cell>
        </row>
        <row r="17">
          <cell r="X17">
            <v>7.5507517047248269</v>
          </cell>
        </row>
        <row r="18">
          <cell r="X18">
            <v>7.6703475733945119</v>
          </cell>
        </row>
        <row r="19">
          <cell r="X19">
            <v>7.6746727070191341</v>
          </cell>
        </row>
        <row r="20">
          <cell r="X20">
            <v>7.6685692518939623</v>
          </cell>
        </row>
        <row r="21">
          <cell r="X21">
            <v>7.9743694475418083</v>
          </cell>
        </row>
        <row r="22">
          <cell r="X22">
            <v>7.9635778654862541</v>
          </cell>
        </row>
        <row r="23">
          <cell r="X23">
            <v>8.5504741617465569</v>
          </cell>
        </row>
        <row r="24">
          <cell r="X24">
            <v>8.7737948538445547</v>
          </cell>
        </row>
      </sheetData>
      <sheetData sheetId="59"/>
      <sheetData sheetId="60">
        <row r="10">
          <cell r="X10">
            <v>33.58069336688316</v>
          </cell>
        </row>
        <row r="16">
          <cell r="X16">
            <v>9.3880609962274626</v>
          </cell>
        </row>
        <row r="17">
          <cell r="X17">
            <v>9.4922174711722676</v>
          </cell>
        </row>
        <row r="18">
          <cell r="X18">
            <v>9.661576258666523</v>
          </cell>
        </row>
        <row r="19">
          <cell r="X19">
            <v>9.6757163668600938</v>
          </cell>
        </row>
        <row r="20">
          <cell r="X20">
            <v>9.6362995356421415</v>
          </cell>
        </row>
        <row r="21">
          <cell r="X21">
            <v>9.7181596183971752</v>
          </cell>
        </row>
        <row r="22">
          <cell r="X22">
            <v>9.4555351321697305</v>
          </cell>
        </row>
        <row r="23">
          <cell r="X23">
            <v>8.6402090664037114</v>
          </cell>
        </row>
        <row r="24">
          <cell r="X24">
            <v>7.9942060105754269</v>
          </cell>
        </row>
      </sheetData>
      <sheetData sheetId="61"/>
      <sheetData sheetId="62">
        <row r="10">
          <cell r="X10">
            <v>32.28215035579764</v>
          </cell>
        </row>
        <row r="16">
          <cell r="X16">
            <v>9.3126781364629725</v>
          </cell>
        </row>
        <row r="17">
          <cell r="X17">
            <v>9.6930676828817273</v>
          </cell>
        </row>
        <row r="18">
          <cell r="X18">
            <v>10.013867496707615</v>
          </cell>
        </row>
        <row r="19">
          <cell r="X19">
            <v>9.0869556140903338</v>
          </cell>
        </row>
        <row r="20">
          <cell r="X20">
            <v>8.3059421209961943</v>
          </cell>
        </row>
        <row r="21">
          <cell r="X21">
            <v>6.1002088557428307</v>
          </cell>
        </row>
        <row r="22">
          <cell r="X22">
            <v>6.0926799154794722</v>
          </cell>
        </row>
        <row r="23">
          <cell r="X23">
            <v>6.5081666437818013</v>
          </cell>
        </row>
        <row r="24">
          <cell r="X24">
            <v>6.4222823446263142</v>
          </cell>
        </row>
      </sheetData>
      <sheetData sheetId="63"/>
      <sheetData sheetId="64">
        <row r="10">
          <cell r="X10">
            <v>-57.269741547598528</v>
          </cell>
        </row>
        <row r="18">
          <cell r="X18">
            <v>8.5681323856744225</v>
          </cell>
        </row>
        <row r="22">
          <cell r="X22">
            <v>10.549059395678254</v>
          </cell>
        </row>
        <row r="23">
          <cell r="X23">
            <v>9.6734148689787993</v>
          </cell>
        </row>
        <row r="24">
          <cell r="X24">
            <v>8.1851884224223177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SETEMBRO DE 2024</v>
          </cell>
        </row>
        <row r="16">
          <cell r="X16">
            <v>10.305801106503557</v>
          </cell>
        </row>
        <row r="17">
          <cell r="X17">
            <v>10.40603910996559</v>
          </cell>
        </row>
        <row r="18">
          <cell r="X18">
            <v>9.7099781925623727</v>
          </cell>
        </row>
        <row r="19">
          <cell r="X19">
            <v>9.0607453591586484</v>
          </cell>
        </row>
        <row r="20">
          <cell r="X20">
            <v>8.3475017909663869</v>
          </cell>
        </row>
        <row r="21">
          <cell r="X21">
            <v>6.1205421725810272</v>
          </cell>
        </row>
        <row r="22">
          <cell r="X22">
            <v>5.4870932098383989</v>
          </cell>
        </row>
        <row r="23">
          <cell r="X23">
            <v>5.1618688942466857</v>
          </cell>
        </row>
        <row r="24">
          <cell r="X24">
            <v>5.4040482655050148</v>
          </cell>
        </row>
      </sheetData>
      <sheetData sheetId="5"/>
      <sheetData sheetId="6">
        <row r="10">
          <cell r="X10">
            <v>32.437617316088762</v>
          </cell>
        </row>
        <row r="16">
          <cell r="X16">
            <v>11.606084906959447</v>
          </cell>
        </row>
        <row r="17">
          <cell r="X17">
            <v>11.370410244443557</v>
          </cell>
        </row>
        <row r="18">
          <cell r="X18">
            <v>12.762300372022722</v>
          </cell>
        </row>
        <row r="19">
          <cell r="X19">
            <v>11.921791761444497</v>
          </cell>
        </row>
        <row r="20">
          <cell r="X20">
            <v>11.888384919487128</v>
          </cell>
        </row>
        <row r="21">
          <cell r="X21">
            <v>11.694334797376488</v>
          </cell>
        </row>
        <row r="22">
          <cell r="X22">
            <v>12.097887397707984</v>
          </cell>
        </row>
        <row r="23">
          <cell r="X23">
            <v>11.760325460329293</v>
          </cell>
        </row>
        <row r="24">
          <cell r="X24">
            <v>11.303159016976181</v>
          </cell>
        </row>
      </sheetData>
      <sheetData sheetId="7"/>
      <sheetData sheetId="8">
        <row r="10">
          <cell r="X10">
            <v>34.417921053427925</v>
          </cell>
        </row>
        <row r="16">
          <cell r="X16">
            <v>11.18291572475418</v>
          </cell>
        </row>
        <row r="17">
          <cell r="X17">
            <v>11.66536723000587</v>
          </cell>
        </row>
        <row r="18">
          <cell r="X18">
            <v>11.421698388589515</v>
          </cell>
        </row>
        <row r="19">
          <cell r="X19">
            <v>11.74943401666216</v>
          </cell>
        </row>
        <row r="20">
          <cell r="X20">
            <v>11.310056496269949</v>
          </cell>
        </row>
        <row r="21">
          <cell r="X21">
            <v>11.199123508428773</v>
          </cell>
        </row>
        <row r="22">
          <cell r="X22">
            <v>9.5923934623289959</v>
          </cell>
        </row>
        <row r="23">
          <cell r="X23">
            <v>8.066907625553819</v>
          </cell>
        </row>
        <row r="24">
          <cell r="X24">
            <v>7.7760839079179149</v>
          </cell>
        </row>
      </sheetData>
      <sheetData sheetId="9"/>
      <sheetData sheetId="10">
        <row r="10">
          <cell r="X10">
            <v>34.594683536024185</v>
          </cell>
        </row>
        <row r="16">
          <cell r="X16">
            <v>12.057947880694103</v>
          </cell>
        </row>
        <row r="17">
          <cell r="X17">
            <v>12.291538734939</v>
          </cell>
        </row>
        <row r="18">
          <cell r="X18">
            <v>11.419713928227265</v>
          </cell>
        </row>
        <row r="19">
          <cell r="X19">
            <v>9.6898171517382519</v>
          </cell>
        </row>
        <row r="20">
          <cell r="X20">
            <v>8.560875722837169</v>
          </cell>
        </row>
        <row r="21">
          <cell r="X21">
            <v>6.4709481775763589</v>
          </cell>
        </row>
        <row r="22">
          <cell r="X22">
            <v>6.8714734398497965</v>
          </cell>
        </row>
        <row r="23">
          <cell r="X23">
            <v>5.0863056600143386</v>
          </cell>
        </row>
        <row r="24">
          <cell r="X24">
            <v>5.0506802297660789</v>
          </cell>
        </row>
      </sheetData>
      <sheetData sheetId="11"/>
      <sheetData sheetId="12">
        <row r="10">
          <cell r="X10">
            <v>33.971342662764947</v>
          </cell>
        </row>
        <row r="16">
          <cell r="X16">
            <v>10.786819671037257</v>
          </cell>
        </row>
        <row r="17">
          <cell r="X17">
            <v>10.874788890163726</v>
          </cell>
        </row>
        <row r="18">
          <cell r="X18">
            <v>11.3525976375696</v>
          </cell>
        </row>
        <row r="19">
          <cell r="X19">
            <v>11.044044168344259</v>
          </cell>
        </row>
        <row r="20">
          <cell r="X20">
            <v>10.911996365089255</v>
          </cell>
        </row>
        <row r="21">
          <cell r="X21">
            <v>11.057214723797898</v>
          </cell>
        </row>
        <row r="22">
          <cell r="X22">
            <v>10.783820671729284</v>
          </cell>
        </row>
        <row r="23">
          <cell r="X23">
            <v>10.473956056563757</v>
          </cell>
        </row>
        <row r="24">
          <cell r="X24">
            <v>9.8423771449310351</v>
          </cell>
        </row>
      </sheetData>
      <sheetData sheetId="13"/>
      <sheetData sheetId="14">
        <row r="10">
          <cell r="X10">
            <v>34.071723829384013</v>
          </cell>
        </row>
        <row r="16">
          <cell r="X16">
            <v>10.508815842870169</v>
          </cell>
        </row>
        <row r="17">
          <cell r="X17">
            <v>10.450373647482035</v>
          </cell>
        </row>
        <row r="18">
          <cell r="X18">
            <v>10.784384281428952</v>
          </cell>
        </row>
        <row r="19">
          <cell r="X19">
            <v>10.733420159931837</v>
          </cell>
        </row>
        <row r="20">
          <cell r="X20">
            <v>11.132791595167381</v>
          </cell>
        </row>
        <row r="21">
          <cell r="X21">
            <v>11.403988026947275</v>
          </cell>
        </row>
        <row r="22">
          <cell r="X22">
            <v>11.369353965888445</v>
          </cell>
        </row>
        <row r="23">
          <cell r="X23">
            <v>11.546171357932387</v>
          </cell>
        </row>
        <row r="24">
          <cell r="X24">
            <v>11.483202485656085</v>
          </cell>
        </row>
      </sheetData>
      <sheetData sheetId="15"/>
      <sheetData sheetId="16">
        <row r="10">
          <cell r="X10">
            <v>34.139770813892007</v>
          </cell>
        </row>
        <row r="16">
          <cell r="X16">
            <v>12.329776526767645</v>
          </cell>
        </row>
        <row r="17">
          <cell r="X17">
            <v>12.685346507676369</v>
          </cell>
        </row>
        <row r="18">
          <cell r="X18">
            <v>12.816762934664608</v>
          </cell>
        </row>
        <row r="19">
          <cell r="X19">
            <v>12.861669931753534</v>
          </cell>
        </row>
        <row r="20">
          <cell r="X20">
            <v>13.090222992157996</v>
          </cell>
        </row>
        <row r="21">
          <cell r="X21">
            <v>12.191392468964761</v>
          </cell>
        </row>
        <row r="22">
          <cell r="X22">
            <v>12.222965426232429</v>
          </cell>
        </row>
        <row r="23">
          <cell r="X23">
            <v>10.585726789016723</v>
          </cell>
        </row>
        <row r="24">
          <cell r="X24">
            <v>9.127594303837455</v>
          </cell>
        </row>
      </sheetData>
      <sheetData sheetId="17"/>
      <sheetData sheetId="18">
        <row r="10">
          <cell r="X10">
            <v>33.77181660358562</v>
          </cell>
        </row>
        <row r="16">
          <cell r="X16">
            <v>13.713604660540872</v>
          </cell>
        </row>
        <row r="17">
          <cell r="X17">
            <v>14.146429233149105</v>
          </cell>
        </row>
        <row r="18">
          <cell r="X18">
            <v>13.540426130411626</v>
          </cell>
        </row>
        <row r="19">
          <cell r="X19">
            <v>12.968588720781531</v>
          </cell>
        </row>
        <row r="20">
          <cell r="X20">
            <v>11.833526290854344</v>
          </cell>
        </row>
        <row r="21">
          <cell r="X21">
            <v>9.2901467415356631</v>
          </cell>
        </row>
        <row r="22">
          <cell r="X22">
            <v>9.2469341471162121</v>
          </cell>
        </row>
        <row r="23">
          <cell r="X23">
            <v>8.3080510321282581</v>
          </cell>
        </row>
        <row r="24">
          <cell r="X24">
            <v>8.2269685382274496</v>
          </cell>
        </row>
      </sheetData>
      <sheetData sheetId="19"/>
      <sheetData sheetId="20">
        <row r="10">
          <cell r="X10">
            <v>33.141270267790709</v>
          </cell>
        </row>
        <row r="16">
          <cell r="X16">
            <v>12.390560568409162</v>
          </cell>
        </row>
        <row r="17">
          <cell r="X17">
            <v>13.198829944615573</v>
          </cell>
        </row>
        <row r="18">
          <cell r="X18">
            <v>12.76453808228276</v>
          </cell>
        </row>
        <row r="19">
          <cell r="X19">
            <v>10.949317358581196</v>
          </cell>
        </row>
        <row r="20">
          <cell r="X20">
            <v>9.8574870712459024</v>
          </cell>
        </row>
        <row r="21">
          <cell r="X21">
            <v>8.1037921099150587</v>
          </cell>
        </row>
        <row r="22">
          <cell r="X22">
            <v>7.7519941258123408</v>
          </cell>
        </row>
        <row r="23">
          <cell r="X23">
            <v>6.4119791960062109</v>
          </cell>
        </row>
        <row r="24">
          <cell r="X24">
            <v>8.7855001252370943</v>
          </cell>
        </row>
      </sheetData>
      <sheetData sheetId="21"/>
      <sheetData sheetId="22">
        <row r="10">
          <cell r="X10">
            <v>33.068294054333677</v>
          </cell>
        </row>
        <row r="16">
          <cell r="X16">
            <v>10.521502243615085</v>
          </cell>
        </row>
        <row r="17">
          <cell r="X17">
            <v>12.413941281061465</v>
          </cell>
        </row>
        <row r="18">
          <cell r="X18">
            <v>8.6089110095561523</v>
          </cell>
        </row>
        <row r="19">
          <cell r="X19">
            <v>8.1182486053165928</v>
          </cell>
        </row>
        <row r="20">
          <cell r="X20">
            <v>7.3308573139081412</v>
          </cell>
        </row>
        <row r="21">
          <cell r="X21">
            <v>7.3706195642735377</v>
          </cell>
        </row>
        <row r="22">
          <cell r="X22">
            <v>7.3007801866685229</v>
          </cell>
        </row>
        <row r="23">
          <cell r="X23">
            <v>7.2789144954027263</v>
          </cell>
        </row>
        <row r="24">
          <cell r="X24">
            <v>6.0434719448691441</v>
          </cell>
        </row>
      </sheetData>
      <sheetData sheetId="23"/>
      <sheetData sheetId="24">
        <row r="10">
          <cell r="X10">
            <v>34.146763395382422</v>
          </cell>
        </row>
        <row r="16">
          <cell r="X16">
            <v>10.588481478958037</v>
          </cell>
        </row>
        <row r="17">
          <cell r="X17">
            <v>9.9989423398719843</v>
          </cell>
        </row>
        <row r="18">
          <cell r="X18">
            <v>8.6315399841245988</v>
          </cell>
        </row>
        <row r="19">
          <cell r="X19">
            <v>7.8212530583972999</v>
          </cell>
        </row>
        <row r="20">
          <cell r="X20">
            <v>7.4023061098098806</v>
          </cell>
        </row>
        <row r="21">
          <cell r="X21">
            <v>6.994894064767549</v>
          </cell>
        </row>
        <row r="22">
          <cell r="X22">
            <v>7.0072909448359191</v>
          </cell>
        </row>
        <row r="23">
          <cell r="X23">
            <v>6.2760869021442707</v>
          </cell>
        </row>
        <row r="24">
          <cell r="X24">
            <v>7.0304844293922706</v>
          </cell>
        </row>
      </sheetData>
      <sheetData sheetId="25"/>
      <sheetData sheetId="26">
        <row r="10">
          <cell r="X10">
            <v>33.408073431761743</v>
          </cell>
        </row>
        <row r="16">
          <cell r="X16">
            <v>9.5353014623104286</v>
          </cell>
        </row>
        <row r="17">
          <cell r="X17">
            <v>8.8935383184457582</v>
          </cell>
        </row>
        <row r="18">
          <cell r="X18">
            <v>7.5939263822826648</v>
          </cell>
        </row>
        <row r="19">
          <cell r="X19">
            <v>6.728101504548702</v>
          </cell>
        </row>
        <row r="20">
          <cell r="X20">
            <v>6.308716873716655</v>
          </cell>
        </row>
        <row r="21">
          <cell r="X21">
            <v>5.9449666841589641</v>
          </cell>
        </row>
        <row r="22">
          <cell r="X22">
            <v>5.990380099807421</v>
          </cell>
        </row>
        <row r="23">
          <cell r="X23">
            <v>6.1952281513127208</v>
          </cell>
        </row>
        <row r="24">
          <cell r="X24">
            <v>5.8733001561317133</v>
          </cell>
        </row>
      </sheetData>
      <sheetData sheetId="27"/>
      <sheetData sheetId="28">
        <row r="10">
          <cell r="X10">
            <v>33.90000085045488</v>
          </cell>
        </row>
        <row r="16">
          <cell r="X16">
            <v>9.2141487673754998</v>
          </cell>
        </row>
        <row r="17">
          <cell r="X17">
            <v>7.6594451481021748</v>
          </cell>
        </row>
        <row r="18">
          <cell r="X18">
            <v>7.6394596757051252</v>
          </cell>
        </row>
        <row r="19">
          <cell r="X19">
            <v>7.1615131446763662</v>
          </cell>
        </row>
        <row r="20">
          <cell r="X20">
            <v>7.2925637309837956</v>
          </cell>
        </row>
        <row r="21">
          <cell r="X21">
            <v>7.0890823113916266</v>
          </cell>
        </row>
        <row r="22">
          <cell r="X22">
            <v>7.2255592504493737</v>
          </cell>
        </row>
        <row r="23">
          <cell r="X23">
            <v>6.4095850475847111</v>
          </cell>
        </row>
        <row r="24">
          <cell r="X24">
            <v>7.0404874898319871</v>
          </cell>
        </row>
      </sheetData>
      <sheetData sheetId="29"/>
      <sheetData sheetId="30">
        <row r="10">
          <cell r="X10">
            <v>34.102274518897318</v>
          </cell>
        </row>
        <row r="16">
          <cell r="X16">
            <v>9.3624861353943594</v>
          </cell>
        </row>
        <row r="17">
          <cell r="X17">
            <v>9.3194112328998937</v>
          </cell>
        </row>
        <row r="18">
          <cell r="X18">
            <v>11.691840500379852</v>
          </cell>
        </row>
        <row r="19">
          <cell r="X19">
            <v>11.670142479881402</v>
          </cell>
        </row>
        <row r="20">
          <cell r="X20">
            <v>10.614034076020651</v>
          </cell>
        </row>
        <row r="21">
          <cell r="X21">
            <v>10.379913653736338</v>
          </cell>
        </row>
        <row r="22">
          <cell r="X22">
            <v>9.8451387028600994</v>
          </cell>
        </row>
        <row r="23">
          <cell r="X23">
            <v>8.5915903608757116</v>
          </cell>
        </row>
        <row r="24">
          <cell r="X24">
            <v>11.481693155439844</v>
          </cell>
        </row>
      </sheetData>
      <sheetData sheetId="31"/>
      <sheetData sheetId="32">
        <row r="10">
          <cell r="X10">
            <v>33.949797849185863</v>
          </cell>
        </row>
        <row r="16">
          <cell r="X16">
            <v>11.934777494737906</v>
          </cell>
        </row>
        <row r="17">
          <cell r="X17">
            <v>11.921440521727371</v>
          </cell>
        </row>
        <row r="18">
          <cell r="X18">
            <v>11.718885622995392</v>
          </cell>
        </row>
        <row r="19">
          <cell r="X19">
            <v>11.826183564245524</v>
          </cell>
        </row>
        <row r="20">
          <cell r="X20">
            <v>12.080166220030083</v>
          </cell>
        </row>
        <row r="21">
          <cell r="X21">
            <v>12.301941119177423</v>
          </cell>
        </row>
        <row r="22">
          <cell r="X22">
            <v>12.061510734702239</v>
          </cell>
        </row>
        <row r="23">
          <cell r="X23">
            <v>11.784342634120648</v>
          </cell>
        </row>
        <row r="24">
          <cell r="X24">
            <v>11.997655815243354</v>
          </cell>
        </row>
      </sheetData>
      <sheetData sheetId="33"/>
      <sheetData sheetId="34">
        <row r="10">
          <cell r="X10">
            <v>33.011542631317006</v>
          </cell>
        </row>
        <row r="16">
          <cell r="X16">
            <v>11.356156188622082</v>
          </cell>
        </row>
        <row r="17">
          <cell r="X17">
            <v>10.832170220720219</v>
          </cell>
        </row>
        <row r="18">
          <cell r="X18">
            <v>10.770523462357318</v>
          </cell>
        </row>
        <row r="19">
          <cell r="X19">
            <v>11.44485455784576</v>
          </cell>
        </row>
        <row r="20">
          <cell r="X20">
            <v>11.484940894580065</v>
          </cell>
        </row>
        <row r="21">
          <cell r="X21">
            <v>11.369297218562194</v>
          </cell>
        </row>
        <row r="22">
          <cell r="X22">
            <v>11.448029539170706</v>
          </cell>
        </row>
        <row r="23">
          <cell r="X23">
            <v>11.227548817839741</v>
          </cell>
        </row>
        <row r="24">
          <cell r="X24">
            <v>11.014276111202381</v>
          </cell>
        </row>
      </sheetData>
      <sheetData sheetId="35"/>
      <sheetData sheetId="36">
        <row r="10">
          <cell r="X10">
            <v>33.874753608816292</v>
          </cell>
        </row>
        <row r="16">
          <cell r="X16">
            <v>10.384454670101547</v>
          </cell>
        </row>
        <row r="17">
          <cell r="X17">
            <v>10.37801721801455</v>
          </cell>
        </row>
        <row r="18">
          <cell r="X18">
            <v>10.068844754998098</v>
          </cell>
        </row>
        <row r="19">
          <cell r="X19">
            <v>9.9108070913363111</v>
          </cell>
        </row>
        <row r="20">
          <cell r="X20">
            <v>9.6516309231256585</v>
          </cell>
        </row>
        <row r="21">
          <cell r="X21">
            <v>9.7334855727149527</v>
          </cell>
        </row>
        <row r="22">
          <cell r="X22">
            <v>9.7568358062324325</v>
          </cell>
        </row>
        <row r="23">
          <cell r="X23">
            <v>9.4872382749559527</v>
          </cell>
        </row>
        <row r="24">
          <cell r="X24">
            <v>9.9735085408215838</v>
          </cell>
        </row>
      </sheetData>
      <sheetData sheetId="37"/>
      <sheetData sheetId="38">
        <row r="10">
          <cell r="X10">
            <v>33.807592464537869</v>
          </cell>
        </row>
        <row r="16">
          <cell r="X16">
            <v>9.764138737530395</v>
          </cell>
        </row>
        <row r="17">
          <cell r="X17">
            <v>9.7896871737457865</v>
          </cell>
        </row>
        <row r="18">
          <cell r="X18">
            <v>10.015414707818538</v>
          </cell>
        </row>
        <row r="19">
          <cell r="X19">
            <v>10.033907744222486</v>
          </cell>
        </row>
        <row r="20">
          <cell r="X20">
            <v>10.761065332676893</v>
          </cell>
        </row>
        <row r="21">
          <cell r="X21">
            <v>10.475411418507873</v>
          </cell>
        </row>
        <row r="22">
          <cell r="X22">
            <v>10.307666710193265</v>
          </cell>
        </row>
        <row r="23">
          <cell r="X23">
            <v>10.571182081635731</v>
          </cell>
        </row>
        <row r="24">
          <cell r="X24">
            <v>10.92496023908523</v>
          </cell>
        </row>
      </sheetData>
      <sheetData sheetId="39"/>
      <sheetData sheetId="40">
        <row r="10">
          <cell r="X10">
            <v>34.724536618523892</v>
          </cell>
        </row>
        <row r="16">
          <cell r="X16">
            <v>11.156298853363058</v>
          </cell>
        </row>
        <row r="17">
          <cell r="X17">
            <v>11.284679903567637</v>
          </cell>
        </row>
        <row r="18">
          <cell r="X18">
            <v>11.373713207894079</v>
          </cell>
        </row>
        <row r="19">
          <cell r="X19">
            <v>11.866301184991304</v>
          </cell>
        </row>
        <row r="20">
          <cell r="X20">
            <v>11.572359439044131</v>
          </cell>
        </row>
        <row r="21">
          <cell r="X21">
            <v>11.648517965871109</v>
          </cell>
        </row>
        <row r="22">
          <cell r="X22">
            <v>13.263425968911335</v>
          </cell>
        </row>
        <row r="23">
          <cell r="X23">
            <v>15.065883641306764</v>
          </cell>
        </row>
        <row r="24">
          <cell r="X24">
            <v>13.578746107592925</v>
          </cell>
        </row>
      </sheetData>
      <sheetData sheetId="41"/>
      <sheetData sheetId="42">
        <row r="10">
          <cell r="X10">
            <v>33.904097426873861</v>
          </cell>
        </row>
        <row r="16">
          <cell r="X16">
            <v>12.46131944977434</v>
          </cell>
        </row>
        <row r="17">
          <cell r="X17">
            <v>12.800752361019493</v>
          </cell>
        </row>
        <row r="18">
          <cell r="X18">
            <v>12.706432185269392</v>
          </cell>
        </row>
        <row r="19">
          <cell r="X19">
            <v>12.851908487327789</v>
          </cell>
        </row>
        <row r="20">
          <cell r="X20">
            <v>11.645842441269082</v>
          </cell>
        </row>
        <row r="21">
          <cell r="X21">
            <v>10.987921774895382</v>
          </cell>
        </row>
        <row r="22">
          <cell r="X22">
            <v>10.959371032803164</v>
          </cell>
        </row>
        <row r="23">
          <cell r="X23">
            <v>11.122215504066036</v>
          </cell>
        </row>
        <row r="24">
          <cell r="X24">
            <v>10.899832489721426</v>
          </cell>
        </row>
      </sheetData>
      <sheetData sheetId="43"/>
      <sheetData sheetId="44">
        <row r="10">
          <cell r="X10">
            <v>35.019733163892617</v>
          </cell>
        </row>
        <row r="16">
          <cell r="X16">
            <v>12.72349871087471</v>
          </cell>
        </row>
        <row r="17">
          <cell r="X17">
            <v>12.772050126875898</v>
          </cell>
        </row>
        <row r="18">
          <cell r="X18">
            <v>12.340186114672624</v>
          </cell>
        </row>
        <row r="19">
          <cell r="X19">
            <v>11.912021403390042</v>
          </cell>
        </row>
        <row r="20">
          <cell r="X20">
            <v>11.515701161448872</v>
          </cell>
        </row>
        <row r="21">
          <cell r="X21">
            <v>11.110722856793178</v>
          </cell>
        </row>
        <row r="22">
          <cell r="X22">
            <v>10.847885304378693</v>
          </cell>
        </row>
        <row r="23">
          <cell r="X23">
            <v>13.252571478931586</v>
          </cell>
        </row>
        <row r="24">
          <cell r="X24">
            <v>13.4299764406995</v>
          </cell>
        </row>
      </sheetData>
      <sheetData sheetId="45"/>
      <sheetData sheetId="46">
        <row r="10">
          <cell r="X10">
            <v>36.201559930431678</v>
          </cell>
        </row>
        <row r="16">
          <cell r="X16">
            <v>13.168147588936668</v>
          </cell>
        </row>
        <row r="17">
          <cell r="X17">
            <v>12.900879150464364</v>
          </cell>
        </row>
        <row r="18">
          <cell r="X18">
            <v>12.986632799640915</v>
          </cell>
        </row>
        <row r="19">
          <cell r="X19">
            <v>12.811870223876785</v>
          </cell>
        </row>
        <row r="20">
          <cell r="X20">
            <v>12.748904370246098</v>
          </cell>
        </row>
        <row r="21">
          <cell r="X21">
            <v>10.973114690500255</v>
          </cell>
        </row>
        <row r="22">
          <cell r="X22">
            <v>10.719544671965568</v>
          </cell>
        </row>
        <row r="23">
          <cell r="X23">
            <v>10.280711081062512</v>
          </cell>
        </row>
        <row r="24">
          <cell r="X24">
            <v>9.7344730259287218</v>
          </cell>
        </row>
      </sheetData>
      <sheetData sheetId="47"/>
      <sheetData sheetId="48">
        <row r="10">
          <cell r="X10">
            <v>34.471293768430925</v>
          </cell>
        </row>
        <row r="16">
          <cell r="X16">
            <v>13.378880059863532</v>
          </cell>
        </row>
        <row r="17">
          <cell r="X17">
            <v>14.031055118198777</v>
          </cell>
        </row>
        <row r="18">
          <cell r="X18">
            <v>13.72600080330805</v>
          </cell>
        </row>
        <row r="19">
          <cell r="X19">
            <v>12.456384101043072</v>
          </cell>
        </row>
        <row r="20">
          <cell r="X20">
            <v>9.1586890612470988</v>
          </cell>
        </row>
        <row r="21">
          <cell r="X21">
            <v>8.7463910751662688</v>
          </cell>
        </row>
        <row r="22">
          <cell r="X22">
            <v>8.0418263271805177</v>
          </cell>
        </row>
        <row r="23">
          <cell r="X23">
            <v>8.3663888952921326</v>
          </cell>
        </row>
        <row r="24">
          <cell r="X24">
            <v>10.750638786105302</v>
          </cell>
        </row>
      </sheetData>
      <sheetData sheetId="49"/>
      <sheetData sheetId="50">
        <row r="10">
          <cell r="X10">
            <v>34.681848711172876</v>
          </cell>
        </row>
        <row r="16">
          <cell r="X16">
            <v>13.020117369114951</v>
          </cell>
        </row>
        <row r="17">
          <cell r="X17">
            <v>13.592130622531737</v>
          </cell>
        </row>
        <row r="18">
          <cell r="X18">
            <v>13.209765207396719</v>
          </cell>
        </row>
        <row r="19">
          <cell r="X19">
            <v>12.677439289642713</v>
          </cell>
        </row>
        <row r="20">
          <cell r="X20">
            <v>11.564162244370715</v>
          </cell>
        </row>
        <row r="21">
          <cell r="X21">
            <v>11.101534664765758</v>
          </cell>
        </row>
        <row r="22">
          <cell r="X22">
            <v>10.331462542932382</v>
          </cell>
        </row>
        <row r="23">
          <cell r="X23">
            <v>8.4276716576225645</v>
          </cell>
        </row>
        <row r="24">
          <cell r="X24">
            <v>14.293711136660638</v>
          </cell>
        </row>
      </sheetData>
      <sheetData sheetId="51"/>
      <sheetData sheetId="52">
        <row r="10">
          <cell r="X10">
            <v>34.222385667017406</v>
          </cell>
        </row>
        <row r="16">
          <cell r="X16">
            <v>13.256035535081262</v>
          </cell>
        </row>
        <row r="17">
          <cell r="X17">
            <v>12.965449541717767</v>
          </cell>
        </row>
        <row r="18">
          <cell r="X18">
            <v>12.78855376561069</v>
          </cell>
        </row>
        <row r="19">
          <cell r="X19">
            <v>12.147630940232968</v>
          </cell>
        </row>
        <row r="20">
          <cell r="X20">
            <v>11.324741818252821</v>
          </cell>
        </row>
        <row r="21">
          <cell r="X21">
            <v>10.079123701395357</v>
          </cell>
        </row>
        <row r="22">
          <cell r="X22">
            <v>9.3675925476877886</v>
          </cell>
        </row>
        <row r="23">
          <cell r="X23">
            <v>7.4566584217385792</v>
          </cell>
        </row>
        <row r="24">
          <cell r="X24">
            <v>6.9982616989660738</v>
          </cell>
        </row>
      </sheetData>
      <sheetData sheetId="53"/>
      <sheetData sheetId="54">
        <row r="10">
          <cell r="X10">
            <v>34.668958481462347</v>
          </cell>
        </row>
        <row r="16">
          <cell r="X16">
            <v>11.558613705776127</v>
          </cell>
        </row>
        <row r="17">
          <cell r="X17">
            <v>11.247470421786906</v>
          </cell>
        </row>
        <row r="18">
          <cell r="X18">
            <v>10.364497265670501</v>
          </cell>
        </row>
        <row r="19">
          <cell r="X19">
            <v>9.327177810247882</v>
          </cell>
        </row>
        <row r="20">
          <cell r="X20">
            <v>8.9193134042868767</v>
          </cell>
        </row>
        <row r="21">
          <cell r="X21">
            <v>9.06289643873294</v>
          </cell>
        </row>
        <row r="22">
          <cell r="X22">
            <v>8.740154057452413</v>
          </cell>
        </row>
        <row r="23">
          <cell r="X23">
            <v>8.3827908972829803</v>
          </cell>
        </row>
        <row r="24">
          <cell r="X24">
            <v>7.6971060386035912</v>
          </cell>
        </row>
      </sheetData>
      <sheetData sheetId="55"/>
      <sheetData sheetId="56">
        <row r="10">
          <cell r="X10">
            <v>35.783811071106221</v>
          </cell>
        </row>
        <row r="16">
          <cell r="X16">
            <v>13.119464123054422</v>
          </cell>
        </row>
        <row r="17">
          <cell r="X17">
            <v>12.862444322808374</v>
          </cell>
        </row>
        <row r="18">
          <cell r="X18">
            <v>13.978338137615207</v>
          </cell>
        </row>
        <row r="19">
          <cell r="X19">
            <v>14.67259820015874</v>
          </cell>
        </row>
        <row r="20">
          <cell r="X20">
            <v>14.099802685791106</v>
          </cell>
        </row>
        <row r="21">
          <cell r="X21">
            <v>12.734009704786594</v>
          </cell>
        </row>
        <row r="22">
          <cell r="X22">
            <v>12.811635777178903</v>
          </cell>
        </row>
        <row r="23">
          <cell r="X23">
            <v>14.035694942147591</v>
          </cell>
        </row>
        <row r="24">
          <cell r="X24">
            <v>14.832912254726882</v>
          </cell>
        </row>
      </sheetData>
      <sheetData sheetId="57"/>
      <sheetData sheetId="58">
        <row r="10">
          <cell r="X10">
            <v>33.50736981875378</v>
          </cell>
        </row>
        <row r="16">
          <cell r="X16">
            <v>10.095099630804571</v>
          </cell>
        </row>
        <row r="17">
          <cell r="X17">
            <v>9.6793196343477295</v>
          </cell>
        </row>
        <row r="18">
          <cell r="X18">
            <v>9.6224409400834361</v>
          </cell>
        </row>
        <row r="19">
          <cell r="X19">
            <v>9.4413328404135299</v>
          </cell>
        </row>
        <row r="20">
          <cell r="X20">
            <v>9.3411338389987506</v>
          </cell>
        </row>
        <row r="21">
          <cell r="X21">
            <v>10.040882529668094</v>
          </cell>
        </row>
        <row r="22">
          <cell r="X22">
            <v>10.614663036263448</v>
          </cell>
        </row>
        <row r="23">
          <cell r="X23">
            <v>10.731301440993803</v>
          </cell>
        </row>
        <row r="24">
          <cell r="X24">
            <v>10.932595039960676</v>
          </cell>
        </row>
      </sheetData>
      <sheetData sheetId="59"/>
      <sheetData sheetId="60">
        <row r="10">
          <cell r="X10">
            <v>34.095787370042075</v>
          </cell>
        </row>
        <row r="16">
          <cell r="X16">
            <v>10.644452511669483</v>
          </cell>
        </row>
        <row r="17">
          <cell r="X17">
            <v>11.019487016132235</v>
          </cell>
        </row>
        <row r="18">
          <cell r="X18">
            <v>10.856433469302477</v>
          </cell>
        </row>
        <row r="19">
          <cell r="X19">
            <v>11.501759218364219</v>
          </cell>
        </row>
        <row r="20">
          <cell r="X20">
            <v>11.482010947419299</v>
          </cell>
        </row>
        <row r="21">
          <cell r="X21">
            <v>10.660067712643837</v>
          </cell>
        </row>
        <row r="22">
          <cell r="X22">
            <v>11.106471068813164</v>
          </cell>
        </row>
        <row r="23">
          <cell r="X23">
            <v>12.736939491238884</v>
          </cell>
        </row>
        <row r="24">
          <cell r="X24">
            <v>12.152647566206008</v>
          </cell>
        </row>
      </sheetData>
      <sheetData sheetId="61"/>
      <sheetData sheetId="62">
        <row r="10">
          <cell r="X10">
            <v>35.105758632466198</v>
          </cell>
        </row>
        <row r="16">
          <cell r="X16">
            <v>12.151874431023929</v>
          </cell>
        </row>
        <row r="17">
          <cell r="X17">
            <v>12.408047493792775</v>
          </cell>
        </row>
        <row r="18">
          <cell r="X18">
            <v>12.517717254426085</v>
          </cell>
        </row>
        <row r="19">
          <cell r="X19">
            <v>12.269117910124212</v>
          </cell>
        </row>
        <row r="20">
          <cell r="X20">
            <v>12.362388081513695</v>
          </cell>
        </row>
        <row r="21">
          <cell r="X21">
            <v>11.639826322090677</v>
          </cell>
        </row>
        <row r="22">
          <cell r="X22">
            <v>11.078080762186509</v>
          </cell>
        </row>
        <row r="23">
          <cell r="X23">
            <v>13.066612377222143</v>
          </cell>
        </row>
        <row r="24">
          <cell r="X24">
            <v>14.189725018517663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OUTUBRO DE  2024</v>
          </cell>
        </row>
        <row r="16">
          <cell r="X16">
            <v>11.697485040548903</v>
          </cell>
        </row>
        <row r="17">
          <cell r="X17">
            <v>11.236634834002132</v>
          </cell>
        </row>
        <row r="18">
          <cell r="X18">
            <v>11.227744905067304</v>
          </cell>
        </row>
        <row r="19">
          <cell r="X19">
            <v>11.576724511575843</v>
          </cell>
        </row>
        <row r="20">
          <cell r="X20">
            <v>10.295913677051058</v>
          </cell>
        </row>
        <row r="21">
          <cell r="X21">
            <v>9.4381290047700812</v>
          </cell>
        </row>
        <row r="22">
          <cell r="X22">
            <v>10.281588738576881</v>
          </cell>
        </row>
        <row r="23">
          <cell r="X23">
            <v>9.2025876692931146</v>
          </cell>
        </row>
        <row r="24">
          <cell r="X24">
            <v>7.943645109434649</v>
          </cell>
        </row>
      </sheetData>
      <sheetData sheetId="5"/>
      <sheetData sheetId="6">
        <row r="10">
          <cell r="X10">
            <v>34.699814429075509</v>
          </cell>
        </row>
        <row r="16">
          <cell r="X16">
            <v>12.810720618066423</v>
          </cell>
        </row>
        <row r="17">
          <cell r="X17">
            <v>10.992119255379894</v>
          </cell>
        </row>
        <row r="18">
          <cell r="X18">
            <v>9.8037820205538981</v>
          </cell>
        </row>
        <row r="19">
          <cell r="X19">
            <v>8.6272672611916832</v>
          </cell>
        </row>
        <row r="20">
          <cell r="X20">
            <v>9.2536805223872634</v>
          </cell>
        </row>
        <row r="21">
          <cell r="X21">
            <v>9.1145936981671749</v>
          </cell>
        </row>
        <row r="22">
          <cell r="X22">
            <v>8.4557585752006119</v>
          </cell>
        </row>
        <row r="23">
          <cell r="X23">
            <v>7.3922187459236479</v>
          </cell>
        </row>
        <row r="24">
          <cell r="X24">
            <v>14.28300496296087</v>
          </cell>
        </row>
      </sheetData>
      <sheetData sheetId="7"/>
      <sheetData sheetId="8">
        <row r="10">
          <cell r="X10">
            <v>34.140281135723029</v>
          </cell>
        </row>
        <row r="16">
          <cell r="X16">
            <v>12.853627890649808</v>
          </cell>
        </row>
        <row r="17">
          <cell r="X17">
            <v>13.151397712351452</v>
          </cell>
        </row>
        <row r="18">
          <cell r="X18">
            <v>13.69795291016502</v>
          </cell>
        </row>
        <row r="19">
          <cell r="X19">
            <v>13.256804046950313</v>
          </cell>
        </row>
        <row r="20">
          <cell r="X20">
            <v>13.888261456578583</v>
          </cell>
        </row>
        <row r="21">
          <cell r="X21">
            <v>13.194920626390589</v>
          </cell>
        </row>
        <row r="22">
          <cell r="X22">
            <v>12.634279122981324</v>
          </cell>
        </row>
        <row r="23">
          <cell r="X23">
            <v>13.051451895348622</v>
          </cell>
        </row>
        <row r="24">
          <cell r="X24">
            <v>12.171479963303957</v>
          </cell>
        </row>
      </sheetData>
      <sheetData sheetId="9"/>
      <sheetData sheetId="10">
        <row r="10">
          <cell r="X10">
            <v>34.324367006082511</v>
          </cell>
        </row>
        <row r="16">
          <cell r="X16">
            <v>11.085064835730371</v>
          </cell>
        </row>
        <row r="17">
          <cell r="X17">
            <v>10.842821752752185</v>
          </cell>
        </row>
        <row r="18">
          <cell r="X18">
            <v>10.680592874369124</v>
          </cell>
        </row>
        <row r="19">
          <cell r="X19">
            <v>11.005069091755152</v>
          </cell>
        </row>
        <row r="20">
          <cell r="X20">
            <v>11.003231152299787</v>
          </cell>
        </row>
        <row r="21">
          <cell r="X21">
            <v>10.998956520200458</v>
          </cell>
        </row>
        <row r="22">
          <cell r="X22">
            <v>10.845449712181674</v>
          </cell>
        </row>
        <row r="23">
          <cell r="X23">
            <v>10.827171292606153</v>
          </cell>
        </row>
        <row r="24">
          <cell r="X24">
            <v>10.86889045754808</v>
          </cell>
        </row>
      </sheetData>
      <sheetData sheetId="11"/>
      <sheetData sheetId="12">
        <row r="10">
          <cell r="X10">
            <v>34.822385125186223</v>
          </cell>
        </row>
        <row r="16">
          <cell r="X16">
            <v>11.097878737489188</v>
          </cell>
        </row>
        <row r="17">
          <cell r="X17">
            <v>10.676970807083688</v>
          </cell>
        </row>
        <row r="18">
          <cell r="X18">
            <v>10.355846633953455</v>
          </cell>
        </row>
        <row r="19">
          <cell r="X19">
            <v>10.454917797609641</v>
          </cell>
        </row>
        <row r="20">
          <cell r="X20">
            <v>11.139309000973228</v>
          </cell>
        </row>
        <row r="21">
          <cell r="X21">
            <v>11.229491500585686</v>
          </cell>
        </row>
        <row r="22">
          <cell r="X22">
            <v>11.2122055022058</v>
          </cell>
        </row>
        <row r="23">
          <cell r="X23">
            <v>11.496584790697069</v>
          </cell>
        </row>
        <row r="24">
          <cell r="X24">
            <v>11.596879054615759</v>
          </cell>
        </row>
      </sheetData>
      <sheetData sheetId="13"/>
      <sheetData sheetId="14">
        <row r="10">
          <cell r="X10">
            <v>34.221359468577688</v>
          </cell>
        </row>
        <row r="16">
          <cell r="X16">
            <v>10.525130582641353</v>
          </cell>
        </row>
        <row r="17">
          <cell r="X17">
            <v>10.408003360106731</v>
          </cell>
        </row>
        <row r="18">
          <cell r="X18">
            <v>10.595030175348269</v>
          </cell>
        </row>
        <row r="19">
          <cell r="X19">
            <v>10.878057798217064</v>
          </cell>
        </row>
        <row r="20">
          <cell r="X20">
            <v>10.255534904616642</v>
          </cell>
        </row>
        <row r="21">
          <cell r="X21">
            <v>10.636808569152375</v>
          </cell>
        </row>
        <row r="22">
          <cell r="X22">
            <v>11.680708251015613</v>
          </cell>
        </row>
        <row r="23">
          <cell r="X23">
            <v>11.375101907029562</v>
          </cell>
        </row>
        <row r="24">
          <cell r="X24">
            <v>11.367470787216327</v>
          </cell>
        </row>
      </sheetData>
      <sheetData sheetId="15"/>
      <sheetData sheetId="16">
        <row r="10">
          <cell r="X10">
            <v>33.873436703622147</v>
          </cell>
        </row>
        <row r="16">
          <cell r="X16">
            <v>10.096878269986222</v>
          </cell>
        </row>
        <row r="17">
          <cell r="X17">
            <v>10.010886126942951</v>
          </cell>
        </row>
        <row r="18">
          <cell r="X18">
            <v>10.041181975858471</v>
          </cell>
        </row>
        <row r="19">
          <cell r="X19">
            <v>9.4641935879007804</v>
          </cell>
        </row>
        <row r="20">
          <cell r="X20">
            <v>9.5599494356020802</v>
          </cell>
        </row>
        <row r="21">
          <cell r="X21">
            <v>8.7379838826291554</v>
          </cell>
        </row>
        <row r="22">
          <cell r="X22">
            <v>10.76306800831342</v>
          </cell>
        </row>
        <row r="23">
          <cell r="X23">
            <v>11.198230105613337</v>
          </cell>
        </row>
        <row r="24">
          <cell r="X24">
            <v>10.303143643609943</v>
          </cell>
        </row>
      </sheetData>
      <sheetData sheetId="17"/>
      <sheetData sheetId="18">
        <row r="10">
          <cell r="X10">
            <v>34.790430050463605</v>
          </cell>
        </row>
        <row r="16">
          <cell r="X16">
            <v>11.219762080869561</v>
          </cell>
        </row>
        <row r="17">
          <cell r="X17">
            <v>10.983307428866089</v>
          </cell>
        </row>
        <row r="18">
          <cell r="X18">
            <v>10.83876539344401</v>
          </cell>
        </row>
        <row r="19">
          <cell r="X19">
            <v>11.237147469638899</v>
          </cell>
        </row>
        <row r="20">
          <cell r="X20">
            <v>11.104371053457262</v>
          </cell>
        </row>
        <row r="21">
          <cell r="X21">
            <v>11.381666580744712</v>
          </cell>
        </row>
        <row r="22">
          <cell r="X22">
            <v>10.870151104429581</v>
          </cell>
        </row>
        <row r="23">
          <cell r="X23">
            <v>12.227084949158391</v>
          </cell>
        </row>
        <row r="24">
          <cell r="X24">
            <v>13.905277847220109</v>
          </cell>
        </row>
      </sheetData>
      <sheetData sheetId="19"/>
      <sheetData sheetId="20">
        <row r="10">
          <cell r="X10">
            <v>33.417107740400091</v>
          </cell>
        </row>
        <row r="16">
          <cell r="X16">
            <v>11.892184953589847</v>
          </cell>
        </row>
        <row r="17">
          <cell r="X17">
            <v>11.81062305792439</v>
          </cell>
        </row>
        <row r="18">
          <cell r="X18">
            <v>12.175338330317937</v>
          </cell>
        </row>
        <row r="19">
          <cell r="X19">
            <v>12.454597856414054</v>
          </cell>
        </row>
        <row r="20">
          <cell r="X20">
            <v>12.580356147094941</v>
          </cell>
        </row>
        <row r="21">
          <cell r="X21">
            <v>12.838896006450616</v>
          </cell>
        </row>
        <row r="22">
          <cell r="X22">
            <v>12.879713163476419</v>
          </cell>
        </row>
        <row r="23">
          <cell r="X23">
            <v>12.128884348708945</v>
          </cell>
        </row>
        <row r="24">
          <cell r="X24">
            <v>12.215859126070706</v>
          </cell>
        </row>
      </sheetData>
      <sheetData sheetId="21"/>
      <sheetData sheetId="22">
        <row r="10">
          <cell r="X10">
            <v>35.819508357346926</v>
          </cell>
        </row>
        <row r="16">
          <cell r="X16">
            <v>13.107691323593855</v>
          </cell>
        </row>
        <row r="17">
          <cell r="X17">
            <v>13.065782414196937</v>
          </cell>
        </row>
        <row r="18">
          <cell r="X18">
            <v>12.94280380194505</v>
          </cell>
        </row>
        <row r="19">
          <cell r="X19">
            <v>13.402777357371598</v>
          </cell>
        </row>
        <row r="20">
          <cell r="X20">
            <v>12.726104778542707</v>
          </cell>
        </row>
        <row r="21">
          <cell r="X21">
            <v>13.009859974004272</v>
          </cell>
        </row>
        <row r="22">
          <cell r="X22">
            <v>12.750947146397172</v>
          </cell>
        </row>
        <row r="23">
          <cell r="X23">
            <v>14.05599511125102</v>
          </cell>
        </row>
        <row r="24">
          <cell r="X24">
            <v>14.668999950488161</v>
          </cell>
        </row>
      </sheetData>
      <sheetData sheetId="23"/>
      <sheetData sheetId="24">
        <row r="10">
          <cell r="X10">
            <v>36.22877506032944</v>
          </cell>
        </row>
        <row r="16">
          <cell r="X16">
            <v>14.101462593238141</v>
          </cell>
        </row>
        <row r="17">
          <cell r="X17">
            <v>14.991612502787271</v>
          </cell>
        </row>
        <row r="18">
          <cell r="X18">
            <v>14.918672025407004</v>
          </cell>
        </row>
        <row r="19">
          <cell r="X19">
            <v>15.082244176340705</v>
          </cell>
        </row>
        <row r="20">
          <cell r="X20">
            <v>15.492994178823736</v>
          </cell>
        </row>
        <row r="21">
          <cell r="X21">
            <v>14.252128915906715</v>
          </cell>
        </row>
        <row r="22">
          <cell r="X22">
            <v>14.699986653185702</v>
          </cell>
        </row>
        <row r="23">
          <cell r="X23">
            <v>15.068084774598471</v>
          </cell>
        </row>
        <row r="24">
          <cell r="X24">
            <v>14.502144368597101</v>
          </cell>
        </row>
      </sheetData>
      <sheetData sheetId="25"/>
      <sheetData sheetId="26">
        <row r="10">
          <cell r="X10">
            <v>38.550227873179004</v>
          </cell>
        </row>
        <row r="16">
          <cell r="X16">
            <v>14.33590209934558</v>
          </cell>
        </row>
        <row r="17">
          <cell r="X17">
            <v>13.585400990835153</v>
          </cell>
        </row>
        <row r="18">
          <cell r="X18">
            <v>13.552145194396564</v>
          </cell>
        </row>
        <row r="19">
          <cell r="X19">
            <v>12.968541139402237</v>
          </cell>
        </row>
        <row r="20">
          <cell r="X20">
            <v>12.49506584617861</v>
          </cell>
        </row>
        <row r="21">
          <cell r="X21">
            <v>12.512632661195735</v>
          </cell>
        </row>
        <row r="22">
          <cell r="X22">
            <v>11.729765118412791</v>
          </cell>
        </row>
        <row r="23">
          <cell r="X23">
            <v>14.537141833029271</v>
          </cell>
        </row>
        <row r="24">
          <cell r="X24">
            <v>14.082805082681739</v>
          </cell>
        </row>
      </sheetData>
      <sheetData sheetId="27"/>
      <sheetData sheetId="28">
        <row r="10">
          <cell r="X10">
            <v>33.704212051710471</v>
          </cell>
        </row>
        <row r="16">
          <cell r="X16">
            <v>11.405165322438007</v>
          </cell>
        </row>
        <row r="17">
          <cell r="X17">
            <v>11.976024914729662</v>
          </cell>
        </row>
        <row r="18">
          <cell r="X18">
            <v>11.661894039918097</v>
          </cell>
        </row>
        <row r="19">
          <cell r="X19">
            <v>11.366817708537837</v>
          </cell>
        </row>
        <row r="20">
          <cell r="X20">
            <v>11.416520183604815</v>
          </cell>
        </row>
        <row r="21">
          <cell r="X21">
            <v>12.44953590221157</v>
          </cell>
        </row>
        <row r="22">
          <cell r="X22">
            <v>12.464656514272942</v>
          </cell>
        </row>
        <row r="23">
          <cell r="X23">
            <v>12.309822405006349</v>
          </cell>
        </row>
        <row r="24">
          <cell r="X24">
            <v>12.352518476853035</v>
          </cell>
        </row>
      </sheetData>
      <sheetData sheetId="29"/>
      <sheetData sheetId="30">
        <row r="10">
          <cell r="X10">
            <v>35.037753057412729</v>
          </cell>
        </row>
        <row r="16">
          <cell r="X16">
            <v>12.134532254288517</v>
          </cell>
        </row>
        <row r="17">
          <cell r="X17">
            <v>12.163590212395581</v>
          </cell>
        </row>
        <row r="18">
          <cell r="X18">
            <v>12.362966710817345</v>
          </cell>
        </row>
        <row r="19">
          <cell r="X19">
            <v>12.157747087099359</v>
          </cell>
        </row>
        <row r="20">
          <cell r="X20">
            <v>12.421109816752871</v>
          </cell>
        </row>
        <row r="21">
          <cell r="X21">
            <v>12.526208329145511</v>
          </cell>
        </row>
        <row r="22">
          <cell r="X22">
            <v>12.663722068454508</v>
          </cell>
        </row>
        <row r="23">
          <cell r="X23">
            <v>12.35834313961052</v>
          </cell>
        </row>
        <row r="24">
          <cell r="X24">
            <v>12.206172640983048</v>
          </cell>
        </row>
      </sheetData>
      <sheetData sheetId="31"/>
      <sheetData sheetId="32">
        <row r="10">
          <cell r="X10">
            <v>34.33265561382769</v>
          </cell>
        </row>
        <row r="16">
          <cell r="X16">
            <v>10.803968047962842</v>
          </cell>
        </row>
        <row r="17">
          <cell r="X17">
            <v>11.165369108293527</v>
          </cell>
        </row>
        <row r="18">
          <cell r="X18">
            <v>10.567875473859585</v>
          </cell>
        </row>
        <row r="19">
          <cell r="X19">
            <v>11.222814050965189</v>
          </cell>
        </row>
        <row r="20">
          <cell r="X20">
            <v>10.951318902391998</v>
          </cell>
        </row>
        <row r="21">
          <cell r="X21">
            <v>10.800695336872026</v>
          </cell>
        </row>
        <row r="22">
          <cell r="X22">
            <v>12.93755600600122</v>
          </cell>
        </row>
        <row r="23">
          <cell r="X23">
            <v>12.750347146676701</v>
          </cell>
        </row>
        <row r="24">
          <cell r="X24">
            <v>13.142420335595641</v>
          </cell>
        </row>
      </sheetData>
      <sheetData sheetId="33"/>
      <sheetData sheetId="34">
        <row r="10">
          <cell r="X10">
            <v>34.525906509838975</v>
          </cell>
        </row>
        <row r="16">
          <cell r="X16">
            <v>12.333247059642092</v>
          </cell>
        </row>
        <row r="17">
          <cell r="X17">
            <v>12.584561538006836</v>
          </cell>
        </row>
        <row r="18">
          <cell r="X18">
            <v>12.881743009418299</v>
          </cell>
        </row>
        <row r="19">
          <cell r="X19">
            <v>13.447527785713579</v>
          </cell>
        </row>
        <row r="20">
          <cell r="X20">
            <v>13.402751842566596</v>
          </cell>
        </row>
        <row r="21">
          <cell r="X21">
            <v>12.622936847357048</v>
          </cell>
        </row>
        <row r="22">
          <cell r="X22">
            <v>13.415213923764247</v>
          </cell>
        </row>
        <row r="23">
          <cell r="X23">
            <v>13.897404295093434</v>
          </cell>
        </row>
        <row r="24">
          <cell r="X24">
            <v>14.917849142560422</v>
          </cell>
        </row>
      </sheetData>
      <sheetData sheetId="35"/>
      <sheetData sheetId="36">
        <row r="10">
          <cell r="X10">
            <v>33.768891037418989</v>
          </cell>
        </row>
        <row r="16">
          <cell r="X16">
            <v>11.625348350152366</v>
          </cell>
        </row>
        <row r="17">
          <cell r="X17">
            <v>11.685047091558927</v>
          </cell>
        </row>
        <row r="18">
          <cell r="X18">
            <v>10.512268393971405</v>
          </cell>
        </row>
        <row r="19">
          <cell r="X19">
            <v>11.075964580001267</v>
          </cell>
        </row>
        <row r="20">
          <cell r="X20">
            <v>12.167804708728044</v>
          </cell>
        </row>
        <row r="21">
          <cell r="X21">
            <v>11.924706621037354</v>
          </cell>
        </row>
        <row r="22">
          <cell r="X22">
            <v>12.380717769254888</v>
          </cell>
        </row>
        <row r="23">
          <cell r="X23">
            <v>13.195995493207615</v>
          </cell>
        </row>
        <row r="24">
          <cell r="X24">
            <v>13.790102249230948</v>
          </cell>
        </row>
      </sheetData>
      <sheetData sheetId="37"/>
      <sheetData sheetId="38">
        <row r="10">
          <cell r="X10">
            <v>34.759490686034532</v>
          </cell>
        </row>
        <row r="16">
          <cell r="X16">
            <v>11.708374758154511</v>
          </cell>
        </row>
        <row r="17">
          <cell r="X17">
            <v>11.783645335294779</v>
          </cell>
        </row>
        <row r="18">
          <cell r="X18">
            <v>11.996535324086063</v>
          </cell>
        </row>
        <row r="19">
          <cell r="X19">
            <v>12.250802185545073</v>
          </cell>
        </row>
        <row r="20">
          <cell r="X20">
            <v>13.357187274444483</v>
          </cell>
        </row>
        <row r="21">
          <cell r="X21">
            <v>13.598472890443848</v>
          </cell>
        </row>
        <row r="22">
          <cell r="X22">
            <v>13.608004373428454</v>
          </cell>
        </row>
        <row r="23">
          <cell r="X23">
            <v>13.627834255494731</v>
          </cell>
        </row>
        <row r="24">
          <cell r="X24">
            <v>13.367433355875077</v>
          </cell>
        </row>
      </sheetData>
      <sheetData sheetId="39"/>
      <sheetData sheetId="40">
        <row r="10">
          <cell r="X10">
            <v>36.012893728248919</v>
          </cell>
        </row>
        <row r="16">
          <cell r="X16">
            <v>12.22114988172531</v>
          </cell>
        </row>
        <row r="17">
          <cell r="X17">
            <v>12.497431928564607</v>
          </cell>
        </row>
        <row r="18">
          <cell r="X18">
            <v>12.869258032371826</v>
          </cell>
        </row>
        <row r="19">
          <cell r="X19">
            <v>13.0746409098693</v>
          </cell>
        </row>
        <row r="20">
          <cell r="X20">
            <v>12.784177614247039</v>
          </cell>
        </row>
        <row r="21">
          <cell r="X21">
            <v>12.413635439995113</v>
          </cell>
        </row>
        <row r="22">
          <cell r="X22">
            <v>12.103086813590446</v>
          </cell>
        </row>
        <row r="23">
          <cell r="X23">
            <v>11.795192502894528</v>
          </cell>
        </row>
        <row r="24">
          <cell r="X24">
            <v>11.457585837040803</v>
          </cell>
        </row>
      </sheetData>
      <sheetData sheetId="41"/>
      <sheetData sheetId="42">
        <row r="10">
          <cell r="X10">
            <v>35.00197364430251</v>
          </cell>
        </row>
        <row r="16">
          <cell r="X16">
            <v>11.762780059625687</v>
          </cell>
        </row>
        <row r="17">
          <cell r="X17">
            <v>11.944193645479716</v>
          </cell>
        </row>
        <row r="18">
          <cell r="X18">
            <v>11.850101721541721</v>
          </cell>
        </row>
        <row r="19">
          <cell r="X19">
            <v>12.084057067157996</v>
          </cell>
        </row>
        <row r="20">
          <cell r="X20">
            <v>12.240126280144249</v>
          </cell>
        </row>
        <row r="21">
          <cell r="X21">
            <v>12.533249272706762</v>
          </cell>
        </row>
        <row r="22">
          <cell r="X22">
            <v>12.581091258068884</v>
          </cell>
        </row>
        <row r="23">
          <cell r="X23">
            <v>12.921868684432116</v>
          </cell>
        </row>
        <row r="24">
          <cell r="X24">
            <v>12.671316929179129</v>
          </cell>
        </row>
      </sheetData>
      <sheetData sheetId="43"/>
      <sheetData sheetId="44">
        <row r="10">
          <cell r="X10">
            <v>35.062267679135807</v>
          </cell>
        </row>
        <row r="16">
          <cell r="X16">
            <v>12.709246882819702</v>
          </cell>
        </row>
        <row r="17">
          <cell r="X17">
            <v>12.582650007785764</v>
          </cell>
        </row>
        <row r="18">
          <cell r="X18">
            <v>13.086812734769536</v>
          </cell>
        </row>
        <row r="19">
          <cell r="X19">
            <v>12.748444117790255</v>
          </cell>
        </row>
        <row r="20">
          <cell r="X20">
            <v>14.285828014642442</v>
          </cell>
        </row>
        <row r="21">
          <cell r="X21">
            <v>14.359822608908203</v>
          </cell>
        </row>
        <row r="22">
          <cell r="X22">
            <v>14.511778682396722</v>
          </cell>
        </row>
        <row r="23">
          <cell r="X23">
            <v>14.859854341521554</v>
          </cell>
        </row>
        <row r="24">
          <cell r="X24">
            <v>14.605951359507864</v>
          </cell>
        </row>
      </sheetData>
      <sheetData sheetId="45"/>
      <sheetData sheetId="46">
        <row r="10">
          <cell r="X10">
            <v>35.851456455013327</v>
          </cell>
        </row>
        <row r="16">
          <cell r="X16">
            <v>15.177032414974734</v>
          </cell>
        </row>
        <row r="17">
          <cell r="X17">
            <v>15.077138162937262</v>
          </cell>
        </row>
        <row r="18">
          <cell r="X18">
            <v>14.814619682789395</v>
          </cell>
        </row>
        <row r="19">
          <cell r="X19">
            <v>14.508183018060747</v>
          </cell>
        </row>
        <row r="20">
          <cell r="X20">
            <v>13.991762636781873</v>
          </cell>
        </row>
        <row r="21">
          <cell r="X21">
            <v>13.733732162646433</v>
          </cell>
        </row>
        <row r="22">
          <cell r="X22">
            <v>13.876389645412912</v>
          </cell>
        </row>
        <row r="23">
          <cell r="X23">
            <v>13.642917807870168</v>
          </cell>
        </row>
        <row r="24">
          <cell r="X24">
            <v>16.624040644038438</v>
          </cell>
        </row>
      </sheetData>
      <sheetData sheetId="47"/>
      <sheetData sheetId="48">
        <row r="10">
          <cell r="X10">
            <v>36.280511804164334</v>
          </cell>
        </row>
        <row r="16">
          <cell r="X16">
            <v>16.566252077421783</v>
          </cell>
        </row>
        <row r="17">
          <cell r="X17">
            <v>16.055134784625043</v>
          </cell>
        </row>
        <row r="18">
          <cell r="X18">
            <v>16.112167780676241</v>
          </cell>
        </row>
        <row r="19">
          <cell r="X19">
            <v>15.79507366373948</v>
          </cell>
        </row>
        <row r="20">
          <cell r="X20">
            <v>15.785128868552503</v>
          </cell>
        </row>
        <row r="21">
          <cell r="X21">
            <v>16.405419408850793</v>
          </cell>
        </row>
        <row r="22">
          <cell r="X22">
            <v>15.947168230796589</v>
          </cell>
        </row>
        <row r="23">
          <cell r="X23">
            <v>16.7659440080152</v>
          </cell>
        </row>
        <row r="24">
          <cell r="X24">
            <v>16.468429228958509</v>
          </cell>
        </row>
      </sheetData>
      <sheetData sheetId="49"/>
      <sheetData sheetId="50">
        <row r="10">
          <cell r="X10">
            <v>37.547461851208006</v>
          </cell>
        </row>
        <row r="16">
          <cell r="X16">
            <v>15.741079441629308</v>
          </cell>
        </row>
        <row r="17">
          <cell r="X17">
            <v>14.830839806785502</v>
          </cell>
        </row>
        <row r="18">
          <cell r="X18">
            <v>14.53421133517374</v>
          </cell>
        </row>
        <row r="19">
          <cell r="X19">
            <v>14.829102020529275</v>
          </cell>
        </row>
        <row r="20">
          <cell r="X20">
            <v>14.905973654107108</v>
          </cell>
        </row>
        <row r="21">
          <cell r="X21">
            <v>14.314731783093995</v>
          </cell>
        </row>
        <row r="22">
          <cell r="X22">
            <v>15.47714781373433</v>
          </cell>
        </row>
        <row r="23">
          <cell r="X23">
            <v>16.126094711361336</v>
          </cell>
        </row>
        <row r="24">
          <cell r="X24">
            <v>15.434053106412806</v>
          </cell>
        </row>
      </sheetData>
      <sheetData sheetId="51"/>
      <sheetData sheetId="52">
        <row r="10">
          <cell r="X10">
            <v>35.834192640908974</v>
          </cell>
        </row>
        <row r="16">
          <cell r="X16">
            <v>14.800024068258288</v>
          </cell>
        </row>
        <row r="17">
          <cell r="X17">
            <v>14.497152041785013</v>
          </cell>
        </row>
        <row r="18">
          <cell r="X18">
            <v>14.88222700798711</v>
          </cell>
        </row>
        <row r="19">
          <cell r="X19">
            <v>15.317404847362306</v>
          </cell>
        </row>
        <row r="20">
          <cell r="X20">
            <v>14.546890153062165</v>
          </cell>
        </row>
        <row r="21">
          <cell r="X21">
            <v>14.82039542501308</v>
          </cell>
        </row>
        <row r="22">
          <cell r="X22">
            <v>14.25606046475629</v>
          </cell>
        </row>
        <row r="23">
          <cell r="X23">
            <v>14.555474309546737</v>
          </cell>
        </row>
        <row r="24">
          <cell r="X24">
            <v>14.684649484670311</v>
          </cell>
        </row>
      </sheetData>
      <sheetData sheetId="53"/>
      <sheetData sheetId="54">
        <row r="10">
          <cell r="X10">
            <v>37.198830844620566</v>
          </cell>
        </row>
        <row r="16">
          <cell r="X16">
            <v>15.916394792651287</v>
          </cell>
        </row>
        <row r="17">
          <cell r="X17">
            <v>16.218027491895153</v>
          </cell>
        </row>
        <row r="18">
          <cell r="X18">
            <v>16.69568150804464</v>
          </cell>
        </row>
        <row r="19">
          <cell r="X19">
            <v>16.976564298703629</v>
          </cell>
        </row>
        <row r="20">
          <cell r="X20">
            <v>15.338944226793775</v>
          </cell>
        </row>
        <row r="21">
          <cell r="X21">
            <v>15.522238839869788</v>
          </cell>
        </row>
        <row r="22">
          <cell r="X22">
            <v>14.68439970759823</v>
          </cell>
        </row>
        <row r="23">
          <cell r="X23">
            <v>14.402814569582764</v>
          </cell>
        </row>
        <row r="24">
          <cell r="X24">
            <v>12.890181340983386</v>
          </cell>
        </row>
      </sheetData>
      <sheetData sheetId="55"/>
      <sheetData sheetId="56">
        <row r="10">
          <cell r="X10">
            <v>31.785216775339311</v>
          </cell>
        </row>
        <row r="16">
          <cell r="X16">
            <v>10.951182099984997</v>
          </cell>
        </row>
        <row r="17">
          <cell r="X17">
            <v>11.551606414903615</v>
          </cell>
        </row>
        <row r="18">
          <cell r="X18">
            <v>11.579402765563676</v>
          </cell>
        </row>
        <row r="19">
          <cell r="X19">
            <v>11.686771520926344</v>
          </cell>
        </row>
        <row r="20">
          <cell r="X20">
            <v>11.359682567657089</v>
          </cell>
        </row>
        <row r="21">
          <cell r="X21">
            <v>11.483217278811834</v>
          </cell>
        </row>
        <row r="22">
          <cell r="X22">
            <v>11.421027567875669</v>
          </cell>
        </row>
        <row r="23">
          <cell r="X23">
            <v>11.639276316272142</v>
          </cell>
        </row>
        <row r="24">
          <cell r="X24">
            <v>11.645549356321419</v>
          </cell>
        </row>
      </sheetData>
      <sheetData sheetId="57"/>
      <sheetData sheetId="58">
        <row r="10">
          <cell r="X10">
            <v>35.230517008192528</v>
          </cell>
        </row>
        <row r="16">
          <cell r="X16">
            <v>11.992333337593593</v>
          </cell>
        </row>
        <row r="17">
          <cell r="X17">
            <v>12.136954099943997</v>
          </cell>
        </row>
        <row r="18">
          <cell r="X18">
            <v>12.007304544859441</v>
          </cell>
        </row>
        <row r="19">
          <cell r="X19">
            <v>11.836799016929961</v>
          </cell>
        </row>
        <row r="20">
          <cell r="X20">
            <v>12.047248672740587</v>
          </cell>
        </row>
        <row r="21">
          <cell r="X21">
            <v>12.144808813862745</v>
          </cell>
        </row>
        <row r="22">
          <cell r="X22">
            <v>12.834911608946653</v>
          </cell>
        </row>
        <row r="23">
          <cell r="X23">
            <v>12.912375642477052</v>
          </cell>
        </row>
        <row r="24">
          <cell r="X24">
            <v>13.216916274650837</v>
          </cell>
        </row>
      </sheetData>
      <sheetData sheetId="59"/>
      <sheetData sheetId="60">
        <row r="10">
          <cell r="X10">
            <v>34.867415310163899</v>
          </cell>
        </row>
        <row r="16">
          <cell r="X16">
            <v>13.04801032963851</v>
          </cell>
        </row>
        <row r="17">
          <cell r="X17">
            <v>13.130432164847317</v>
          </cell>
        </row>
        <row r="18">
          <cell r="X18">
            <v>13.130925414688919</v>
          </cell>
        </row>
        <row r="19">
          <cell r="X19">
            <v>13.483103977243424</v>
          </cell>
        </row>
        <row r="20">
          <cell r="X20">
            <v>13.066098997326145</v>
          </cell>
        </row>
        <row r="21">
          <cell r="X21">
            <v>13.250422390235443</v>
          </cell>
        </row>
        <row r="22">
          <cell r="X22">
            <v>13.353169130495013</v>
          </cell>
        </row>
        <row r="23">
          <cell r="X23">
            <v>13.173615112493195</v>
          </cell>
        </row>
        <row r="24">
          <cell r="X24">
            <v>12.956577243131614</v>
          </cell>
        </row>
      </sheetData>
      <sheetData sheetId="61"/>
      <sheetData sheetId="62">
        <row r="10">
          <cell r="X10">
            <v>34.253862426663019</v>
          </cell>
        </row>
        <row r="16">
          <cell r="X16">
            <v>12.515056565427527</v>
          </cell>
        </row>
        <row r="17">
          <cell r="X17">
            <v>12.554682573245193</v>
          </cell>
        </row>
        <row r="18">
          <cell r="X18">
            <v>12.748332028050488</v>
          </cell>
        </row>
        <row r="19">
          <cell r="X19">
            <v>12.893342363893385</v>
          </cell>
        </row>
        <row r="20">
          <cell r="X20">
            <v>12.39004373498066</v>
          </cell>
        </row>
        <row r="21">
          <cell r="X21">
            <v>11.921697414733606</v>
          </cell>
        </row>
        <row r="22">
          <cell r="X22">
            <v>11.927823391378663</v>
          </cell>
        </row>
        <row r="23">
          <cell r="X23">
            <v>12.484452346665725</v>
          </cell>
        </row>
        <row r="24">
          <cell r="X24">
            <v>12.096703009027221</v>
          </cell>
        </row>
      </sheetData>
      <sheetData sheetId="63"/>
      <sheetData sheetId="64">
        <row r="10">
          <cell r="X10">
            <v>35.272858557832336</v>
          </cell>
        </row>
        <row r="16">
          <cell r="X16">
            <v>10.343647800852017</v>
          </cell>
        </row>
        <row r="17">
          <cell r="X17">
            <v>10.837356151561822</v>
          </cell>
        </row>
        <row r="18">
          <cell r="X18">
            <v>10.540024026380745</v>
          </cell>
        </row>
        <row r="19">
          <cell r="X19">
            <v>10.78858053982767</v>
          </cell>
        </row>
        <row r="20">
          <cell r="X20">
            <v>10.667941476293674</v>
          </cell>
        </row>
        <row r="21">
          <cell r="X21">
            <v>12.277198615168192</v>
          </cell>
        </row>
        <row r="22">
          <cell r="X22">
            <v>12.410951811386441</v>
          </cell>
        </row>
        <row r="23">
          <cell r="X23">
            <v>12.038267576957496</v>
          </cell>
        </row>
        <row r="24">
          <cell r="X24">
            <v>11.742931139242957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">
          <cell r="C1" t="str">
            <v>NOVEMBRO DE 2024</v>
          </cell>
        </row>
        <row r="16">
          <cell r="X16">
            <v>11.256135844319497</v>
          </cell>
        </row>
        <row r="17">
          <cell r="X17">
            <v>11.413820254285069</v>
          </cell>
        </row>
        <row r="18">
          <cell r="X18">
            <v>11.381104569189302</v>
          </cell>
        </row>
        <row r="19">
          <cell r="X19">
            <v>11.172498617012092</v>
          </cell>
        </row>
        <row r="20">
          <cell r="X20">
            <v>10.866864141733043</v>
          </cell>
        </row>
        <row r="21">
          <cell r="X21">
            <v>11.573544757043461</v>
          </cell>
        </row>
        <row r="22">
          <cell r="X22">
            <v>11.817246033023247</v>
          </cell>
        </row>
        <row r="23">
          <cell r="X23">
            <v>14.092549219158535</v>
          </cell>
        </row>
        <row r="24">
          <cell r="X24">
            <v>14.33160180290553</v>
          </cell>
        </row>
      </sheetData>
      <sheetData sheetId="5"/>
      <sheetData sheetId="6">
        <row r="10">
          <cell r="X10">
            <v>35.400247349126168</v>
          </cell>
        </row>
        <row r="16">
          <cell r="X16">
            <v>13.628963658847125</v>
          </cell>
        </row>
        <row r="17">
          <cell r="X17">
            <v>13.5187501548596</v>
          </cell>
        </row>
        <row r="18">
          <cell r="X18">
            <v>12.514299279229302</v>
          </cell>
        </row>
        <row r="19">
          <cell r="X19">
            <v>12.609956938306636</v>
          </cell>
        </row>
        <row r="20">
          <cell r="X20">
            <v>13.152476472722718</v>
          </cell>
        </row>
        <row r="21">
          <cell r="X21">
            <v>12.550756497301395</v>
          </cell>
        </row>
        <row r="22">
          <cell r="X22">
            <v>13.433312934850703</v>
          </cell>
        </row>
        <row r="23">
          <cell r="X23">
            <v>2.2884900060726623E-5</v>
          </cell>
        </row>
        <row r="24">
          <cell r="X24">
            <v>15.168016712727011</v>
          </cell>
        </row>
      </sheetData>
      <sheetData sheetId="7"/>
      <sheetData sheetId="8">
        <row r="10">
          <cell r="X10">
            <v>37.310624392858841</v>
          </cell>
        </row>
        <row r="16">
          <cell r="X16">
            <v>15.132015836324516</v>
          </cell>
        </row>
        <row r="17">
          <cell r="X17">
            <v>15.373835671343684</v>
          </cell>
        </row>
        <row r="18">
          <cell r="X18">
            <v>15.595548838415358</v>
          </cell>
        </row>
        <row r="19">
          <cell r="X19">
            <v>15.285873078859304</v>
          </cell>
        </row>
        <row r="20">
          <cell r="X20">
            <v>16.184752172031764</v>
          </cell>
        </row>
        <row r="21">
          <cell r="X21">
            <v>15.953764852278338</v>
          </cell>
        </row>
        <row r="22">
          <cell r="X22">
            <v>13.832724981027511</v>
          </cell>
        </row>
        <row r="23">
          <cell r="X23">
            <v>14.732756185073548</v>
          </cell>
        </row>
        <row r="24">
          <cell r="X24">
            <v>15.007842091198153</v>
          </cell>
        </row>
      </sheetData>
      <sheetData sheetId="9"/>
      <sheetData sheetId="10">
        <row r="10">
          <cell r="X10">
            <v>35.722516804691722</v>
          </cell>
        </row>
        <row r="16">
          <cell r="X16">
            <v>14.82490350236824</v>
          </cell>
        </row>
        <row r="17">
          <cell r="X17">
            <v>15.100338951092258</v>
          </cell>
        </row>
        <row r="18">
          <cell r="X18">
            <v>15.39385810663552</v>
          </cell>
        </row>
        <row r="19">
          <cell r="X19">
            <v>15.880940901329742</v>
          </cell>
        </row>
        <row r="20">
          <cell r="X20">
            <v>16.085291676973867</v>
          </cell>
        </row>
        <row r="21">
          <cell r="X21">
            <v>15.318736064680644</v>
          </cell>
        </row>
        <row r="22">
          <cell r="X22">
            <v>15.320146876513999</v>
          </cell>
        </row>
        <row r="23">
          <cell r="X23">
            <v>15.200772474383076</v>
          </cell>
        </row>
        <row r="24">
          <cell r="X24">
            <v>16.783606280665364</v>
          </cell>
        </row>
      </sheetData>
      <sheetData sheetId="11"/>
      <sheetData sheetId="12">
        <row r="10">
          <cell r="X10">
            <v>36.578041296260956</v>
          </cell>
        </row>
        <row r="16">
          <cell r="X16">
            <v>15.042965120992996</v>
          </cell>
        </row>
        <row r="17">
          <cell r="X17">
            <v>14.67407241605139</v>
          </cell>
        </row>
        <row r="18">
          <cell r="X18">
            <v>14.323477901844363</v>
          </cell>
        </row>
        <row r="19">
          <cell r="X19">
            <v>14.93798001748403</v>
          </cell>
        </row>
        <row r="20">
          <cell r="X20">
            <v>14.272302792438053</v>
          </cell>
        </row>
        <row r="21">
          <cell r="X21">
            <v>14.279813984138125</v>
          </cell>
        </row>
        <row r="22">
          <cell r="X22">
            <v>14.495065212976638</v>
          </cell>
        </row>
        <row r="23">
          <cell r="X23">
            <v>13.173143892915892</v>
          </cell>
        </row>
        <row r="24">
          <cell r="X24">
            <v>12.805508029490335</v>
          </cell>
        </row>
      </sheetData>
      <sheetData sheetId="13"/>
      <sheetData sheetId="14">
        <row r="10">
          <cell r="X10">
            <v>37.240465541282084</v>
          </cell>
        </row>
        <row r="16">
          <cell r="X16">
            <v>16.107880376257814</v>
          </cell>
        </row>
        <row r="17">
          <cell r="X17">
            <v>15.761974740611858</v>
          </cell>
        </row>
        <row r="18">
          <cell r="X18">
            <v>15.837428296344727</v>
          </cell>
        </row>
        <row r="19">
          <cell r="X19">
            <v>16.238188673670287</v>
          </cell>
        </row>
        <row r="20">
          <cell r="X20">
            <v>16.276811841165571</v>
          </cell>
        </row>
        <row r="21">
          <cell r="X21">
            <v>14.801884648015289</v>
          </cell>
        </row>
        <row r="22">
          <cell r="X22">
            <v>15.15431250446106</v>
          </cell>
        </row>
        <row r="23">
          <cell r="X23">
            <v>16.490280507790093</v>
          </cell>
        </row>
        <row r="24">
          <cell r="X24">
            <v>16.46012314358406</v>
          </cell>
        </row>
      </sheetData>
      <sheetData sheetId="15"/>
      <sheetData sheetId="16">
        <row r="10">
          <cell r="X10">
            <v>35.615678623932055</v>
          </cell>
        </row>
        <row r="16">
          <cell r="X16">
            <v>16.699862803621631</v>
          </cell>
        </row>
        <row r="17">
          <cell r="X17">
            <v>16.783883961722648</v>
          </cell>
        </row>
        <row r="18">
          <cell r="X18">
            <v>15.779506328564398</v>
          </cell>
        </row>
        <row r="19">
          <cell r="X19">
            <v>15.90847314350213</v>
          </cell>
        </row>
        <row r="20">
          <cell r="X20">
            <v>16.253033706872568</v>
          </cell>
        </row>
        <row r="21">
          <cell r="X21">
            <v>16.32197699996869</v>
          </cell>
        </row>
        <row r="22">
          <cell r="X22">
            <v>15.916290251984389</v>
          </cell>
        </row>
        <row r="23">
          <cell r="X23">
            <v>16.453801695069778</v>
          </cell>
        </row>
        <row r="24">
          <cell r="X24">
            <v>16.110697753958384</v>
          </cell>
        </row>
      </sheetData>
      <sheetData sheetId="17"/>
      <sheetData sheetId="18">
        <row r="10">
          <cell r="X10">
            <v>36.581358508781001</v>
          </cell>
        </row>
        <row r="16">
          <cell r="X16">
            <v>15.600702671300255</v>
          </cell>
        </row>
        <row r="17">
          <cell r="X17">
            <v>16.095181696314214</v>
          </cell>
        </row>
        <row r="18">
          <cell r="X18">
            <v>16.392920007844364</v>
          </cell>
        </row>
        <row r="19">
          <cell r="X19">
            <v>16.429455536084163</v>
          </cell>
        </row>
        <row r="20">
          <cell r="X20">
            <v>16.058814687052948</v>
          </cell>
        </row>
        <row r="21">
          <cell r="X21">
            <v>16.369217184199893</v>
          </cell>
        </row>
        <row r="22">
          <cell r="X22">
            <v>16.332400179078387</v>
          </cell>
        </row>
        <row r="23">
          <cell r="X23">
            <v>14.851329902391745</v>
          </cell>
        </row>
        <row r="24">
          <cell r="X24">
            <v>13.859003965413217</v>
          </cell>
        </row>
      </sheetData>
      <sheetData sheetId="19"/>
      <sheetData sheetId="20">
        <row r="10">
          <cell r="X10">
            <v>35.308346093968183</v>
          </cell>
        </row>
        <row r="16">
          <cell r="X16">
            <v>12.189809708684692</v>
          </cell>
        </row>
        <row r="17">
          <cell r="X17">
            <v>13.018209631223771</v>
          </cell>
        </row>
        <row r="18">
          <cell r="X18">
            <v>12.391061366934512</v>
          </cell>
        </row>
        <row r="19">
          <cell r="X19">
            <v>12.130645572263662</v>
          </cell>
        </row>
        <row r="20">
          <cell r="X20">
            <v>12.223646391828995</v>
          </cell>
        </row>
        <row r="21">
          <cell r="X21">
            <v>12.742174879480382</v>
          </cell>
        </row>
        <row r="22">
          <cell r="X22">
            <v>12.64000281061722</v>
          </cell>
        </row>
        <row r="23">
          <cell r="X23">
            <v>12.477046358853425</v>
          </cell>
        </row>
        <row r="24">
          <cell r="X24">
            <v>12.390220656086798</v>
          </cell>
        </row>
      </sheetData>
      <sheetData sheetId="21"/>
      <sheetData sheetId="22">
        <row r="10">
          <cell r="X10">
            <v>35.2522745580562</v>
          </cell>
        </row>
        <row r="16">
          <cell r="X16">
            <v>11.199267347646732</v>
          </cell>
        </row>
        <row r="17">
          <cell r="X17">
            <v>10.795153951543572</v>
          </cell>
        </row>
        <row r="18">
          <cell r="X18">
            <v>10.504967398029912</v>
          </cell>
        </row>
        <row r="19">
          <cell r="X19">
            <v>10.727168930489622</v>
          </cell>
        </row>
        <row r="20">
          <cell r="X20">
            <v>10.812827491100231</v>
          </cell>
        </row>
        <row r="21">
          <cell r="X21">
            <v>11.996488935483255</v>
          </cell>
        </row>
        <row r="22">
          <cell r="X22">
            <v>11.489752811447051</v>
          </cell>
        </row>
        <row r="23">
          <cell r="X23">
            <v>11.413794971735973</v>
          </cell>
        </row>
        <row r="24">
          <cell r="X24">
            <v>11.816195467724031</v>
          </cell>
        </row>
      </sheetData>
      <sheetData sheetId="23"/>
      <sheetData sheetId="24">
        <row r="10">
          <cell r="X10">
            <v>34.312748086438162</v>
          </cell>
        </row>
        <row r="16">
          <cell r="X16">
            <v>11.27975443260736</v>
          </cell>
        </row>
        <row r="17">
          <cell r="X17">
            <v>11.929642840473198</v>
          </cell>
        </row>
        <row r="18">
          <cell r="X18">
            <v>11.73960259946719</v>
          </cell>
        </row>
        <row r="19">
          <cell r="X19">
            <v>12.566911204939368</v>
          </cell>
        </row>
        <row r="20">
          <cell r="X20">
            <v>11.548341101723642</v>
          </cell>
        </row>
        <row r="21">
          <cell r="X21">
            <v>10.736303103252576</v>
          </cell>
        </row>
        <row r="22">
          <cell r="X22">
            <v>9.3493061100157906</v>
          </cell>
        </row>
        <row r="23">
          <cell r="X23">
            <v>8.1717301743107384</v>
          </cell>
        </row>
        <row r="24">
          <cell r="X24">
            <v>8.049169726942015</v>
          </cell>
        </row>
      </sheetData>
      <sheetData sheetId="25"/>
      <sheetData sheetId="26">
        <row r="10">
          <cell r="X10">
            <v>36.389171093979648</v>
          </cell>
        </row>
        <row r="16">
          <cell r="X16">
            <v>12.566172684320371</v>
          </cell>
        </row>
        <row r="17">
          <cell r="X17">
            <v>11.060873675222629</v>
          </cell>
        </row>
        <row r="18">
          <cell r="X18">
            <v>10.16259032737752</v>
          </cell>
        </row>
        <row r="19">
          <cell r="X19">
            <v>10.33381665864953</v>
          </cell>
        </row>
        <row r="20">
          <cell r="X20">
            <v>11.387504115773437</v>
          </cell>
        </row>
        <row r="21">
          <cell r="X21">
            <v>10.494336788545803</v>
          </cell>
        </row>
        <row r="22">
          <cell r="X22">
            <v>14.96656405343831</v>
          </cell>
        </row>
        <row r="23">
          <cell r="X23">
            <v>14.725384841574936</v>
          </cell>
        </row>
        <row r="24">
          <cell r="X24">
            <v>14.258330282919212</v>
          </cell>
        </row>
      </sheetData>
      <sheetData sheetId="27"/>
      <sheetData sheetId="28">
        <row r="10">
          <cell r="X10">
            <v>4.8760113292336538</v>
          </cell>
        </row>
        <row r="16">
          <cell r="X16">
            <v>11.738071307271765</v>
          </cell>
        </row>
        <row r="17">
          <cell r="X17">
            <v>11.041609019862358</v>
          </cell>
        </row>
        <row r="18">
          <cell r="X18">
            <v>10.761350779422578</v>
          </cell>
        </row>
        <row r="19">
          <cell r="X19">
            <v>10.893349734899305</v>
          </cell>
        </row>
        <row r="20">
          <cell r="X20">
            <v>10.910622392977119</v>
          </cell>
        </row>
        <row r="21">
          <cell r="X21">
            <v>10.888054652584373</v>
          </cell>
        </row>
        <row r="22">
          <cell r="X22">
            <v>11.100014351861287</v>
          </cell>
        </row>
        <row r="23">
          <cell r="X23">
            <v>10.951194558404733</v>
          </cell>
        </row>
        <row r="24">
          <cell r="X24">
            <v>10.834853127392797</v>
          </cell>
        </row>
      </sheetData>
      <sheetData sheetId="29"/>
      <sheetData sheetId="30">
        <row r="10">
          <cell r="X10">
            <v>34.472021031444839</v>
          </cell>
        </row>
        <row r="16">
          <cell r="X16">
            <v>10.90926335260135</v>
          </cell>
        </row>
        <row r="17">
          <cell r="X17">
            <v>11.045740587738621</v>
          </cell>
        </row>
        <row r="18">
          <cell r="X18">
            <v>11.25538614122585</v>
          </cell>
        </row>
        <row r="19">
          <cell r="X19">
            <v>11.484633440452424</v>
          </cell>
        </row>
        <row r="20">
          <cell r="X20">
            <v>11.765342226925922</v>
          </cell>
        </row>
        <row r="21">
          <cell r="X21">
            <v>11.853155908045499</v>
          </cell>
        </row>
        <row r="22">
          <cell r="X22">
            <v>11.9837777894437</v>
          </cell>
        </row>
        <row r="23">
          <cell r="X23">
            <v>11.917556405196143</v>
          </cell>
        </row>
        <row r="24">
          <cell r="X24">
            <v>12.416874321155063</v>
          </cell>
        </row>
      </sheetData>
      <sheetData sheetId="31"/>
      <sheetData sheetId="32">
        <row r="10">
          <cell r="X10">
            <v>35.350237167299881</v>
          </cell>
        </row>
        <row r="16">
          <cell r="X16">
            <v>12.271435892832944</v>
          </cell>
        </row>
        <row r="17">
          <cell r="X17">
            <v>12.471628584762772</v>
          </cell>
        </row>
        <row r="18">
          <cell r="X18">
            <v>12.86370170921233</v>
          </cell>
        </row>
        <row r="19">
          <cell r="X19">
            <v>12.573401288492208</v>
          </cell>
        </row>
        <row r="20">
          <cell r="X20">
            <v>13.167174962343111</v>
          </cell>
        </row>
        <row r="21">
          <cell r="X21">
            <v>12.854012569659121</v>
          </cell>
        </row>
        <row r="22">
          <cell r="X22">
            <v>14.492594165811074</v>
          </cell>
        </row>
        <row r="23">
          <cell r="X23">
            <v>14.379455108119092</v>
          </cell>
        </row>
        <row r="24">
          <cell r="X24">
            <v>14.385025328224996</v>
          </cell>
        </row>
      </sheetData>
      <sheetData sheetId="33"/>
      <sheetData sheetId="34">
        <row r="10">
          <cell r="X10">
            <v>35.645268729089928</v>
          </cell>
        </row>
        <row r="16">
          <cell r="X16">
            <v>14.583868067764362</v>
          </cell>
        </row>
        <row r="17">
          <cell r="X17">
            <v>14.323491423831557</v>
          </cell>
        </row>
        <row r="18">
          <cell r="X18">
            <v>14.228761215085001</v>
          </cell>
        </row>
        <row r="19">
          <cell r="X19">
            <v>14.685813721705314</v>
          </cell>
        </row>
        <row r="20">
          <cell r="X20">
            <v>15.497683377879635</v>
          </cell>
        </row>
        <row r="21">
          <cell r="X21">
            <v>14.840192788304728</v>
          </cell>
        </row>
        <row r="22">
          <cell r="X22">
            <v>15.365479897863439</v>
          </cell>
        </row>
        <row r="23">
          <cell r="X23">
            <v>14.793012137148542</v>
          </cell>
        </row>
        <row r="24">
          <cell r="X24">
            <v>14.534000195762101</v>
          </cell>
        </row>
      </sheetData>
      <sheetData sheetId="35"/>
      <sheetData sheetId="36">
        <row r="10">
          <cell r="X10">
            <v>34.730925153914463</v>
          </cell>
        </row>
        <row r="16">
          <cell r="X16">
            <v>13.159082301103142</v>
          </cell>
        </row>
        <row r="17">
          <cell r="X17">
            <v>12.826582326643601</v>
          </cell>
        </row>
        <row r="18">
          <cell r="X18">
            <v>12.811956495630911</v>
          </cell>
        </row>
        <row r="19">
          <cell r="X19">
            <v>12.399927366815543</v>
          </cell>
        </row>
        <row r="20">
          <cell r="X20">
            <v>12.569972209636832</v>
          </cell>
        </row>
        <row r="21">
          <cell r="X21">
            <v>12.539647426256849</v>
          </cell>
        </row>
        <row r="22">
          <cell r="X22">
            <v>11.838015695385391</v>
          </cell>
        </row>
        <row r="23">
          <cell r="X23">
            <v>11.975668726507797</v>
          </cell>
        </row>
        <row r="24">
          <cell r="X24">
            <v>14.660931786288369</v>
          </cell>
        </row>
      </sheetData>
      <sheetData sheetId="37"/>
      <sheetData sheetId="38">
        <row r="10">
          <cell r="X10">
            <v>35.073298111780453</v>
          </cell>
        </row>
        <row r="16">
          <cell r="X16">
            <v>13.731874326473182</v>
          </cell>
        </row>
        <row r="17">
          <cell r="X17">
            <v>13.463706057511564</v>
          </cell>
        </row>
        <row r="18">
          <cell r="X18">
            <v>14.07764937149261</v>
          </cell>
        </row>
        <row r="19">
          <cell r="X19">
            <v>13.32686259078935</v>
          </cell>
        </row>
        <row r="20">
          <cell r="X20">
            <v>12.834689373241131</v>
          </cell>
        </row>
        <row r="21">
          <cell r="X21">
            <v>12.025495257123394</v>
          </cell>
        </row>
        <row r="22">
          <cell r="X22">
            <v>11.188322453538181</v>
          </cell>
        </row>
        <row r="23">
          <cell r="X23">
            <v>14.053353588568473</v>
          </cell>
        </row>
        <row r="24">
          <cell r="X24">
            <v>13.432152113628295</v>
          </cell>
        </row>
      </sheetData>
      <sheetData sheetId="39"/>
      <sheetData sheetId="40">
        <row r="10">
          <cell r="X10">
            <v>34.30521972678747</v>
          </cell>
        </row>
        <row r="16">
          <cell r="X16">
            <v>12.8401686620918</v>
          </cell>
        </row>
        <row r="17">
          <cell r="X17">
            <v>12.838060726877128</v>
          </cell>
        </row>
        <row r="18">
          <cell r="X18">
            <v>12.923626325468229</v>
          </cell>
        </row>
        <row r="19">
          <cell r="X19">
            <v>12.123877654296356</v>
          </cell>
        </row>
        <row r="20">
          <cell r="X20">
            <v>11.947293336386121</v>
          </cell>
        </row>
        <row r="21">
          <cell r="X21">
            <v>12.47226315408404</v>
          </cell>
        </row>
        <row r="22">
          <cell r="X22">
            <v>13.262618429135225</v>
          </cell>
        </row>
        <row r="23">
          <cell r="X23">
            <v>13.513411946934678</v>
          </cell>
        </row>
        <row r="24">
          <cell r="X24">
            <v>13.735422987418259</v>
          </cell>
        </row>
      </sheetData>
      <sheetData sheetId="41"/>
      <sheetData sheetId="42">
        <row r="10">
          <cell r="X10">
            <v>34.414807396633947</v>
          </cell>
        </row>
        <row r="16">
          <cell r="X16">
            <v>12.930042498766326</v>
          </cell>
        </row>
        <row r="17">
          <cell r="X17">
            <v>13.505282979796506</v>
          </cell>
        </row>
        <row r="18">
          <cell r="X18">
            <v>13.987135318320114</v>
          </cell>
        </row>
        <row r="19">
          <cell r="X19">
            <v>14.571545352110491</v>
          </cell>
        </row>
        <row r="20">
          <cell r="X20">
            <v>13.842141626838847</v>
          </cell>
        </row>
        <row r="21">
          <cell r="X21">
            <v>13.619921512591127</v>
          </cell>
        </row>
        <row r="22">
          <cell r="X22">
            <v>13.900532037888965</v>
          </cell>
        </row>
        <row r="23">
          <cell r="X23">
            <v>16.414969869472802</v>
          </cell>
        </row>
        <row r="24">
          <cell r="X24">
            <v>16.091140024178973</v>
          </cell>
        </row>
      </sheetData>
      <sheetData sheetId="43"/>
      <sheetData sheetId="44">
        <row r="10">
          <cell r="X10">
            <v>35.718751126284396</v>
          </cell>
        </row>
        <row r="16">
          <cell r="X16">
            <v>14.34530335569746</v>
          </cell>
        </row>
        <row r="17">
          <cell r="X17">
            <v>14.595552708173178</v>
          </cell>
        </row>
        <row r="18">
          <cell r="X18">
            <v>14.352253854089499</v>
          </cell>
        </row>
        <row r="19">
          <cell r="X19">
            <v>14.735741500811777</v>
          </cell>
        </row>
        <row r="20">
          <cell r="X20">
            <v>14.897786825786536</v>
          </cell>
        </row>
        <row r="21">
          <cell r="X21">
            <v>15.154017158898139</v>
          </cell>
        </row>
        <row r="22">
          <cell r="X22">
            <v>14.594768327385635</v>
          </cell>
        </row>
        <row r="23">
          <cell r="X23">
            <v>15.118427493737208</v>
          </cell>
        </row>
        <row r="24">
          <cell r="X24">
            <v>14.271303730142437</v>
          </cell>
        </row>
      </sheetData>
      <sheetData sheetId="45"/>
      <sheetData sheetId="46">
        <row r="10">
          <cell r="X10">
            <v>35.119320429850156</v>
          </cell>
        </row>
        <row r="16">
          <cell r="X16">
            <v>13.625850515990098</v>
          </cell>
        </row>
        <row r="17">
          <cell r="X17">
            <v>13.75222366439616</v>
          </cell>
        </row>
        <row r="18">
          <cell r="X18">
            <v>13.617440633141774</v>
          </cell>
        </row>
        <row r="19">
          <cell r="X19">
            <v>13.991521457526678</v>
          </cell>
        </row>
        <row r="20">
          <cell r="X20">
            <v>13.536038736453008</v>
          </cell>
        </row>
        <row r="21">
          <cell r="X21">
            <v>13.736314052682392</v>
          </cell>
        </row>
        <row r="22">
          <cell r="X22">
            <v>13.023937405919288</v>
          </cell>
        </row>
        <row r="23">
          <cell r="X23">
            <v>13.627345398117116</v>
          </cell>
        </row>
        <row r="24">
          <cell r="X24">
            <v>13.024231789526327</v>
          </cell>
        </row>
      </sheetData>
      <sheetData sheetId="47"/>
      <sheetData sheetId="48">
        <row r="10">
          <cell r="X10">
            <v>35.067719330304421</v>
          </cell>
        </row>
        <row r="16">
          <cell r="X16">
            <v>13.461215927361527</v>
          </cell>
        </row>
        <row r="17">
          <cell r="X17">
            <v>13.540940236006181</v>
          </cell>
        </row>
        <row r="18">
          <cell r="X18">
            <v>13.329939099885483</v>
          </cell>
        </row>
        <row r="19">
          <cell r="X19">
            <v>13.476704258525144</v>
          </cell>
        </row>
        <row r="20">
          <cell r="X20">
            <v>13.263232169442963</v>
          </cell>
        </row>
        <row r="21">
          <cell r="X21">
            <v>12.651856246676928</v>
          </cell>
        </row>
        <row r="22">
          <cell r="X22">
            <v>13.051643035103991</v>
          </cell>
        </row>
        <row r="23">
          <cell r="X23">
            <v>12.749627024301448</v>
          </cell>
        </row>
        <row r="24">
          <cell r="X24">
            <v>12.734533658571998</v>
          </cell>
        </row>
      </sheetData>
      <sheetData sheetId="49"/>
      <sheetData sheetId="50">
        <row r="10">
          <cell r="X10">
            <v>34.93590730998087</v>
          </cell>
        </row>
        <row r="16">
          <cell r="X16">
            <v>11.426297923120286</v>
          </cell>
        </row>
        <row r="17">
          <cell r="X17">
            <v>11.43050951431375</v>
          </cell>
        </row>
        <row r="18">
          <cell r="X18">
            <v>10.640089810994544</v>
          </cell>
        </row>
        <row r="19">
          <cell r="X19">
            <v>10.810026633421264</v>
          </cell>
        </row>
        <row r="20">
          <cell r="X20">
            <v>11.52410384858778</v>
          </cell>
        </row>
        <row r="21">
          <cell r="X21">
            <v>11.439109692783381</v>
          </cell>
        </row>
        <row r="22">
          <cell r="X22">
            <v>11.111330803257971</v>
          </cell>
        </row>
        <row r="23">
          <cell r="X23">
            <v>11.322493173199849</v>
          </cell>
        </row>
        <row r="24">
          <cell r="X24">
            <v>11.577855734915152</v>
          </cell>
        </row>
      </sheetData>
      <sheetData sheetId="51"/>
      <sheetData sheetId="52">
        <row r="10">
          <cell r="X10">
            <v>33.923850412157009</v>
          </cell>
        </row>
        <row r="16">
          <cell r="X16">
            <v>10.390310064205805</v>
          </cell>
        </row>
        <row r="17">
          <cell r="X17">
            <v>10.542781387636916</v>
          </cell>
        </row>
        <row r="18">
          <cell r="X18">
            <v>10.199061326557356</v>
          </cell>
        </row>
        <row r="19">
          <cell r="X19">
            <v>10.231589902905851</v>
          </cell>
        </row>
        <row r="20">
          <cell r="X20">
            <v>10.54410568250665</v>
          </cell>
        </row>
        <row r="21">
          <cell r="X21">
            <v>9.9566280842469492</v>
          </cell>
        </row>
        <row r="22">
          <cell r="X22">
            <v>11.513275853705421</v>
          </cell>
        </row>
        <row r="23">
          <cell r="X23">
            <v>12.408785851463008</v>
          </cell>
        </row>
        <row r="24">
          <cell r="X24">
            <v>12.807498460706388</v>
          </cell>
        </row>
      </sheetData>
      <sheetData sheetId="53"/>
      <sheetData sheetId="54">
        <row r="10">
          <cell r="X10">
            <v>35.518553203156074</v>
          </cell>
        </row>
        <row r="16">
          <cell r="X16">
            <v>12.968693754464761</v>
          </cell>
        </row>
        <row r="17">
          <cell r="X17">
            <v>11.784868680600654</v>
          </cell>
        </row>
        <row r="18">
          <cell r="X18">
            <v>11.798105937063383</v>
          </cell>
        </row>
        <row r="19">
          <cell r="X19">
            <v>11.029595711695867</v>
          </cell>
        </row>
        <row r="20">
          <cell r="X20">
            <v>11.445355636169513</v>
          </cell>
        </row>
        <row r="21">
          <cell r="X21">
            <v>10.712874046700675</v>
          </cell>
        </row>
        <row r="22">
          <cell r="X22">
            <v>10.710027197622237</v>
          </cell>
        </row>
        <row r="23">
          <cell r="X23">
            <v>10.594190887180755</v>
          </cell>
        </row>
        <row r="24">
          <cell r="X24">
            <v>9.8941575084675595</v>
          </cell>
        </row>
      </sheetData>
      <sheetData sheetId="55"/>
      <sheetData sheetId="56">
        <row r="10">
          <cell r="X10">
            <v>36.396462883865603</v>
          </cell>
        </row>
        <row r="16">
          <cell r="X16">
            <v>13.483811216881573</v>
          </cell>
        </row>
        <row r="17">
          <cell r="X17">
            <v>12.189310968031673</v>
          </cell>
        </row>
        <row r="18">
          <cell r="X18">
            <v>10.943654170993211</v>
          </cell>
        </row>
        <row r="19">
          <cell r="X19">
            <v>11.310474767013785</v>
          </cell>
        </row>
        <row r="20">
          <cell r="X20">
            <v>11.848938104782741</v>
          </cell>
        </row>
        <row r="21">
          <cell r="X21">
            <v>10.979565720638407</v>
          </cell>
        </row>
        <row r="22">
          <cell r="X22">
            <v>10.755596886672157</v>
          </cell>
        </row>
        <row r="23">
          <cell r="X23">
            <v>10.891193724965929</v>
          </cell>
        </row>
        <row r="24">
          <cell r="X24">
            <v>10.78635305152738</v>
          </cell>
        </row>
      </sheetData>
      <sheetData sheetId="57"/>
      <sheetData sheetId="58">
        <row r="10">
          <cell r="X10">
            <v>35.066610550380219</v>
          </cell>
        </row>
        <row r="16">
          <cell r="X16">
            <v>12.421076247980212</v>
          </cell>
        </row>
        <row r="17">
          <cell r="X17">
            <v>11.497724058487035</v>
          </cell>
        </row>
        <row r="18">
          <cell r="X18">
            <v>12.877555130370331</v>
          </cell>
        </row>
        <row r="19">
          <cell r="X19">
            <v>13.128967044996767</v>
          </cell>
        </row>
        <row r="20">
          <cell r="X20">
            <v>13.005768020036012</v>
          </cell>
        </row>
        <row r="21">
          <cell r="X21">
            <v>12.486444635013159</v>
          </cell>
        </row>
        <row r="22">
          <cell r="X22">
            <v>12.169702095783961</v>
          </cell>
        </row>
        <row r="23">
          <cell r="X23">
            <v>12.153730553133155</v>
          </cell>
        </row>
        <row r="24">
          <cell r="X24">
            <v>13.247988947116704</v>
          </cell>
        </row>
      </sheetData>
      <sheetData sheetId="59"/>
      <sheetData sheetId="60">
        <row r="10">
          <cell r="X10">
            <v>34.991915653378371</v>
          </cell>
        </row>
        <row r="16">
          <cell r="X16">
            <v>15.878294195216503</v>
          </cell>
        </row>
        <row r="17">
          <cell r="X17">
            <v>15.564391868970846</v>
          </cell>
        </row>
        <row r="18">
          <cell r="X18">
            <v>14.306993354493464</v>
          </cell>
        </row>
        <row r="19">
          <cell r="X19">
            <v>15.200898340808065</v>
          </cell>
        </row>
        <row r="20">
          <cell r="X20">
            <v>16.046818696732768</v>
          </cell>
        </row>
        <row r="21">
          <cell r="X21">
            <v>16.342978258443939</v>
          </cell>
        </row>
        <row r="22">
          <cell r="X22">
            <v>15.106961527105403</v>
          </cell>
        </row>
        <row r="23">
          <cell r="X23">
            <v>14.859427679311073</v>
          </cell>
        </row>
        <row r="24">
          <cell r="X24">
            <v>15.311526363635345</v>
          </cell>
        </row>
      </sheetData>
      <sheetData sheetId="61"/>
      <sheetData sheetId="62">
        <row r="10">
          <cell r="X10">
            <v>36.031459595545662</v>
          </cell>
        </row>
        <row r="16">
          <cell r="X16">
            <v>15.596969229442637</v>
          </cell>
        </row>
        <row r="17">
          <cell r="X17">
            <v>16.097978177560492</v>
          </cell>
        </row>
        <row r="18">
          <cell r="X18">
            <v>16.742117946253934</v>
          </cell>
        </row>
        <row r="19">
          <cell r="X19">
            <v>16.348920244320233</v>
          </cell>
        </row>
        <row r="20">
          <cell r="X20">
            <v>16.139275400389078</v>
          </cell>
        </row>
        <row r="21">
          <cell r="X21">
            <v>15.959046423983233</v>
          </cell>
        </row>
        <row r="22">
          <cell r="X22">
            <v>16.967821701118943</v>
          </cell>
        </row>
        <row r="23">
          <cell r="X23">
            <v>17.215192709065317</v>
          </cell>
        </row>
        <row r="24">
          <cell r="X24">
            <v>16.33607211175573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C1" t="str">
            <v>DEZEMBRO DE 2024</v>
          </cell>
        </row>
        <row r="16">
          <cell r="X16">
            <v>14.613995967651498</v>
          </cell>
        </row>
        <row r="17">
          <cell r="X17">
            <v>14.087656672129073</v>
          </cell>
        </row>
        <row r="18">
          <cell r="X18">
            <v>14.24383535733349</v>
          </cell>
        </row>
        <row r="19">
          <cell r="X19">
            <v>13.952572516757664</v>
          </cell>
        </row>
        <row r="20">
          <cell r="X20">
            <v>13.500353475208357</v>
          </cell>
        </row>
        <row r="21">
          <cell r="X21">
            <v>13.340339917041227</v>
          </cell>
        </row>
        <row r="22">
          <cell r="X22">
            <v>15.726414886926538</v>
          </cell>
        </row>
        <row r="23">
          <cell r="X23">
            <v>16.396304872210521</v>
          </cell>
        </row>
        <row r="24">
          <cell r="X24">
            <v>16.157949001925161</v>
          </cell>
        </row>
      </sheetData>
      <sheetData sheetId="5" refreshError="1"/>
      <sheetData sheetId="6">
        <row r="10">
          <cell r="X10">
            <v>36.738056553425587</v>
          </cell>
        </row>
        <row r="16">
          <cell r="X16">
            <v>16.870066481165907</v>
          </cell>
        </row>
        <row r="17">
          <cell r="X17">
            <v>16.783903007937248</v>
          </cell>
        </row>
        <row r="18">
          <cell r="X18">
            <v>17.102466733588674</v>
          </cell>
        </row>
        <row r="19">
          <cell r="X19">
            <v>17.160564597390248</v>
          </cell>
        </row>
        <row r="20">
          <cell r="X20">
            <v>16.509709251713232</v>
          </cell>
        </row>
        <row r="21">
          <cell r="X21">
            <v>16.75414236927962</v>
          </cell>
        </row>
        <row r="22">
          <cell r="X22">
            <v>16.219703969770624</v>
          </cell>
        </row>
        <row r="23">
          <cell r="X23">
            <v>15.815337302276909</v>
          </cell>
        </row>
        <row r="24">
          <cell r="X24">
            <v>15.862624289753686</v>
          </cell>
        </row>
      </sheetData>
      <sheetData sheetId="7" refreshError="1"/>
      <sheetData sheetId="8">
        <row r="10">
          <cell r="X10">
            <v>36.110251286795084</v>
          </cell>
        </row>
        <row r="16">
          <cell r="X16">
            <v>17.305091887482849</v>
          </cell>
        </row>
        <row r="17">
          <cell r="X17">
            <v>17.391828436349215</v>
          </cell>
        </row>
        <row r="18">
          <cell r="X18">
            <v>16.937946903501036</v>
          </cell>
        </row>
        <row r="19">
          <cell r="X19">
            <v>16.685231872390521</v>
          </cell>
        </row>
        <row r="20">
          <cell r="X20">
            <v>16.748118002996328</v>
          </cell>
        </row>
        <row r="21">
          <cell r="X21">
            <v>17.225145017665401</v>
          </cell>
        </row>
        <row r="22">
          <cell r="X22">
            <v>17.613657113763008</v>
          </cell>
        </row>
        <row r="23">
          <cell r="X23">
            <v>16.588642516799272</v>
          </cell>
        </row>
        <row r="24">
          <cell r="X24">
            <v>16.167408784322319</v>
          </cell>
        </row>
      </sheetData>
      <sheetData sheetId="9" refreshError="1"/>
      <sheetData sheetId="10">
        <row r="10">
          <cell r="X10">
            <v>35.308427948720194</v>
          </cell>
        </row>
        <row r="16">
          <cell r="X16">
            <v>12.575912049633928</v>
          </cell>
        </row>
        <row r="17">
          <cell r="X17">
            <v>12.606548759660123</v>
          </cell>
        </row>
        <row r="18">
          <cell r="X18">
            <v>12.773255656431814</v>
          </cell>
        </row>
        <row r="19">
          <cell r="X19">
            <v>11.855971133431863</v>
          </cell>
        </row>
        <row r="20">
          <cell r="X20">
            <v>11.730692140502724</v>
          </cell>
        </row>
        <row r="21">
          <cell r="X21">
            <v>12.106497947617392</v>
          </cell>
        </row>
        <row r="22">
          <cell r="X22">
            <v>12.148583490554349</v>
          </cell>
        </row>
        <row r="23">
          <cell r="X23">
            <v>11.579302139093532</v>
          </cell>
        </row>
        <row r="24">
          <cell r="X24">
            <v>11.963367515973632</v>
          </cell>
        </row>
      </sheetData>
      <sheetData sheetId="11" refreshError="1"/>
      <sheetData sheetId="12">
        <row r="10">
          <cell r="X10">
            <v>35.212661604525039</v>
          </cell>
        </row>
        <row r="16">
          <cell r="X16">
            <v>13.567379861220264</v>
          </cell>
        </row>
        <row r="17">
          <cell r="X17">
            <v>13.721472329960894</v>
          </cell>
        </row>
        <row r="18">
          <cell r="X18">
            <v>13.81472032165501</v>
          </cell>
        </row>
        <row r="19">
          <cell r="X19">
            <v>14.147866803352734</v>
          </cell>
        </row>
        <row r="20">
          <cell r="X20">
            <v>14.880419926866487</v>
          </cell>
        </row>
        <row r="21">
          <cell r="X21">
            <v>15.008016547552893</v>
          </cell>
        </row>
        <row r="22">
          <cell r="X22">
            <v>15.040058143302939</v>
          </cell>
        </row>
        <row r="23">
          <cell r="X23">
            <v>16.221611056406367</v>
          </cell>
        </row>
        <row r="24">
          <cell r="X24">
            <v>16.006535936368724</v>
          </cell>
        </row>
      </sheetData>
      <sheetData sheetId="13" refreshError="1"/>
      <sheetData sheetId="14">
        <row r="10">
          <cell r="X10">
            <v>37.257838236397511</v>
          </cell>
        </row>
        <row r="16">
          <cell r="X16">
            <v>16.501015355158309</v>
          </cell>
        </row>
        <row r="17">
          <cell r="X17">
            <v>16.526550174560043</v>
          </cell>
        </row>
        <row r="18">
          <cell r="X18">
            <v>17.268634468258078</v>
          </cell>
        </row>
        <row r="19">
          <cell r="X19">
            <v>16.491135984197275</v>
          </cell>
        </row>
        <row r="20">
          <cell r="X20">
            <v>15.442095743497042</v>
          </cell>
        </row>
        <row r="21">
          <cell r="X21">
            <v>14.852526228104296</v>
          </cell>
        </row>
        <row r="22">
          <cell r="X22">
            <v>13.838441022649123</v>
          </cell>
        </row>
        <row r="23">
          <cell r="X23">
            <v>14.09796641833595</v>
          </cell>
        </row>
        <row r="24">
          <cell r="X24">
            <v>14.622064455254886</v>
          </cell>
        </row>
      </sheetData>
      <sheetData sheetId="15" refreshError="1"/>
      <sheetData sheetId="16">
        <row r="10">
          <cell r="X10">
            <v>36.664716979174834</v>
          </cell>
        </row>
        <row r="16">
          <cell r="X16">
            <v>17.343418627534383</v>
          </cell>
        </row>
        <row r="17">
          <cell r="X17">
            <v>16.040486621950876</v>
          </cell>
        </row>
        <row r="18">
          <cell r="X18">
            <v>15.158378562070181</v>
          </cell>
        </row>
        <row r="19">
          <cell r="X19">
            <v>15.1952763395154</v>
          </cell>
        </row>
        <row r="20">
          <cell r="X20">
            <v>13.450874308823462</v>
          </cell>
        </row>
        <row r="21">
          <cell r="X21">
            <v>13.649728892784365</v>
          </cell>
        </row>
        <row r="22">
          <cell r="X22">
            <v>13.058722165884966</v>
          </cell>
        </row>
        <row r="23">
          <cell r="X23">
            <v>12.618459367619378</v>
          </cell>
        </row>
        <row r="24">
          <cell r="X24">
            <v>12.599674483375056</v>
          </cell>
        </row>
      </sheetData>
      <sheetData sheetId="17" refreshError="1"/>
      <sheetData sheetId="18">
        <row r="10">
          <cell r="X10">
            <v>35.899724057322508</v>
          </cell>
        </row>
        <row r="16">
          <cell r="X16">
            <v>15.875072317286854</v>
          </cell>
        </row>
        <row r="17">
          <cell r="X17">
            <v>15.861119146499631</v>
          </cell>
        </row>
        <row r="18">
          <cell r="X18">
            <v>15.751124095101879</v>
          </cell>
        </row>
        <row r="19">
          <cell r="X19">
            <v>15.91189509767945</v>
          </cell>
        </row>
        <row r="20">
          <cell r="X20">
            <v>16.019567140297788</v>
          </cell>
        </row>
        <row r="21">
          <cell r="X21">
            <v>16.622409674971706</v>
          </cell>
        </row>
        <row r="22">
          <cell r="X22">
            <v>16.459266854925513</v>
          </cell>
        </row>
        <row r="23">
          <cell r="X23">
            <v>16.329653942602555</v>
          </cell>
        </row>
        <row r="24">
          <cell r="X24">
            <v>17.063793925717281</v>
          </cell>
        </row>
      </sheetData>
      <sheetData sheetId="19" refreshError="1"/>
      <sheetData sheetId="20">
        <row r="10">
          <cell r="X10">
            <v>36.638051395016262</v>
          </cell>
        </row>
        <row r="16">
          <cell r="X16">
            <v>16.003743442689267</v>
          </cell>
        </row>
        <row r="17">
          <cell r="X17">
            <v>16.015140287641486</v>
          </cell>
        </row>
        <row r="18">
          <cell r="X18">
            <v>15.887564208726268</v>
          </cell>
        </row>
        <row r="19">
          <cell r="X19">
            <v>17.161516954707345</v>
          </cell>
        </row>
        <row r="20">
          <cell r="X20">
            <v>16.663253133213882</v>
          </cell>
        </row>
        <row r="21">
          <cell r="X21">
            <v>16.834755469643991</v>
          </cell>
        </row>
        <row r="22">
          <cell r="X22">
            <v>16.604949930800188</v>
          </cell>
        </row>
        <row r="23">
          <cell r="X23">
            <v>15.941439799281502</v>
          </cell>
        </row>
        <row r="24">
          <cell r="X24">
            <v>16.077777134522876</v>
          </cell>
        </row>
      </sheetData>
      <sheetData sheetId="21" refreshError="1"/>
      <sheetData sheetId="22">
        <row r="10">
          <cell r="X10">
            <v>36.600443917477236</v>
          </cell>
        </row>
        <row r="16">
          <cell r="X16">
            <v>15.649471042073289</v>
          </cell>
        </row>
        <row r="17">
          <cell r="X17">
            <v>15.983437861919354</v>
          </cell>
        </row>
        <row r="18">
          <cell r="X18">
            <v>16.305634027372591</v>
          </cell>
        </row>
        <row r="19">
          <cell r="X19">
            <v>16.105699981864397</v>
          </cell>
        </row>
        <row r="20">
          <cell r="X20">
            <v>16.803831481965268</v>
          </cell>
        </row>
        <row r="21">
          <cell r="X21">
            <v>15.952066035131743</v>
          </cell>
        </row>
        <row r="22">
          <cell r="X22">
            <v>16.315907740546756</v>
          </cell>
        </row>
        <row r="23">
          <cell r="X23">
            <v>16.247423830768358</v>
          </cell>
        </row>
        <row r="24">
          <cell r="X24">
            <v>17.68446325254822</v>
          </cell>
        </row>
      </sheetData>
      <sheetData sheetId="23" refreshError="1"/>
      <sheetData sheetId="24">
        <row r="10">
          <cell r="X10">
            <v>35.04668748378171</v>
          </cell>
        </row>
        <row r="16">
          <cell r="X16">
            <v>13.056609827042861</v>
          </cell>
        </row>
        <row r="17">
          <cell r="X17">
            <v>13.052344391784089</v>
          </cell>
        </row>
        <row r="18">
          <cell r="X18">
            <v>13.662793517697729</v>
          </cell>
        </row>
        <row r="19">
          <cell r="X19">
            <v>12.716627380276851</v>
          </cell>
        </row>
        <row r="20">
          <cell r="X20">
            <v>11.799578352241037</v>
          </cell>
        </row>
        <row r="21">
          <cell r="X21">
            <v>12.565105961215567</v>
          </cell>
        </row>
        <row r="22">
          <cell r="X22">
            <v>12.522945779718745</v>
          </cell>
        </row>
        <row r="23">
          <cell r="X23">
            <v>12.359528991262211</v>
          </cell>
        </row>
        <row r="24">
          <cell r="X24">
            <v>12.060507077496565</v>
          </cell>
        </row>
      </sheetData>
      <sheetData sheetId="25" refreshError="1"/>
      <sheetData sheetId="26">
        <row r="10">
          <cell r="X10">
            <v>36.319615076560758</v>
          </cell>
        </row>
        <row r="16">
          <cell r="X16">
            <v>11.003524380878549</v>
          </cell>
        </row>
        <row r="17">
          <cell r="X17">
            <v>11.646510117766292</v>
          </cell>
        </row>
        <row r="18">
          <cell r="X18">
            <v>11.922114390179882</v>
          </cell>
        </row>
        <row r="19">
          <cell r="X19">
            <v>10.976226163542723</v>
          </cell>
        </row>
        <row r="20">
          <cell r="X20">
            <v>12.220043515930465</v>
          </cell>
        </row>
        <row r="21">
          <cell r="X21">
            <v>12.051127919649952</v>
          </cell>
        </row>
        <row r="22">
          <cell r="X22">
            <v>11.869936543738145</v>
          </cell>
        </row>
        <row r="23">
          <cell r="X23">
            <v>12.232263930731488</v>
          </cell>
        </row>
        <row r="24">
          <cell r="X24">
            <v>12.2184483155553</v>
          </cell>
        </row>
      </sheetData>
      <sheetData sheetId="27" refreshError="1"/>
      <sheetData sheetId="28">
        <row r="10">
          <cell r="X10">
            <v>34.649923971360437</v>
          </cell>
        </row>
        <row r="16">
          <cell r="X16">
            <v>12.55854744166472</v>
          </cell>
        </row>
        <row r="17">
          <cell r="X17">
            <v>12.769867634485184</v>
          </cell>
        </row>
        <row r="18">
          <cell r="X18">
            <v>12.931265599063302</v>
          </cell>
        </row>
        <row r="19">
          <cell r="X19">
            <v>13.233109671596388</v>
          </cell>
        </row>
        <row r="20">
          <cell r="X20">
            <v>13.778673094992229</v>
          </cell>
        </row>
        <row r="21">
          <cell r="X21">
            <v>13.562215287018169</v>
          </cell>
        </row>
        <row r="22">
          <cell r="X22">
            <v>14.368773228250689</v>
          </cell>
        </row>
        <row r="23">
          <cell r="X23">
            <v>14.509141050951623</v>
          </cell>
        </row>
        <row r="24">
          <cell r="X24">
            <v>14.734566507914494</v>
          </cell>
        </row>
      </sheetData>
      <sheetData sheetId="29" refreshError="1"/>
      <sheetData sheetId="30">
        <row r="10">
          <cell r="X10">
            <v>37.175765948982765</v>
          </cell>
        </row>
        <row r="16">
          <cell r="X16">
            <v>14.922574193921596</v>
          </cell>
        </row>
        <row r="17">
          <cell r="X17">
            <v>14.965492223418595</v>
          </cell>
        </row>
        <row r="18">
          <cell r="X18">
            <v>14.045560663014809</v>
          </cell>
        </row>
        <row r="19">
          <cell r="X19">
            <v>12.659405173447498</v>
          </cell>
        </row>
        <row r="20">
          <cell r="X20">
            <v>14.225610938347179</v>
          </cell>
        </row>
        <row r="21">
          <cell r="X21">
            <v>14.009666093361268</v>
          </cell>
        </row>
        <row r="22">
          <cell r="X22">
            <v>14.211008826420326</v>
          </cell>
        </row>
        <row r="23">
          <cell r="X23">
            <v>14.045516080616988</v>
          </cell>
        </row>
        <row r="24">
          <cell r="X24">
            <v>13.281736128756689</v>
          </cell>
        </row>
      </sheetData>
      <sheetData sheetId="31" refreshError="1"/>
      <sheetData sheetId="32">
        <row r="10">
          <cell r="X10">
            <v>36.725628342895583</v>
          </cell>
        </row>
        <row r="16">
          <cell r="X16">
            <v>14.498362211076799</v>
          </cell>
        </row>
        <row r="17">
          <cell r="X17">
            <v>14.82580652993472</v>
          </cell>
        </row>
        <row r="18">
          <cell r="X18">
            <v>14.573132312316654</v>
          </cell>
        </row>
        <row r="19">
          <cell r="X19">
            <v>15.116694104196119</v>
          </cell>
        </row>
        <row r="20">
          <cell r="X20">
            <v>14.800947325357109</v>
          </cell>
        </row>
        <row r="21">
          <cell r="X21">
            <v>14.970475588732471</v>
          </cell>
        </row>
        <row r="22">
          <cell r="X22">
            <v>13.505169765686002</v>
          </cell>
        </row>
        <row r="23">
          <cell r="X23">
            <v>12.770238119145766</v>
          </cell>
        </row>
        <row r="24">
          <cell r="X24">
            <v>11.049650973168852</v>
          </cell>
        </row>
      </sheetData>
      <sheetData sheetId="33" refreshError="1"/>
      <sheetData sheetId="34">
        <row r="10">
          <cell r="X10">
            <v>36.252210770458333</v>
          </cell>
        </row>
        <row r="16">
          <cell r="X16">
            <v>12.153470998262701</v>
          </cell>
        </row>
        <row r="17">
          <cell r="X17">
            <v>10.959536750842236</v>
          </cell>
        </row>
        <row r="18">
          <cell r="X18">
            <v>10.834380369216316</v>
          </cell>
        </row>
        <row r="19">
          <cell r="X19">
            <v>11.446471719836458</v>
          </cell>
        </row>
        <row r="20">
          <cell r="X20">
            <v>11.296712414774765</v>
          </cell>
        </row>
        <row r="21">
          <cell r="X21">
            <v>11.522675467839079</v>
          </cell>
        </row>
        <row r="22">
          <cell r="X22">
            <v>11.879761170713923</v>
          </cell>
        </row>
        <row r="23">
          <cell r="X23">
            <v>11.136860326372728</v>
          </cell>
        </row>
        <row r="24">
          <cell r="X24">
            <v>10.638833953130064</v>
          </cell>
        </row>
      </sheetData>
      <sheetData sheetId="35" refreshError="1"/>
      <sheetData sheetId="36">
        <row r="10">
          <cell r="X10">
            <v>33.695476873234746</v>
          </cell>
        </row>
        <row r="16">
          <cell r="X16">
            <v>12.194878158381893</v>
          </cell>
        </row>
        <row r="17">
          <cell r="X17">
            <v>12.189699319504529</v>
          </cell>
        </row>
        <row r="18">
          <cell r="X18">
            <v>11.813405821403986</v>
          </cell>
        </row>
        <row r="19">
          <cell r="X19">
            <v>11.697010164450765</v>
          </cell>
        </row>
        <row r="20">
          <cell r="X20">
            <v>12.380207051811668</v>
          </cell>
        </row>
        <row r="21">
          <cell r="X21">
            <v>12.954209008198948</v>
          </cell>
        </row>
        <row r="22">
          <cell r="X22">
            <v>13.109449347315847</v>
          </cell>
        </row>
        <row r="23">
          <cell r="X23">
            <v>13.217015991625155</v>
          </cell>
        </row>
        <row r="24">
          <cell r="X24">
            <v>13.759511176579332</v>
          </cell>
        </row>
      </sheetData>
      <sheetData sheetId="37" refreshError="1"/>
      <sheetData sheetId="38">
        <row r="10">
          <cell r="X10">
            <v>34.176927012560938</v>
          </cell>
        </row>
        <row r="16">
          <cell r="X16">
            <v>11.512390401167899</v>
          </cell>
        </row>
        <row r="17">
          <cell r="X17">
            <v>10.874632415885916</v>
          </cell>
        </row>
        <row r="18">
          <cell r="X18">
            <v>11.547783498542321</v>
          </cell>
        </row>
        <row r="19">
          <cell r="X19">
            <v>11.477866808736351</v>
          </cell>
        </row>
        <row r="20">
          <cell r="X20">
            <v>11.686348916664333</v>
          </cell>
        </row>
        <row r="21">
          <cell r="X21">
            <v>12.721207274556486</v>
          </cell>
        </row>
        <row r="22">
          <cell r="X22">
            <v>13.596761413609224</v>
          </cell>
        </row>
        <row r="23">
          <cell r="X23">
            <v>12.982431974846945</v>
          </cell>
        </row>
        <row r="24">
          <cell r="X24">
            <v>13.393807801856768</v>
          </cell>
        </row>
      </sheetData>
      <sheetData sheetId="39" refreshError="1"/>
      <sheetData sheetId="40">
        <row r="10">
          <cell r="X10">
            <v>36.310242901491115</v>
          </cell>
        </row>
        <row r="16">
          <cell r="X16">
            <v>12.996049355040606</v>
          </cell>
        </row>
        <row r="17">
          <cell r="X17">
            <v>13.090009965983933</v>
          </cell>
        </row>
        <row r="18">
          <cell r="X18">
            <v>13.419518044382784</v>
          </cell>
        </row>
        <row r="19">
          <cell r="X19">
            <v>12.803302991389293</v>
          </cell>
        </row>
        <row r="20">
          <cell r="X20">
            <v>10.293069066149506</v>
          </cell>
        </row>
        <row r="21">
          <cell r="X21">
            <v>10.429425031633787</v>
          </cell>
        </row>
        <row r="22">
          <cell r="X22">
            <v>10.074428885851628</v>
          </cell>
        </row>
        <row r="23">
          <cell r="X23">
            <v>15.069279767530192</v>
          </cell>
        </row>
        <row r="24">
          <cell r="X24">
            <v>15.600196394109759</v>
          </cell>
        </row>
      </sheetData>
      <sheetData sheetId="41" refreshError="1"/>
      <sheetData sheetId="42">
        <row r="10">
          <cell r="X10">
            <v>38.112021346895638</v>
          </cell>
        </row>
        <row r="16">
          <cell r="X16">
            <v>15.335198681042051</v>
          </cell>
        </row>
        <row r="17">
          <cell r="X17">
            <v>14.467130725699187</v>
          </cell>
        </row>
        <row r="18">
          <cell r="X18">
            <v>15.074080415643168</v>
          </cell>
        </row>
        <row r="19">
          <cell r="X19">
            <v>15.389705356453224</v>
          </cell>
        </row>
        <row r="20">
          <cell r="X20">
            <v>15.185624226539009</v>
          </cell>
        </row>
        <row r="21">
          <cell r="X21">
            <v>15.613156421470697</v>
          </cell>
        </row>
        <row r="22">
          <cell r="X22">
            <v>15.14923328666454</v>
          </cell>
        </row>
        <row r="23">
          <cell r="X23">
            <v>14.041323907409634</v>
          </cell>
        </row>
        <row r="24">
          <cell r="X24">
            <v>15.510244459090991</v>
          </cell>
        </row>
      </sheetData>
      <sheetData sheetId="43" refreshError="1"/>
      <sheetData sheetId="44">
        <row r="10">
          <cell r="X10">
            <v>35.531073638545671</v>
          </cell>
        </row>
        <row r="16">
          <cell r="X16">
            <v>15.217904674706936</v>
          </cell>
        </row>
        <row r="17">
          <cell r="X17">
            <v>15.332919266846337</v>
          </cell>
        </row>
        <row r="18">
          <cell r="X18">
            <v>15.722736734379575</v>
          </cell>
        </row>
        <row r="19">
          <cell r="X19">
            <v>16.165101256362117</v>
          </cell>
        </row>
        <row r="20">
          <cell r="X20">
            <v>15.347981150783001</v>
          </cell>
        </row>
        <row r="21">
          <cell r="X21">
            <v>15.999718108169132</v>
          </cell>
        </row>
        <row r="22">
          <cell r="X22">
            <v>20.707465676167413</v>
          </cell>
        </row>
        <row r="23">
          <cell r="X23">
            <v>17.3574397206961</v>
          </cell>
        </row>
        <row r="24">
          <cell r="X24">
            <v>17.426384899823692</v>
          </cell>
        </row>
      </sheetData>
      <sheetData sheetId="45" refreshError="1"/>
      <sheetData sheetId="46">
        <row r="10">
          <cell r="X10">
            <v>36.666855547365323</v>
          </cell>
        </row>
        <row r="16">
          <cell r="X16">
            <v>15.888488070742337</v>
          </cell>
        </row>
        <row r="17">
          <cell r="X17">
            <v>15.856622787043049</v>
          </cell>
        </row>
        <row r="18">
          <cell r="X18">
            <v>15.345615380349081</v>
          </cell>
        </row>
        <row r="19">
          <cell r="X19">
            <v>15.228756284623881</v>
          </cell>
        </row>
        <row r="20">
          <cell r="X20">
            <v>14.93829690995536</v>
          </cell>
        </row>
        <row r="21">
          <cell r="X21">
            <v>15.129393954855235</v>
          </cell>
        </row>
        <row r="22">
          <cell r="X22">
            <v>15.281377581799566</v>
          </cell>
        </row>
        <row r="23">
          <cell r="X23">
            <v>15.22633243769052</v>
          </cell>
        </row>
        <row r="24">
          <cell r="X24">
            <v>15.456769754574184</v>
          </cell>
        </row>
      </sheetData>
      <sheetData sheetId="47" refreshError="1"/>
      <sheetData sheetId="48">
        <row r="10">
          <cell r="X10">
            <v>36.162548122738677</v>
          </cell>
        </row>
        <row r="16">
          <cell r="X16">
            <v>15.711342025484186</v>
          </cell>
        </row>
        <row r="17">
          <cell r="X17">
            <v>15.524345458523246</v>
          </cell>
        </row>
        <row r="18">
          <cell r="X18">
            <v>15.577309185026737</v>
          </cell>
        </row>
        <row r="19">
          <cell r="X19">
            <v>15.351807318136274</v>
          </cell>
        </row>
        <row r="20">
          <cell r="X20">
            <v>15.286471294752651</v>
          </cell>
        </row>
        <row r="21">
          <cell r="X21">
            <v>15.729378232342086</v>
          </cell>
        </row>
        <row r="22">
          <cell r="X22">
            <v>14.916733216086417</v>
          </cell>
        </row>
        <row r="23">
          <cell r="X23">
            <v>14.676129051852779</v>
          </cell>
        </row>
        <row r="24">
          <cell r="X24">
            <v>14.780149952260253</v>
          </cell>
        </row>
      </sheetData>
      <sheetData sheetId="49" refreshError="1"/>
      <sheetData sheetId="50">
        <row r="10">
          <cell r="X10">
            <v>36.087485698709926</v>
          </cell>
        </row>
        <row r="16">
          <cell r="X16">
            <v>12.993172470504433</v>
          </cell>
        </row>
        <row r="17">
          <cell r="X17">
            <v>12.582329748668831</v>
          </cell>
        </row>
        <row r="18">
          <cell r="X18">
            <v>12.905927790581341</v>
          </cell>
        </row>
        <row r="19">
          <cell r="X19">
            <v>13.332597817039851</v>
          </cell>
        </row>
        <row r="20">
          <cell r="X20">
            <v>14.090391804489643</v>
          </cell>
        </row>
        <row r="21">
          <cell r="X21">
            <v>14.111148753191166</v>
          </cell>
        </row>
        <row r="22">
          <cell r="X22">
            <v>14.202412311518701</v>
          </cell>
        </row>
        <row r="23">
          <cell r="X23">
            <v>14.833911622016156</v>
          </cell>
        </row>
        <row r="24">
          <cell r="X24">
            <v>15.014913379650489</v>
          </cell>
        </row>
      </sheetData>
      <sheetData sheetId="51" refreshError="1"/>
      <sheetData sheetId="52">
        <row r="10">
          <cell r="X10">
            <v>35.526701922336372</v>
          </cell>
        </row>
        <row r="16">
          <cell r="X16">
            <v>14.233775217772966</v>
          </cell>
        </row>
        <row r="17">
          <cell r="X17">
            <v>14.577626484553575</v>
          </cell>
        </row>
        <row r="18">
          <cell r="X18">
            <v>14.421583986644768</v>
          </cell>
        </row>
        <row r="19">
          <cell r="X19">
            <v>14.465130331323586</v>
          </cell>
        </row>
        <row r="20">
          <cell r="X20">
            <v>14.055855204688738</v>
          </cell>
        </row>
        <row r="21">
          <cell r="X21">
            <v>14.159848108737261</v>
          </cell>
        </row>
        <row r="22">
          <cell r="X22">
            <v>13.050490090541537</v>
          </cell>
        </row>
        <row r="23">
          <cell r="X23">
            <v>13.264101254569297</v>
          </cell>
        </row>
        <row r="24">
          <cell r="X24">
            <v>17.391610144494646</v>
          </cell>
        </row>
      </sheetData>
      <sheetData sheetId="53" refreshError="1"/>
      <sheetData sheetId="54">
        <row r="10">
          <cell r="X10">
            <v>36.405831258367556</v>
          </cell>
        </row>
        <row r="16">
          <cell r="X16">
            <v>15.939623003356665</v>
          </cell>
        </row>
        <row r="17">
          <cell r="X17">
            <v>15.755277843223427</v>
          </cell>
        </row>
        <row r="18">
          <cell r="X18">
            <v>16.258388710734991</v>
          </cell>
        </row>
        <row r="19">
          <cell r="X19">
            <v>16.776568961655986</v>
          </cell>
        </row>
        <row r="20">
          <cell r="X20">
            <v>15.978715187545621</v>
          </cell>
        </row>
        <row r="21">
          <cell r="X21">
            <v>17.056432766323415</v>
          </cell>
        </row>
        <row r="22">
          <cell r="X22">
            <v>16.758728720204232</v>
          </cell>
        </row>
        <row r="23">
          <cell r="X23">
            <v>16.0696131072824</v>
          </cell>
        </row>
        <row r="24">
          <cell r="X24">
            <v>17.62621821611156</v>
          </cell>
        </row>
      </sheetData>
      <sheetData sheetId="55" refreshError="1"/>
      <sheetData sheetId="56">
        <row r="10">
          <cell r="X10">
            <v>36.138643969002935</v>
          </cell>
        </row>
        <row r="16">
          <cell r="X16">
            <v>16.033623051111061</v>
          </cell>
        </row>
        <row r="17">
          <cell r="X17">
            <v>17.260428318453414</v>
          </cell>
        </row>
        <row r="18">
          <cell r="X18">
            <v>15.668820495180821</v>
          </cell>
        </row>
        <row r="19">
          <cell r="X19">
            <v>15.768429010863796</v>
          </cell>
        </row>
        <row r="20">
          <cell r="X20">
            <v>16.16909162280048</v>
          </cell>
        </row>
        <row r="21">
          <cell r="X21">
            <v>16.020370008363972</v>
          </cell>
        </row>
        <row r="22">
          <cell r="X22">
            <v>15.787256646937434</v>
          </cell>
        </row>
        <row r="23">
          <cell r="X23">
            <v>17.927494655929166</v>
          </cell>
        </row>
        <row r="24">
          <cell r="X24">
            <v>16.824221394511319</v>
          </cell>
        </row>
      </sheetData>
      <sheetData sheetId="57" refreshError="1"/>
      <sheetData sheetId="58">
        <row r="10">
          <cell r="X10">
            <v>36.927128848866538</v>
          </cell>
        </row>
        <row r="16">
          <cell r="X16">
            <v>16.276643463969446</v>
          </cell>
        </row>
        <row r="17">
          <cell r="X17">
            <v>16.243398796817544</v>
          </cell>
        </row>
        <row r="18">
          <cell r="X18">
            <v>15.711622827108428</v>
          </cell>
        </row>
        <row r="19">
          <cell r="X19">
            <v>15.414413300859099</v>
          </cell>
        </row>
        <row r="20">
          <cell r="X20">
            <v>13.611780854710553</v>
          </cell>
        </row>
        <row r="21">
          <cell r="X21">
            <v>16.164849950582656</v>
          </cell>
        </row>
        <row r="22">
          <cell r="X22">
            <v>16.617664636584454</v>
          </cell>
        </row>
        <row r="23">
          <cell r="X23">
            <v>15.782628687605737</v>
          </cell>
        </row>
        <row r="24">
          <cell r="X24">
            <v>17.902372425178271</v>
          </cell>
        </row>
      </sheetData>
      <sheetData sheetId="59" refreshError="1"/>
      <sheetData sheetId="60">
        <row r="10">
          <cell r="X10">
            <v>35.988666341318115</v>
          </cell>
        </row>
        <row r="16">
          <cell r="X16">
            <v>14.609327715556224</v>
          </cell>
        </row>
        <row r="17">
          <cell r="X17">
            <v>14.803701321579355</v>
          </cell>
        </row>
        <row r="18">
          <cell r="X18">
            <v>14.155477821829065</v>
          </cell>
        </row>
        <row r="19">
          <cell r="X19">
            <v>13.726311889328432</v>
          </cell>
        </row>
        <row r="20">
          <cell r="X20">
            <v>13.58394784819634</v>
          </cell>
        </row>
        <row r="21">
          <cell r="X21">
            <v>14.780733408714816</v>
          </cell>
        </row>
        <row r="22">
          <cell r="X22">
            <v>15.238206704203582</v>
          </cell>
        </row>
        <row r="23">
          <cell r="X23">
            <v>15.023924811464992</v>
          </cell>
        </row>
        <row r="24">
          <cell r="X24">
            <v>15.168406955078563</v>
          </cell>
        </row>
      </sheetData>
      <sheetData sheetId="61" refreshError="1"/>
      <sheetData sheetId="62">
        <row r="10">
          <cell r="X10">
            <v>37.354233642005802</v>
          </cell>
        </row>
        <row r="16">
          <cell r="X16">
            <v>14.123996019278628</v>
          </cell>
        </row>
        <row r="17">
          <cell r="X17">
            <v>13.927835259056666</v>
          </cell>
        </row>
        <row r="18">
          <cell r="X18">
            <v>13.62786902731739</v>
          </cell>
        </row>
        <row r="19">
          <cell r="X19">
            <v>12.978018141655703</v>
          </cell>
        </row>
        <row r="20">
          <cell r="X20">
            <v>12.895787505587037</v>
          </cell>
        </row>
        <row r="21">
          <cell r="X21">
            <v>14.533059738968257</v>
          </cell>
        </row>
        <row r="22">
          <cell r="X22">
            <v>16.093304254954475</v>
          </cell>
        </row>
        <row r="23">
          <cell r="X23">
            <v>14.518372998563908</v>
          </cell>
        </row>
        <row r="24">
          <cell r="X24">
            <v>14.825110906692998</v>
          </cell>
        </row>
      </sheetData>
      <sheetData sheetId="63" refreshError="1"/>
      <sheetData sheetId="64">
        <row r="10">
          <cell r="X10">
            <v>36.273790755486274</v>
          </cell>
        </row>
        <row r="16">
          <cell r="X16">
            <v>13.088157123497229</v>
          </cell>
        </row>
        <row r="17">
          <cell r="X17">
            <v>13.164404338603042</v>
          </cell>
        </row>
        <row r="18">
          <cell r="X18">
            <v>13.603966007042553</v>
          </cell>
        </row>
        <row r="19">
          <cell r="X19">
            <v>12.702804626788277</v>
          </cell>
        </row>
        <row r="20">
          <cell r="X20">
            <v>13.407815866039774</v>
          </cell>
        </row>
        <row r="21">
          <cell r="X21">
            <v>15.468604154613017</v>
          </cell>
        </row>
        <row r="22">
          <cell r="X22">
            <v>15.451080982075849</v>
          </cell>
        </row>
        <row r="23">
          <cell r="X23">
            <v>15.422847867972258</v>
          </cell>
        </row>
        <row r="24">
          <cell r="X24">
            <v>16.005270922190064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AB24" sqref="AB24"/>
    </sheetView>
  </sheetViews>
  <sheetFormatPr defaultColWidth="5.7109375" defaultRowHeight="15"/>
  <cols>
    <col min="1" max="1" width="11.5703125" customWidth="1"/>
    <col min="2" max="32" width="7.7109375" style="44" customWidth="1"/>
    <col min="159" max="159" width="11.5703125" customWidth="1"/>
    <col min="160" max="190" width="7.7109375" customWidth="1"/>
    <col min="191" max="191" width="12.7109375" customWidth="1"/>
    <col min="415" max="415" width="11.5703125" customWidth="1"/>
    <col min="416" max="446" width="7.7109375" customWidth="1"/>
    <col min="447" max="447" width="12.7109375" customWidth="1"/>
    <col min="671" max="671" width="11.5703125" customWidth="1"/>
    <col min="672" max="702" width="7.7109375" customWidth="1"/>
    <col min="703" max="703" width="12.7109375" customWidth="1"/>
    <col min="927" max="927" width="11.5703125" customWidth="1"/>
    <col min="928" max="958" width="7.7109375" customWidth="1"/>
    <col min="959" max="959" width="12.7109375" customWidth="1"/>
    <col min="1183" max="1183" width="11.5703125" customWidth="1"/>
    <col min="1184" max="1214" width="7.7109375" customWidth="1"/>
    <col min="1215" max="1215" width="12.7109375" customWidth="1"/>
    <col min="1439" max="1439" width="11.5703125" customWidth="1"/>
    <col min="1440" max="1470" width="7.7109375" customWidth="1"/>
    <col min="1471" max="1471" width="12.7109375" customWidth="1"/>
    <col min="1695" max="1695" width="11.5703125" customWidth="1"/>
    <col min="1696" max="1726" width="7.7109375" customWidth="1"/>
    <col min="1727" max="1727" width="12.7109375" customWidth="1"/>
    <col min="1951" max="1951" width="11.5703125" customWidth="1"/>
    <col min="1952" max="1982" width="7.7109375" customWidth="1"/>
    <col min="1983" max="1983" width="12.7109375" customWidth="1"/>
    <col min="2207" max="2207" width="11.5703125" customWidth="1"/>
    <col min="2208" max="2238" width="7.7109375" customWidth="1"/>
    <col min="2239" max="2239" width="12.7109375" customWidth="1"/>
    <col min="2463" max="2463" width="11.5703125" customWidth="1"/>
    <col min="2464" max="2494" width="7.7109375" customWidth="1"/>
    <col min="2495" max="2495" width="12.7109375" customWidth="1"/>
    <col min="2719" max="2719" width="11.5703125" customWidth="1"/>
    <col min="2720" max="2750" width="7.7109375" customWidth="1"/>
    <col min="2751" max="2751" width="12.7109375" customWidth="1"/>
    <col min="2975" max="2975" width="11.5703125" customWidth="1"/>
    <col min="2976" max="3006" width="7.7109375" customWidth="1"/>
    <col min="3007" max="3007" width="12.7109375" customWidth="1"/>
    <col min="3231" max="3231" width="11.5703125" customWidth="1"/>
    <col min="3232" max="3262" width="7.7109375" customWidth="1"/>
    <col min="3263" max="3263" width="12.7109375" customWidth="1"/>
    <col min="3487" max="3487" width="11.5703125" customWidth="1"/>
    <col min="3488" max="3518" width="7.7109375" customWidth="1"/>
    <col min="3519" max="3519" width="12.7109375" customWidth="1"/>
    <col min="3743" max="3743" width="11.5703125" customWidth="1"/>
    <col min="3744" max="3774" width="7.7109375" customWidth="1"/>
    <col min="3775" max="3775" width="12.7109375" customWidth="1"/>
    <col min="3999" max="3999" width="11.5703125" customWidth="1"/>
    <col min="4000" max="4030" width="7.7109375" customWidth="1"/>
    <col min="4031" max="4031" width="12.7109375" customWidth="1"/>
    <col min="4255" max="4255" width="11.5703125" customWidth="1"/>
    <col min="4256" max="4286" width="7.7109375" customWidth="1"/>
    <col min="4287" max="4287" width="12.7109375" customWidth="1"/>
    <col min="4511" max="4511" width="11.5703125" customWidth="1"/>
    <col min="4512" max="4542" width="7.7109375" customWidth="1"/>
    <col min="4543" max="4543" width="12.7109375" customWidth="1"/>
    <col min="4767" max="4767" width="11.5703125" customWidth="1"/>
    <col min="4768" max="4798" width="7.7109375" customWidth="1"/>
    <col min="4799" max="4799" width="12.7109375" customWidth="1"/>
    <col min="5023" max="5023" width="11.5703125" customWidth="1"/>
    <col min="5024" max="5054" width="7.7109375" customWidth="1"/>
    <col min="5055" max="5055" width="12.7109375" customWidth="1"/>
    <col min="5279" max="5279" width="11.5703125" customWidth="1"/>
    <col min="5280" max="5310" width="7.7109375" customWidth="1"/>
    <col min="5311" max="5311" width="12.7109375" customWidth="1"/>
    <col min="5535" max="5535" width="11.5703125" customWidth="1"/>
    <col min="5536" max="5566" width="7.7109375" customWidth="1"/>
    <col min="5567" max="5567" width="12.7109375" customWidth="1"/>
    <col min="5791" max="5791" width="11.5703125" customWidth="1"/>
    <col min="5792" max="5822" width="7.7109375" customWidth="1"/>
    <col min="5823" max="5823" width="12.7109375" customWidth="1"/>
    <col min="6047" max="6047" width="11.5703125" customWidth="1"/>
    <col min="6048" max="6078" width="7.7109375" customWidth="1"/>
    <col min="6079" max="6079" width="12.7109375" customWidth="1"/>
    <col min="6303" max="6303" width="11.5703125" customWidth="1"/>
    <col min="6304" max="6334" width="7.7109375" customWidth="1"/>
    <col min="6335" max="6335" width="12.7109375" customWidth="1"/>
    <col min="6559" max="6559" width="11.5703125" customWidth="1"/>
    <col min="6560" max="6590" width="7.7109375" customWidth="1"/>
    <col min="6591" max="6591" width="12.7109375" customWidth="1"/>
    <col min="6815" max="6815" width="11.5703125" customWidth="1"/>
    <col min="6816" max="6846" width="7.7109375" customWidth="1"/>
    <col min="6847" max="6847" width="12.7109375" customWidth="1"/>
    <col min="7071" max="7071" width="11.5703125" customWidth="1"/>
    <col min="7072" max="7102" width="7.7109375" customWidth="1"/>
    <col min="7103" max="7103" width="12.7109375" customWidth="1"/>
    <col min="7327" max="7327" width="11.5703125" customWidth="1"/>
    <col min="7328" max="7358" width="7.7109375" customWidth="1"/>
    <col min="7359" max="7359" width="12.7109375" customWidth="1"/>
    <col min="7583" max="7583" width="11.5703125" customWidth="1"/>
    <col min="7584" max="7614" width="7.7109375" customWidth="1"/>
    <col min="7615" max="7615" width="12.7109375" customWidth="1"/>
    <col min="7839" max="7839" width="11.5703125" customWidth="1"/>
    <col min="7840" max="7870" width="7.7109375" customWidth="1"/>
    <col min="7871" max="7871" width="12.7109375" customWidth="1"/>
    <col min="8095" max="8095" width="11.5703125" customWidth="1"/>
    <col min="8096" max="8126" width="7.7109375" customWidth="1"/>
    <col min="8127" max="8127" width="12.7109375" customWidth="1"/>
    <col min="8351" max="8351" width="11.5703125" customWidth="1"/>
    <col min="8352" max="8382" width="7.7109375" customWidth="1"/>
    <col min="8383" max="8383" width="12.7109375" customWidth="1"/>
    <col min="8607" max="8607" width="11.5703125" customWidth="1"/>
    <col min="8608" max="8638" width="7.7109375" customWidth="1"/>
    <col min="8639" max="8639" width="12.7109375" customWidth="1"/>
    <col min="8863" max="8863" width="11.5703125" customWidth="1"/>
    <col min="8864" max="8894" width="7.7109375" customWidth="1"/>
    <col min="8895" max="8895" width="12.7109375" customWidth="1"/>
    <col min="9119" max="9119" width="11.5703125" customWidth="1"/>
    <col min="9120" max="9150" width="7.7109375" customWidth="1"/>
    <col min="9151" max="9151" width="12.7109375" customWidth="1"/>
    <col min="9375" max="9375" width="11.5703125" customWidth="1"/>
    <col min="9376" max="9406" width="7.7109375" customWidth="1"/>
    <col min="9407" max="9407" width="12.7109375" customWidth="1"/>
    <col min="9631" max="9631" width="11.5703125" customWidth="1"/>
    <col min="9632" max="9662" width="7.7109375" customWidth="1"/>
    <col min="9663" max="9663" width="12.7109375" customWidth="1"/>
    <col min="9887" max="9887" width="11.5703125" customWidth="1"/>
    <col min="9888" max="9918" width="7.7109375" customWidth="1"/>
    <col min="9919" max="9919" width="12.7109375" customWidth="1"/>
    <col min="10143" max="10143" width="11.5703125" customWidth="1"/>
    <col min="10144" max="10174" width="7.7109375" customWidth="1"/>
    <col min="10175" max="10175" width="12.7109375" customWidth="1"/>
    <col min="10399" max="10399" width="11.5703125" customWidth="1"/>
    <col min="10400" max="10430" width="7.7109375" customWidth="1"/>
    <col min="10431" max="10431" width="12.7109375" customWidth="1"/>
    <col min="10655" max="10655" width="11.5703125" customWidth="1"/>
    <col min="10656" max="10686" width="7.7109375" customWidth="1"/>
    <col min="10687" max="10687" width="12.7109375" customWidth="1"/>
    <col min="10911" max="10911" width="11.5703125" customWidth="1"/>
    <col min="10912" max="10942" width="7.7109375" customWidth="1"/>
    <col min="10943" max="10943" width="12.7109375" customWidth="1"/>
    <col min="11167" max="11167" width="11.5703125" customWidth="1"/>
    <col min="11168" max="11198" width="7.7109375" customWidth="1"/>
    <col min="11199" max="11199" width="12.7109375" customWidth="1"/>
    <col min="11423" max="11423" width="11.5703125" customWidth="1"/>
    <col min="11424" max="11454" width="7.7109375" customWidth="1"/>
    <col min="11455" max="11455" width="12.7109375" customWidth="1"/>
    <col min="11679" max="11679" width="11.5703125" customWidth="1"/>
    <col min="11680" max="11710" width="7.7109375" customWidth="1"/>
    <col min="11711" max="11711" width="12.7109375" customWidth="1"/>
    <col min="11935" max="11935" width="11.5703125" customWidth="1"/>
    <col min="11936" max="11966" width="7.7109375" customWidth="1"/>
    <col min="11967" max="11967" width="12.7109375" customWidth="1"/>
    <col min="12191" max="12191" width="11.5703125" customWidth="1"/>
    <col min="12192" max="12222" width="7.7109375" customWidth="1"/>
    <col min="12223" max="12223" width="12.7109375" customWidth="1"/>
    <col min="12447" max="12447" width="11.5703125" customWidth="1"/>
    <col min="12448" max="12478" width="7.7109375" customWidth="1"/>
    <col min="12479" max="12479" width="12.7109375" customWidth="1"/>
    <col min="12703" max="12703" width="11.5703125" customWidth="1"/>
    <col min="12704" max="12734" width="7.7109375" customWidth="1"/>
    <col min="12735" max="12735" width="12.7109375" customWidth="1"/>
    <col min="12959" max="12959" width="11.5703125" customWidth="1"/>
    <col min="12960" max="12990" width="7.7109375" customWidth="1"/>
    <col min="12991" max="12991" width="12.7109375" customWidth="1"/>
    <col min="13215" max="13215" width="11.5703125" customWidth="1"/>
    <col min="13216" max="13246" width="7.7109375" customWidth="1"/>
    <col min="13247" max="13247" width="12.7109375" customWidth="1"/>
    <col min="13471" max="13471" width="11.5703125" customWidth="1"/>
    <col min="13472" max="13502" width="7.7109375" customWidth="1"/>
    <col min="13503" max="13503" width="12.7109375" customWidth="1"/>
    <col min="13727" max="13727" width="11.5703125" customWidth="1"/>
    <col min="13728" max="13758" width="7.7109375" customWidth="1"/>
    <col min="13759" max="13759" width="12.7109375" customWidth="1"/>
    <col min="13983" max="13983" width="11.5703125" customWidth="1"/>
    <col min="13984" max="14014" width="7.7109375" customWidth="1"/>
    <col min="14015" max="14015" width="12.7109375" customWidth="1"/>
    <col min="14239" max="14239" width="11.5703125" customWidth="1"/>
    <col min="14240" max="14270" width="7.7109375" customWidth="1"/>
    <col min="14271" max="14271" width="12.7109375" customWidth="1"/>
    <col min="14495" max="14495" width="11.5703125" customWidth="1"/>
    <col min="14496" max="14526" width="7.7109375" customWidth="1"/>
    <col min="14527" max="14527" width="12.7109375" customWidth="1"/>
    <col min="14751" max="14751" width="11.5703125" customWidth="1"/>
    <col min="14752" max="14782" width="7.7109375" customWidth="1"/>
    <col min="14783" max="14783" width="12.7109375" customWidth="1"/>
    <col min="15007" max="15007" width="11.5703125" customWidth="1"/>
    <col min="15008" max="15038" width="7.7109375" customWidth="1"/>
    <col min="15039" max="15039" width="12.7109375" customWidth="1"/>
    <col min="15263" max="15263" width="11.5703125" customWidth="1"/>
    <col min="15264" max="15294" width="7.7109375" customWidth="1"/>
    <col min="15295" max="15295" width="12.7109375" customWidth="1"/>
    <col min="15519" max="15519" width="11.5703125" customWidth="1"/>
    <col min="15520" max="15550" width="7.7109375" customWidth="1"/>
    <col min="15551" max="15551" width="12.7109375" customWidth="1"/>
    <col min="15775" max="15775" width="11.5703125" customWidth="1"/>
    <col min="15776" max="15806" width="7.7109375" customWidth="1"/>
    <col min="15807" max="15807" width="12.7109375" customWidth="1"/>
    <col min="16031" max="16031" width="11.5703125" customWidth="1"/>
    <col min="16032" max="16062" width="7.7109375" customWidth="1"/>
    <col min="16063" max="16063" width="12.7109375" customWidth="1"/>
  </cols>
  <sheetData>
    <row r="1" spans="1:32" ht="18">
      <c r="A1" s="1"/>
      <c r="B1" s="2" t="str">
        <f>'[1]Dia 1 (b)'!C1</f>
        <v>JANEIRO DE 2024</v>
      </c>
      <c r="C1" s="3"/>
      <c r="D1" s="4"/>
      <c r="E1" s="5"/>
      <c r="F1" s="2"/>
      <c r="G1" s="3"/>
      <c r="H1" s="3"/>
      <c r="I1" s="3"/>
      <c r="J1" s="3"/>
      <c r="K1" s="3" t="s">
        <v>11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2" ht="20.100000000000001" customHeight="1">
      <c r="A4" s="15">
        <v>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</row>
    <row r="5" spans="1:32" ht="20.100000000000001" customHeight="1">
      <c r="A5" s="15">
        <v>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</row>
    <row r="6" spans="1:32" ht="20.100000000000001" customHeight="1">
      <c r="A6" s="15">
        <v>3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</row>
    <row r="7" spans="1:32" ht="20.100000000000001" customHeight="1">
      <c r="A7" s="15">
        <v>4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</row>
    <row r="8" spans="1:32" ht="20.100000000000001" customHeight="1">
      <c r="A8" s="15">
        <v>5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</row>
    <row r="9" spans="1:32" ht="20.100000000000001" customHeight="1">
      <c r="A9" s="15">
        <v>6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</row>
    <row r="10" spans="1:32" ht="20.100000000000001" customHeight="1">
      <c r="A10" s="15">
        <v>7</v>
      </c>
      <c r="B10" s="16">
        <f>'[1]Dia 1 (b)'!$X16</f>
        <v>12.027926619849467</v>
      </c>
      <c r="C10" s="16">
        <f>'[1]Dia 2 (b)'!$X16</f>
        <v>12.898449785857068</v>
      </c>
      <c r="D10" s="16">
        <f>'[1]Dia 3 (b)'!$X16</f>
        <v>15.319810178698555</v>
      </c>
      <c r="E10" s="16">
        <f>'[1]Dia 4 (b)'!$X16</f>
        <v>15.164382193079136</v>
      </c>
      <c r="F10" s="16">
        <f>'[1]Dia 5 (b)'!$X16</f>
        <v>14.866126249690328</v>
      </c>
      <c r="G10" s="16">
        <f>'[1]Dia 6 (b)'!$X16</f>
        <v>14.22285371119936</v>
      </c>
      <c r="H10" s="16">
        <f>'[1]Dia 7 (b)'!$X16</f>
        <v>14.198264970329017</v>
      </c>
      <c r="I10" s="16">
        <f>'[1]Dia 8 (b)'!$X16</f>
        <v>16.224167556596498</v>
      </c>
      <c r="J10" s="16">
        <f>'[1]Dia 9 (b)'!$X16</f>
        <v>16.566282880392574</v>
      </c>
      <c r="K10" s="16">
        <f>'[1]Dia 10 (b)'!$X16</f>
        <v>16.48960594386152</v>
      </c>
      <c r="L10" s="16">
        <f>'[1]Dia 11 (b)'!$X16</f>
        <v>16.741624174606866</v>
      </c>
      <c r="M10" s="16">
        <f>'[1]Dia 12 (b)'!$X16</f>
        <v>16.957825104903019</v>
      </c>
      <c r="N10" s="16">
        <f>'[1]Dia 13 (b)'!$X16</f>
        <v>15.489895874806002</v>
      </c>
      <c r="O10" s="16">
        <f>'[1]Dia 14 (b)'!$X16</f>
        <v>13.138849460792642</v>
      </c>
      <c r="P10" s="16">
        <f>'[1]Dia 15 (b)'!$X16</f>
        <v>17.846404292013926</v>
      </c>
      <c r="Q10" s="16">
        <f>'[1]Dia 16 (b)'!$X16</f>
        <v>16.460522731914839</v>
      </c>
      <c r="R10" s="16">
        <f>'[1]Dia 17 (b)'!$X16</f>
        <v>17.79755123444318</v>
      </c>
      <c r="S10" s="16">
        <f>'[1]Dia 18 (b)'!$X16</f>
        <v>17.276123726992516</v>
      </c>
      <c r="T10" s="16">
        <f>'[1]Dia 19 (b)'!$X16</f>
        <v>14.806554457396267</v>
      </c>
      <c r="U10" s="16">
        <f>'[1]Dia 20 (b)'!$X16</f>
        <v>15.123870445374729</v>
      </c>
      <c r="V10" s="16">
        <f>'[1]Dia 21 (b)'!$X16</f>
        <v>15.809028025793694</v>
      </c>
      <c r="W10" s="16">
        <f>'[1]Dia 22 (b)'!$X16</f>
        <v>14.751694987989817</v>
      </c>
      <c r="X10" s="16">
        <f>'[1]Dia 23 (b)'!$X16</f>
        <v>13.255762969587318</v>
      </c>
      <c r="Y10" s="16">
        <f>'[1]Dia 24 (b)'!$X16</f>
        <v>12.24167571114678</v>
      </c>
      <c r="Z10" s="16">
        <f>'[1]Dia 25 (b)'!$X16</f>
        <v>12.992008466256104</v>
      </c>
      <c r="AA10" s="16">
        <f>'[1]Dia 26 (b)'!$X16</f>
        <v>11.890605114758859</v>
      </c>
      <c r="AB10" s="16">
        <f>'[1]Dia 27 (b)'!$X16</f>
        <v>13.868936731765171</v>
      </c>
      <c r="AC10" s="16">
        <f>'[1]Dia 28 (b)'!$X16</f>
        <v>14.178068341287403</v>
      </c>
      <c r="AD10" s="16">
        <f>'[1]Dia 29 (b)'!$X16</f>
        <v>13.465432313620665</v>
      </c>
      <c r="AE10" s="16">
        <f>'[1]Dia 30 (b)'!$X16</f>
        <v>15.376298049026156</v>
      </c>
      <c r="AF10" s="16">
        <f>'[1]Dia 31 (b)'!$X16</f>
        <v>15.123020329118949</v>
      </c>
    </row>
    <row r="11" spans="1:32" ht="20.100000000000001" customHeight="1">
      <c r="A11" s="15">
        <v>8</v>
      </c>
      <c r="B11" s="16">
        <f>'[1]Dia 1 (b)'!$X17</f>
        <v>12.490844912134346</v>
      </c>
      <c r="C11" s="16">
        <f>'[1]Dia 2 (b)'!$X17</f>
        <v>12.87484986698807</v>
      </c>
      <c r="D11" s="16">
        <f>'[1]Dia 3 (b)'!$X17</f>
        <v>15.628434776706017</v>
      </c>
      <c r="E11" s="16">
        <f>'[1]Dia 4 (b)'!$X17</f>
        <v>15.652118100167964</v>
      </c>
      <c r="F11" s="16">
        <f>'[1]Dia 5 (b)'!$X17</f>
        <v>14.756436567771503</v>
      </c>
      <c r="G11" s="16">
        <f>'[1]Dia 6 (b)'!$X17</f>
        <v>13.661778189680991</v>
      </c>
      <c r="H11" s="16">
        <f>'[1]Dia 7 (b)'!$X17</f>
        <v>14.473832089425356</v>
      </c>
      <c r="I11" s="16">
        <f>'[1]Dia 8 (b)'!$X17</f>
        <v>15.417816731385997</v>
      </c>
      <c r="J11" s="16">
        <f>'[1]Dia 9 (b)'!$X17</f>
        <v>15.444796641777549</v>
      </c>
      <c r="K11" s="16">
        <f>'[1]Dia 10 (b)'!$X17</f>
        <v>15.931345948630645</v>
      </c>
      <c r="L11" s="16">
        <f>'[1]Dia 11 (b)'!$X17</f>
        <v>17.316515848357621</v>
      </c>
      <c r="M11" s="16">
        <f>'[1]Dia 12 (b)'!$X17</f>
        <v>16.990957350553344</v>
      </c>
      <c r="N11" s="16">
        <f>'[1]Dia 13 (b)'!$X17</f>
        <v>15.986338407079028</v>
      </c>
      <c r="O11" s="16">
        <f>'[1]Dia 14 (b)'!$X17</f>
        <v>13.174783103562035</v>
      </c>
      <c r="P11" s="16">
        <f>'[1]Dia 15 (b)'!$X17</f>
        <v>16.54757024199878</v>
      </c>
      <c r="Q11" s="16">
        <f>'[1]Dia 16 (b)'!$X17</f>
        <v>16.084214920813633</v>
      </c>
      <c r="R11" s="16">
        <f>'[1]Dia 17 (b)'!$X17</f>
        <v>16.773583314503128</v>
      </c>
      <c r="S11" s="16">
        <f>'[1]Dia 18 (b)'!$X17</f>
        <v>17.38922197588224</v>
      </c>
      <c r="T11" s="16">
        <f>'[1]Dia 19 (b)'!$X17</f>
        <v>14.26027160257982</v>
      </c>
      <c r="U11" s="16">
        <f>'[1]Dia 20 (b)'!$X17</f>
        <v>15.411702037256321</v>
      </c>
      <c r="V11" s="16">
        <f>'[1]Dia 21 (b)'!$X17</f>
        <v>15.397807284763505</v>
      </c>
      <c r="W11" s="16">
        <f>'[1]Dia 22 (b)'!$X17</f>
        <v>14.704820545529937</v>
      </c>
      <c r="X11" s="16">
        <f>'[1]Dia 23 (b)'!$X17</f>
        <v>13.514488726670651</v>
      </c>
      <c r="Y11" s="16">
        <f>'[1]Dia 24 (b)'!$X17</f>
        <v>12.64639653794168</v>
      </c>
      <c r="Z11" s="16">
        <f>'[1]Dia 25 (b)'!$X17</f>
        <v>13.156866381657798</v>
      </c>
      <c r="AA11" s="16">
        <f>'[1]Dia 26 (b)'!$X17</f>
        <v>12.287647012704239</v>
      </c>
      <c r="AB11" s="16">
        <f>'[1]Dia 27 (b)'!$X17</f>
        <v>13.921878952027786</v>
      </c>
      <c r="AC11" s="16">
        <f>'[1]Dia 28 (b)'!$X17</f>
        <v>13.926699134273226</v>
      </c>
      <c r="AD11" s="16">
        <f>'[1]Dia 29 (b)'!$X17</f>
        <v>13.11879825301563</v>
      </c>
      <c r="AE11" s="16">
        <f>'[1]Dia 30 (b)'!$X17</f>
        <v>14.467558764623819</v>
      </c>
      <c r="AF11" s="16">
        <f>'[1]Dia 31 (b)'!$X17</f>
        <v>14.974338958897819</v>
      </c>
    </row>
    <row r="12" spans="1:32" ht="20.100000000000001" customHeight="1">
      <c r="A12" s="15">
        <v>9</v>
      </c>
      <c r="B12" s="16">
        <f>'[1]Dia 1 (b)'!$X18</f>
        <v>12.15023651735474</v>
      </c>
      <c r="C12" s="16">
        <f>'[1]Dia 2 (b)'!$X18</f>
        <v>13.129176661037055</v>
      </c>
      <c r="D12" s="16">
        <f>'[1]Dia 3 (b)'!$X18</f>
        <v>15.582000120681656</v>
      </c>
      <c r="E12" s="16">
        <f>'[1]Dia 4 (b)'!$X18</f>
        <v>15.965438846831523</v>
      </c>
      <c r="F12" s="16">
        <f>'[1]Dia 5 (b)'!$X18</f>
        <v>15.123439585668837</v>
      </c>
      <c r="G12" s="16">
        <f>'[1]Dia 6 (b)'!$X18</f>
        <v>14.578493057707735</v>
      </c>
      <c r="H12" s="16">
        <f>'[1]Dia 7 (b)'!$X18</f>
        <v>14.32850219124907</v>
      </c>
      <c r="I12" s="16">
        <f>'[1]Dia 8 (b)'!$X18</f>
        <v>14.861559704263351</v>
      </c>
      <c r="J12" s="16">
        <f>'[1]Dia 9 (b)'!$X18</f>
        <v>15.713408521726258</v>
      </c>
      <c r="K12" s="16">
        <f>'[1]Dia 10 (b)'!$X18</f>
        <v>15.72497684973475</v>
      </c>
      <c r="L12" s="16">
        <f>'[1]Dia 11 (b)'!$X18</f>
        <v>16.646668822268854</v>
      </c>
      <c r="M12" s="16">
        <f>'[1]Dia 12 (b)'!$X18</f>
        <v>16.645889500570856</v>
      </c>
      <c r="N12" s="16">
        <f>'[1]Dia 13 (b)'!$X18</f>
        <v>16.195588388825964</v>
      </c>
      <c r="O12" s="16">
        <f>'[1]Dia 14 (b)'!$X18</f>
        <v>13.655604300292948</v>
      </c>
      <c r="P12" s="16">
        <f>'[1]Dia 15 (b)'!$X18</f>
        <v>17.163898674220473</v>
      </c>
      <c r="Q12" s="16">
        <f>'[1]Dia 16 (b)'!$X18</f>
        <v>15.908222024531954</v>
      </c>
      <c r="R12" s="16">
        <f>'[1]Dia 17 (b)'!$X18</f>
        <v>17.245017739504711</v>
      </c>
      <c r="S12" s="16">
        <f>'[1]Dia 18 (b)'!$X18</f>
        <v>17.329183222268775</v>
      </c>
      <c r="T12" s="16">
        <f>'[1]Dia 19 (b)'!$X18</f>
        <v>14.208808153363515</v>
      </c>
      <c r="U12" s="16">
        <f>'[1]Dia 20 (b)'!$X18</f>
        <v>15.447850106240695</v>
      </c>
      <c r="V12" s="16">
        <f>'[1]Dia 21 (b)'!$X18</f>
        <v>15.672439707907744</v>
      </c>
      <c r="W12" s="16">
        <f>'[1]Dia 22 (b)'!$X18</f>
        <v>15.340809536920187</v>
      </c>
      <c r="X12" s="16">
        <f>'[1]Dia 23 (b)'!$X18</f>
        <v>13.853758091249441</v>
      </c>
      <c r="Y12" s="16">
        <f>'[1]Dia 24 (b)'!$X18</f>
        <v>12.574703157344674</v>
      </c>
      <c r="Z12" s="16">
        <f>'[1]Dia 25 (b)'!$X18</f>
        <v>13.77357229742344</v>
      </c>
      <c r="AA12" s="16">
        <f>'[1]Dia 26 (b)'!$X18</f>
        <v>12.653571071206253</v>
      </c>
      <c r="AB12" s="16">
        <f>'[1]Dia 27 (b)'!$X18</f>
        <v>13.893055629495915</v>
      </c>
      <c r="AC12" s="16">
        <f>'[1]Dia 28 (b)'!$X18</f>
        <v>13.732439015366584</v>
      </c>
      <c r="AD12" s="16">
        <f>'[1]Dia 29 (b)'!$X18</f>
        <v>12.945607341764516</v>
      </c>
      <c r="AE12" s="16">
        <f>'[1]Dia 30 (b)'!$X18</f>
        <v>12.769800796069735</v>
      </c>
      <c r="AF12" s="16">
        <f>'[1]Dia 31 (b)'!$X18</f>
        <v>14.689776018042918</v>
      </c>
    </row>
    <row r="13" spans="1:32" ht="20.100000000000001" customHeight="1">
      <c r="A13" s="15">
        <v>10</v>
      </c>
      <c r="B13" s="16">
        <f>'[1]Dia 1 (b)'!$X19</f>
        <v>12.461852470715856</v>
      </c>
      <c r="C13" s="16">
        <f>'[1]Dia 2 (b)'!$X19</f>
        <v>13.156931377919921</v>
      </c>
      <c r="D13" s="16">
        <f>'[1]Dia 3 (b)'!$X19</f>
        <v>15.462000574332119</v>
      </c>
      <c r="E13" s="16">
        <f>'[1]Dia 4 (b)'!$X19</f>
        <v>16.288490858599712</v>
      </c>
      <c r="F13" s="16">
        <f>'[1]Dia 5 (b)'!$X19</f>
        <v>14.945192774730575</v>
      </c>
      <c r="G13" s="16">
        <f>'[1]Dia 6 (b)'!$X19</f>
        <v>13.976741874505715</v>
      </c>
      <c r="H13" s="16">
        <f>'[1]Dia 7 (b)'!$X19</f>
        <v>14.137882267689484</v>
      </c>
      <c r="I13" s="16">
        <f>'[1]Dia 8 (b)'!$X19</f>
        <v>13.885719660518689</v>
      </c>
      <c r="J13" s="16">
        <f>'[1]Dia 9 (b)'!$X19</f>
        <v>14.934641057572399</v>
      </c>
      <c r="K13" s="16">
        <f>'[1]Dia 10 (b)'!$X19</f>
        <v>14.925348545222148</v>
      </c>
      <c r="L13" s="16">
        <f>'[1]Dia 11 (b)'!$X19</f>
        <v>16.126699245429084</v>
      </c>
      <c r="M13" s="16">
        <f>'[1]Dia 12 (b)'!$X19</f>
        <v>16.44429124999586</v>
      </c>
      <c r="N13" s="16">
        <f>'[1]Dia 13 (b)'!$X19</f>
        <v>15.288028239832656</v>
      </c>
      <c r="O13" s="16">
        <f>'[1]Dia 14 (b)'!$X19</f>
        <v>14.375978310637409</v>
      </c>
      <c r="P13" s="16">
        <f>'[1]Dia 15 (b)'!$X19</f>
        <v>16.577583847002433</v>
      </c>
      <c r="Q13" s="16">
        <f>'[1]Dia 16 (b)'!$X19</f>
        <v>15.377479848081052</v>
      </c>
      <c r="R13" s="16">
        <f>'[1]Dia 17 (b)'!$X19</f>
        <v>16.14257995990344</v>
      </c>
      <c r="S13" s="16">
        <f>'[1]Dia 18 (b)'!$X19</f>
        <v>16.807754347639559</v>
      </c>
      <c r="T13" s="16">
        <f>'[1]Dia 19 (b)'!$X19</f>
        <v>15.088186878482363</v>
      </c>
      <c r="U13" s="16">
        <f>'[1]Dia 20 (b)'!$X19</f>
        <v>16.481394612291616</v>
      </c>
      <c r="V13" s="16">
        <f>'[1]Dia 21 (b)'!$X19</f>
        <v>15.207773028896467</v>
      </c>
      <c r="W13" s="16">
        <f>'[1]Dia 22 (b)'!$X19</f>
        <v>14.316621547147605</v>
      </c>
      <c r="X13" s="16">
        <f>'[1]Dia 23 (b)'!$X19</f>
        <v>14.117832982603741</v>
      </c>
      <c r="Y13" s="16">
        <f>'[1]Dia 24 (b)'!$X19</f>
        <v>12.704896426712992</v>
      </c>
      <c r="Z13" s="16">
        <f>'[1]Dia 25 (b)'!$X19</f>
        <v>14.976480974569165</v>
      </c>
      <c r="AA13" s="16">
        <f>'[1]Dia 26 (b)'!$X19</f>
        <v>12.95417180976891</v>
      </c>
      <c r="AB13" s="16">
        <f>'[1]Dia 27 (b)'!$X19</f>
        <v>13.866048696834877</v>
      </c>
      <c r="AC13" s="16">
        <f>'[1]Dia 28 (b)'!$X19</f>
        <v>14.023441414318169</v>
      </c>
      <c r="AD13" s="16">
        <f>'[1]Dia 29 (b)'!$X19</f>
        <v>12.92370386057488</v>
      </c>
      <c r="AE13" s="16">
        <f>'[1]Dia 30 (b)'!$X19</f>
        <v>11.974304893393365</v>
      </c>
      <c r="AF13" s="16">
        <f>'[1]Dia 31 (b)'!$X19</f>
        <v>14.428157419593942</v>
      </c>
    </row>
    <row r="14" spans="1:32" ht="20.100000000000001" customHeight="1">
      <c r="A14" s="15">
        <v>11</v>
      </c>
      <c r="B14" s="16">
        <f>'[1]Dia 1 (b)'!$X20</f>
        <v>13.079153228479596</v>
      </c>
      <c r="C14" s="16">
        <f>'[1]Dia 2 (b)'!$X20</f>
        <v>13.118900760940011</v>
      </c>
      <c r="D14" s="16">
        <f>'[1]Dia 3 (b)'!$X20</f>
        <v>15.221213152371623</v>
      </c>
      <c r="E14" s="16">
        <f>'[1]Dia 4 (b)'!$X20</f>
        <v>16.126696848038236</v>
      </c>
      <c r="F14" s="16">
        <f>'[1]Dia 5 (b)'!$X20</f>
        <v>15.050243968953305</v>
      </c>
      <c r="G14" s="16">
        <f>'[1]Dia 6 (b)'!$X20</f>
        <v>14.046319981746722</v>
      </c>
      <c r="H14" s="16">
        <f>'[1]Dia 7 (b)'!$X20</f>
        <v>14.813889006484994</v>
      </c>
      <c r="I14" s="16">
        <f>'[1]Dia 8 (b)'!$X20</f>
        <v>14.66951561841894</v>
      </c>
      <c r="J14" s="16">
        <f>'[1]Dia 9 (b)'!$X20</f>
        <v>16.498478097325183</v>
      </c>
      <c r="K14" s="16">
        <f>'[1]Dia 10 (b)'!$X20</f>
        <v>14.737000661755827</v>
      </c>
      <c r="L14" s="16">
        <f>'[1]Dia 11 (b)'!$X20</f>
        <v>16.179751739691056</v>
      </c>
      <c r="M14" s="16">
        <f>'[1]Dia 12 (b)'!$X20</f>
        <v>16.601834935754752</v>
      </c>
      <c r="N14" s="16">
        <f>'[1]Dia 13 (b)'!$X20</f>
        <v>14.620228476026297</v>
      </c>
      <c r="O14" s="16">
        <f>'[1]Dia 14 (b)'!$X20</f>
        <v>14.60287489774749</v>
      </c>
      <c r="P14" s="16">
        <f>'[1]Dia 15 (b)'!$X20</f>
        <v>15.579248111963771</v>
      </c>
      <c r="Q14" s="16">
        <f>'[1]Dia 16 (b)'!$X20</f>
        <v>14.983352182100083</v>
      </c>
      <c r="R14" s="16">
        <f>'[1]Dia 17 (b)'!$X20</f>
        <v>16.358822238791543</v>
      </c>
      <c r="S14" s="16">
        <f>'[1]Dia 18 (b)'!$X20</f>
        <v>16.721025754295145</v>
      </c>
      <c r="T14" s="16">
        <f>'[1]Dia 19 (b)'!$X20</f>
        <v>15.2035312296673</v>
      </c>
      <c r="U14" s="16">
        <f>'[1]Dia 20 (b)'!$X20</f>
        <v>17.04151137458814</v>
      </c>
      <c r="V14" s="16">
        <f>'[1]Dia 21 (b)'!$X20</f>
        <v>16.25830026189594</v>
      </c>
      <c r="W14" s="16">
        <f>'[1]Dia 22 (b)'!$X20</f>
        <v>14.181303945905633</v>
      </c>
      <c r="X14" s="16">
        <f>'[1]Dia 23 (b)'!$X20</f>
        <v>13.757120488454339</v>
      </c>
      <c r="Y14" s="16">
        <f>'[1]Dia 24 (b)'!$X20</f>
        <v>13.024902603928345</v>
      </c>
      <c r="Z14" s="16">
        <f>'[1]Dia 25 (b)'!$X20</f>
        <v>13.240098358445369</v>
      </c>
      <c r="AA14" s="16">
        <f>'[1]Dia 26 (b)'!$X20</f>
        <v>12.613594802497808</v>
      </c>
      <c r="AB14" s="16">
        <f>'[1]Dia 27 (b)'!$X20</f>
        <v>14.170995783153321</v>
      </c>
      <c r="AC14" s="16">
        <f>'[1]Dia 28 (b)'!$X20</f>
        <v>12.830185040826706</v>
      </c>
      <c r="AD14" s="16">
        <f>'[1]Dia 29 (b)'!$X20</f>
        <v>12.563802060876748</v>
      </c>
      <c r="AE14" s="16">
        <f>'[1]Dia 30 (b)'!$X20</f>
        <v>10.482732632803845</v>
      </c>
      <c r="AF14" s="16">
        <f>'[1]Dia 31 (b)'!$X20</f>
        <v>13.53552615751639</v>
      </c>
    </row>
    <row r="15" spans="1:32" ht="20.100000000000001" customHeight="1">
      <c r="A15" s="15">
        <v>12</v>
      </c>
      <c r="B15" s="16">
        <f>'[1]Dia 1 (b)'!$X21</f>
        <v>13.793107955917899</v>
      </c>
      <c r="C15" s="16">
        <f>'[1]Dia 2 (b)'!$X21</f>
        <v>14.48038494115743</v>
      </c>
      <c r="D15" s="16">
        <f>'[1]Dia 3 (b)'!$X21</f>
        <v>14.261880324987816</v>
      </c>
      <c r="E15" s="16">
        <f>'[1]Dia 4 (b)'!$X21</f>
        <v>17.188686247475864</v>
      </c>
      <c r="F15" s="16">
        <f>'[1]Dia 5 (b)'!$X21</f>
        <v>15.27011797937935</v>
      </c>
      <c r="G15" s="16">
        <f>'[1]Dia 6 (b)'!$X21</f>
        <v>15.556384484105902</v>
      </c>
      <c r="H15" s="16">
        <f>'[1]Dia 7 (b)'!$X21</f>
        <v>13.164593811001696</v>
      </c>
      <c r="I15" s="16">
        <f>'[1]Dia 8 (b)'!$X21</f>
        <v>14.143791523538216</v>
      </c>
      <c r="J15" s="16">
        <f>'[1]Dia 9 (b)'!$X21</f>
        <v>15.373883879933979</v>
      </c>
      <c r="K15" s="16">
        <f>'[1]Dia 10 (b)'!$X21</f>
        <v>13.866719606682821</v>
      </c>
      <c r="L15" s="16">
        <f>'[1]Dia 11 (b)'!$X21</f>
        <v>15.914957340950467</v>
      </c>
      <c r="M15" s="16">
        <f>'[1]Dia 12 (b)'!$X21</f>
        <v>16.276564109239573</v>
      </c>
      <c r="N15" s="16">
        <f>'[1]Dia 13 (b)'!$X21</f>
        <v>14.430109461138061</v>
      </c>
      <c r="O15" s="16">
        <f>'[1]Dia 14 (b)'!$X21</f>
        <v>14.897404694702098</v>
      </c>
      <c r="P15" s="16">
        <f>'[1]Dia 15 (b)'!$X21</f>
        <v>15.476272032886586</v>
      </c>
      <c r="Q15" s="16">
        <f>'[1]Dia 16 (b)'!$X21</f>
        <v>14.841312488285389</v>
      </c>
      <c r="R15" s="16">
        <f>'[1]Dia 17 (b)'!$X21</f>
        <v>16.287209323832986</v>
      </c>
      <c r="S15" s="16">
        <f>'[1]Dia 18 (b)'!$X21</f>
        <v>15.476272397439315</v>
      </c>
      <c r="T15" s="16">
        <f>'[1]Dia 19 (b)'!$X21</f>
        <v>14.723845935394051</v>
      </c>
      <c r="U15" s="16">
        <f>'[1]Dia 20 (b)'!$X21</f>
        <v>17.027962983355426</v>
      </c>
      <c r="V15" s="16">
        <f>'[1]Dia 21 (b)'!$X21</f>
        <v>15.69595267774727</v>
      </c>
      <c r="W15" s="16">
        <f>'[1]Dia 22 (b)'!$X21</f>
        <v>14.545259419609938</v>
      </c>
      <c r="X15" s="16">
        <f>'[1]Dia 23 (b)'!$X21</f>
        <v>14.138594921982405</v>
      </c>
      <c r="Y15" s="16">
        <f>'[1]Dia 24 (b)'!$X21</f>
        <v>13.545851770699437</v>
      </c>
      <c r="Z15" s="16">
        <f>'[1]Dia 25 (b)'!$X21</f>
        <v>13.04659526593221</v>
      </c>
      <c r="AA15" s="16">
        <f>'[1]Dia 26 (b)'!$X21</f>
        <v>12.813912056509208</v>
      </c>
      <c r="AB15" s="16">
        <f>'[1]Dia 27 (b)'!$X21</f>
        <v>13.848883386668714</v>
      </c>
      <c r="AC15" s="16">
        <f>'[1]Dia 28 (b)'!$X21</f>
        <v>13.444193976140291</v>
      </c>
      <c r="AD15" s="16">
        <f>'[1]Dia 29 (b)'!$X21</f>
        <v>12.512928227848397</v>
      </c>
      <c r="AE15" s="16">
        <f>'[1]Dia 30 (b)'!$X21</f>
        <v>10.801435682716242</v>
      </c>
      <c r="AF15" s="16">
        <f>'[1]Dia 31 (b)'!$X21</f>
        <v>14.43371496288048</v>
      </c>
    </row>
    <row r="16" spans="1:32" ht="20.100000000000001" customHeight="1">
      <c r="A16" s="15">
        <v>13</v>
      </c>
      <c r="B16" s="16">
        <f>'[1]Dia 1 (b)'!$X22</f>
        <v>13.667083084772582</v>
      </c>
      <c r="C16" s="16">
        <f>'[1]Dia 2 (b)'!$X22</f>
        <v>14.846194009607402</v>
      </c>
      <c r="D16" s="16">
        <f>'[1]Dia 3 (b)'!$X22</f>
        <v>14.069719580056772</v>
      </c>
      <c r="E16" s="16">
        <f>'[1]Dia 4 (b)'!$X22</f>
        <v>16.46824644857962</v>
      </c>
      <c r="F16" s="16">
        <f>'[1]Dia 5 (b)'!$X22</f>
        <v>15.147318048662918</v>
      </c>
      <c r="G16" s="16">
        <f>'[1]Dia 6 (b)'!$X22</f>
        <v>15.51000808679464</v>
      </c>
      <c r="H16" s="16">
        <f>'[1]Dia 7 (b)'!$X22</f>
        <v>12.319265756477709</v>
      </c>
      <c r="I16" s="16">
        <f>'[1]Dia 8 (b)'!$X22</f>
        <v>13.983061014149285</v>
      </c>
      <c r="J16" s="16">
        <f>'[1]Dia 9 (b)'!$X22</f>
        <v>14.295586726306892</v>
      </c>
      <c r="K16" s="16">
        <f>'[1]Dia 10 (b)'!$X22</f>
        <v>13.293316330234004</v>
      </c>
      <c r="L16" s="16">
        <f>'[1]Dia 11 (b)'!$X22</f>
        <v>15.371552155089462</v>
      </c>
      <c r="M16" s="16">
        <f>'[1]Dia 12 (b)'!$X22</f>
        <v>16.3410205232735</v>
      </c>
      <c r="N16" s="16">
        <f>'[1]Dia 13 (b)'!$X22</f>
        <v>14.307761073929049</v>
      </c>
      <c r="O16" s="16">
        <f>'[1]Dia 14 (b)'!$X22</f>
        <v>14.249227973841565</v>
      </c>
      <c r="P16" s="16">
        <f>'[1]Dia 15 (b)'!$X22</f>
        <v>14.767187019443593</v>
      </c>
      <c r="Q16" s="16">
        <f>'[1]Dia 16 (b)'!$X22</f>
        <v>14.403341977386237</v>
      </c>
      <c r="R16" s="16">
        <f>'[1]Dia 17 (b)'!$X22</f>
        <v>15.107161087135941</v>
      </c>
      <c r="S16" s="16">
        <f>'[1]Dia 18 (b)'!$X22</f>
        <v>15.320462512876995</v>
      </c>
      <c r="T16" s="16">
        <f>'[1]Dia 19 (b)'!$X22</f>
        <v>16.185670288470547</v>
      </c>
      <c r="U16" s="16">
        <f>'[1]Dia 20 (b)'!$X22</f>
        <v>17.288330964033037</v>
      </c>
      <c r="V16" s="16">
        <f>'[1]Dia 21 (b)'!$X22</f>
        <v>16.329980362515986</v>
      </c>
      <c r="W16" s="16">
        <f>'[1]Dia 22 (b)'!$X22</f>
        <v>14.525508789668619</v>
      </c>
      <c r="X16" s="16">
        <f>'[1]Dia 23 (b)'!$X22</f>
        <v>14.152548666207696</v>
      </c>
      <c r="Y16" s="16">
        <f>'[1]Dia 24 (b)'!$X22</f>
        <v>13.547770970367077</v>
      </c>
      <c r="Z16" s="16">
        <f>'[1]Dia 25 (b)'!$X22</f>
        <v>12.486608342325715</v>
      </c>
      <c r="AA16" s="16">
        <f>'[1]Dia 26 (b)'!$X22</f>
        <v>13.834794466918993</v>
      </c>
      <c r="AB16" s="16">
        <f>'[1]Dia 27 (b)'!$X22</f>
        <v>14.392877261291119</v>
      </c>
      <c r="AC16" s="16">
        <f>'[1]Dia 28 (b)'!$X22</f>
        <v>13.909528174733431</v>
      </c>
      <c r="AD16" s="16">
        <f>'[1]Dia 29 (b)'!$X22</f>
        <v>12.835171851466074</v>
      </c>
      <c r="AE16" s="16">
        <f>'[1]Dia 30 (b)'!$X22</f>
        <v>9.3093026688913358</v>
      </c>
      <c r="AF16" s="16">
        <f>'[1]Dia 31 (b)'!$X22</f>
        <v>16.459702801280987</v>
      </c>
    </row>
    <row r="17" spans="1:32" ht="20.100000000000001" customHeight="1">
      <c r="A17" s="15">
        <v>14</v>
      </c>
      <c r="B17" s="16">
        <f>'[1]Dia 1 (b)'!$X23</f>
        <v>13.625038138184458</v>
      </c>
      <c r="C17" s="16">
        <f>'[1]Dia 2 (b)'!$X23</f>
        <v>15.169757062031497</v>
      </c>
      <c r="D17" s="16">
        <f>'[1]Dia 3 (b)'!$X23</f>
        <v>17.393879022549996</v>
      </c>
      <c r="E17" s="16">
        <f>'[1]Dia 4 (b)'!$X23</f>
        <v>16.893199291140355</v>
      </c>
      <c r="F17" s="16">
        <f>'[1]Dia 5 (b)'!$X23</f>
        <v>15.849295550476951</v>
      </c>
      <c r="G17" s="16">
        <f>'[1]Dia 6 (b)'!$X23</f>
        <v>14.822099563543304</v>
      </c>
      <c r="H17" s="16">
        <f>'[1]Dia 7 (b)'!$X23</f>
        <v>17.316063214711686</v>
      </c>
      <c r="I17" s="16">
        <f>'[1]Dia 8 (b)'!$X23</f>
        <v>14.465038942776692</v>
      </c>
      <c r="J17" s="16">
        <f>'[1]Dia 9 (b)'!$X23</f>
        <v>14.2237335327147</v>
      </c>
      <c r="K17" s="16">
        <f>'[1]Dia 10 (b)'!$X23</f>
        <v>12.968697112275606</v>
      </c>
      <c r="L17" s="16">
        <f>'[1]Dia 11 (b)'!$X23</f>
        <v>15.111625012849652</v>
      </c>
      <c r="M17" s="16">
        <f>'[1]Dia 12 (b)'!$X23</f>
        <v>18.8529515918401</v>
      </c>
      <c r="N17" s="16">
        <f>'[1]Dia 13 (b)'!$X23</f>
        <v>13.781999866498033</v>
      </c>
      <c r="O17" s="16">
        <f>'[1]Dia 14 (b)'!$X23</f>
        <v>14.503661451226398</v>
      </c>
      <c r="P17" s="16">
        <f>'[1]Dia 15 (b)'!$X23</f>
        <v>14.356649068957706</v>
      </c>
      <c r="Q17" s="16">
        <f>'[1]Dia 16 (b)'!$X23</f>
        <v>13.638500742494385</v>
      </c>
      <c r="R17" s="16">
        <f>'[1]Dia 17 (b)'!$X23</f>
        <v>14.815340101115018</v>
      </c>
      <c r="S17" s="16">
        <f>'[1]Dia 18 (b)'!$X23</f>
        <v>16.243398920490151</v>
      </c>
      <c r="T17" s="16">
        <f>'[1]Dia 19 (b)'!$X23</f>
        <v>16.15012965735086</v>
      </c>
      <c r="U17" s="16">
        <f>'[1]Dia 20 (b)'!$X23</f>
        <v>17.015210106204997</v>
      </c>
      <c r="V17" s="16">
        <f>'[1]Dia 21 (b)'!$X23</f>
        <v>17.300767573206254</v>
      </c>
      <c r="W17" s="16">
        <f>'[1]Dia 22 (b)'!$X23</f>
        <v>14.18308272893433</v>
      </c>
      <c r="X17" s="16">
        <f>'[1]Dia 23 (b)'!$X23</f>
        <v>13.339331294326223</v>
      </c>
      <c r="Y17" s="16">
        <f>'[1]Dia 24 (b)'!$X23</f>
        <v>13.786074938448381</v>
      </c>
      <c r="Z17" s="16">
        <f>'[1]Dia 25 (b)'!$X23</f>
        <v>13.286277300139695</v>
      </c>
      <c r="AA17" s="16">
        <f>'[1]Dia 26 (b)'!$X23</f>
        <v>12.616366619583511</v>
      </c>
      <c r="AB17" s="16">
        <f>'[1]Dia 27 (b)'!$X23</f>
        <v>14.163775135689775</v>
      </c>
      <c r="AC17" s="16">
        <f>'[1]Dia 28 (b)'!$X23</f>
        <v>13.390636167285166</v>
      </c>
      <c r="AD17" s="16">
        <f>'[1]Dia 29 (b)'!$X23</f>
        <v>11.417736264966763</v>
      </c>
      <c r="AE17" s="16">
        <f>'[1]Dia 30 (b)'!$X23</f>
        <v>9.4242488776230893</v>
      </c>
      <c r="AF17" s="16">
        <f>'[1]Dia 31 (b)'!$X23</f>
        <v>17.06965860616819</v>
      </c>
    </row>
    <row r="18" spans="1:32" ht="20.100000000000001" customHeight="1">
      <c r="A18" s="15">
        <v>15</v>
      </c>
      <c r="B18" s="16">
        <f>'[1]Dia 1 (b)'!$X24</f>
        <v>13.658851729389031</v>
      </c>
      <c r="C18" s="16">
        <f>'[1]Dia 2 (b)'!$X24</f>
        <v>14.612373015800072</v>
      </c>
      <c r="D18" s="16">
        <f>'[1]Dia 3 (b)'!$X24</f>
        <v>16.70514685489464</v>
      </c>
      <c r="E18" s="16">
        <f>'[1]Dia 4 (b)'!$X24</f>
        <v>15.88364452923998</v>
      </c>
      <c r="F18" s="16">
        <f>'[1]Dia 5 (b)'!$X24</f>
        <v>15.203247556980626</v>
      </c>
      <c r="G18" s="16">
        <f>'[1]Dia 6 (b)'!$X24</f>
        <v>14.854747978398741</v>
      </c>
      <c r="H18" s="16">
        <f>'[1]Dia 7 (b)'!$X24</f>
        <v>17.080649484723178</v>
      </c>
      <c r="I18" s="16">
        <f>'[1]Dia 8 (b)'!$X24</f>
        <v>13.815392709241154</v>
      </c>
      <c r="J18" s="16">
        <f>'[1]Dia 9 (b)'!$X24</f>
        <v>13.784453226148612</v>
      </c>
      <c r="K18" s="16">
        <f>'[1]Dia 10 (b)'!$X24</f>
        <v>12.298297382257608</v>
      </c>
      <c r="L18" s="16">
        <f>'[1]Dia 11 (b)'!$X24</f>
        <v>14.507370840273392</v>
      </c>
      <c r="M18" s="16">
        <f>'[1]Dia 12 (b)'!$X24</f>
        <v>18.13769854479543</v>
      </c>
      <c r="N18" s="16">
        <f>'[1]Dia 13 (b)'!$X24</f>
        <v>13.567626493901367</v>
      </c>
      <c r="O18" s="16">
        <f>'[1]Dia 14 (b)'!$X24</f>
        <v>16.48793407596575</v>
      </c>
      <c r="P18" s="16">
        <f>'[1]Dia 15 (b)'!$X24</f>
        <v>14.45538350855986</v>
      </c>
      <c r="Q18" s="16">
        <f>'[1]Dia 16 (b)'!$X24</f>
        <v>14.240404127273925</v>
      </c>
      <c r="R18" s="16">
        <f>'[1]Dia 17 (b)'!$X24</f>
        <v>19.00654294073059</v>
      </c>
      <c r="S18" s="16">
        <f>'[1]Dia 18 (b)'!$X24</f>
        <v>19.076713554134813</v>
      </c>
      <c r="T18" s="16">
        <f>'[1]Dia 19 (b)'!$X24</f>
        <v>16.658077752257078</v>
      </c>
      <c r="U18" s="16">
        <f>'[1]Dia 20 (b)'!$X24</f>
        <v>17.082821488712145</v>
      </c>
      <c r="V18" s="16">
        <f>'[1]Dia 21 (b)'!$X24</f>
        <v>16.946934787612516</v>
      </c>
      <c r="W18" s="16">
        <f>'[1]Dia 22 (b)'!$X24</f>
        <v>14.223578151187056</v>
      </c>
      <c r="X18" s="16">
        <f>'[1]Dia 23 (b)'!$X24</f>
        <v>12.705534016960666</v>
      </c>
      <c r="Y18" s="16">
        <f>'[1]Dia 24 (b)'!$X24</f>
        <v>13.7775367625249</v>
      </c>
      <c r="Z18" s="16">
        <f>'[1]Dia 25 (b)'!$X24</f>
        <v>12.93997890181342</v>
      </c>
      <c r="AA18" s="16">
        <f>'[1]Dia 26 (b)'!$X24</f>
        <v>12.487891708254846</v>
      </c>
      <c r="AB18" s="16">
        <f>'[1]Dia 27 (b)'!$X24</f>
        <v>15.007342285898677</v>
      </c>
      <c r="AC18" s="16">
        <f>'[1]Dia 28 (b)'!$X24</f>
        <v>12.652359524534342</v>
      </c>
      <c r="AD18" s="16">
        <f>'[1]Dia 29 (b)'!$X24</f>
        <v>10.257794359073788</v>
      </c>
      <c r="AE18" s="16">
        <f>'[1]Dia 30 (b)'!$X24</f>
        <v>9.5058199100235576</v>
      </c>
      <c r="AF18" s="16">
        <f>'[1]Dia 31 (b)'!$X24</f>
        <v>12.040672926291338</v>
      </c>
    </row>
    <row r="19" spans="1:32" ht="20.100000000000001" customHeight="1">
      <c r="A19" s="15">
        <v>16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</row>
    <row r="20" spans="1:32" ht="20.100000000000001" customHeight="1">
      <c r="A20" s="15">
        <v>17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</row>
    <row r="21" spans="1:32" ht="20.100000000000001" customHeight="1">
      <c r="A21" s="15">
        <v>18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</row>
    <row r="22" spans="1:32" ht="20.100000000000001" customHeight="1">
      <c r="A22" s="15">
        <v>19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</row>
    <row r="23" spans="1:32" ht="20.100000000000001" customHeight="1">
      <c r="A23" s="15">
        <v>20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</row>
    <row r="24" spans="1:32" ht="20.100000000000001" customHeight="1">
      <c r="A24" s="15">
        <v>21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</row>
    <row r="25" spans="1:32" ht="20.100000000000001" customHeight="1">
      <c r="A25" s="15">
        <v>22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</row>
    <row r="26" spans="1:32" ht="20.100000000000001" customHeight="1">
      <c r="A26" s="15">
        <v>23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</row>
    <row r="27" spans="1:32" ht="20.100000000000001" customHeight="1" thickBot="1">
      <c r="A27" s="15">
        <v>24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</row>
    <row r="28" spans="1:32" ht="16.5" thickTop="1">
      <c r="A28" s="17"/>
      <c r="B28" s="84" t="s">
        <v>62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1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2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3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5"/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4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2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5"/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5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2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5"/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1</v>
      </c>
      <c r="I46" s="30"/>
      <c r="J46" s="33"/>
      <c r="K46" s="34" t="s">
        <v>3</v>
      </c>
      <c r="L46" s="33"/>
      <c r="M46" s="33"/>
      <c r="N46" s="34" t="s">
        <v>4</v>
      </c>
      <c r="O46" s="33"/>
      <c r="P46" s="33"/>
      <c r="Q46" s="34" t="s">
        <v>5</v>
      </c>
      <c r="R46" s="30"/>
      <c r="S46" s="30"/>
      <c r="T46" s="33" t="s">
        <v>1</v>
      </c>
      <c r="U46" s="33"/>
      <c r="V46" s="33" t="s">
        <v>1</v>
      </c>
      <c r="W46" s="33"/>
      <c r="X46" s="33" t="s">
        <v>6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7</v>
      </c>
      <c r="I47" s="30"/>
      <c r="J47" s="33"/>
      <c r="K47" s="33" t="s">
        <v>7</v>
      </c>
      <c r="L47" s="33"/>
      <c r="M47" s="33"/>
      <c r="N47" s="33" t="s">
        <v>7</v>
      </c>
      <c r="O47" s="33"/>
      <c r="P47" s="33"/>
      <c r="Q47" s="33" t="s">
        <v>7</v>
      </c>
      <c r="R47" s="30"/>
      <c r="S47" s="30"/>
      <c r="T47" s="33" t="s">
        <v>8</v>
      </c>
      <c r="U47" s="33"/>
      <c r="V47" s="33" t="s">
        <v>9</v>
      </c>
      <c r="W47" s="33"/>
      <c r="X47" s="33" t="s">
        <v>10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/>
      <c r="I49" s="39"/>
      <c r="J49" s="41"/>
      <c r="K49" s="40"/>
      <c r="L49" s="41"/>
      <c r="M49" s="41"/>
      <c r="N49" s="40"/>
      <c r="O49" s="41"/>
      <c r="P49" s="41"/>
      <c r="Q49" s="40"/>
      <c r="R49" s="39"/>
      <c r="S49" s="40"/>
      <c r="T49" s="40"/>
      <c r="U49" s="40"/>
      <c r="V49" s="40"/>
      <c r="W49" s="40"/>
      <c r="X49" s="40"/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AB24" sqref="AB24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56"/>
      <c r="B1" s="57" t="str">
        <f>'[2]Dia 1 (b)'!C1</f>
        <v>FEVEREIRO DE 2024</v>
      </c>
      <c r="C1" s="58"/>
      <c r="D1" s="59"/>
      <c r="E1" s="60"/>
      <c r="F1" s="57"/>
      <c r="G1" s="58"/>
      <c r="H1" s="58"/>
      <c r="I1" s="58"/>
      <c r="J1" s="58"/>
      <c r="K1" s="3" t="s">
        <v>11</v>
      </c>
      <c r="L1" s="3"/>
      <c r="M1" s="3"/>
      <c r="N1" s="60"/>
      <c r="O1" s="61"/>
      <c r="P1" s="62"/>
      <c r="Q1" s="61"/>
      <c r="R1" s="61"/>
      <c r="S1" s="61"/>
      <c r="T1" s="61"/>
      <c r="U1" s="61"/>
      <c r="V1" s="63"/>
      <c r="W1" s="58"/>
      <c r="X1" s="58"/>
      <c r="Y1" s="58"/>
      <c r="Z1" s="58"/>
      <c r="AA1" s="58"/>
      <c r="AB1" s="58"/>
      <c r="AC1" s="58"/>
      <c r="AD1" s="58"/>
      <c r="AE1" s="58"/>
      <c r="AF1" s="58"/>
    </row>
    <row r="2" spans="1:32" ht="15.75" thickBot="1">
      <c r="A2" s="56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</row>
    <row r="3" spans="1:32" ht="20.100000000000001" customHeight="1" thickBot="1">
      <c r="A3" s="64" t="s">
        <v>0</v>
      </c>
      <c r="B3" s="65">
        <v>1</v>
      </c>
      <c r="C3" s="65">
        <v>2</v>
      </c>
      <c r="D3" s="65">
        <v>3</v>
      </c>
      <c r="E3" s="65">
        <v>4</v>
      </c>
      <c r="F3" s="65">
        <v>5</v>
      </c>
      <c r="G3" s="65">
        <v>6</v>
      </c>
      <c r="H3" s="65">
        <v>7</v>
      </c>
      <c r="I3" s="65">
        <v>8</v>
      </c>
      <c r="J3" s="65">
        <v>9</v>
      </c>
      <c r="K3" s="65">
        <v>10</v>
      </c>
      <c r="L3" s="65">
        <v>11</v>
      </c>
      <c r="M3" s="65">
        <v>12</v>
      </c>
      <c r="N3" s="65">
        <v>13</v>
      </c>
      <c r="O3" s="65">
        <v>14</v>
      </c>
      <c r="P3" s="65">
        <v>15</v>
      </c>
      <c r="Q3" s="65">
        <v>16</v>
      </c>
      <c r="R3" s="65">
        <v>17</v>
      </c>
      <c r="S3" s="65">
        <v>18</v>
      </c>
      <c r="T3" s="65">
        <v>19</v>
      </c>
      <c r="U3" s="65">
        <v>20</v>
      </c>
      <c r="V3" s="65">
        <v>21</v>
      </c>
      <c r="W3" s="65">
        <v>22</v>
      </c>
      <c r="X3" s="65">
        <v>23</v>
      </c>
      <c r="Y3" s="65">
        <v>24</v>
      </c>
      <c r="Z3" s="66">
        <v>25</v>
      </c>
      <c r="AA3" s="66">
        <v>26</v>
      </c>
      <c r="AB3" s="66">
        <v>27</v>
      </c>
      <c r="AC3" s="66">
        <v>28</v>
      </c>
      <c r="AD3" s="66">
        <v>29</v>
      </c>
      <c r="AE3" s="66"/>
      <c r="AF3" s="67"/>
    </row>
    <row r="4" spans="1:32" ht="20.100000000000001" customHeight="1">
      <c r="A4" s="68">
        <v>1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</row>
    <row r="5" spans="1:32" ht="20.100000000000001" customHeight="1">
      <c r="A5" s="68">
        <v>2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</row>
    <row r="6" spans="1:32" ht="20.100000000000001" customHeight="1">
      <c r="A6" s="68">
        <v>3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</row>
    <row r="7" spans="1:32" ht="20.100000000000001" customHeight="1">
      <c r="A7" s="68">
        <v>4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</row>
    <row r="8" spans="1:32" ht="20.100000000000001" customHeight="1">
      <c r="A8" s="68">
        <v>5</v>
      </c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</row>
    <row r="9" spans="1:32" ht="20.100000000000001" customHeight="1">
      <c r="A9" s="68">
        <v>6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</row>
    <row r="10" spans="1:32" ht="20.100000000000001" customHeight="1">
      <c r="A10" s="68">
        <v>7</v>
      </c>
      <c r="B10" s="69">
        <f>'[2]Dia 1 (b)'!$X16</f>
        <v>13.838866130912447</v>
      </c>
      <c r="C10" s="69">
        <f>'[2]Dia 2 (b)'!$X16</f>
        <v>14.708345447907215</v>
      </c>
      <c r="D10" s="69">
        <f>'[2]Dia 3 (b)'!$X16</f>
        <v>14.464591097975545</v>
      </c>
      <c r="E10" s="69">
        <f>'[2]Dia 4 (b)'!$X16</f>
        <v>15.501971410512851</v>
      </c>
      <c r="F10" s="69">
        <f>'[2]Dia 5 (b)'!$X16</f>
        <v>14.312972741777518</v>
      </c>
      <c r="G10" s="69">
        <f>'[2]Dia 6 (b)'!$X16</f>
        <v>14.667100316658642</v>
      </c>
      <c r="H10" s="69">
        <f>'[2]Dia 7 (b)'!$X16</f>
        <v>15.153795686646744</v>
      </c>
      <c r="I10" s="69">
        <f>'[2]Dia 8 (b)'!$X16</f>
        <v>15.264911983792485</v>
      </c>
      <c r="J10" s="69">
        <f>'[2]Dia 9 (b)'!$X16</f>
        <v>15.144748666690734</v>
      </c>
      <c r="K10" s="69">
        <f>'[2]Dia 10 (b)'!$X16</f>
        <v>15.760466720242068</v>
      </c>
      <c r="L10" s="69">
        <f>'[2]Dia 11 (b)'!$X16</f>
        <v>15.631344216587198</v>
      </c>
      <c r="M10" s="69">
        <f>'[2]Dia 12 (b)'!$X16</f>
        <v>15.409135524101382</v>
      </c>
      <c r="N10" s="69">
        <f>'[2]Dia 13 (b)'!$X16</f>
        <v>14.716899240165075</v>
      </c>
      <c r="O10" s="69">
        <f>'[2]Dia 14 (b)'!$X16</f>
        <v>15.717599873333372</v>
      </c>
      <c r="P10" s="69">
        <f>'[2]Dia 15 (b)'!$X16</f>
        <v>15.131060911000457</v>
      </c>
      <c r="Q10" s="69">
        <f>'[2]Dia 16 (b)'!$X16</f>
        <v>14.193834176224334</v>
      </c>
      <c r="R10" s="69">
        <f>'[2]Dia 17 (b)'!$X16</f>
        <v>13.66422141330111</v>
      </c>
      <c r="S10" s="69">
        <f>'[2]Dia 18 (b)'!$X16</f>
        <v>14.792690320294412</v>
      </c>
      <c r="T10" s="69">
        <f>'[2]Dia 19 (b)'!$X16</f>
        <v>14.779765607425636</v>
      </c>
      <c r="U10" s="69">
        <f>'[2]Dia 20 (b)'!$X16</f>
        <v>15.864175796133798</v>
      </c>
      <c r="V10" s="69">
        <f>'[2]Dia 21 (b)'!$X16</f>
        <v>15.03690147705035</v>
      </c>
      <c r="W10" s="69">
        <f>'[2]Dia 22 (b)'!$X16</f>
        <v>15.463283991339889</v>
      </c>
      <c r="X10" s="69">
        <f>'[2]Dia 23 (b)'!$X16</f>
        <v>16.649377208538883</v>
      </c>
      <c r="Y10" s="69">
        <f>'[2]Dia 24 (b)'!$X16</f>
        <v>17.277676488077585</v>
      </c>
      <c r="Z10" s="69">
        <f>'[2]Dia 25 (b)'!$X16</f>
        <v>17.515622606902081</v>
      </c>
      <c r="AA10" s="69">
        <f>'[2]Dia 26 (b)'!$X16</f>
        <v>16.29090489889132</v>
      </c>
      <c r="AB10" s="69">
        <f>'[2]Dia 27 (b)'!$X16</f>
        <v>16.660607580831631</v>
      </c>
      <c r="AC10" s="69">
        <f>'[2]Dia 28 (b)'!$X16</f>
        <v>17.196573353841433</v>
      </c>
      <c r="AD10" s="69">
        <f>'[2]Dia 29 (b)'!$X16</f>
        <v>17.763297348885246</v>
      </c>
      <c r="AE10" s="69"/>
      <c r="AF10" s="69"/>
    </row>
    <row r="11" spans="1:32" ht="20.100000000000001" customHeight="1">
      <c r="A11" s="68">
        <v>8</v>
      </c>
      <c r="B11" s="69">
        <f>'[2]Dia 1 (b)'!$X17</f>
        <v>13.201324018392766</v>
      </c>
      <c r="C11" s="69">
        <f>'[2]Dia 2 (b)'!$X17</f>
        <v>14.439855471564638</v>
      </c>
      <c r="D11" s="69">
        <f>'[2]Dia 3 (b)'!$X17</f>
        <v>14.58145063437461</v>
      </c>
      <c r="E11" s="69">
        <f>'[2]Dia 4 (b)'!$X17</f>
        <v>14.152757049528352</v>
      </c>
      <c r="F11" s="69">
        <f>'[2]Dia 5 (b)'!$X17</f>
        <v>14.053838894862869</v>
      </c>
      <c r="G11" s="69">
        <f>'[2]Dia 6 (b)'!$X17</f>
        <v>14.991205951453802</v>
      </c>
      <c r="H11" s="69">
        <f>'[2]Dia 7 (b)'!$X17</f>
        <v>15.515924459106442</v>
      </c>
      <c r="I11" s="69">
        <f>'[2]Dia 8 (b)'!$X17</f>
        <v>15.552889375031311</v>
      </c>
      <c r="J11" s="69">
        <f>'[2]Dia 9 (b)'!$X17</f>
        <v>14.895577043438553</v>
      </c>
      <c r="K11" s="69">
        <f>'[2]Dia 10 (b)'!$X17</f>
        <v>15.60192980949979</v>
      </c>
      <c r="L11" s="69">
        <f>'[2]Dia 11 (b)'!$X17</f>
        <v>15.32642698662594</v>
      </c>
      <c r="M11" s="69">
        <f>'[2]Dia 12 (b)'!$X17</f>
        <v>15.249762436341305</v>
      </c>
      <c r="N11" s="69">
        <f>'[2]Dia 13 (b)'!$X17</f>
        <v>14.521351280730757</v>
      </c>
      <c r="O11" s="69">
        <f>'[2]Dia 14 (b)'!$X17</f>
        <v>15.462690502886446</v>
      </c>
      <c r="P11" s="69">
        <f>'[2]Dia 15 (b)'!$X17</f>
        <v>15.308588178206048</v>
      </c>
      <c r="Q11" s="69">
        <f>'[2]Dia 16 (b)'!$X17</f>
        <v>14.658135110086587</v>
      </c>
      <c r="R11" s="69">
        <f>'[2]Dia 17 (b)'!$X17</f>
        <v>12.334497392858044</v>
      </c>
      <c r="S11" s="69">
        <f>'[2]Dia 18 (b)'!$X17</f>
        <v>14.709313650202871</v>
      </c>
      <c r="T11" s="69">
        <f>'[2]Dia 19 (b)'!$X17</f>
        <v>16.01721813580496</v>
      </c>
      <c r="U11" s="69">
        <f>'[2]Dia 20 (b)'!$X17</f>
        <v>17.409616113553838</v>
      </c>
      <c r="V11" s="69">
        <f>'[2]Dia 21 (b)'!$X17</f>
        <v>14.801933668851863</v>
      </c>
      <c r="W11" s="69">
        <f>'[2]Dia 22 (b)'!$X17</f>
        <v>15.618464381500948</v>
      </c>
      <c r="X11" s="69">
        <f>'[2]Dia 23 (b)'!$X17</f>
        <v>16.176648520149072</v>
      </c>
      <c r="Y11" s="69">
        <f>'[2]Dia 24 (b)'!$X17</f>
        <v>18.187729993681071</v>
      </c>
      <c r="Z11" s="69">
        <f>'[2]Dia 25 (b)'!$X17</f>
        <v>17.417965551074335</v>
      </c>
      <c r="AA11" s="69">
        <f>'[2]Dia 26 (b)'!$X17</f>
        <v>15.812303174729163</v>
      </c>
      <c r="AB11" s="69">
        <f>'[2]Dia 27 (b)'!$X17</f>
        <v>16.320065347763517</v>
      </c>
      <c r="AC11" s="69">
        <f>'[2]Dia 28 (b)'!$X17</f>
        <v>17.180778382915765</v>
      </c>
      <c r="AD11" s="69">
        <f>'[2]Dia 29 (b)'!$X17</f>
        <v>16.687860744703816</v>
      </c>
      <c r="AE11" s="69"/>
      <c r="AF11" s="69"/>
    </row>
    <row r="12" spans="1:32" ht="20.100000000000001" customHeight="1">
      <c r="A12" s="68">
        <v>9</v>
      </c>
      <c r="B12" s="69">
        <f>'[2]Dia 1 (b)'!$X18</f>
        <v>13.012365824483178</v>
      </c>
      <c r="C12" s="69">
        <f>'[2]Dia 2 (b)'!$X18</f>
        <v>14.117888858914037</v>
      </c>
      <c r="D12" s="69">
        <f>'[2]Dia 3 (b)'!$X18</f>
        <v>14.629606714718431</v>
      </c>
      <c r="E12" s="69">
        <f>'[2]Dia 4 (b)'!$X18</f>
        <v>14.804225787732376</v>
      </c>
      <c r="F12" s="69">
        <f>'[2]Dia 5 (b)'!$X18</f>
        <v>14.812767233495199</v>
      </c>
      <c r="G12" s="69">
        <f>'[2]Dia 6 (b)'!$X18</f>
        <v>14.052355907653027</v>
      </c>
      <c r="H12" s="69">
        <f>'[2]Dia 7 (b)'!$X18</f>
        <v>15.207157564032434</v>
      </c>
      <c r="I12" s="69">
        <f>'[2]Dia 8 (b)'!$X18</f>
        <v>15.663299352380783</v>
      </c>
      <c r="J12" s="69">
        <f>'[2]Dia 9 (b)'!$X18</f>
        <v>14.856753251075231</v>
      </c>
      <c r="K12" s="69">
        <f>'[2]Dia 10 (b)'!$X18</f>
        <v>15.556404611746583</v>
      </c>
      <c r="L12" s="69">
        <f>'[2]Dia 11 (b)'!$X18</f>
        <v>14.176858178679966</v>
      </c>
      <c r="M12" s="69">
        <f>'[2]Dia 12 (b)'!$X18</f>
        <v>15.138878203369327</v>
      </c>
      <c r="N12" s="69">
        <f>'[2]Dia 13 (b)'!$X18</f>
        <v>14.571683481211647</v>
      </c>
      <c r="O12" s="69">
        <f>'[2]Dia 14 (b)'!$X18</f>
        <v>15.162912556685731</v>
      </c>
      <c r="P12" s="69">
        <f>'[2]Dia 15 (b)'!$X18</f>
        <v>15.219867859040889</v>
      </c>
      <c r="Q12" s="69">
        <f>'[2]Dia 16 (b)'!$X18</f>
        <v>14.590326578052805</v>
      </c>
      <c r="R12" s="69">
        <f>'[2]Dia 17 (b)'!$X18</f>
        <v>13.227171165936696</v>
      </c>
      <c r="S12" s="69">
        <f>'[2]Dia 18 (b)'!$X18</f>
        <v>14.917734871578055</v>
      </c>
      <c r="T12" s="69">
        <f>'[2]Dia 19 (b)'!$X18</f>
        <v>14.745545209199177</v>
      </c>
      <c r="U12" s="69">
        <f>'[2]Dia 20 (b)'!$X18</f>
        <v>17.028033949440701</v>
      </c>
      <c r="V12" s="69">
        <f>'[2]Dia 21 (b)'!$X18</f>
        <v>14.635848839254894</v>
      </c>
      <c r="W12" s="69">
        <f>'[2]Dia 22 (b)'!$X18</f>
        <v>15.427830305552725</v>
      </c>
      <c r="X12" s="69">
        <f>'[2]Dia 23 (b)'!$X18</f>
        <v>15.94047130982729</v>
      </c>
      <c r="Y12" s="69">
        <f>'[2]Dia 24 (b)'!$X18</f>
        <v>16.97966443235801</v>
      </c>
      <c r="Z12" s="69">
        <f>'[2]Dia 25 (b)'!$X18</f>
        <v>17.187707140213874</v>
      </c>
      <c r="AA12" s="69">
        <f>'[2]Dia 26 (b)'!$X18</f>
        <v>15.723504076796408</v>
      </c>
      <c r="AB12" s="69">
        <f>'[2]Dia 27 (b)'!$X18</f>
        <v>16.463084779168657</v>
      </c>
      <c r="AC12" s="69">
        <f>'[2]Dia 28 (b)'!$X18</f>
        <v>17.557129221394273</v>
      </c>
      <c r="AD12" s="69">
        <f>'[2]Dia 29 (b)'!$X18</f>
        <v>15.98063400750303</v>
      </c>
      <c r="AE12" s="69"/>
      <c r="AF12" s="69"/>
    </row>
    <row r="13" spans="1:32" ht="20.100000000000001" customHeight="1">
      <c r="A13" s="68">
        <v>10</v>
      </c>
      <c r="B13" s="69">
        <f>'[2]Dia 1 (b)'!$X19</f>
        <v>14.372764775553216</v>
      </c>
      <c r="C13" s="69">
        <f>'[2]Dia 2 (b)'!$X19</f>
        <v>15.591591690647961</v>
      </c>
      <c r="D13" s="69">
        <f>'[2]Dia 3 (b)'!$X19</f>
        <v>14.827489235579268</v>
      </c>
      <c r="E13" s="69">
        <f>'[2]Dia 4 (b)'!$X19</f>
        <v>12.23350970593698</v>
      </c>
      <c r="F13" s="69">
        <f>'[2]Dia 5 (b)'!$X19</f>
        <v>12.577258227066837</v>
      </c>
      <c r="G13" s="69">
        <f>'[2]Dia 6 (b)'!$X19</f>
        <v>14.02893470029624</v>
      </c>
      <c r="H13" s="69">
        <f>'[2]Dia 7 (b)'!$X19</f>
        <v>13.97408754804202</v>
      </c>
      <c r="I13" s="69">
        <f>'[2]Dia 8 (b)'!$X19</f>
        <v>15.113544779751065</v>
      </c>
      <c r="J13" s="69">
        <f>'[2]Dia 9 (b)'!$X19</f>
        <v>15.65427339534652</v>
      </c>
      <c r="K13" s="69">
        <f>'[2]Dia 10 (b)'!$X19</f>
        <v>14.746996467053998</v>
      </c>
      <c r="L13" s="69">
        <f>'[2]Dia 11 (b)'!$X19</f>
        <v>13.721825831060965</v>
      </c>
      <c r="M13" s="69">
        <f>'[2]Dia 12 (b)'!$X19</f>
        <v>14.529745390179242</v>
      </c>
      <c r="N13" s="69">
        <f>'[2]Dia 13 (b)'!$X19</f>
        <v>14.656153763804079</v>
      </c>
      <c r="O13" s="69">
        <f>'[2]Dia 14 (b)'!$X19</f>
        <v>15.083303743624036</v>
      </c>
      <c r="P13" s="69">
        <f>'[2]Dia 15 (b)'!$X19</f>
        <v>15.605132646674235</v>
      </c>
      <c r="Q13" s="69">
        <f>'[2]Dia 16 (b)'!$X19</f>
        <v>14.705518908306514</v>
      </c>
      <c r="R13" s="69">
        <f>'[2]Dia 17 (b)'!$X19</f>
        <v>12.824166530074082</v>
      </c>
      <c r="S13" s="69">
        <f>'[2]Dia 18 (b)'!$X19</f>
        <v>14.492164800361691</v>
      </c>
      <c r="T13" s="69">
        <f>'[2]Dia 19 (b)'!$X19</f>
        <v>15.193466706872766</v>
      </c>
      <c r="U13" s="69">
        <f>'[2]Dia 20 (b)'!$X19</f>
        <v>15.92080478805512</v>
      </c>
      <c r="V13" s="69">
        <f>'[2]Dia 21 (b)'!$X19</f>
        <v>14.538027227760093</v>
      </c>
      <c r="W13" s="69">
        <f>'[2]Dia 22 (b)'!$X19</f>
        <v>16.101103728481231</v>
      </c>
      <c r="X13" s="69">
        <f>'[2]Dia 23 (b)'!$X19</f>
        <v>15.605420304657663</v>
      </c>
      <c r="Y13" s="69">
        <f>'[2]Dia 24 (b)'!$X19</f>
        <v>16.27554244493545</v>
      </c>
      <c r="Z13" s="69">
        <f>'[2]Dia 25 (b)'!$X19</f>
        <v>16.930710220179687</v>
      </c>
      <c r="AA13" s="69">
        <f>'[2]Dia 26 (b)'!$X19</f>
        <v>16.628059693621967</v>
      </c>
      <c r="AB13" s="69">
        <f>'[2]Dia 27 (b)'!$X19</f>
        <v>16.067726194296952</v>
      </c>
      <c r="AC13" s="69">
        <f>'[2]Dia 28 (b)'!$X19</f>
        <v>17.879921288809864</v>
      </c>
      <c r="AD13" s="69">
        <f>'[2]Dia 29 (b)'!$X19</f>
        <v>16.905764647390978</v>
      </c>
      <c r="AE13" s="69"/>
      <c r="AF13" s="69"/>
    </row>
    <row r="14" spans="1:32" ht="20.100000000000001" customHeight="1">
      <c r="A14" s="68">
        <v>11</v>
      </c>
      <c r="B14" s="69">
        <f>'[2]Dia 1 (b)'!$X20</f>
        <v>13.110150697738124</v>
      </c>
      <c r="C14" s="69">
        <f>'[2]Dia 2 (b)'!$X20</f>
        <v>15.410076043364846</v>
      </c>
      <c r="D14" s="69">
        <f>'[2]Dia 3 (b)'!$X20</f>
        <v>14.801537619362035</v>
      </c>
      <c r="E14" s="69">
        <f>'[2]Dia 4 (b)'!$X20</f>
        <v>12.911985668314301</v>
      </c>
      <c r="F14" s="69">
        <f>'[2]Dia 5 (b)'!$X20</f>
        <v>11.297610273354124</v>
      </c>
      <c r="G14" s="69">
        <f>'[2]Dia 6 (b)'!$X20</f>
        <v>15.150383773862497</v>
      </c>
      <c r="H14" s="69">
        <f>'[2]Dia 7 (b)'!$X20</f>
        <v>13.009002622758429</v>
      </c>
      <c r="I14" s="69">
        <f>'[2]Dia 8 (b)'!$X20</f>
        <v>13.426700290366453</v>
      </c>
      <c r="J14" s="69">
        <f>'[2]Dia 9 (b)'!$X20</f>
        <v>14.77193078935837</v>
      </c>
      <c r="K14" s="69">
        <f>'[2]Dia 10 (b)'!$X20</f>
        <v>14.011060531339485</v>
      </c>
      <c r="L14" s="69">
        <f>'[2]Dia 11 (b)'!$X20</f>
        <v>13.230705905614325</v>
      </c>
      <c r="M14" s="69">
        <f>'[2]Dia 12 (b)'!$X20</f>
        <v>14.942655403895943</v>
      </c>
      <c r="N14" s="69">
        <f>'[2]Dia 13 (b)'!$X20</f>
        <v>15.155027155141608</v>
      </c>
      <c r="O14" s="69">
        <f>'[2]Dia 14 (b)'!$X20</f>
        <v>16.807199406111536</v>
      </c>
      <c r="P14" s="69">
        <f>'[2]Dia 15 (b)'!$X20</f>
        <v>15.637875884833141</v>
      </c>
      <c r="Q14" s="69">
        <f>'[2]Dia 16 (b)'!$X20</f>
        <v>14.138655248178694</v>
      </c>
      <c r="R14" s="69">
        <f>'[2]Dia 17 (b)'!$X20</f>
        <v>13.342905129716042</v>
      </c>
      <c r="S14" s="69">
        <f>'[2]Dia 18 (b)'!$X20</f>
        <v>14.689421887412093</v>
      </c>
      <c r="T14" s="69">
        <f>'[2]Dia 19 (b)'!$X20</f>
        <v>14.994152594209018</v>
      </c>
      <c r="U14" s="69">
        <f>'[2]Dia 20 (b)'!$X20</f>
        <v>17.315317597418776</v>
      </c>
      <c r="V14" s="69">
        <f>'[2]Dia 21 (b)'!$X20</f>
        <v>14.288514067154283</v>
      </c>
      <c r="W14" s="69">
        <f>'[2]Dia 22 (b)'!$X20</f>
        <v>15.408242195634722</v>
      </c>
      <c r="X14" s="69">
        <f>'[2]Dia 23 (b)'!$X20</f>
        <v>16.758343214991704</v>
      </c>
      <c r="Y14" s="69">
        <f>'[2]Dia 24 (b)'!$X20</f>
        <v>16.451652427663195</v>
      </c>
      <c r="Z14" s="69">
        <f>'[2]Dia 25 (b)'!$X20</f>
        <v>16.831737861136894</v>
      </c>
      <c r="AA14" s="69">
        <f>'[2]Dia 26 (b)'!$X20</f>
        <v>16.838449645637628</v>
      </c>
      <c r="AB14" s="69">
        <f>'[2]Dia 27 (b)'!$X20</f>
        <v>16.56574969162093</v>
      </c>
      <c r="AC14" s="69">
        <f>'[2]Dia 28 (b)'!$X20</f>
        <v>17.677964699952945</v>
      </c>
      <c r="AD14" s="69">
        <f>'[2]Dia 29 (b)'!$X20</f>
        <v>17.471101518768432</v>
      </c>
      <c r="AE14" s="69"/>
      <c r="AF14" s="69"/>
    </row>
    <row r="15" spans="1:32" ht="20.100000000000001" customHeight="1">
      <c r="A15" s="68">
        <v>12</v>
      </c>
      <c r="B15" s="69">
        <f>'[2]Dia 1 (b)'!$X21</f>
        <v>12.334790710412063</v>
      </c>
      <c r="C15" s="69">
        <f>'[2]Dia 2 (b)'!$X21</f>
        <v>14.716439160110498</v>
      </c>
      <c r="D15" s="69">
        <f>'[2]Dia 3 (b)'!$X21</f>
        <v>15.648212655839767</v>
      </c>
      <c r="E15" s="69">
        <f>'[2]Dia 4 (b)'!$X21</f>
        <v>12.239709158897931</v>
      </c>
      <c r="F15" s="69">
        <f>'[2]Dia 5 (b)'!$X21</f>
        <v>11.209048865197261</v>
      </c>
      <c r="G15" s="69">
        <f>'[2]Dia 6 (b)'!$X21</f>
        <v>14.246545923607238</v>
      </c>
      <c r="H15" s="69">
        <f>'[2]Dia 7 (b)'!$X21</f>
        <v>12.66568718554862</v>
      </c>
      <c r="I15" s="69">
        <f>'[2]Dia 8 (b)'!$X21</f>
        <v>12.970577153609158</v>
      </c>
      <c r="J15" s="69">
        <f>'[2]Dia 9 (b)'!$X21</f>
        <v>16.121757783707775</v>
      </c>
      <c r="K15" s="69">
        <f>'[2]Dia 10 (b)'!$X21</f>
        <v>13.963993692896844</v>
      </c>
      <c r="L15" s="69">
        <f>'[2]Dia 11 (b)'!$X21</f>
        <v>13.021837986125696</v>
      </c>
      <c r="M15" s="69">
        <f>'[2]Dia 12 (b)'!$X21</f>
        <v>14.215732821890796</v>
      </c>
      <c r="N15" s="69">
        <f>'[2]Dia 13 (b)'!$X21</f>
        <v>15.824019271531428</v>
      </c>
      <c r="O15" s="69">
        <f>'[2]Dia 14 (b)'!$X21</f>
        <v>16.155555657521493</v>
      </c>
      <c r="P15" s="69">
        <f>'[2]Dia 15 (b)'!$X21</f>
        <v>15.722223985100461</v>
      </c>
      <c r="Q15" s="69">
        <f>'[2]Dia 16 (b)'!$X21</f>
        <v>14.539354570026205</v>
      </c>
      <c r="R15" s="69">
        <f>'[2]Dia 17 (b)'!$X21</f>
        <v>13.885484610206628</v>
      </c>
      <c r="S15" s="69">
        <f>'[2]Dia 18 (b)'!$X21</f>
        <v>14.566855067760686</v>
      </c>
      <c r="T15" s="69">
        <f>'[2]Dia 19 (b)'!$X21</f>
        <v>13.538664838323704</v>
      </c>
      <c r="U15" s="69">
        <f>'[2]Dia 20 (b)'!$X21</f>
        <v>18.264631106058452</v>
      </c>
      <c r="V15" s="69">
        <f>'[2]Dia 21 (b)'!$X21</f>
        <v>14.946474058682416</v>
      </c>
      <c r="W15" s="69">
        <f>'[2]Dia 22 (b)'!$X21</f>
        <v>15.741954366950944</v>
      </c>
      <c r="X15" s="69">
        <f>'[2]Dia 23 (b)'!$X21</f>
        <v>16.10816376360885</v>
      </c>
      <c r="Y15" s="69">
        <f>'[2]Dia 24 (b)'!$X21</f>
        <v>16.618935525270349</v>
      </c>
      <c r="Z15" s="69">
        <f>'[2]Dia 25 (b)'!$X21</f>
        <v>16.885483587493237</v>
      </c>
      <c r="AA15" s="69">
        <f>'[2]Dia 26 (b)'!$X21</f>
        <v>17.188276186187942</v>
      </c>
      <c r="AB15" s="69">
        <f>'[2]Dia 27 (b)'!$X21</f>
        <v>16.23256639273604</v>
      </c>
      <c r="AC15" s="69">
        <f>'[2]Dia 28 (b)'!$X21</f>
        <v>18.128251276292563</v>
      </c>
      <c r="AD15" s="69">
        <f>'[2]Dia 29 (b)'!$X21</f>
        <v>16.841451455027606</v>
      </c>
      <c r="AE15" s="69"/>
      <c r="AF15" s="69"/>
    </row>
    <row r="16" spans="1:32" ht="20.100000000000001" customHeight="1">
      <c r="A16" s="68">
        <v>13</v>
      </c>
      <c r="B16" s="69">
        <f>'[2]Dia 1 (b)'!$X22</f>
        <v>13.257238141329555</v>
      </c>
      <c r="C16" s="69">
        <f>'[2]Dia 2 (b)'!$X22</f>
        <v>16.529861027125907</v>
      </c>
      <c r="D16" s="69">
        <f>'[2]Dia 3 (b)'!$X22</f>
        <v>14.074986967914414</v>
      </c>
      <c r="E16" s="69">
        <f>'[2]Dia 4 (b)'!$X22</f>
        <v>12.863860447192929</v>
      </c>
      <c r="F16" s="69">
        <f>'[2]Dia 5 (b)'!$X22</f>
        <v>13.604816331182118</v>
      </c>
      <c r="G16" s="69">
        <f>'[2]Dia 6 (b)'!$X22</f>
        <v>14.009021809774516</v>
      </c>
      <c r="H16" s="69">
        <f>'[2]Dia 7 (b)'!$X22</f>
        <v>12.562081652837078</v>
      </c>
      <c r="I16" s="69">
        <f>'[2]Dia 8 (b)'!$X22</f>
        <v>15.345086159568259</v>
      </c>
      <c r="J16" s="69">
        <f>'[2]Dia 9 (b)'!$X22</f>
        <v>16.979737766129862</v>
      </c>
      <c r="K16" s="69">
        <f>'[2]Dia 10 (b)'!$X22</f>
        <v>11.867800875100952</v>
      </c>
      <c r="L16" s="69">
        <f>'[2]Dia 11 (b)'!$X22</f>
        <v>13.329632716902827</v>
      </c>
      <c r="M16" s="69">
        <f>'[2]Dia 12 (b)'!$X22</f>
        <v>13.761146303505258</v>
      </c>
      <c r="N16" s="69">
        <f>'[2]Dia 13 (b)'!$X22</f>
        <v>15.445295024615184</v>
      </c>
      <c r="O16" s="69">
        <f>'[2]Dia 14 (b)'!$X22</f>
        <v>17.599298288499991</v>
      </c>
      <c r="P16" s="69">
        <f>'[2]Dia 15 (b)'!$X22</f>
        <v>15.590771400689286</v>
      </c>
      <c r="Q16" s="69">
        <f>'[2]Dia 16 (b)'!$X22</f>
        <v>15.336100672923992</v>
      </c>
      <c r="R16" s="69">
        <f>'[2]Dia 17 (b)'!$X22</f>
        <v>14.549200115353727</v>
      </c>
      <c r="S16" s="69">
        <f>'[2]Dia 18 (b)'!$X22</f>
        <v>15.521335542312023</v>
      </c>
      <c r="T16" s="69">
        <f>'[2]Dia 19 (b)'!$X22</f>
        <v>13.746895995386524</v>
      </c>
      <c r="U16" s="69">
        <f>'[2]Dia 20 (b)'!$X22</f>
        <v>17.483145732932776</v>
      </c>
      <c r="V16" s="69">
        <f>'[2]Dia 21 (b)'!$X22</f>
        <v>16.45726073931754</v>
      </c>
      <c r="W16" s="69">
        <f>'[2]Dia 22 (b)'!$X22</f>
        <v>15.081742579272165</v>
      </c>
      <c r="X16" s="69">
        <f>'[2]Dia 23 (b)'!$X22</f>
        <v>15.956406875729444</v>
      </c>
      <c r="Y16" s="69">
        <f>'[2]Dia 24 (b)'!$X22</f>
        <v>16.945357322091724</v>
      </c>
      <c r="Z16" s="69">
        <f>'[2]Dia 25 (b)'!$X22</f>
        <v>16.651319494542467</v>
      </c>
      <c r="AA16" s="69">
        <f>'[2]Dia 26 (b)'!$X22</f>
        <v>17.195874090585725</v>
      </c>
      <c r="AB16" s="69">
        <f>'[2]Dia 27 (b)'!$X22</f>
        <v>17.454525857817607</v>
      </c>
      <c r="AC16" s="69">
        <f>'[2]Dia 28 (b)'!$X22</f>
        <v>17.755614171643561</v>
      </c>
      <c r="AD16" s="69">
        <f>'[2]Dia 29 (b)'!$X22</f>
        <v>15.086289523063966</v>
      </c>
      <c r="AE16" s="69"/>
      <c r="AF16" s="69"/>
    </row>
    <row r="17" spans="1:32" ht="20.100000000000001" customHeight="1">
      <c r="A17" s="68">
        <v>14</v>
      </c>
      <c r="B17" s="69">
        <f>'[2]Dia 1 (b)'!$X23</f>
        <v>13.396929899438183</v>
      </c>
      <c r="C17" s="69">
        <f>'[2]Dia 2 (b)'!$X23</f>
        <v>13.631085152077558</v>
      </c>
      <c r="D17" s="69">
        <f>'[2]Dia 3 (b)'!$X23</f>
        <v>15.114118559547768</v>
      </c>
      <c r="E17" s="69">
        <f>'[2]Dia 4 (b)'!$X23</f>
        <v>15.853856049650522</v>
      </c>
      <c r="F17" s="69">
        <f>'[2]Dia 5 (b)'!$X23</f>
        <v>11.565455142555241</v>
      </c>
      <c r="G17" s="69">
        <f>'[2]Dia 6 (b)'!$X23</f>
        <v>15.661438389346918</v>
      </c>
      <c r="H17" s="69">
        <f>'[2]Dia 7 (b)'!$X23</f>
        <v>16.41909282433803</v>
      </c>
      <c r="I17" s="69">
        <f>'[2]Dia 8 (b)'!$X23</f>
        <v>15.361096955093585</v>
      </c>
      <c r="J17" s="69">
        <f>'[2]Dia 9 (b)'!$X23</f>
        <v>17.32215215346444</v>
      </c>
      <c r="K17" s="69">
        <f>'[2]Dia 10 (b)'!$X23</f>
        <v>15.069223565372958</v>
      </c>
      <c r="L17" s="69">
        <f>'[2]Dia 11 (b)'!$X23</f>
        <v>12.670447268861647</v>
      </c>
      <c r="M17" s="69">
        <f>'[2]Dia 12 (b)'!$X23</f>
        <v>14.369899310700093</v>
      </c>
      <c r="N17" s="69">
        <f>'[2]Dia 13 (b)'!$X23</f>
        <v>15.004850281109904</v>
      </c>
      <c r="O17" s="69">
        <f>'[2]Dia 14 (b)'!$X23</f>
        <v>17.279240526307792</v>
      </c>
      <c r="P17" s="69">
        <f>'[2]Dia 15 (b)'!$X23</f>
        <v>15.419486224120053</v>
      </c>
      <c r="Q17" s="69">
        <f>'[2]Dia 16 (b)'!$X23</f>
        <v>15.530901491407624</v>
      </c>
      <c r="R17" s="69">
        <f>'[2]Dia 17 (b)'!$X23</f>
        <v>14.854394106556818</v>
      </c>
      <c r="S17" s="69">
        <f>'[2]Dia 18 (b)'!$X23</f>
        <v>16.532206757841291</v>
      </c>
      <c r="T17" s="69">
        <f>'[2]Dia 19 (b)'!$X23</f>
        <v>16.433592607806741</v>
      </c>
      <c r="U17" s="69">
        <f>'[2]Dia 20 (b)'!$X23</f>
        <v>15.768568256242542</v>
      </c>
      <c r="V17" s="69">
        <f>'[2]Dia 21 (b)'!$X23</f>
        <v>16.212138401687376</v>
      </c>
      <c r="W17" s="69">
        <f>'[2]Dia 22 (b)'!$X23</f>
        <v>14.476887046064705</v>
      </c>
      <c r="X17" s="69">
        <f>'[2]Dia 23 (b)'!$X23</f>
        <v>15.541274640268323</v>
      </c>
      <c r="Y17" s="69">
        <f>'[2]Dia 24 (b)'!$X23</f>
        <v>16.543521558770948</v>
      </c>
      <c r="Z17" s="69">
        <f>'[2]Dia 25 (b)'!$X23</f>
        <v>16.810263428946485</v>
      </c>
      <c r="AA17" s="69">
        <f>'[2]Dia 26 (b)'!$X23</f>
        <v>17.383406856232153</v>
      </c>
      <c r="AB17" s="69">
        <f>'[2]Dia 27 (b)'!$X23</f>
        <v>16.163287231970699</v>
      </c>
      <c r="AC17" s="69">
        <f>'[2]Dia 28 (b)'!$X23</f>
        <v>20.926176548475805</v>
      </c>
      <c r="AD17" s="69">
        <f>'[2]Dia 29 (b)'!$X23</f>
        <v>14.743466130979078</v>
      </c>
      <c r="AE17" s="69"/>
      <c r="AF17" s="69"/>
    </row>
    <row r="18" spans="1:32" ht="20.100000000000001" customHeight="1">
      <c r="A18" s="68">
        <v>15</v>
      </c>
      <c r="B18" s="69">
        <f>'[2]Dia 1 (b)'!$X24</f>
        <v>15.826812888581159</v>
      </c>
      <c r="C18" s="69">
        <f>'[2]Dia 2 (b)'!$X24</f>
        <v>14.349996187032669</v>
      </c>
      <c r="D18" s="69">
        <f>'[2]Dia 3 (b)'!$X24</f>
        <v>15.193642153901093</v>
      </c>
      <c r="E18" s="69">
        <f>'[2]Dia 4 (b)'!$X24</f>
        <v>15.106621130626365</v>
      </c>
      <c r="F18" s="69">
        <f>'[2]Dia 5 (b)'!$X24</f>
        <v>11.949454966121827</v>
      </c>
      <c r="G18" s="69">
        <f>'[2]Dia 6 (b)'!$X24</f>
        <v>15.62356436526504</v>
      </c>
      <c r="H18" s="69">
        <f>'[2]Dia 7 (b)'!$X24</f>
        <v>17.386680561133367</v>
      </c>
      <c r="I18" s="69">
        <f>'[2]Dia 8 (b)'!$X24</f>
        <v>16.097639663143113</v>
      </c>
      <c r="J18" s="69">
        <f>'[2]Dia 9 (b)'!$X24</f>
        <v>16.857862569041099</v>
      </c>
      <c r="K18" s="69">
        <f>'[2]Dia 10 (b)'!$X24</f>
        <v>16.500324055952969</v>
      </c>
      <c r="L18" s="69">
        <f>'[2]Dia 11 (b)'!$X24</f>
        <v>16.43460051092174</v>
      </c>
      <c r="M18" s="69">
        <f>'[2]Dia 12 (b)'!$X24</f>
        <v>13.855674251581792</v>
      </c>
      <c r="N18" s="69">
        <f>'[2]Dia 13 (b)'!$X24</f>
        <v>14.372769133622979</v>
      </c>
      <c r="O18" s="69">
        <f>'[2]Dia 14 (b)'!$X24</f>
        <v>17.241079737493365</v>
      </c>
      <c r="P18" s="69">
        <f>'[2]Dia 15 (b)'!$X24</f>
        <v>15.5035223635031</v>
      </c>
      <c r="Q18" s="69">
        <f>'[2]Dia 16 (b)'!$X24</f>
        <v>15.457525152310359</v>
      </c>
      <c r="R18" s="69">
        <f>'[2]Dia 17 (b)'!$X24</f>
        <v>15.873710195493489</v>
      </c>
      <c r="S18" s="69">
        <f>'[2]Dia 18 (b)'!$X24</f>
        <v>15.689128787957781</v>
      </c>
      <c r="T18" s="69">
        <f>'[2]Dia 19 (b)'!$X24</f>
        <v>17.744859963512805</v>
      </c>
      <c r="U18" s="69">
        <f>'[2]Dia 20 (b)'!$X24</f>
        <v>16.378616067423586</v>
      </c>
      <c r="V18" s="69">
        <f>'[2]Dia 21 (b)'!$X24</f>
        <v>17.301844209940022</v>
      </c>
      <c r="W18" s="69">
        <f>'[2]Dia 22 (b)'!$X24</f>
        <v>16.98590398901873</v>
      </c>
      <c r="X18" s="69">
        <f>'[2]Dia 23 (b)'!$X24</f>
        <v>15.771124832461084</v>
      </c>
      <c r="Y18" s="69">
        <f>'[2]Dia 24 (b)'!$X24</f>
        <v>16.814121830479639</v>
      </c>
      <c r="Z18" s="69">
        <f>'[2]Dia 25 (b)'!$X24</f>
        <v>17.738845998364408</v>
      </c>
      <c r="AA18" s="69">
        <f>'[2]Dia 26 (b)'!$X24</f>
        <v>17.225720539185829</v>
      </c>
      <c r="AB18" s="69">
        <f>'[2]Dia 27 (b)'!$X24</f>
        <v>16.522382231605487</v>
      </c>
      <c r="AC18" s="69">
        <f>'[2]Dia 28 (b)'!$X24</f>
        <v>19.009952722551759</v>
      </c>
      <c r="AD18" s="69">
        <f>'[2]Dia 29 (b)'!$X24</f>
        <v>15.021532843534384</v>
      </c>
      <c r="AE18" s="69"/>
      <c r="AF18" s="69"/>
    </row>
    <row r="19" spans="1:32" ht="20.100000000000001" customHeight="1">
      <c r="A19" s="68">
        <v>16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</row>
    <row r="20" spans="1:32" ht="20.100000000000001" customHeight="1">
      <c r="A20" s="68">
        <v>17</v>
      </c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</row>
    <row r="21" spans="1:32" ht="20.100000000000001" customHeight="1">
      <c r="A21" s="68">
        <v>18</v>
      </c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</row>
    <row r="22" spans="1:32" ht="20.100000000000001" customHeight="1">
      <c r="A22" s="68">
        <v>19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</row>
    <row r="23" spans="1:32" ht="20.100000000000001" customHeight="1">
      <c r="A23" s="68">
        <v>20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</row>
    <row r="24" spans="1:32" ht="20.100000000000001" customHeight="1">
      <c r="A24" s="68">
        <v>21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</row>
    <row r="25" spans="1:32" ht="20.100000000000001" customHeight="1">
      <c r="A25" s="68">
        <v>22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</row>
    <row r="26" spans="1:32" ht="20.100000000000001" customHeight="1">
      <c r="A26" s="68">
        <v>23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ht="20.100000000000001" customHeight="1" thickBot="1">
      <c r="A27" s="68">
        <v>24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</row>
    <row r="28" spans="1:32" ht="16.5" thickTop="1">
      <c r="A28" s="17"/>
      <c r="B28" s="84" t="s">
        <v>62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1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2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3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5"/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4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2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5"/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5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2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5"/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1</v>
      </c>
      <c r="I46" s="30"/>
      <c r="J46" s="33"/>
      <c r="K46" s="34" t="s">
        <v>3</v>
      </c>
      <c r="L46" s="33"/>
      <c r="M46" s="33"/>
      <c r="N46" s="34" t="s">
        <v>4</v>
      </c>
      <c r="O46" s="33"/>
      <c r="P46" s="33"/>
      <c r="Q46" s="34" t="s">
        <v>5</v>
      </c>
      <c r="R46" s="30"/>
      <c r="S46" s="30"/>
      <c r="T46" s="33" t="s">
        <v>1</v>
      </c>
      <c r="U46" s="33"/>
      <c r="V46" s="33" t="s">
        <v>1</v>
      </c>
      <c r="W46" s="33"/>
      <c r="X46" s="33" t="s">
        <v>6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7</v>
      </c>
      <c r="I47" s="30"/>
      <c r="J47" s="33"/>
      <c r="K47" s="33" t="s">
        <v>7</v>
      </c>
      <c r="L47" s="33"/>
      <c r="M47" s="33"/>
      <c r="N47" s="33" t="s">
        <v>7</v>
      </c>
      <c r="O47" s="33"/>
      <c r="P47" s="33"/>
      <c r="Q47" s="33" t="s">
        <v>7</v>
      </c>
      <c r="R47" s="30"/>
      <c r="S47" s="30"/>
      <c r="T47" s="33" t="s">
        <v>8</v>
      </c>
      <c r="U47" s="33"/>
      <c r="V47" s="33" t="s">
        <v>9</v>
      </c>
      <c r="W47" s="33"/>
      <c r="X47" s="33" t="s">
        <v>10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/>
      <c r="I49" s="39"/>
      <c r="J49" s="41"/>
      <c r="K49" s="40"/>
      <c r="L49" s="41"/>
      <c r="M49" s="41"/>
      <c r="N49" s="40"/>
      <c r="O49" s="41"/>
      <c r="P49" s="41"/>
      <c r="Q49" s="40"/>
      <c r="R49" s="39"/>
      <c r="S49" s="40"/>
      <c r="T49" s="40"/>
      <c r="U49" s="40"/>
      <c r="V49" s="40"/>
      <c r="W49" s="40"/>
      <c r="X49" s="40"/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AB24" sqref="AB24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'[3]Dia 1 (b)'!C1</f>
        <v>MARÇO DE 2024</v>
      </c>
      <c r="C1" s="3"/>
      <c r="D1" s="4"/>
      <c r="E1" s="5"/>
      <c r="F1" s="2"/>
      <c r="G1" s="3"/>
      <c r="H1" s="3"/>
      <c r="I1" s="3"/>
      <c r="J1" s="3"/>
      <c r="K1" s="3" t="s">
        <v>11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2" ht="20.100000000000001" customHeight="1">
      <c r="A4" s="15">
        <v>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</row>
    <row r="5" spans="1:32" ht="20.100000000000001" customHeight="1">
      <c r="A5" s="15">
        <v>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</row>
    <row r="6" spans="1:32" ht="20.100000000000001" customHeight="1">
      <c r="A6" s="15">
        <v>3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</row>
    <row r="7" spans="1:32" ht="20.100000000000001" customHeight="1">
      <c r="A7" s="15">
        <v>4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</row>
    <row r="8" spans="1:32" ht="20.100000000000001" customHeight="1">
      <c r="A8" s="15">
        <v>5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</row>
    <row r="9" spans="1:32" ht="20.100000000000001" customHeight="1">
      <c r="A9" s="15">
        <v>6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</row>
    <row r="10" spans="1:32" ht="20.100000000000001" customHeight="1">
      <c r="A10" s="15">
        <v>7</v>
      </c>
      <c r="B10" s="16">
        <f>'[3]Dia 1 (b)'!$X16</f>
        <v>17.195195774223556</v>
      </c>
      <c r="C10" s="16">
        <f>'[3]Dia 2 (b)'!$X16</f>
        <v>14.200017100611493</v>
      </c>
      <c r="D10" s="16">
        <f>'[3]Dia 3 (b)'!$X16</f>
        <v>13.642522217042552</v>
      </c>
      <c r="E10" s="16">
        <f>'[3]Dia 4 (b)'!$X16</f>
        <v>15.18795988397182</v>
      </c>
      <c r="F10" s="16">
        <f>'[3]Dia 5 (b)'!$X16</f>
        <v>16.976901828544563</v>
      </c>
      <c r="G10" s="16">
        <f>'[3]Dia 6 (b)'!$X16</f>
        <v>17.176831013967838</v>
      </c>
      <c r="H10" s="16">
        <f>'[3]Dia 7 (b)'!$X16</f>
        <v>15.475464968818557</v>
      </c>
      <c r="I10" s="16">
        <f>'[3]Dia 8 (b)'!$X16</f>
        <v>16.042394510338212</v>
      </c>
      <c r="J10" s="16">
        <f>'[3]Dia 9 (b)'!$X16</f>
        <v>17.782832998647912</v>
      </c>
      <c r="K10" s="16">
        <f>'[3]Dia 10 (b)'!$X16</f>
        <v>17.230684737306298</v>
      </c>
      <c r="L10" s="16">
        <f>'[3]Dia 11 (b)'!$X16</f>
        <v>14.841700068866835</v>
      </c>
      <c r="M10" s="16">
        <f>'[3]Dia 12 (b)'!$X16</f>
        <v>12.367715438546176</v>
      </c>
      <c r="N10" s="16">
        <f>'[3]Dia 13 (b)'!$X16</f>
        <v>14.774628321581556</v>
      </c>
      <c r="O10" s="16">
        <f>'[3]Dia 14 (b)'!$X16</f>
        <v>16.850957122506244</v>
      </c>
      <c r="P10" s="16">
        <f>'[3]Dia 15 (b)'!$X16</f>
        <v>16.988317693175762</v>
      </c>
      <c r="Q10" s="16">
        <f>'[3]Dia 16 (b)'!$X16</f>
        <v>17.053221187986246</v>
      </c>
      <c r="R10" s="16">
        <f>'[3]Dia 17 (b)'!$X16</f>
        <v>17.502157002994689</v>
      </c>
      <c r="S10" s="16">
        <f>'[3]Dia 18 (b)'!$X16</f>
        <v>16.757333047292001</v>
      </c>
      <c r="T10" s="16">
        <f>'[3]Dia 19 (b)'!$X16</f>
        <v>17.532336883471849</v>
      </c>
      <c r="U10" s="16">
        <f>'[3]Dia 20 (b)'!$X16</f>
        <v>17.598590064521087</v>
      </c>
      <c r="V10" s="16">
        <f>'[3]Dia 21 (b)'!$X16</f>
        <v>17.045158513647426</v>
      </c>
      <c r="W10" s="16">
        <f>'[3]Dia 22 (b)'!$X16</f>
        <v>15.680074934095671</v>
      </c>
      <c r="X10" s="16">
        <f>'[3]Dia 23 (b)'!$X16</f>
        <v>11.862078200676729</v>
      </c>
      <c r="Y10" s="16">
        <f>'[3]Dia 24 (b)'!$X16</f>
        <v>13.335322070063118</v>
      </c>
      <c r="Z10" s="16">
        <f>'[3]Dia 25 (b)'!$X16</f>
        <v>13.462438143191683</v>
      </c>
      <c r="AA10" s="16">
        <f>'[3]Dia 26 (b)'!$X16</f>
        <v>13.24367791418025</v>
      </c>
      <c r="AB10" s="16">
        <f>'[3]Dia 27 (b)'!$X16</f>
        <v>13.298750421113198</v>
      </c>
      <c r="AC10" s="16">
        <f>'[3]Dia 28 (b)'!$X16</f>
        <v>14.160238538414706</v>
      </c>
      <c r="AD10" s="16">
        <f>'[3]Dia 29 (b)'!$X16</f>
        <v>15.333008592100676</v>
      </c>
      <c r="AE10" s="16">
        <f>'[3]Dia 30 (b)'!$X16</f>
        <v>14.851055350164145</v>
      </c>
      <c r="AF10" s="16">
        <f>'[3]Dia 31 (b)'!$X16</f>
        <v>12.131474857753455</v>
      </c>
    </row>
    <row r="11" spans="1:32" ht="20.100000000000001" customHeight="1">
      <c r="A11" s="15">
        <v>8</v>
      </c>
      <c r="B11" s="16">
        <f>'[3]Dia 1 (b)'!$X17</f>
        <v>17.391254482538184</v>
      </c>
      <c r="C11" s="16">
        <f>'[3]Dia 2 (b)'!$X17</f>
        <v>14.485960780382074</v>
      </c>
      <c r="D11" s="16">
        <f>'[3]Dia 3 (b)'!$X17</f>
        <v>13.516495470115844</v>
      </c>
      <c r="E11" s="16">
        <f>'[3]Dia 4 (b)'!$X17</f>
        <v>14.854463400849196</v>
      </c>
      <c r="F11" s="16">
        <f>'[3]Dia 5 (b)'!$X17</f>
        <v>16.943893429135489</v>
      </c>
      <c r="G11" s="16">
        <f>'[3]Dia 6 (b)'!$X17</f>
        <v>16.593662377061019</v>
      </c>
      <c r="H11" s="16">
        <f>'[3]Dia 7 (b)'!$X17</f>
        <v>15.844836553972277</v>
      </c>
      <c r="I11" s="16">
        <f>'[3]Dia 8 (b)'!$X17</f>
        <v>16.026390270338965</v>
      </c>
      <c r="J11" s="16">
        <f>'[3]Dia 9 (b)'!$X17</f>
        <v>18.261152660606029</v>
      </c>
      <c r="K11" s="16">
        <f>'[3]Dia 10 (b)'!$X17</f>
        <v>17.333243988304751</v>
      </c>
      <c r="L11" s="16">
        <f>'[3]Dia 11 (b)'!$X17</f>
        <v>14.201264341292546</v>
      </c>
      <c r="M11" s="16">
        <f>'[3]Dia 12 (b)'!$X17</f>
        <v>12.324210556353142</v>
      </c>
      <c r="N11" s="16">
        <f>'[3]Dia 13 (b)'!$X17</f>
        <v>15.119728311377221</v>
      </c>
      <c r="O11" s="16">
        <f>'[3]Dia 14 (b)'!$X17</f>
        <v>16.810118664369227</v>
      </c>
      <c r="P11" s="16">
        <f>'[3]Dia 15 (b)'!$X17</f>
        <v>17.0082986100619</v>
      </c>
      <c r="Q11" s="16">
        <f>'[3]Dia 16 (b)'!$X17</f>
        <v>16.946416100209397</v>
      </c>
      <c r="R11" s="16">
        <f>'[3]Dia 17 (b)'!$X17</f>
        <v>17.561801821366082</v>
      </c>
      <c r="S11" s="16">
        <f>'[3]Dia 18 (b)'!$X17</f>
        <v>16.514924898896719</v>
      </c>
      <c r="T11" s="16">
        <f>'[3]Dia 19 (b)'!$X17</f>
        <v>18.06067025553174</v>
      </c>
      <c r="U11" s="16">
        <f>'[3]Dia 20 (b)'!$X17</f>
        <v>17.63846483775367</v>
      </c>
      <c r="V11" s="16">
        <f>'[3]Dia 21 (b)'!$X17</f>
        <v>16.608028633829317</v>
      </c>
      <c r="W11" s="16">
        <f>'[3]Dia 22 (b)'!$X17</f>
        <v>16.004505676831037</v>
      </c>
      <c r="X11" s="16">
        <f>'[3]Dia 23 (b)'!$X17</f>
        <v>12.095128675075186</v>
      </c>
      <c r="Y11" s="16">
        <f>'[3]Dia 24 (b)'!$X17</f>
        <v>13.327959816736842</v>
      </c>
      <c r="Z11" s="16">
        <f>'[3]Dia 25 (b)'!$X17</f>
        <v>13.590140728406837</v>
      </c>
      <c r="AA11" s="16">
        <f>'[3]Dia 26 (b)'!$X17</f>
        <v>14.050658667973634</v>
      </c>
      <c r="AB11" s="16">
        <f>'[3]Dia 27 (b)'!$X17</f>
        <v>12.780499802404462</v>
      </c>
      <c r="AC11" s="16">
        <f>'[3]Dia 28 (b)'!$X17</f>
        <v>14.293940315220125</v>
      </c>
      <c r="AD11" s="16">
        <f>'[3]Dia 29 (b)'!$X17</f>
        <v>15.635738324801963</v>
      </c>
      <c r="AE11" s="16">
        <f>'[3]Dia 30 (b)'!$X17</f>
        <v>14.760092231413674</v>
      </c>
      <c r="AF11" s="16">
        <f>'[3]Dia 31 (b)'!$X17</f>
        <v>14.492606077950422</v>
      </c>
    </row>
    <row r="12" spans="1:32" ht="20.100000000000001" customHeight="1">
      <c r="A12" s="15">
        <v>9</v>
      </c>
      <c r="B12" s="16">
        <f>'[3]Dia 1 (b)'!$X18</f>
        <v>16.428958930841766</v>
      </c>
      <c r="C12" s="16">
        <f>'[3]Dia 2 (b)'!$X18</f>
        <v>13.194780917658179</v>
      </c>
      <c r="D12" s="16">
        <f>'[3]Dia 3 (b)'!$X18</f>
        <v>13.714141981749584</v>
      </c>
      <c r="E12" s="16">
        <f>'[3]Dia 4 (b)'!$X18</f>
        <v>14.696215467709008</v>
      </c>
      <c r="F12" s="16">
        <f>'[3]Dia 5 (b)'!$X18</f>
        <v>16.846948950560062</v>
      </c>
      <c r="G12" s="16">
        <f>'[3]Dia 6 (b)'!$X18</f>
        <v>16.400528965095155</v>
      </c>
      <c r="H12" s="16">
        <f>'[3]Dia 7 (b)'!$X18</f>
        <v>15.960402786542376</v>
      </c>
      <c r="I12" s="16">
        <f>'[3]Dia 8 (b)'!$X18</f>
        <v>15.894790030748787</v>
      </c>
      <c r="J12" s="16">
        <f>'[3]Dia 9 (b)'!$X18</f>
        <v>18.376835947009464</v>
      </c>
      <c r="K12" s="16">
        <f>'[3]Dia 10 (b)'!$X18</f>
        <v>17.593327695877896</v>
      </c>
      <c r="L12" s="16">
        <f>'[3]Dia 11 (b)'!$X18</f>
        <v>13.065894727329253</v>
      </c>
      <c r="M12" s="16">
        <f>'[3]Dia 12 (b)'!$X18</f>
        <v>11.893749766311872</v>
      </c>
      <c r="N12" s="16">
        <f>'[3]Dia 13 (b)'!$X18</f>
        <v>15.25174264991608</v>
      </c>
      <c r="O12" s="16">
        <f>'[3]Dia 14 (b)'!$X18</f>
        <v>16.553441096464717</v>
      </c>
      <c r="P12" s="16">
        <f>'[3]Dia 15 (b)'!$X18</f>
        <v>16.623006702403039</v>
      </c>
      <c r="Q12" s="16">
        <f>'[3]Dia 16 (b)'!$X18</f>
        <v>16.766882394694708</v>
      </c>
      <c r="R12" s="16">
        <f>'[3]Dia 17 (b)'!$X18</f>
        <v>16.85760513622548</v>
      </c>
      <c r="S12" s="16">
        <f>'[3]Dia 18 (b)'!$X18</f>
        <v>17.006835629830299</v>
      </c>
      <c r="T12" s="16">
        <f>'[3]Dia 19 (b)'!$X18</f>
        <v>17.57013861957325</v>
      </c>
      <c r="U12" s="16">
        <f>'[3]Dia 20 (b)'!$X18</f>
        <v>17.725067414192296</v>
      </c>
      <c r="V12" s="16">
        <f>'[3]Dia 21 (b)'!$X18</f>
        <v>17.040638976794337</v>
      </c>
      <c r="W12" s="16">
        <f>'[3]Dia 22 (b)'!$X18</f>
        <v>15.948792020979333</v>
      </c>
      <c r="X12" s="16">
        <f>'[3]Dia 23 (b)'!$X18</f>
        <v>11.88149267175991</v>
      </c>
      <c r="Y12" s="16">
        <f>'[3]Dia 24 (b)'!$X18</f>
        <v>13.813111201557399</v>
      </c>
      <c r="Z12" s="16">
        <f>'[3]Dia 25 (b)'!$X18</f>
        <v>13.47913870832763</v>
      </c>
      <c r="AA12" s="16">
        <f>'[3]Dia 26 (b)'!$X18</f>
        <v>13.346396197589211</v>
      </c>
      <c r="AB12" s="16">
        <f>'[3]Dia 27 (b)'!$X18</f>
        <v>12.94498526936564</v>
      </c>
      <c r="AC12" s="16">
        <f>'[3]Dia 28 (b)'!$X18</f>
        <v>14.562396072230422</v>
      </c>
      <c r="AD12" s="16">
        <f>'[3]Dia 29 (b)'!$X18</f>
        <v>15.405117693509744</v>
      </c>
      <c r="AE12" s="16">
        <f>'[3]Dia 30 (b)'!$X18</f>
        <v>14.619885124976507</v>
      </c>
      <c r="AF12" s="16">
        <f>'[3]Dia 31 (b)'!$X18</f>
        <v>13.39304675154534</v>
      </c>
    </row>
    <row r="13" spans="1:32" ht="20.100000000000001" customHeight="1">
      <c r="A13" s="15">
        <v>10</v>
      </c>
      <c r="B13" s="16">
        <f>'[3]Dia 1 (b)'!$X19</f>
        <v>16.280458517954749</v>
      </c>
      <c r="C13" s="16">
        <f>'[3]Dia 2 (b)'!$X19</f>
        <v>12.612600370314651</v>
      </c>
      <c r="D13" s="16">
        <f>'[3]Dia 3 (b)'!$X19</f>
        <v>14.09709787223302</v>
      </c>
      <c r="E13" s="16">
        <f>'[3]Dia 4 (b)'!$X19</f>
        <v>14.654023163964046</v>
      </c>
      <c r="F13" s="16">
        <f>'[3]Dia 5 (b)'!$X19</f>
        <v>15.903616226947973</v>
      </c>
      <c r="G13" s="16">
        <f>'[3]Dia 6 (b)'!$X19</f>
        <v>15.418121156775548</v>
      </c>
      <c r="H13" s="16">
        <f>'[3]Dia 7 (b)'!$X19</f>
        <v>16.018726336814872</v>
      </c>
      <c r="I13" s="16">
        <f>'[3]Dia 8 (b)'!$X19</f>
        <v>16.163480404017459</v>
      </c>
      <c r="J13" s="16">
        <f>'[3]Dia 9 (b)'!$X19</f>
        <v>18.266139114682769</v>
      </c>
      <c r="K13" s="16">
        <f>'[3]Dia 10 (b)'!$X19</f>
        <v>17.486041920730571</v>
      </c>
      <c r="L13" s="16">
        <f>'[3]Dia 11 (b)'!$X19</f>
        <v>12.587720447716212</v>
      </c>
      <c r="M13" s="16">
        <f>'[3]Dia 12 (b)'!$X19</f>
        <v>11.076472259685628</v>
      </c>
      <c r="N13" s="16">
        <f>'[3]Dia 13 (b)'!$X19</f>
        <v>15.911901065266832</v>
      </c>
      <c r="O13" s="16">
        <f>'[3]Dia 14 (b)'!$X19</f>
        <v>16.646171211091282</v>
      </c>
      <c r="P13" s="16">
        <f>'[3]Dia 15 (b)'!$X19</f>
        <v>15.61551395492949</v>
      </c>
      <c r="Q13" s="16">
        <f>'[3]Dia 16 (b)'!$X19</f>
        <v>15.817566511970869</v>
      </c>
      <c r="R13" s="16">
        <f>'[3]Dia 17 (b)'!$X19</f>
        <v>16.795980174217405</v>
      </c>
      <c r="S13" s="16">
        <f>'[3]Dia 18 (b)'!$X19</f>
        <v>16.571968560504697</v>
      </c>
      <c r="T13" s="16">
        <f>'[3]Dia 19 (b)'!$X19</f>
        <v>17.433135955198598</v>
      </c>
      <c r="U13" s="16">
        <f>'[3]Dia 20 (b)'!$X19</f>
        <v>17.241101156783156</v>
      </c>
      <c r="V13" s="16">
        <f>'[3]Dia 21 (b)'!$X19</f>
        <v>16.997883765851522</v>
      </c>
      <c r="W13" s="16">
        <f>'[3]Dia 22 (b)'!$X19</f>
        <v>15.999469036807714</v>
      </c>
      <c r="X13" s="16">
        <f>'[3]Dia 23 (b)'!$X19</f>
        <v>12.326641331032924</v>
      </c>
      <c r="Y13" s="16">
        <f>'[3]Dia 24 (b)'!$X19</f>
        <v>13.453177206252075</v>
      </c>
      <c r="Z13" s="16">
        <f>'[3]Dia 25 (b)'!$X19</f>
        <v>13.70598398792886</v>
      </c>
      <c r="AA13" s="16">
        <f>'[3]Dia 26 (b)'!$X19</f>
        <v>12.691784689926298</v>
      </c>
      <c r="AB13" s="16">
        <f>'[3]Dia 27 (b)'!$X19</f>
        <v>12.90637783868786</v>
      </c>
      <c r="AC13" s="16">
        <f>'[3]Dia 28 (b)'!$X19</f>
        <v>15.087744016102757</v>
      </c>
      <c r="AD13" s="16">
        <f>'[3]Dia 29 (b)'!$X19</f>
        <v>15.306215801070095</v>
      </c>
      <c r="AE13" s="16">
        <f>'[3]Dia 30 (b)'!$X19</f>
        <v>14.46211240671248</v>
      </c>
      <c r="AF13" s="16">
        <f>'[3]Dia 31 (b)'!$X19</f>
        <v>12.853552915894973</v>
      </c>
    </row>
    <row r="14" spans="1:32" ht="20.100000000000001" customHeight="1">
      <c r="A14" s="15">
        <v>11</v>
      </c>
      <c r="B14" s="16">
        <f>'[3]Dia 1 (b)'!$X20</f>
        <v>17.02467485645364</v>
      </c>
      <c r="C14" s="16">
        <f>'[3]Dia 2 (b)'!$X20</f>
        <v>12.136278010217234</v>
      </c>
      <c r="D14" s="16">
        <f>'[3]Dia 3 (b)'!$X20</f>
        <v>14.709387692194511</v>
      </c>
      <c r="E14" s="16">
        <f>'[3]Dia 4 (b)'!$X20</f>
        <v>14.321530597963744</v>
      </c>
      <c r="F14" s="16">
        <f>'[3]Dia 5 (b)'!$X20</f>
        <v>16.535686042029894</v>
      </c>
      <c r="G14" s="16">
        <f>'[3]Dia 6 (b)'!$X20</f>
        <v>15.386962388207648</v>
      </c>
      <c r="H14" s="16">
        <f>'[3]Dia 7 (b)'!$X20</f>
        <v>16.448955479359753</v>
      </c>
      <c r="I14" s="16">
        <f>'[3]Dia 8 (b)'!$X20</f>
        <v>16.033573686393446</v>
      </c>
      <c r="J14" s="16">
        <f>'[3]Dia 9 (b)'!$X20</f>
        <v>17.976996178753385</v>
      </c>
      <c r="K14" s="16">
        <f>'[3]Dia 10 (b)'!$X20</f>
        <v>17.158447345222754</v>
      </c>
      <c r="L14" s="16">
        <f>'[3]Dia 11 (b)'!$X20</f>
        <v>12.869404515237136</v>
      </c>
      <c r="M14" s="16">
        <f>'[3]Dia 12 (b)'!$X20</f>
        <v>12.237466968160371</v>
      </c>
      <c r="N14" s="16">
        <f>'[3]Dia 13 (b)'!$X20</f>
        <v>15.640705580051373</v>
      </c>
      <c r="O14" s="16">
        <f>'[3]Dia 14 (b)'!$X20</f>
        <v>16.290925587072788</v>
      </c>
      <c r="P14" s="16">
        <f>'[3]Dia 15 (b)'!$X20</f>
        <v>14.665972723804574</v>
      </c>
      <c r="Q14" s="16">
        <f>'[3]Dia 16 (b)'!$X20</f>
        <v>15.303156278699905</v>
      </c>
      <c r="R14" s="16">
        <f>'[3]Dia 17 (b)'!$X20</f>
        <v>16.582767291797879</v>
      </c>
      <c r="S14" s="16">
        <f>'[3]Dia 18 (b)'!$X20</f>
        <v>15.29286258384472</v>
      </c>
      <c r="T14" s="16">
        <f>'[3]Dia 19 (b)'!$X20</f>
        <v>17.503584173912781</v>
      </c>
      <c r="U14" s="16">
        <f>'[3]Dia 20 (b)'!$X20</f>
        <v>16.782702520860369</v>
      </c>
      <c r="V14" s="16">
        <f>'[3]Dia 21 (b)'!$X20</f>
        <v>16.980062741074693</v>
      </c>
      <c r="W14" s="16">
        <f>'[3]Dia 22 (b)'!$X20</f>
        <v>15.017222604459967</v>
      </c>
      <c r="X14" s="16">
        <f>'[3]Dia 23 (b)'!$X20</f>
        <v>12.789549849499952</v>
      </c>
      <c r="Y14" s="16">
        <f>'[3]Dia 24 (b)'!$X20</f>
        <v>13.844382854832951</v>
      </c>
      <c r="Z14" s="16">
        <f>'[3]Dia 25 (b)'!$X20</f>
        <v>14.410144086500623</v>
      </c>
      <c r="AA14" s="16">
        <f>'[3]Dia 26 (b)'!$X20</f>
        <v>12.686253138493553</v>
      </c>
      <c r="AB14" s="16">
        <f>'[3]Dia 27 (b)'!$X20</f>
        <v>13.547440991022215</v>
      </c>
      <c r="AC14" s="16">
        <f>'[3]Dia 28 (b)'!$X20</f>
        <v>15.281821908966558</v>
      </c>
      <c r="AD14" s="16">
        <f>'[3]Dia 29 (b)'!$X20</f>
        <v>14.996542976482182</v>
      </c>
      <c r="AE14" s="16">
        <f>'[3]Dia 30 (b)'!$X20</f>
        <v>14.566800750822066</v>
      </c>
      <c r="AF14" s="16">
        <f>'[3]Dia 31 (b)'!$X20</f>
        <v>10.140210494774788</v>
      </c>
    </row>
    <row r="15" spans="1:32" ht="20.100000000000001" customHeight="1">
      <c r="A15" s="15">
        <v>12</v>
      </c>
      <c r="B15" s="16">
        <f>'[3]Dia 1 (b)'!$X21</f>
        <v>16.520703848148109</v>
      </c>
      <c r="C15" s="16">
        <f>'[3]Dia 2 (b)'!$X21</f>
        <v>13.496984429718665</v>
      </c>
      <c r="D15" s="16">
        <f>'[3]Dia 3 (b)'!$X21</f>
        <v>15.073296312796453</v>
      </c>
      <c r="E15" s="16">
        <f>'[3]Dia 4 (b)'!$X21</f>
        <v>15.330543247630672</v>
      </c>
      <c r="F15" s="16">
        <f>'[3]Dia 5 (b)'!$X21</f>
        <v>16.425788334351015</v>
      </c>
      <c r="G15" s="16">
        <f>'[3]Dia 6 (b)'!$X21</f>
        <v>16.13845761295509</v>
      </c>
      <c r="H15" s="16">
        <f>'[3]Dia 7 (b)'!$X21</f>
        <v>16.683303044941056</v>
      </c>
      <c r="I15" s="16">
        <f>'[3]Dia 8 (b)'!$X21</f>
        <v>15.744826742155603</v>
      </c>
      <c r="J15" s="16">
        <f>'[3]Dia 9 (b)'!$X21</f>
        <v>16.907890557546512</v>
      </c>
      <c r="K15" s="16">
        <f>'[3]Dia 10 (b)'!$X21</f>
        <v>19.573887921564413</v>
      </c>
      <c r="L15" s="16">
        <f>'[3]Dia 11 (b)'!$X21</f>
        <v>11.797719435644062</v>
      </c>
      <c r="M15" s="16">
        <f>'[3]Dia 12 (b)'!$X21</f>
        <v>13.76245485860818</v>
      </c>
      <c r="N15" s="16">
        <f>'[3]Dia 13 (b)'!$X21</f>
        <v>14.36136535059312</v>
      </c>
      <c r="O15" s="16">
        <f>'[3]Dia 14 (b)'!$X21</f>
        <v>15.720799132303888</v>
      </c>
      <c r="P15" s="16">
        <f>'[3]Dia 15 (b)'!$X21</f>
        <v>13.781521478635163</v>
      </c>
      <c r="Q15" s="16">
        <f>'[3]Dia 16 (b)'!$X21</f>
        <v>15.769670439408932</v>
      </c>
      <c r="R15" s="16">
        <f>'[3]Dia 17 (b)'!$X21</f>
        <v>16.172666410520907</v>
      </c>
      <c r="S15" s="16">
        <f>'[3]Dia 18 (b)'!$X21</f>
        <v>15.994065302689071</v>
      </c>
      <c r="T15" s="16">
        <f>'[3]Dia 19 (b)'!$X21</f>
        <v>16.623804448509155</v>
      </c>
      <c r="U15" s="16">
        <f>'[3]Dia 20 (b)'!$X21</f>
        <v>16.409206110145487</v>
      </c>
      <c r="V15" s="16">
        <f>'[3]Dia 21 (b)'!$X21</f>
        <v>16.817299427316673</v>
      </c>
      <c r="W15" s="16">
        <f>'[3]Dia 22 (b)'!$X21</f>
        <v>14.878696400967049</v>
      </c>
      <c r="X15" s="16">
        <f>'[3]Dia 23 (b)'!$X21</f>
        <v>12.833540805908781</v>
      </c>
      <c r="Y15" s="16">
        <f>'[3]Dia 24 (b)'!$X21</f>
        <v>13.884087961302042</v>
      </c>
      <c r="Z15" s="16">
        <f>'[3]Dia 25 (b)'!$X21</f>
        <v>14.467752165032737</v>
      </c>
      <c r="AA15" s="16">
        <f>'[3]Dia 26 (b)'!$X21</f>
        <v>13.471629052837963</v>
      </c>
      <c r="AB15" s="16">
        <f>'[3]Dia 27 (b)'!$X21</f>
        <v>13.779553750297188</v>
      </c>
      <c r="AC15" s="16">
        <f>'[3]Dia 28 (b)'!$X21</f>
        <v>15.286804492310816</v>
      </c>
      <c r="AD15" s="16">
        <f>'[3]Dia 29 (b)'!$X21</f>
        <v>15.147339551418867</v>
      </c>
      <c r="AE15" s="16">
        <f>'[3]Dia 30 (b)'!$X21</f>
        <v>15.293209045476694</v>
      </c>
      <c r="AF15" s="16">
        <f>'[3]Dia 31 (b)'!$X21</f>
        <v>9.5574190195425199</v>
      </c>
    </row>
    <row r="16" spans="1:32" ht="20.100000000000001" customHeight="1">
      <c r="A16" s="15">
        <v>13</v>
      </c>
      <c r="B16" s="16">
        <f>'[3]Dia 1 (b)'!$X22</f>
        <v>16.116454216012791</v>
      </c>
      <c r="C16" s="16">
        <f>'[3]Dia 2 (b)'!$X22</f>
        <v>14.102160012376302</v>
      </c>
      <c r="D16" s="16">
        <f>'[3]Dia 3 (b)'!$X22</f>
        <v>13.294409333815178</v>
      </c>
      <c r="E16" s="16">
        <f>'[3]Dia 4 (b)'!$X22</f>
        <v>13.328086522738991</v>
      </c>
      <c r="F16" s="16">
        <f>'[3]Dia 5 (b)'!$X22</f>
        <v>16.539414069593775</v>
      </c>
      <c r="G16" s="16">
        <f>'[3]Dia 6 (b)'!$X22</f>
        <v>16.724447614349831</v>
      </c>
      <c r="H16" s="16">
        <f>'[3]Dia 7 (b)'!$X22</f>
        <v>16.787269687228701</v>
      </c>
      <c r="I16" s="16">
        <f>'[3]Dia 8 (b)'!$X22</f>
        <v>16.451374414305651</v>
      </c>
      <c r="J16" s="16">
        <f>'[3]Dia 9 (b)'!$X22</f>
        <v>17.468176724296853</v>
      </c>
      <c r="K16" s="16">
        <f>'[3]Dia 10 (b)'!$X22</f>
        <v>16.605260643576607</v>
      </c>
      <c r="L16" s="16">
        <f>'[3]Dia 11 (b)'!$X22</f>
        <v>13.147696378726343</v>
      </c>
      <c r="M16" s="16">
        <f>'[3]Dia 12 (b)'!$X22</f>
        <v>15.325192604477929</v>
      </c>
      <c r="N16" s="16">
        <f>'[3]Dia 13 (b)'!$X22</f>
        <v>17.218821910245488</v>
      </c>
      <c r="O16" s="16">
        <f>'[3]Dia 14 (b)'!$X22</f>
        <v>15.638989111478732</v>
      </c>
      <c r="P16" s="16">
        <f>'[3]Dia 15 (b)'!$X22</f>
        <v>14.017020086336512</v>
      </c>
      <c r="Q16" s="16">
        <f>'[3]Dia 16 (b)'!$X22</f>
        <v>13.796302090201809</v>
      </c>
      <c r="R16" s="16">
        <f>'[3]Dia 17 (b)'!$X22</f>
        <v>17.006224040084764</v>
      </c>
      <c r="S16" s="16">
        <f>'[3]Dia 18 (b)'!$X22</f>
        <v>19.396703528301007</v>
      </c>
      <c r="T16" s="16">
        <f>'[3]Dia 19 (b)'!$X22</f>
        <v>16.496834901438071</v>
      </c>
      <c r="U16" s="16">
        <f>'[3]Dia 20 (b)'!$X22</f>
        <v>15.491551022751693</v>
      </c>
      <c r="V16" s="16">
        <f>'[3]Dia 21 (b)'!$X22</f>
        <v>15.664893257961337</v>
      </c>
      <c r="W16" s="16">
        <f>'[3]Dia 22 (b)'!$X22</f>
        <v>14.4173960761125</v>
      </c>
      <c r="X16" s="16">
        <f>'[3]Dia 23 (b)'!$X22</f>
        <v>12.797304060344816</v>
      </c>
      <c r="Y16" s="16">
        <f>'[3]Dia 24 (b)'!$X22</f>
        <v>13.896088605777827</v>
      </c>
      <c r="Z16" s="16">
        <f>'[3]Dia 25 (b)'!$X22</f>
        <v>13.982949659261518</v>
      </c>
      <c r="AA16" s="16">
        <f>'[3]Dia 26 (b)'!$X22</f>
        <v>13.185275134699909</v>
      </c>
      <c r="AB16" s="16">
        <f>'[3]Dia 27 (b)'!$X22</f>
        <v>13.346118623250424</v>
      </c>
      <c r="AC16" s="16">
        <f>'[3]Dia 28 (b)'!$X22</f>
        <v>15.793885781627131</v>
      </c>
      <c r="AD16" s="16">
        <f>'[3]Dia 29 (b)'!$X22</f>
        <v>15.095042221374248</v>
      </c>
      <c r="AE16" s="16">
        <f>'[3]Dia 30 (b)'!$X22</f>
        <v>14.691737731753991</v>
      </c>
      <c r="AF16" s="16">
        <f>'[3]Dia 31 (b)'!$X22</f>
        <v>9.2844450112801979</v>
      </c>
    </row>
    <row r="17" spans="1:32" ht="20.100000000000001" customHeight="1">
      <c r="A17" s="15">
        <v>14</v>
      </c>
      <c r="B17" s="16">
        <f>'[3]Dia 1 (b)'!$X23</f>
        <v>14.45352064196342</v>
      </c>
      <c r="C17" s="16">
        <f>'[3]Dia 2 (b)'!$X23</f>
        <v>14.028598547320476</v>
      </c>
      <c r="D17" s="16">
        <f>'[3]Dia 3 (b)'!$X23</f>
        <v>15.96447938971348</v>
      </c>
      <c r="E17" s="16">
        <f>'[3]Dia 4 (b)'!$X23</f>
        <v>12.645956438616325</v>
      </c>
      <c r="F17" s="16">
        <f>'[3]Dia 5 (b)'!$X23</f>
        <v>15.657716148166934</v>
      </c>
      <c r="G17" s="16">
        <f>'[3]Dia 6 (b)'!$X23</f>
        <v>15.350235011370577</v>
      </c>
      <c r="H17" s="16">
        <f>'[3]Dia 7 (b)'!$X23</f>
        <v>16.64785155054663</v>
      </c>
      <c r="I17" s="16">
        <f>'[3]Dia 8 (b)'!$X23</f>
        <v>15.575219636285121</v>
      </c>
      <c r="J17" s="16">
        <f>'[3]Dia 9 (b)'!$X23</f>
        <v>17.286345190439143</v>
      </c>
      <c r="K17" s="16">
        <f>'[3]Dia 10 (b)'!$X23</f>
        <v>17.53878807480076</v>
      </c>
      <c r="L17" s="16">
        <f>'[3]Dia 11 (b)'!$X23</f>
        <v>14.576172689183331</v>
      </c>
      <c r="M17" s="16">
        <f>'[3]Dia 12 (b)'!$X23</f>
        <v>15.680506657394327</v>
      </c>
      <c r="N17" s="16">
        <f>'[3]Dia 13 (b)'!$X23</f>
        <v>17.222516801986362</v>
      </c>
      <c r="O17" s="16">
        <f>'[3]Dia 14 (b)'!$X23</f>
        <v>14.212656640543685</v>
      </c>
      <c r="P17" s="16">
        <f>'[3]Dia 15 (b)'!$X23</f>
        <v>13.327548662332608</v>
      </c>
      <c r="Q17" s="16">
        <f>'[3]Dia 16 (b)'!$X23</f>
        <v>15.22593374819188</v>
      </c>
      <c r="R17" s="16">
        <f>'[3]Dia 17 (b)'!$X23</f>
        <v>14.508276588206863</v>
      </c>
      <c r="S17" s="16">
        <f>'[3]Dia 18 (b)'!$X23</f>
        <v>18.877332910585025</v>
      </c>
      <c r="T17" s="16">
        <f>'[3]Dia 19 (b)'!$X23</f>
        <v>16.34839878761434</v>
      </c>
      <c r="U17" s="16">
        <f>'[3]Dia 20 (b)'!$X23</f>
        <v>16.118496571295989</v>
      </c>
      <c r="V17" s="16">
        <f>'[3]Dia 21 (b)'!$X23</f>
        <v>16.647835316434527</v>
      </c>
      <c r="W17" s="16">
        <f>'[3]Dia 22 (b)'!$X23</f>
        <v>14.687610031508644</v>
      </c>
      <c r="X17" s="16">
        <f>'[3]Dia 23 (b)'!$X23</f>
        <v>12.844888381978793</v>
      </c>
      <c r="Y17" s="16">
        <f>'[3]Dia 24 (b)'!$X23</f>
        <v>13.877371275662362</v>
      </c>
      <c r="Z17" s="16">
        <f>'[3]Dia 25 (b)'!$X23</f>
        <v>14.469259140640062</v>
      </c>
      <c r="AA17" s="16">
        <f>'[3]Dia 26 (b)'!$X23</f>
        <v>13.887534422197385</v>
      </c>
      <c r="AB17" s="16">
        <f>'[3]Dia 27 (b)'!$X23</f>
        <v>13.649022966925271</v>
      </c>
      <c r="AC17" s="16">
        <f>'[3]Dia 28 (b)'!$X23</f>
        <v>15.477801512618516</v>
      </c>
      <c r="AD17" s="16">
        <f>'[3]Dia 29 (b)'!$X23</f>
        <v>15.292949202797926</v>
      </c>
      <c r="AE17" s="16">
        <f>'[3]Dia 30 (b)'!$X23</f>
        <v>15.412342043113425</v>
      </c>
      <c r="AF17" s="16">
        <f>'[3]Dia 31 (b)'!$X23</f>
        <v>9.2593019969996142</v>
      </c>
    </row>
    <row r="18" spans="1:32" ht="20.100000000000001" customHeight="1">
      <c r="A18" s="15">
        <v>15</v>
      </c>
      <c r="B18" s="16">
        <f>'[3]Dia 1 (b)'!$X24</f>
        <v>16.990873710164376</v>
      </c>
      <c r="C18" s="16">
        <f>'[3]Dia 2 (b)'!$X24</f>
        <v>14.413433720692986</v>
      </c>
      <c r="D18" s="16">
        <f>'[3]Dia 3 (b)'!$X24</f>
        <v>17.371667466891768</v>
      </c>
      <c r="E18" s="16">
        <f>'[3]Dia 4 (b)'!$X24</f>
        <v>17.301618479575183</v>
      </c>
      <c r="F18" s="16">
        <f>'[3]Dia 5 (b)'!$X24</f>
        <v>18.588493917612311</v>
      </c>
      <c r="G18" s="16">
        <f>'[3]Dia 6 (b)'!$X24</f>
        <v>15.978798736855513</v>
      </c>
      <c r="H18" s="16">
        <f>'[3]Dia 7 (b)'!$X24</f>
        <v>16.824326889971772</v>
      </c>
      <c r="I18" s="16">
        <f>'[3]Dia 8 (b)'!$X24</f>
        <v>18.491490197134883</v>
      </c>
      <c r="J18" s="16">
        <f>'[3]Dia 9 (b)'!$X24</f>
        <v>18.124676448869739</v>
      </c>
      <c r="K18" s="16">
        <f>'[3]Dia 10 (b)'!$X24</f>
        <v>16.933492831694824</v>
      </c>
      <c r="L18" s="16">
        <f>'[3]Dia 11 (b)'!$X24</f>
        <v>15.273985668610575</v>
      </c>
      <c r="M18" s="16">
        <f>'[3]Dia 12 (b)'!$X24</f>
        <v>15.379758127713977</v>
      </c>
      <c r="N18" s="16">
        <f>'[3]Dia 13 (b)'!$X24</f>
        <v>16.911925941380783</v>
      </c>
      <c r="O18" s="16">
        <f>'[3]Dia 14 (b)'!$X24</f>
        <v>18.918290608389462</v>
      </c>
      <c r="P18" s="16">
        <f>'[3]Dia 15 (b)'!$X24</f>
        <v>13.292119649076994</v>
      </c>
      <c r="Q18" s="16">
        <f>'[3]Dia 16 (b)'!$X24</f>
        <v>15.080992838848374</v>
      </c>
      <c r="R18" s="16">
        <f>'[3]Dia 17 (b)'!$X24</f>
        <v>14.760299852023859</v>
      </c>
      <c r="S18" s="16">
        <f>'[3]Dia 18 (b)'!$X24</f>
        <v>19.234600589034066</v>
      </c>
      <c r="T18" s="16">
        <f>'[3]Dia 19 (b)'!$X24</f>
        <v>19.544906403962298</v>
      </c>
      <c r="U18" s="16">
        <f>'[3]Dia 20 (b)'!$X24</f>
        <v>16.538572219540601</v>
      </c>
      <c r="V18" s="16">
        <f>'[3]Dia 21 (b)'!$X24</f>
        <v>16.171342303697401</v>
      </c>
      <c r="W18" s="16">
        <f>'[3]Dia 22 (b)'!$X24</f>
        <v>14.007954441754288</v>
      </c>
      <c r="X18" s="16">
        <f>'[3]Dia 23 (b)'!$X24</f>
        <v>12.768453037371014</v>
      </c>
      <c r="Y18" s="16">
        <f>'[3]Dia 24 (b)'!$X24</f>
        <v>14.598771867602633</v>
      </c>
      <c r="Z18" s="16">
        <f>'[3]Dia 25 (b)'!$X24</f>
        <v>14.583677574560499</v>
      </c>
      <c r="AA18" s="16">
        <f>'[3]Dia 26 (b)'!$X24</f>
        <v>14.152308006324834</v>
      </c>
      <c r="AB18" s="16">
        <f>'[3]Dia 27 (b)'!$X24</f>
        <v>13.84782642791013</v>
      </c>
      <c r="AC18" s="16">
        <f>'[3]Dia 28 (b)'!$X24</f>
        <v>15.245563455699266</v>
      </c>
      <c r="AD18" s="16">
        <f>'[3]Dia 29 (b)'!$X24</f>
        <v>16.000664057989809</v>
      </c>
      <c r="AE18" s="16">
        <f>'[3]Dia 30 (b)'!$X24</f>
        <v>15.748204046406899</v>
      </c>
      <c r="AF18" s="16">
        <f>'[3]Dia 31 (b)'!$X24</f>
        <v>9.6930474098836452</v>
      </c>
    </row>
    <row r="19" spans="1:32" ht="20.100000000000001" customHeight="1">
      <c r="A19" s="15">
        <v>16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</row>
    <row r="20" spans="1:32" ht="20.100000000000001" customHeight="1">
      <c r="A20" s="15">
        <v>17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</row>
    <row r="21" spans="1:32" ht="20.100000000000001" customHeight="1">
      <c r="A21" s="15">
        <v>18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</row>
    <row r="22" spans="1:32" ht="20.100000000000001" customHeight="1">
      <c r="A22" s="15">
        <v>19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</row>
    <row r="23" spans="1:32" ht="20.100000000000001" customHeight="1">
      <c r="A23" s="15">
        <v>20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</row>
    <row r="24" spans="1:32" ht="20.100000000000001" customHeight="1">
      <c r="A24" s="15">
        <v>21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</row>
    <row r="25" spans="1:32" ht="20.100000000000001" customHeight="1">
      <c r="A25" s="15">
        <v>22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</row>
    <row r="26" spans="1:32" ht="20.100000000000001" customHeight="1">
      <c r="A26" s="15">
        <v>23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</row>
    <row r="27" spans="1:32" ht="20.100000000000001" customHeight="1" thickBot="1">
      <c r="A27" s="15">
        <v>24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</row>
    <row r="28" spans="1:32" ht="16.5" thickTop="1">
      <c r="A28" s="17"/>
      <c r="B28" s="84" t="s">
        <v>62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1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2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3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5"/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4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2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5"/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5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2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5"/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1</v>
      </c>
      <c r="I46" s="30"/>
      <c r="J46" s="33"/>
      <c r="K46" s="34" t="s">
        <v>3</v>
      </c>
      <c r="L46" s="33"/>
      <c r="M46" s="33"/>
      <c r="N46" s="34" t="s">
        <v>4</v>
      </c>
      <c r="O46" s="33"/>
      <c r="P46" s="33"/>
      <c r="Q46" s="34" t="s">
        <v>5</v>
      </c>
      <c r="R46" s="30"/>
      <c r="S46" s="30"/>
      <c r="T46" s="33" t="s">
        <v>1</v>
      </c>
      <c r="U46" s="33"/>
      <c r="V46" s="33" t="s">
        <v>1</v>
      </c>
      <c r="W46" s="33"/>
      <c r="X46" s="33" t="s">
        <v>6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7</v>
      </c>
      <c r="I47" s="30"/>
      <c r="J47" s="33"/>
      <c r="K47" s="33" t="s">
        <v>7</v>
      </c>
      <c r="L47" s="33"/>
      <c r="M47" s="33"/>
      <c r="N47" s="33" t="s">
        <v>7</v>
      </c>
      <c r="O47" s="33"/>
      <c r="P47" s="33"/>
      <c r="Q47" s="33" t="s">
        <v>7</v>
      </c>
      <c r="R47" s="30"/>
      <c r="S47" s="30"/>
      <c r="T47" s="33" t="s">
        <v>8</v>
      </c>
      <c r="U47" s="33"/>
      <c r="V47" s="33" t="s">
        <v>9</v>
      </c>
      <c r="W47" s="33"/>
      <c r="X47" s="33" t="s">
        <v>10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/>
      <c r="I49" s="39"/>
      <c r="J49" s="41"/>
      <c r="K49" s="40"/>
      <c r="L49" s="41"/>
      <c r="M49" s="41"/>
      <c r="N49" s="40"/>
      <c r="O49" s="41"/>
      <c r="P49" s="41"/>
      <c r="Q49" s="40"/>
      <c r="R49" s="39"/>
      <c r="S49" s="40"/>
      <c r="T49" s="40"/>
      <c r="U49" s="40"/>
      <c r="V49" s="40"/>
      <c r="W49" s="40"/>
      <c r="X49" s="40"/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AB24" sqref="AB24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'[4]Dia 1 (b)'!C1</f>
        <v>ABRIL DE 2024</v>
      </c>
      <c r="C1" s="3"/>
      <c r="D1" s="4"/>
      <c r="E1" s="5"/>
      <c r="F1" s="2"/>
      <c r="G1" s="3"/>
      <c r="H1" s="3"/>
      <c r="I1" s="3"/>
      <c r="J1" s="3"/>
      <c r="K1" s="3" t="s">
        <v>11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/>
    </row>
    <row r="4" spans="1:32" ht="20.100000000000001" customHeight="1">
      <c r="A4" s="15">
        <v>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</row>
    <row r="5" spans="1:32" ht="20.100000000000001" customHeight="1">
      <c r="A5" s="15">
        <v>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</row>
    <row r="6" spans="1:32" ht="20.100000000000001" customHeight="1">
      <c r="A6" s="15">
        <v>3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</row>
    <row r="7" spans="1:32" ht="20.100000000000001" customHeight="1">
      <c r="A7" s="15">
        <v>4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</row>
    <row r="8" spans="1:32" ht="20.100000000000001" customHeight="1">
      <c r="A8" s="15">
        <v>5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</row>
    <row r="9" spans="1:32" ht="20.100000000000001" customHeight="1">
      <c r="A9" s="15">
        <v>6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</row>
    <row r="10" spans="1:32" ht="20.100000000000001" customHeight="1">
      <c r="A10" s="15">
        <v>7</v>
      </c>
      <c r="B10" s="16">
        <f>'[4]Dia 1 (b)'!$X16</f>
        <v>13.832728370771845</v>
      </c>
      <c r="C10" s="16">
        <f>'[4]Dia 2 (b)'!$X16</f>
        <v>14.112960556918742</v>
      </c>
      <c r="D10" s="16">
        <f>'[4]Dia 3 (b)'!$X16</f>
        <v>14.675661189242149</v>
      </c>
      <c r="E10" s="16">
        <f>'[4]Dia 4 (b)'!$X16</f>
        <v>13.560300960777903</v>
      </c>
      <c r="F10" s="16">
        <f>'[4]Dia 5 (b)'!$X16</f>
        <v>14.667868736804484</v>
      </c>
      <c r="G10" s="16">
        <f>'[4]Dia 6 (b)'!$X16</f>
        <v>14.781088312795479</v>
      </c>
      <c r="H10" s="16">
        <f>'[4]Dia 7 (b)'!$X16</f>
        <v>13.786661244580545</v>
      </c>
      <c r="I10" s="16">
        <f>'[4]Dia 8 (b)'!$X16</f>
        <v>14.356910522213582</v>
      </c>
      <c r="J10" s="16">
        <f>'[4]Dia 9 (b)'!$X16</f>
        <v>14.208506204267888</v>
      </c>
      <c r="K10" s="16">
        <f>'[4]Dia 10 (b)'!$X16</f>
        <v>14.13319181810027</v>
      </c>
      <c r="L10" s="16">
        <f>'[4]Dia 11 (b)'!$X16</f>
        <v>14.812372951094602</v>
      </c>
      <c r="M10" s="16">
        <f>'[4]Dia 12 (b)'!$X16</f>
        <v>14.223169874407176</v>
      </c>
      <c r="N10" s="16">
        <f>'[4]Dia 13 (b)'!$X16</f>
        <v>13.781724664244948</v>
      </c>
      <c r="O10" s="16">
        <f>'[4]Dia 14 (b)'!$X16</f>
        <v>14.715378887190951</v>
      </c>
      <c r="P10" s="16">
        <f>'[4]Dia 15 (b)'!$X16</f>
        <v>14.995266926132791</v>
      </c>
      <c r="Q10" s="16">
        <f>'[4]Dia 16 (b)'!$X16</f>
        <v>15.482771323398151</v>
      </c>
      <c r="R10" s="16">
        <f>'[4]Dia 17 (b)'!$X16</f>
        <v>16.850957122506244</v>
      </c>
      <c r="S10" s="16">
        <f>'[4]Dia 18 (b)'!$X16</f>
        <v>12.421625301308115</v>
      </c>
      <c r="T10" s="16">
        <f>'[4]Dia 19 (b)'!$X16</f>
        <v>10.317221066704144</v>
      </c>
      <c r="U10" s="16">
        <f>'[4]Dia 20 (b)'!$X16</f>
        <v>10.912961784919203</v>
      </c>
      <c r="V10" s="16">
        <f>'[4]Dia 21 (b)'!$X16</f>
        <v>11.803014616938968</v>
      </c>
      <c r="W10" s="16">
        <f>'[4]Dia 22 (b)'!$X16</f>
        <v>12.242345768034189</v>
      </c>
      <c r="X10" s="16">
        <f>'[4]Dia 23 (b)'!$X16</f>
        <v>11.724184056911914</v>
      </c>
      <c r="Y10" s="16">
        <f>'[4]Dia 24 (b)'!$X16</f>
        <v>12.284462612805198</v>
      </c>
      <c r="Z10" s="16">
        <f>'[4]Dia 25 (b)'!$X16</f>
        <v>14.212874814519441</v>
      </c>
      <c r="AA10" s="16">
        <f>'[4]Dia 26 (b)'!$X16</f>
        <v>14.307863620563801</v>
      </c>
      <c r="AB10" s="16">
        <f>'[4]Dia 27 (b)'!$X16</f>
        <v>14.81849176730041</v>
      </c>
      <c r="AC10" s="16">
        <f>'[4]Dia 28 (b)'!$X16</f>
        <v>13.905650361051638</v>
      </c>
      <c r="AD10" s="16">
        <f>'[4]Dia 29 (b)'!$X16</f>
        <v>15.113421061537025</v>
      </c>
      <c r="AE10" s="16">
        <f>'[4]Dia 30 (b)'!$X16</f>
        <v>14.346690348757285</v>
      </c>
      <c r="AF10" s="16"/>
    </row>
    <row r="11" spans="1:32" ht="20.100000000000001" customHeight="1">
      <c r="A11" s="15">
        <v>8</v>
      </c>
      <c r="B11" s="16">
        <f>'[4]Dia 1 (b)'!$X17</f>
        <v>12.621491551905589</v>
      </c>
      <c r="C11" s="16">
        <f>'[4]Dia 2 (b)'!$X17</f>
        <v>14.136764486521345</v>
      </c>
      <c r="D11" s="16">
        <f>'[4]Dia 3 (b)'!$X17</f>
        <v>14.7801301315031</v>
      </c>
      <c r="E11" s="16">
        <f>'[4]Dia 4 (b)'!$X17</f>
        <v>14.465105815205687</v>
      </c>
      <c r="F11" s="16">
        <f>'[4]Dia 5 (b)'!$X17</f>
        <v>14.644888039845258</v>
      </c>
      <c r="G11" s="16">
        <f>'[4]Dia 6 (b)'!$X17</f>
        <v>13.997202302151562</v>
      </c>
      <c r="H11" s="16">
        <f>'[4]Dia 7 (b)'!$X17</f>
        <v>13.798754184169404</v>
      </c>
      <c r="I11" s="16">
        <f>'[4]Dia 8 (b)'!$X17</f>
        <v>14.612167928029541</v>
      </c>
      <c r="J11" s="16">
        <f>'[4]Dia 9 (b)'!$X17</f>
        <v>15.705127240408975</v>
      </c>
      <c r="K11" s="16">
        <f>'[4]Dia 10 (b)'!$X17</f>
        <v>15.130223726397443</v>
      </c>
      <c r="L11" s="16">
        <f>'[4]Dia 11 (b)'!$X17</f>
        <v>15.041601547462562</v>
      </c>
      <c r="M11" s="16">
        <f>'[4]Dia 12 (b)'!$X17</f>
        <v>14.458901495048929</v>
      </c>
      <c r="N11" s="16">
        <f>'[4]Dia 13 (b)'!$X17</f>
        <v>13.880767474268181</v>
      </c>
      <c r="O11" s="16">
        <f>'[4]Dia 14 (b)'!$X17</f>
        <v>14.797102758042772</v>
      </c>
      <c r="P11" s="16">
        <f>'[4]Dia 15 (b)'!$X17</f>
        <v>15.448978008018965</v>
      </c>
      <c r="Q11" s="16">
        <f>'[4]Dia 16 (b)'!$X17</f>
        <v>15.842464396466678</v>
      </c>
      <c r="R11" s="16">
        <f>'[4]Dia 17 (b)'!$X17</f>
        <v>17.620610673532102</v>
      </c>
      <c r="S11" s="16">
        <f>'[4]Dia 18 (b)'!$X17</f>
        <v>12.126157228588712</v>
      </c>
      <c r="T11" s="16">
        <f>'[4]Dia 19 (b)'!$X17</f>
        <v>10.346386504377612</v>
      </c>
      <c r="U11" s="16">
        <f>'[4]Dia 20 (b)'!$X17</f>
        <v>11.246838694923014</v>
      </c>
      <c r="V11" s="16">
        <f>'[4]Dia 21 (b)'!$X17</f>
        <v>11.826151335047456</v>
      </c>
      <c r="W11" s="16">
        <f>'[4]Dia 22 (b)'!$X17</f>
        <v>12.764581082480758</v>
      </c>
      <c r="X11" s="16">
        <f>'[4]Dia 23 (b)'!$X17</f>
        <v>12.395415885496327</v>
      </c>
      <c r="Y11" s="16">
        <f>'[4]Dia 24 (b)'!$X17</f>
        <v>13.545273247204479</v>
      </c>
      <c r="Z11" s="16">
        <f>'[4]Dia 25 (b)'!$X17</f>
        <v>14.332232621288382</v>
      </c>
      <c r="AA11" s="16">
        <f>'[4]Dia 26 (b)'!$X17</f>
        <v>14.703615001705174</v>
      </c>
      <c r="AB11" s="16">
        <f>'[4]Dia 27 (b)'!$X17</f>
        <v>15.099977577659709</v>
      </c>
      <c r="AC11" s="16">
        <f>'[4]Dia 28 (b)'!$X17</f>
        <v>14.196353769724158</v>
      </c>
      <c r="AD11" s="16">
        <f>'[4]Dia 29 (b)'!$X17</f>
        <v>14.854488006081738</v>
      </c>
      <c r="AE11" s="16">
        <f>'[4]Dia 30 (b)'!$X17</f>
        <v>14.439716617028626</v>
      </c>
      <c r="AF11" s="16"/>
    </row>
    <row r="12" spans="1:32" ht="20.100000000000001" customHeight="1">
      <c r="A12" s="15">
        <v>9</v>
      </c>
      <c r="B12" s="16">
        <f>'[4]Dia 1 (b)'!$X18</f>
        <v>13.190412051917292</v>
      </c>
      <c r="C12" s="16">
        <f>'[4]Dia 2 (b)'!$X18</f>
        <v>14.55491652041305</v>
      </c>
      <c r="D12" s="16">
        <f>'[4]Dia 3 (b)'!$X18</f>
        <v>13.556447410663198</v>
      </c>
      <c r="E12" s="16">
        <f>'[4]Dia 4 (b)'!$X18</f>
        <v>14.949233902716934</v>
      </c>
      <c r="F12" s="16">
        <f>'[4]Dia 5 (b)'!$X18</f>
        <v>14.455132626898836</v>
      </c>
      <c r="G12" s="16">
        <f>'[4]Dia 6 (b)'!$X18</f>
        <v>13.808384737704726</v>
      </c>
      <c r="H12" s="16">
        <f>'[4]Dia 7 (b)'!$X18</f>
        <v>13.948523115270815</v>
      </c>
      <c r="I12" s="16">
        <f>'[4]Dia 8 (b)'!$X18</f>
        <v>14.462930965666743</v>
      </c>
      <c r="J12" s="16">
        <f>'[4]Dia 9 (b)'!$X18</f>
        <v>16.016613770973066</v>
      </c>
      <c r="K12" s="16">
        <f>'[4]Dia 10 (b)'!$X18</f>
        <v>15.290174726326356</v>
      </c>
      <c r="L12" s="16">
        <f>'[4]Dia 11 (b)'!$X18</f>
        <v>15.363103016331365</v>
      </c>
      <c r="M12" s="16">
        <f>'[4]Dia 12 (b)'!$X18</f>
        <v>13.789904753530022</v>
      </c>
      <c r="N12" s="16">
        <f>'[4]Dia 13 (b)'!$X18</f>
        <v>14.175762150819013</v>
      </c>
      <c r="O12" s="16">
        <f>'[4]Dia 14 (b)'!$X18</f>
        <v>14.792543824120591</v>
      </c>
      <c r="P12" s="16">
        <f>'[4]Dia 15 (b)'!$X18</f>
        <v>16.191058296435493</v>
      </c>
      <c r="Q12" s="16">
        <f>'[4]Dia 16 (b)'!$X18</f>
        <v>15.646324196617542</v>
      </c>
      <c r="R12" s="16">
        <f>'[4]Dia 17 (b)'!$X18</f>
        <v>17.469208356797836</v>
      </c>
      <c r="S12" s="16">
        <f>'[4]Dia 18 (b)'!$X18</f>
        <v>11.996597993188107</v>
      </c>
      <c r="T12" s="16">
        <f>'[4]Dia 19 (b)'!$X18</f>
        <v>7.523156987026745</v>
      </c>
      <c r="U12" s="16">
        <f>'[4]Dia 20 (b)'!$X18</f>
        <v>11.24335436000438</v>
      </c>
      <c r="V12" s="16">
        <f>'[4]Dia 21 (b)'!$X18</f>
        <v>12.302938099942121</v>
      </c>
      <c r="W12" s="16">
        <f>'[4]Dia 22 (b)'!$X18</f>
        <v>12.269896369198735</v>
      </c>
      <c r="X12" s="16">
        <f>'[4]Dia 23 (b)'!$X18</f>
        <v>11.346750794427047</v>
      </c>
      <c r="Y12" s="16">
        <f>'[4]Dia 24 (b)'!$X18</f>
        <v>10.804529618552898</v>
      </c>
      <c r="Z12" s="16">
        <f>'[4]Dia 25 (b)'!$X18</f>
        <v>13.872522671989399</v>
      </c>
      <c r="AA12" s="16">
        <f>'[4]Dia 26 (b)'!$X18</f>
        <v>14.453107283846938</v>
      </c>
      <c r="AB12" s="16">
        <f>'[4]Dia 27 (b)'!$X18</f>
        <v>14.592456232222643</v>
      </c>
      <c r="AC12" s="16">
        <f>'[4]Dia 28 (b)'!$X18</f>
        <v>13.456314948697928</v>
      </c>
      <c r="AD12" s="16">
        <f>'[4]Dia 29 (b)'!$X18</f>
        <v>14.959905664849288</v>
      </c>
      <c r="AE12" s="16">
        <f>'[4]Dia 30 (b)'!$X18</f>
        <v>13.19636791297359</v>
      </c>
      <c r="AF12" s="16"/>
    </row>
    <row r="13" spans="1:32" ht="20.100000000000001" customHeight="1">
      <c r="A13" s="15">
        <v>10</v>
      </c>
      <c r="B13" s="16">
        <f>'[4]Dia 1 (b)'!$X19</f>
        <v>12.321970303928225</v>
      </c>
      <c r="C13" s="16">
        <f>'[4]Dia 2 (b)'!$X19</f>
        <v>14.129519663150676</v>
      </c>
      <c r="D13" s="16">
        <f>'[4]Dia 3 (b)'!$X19</f>
        <v>14.1714754913628</v>
      </c>
      <c r="E13" s="16">
        <f>'[4]Dia 4 (b)'!$X19</f>
        <v>14.729748538109774</v>
      </c>
      <c r="F13" s="16">
        <f>'[4]Dia 5 (b)'!$X19</f>
        <v>14.068168410649363</v>
      </c>
      <c r="G13" s="16">
        <f>'[4]Dia 6 (b)'!$X19</f>
        <v>13.256999036578909</v>
      </c>
      <c r="H13" s="16">
        <f>'[4]Dia 7 (b)'!$X19</f>
        <v>13.680441474059309</v>
      </c>
      <c r="I13" s="16">
        <f>'[4]Dia 8 (b)'!$X19</f>
        <v>14.405453058030783</v>
      </c>
      <c r="J13" s="16">
        <f>'[4]Dia 9 (b)'!$X19</f>
        <v>15.068287252222145</v>
      </c>
      <c r="K13" s="16">
        <f>'[4]Dia 10 (b)'!$X19</f>
        <v>14.679508942365821</v>
      </c>
      <c r="L13" s="16">
        <f>'[4]Dia 11 (b)'!$X19</f>
        <v>14.984623196930102</v>
      </c>
      <c r="M13" s="16">
        <f>'[4]Dia 12 (b)'!$X19</f>
        <v>14.152772853961901</v>
      </c>
      <c r="N13" s="16">
        <f>'[4]Dia 13 (b)'!$X19</f>
        <v>14.707754533142527</v>
      </c>
      <c r="O13" s="16">
        <f>'[4]Dia 14 (b)'!$X19</f>
        <v>14.546714832067265</v>
      </c>
      <c r="P13" s="16">
        <f>'[4]Dia 15 (b)'!$X19</f>
        <v>16.062361310404029</v>
      </c>
      <c r="Q13" s="16">
        <f>'[4]Dia 16 (b)'!$X19</f>
        <v>14.974443503584094</v>
      </c>
      <c r="R13" s="16">
        <f>'[4]Dia 17 (b)'!$X19</f>
        <v>15.381686572148258</v>
      </c>
      <c r="S13" s="16">
        <f>'[4]Dia 18 (b)'!$X19</f>
        <v>11.225327053469172</v>
      </c>
      <c r="T13" s="16">
        <f>'[4]Dia 19 (b)'!$X19</f>
        <v>7.1146638765024974</v>
      </c>
      <c r="U13" s="16">
        <f>'[4]Dia 20 (b)'!$X19</f>
        <v>10.908214756124892</v>
      </c>
      <c r="V13" s="16">
        <f>'[4]Dia 21 (b)'!$X19</f>
        <v>12.103560534914784</v>
      </c>
      <c r="W13" s="16">
        <f>'[4]Dia 22 (b)'!$X19</f>
        <v>11.845078191286664</v>
      </c>
      <c r="X13" s="16">
        <f>'[4]Dia 23 (b)'!$X19</f>
        <v>9.9103303627649524</v>
      </c>
      <c r="Y13" s="16">
        <f>'[4]Dia 24 (b)'!$X19</f>
        <v>11.775466867305909</v>
      </c>
      <c r="Z13" s="16">
        <f>'[4]Dia 25 (b)'!$X19</f>
        <v>14.702492982468623</v>
      </c>
      <c r="AA13" s="16">
        <f>'[4]Dia 26 (b)'!$X19</f>
        <v>14.168454177100395</v>
      </c>
      <c r="AB13" s="16">
        <f>'[4]Dia 27 (b)'!$X19</f>
        <v>14.365825369598836</v>
      </c>
      <c r="AC13" s="16">
        <f>'[4]Dia 28 (b)'!$X19</f>
        <v>12.554836216159574</v>
      </c>
      <c r="AD13" s="16">
        <f>'[4]Dia 29 (b)'!$X19</f>
        <v>14.935911036205709</v>
      </c>
      <c r="AE13" s="16">
        <f>'[4]Dia 30 (b)'!$X19</f>
        <v>12.311883860168191</v>
      </c>
      <c r="AF13" s="16"/>
    </row>
    <row r="14" spans="1:32" ht="20.100000000000001" customHeight="1">
      <c r="A14" s="15">
        <v>11</v>
      </c>
      <c r="B14" s="16">
        <f>'[4]Dia 1 (b)'!$X20</f>
        <v>11.693026255070331</v>
      </c>
      <c r="C14" s="16">
        <f>'[4]Dia 2 (b)'!$X20</f>
        <v>13.528606224115187</v>
      </c>
      <c r="D14" s="16">
        <f>'[4]Dia 3 (b)'!$X20</f>
        <v>14.444994777167732</v>
      </c>
      <c r="E14" s="16">
        <f>'[4]Dia 4 (b)'!$X20</f>
        <v>14.705882412106353</v>
      </c>
      <c r="F14" s="16">
        <f>'[4]Dia 5 (b)'!$X20</f>
        <v>12.802908259300169</v>
      </c>
      <c r="G14" s="16">
        <f>'[4]Dia 6 (b)'!$X20</f>
        <v>13.561201427275963</v>
      </c>
      <c r="H14" s="16">
        <f>'[4]Dia 7 (b)'!$X20</f>
        <v>14.48793602509534</v>
      </c>
      <c r="I14" s="16">
        <f>'[4]Dia 8 (b)'!$X20</f>
        <v>14.328349003624208</v>
      </c>
      <c r="J14" s="16">
        <f>'[4]Dia 9 (b)'!$X20</f>
        <v>13.844235878919511</v>
      </c>
      <c r="K14" s="16">
        <f>'[4]Dia 10 (b)'!$X20</f>
        <v>14.884197304019462</v>
      </c>
      <c r="L14" s="16">
        <f>'[4]Dia 11 (b)'!$X20</f>
        <v>14.838488717844715</v>
      </c>
      <c r="M14" s="16">
        <f>'[4]Dia 12 (b)'!$X20</f>
        <v>13.635707618900623</v>
      </c>
      <c r="N14" s="16">
        <f>'[4]Dia 13 (b)'!$X20</f>
        <v>13.516677757889843</v>
      </c>
      <c r="O14" s="16">
        <f>'[4]Dia 14 (b)'!$X20</f>
        <v>14.580832542212196</v>
      </c>
      <c r="P14" s="16">
        <f>'[4]Dia 15 (b)'!$X20</f>
        <v>15.000867687575884</v>
      </c>
      <c r="Q14" s="16">
        <f>'[4]Dia 16 (b)'!$X20</f>
        <v>14.012244745986484</v>
      </c>
      <c r="R14" s="16">
        <f>'[4]Dia 17 (b)'!$X20</f>
        <v>15.290595549464728</v>
      </c>
      <c r="S14" s="16">
        <f>'[4]Dia 18 (b)'!$X20</f>
        <v>11.454082559351486</v>
      </c>
      <c r="T14" s="16">
        <f>'[4]Dia 19 (b)'!$X20</f>
        <v>6.4224498873851541</v>
      </c>
      <c r="U14" s="16">
        <f>'[4]Dia 20 (b)'!$X20</f>
        <v>11.2061905093506</v>
      </c>
      <c r="V14" s="16">
        <f>'[4]Dia 21 (b)'!$X20</f>
        <v>12.129661145677096</v>
      </c>
      <c r="W14" s="16">
        <f>'[4]Dia 22 (b)'!$X20</f>
        <v>10.7392221723905</v>
      </c>
      <c r="X14" s="16">
        <f>'[4]Dia 23 (b)'!$X20</f>
        <v>10.458194240685897</v>
      </c>
      <c r="Y14" s="16">
        <f>'[4]Dia 24 (b)'!$X20</f>
        <v>11.416895098522101</v>
      </c>
      <c r="Z14" s="16">
        <f>'[4]Dia 25 (b)'!$X20</f>
        <v>15.150887469120383</v>
      </c>
      <c r="AA14" s="16">
        <f>'[4]Dia 26 (b)'!$X20</f>
        <v>14.462508665032866</v>
      </c>
      <c r="AB14" s="16">
        <f>'[4]Dia 27 (b)'!$X20</f>
        <v>13.785605747094563</v>
      </c>
      <c r="AC14" s="16">
        <f>'[4]Dia 28 (b)'!$X20</f>
        <v>12.766392984638079</v>
      </c>
      <c r="AD14" s="16">
        <f>'[4]Dia 29 (b)'!$X20</f>
        <v>15.364805109751941</v>
      </c>
      <c r="AE14" s="16">
        <f>'[4]Dia 30 (b)'!$X20</f>
        <v>11.128299832919579</v>
      </c>
      <c r="AF14" s="16"/>
    </row>
    <row r="15" spans="1:32" ht="20.100000000000001" customHeight="1">
      <c r="A15" s="15">
        <v>12</v>
      </c>
      <c r="B15" s="16">
        <f>'[4]Dia 1 (b)'!$X21</f>
        <v>10.415035741289136</v>
      </c>
      <c r="C15" s="16">
        <f>'[4]Dia 2 (b)'!$X21</f>
        <v>12.14653098744232</v>
      </c>
      <c r="D15" s="16">
        <f>'[4]Dia 3 (b)'!$X21</f>
        <v>13.666666827297327</v>
      </c>
      <c r="E15" s="16">
        <f>'[4]Dia 4 (b)'!$X21</f>
        <v>14.423088909069349</v>
      </c>
      <c r="F15" s="16">
        <f>'[4]Dia 5 (b)'!$X21</f>
        <v>11.095841876503002</v>
      </c>
      <c r="G15" s="16">
        <f>'[4]Dia 6 (b)'!$X21</f>
        <v>14.200527040724383</v>
      </c>
      <c r="H15" s="16">
        <f>'[4]Dia 7 (b)'!$X21</f>
        <v>13.503860786808513</v>
      </c>
      <c r="I15" s="16">
        <f>'[4]Dia 8 (b)'!$X21</f>
        <v>14.410083265265889</v>
      </c>
      <c r="J15" s="16">
        <f>'[4]Dia 9 (b)'!$X21</f>
        <v>14.010183301395339</v>
      </c>
      <c r="K15" s="16">
        <f>'[4]Dia 10 (b)'!$X21</f>
        <v>13.358217709093136</v>
      </c>
      <c r="L15" s="16">
        <f>'[4]Dia 11 (b)'!$X21</f>
        <v>15.00274573242865</v>
      </c>
      <c r="M15" s="16">
        <f>'[4]Dia 12 (b)'!$X21</f>
        <v>14.010525247680242</v>
      </c>
      <c r="N15" s="16">
        <f>'[4]Dia 13 (b)'!$X21</f>
        <v>13.196172933415527</v>
      </c>
      <c r="O15" s="16">
        <f>'[4]Dia 14 (b)'!$X21</f>
        <v>14.01160297425467</v>
      </c>
      <c r="P15" s="16">
        <f>'[4]Dia 15 (b)'!$X21</f>
        <v>14.752118775824222</v>
      </c>
      <c r="Q15" s="16">
        <f>'[4]Dia 16 (b)'!$X21</f>
        <v>14.201693981627445</v>
      </c>
      <c r="R15" s="16">
        <f>'[4]Dia 17 (b)'!$X21</f>
        <v>15.136818864398876</v>
      </c>
      <c r="S15" s="16">
        <f>'[4]Dia 18 (b)'!$X21</f>
        <v>11.22982368521275</v>
      </c>
      <c r="T15" s="16">
        <f>'[4]Dia 19 (b)'!$X21</f>
        <v>7.4175313173253752</v>
      </c>
      <c r="U15" s="16">
        <f>'[4]Dia 20 (b)'!$X21</f>
        <v>11.22473836979108</v>
      </c>
      <c r="V15" s="16">
        <f>'[4]Dia 21 (b)'!$X21</f>
        <v>11.095320906881408</v>
      </c>
      <c r="W15" s="16">
        <f>'[4]Dia 22 (b)'!$X21</f>
        <v>9.0580584767477266</v>
      </c>
      <c r="X15" s="16">
        <f>'[4]Dia 23 (b)'!$X21</f>
        <v>9.316949680520894</v>
      </c>
      <c r="Y15" s="16">
        <f>'[4]Dia 24 (b)'!$X21</f>
        <v>11.052587109180051</v>
      </c>
      <c r="Z15" s="16">
        <f>'[4]Dia 25 (b)'!$X21</f>
        <v>15.096293014975332</v>
      </c>
      <c r="AA15" s="16">
        <f>'[4]Dia 26 (b)'!$X21</f>
        <v>14.157317750862958</v>
      </c>
      <c r="AB15" s="16">
        <f>'[4]Dia 27 (b)'!$X21</f>
        <v>14.092086732708715</v>
      </c>
      <c r="AC15" s="16">
        <f>'[4]Dia 28 (b)'!$X21</f>
        <v>13.244106836527919</v>
      </c>
      <c r="AD15" s="16">
        <f>'[4]Dia 29 (b)'!$X21</f>
        <v>15.488314024408965</v>
      </c>
      <c r="AE15" s="16">
        <f>'[4]Dia 30 (b)'!$X21</f>
        <v>11.17447230935139</v>
      </c>
      <c r="AF15" s="16"/>
    </row>
    <row r="16" spans="1:32" ht="20.100000000000001" customHeight="1">
      <c r="A16" s="15">
        <v>13</v>
      </c>
      <c r="B16" s="16">
        <f>'[4]Dia 1 (b)'!$X22</f>
        <v>8.4931766862747402</v>
      </c>
      <c r="C16" s="16">
        <f>'[4]Dia 2 (b)'!$X22</f>
        <v>12.205354768366011</v>
      </c>
      <c r="D16" s="16">
        <f>'[4]Dia 3 (b)'!$X22</f>
        <v>13.936531149190717</v>
      </c>
      <c r="E16" s="16">
        <f>'[4]Dia 4 (b)'!$X22</f>
        <v>13.721830522307872</v>
      </c>
      <c r="F16" s="16">
        <f>'[4]Dia 5 (b)'!$X22</f>
        <v>9.7177735358077211</v>
      </c>
      <c r="G16" s="16">
        <f>'[4]Dia 6 (b)'!$X22</f>
        <v>14.765339947447934</v>
      </c>
      <c r="H16" s="16">
        <f>'[4]Dia 7 (b)'!$X22</f>
        <v>13.336445919187621</v>
      </c>
      <c r="I16" s="16">
        <f>'[4]Dia 8 (b)'!$X22</f>
        <v>14.671269777088602</v>
      </c>
      <c r="J16" s="16">
        <f>'[4]Dia 9 (b)'!$X22</f>
        <v>14.272775341681811</v>
      </c>
      <c r="K16" s="16">
        <f>'[4]Dia 10 (b)'!$X22</f>
        <v>13.551266518548708</v>
      </c>
      <c r="L16" s="16">
        <f>'[4]Dia 11 (b)'!$X22</f>
        <v>16.431747103404991</v>
      </c>
      <c r="M16" s="16">
        <f>'[4]Dia 12 (b)'!$X22</f>
        <v>15.052913555487061</v>
      </c>
      <c r="N16" s="16">
        <f>'[4]Dia 13 (b)'!$X22</f>
        <v>13.535363846598043</v>
      </c>
      <c r="O16" s="16">
        <f>'[4]Dia 14 (b)'!$X22</f>
        <v>14.788858537713097</v>
      </c>
      <c r="P16" s="16">
        <f>'[4]Dia 15 (b)'!$X22</f>
        <v>14.072832532900218</v>
      </c>
      <c r="Q16" s="16">
        <f>'[4]Dia 16 (b)'!$X22</f>
        <v>12.888892379443664</v>
      </c>
      <c r="R16" s="16">
        <f>'[4]Dia 17 (b)'!$X22</f>
        <v>15.3877150207223</v>
      </c>
      <c r="S16" s="16">
        <f>'[4]Dia 18 (b)'!$X22</f>
        <v>11.799491459424885</v>
      </c>
      <c r="T16" s="16">
        <f>'[4]Dia 19 (b)'!$X22</f>
        <v>9.0490231928317169</v>
      </c>
      <c r="U16" s="16">
        <f>'[4]Dia 20 (b)'!$X22</f>
        <v>11.368760603652696</v>
      </c>
      <c r="V16" s="16">
        <f>'[4]Dia 21 (b)'!$X22</f>
        <v>9.3691449902455393</v>
      </c>
      <c r="W16" s="16">
        <f>'[4]Dia 22 (b)'!$X22</f>
        <v>8.9840566491531249</v>
      </c>
      <c r="X16" s="16">
        <f>'[4]Dia 23 (b)'!$X22</f>
        <v>9.9555119219851882</v>
      </c>
      <c r="Y16" s="16">
        <f>'[4]Dia 24 (b)'!$X22</f>
        <v>11.586195170841139</v>
      </c>
      <c r="Z16" s="16">
        <f>'[4]Dia 25 (b)'!$X22</f>
        <v>15.568091223274919</v>
      </c>
      <c r="AA16" s="16">
        <f>'[4]Dia 26 (b)'!$X22</f>
        <v>14.553073363781049</v>
      </c>
      <c r="AB16" s="16">
        <f>'[4]Dia 27 (b)'!$X22</f>
        <v>13.058423244529244</v>
      </c>
      <c r="AC16" s="16">
        <f>'[4]Dia 28 (b)'!$X22</f>
        <v>12.112694584411443</v>
      </c>
      <c r="AD16" s="16">
        <f>'[4]Dia 29 (b)'!$X22</f>
        <v>13.899878112375008</v>
      </c>
      <c r="AE16" s="16">
        <f>'[4]Dia 30 (b)'!$X22</f>
        <v>10.220166831541997</v>
      </c>
      <c r="AF16" s="16"/>
    </row>
    <row r="17" spans="1:32" ht="20.100000000000001" customHeight="1">
      <c r="A17" s="15">
        <v>14</v>
      </c>
      <c r="B17" s="16">
        <f>'[4]Dia 1 (b)'!$X23</f>
        <v>8.664627943513084</v>
      </c>
      <c r="C17" s="16">
        <f>'[4]Dia 2 (b)'!$X23</f>
        <v>13.200747151034903</v>
      </c>
      <c r="D17" s="16">
        <f>'[4]Dia 3 (b)'!$X23</f>
        <v>13.419918627830564</v>
      </c>
      <c r="E17" s="16">
        <f>'[4]Dia 4 (b)'!$X23</f>
        <v>12.658953247308013</v>
      </c>
      <c r="F17" s="16">
        <f>'[4]Dia 5 (b)'!$X23</f>
        <v>10.524497016248946</v>
      </c>
      <c r="G17" s="16">
        <f>'[4]Dia 6 (b)'!$X23</f>
        <v>14.920171925287887</v>
      </c>
      <c r="H17" s="16">
        <f>'[4]Dia 7 (b)'!$X23</f>
        <v>15.170403620006338</v>
      </c>
      <c r="I17" s="16">
        <f>'[4]Dia 8 (b)'!$X23</f>
        <v>15.075589477223456</v>
      </c>
      <c r="J17" s="16">
        <f>'[4]Dia 9 (b)'!$X23</f>
        <v>13.863062664188838</v>
      </c>
      <c r="K17" s="16">
        <f>'[4]Dia 10 (b)'!$X23</f>
        <v>15.70219626449812</v>
      </c>
      <c r="L17" s="16">
        <f>'[4]Dia 11 (b)'!$X23</f>
        <v>15.904567293580511</v>
      </c>
      <c r="M17" s="16">
        <f>'[4]Dia 12 (b)'!$X23</f>
        <v>14.958442024735263</v>
      </c>
      <c r="N17" s="16">
        <f>'[4]Dia 13 (b)'!$X23</f>
        <v>12.882588018333616</v>
      </c>
      <c r="O17" s="16">
        <f>'[4]Dia 14 (b)'!$X23</f>
        <v>15.258645677598354</v>
      </c>
      <c r="P17" s="16">
        <f>'[4]Dia 15 (b)'!$X23</f>
        <v>13.917081892206065</v>
      </c>
      <c r="Q17" s="16">
        <f>'[4]Dia 16 (b)'!$X23</f>
        <v>14.964953825390809</v>
      </c>
      <c r="R17" s="16">
        <f>'[4]Dia 17 (b)'!$X23</f>
        <v>15.674575664242022</v>
      </c>
      <c r="S17" s="16">
        <f>'[4]Dia 18 (b)'!$X23</f>
        <v>12.162064349295219</v>
      </c>
      <c r="T17" s="16">
        <f>'[4]Dia 19 (b)'!$X23</f>
        <v>9.1663764882912648</v>
      </c>
      <c r="U17" s="16">
        <f>'[4]Dia 20 (b)'!$X23</f>
        <v>13.25387035093274</v>
      </c>
      <c r="V17" s="16">
        <f>'[4]Dia 21 (b)'!$X23</f>
        <v>9.1335867266278328</v>
      </c>
      <c r="W17" s="16">
        <f>'[4]Dia 22 (b)'!$X23</f>
        <v>8.5346035115550851</v>
      </c>
      <c r="X17" s="16">
        <f>'[4]Dia 23 (b)'!$X23</f>
        <v>8.9626741599174871</v>
      </c>
      <c r="Y17" s="16">
        <f>'[4]Dia 24 (b)'!$X23</f>
        <v>12.213833439491388</v>
      </c>
      <c r="Z17" s="16">
        <f>'[4]Dia 25 (b)'!$X23</f>
        <v>15.726788803433854</v>
      </c>
      <c r="AA17" s="16">
        <f>'[4]Dia 26 (b)'!$X23</f>
        <v>13.803419672568449</v>
      </c>
      <c r="AB17" s="16">
        <f>'[4]Dia 27 (b)'!$X23</f>
        <v>13.115368001420073</v>
      </c>
      <c r="AC17" s="16">
        <f>'[4]Dia 28 (b)'!$X23</f>
        <v>12.635772905974473</v>
      </c>
      <c r="AD17" s="16">
        <f>'[4]Dia 29 (b)'!$X23</f>
        <v>13.979481595041074</v>
      </c>
      <c r="AE17" s="16">
        <f>'[4]Dia 30 (b)'!$X23</f>
        <v>10.23452589288833</v>
      </c>
      <c r="AF17" s="16"/>
    </row>
    <row r="18" spans="1:32" ht="20.100000000000001" customHeight="1">
      <c r="A18" s="15">
        <v>15</v>
      </c>
      <c r="B18" s="16">
        <f>'[4]Dia 1 (b)'!$X24</f>
        <v>9.5756910184094242</v>
      </c>
      <c r="C18" s="16">
        <f>'[4]Dia 2 (b)'!$X24</f>
        <v>16.818937217872119</v>
      </c>
      <c r="D18" s="16">
        <f>'[4]Dia 3 (b)'!$X24</f>
        <v>16.051342691787479</v>
      </c>
      <c r="E18" s="16">
        <f>'[4]Dia 4 (b)'!$X24</f>
        <v>15.228762752827912</v>
      </c>
      <c r="F18" s="16">
        <f>'[4]Dia 5 (b)'!$X24</f>
        <v>11.172013548252597</v>
      </c>
      <c r="G18" s="16">
        <f>'[4]Dia 6 (b)'!$X24</f>
        <v>14.91230113887649</v>
      </c>
      <c r="H18" s="16">
        <f>'[4]Dia 7 (b)'!$X24</f>
        <v>14.616516913850845</v>
      </c>
      <c r="I18" s="16">
        <f>'[4]Dia 8 (b)'!$X24</f>
        <v>16.199937682019893</v>
      </c>
      <c r="J18" s="16">
        <f>'[4]Dia 9 (b)'!$X24</f>
        <v>15.142353576081312</v>
      </c>
      <c r="K18" s="16">
        <f>'[4]Dia 10 (b)'!$X24</f>
        <v>16.590269556972824</v>
      </c>
      <c r="L18" s="16">
        <f>'[4]Dia 11 (b)'!$X24</f>
        <v>15.480437629042932</v>
      </c>
      <c r="M18" s="16">
        <f>'[4]Dia 12 (b)'!$X24</f>
        <v>15.007669638629235</v>
      </c>
      <c r="N18" s="16">
        <f>'[4]Dia 13 (b)'!$X24</f>
        <v>16.219247713587066</v>
      </c>
      <c r="O18" s="16">
        <f>'[4]Dia 14 (b)'!$X24</f>
        <v>15.029645232928813</v>
      </c>
      <c r="P18" s="16">
        <f>'[4]Dia 15 (b)'!$X24</f>
        <v>16.430963564089609</v>
      </c>
      <c r="Q18" s="16">
        <f>'[4]Dia 16 (b)'!$X24</f>
        <v>13.823186260503858</v>
      </c>
      <c r="R18" s="16">
        <f>'[4]Dia 17 (b)'!$X24</f>
        <v>15.44595078158137</v>
      </c>
      <c r="S18" s="16">
        <f>'[4]Dia 18 (b)'!$X24</f>
        <v>11.561515889488467</v>
      </c>
      <c r="T18" s="16">
        <f>'[4]Dia 19 (b)'!$X24</f>
        <v>9.5451644083051832</v>
      </c>
      <c r="U18" s="16">
        <f>'[4]Dia 20 (b)'!$X24</f>
        <v>13.247475595422795</v>
      </c>
      <c r="V18" s="16">
        <f>'[4]Dia 21 (b)'!$X24</f>
        <v>9.6986018983161006</v>
      </c>
      <c r="W18" s="16">
        <f>'[4]Dia 22 (b)'!$X24</f>
        <v>9.0026710541096406</v>
      </c>
      <c r="X18" s="16">
        <f>'[4]Dia 23 (b)'!$X24</f>
        <v>9.5659365301469972</v>
      </c>
      <c r="Y18" s="16">
        <f>'[4]Dia 24 (b)'!$X24</f>
        <v>12.857065387434101</v>
      </c>
      <c r="Z18" s="16">
        <f>'[4]Dia 25 (b)'!$X24</f>
        <v>15.414882240726705</v>
      </c>
      <c r="AA18" s="16">
        <f>'[4]Dia 26 (b)'!$X24</f>
        <v>16.286178859301472</v>
      </c>
      <c r="AB18" s="16">
        <f>'[4]Dia 27 (b)'!$X24</f>
        <v>12.658992332893092</v>
      </c>
      <c r="AC18" s="16">
        <f>'[4]Dia 28 (b)'!$X24</f>
        <v>12.262360680403599</v>
      </c>
      <c r="AD18" s="16">
        <f>'[4]Dia 29 (b)'!$X24</f>
        <v>12.392917646776382</v>
      </c>
      <c r="AE18" s="16">
        <f>'[4]Dia 30 (b)'!$X24</f>
        <v>10.27932729976413</v>
      </c>
      <c r="AF18" s="16"/>
    </row>
    <row r="19" spans="1:32" ht="20.100000000000001" customHeight="1">
      <c r="A19" s="15">
        <v>16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</row>
    <row r="20" spans="1:32" ht="20.100000000000001" customHeight="1">
      <c r="A20" s="15">
        <v>17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</row>
    <row r="21" spans="1:32" ht="20.100000000000001" customHeight="1">
      <c r="A21" s="15">
        <v>18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</row>
    <row r="22" spans="1:32" ht="20.100000000000001" customHeight="1">
      <c r="A22" s="15">
        <v>19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</row>
    <row r="23" spans="1:32" ht="20.100000000000001" customHeight="1">
      <c r="A23" s="15">
        <v>20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</row>
    <row r="24" spans="1:32" ht="20.100000000000001" customHeight="1">
      <c r="A24" s="15">
        <v>21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</row>
    <row r="25" spans="1:32" ht="20.100000000000001" customHeight="1">
      <c r="A25" s="15">
        <v>22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</row>
    <row r="26" spans="1:32" ht="20.100000000000001" customHeight="1">
      <c r="A26" s="15">
        <v>23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</row>
    <row r="27" spans="1:32" ht="20.100000000000001" customHeight="1" thickBot="1">
      <c r="A27" s="15">
        <v>24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</row>
    <row r="28" spans="1:32" ht="16.5" thickTop="1">
      <c r="A28" s="17"/>
      <c r="B28" s="84" t="s">
        <v>62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1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2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3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5"/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4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2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5"/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5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2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5"/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1</v>
      </c>
      <c r="I46" s="30"/>
      <c r="J46" s="33"/>
      <c r="K46" s="34" t="s">
        <v>3</v>
      </c>
      <c r="L46" s="33"/>
      <c r="M46" s="33"/>
      <c r="N46" s="34" t="s">
        <v>4</v>
      </c>
      <c r="O46" s="33"/>
      <c r="P46" s="33"/>
      <c r="Q46" s="34" t="s">
        <v>5</v>
      </c>
      <c r="R46" s="30"/>
      <c r="S46" s="30"/>
      <c r="T46" s="33" t="s">
        <v>1</v>
      </c>
      <c r="U46" s="33"/>
      <c r="V46" s="33" t="s">
        <v>1</v>
      </c>
      <c r="W46" s="33"/>
      <c r="X46" s="33" t="s">
        <v>6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7</v>
      </c>
      <c r="I47" s="30"/>
      <c r="J47" s="33"/>
      <c r="K47" s="33" t="s">
        <v>7</v>
      </c>
      <c r="L47" s="33"/>
      <c r="M47" s="33"/>
      <c r="N47" s="33" t="s">
        <v>7</v>
      </c>
      <c r="O47" s="33"/>
      <c r="P47" s="33"/>
      <c r="Q47" s="33" t="s">
        <v>7</v>
      </c>
      <c r="R47" s="30"/>
      <c r="S47" s="30"/>
      <c r="T47" s="33" t="s">
        <v>8</v>
      </c>
      <c r="U47" s="33"/>
      <c r="V47" s="33" t="s">
        <v>9</v>
      </c>
      <c r="W47" s="33"/>
      <c r="X47" s="33" t="s">
        <v>10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/>
      <c r="I49" s="39"/>
      <c r="J49" s="41"/>
      <c r="K49" s="40"/>
      <c r="L49" s="41"/>
      <c r="M49" s="41"/>
      <c r="N49" s="40"/>
      <c r="O49" s="41"/>
      <c r="P49" s="41"/>
      <c r="Q49" s="40"/>
      <c r="R49" s="39"/>
      <c r="S49" s="40"/>
      <c r="T49" s="40"/>
      <c r="U49" s="40"/>
      <c r="V49" s="40"/>
      <c r="W49" s="40"/>
      <c r="X49" s="40"/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AB24" sqref="AB24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'[5]Dia 1 (b)'!C1</f>
        <v>MAIO DE 2024</v>
      </c>
      <c r="C1" s="3"/>
      <c r="D1" s="4"/>
      <c r="E1" s="5"/>
      <c r="F1" s="2"/>
      <c r="G1" s="3"/>
      <c r="H1" s="3"/>
      <c r="I1" s="3"/>
      <c r="J1" s="3"/>
      <c r="K1" s="3" t="s">
        <v>11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2" ht="20.100000000000001" customHeight="1">
      <c r="A4" s="15">
        <v>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</row>
    <row r="5" spans="1:32" ht="20.100000000000001" customHeight="1">
      <c r="A5" s="15">
        <v>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</row>
    <row r="6" spans="1:32" ht="20.100000000000001" customHeight="1">
      <c r="A6" s="15">
        <v>3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</row>
    <row r="7" spans="1:32" ht="20.100000000000001" customHeight="1">
      <c r="A7" s="15">
        <v>4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</row>
    <row r="8" spans="1:32" ht="20.100000000000001" customHeight="1">
      <c r="A8" s="15">
        <v>5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</row>
    <row r="9" spans="1:32" ht="20.100000000000001" customHeight="1">
      <c r="A9" s="15">
        <v>6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</row>
    <row r="10" spans="1:32" ht="20.100000000000001" customHeight="1">
      <c r="A10" s="15">
        <v>7</v>
      </c>
      <c r="B10" s="16">
        <f>'[5]Dia 1 (b)'!$X16</f>
        <v>13.076038833698366</v>
      </c>
      <c r="C10" s="16">
        <f>'[5]Dia 2 (b)'!$X16</f>
        <v>13.281520008217523</v>
      </c>
      <c r="D10" s="16">
        <f>'[5]Dia 3 (b)'!$X16</f>
        <v>13.646747514527345</v>
      </c>
      <c r="E10" s="16">
        <f>'[5]Dia 4 (b)'!$X16</f>
        <v>14.025620459095588</v>
      </c>
      <c r="F10" s="16">
        <f>'[5]Dia 5 (b)'!$X16</f>
        <v>12.59998028125454</v>
      </c>
      <c r="G10" s="16">
        <f>'[5]Dia 6 (b)'!$X16</f>
        <v>12.488760578099665</v>
      </c>
      <c r="H10" s="16">
        <f>'[5]Dia 7 (b)'!$X16</f>
        <v>11.995830021876907</v>
      </c>
      <c r="I10" s="16">
        <f>'[5]Dia 8 (b)'!$X16</f>
        <v>13.345255778309289</v>
      </c>
      <c r="J10" s="16">
        <f>'[5]Dia 9 (b)'!$X16</f>
        <v>12.174732665267806</v>
      </c>
      <c r="K10" s="16">
        <f>'[5]Dia 10 (b)'!$X16</f>
        <v>14.1511260065652</v>
      </c>
      <c r="L10" s="16">
        <f>'[5]Dia 11 (b)'!$X16</f>
        <v>13.987387430258554</v>
      </c>
      <c r="M10" s="16">
        <f>'[5]Dia 12 (b)'!$X16</f>
        <v>11.724709360941679</v>
      </c>
      <c r="N10" s="16">
        <f>'[5]Dia 13 (b)'!$X16</f>
        <v>9.9141377221267017</v>
      </c>
      <c r="O10" s="16">
        <f>'[5]Dia 14 (b)'!$X16</f>
        <v>14.253081289763758</v>
      </c>
      <c r="P10" s="16">
        <f>'[5]Dia 15 (b)'!$X16</f>
        <v>11.61548392373474</v>
      </c>
      <c r="Q10" s="16">
        <f>'[5]Dia 16 (b)'!$X16</f>
        <v>12.344331532065398</v>
      </c>
      <c r="R10" s="16">
        <f>'[5]Dia 17 (b)'!$X16</f>
        <v>13.298505337817936</v>
      </c>
      <c r="S10" s="16">
        <f>'[5]Dia 18 (b)'!$X16</f>
        <v>13.290727669333757</v>
      </c>
      <c r="T10" s="16">
        <f>'[5]Dia 19 (b)'!$X16</f>
        <v>13.20374088966375</v>
      </c>
      <c r="U10" s="16">
        <f>'[5]Dia 20 (b)'!$X16</f>
        <v>14.586576763325949</v>
      </c>
      <c r="V10" s="16">
        <f>'[5]Dia 21 (b)'!$X16</f>
        <v>11.391451913717018</v>
      </c>
      <c r="W10" s="16">
        <f>'[5]Dia 22 (b)'!$X16</f>
        <v>12.875017153225423</v>
      </c>
      <c r="X10" s="16">
        <f>'[5]Dia 23 (b)'!$X16</f>
        <v>11.481473743580452</v>
      </c>
      <c r="Y10" s="16">
        <f>'[5]Dia 24 (b)'!$X16</f>
        <v>10.426677388563824</v>
      </c>
      <c r="Z10" s="16">
        <f>'[5]Dia 25 (b)'!$X16</f>
        <v>11.660048739775089</v>
      </c>
      <c r="AA10" s="16">
        <f>'[5]Dia 26 (b)'!$X16</f>
        <v>10.697056084645801</v>
      </c>
      <c r="AB10" s="16">
        <f>'[5]Dia 27 (b)'!$X16</f>
        <v>11.529647277413412</v>
      </c>
      <c r="AC10" s="16">
        <f>'[5]Dia 28 (b)'!$X16</f>
        <v>12.885680859068721</v>
      </c>
      <c r="AD10" s="16">
        <f>'[5]Dia 29 (b)'!$X16</f>
        <v>7.6544578745410314</v>
      </c>
      <c r="AE10" s="16">
        <f>'[5]Dia 30 (b)'!$X16</f>
        <v>7.763025408260412</v>
      </c>
      <c r="AF10" s="16">
        <f>'[5]Dia 31 (b)'!$X16</f>
        <v>9.0568712568266321</v>
      </c>
    </row>
    <row r="11" spans="1:32" ht="20.100000000000001" customHeight="1">
      <c r="A11" s="15">
        <v>8</v>
      </c>
      <c r="B11" s="16">
        <f>'[5]Dia 1 (b)'!$X17</f>
        <v>13.565536520457131</v>
      </c>
      <c r="C11" s="16">
        <f>'[5]Dia 2 (b)'!$X17</f>
        <v>14.927238667140108</v>
      </c>
      <c r="D11" s="16">
        <f>'[5]Dia 3 (b)'!$X17</f>
        <v>15.569723550029231</v>
      </c>
      <c r="E11" s="16">
        <f>'[5]Dia 4 (b)'!$X17</f>
        <v>14.125348735136418</v>
      </c>
      <c r="F11" s="16">
        <f>'[5]Dia 5 (b)'!$X17</f>
        <v>13.653580713741553</v>
      </c>
      <c r="G11" s="16">
        <f>'[5]Dia 6 (b)'!$X17</f>
        <v>12.64105987909692</v>
      </c>
      <c r="H11" s="16">
        <f>'[5]Dia 7 (b)'!$X17</f>
        <v>13.200612019113226</v>
      </c>
      <c r="I11" s="16">
        <f>'[5]Dia 8 (b)'!$X17</f>
        <v>13.164325466482312</v>
      </c>
      <c r="J11" s="16">
        <f>'[5]Dia 9 (b)'!$X17</f>
        <v>14.236695074521439</v>
      </c>
      <c r="K11" s="16">
        <f>'[5]Dia 10 (b)'!$X17</f>
        <v>14.662095401568601</v>
      </c>
      <c r="L11" s="16">
        <f>'[5]Dia 11 (b)'!$X17</f>
        <v>14.83901217050515</v>
      </c>
      <c r="M11" s="16">
        <f>'[5]Dia 12 (b)'!$X17</f>
        <v>12.349504804208587</v>
      </c>
      <c r="N11" s="16">
        <f>'[5]Dia 13 (b)'!$X17</f>
        <v>10.292855188984017</v>
      </c>
      <c r="O11" s="16">
        <f>'[5]Dia 14 (b)'!$X17</f>
        <v>14.010164730261049</v>
      </c>
      <c r="P11" s="16">
        <f>'[5]Dia 15 (b)'!$X17</f>
        <v>11.76480412348679</v>
      </c>
      <c r="Q11" s="16">
        <f>'[5]Dia 16 (b)'!$X17</f>
        <v>12.665820234565043</v>
      </c>
      <c r="R11" s="16">
        <f>'[5]Dia 17 (b)'!$X17</f>
        <v>13.864437124394412</v>
      </c>
      <c r="S11" s="16">
        <f>'[5]Dia 18 (b)'!$X17</f>
        <v>13.953436853439987</v>
      </c>
      <c r="T11" s="16">
        <f>'[5]Dia 19 (b)'!$X17</f>
        <v>13.249365801262449</v>
      </c>
      <c r="U11" s="16">
        <f>'[5]Dia 20 (b)'!$X17</f>
        <v>15.430169274281919</v>
      </c>
      <c r="V11" s="16">
        <f>'[5]Dia 21 (b)'!$X17</f>
        <v>11.686368013048931</v>
      </c>
      <c r="W11" s="16">
        <f>'[5]Dia 22 (b)'!$X17</f>
        <v>12.953556046778143</v>
      </c>
      <c r="X11" s="16">
        <f>'[5]Dia 23 (b)'!$X17</f>
        <v>12.407343779175541</v>
      </c>
      <c r="Y11" s="16">
        <f>'[5]Dia 24 (b)'!$X17</f>
        <v>11.731830975840266</v>
      </c>
      <c r="Z11" s="16">
        <f>'[5]Dia 25 (b)'!$X17</f>
        <v>11.801816813420341</v>
      </c>
      <c r="AA11" s="16">
        <f>'[5]Dia 26 (b)'!$X17</f>
        <v>10.677431712743301</v>
      </c>
      <c r="AB11" s="16">
        <f>'[5]Dia 27 (b)'!$X17</f>
        <v>11.61004958441365</v>
      </c>
      <c r="AC11" s="16">
        <f>'[5]Dia 28 (b)'!$X17</f>
        <v>12.544317101009078</v>
      </c>
      <c r="AD11" s="16">
        <f>'[5]Dia 29 (b)'!$X17</f>
        <v>7.6587686807263404</v>
      </c>
      <c r="AE11" s="16">
        <f>'[5]Dia 30 (b)'!$X17</f>
        <v>8.7867065224832626</v>
      </c>
      <c r="AF11" s="16">
        <f>'[5]Dia 31 (b)'!$X17</f>
        <v>9.4274987573927582</v>
      </c>
    </row>
    <row r="12" spans="1:32" ht="20.100000000000001" customHeight="1">
      <c r="A12" s="15">
        <v>9</v>
      </c>
      <c r="B12" s="16">
        <f>'[5]Dia 1 (b)'!$X18</f>
        <v>13.664488630976608</v>
      </c>
      <c r="C12" s="16">
        <f>'[5]Dia 2 (b)'!$X18</f>
        <v>12.49476556005296</v>
      </c>
      <c r="D12" s="16">
        <f>'[5]Dia 3 (b)'!$X18</f>
        <v>15.276671606501552</v>
      </c>
      <c r="E12" s="16">
        <f>'[5]Dia 4 (b)'!$X18</f>
        <v>13.709084688271238</v>
      </c>
      <c r="F12" s="16">
        <f>'[5]Dia 5 (b)'!$X18</f>
        <v>12.904416709967597</v>
      </c>
      <c r="G12" s="16">
        <f>'[5]Dia 6 (b)'!$X18</f>
        <v>12.295370212819563</v>
      </c>
      <c r="H12" s="16">
        <f>'[5]Dia 7 (b)'!$X18</f>
        <v>13.20849134777918</v>
      </c>
      <c r="I12" s="16">
        <f>'[5]Dia 8 (b)'!$X18</f>
        <v>12.597872707776988</v>
      </c>
      <c r="J12" s="16">
        <f>'[5]Dia 9 (b)'!$X18</f>
        <v>12.059115126897577</v>
      </c>
      <c r="K12" s="16">
        <f>'[5]Dia 10 (b)'!$X18</f>
        <v>14.020434276899213</v>
      </c>
      <c r="L12" s="16">
        <f>'[5]Dia 11 (b)'!$X18</f>
        <v>13.390937215890881</v>
      </c>
      <c r="M12" s="16">
        <f>'[5]Dia 12 (b)'!$X18</f>
        <v>11.438191504647394</v>
      </c>
      <c r="N12" s="16">
        <f>'[5]Dia 13 (b)'!$X18</f>
        <v>10.50316804465359</v>
      </c>
      <c r="O12" s="16">
        <f>'[5]Dia 14 (b)'!$X18</f>
        <v>13.357081720923659</v>
      </c>
      <c r="P12" s="16">
        <f>'[5]Dia 15 (b)'!$X18</f>
        <v>11.837846243950706</v>
      </c>
      <c r="Q12" s="16">
        <f>'[5]Dia 16 (b)'!$X18</f>
        <v>12.616653588092237</v>
      </c>
      <c r="R12" s="16">
        <f>'[5]Dia 17 (b)'!$X18</f>
        <v>13.006501116125257</v>
      </c>
      <c r="S12" s="16">
        <f>'[5]Dia 18 (b)'!$X18</f>
        <v>13.708815454862799</v>
      </c>
      <c r="T12" s="16">
        <f>'[5]Dia 19 (b)'!$X18</f>
        <v>12.851914203002108</v>
      </c>
      <c r="U12" s="16">
        <f>'[5]Dia 20 (b)'!$X18</f>
        <v>15.141812324336861</v>
      </c>
      <c r="V12" s="16">
        <f>'[5]Dia 21 (b)'!$X18</f>
        <v>11.86770611887848</v>
      </c>
      <c r="W12" s="16">
        <f>'[5]Dia 22 (b)'!$X18</f>
        <v>13.485150114952898</v>
      </c>
      <c r="X12" s="16">
        <f>'[5]Dia 23 (b)'!$X18</f>
        <v>11.098794697187669</v>
      </c>
      <c r="Y12" s="16">
        <f>'[5]Dia 24 (b)'!$X18</f>
        <v>10.721464743337375</v>
      </c>
      <c r="Z12" s="16">
        <f>'[5]Dia 25 (b)'!$X18</f>
        <v>11.310630036307044</v>
      </c>
      <c r="AA12" s="16">
        <f>'[5]Dia 26 (b)'!$X18</f>
        <v>10.669312470179467</v>
      </c>
      <c r="AB12" s="16">
        <f>'[5]Dia 27 (b)'!$X18</f>
        <v>11.7623115495277</v>
      </c>
      <c r="AC12" s="16">
        <f>'[5]Dia 28 (b)'!$X18</f>
        <v>12.449561022365632</v>
      </c>
      <c r="AD12" s="16">
        <f>'[5]Dia 29 (b)'!$X18</f>
        <v>6.8548408909688714</v>
      </c>
      <c r="AE12" s="16">
        <f>'[5]Dia 30 (b)'!$X18</f>
        <v>8.7072393903354204</v>
      </c>
      <c r="AF12" s="16">
        <f>'[5]Dia 31 (b)'!$X18</f>
        <v>9.1868249921398082</v>
      </c>
    </row>
    <row r="13" spans="1:32" ht="20.100000000000001" customHeight="1">
      <c r="A13" s="15">
        <v>10</v>
      </c>
      <c r="B13" s="16">
        <f>'[5]Dia 1 (b)'!$X19</f>
        <v>12.357598569748829</v>
      </c>
      <c r="C13" s="16">
        <f>'[5]Dia 2 (b)'!$X19</f>
        <v>12.32203980489183</v>
      </c>
      <c r="D13" s="16">
        <f>'[5]Dia 3 (b)'!$X19</f>
        <v>14.153180910262254</v>
      </c>
      <c r="E13" s="16">
        <f>'[5]Dia 4 (b)'!$X19</f>
        <v>13.469445105299764</v>
      </c>
      <c r="F13" s="16">
        <f>'[5]Dia 5 (b)'!$X19</f>
        <v>12.104228002145296</v>
      </c>
      <c r="G13" s="16">
        <f>'[5]Dia 6 (b)'!$X19</f>
        <v>10.701799598601104</v>
      </c>
      <c r="H13" s="16">
        <f>'[5]Dia 7 (b)'!$X19</f>
        <v>12.721498563795929</v>
      </c>
      <c r="I13" s="16">
        <f>'[5]Dia 8 (b)'!$X19</f>
        <v>11.787367972286944</v>
      </c>
      <c r="J13" s="16">
        <f>'[5]Dia 9 (b)'!$X19</f>
        <v>11.700915977955173</v>
      </c>
      <c r="K13" s="16">
        <f>'[5]Dia 10 (b)'!$X19</f>
        <v>13.195635341147808</v>
      </c>
      <c r="L13" s="16">
        <f>'[5]Dia 11 (b)'!$X19</f>
        <v>11.844729291182057</v>
      </c>
      <c r="M13" s="16">
        <f>'[5]Dia 12 (b)'!$X19</f>
        <v>10.93891303246126</v>
      </c>
      <c r="N13" s="16">
        <f>'[5]Dia 13 (b)'!$X19</f>
        <v>10.525949001692295</v>
      </c>
      <c r="O13" s="16">
        <f>'[5]Dia 14 (b)'!$X19</f>
        <v>12.966560358409684</v>
      </c>
      <c r="P13" s="16">
        <f>'[5]Dia 15 (b)'!$X19</f>
        <v>11.912834916248929</v>
      </c>
      <c r="Q13" s="16">
        <f>'[5]Dia 16 (b)'!$X19</f>
        <v>12.98807351925738</v>
      </c>
      <c r="R13" s="16">
        <f>'[5]Dia 17 (b)'!$X19</f>
        <v>11.544352218802365</v>
      </c>
      <c r="S13" s="16">
        <f>'[5]Dia 18 (b)'!$X19</f>
        <v>12.99894356630972</v>
      </c>
      <c r="T13" s="16">
        <f>'[5]Dia 19 (b)'!$X19</f>
        <v>12.77824930131337</v>
      </c>
      <c r="U13" s="16">
        <f>'[5]Dia 20 (b)'!$X19</f>
        <v>15.737367353128313</v>
      </c>
      <c r="V13" s="16">
        <f>'[5]Dia 21 (b)'!$X19</f>
        <v>12.138243624373883</v>
      </c>
      <c r="W13" s="16">
        <f>'[5]Dia 22 (b)'!$X19</f>
        <v>13.079812602815855</v>
      </c>
      <c r="X13" s="16">
        <f>'[5]Dia 23 (b)'!$X19</f>
        <v>10.597231135102133</v>
      </c>
      <c r="Y13" s="16">
        <f>'[5]Dia 24 (b)'!$X19</f>
        <v>11.807983484032784</v>
      </c>
      <c r="Z13" s="16">
        <f>'[5]Dia 25 (b)'!$X19</f>
        <v>11.730556175287369</v>
      </c>
      <c r="AA13" s="16">
        <f>'[5]Dia 26 (b)'!$X19</f>
        <v>10.878191496291448</v>
      </c>
      <c r="AB13" s="16">
        <f>'[5]Dia 27 (b)'!$X19</f>
        <v>12.026490621565154</v>
      </c>
      <c r="AC13" s="16">
        <f>'[5]Dia 28 (b)'!$X19</f>
        <v>11.655376312379815</v>
      </c>
      <c r="AD13" s="16">
        <f>'[5]Dia 29 (b)'!$X19</f>
        <v>6.8168077101119273</v>
      </c>
      <c r="AE13" s="16">
        <f>'[5]Dia 30 (b)'!$X19</f>
        <v>8.5182695852963075</v>
      </c>
      <c r="AF13" s="16">
        <f>'[5]Dia 31 (b)'!$X19</f>
        <v>9.0502285374283957</v>
      </c>
    </row>
    <row r="14" spans="1:32" ht="20.100000000000001" customHeight="1">
      <c r="A14" s="15">
        <v>11</v>
      </c>
      <c r="B14" s="16">
        <f>'[5]Dia 1 (b)'!$X20</f>
        <v>11.133595006905788</v>
      </c>
      <c r="C14" s="16">
        <f>'[5]Dia 2 (b)'!$X20</f>
        <v>11.980876418080664</v>
      </c>
      <c r="D14" s="16">
        <f>'[5]Dia 3 (b)'!$X20</f>
        <v>13.322538595463818</v>
      </c>
      <c r="E14" s="16">
        <f>'[5]Dia 4 (b)'!$X20</f>
        <v>12.544330316174003</v>
      </c>
      <c r="F14" s="16">
        <f>'[5]Dia 5 (b)'!$X20</f>
        <v>11.273914509660203</v>
      </c>
      <c r="G14" s="16">
        <f>'[5]Dia 6 (b)'!$X20</f>
        <v>9.3554098604171472</v>
      </c>
      <c r="H14" s="16">
        <f>'[5]Dia 7 (b)'!$X20</f>
        <v>12.675836638887379</v>
      </c>
      <c r="I14" s="16">
        <f>'[5]Dia 8 (b)'!$X20</f>
        <v>11.319521154115721</v>
      </c>
      <c r="J14" s="16">
        <f>'[5]Dia 9 (b)'!$X20</f>
        <v>12.152676812643952</v>
      </c>
      <c r="K14" s="16">
        <f>'[5]Dia 10 (b)'!$X20</f>
        <v>13.255249272572341</v>
      </c>
      <c r="L14" s="16">
        <f>'[5]Dia 11 (b)'!$X20</f>
        <v>11.775417488649731</v>
      </c>
      <c r="M14" s="16">
        <f>'[5]Dia 12 (b)'!$X20</f>
        <v>11.118817339760795</v>
      </c>
      <c r="N14" s="16">
        <f>'[5]Dia 13 (b)'!$X20</f>
        <v>9.5039166860085089</v>
      </c>
      <c r="O14" s="16">
        <f>'[5]Dia 14 (b)'!$X20</f>
        <v>13.531907001105147</v>
      </c>
      <c r="P14" s="16">
        <f>'[5]Dia 15 (b)'!$X20</f>
        <v>11.627060017913516</v>
      </c>
      <c r="Q14" s="16">
        <f>'[5]Dia 16 (b)'!$X20</f>
        <v>13.314389670861695</v>
      </c>
      <c r="R14" s="16">
        <f>'[5]Dia 17 (b)'!$X20</f>
        <v>11.474967411437458</v>
      </c>
      <c r="S14" s="16">
        <f>'[5]Dia 18 (b)'!$X20</f>
        <v>12.890523379934185</v>
      </c>
      <c r="T14" s="16">
        <f>'[5]Dia 19 (b)'!$X20</f>
        <v>12.741758206319192</v>
      </c>
      <c r="U14" s="16">
        <f>'[5]Dia 20 (b)'!$X20</f>
        <v>15.054659217889721</v>
      </c>
      <c r="V14" s="16">
        <f>'[5]Dia 21 (b)'!$X20</f>
        <v>12.180961058652345</v>
      </c>
      <c r="W14" s="16">
        <f>'[5]Dia 22 (b)'!$X20</f>
        <v>12.545569315747434</v>
      </c>
      <c r="X14" s="16">
        <f>'[5]Dia 23 (b)'!$X20</f>
        <v>9.767359497465506</v>
      </c>
      <c r="Y14" s="16">
        <f>'[5]Dia 24 (b)'!$X20</f>
        <v>12.890381538739115</v>
      </c>
      <c r="Z14" s="16">
        <f>'[5]Dia 25 (b)'!$X20</f>
        <v>11.079022130919864</v>
      </c>
      <c r="AA14" s="16">
        <f>'[5]Dia 26 (b)'!$X20</f>
        <v>11.506709685878642</v>
      </c>
      <c r="AB14" s="16">
        <f>'[5]Dia 27 (b)'!$X20</f>
        <v>12.018192478992134</v>
      </c>
      <c r="AC14" s="16">
        <f>'[5]Dia 28 (b)'!$X20</f>
        <v>11.951914288726174</v>
      </c>
      <c r="AD14" s="16">
        <f>'[5]Dia 29 (b)'!$X20</f>
        <v>6.3630285643241544</v>
      </c>
      <c r="AE14" s="16">
        <f>'[5]Dia 30 (b)'!$X20</f>
        <v>7.8776191126429183</v>
      </c>
      <c r="AF14" s="16">
        <f>'[5]Dia 31 (b)'!$X20</f>
        <v>8.7852583087688885</v>
      </c>
    </row>
    <row r="15" spans="1:32" ht="20.100000000000001" customHeight="1">
      <c r="A15" s="15">
        <v>12</v>
      </c>
      <c r="B15" s="16">
        <f>'[5]Dia 1 (b)'!$X21</f>
        <v>11.180735900040615</v>
      </c>
      <c r="C15" s="16">
        <f>'[5]Dia 2 (b)'!$X21</f>
        <v>11.962436368775943</v>
      </c>
      <c r="D15" s="16">
        <f>'[5]Dia 3 (b)'!$X21</f>
        <v>16.495724499616053</v>
      </c>
      <c r="E15" s="16">
        <f>'[5]Dia 4 (b)'!$X21</f>
        <v>10.96789196353472</v>
      </c>
      <c r="F15" s="16">
        <f>'[5]Dia 5 (b)'!$X21</f>
        <v>8.391744652345837</v>
      </c>
      <c r="G15" s="16">
        <f>'[5]Dia 6 (b)'!$X21</f>
        <v>9.3433678378242835</v>
      </c>
      <c r="H15" s="16">
        <f>'[5]Dia 7 (b)'!$X21</f>
        <v>10.876570528669916</v>
      </c>
      <c r="I15" s="16">
        <f>'[5]Dia 8 (b)'!$X21</f>
        <v>11.222969810272421</v>
      </c>
      <c r="J15" s="16">
        <f>'[5]Dia 9 (b)'!$X21</f>
        <v>11.620132570337315</v>
      </c>
      <c r="K15" s="16">
        <f>'[5]Dia 10 (b)'!$X21</f>
        <v>13.075974345666268</v>
      </c>
      <c r="L15" s="16">
        <f>'[5]Dia 11 (b)'!$X21</f>
        <v>11.231403651307595</v>
      </c>
      <c r="M15" s="16">
        <f>'[5]Dia 12 (b)'!$X21</f>
        <v>9.2118727341866578</v>
      </c>
      <c r="N15" s="16">
        <f>'[5]Dia 13 (b)'!$X21</f>
        <v>9.0929995694986694</v>
      </c>
      <c r="O15" s="16">
        <f>'[5]Dia 14 (b)'!$X21</f>
        <v>13.827172632901938</v>
      </c>
      <c r="P15" s="16">
        <f>'[5]Dia 15 (b)'!$X21</f>
        <v>11.752836311878896</v>
      </c>
      <c r="Q15" s="16">
        <f>'[5]Dia 16 (b)'!$X21</f>
        <v>13.34062007884938</v>
      </c>
      <c r="R15" s="16">
        <f>'[5]Dia 17 (b)'!$X21</f>
        <v>11.490740776559658</v>
      </c>
      <c r="S15" s="16">
        <f>'[5]Dia 18 (b)'!$X21</f>
        <v>11.131222530472071</v>
      </c>
      <c r="T15" s="16">
        <f>'[5]Dia 19 (b)'!$X21</f>
        <v>13.361476222720601</v>
      </c>
      <c r="U15" s="16">
        <f>'[5]Dia 20 (b)'!$X21</f>
        <v>13.957935486446409</v>
      </c>
      <c r="V15" s="16">
        <f>'[5]Dia 21 (b)'!$X21</f>
        <v>12.270632567160654</v>
      </c>
      <c r="W15" s="16">
        <f>'[5]Dia 22 (b)'!$X21</f>
        <v>12.747840343735698</v>
      </c>
      <c r="X15" s="16">
        <f>'[5]Dia 23 (b)'!$X21</f>
        <v>10.257587917999178</v>
      </c>
      <c r="Y15" s="16">
        <f>'[5]Dia 24 (b)'!$X21</f>
        <v>12.108053325670557</v>
      </c>
      <c r="Z15" s="16">
        <f>'[5]Dia 25 (b)'!$X21</f>
        <v>11.179093507277962</v>
      </c>
      <c r="AA15" s="16">
        <f>'[5]Dia 26 (b)'!$X21</f>
        <v>11.264620678589798</v>
      </c>
      <c r="AB15" s="16">
        <f>'[5]Dia 27 (b)'!$X21</f>
        <v>12.269003585542469</v>
      </c>
      <c r="AC15" s="16">
        <f>'[5]Dia 28 (b)'!$X21</f>
        <v>11.957434130496029</v>
      </c>
      <c r="AD15" s="16">
        <f>'[5]Dia 29 (b)'!$X21</f>
        <v>6.8449133468620564</v>
      </c>
      <c r="AE15" s="16">
        <f>'[5]Dia 30 (b)'!$X21</f>
        <v>7.6368088807945584</v>
      </c>
      <c r="AF15" s="16">
        <f>'[5]Dia 31 (b)'!$X21</f>
        <v>8.8932198573126975</v>
      </c>
    </row>
    <row r="16" spans="1:32" ht="20.100000000000001" customHeight="1">
      <c r="A16" s="15">
        <v>13</v>
      </c>
      <c r="B16" s="16">
        <f>'[5]Dia 1 (b)'!$X22</f>
        <v>10.429091219502157</v>
      </c>
      <c r="C16" s="16">
        <f>'[5]Dia 2 (b)'!$X22</f>
        <v>10.25663202223387</v>
      </c>
      <c r="D16" s="16">
        <f>'[5]Dia 3 (b)'!$X22</f>
        <v>13.297546286660907</v>
      </c>
      <c r="E16" s="16">
        <f>'[5]Dia 4 (b)'!$X22</f>
        <v>10.118684700569714</v>
      </c>
      <c r="F16" s="16">
        <f>'[5]Dia 5 (b)'!$X22</f>
        <v>7.5664279214633563</v>
      </c>
      <c r="G16" s="16">
        <f>'[5]Dia 6 (b)'!$X22</f>
        <v>7.5921743812093236</v>
      </c>
      <c r="H16" s="16">
        <f>'[5]Dia 7 (b)'!$X22</f>
        <v>10.460765933052157</v>
      </c>
      <c r="I16" s="16">
        <f>'[5]Dia 8 (b)'!$X22</f>
        <v>11.253108259899092</v>
      </c>
      <c r="J16" s="16">
        <f>'[5]Dia 9 (b)'!$X22</f>
        <v>10.494946024197338</v>
      </c>
      <c r="K16" s="16">
        <f>'[5]Dia 10 (b)'!$X22</f>
        <v>12.103295636905246</v>
      </c>
      <c r="L16" s="16">
        <f>'[5]Dia 11 (b)'!$X22</f>
        <v>10.369554300560448</v>
      </c>
      <c r="M16" s="16">
        <f>'[5]Dia 12 (b)'!$X22</f>
        <v>9.6668101097487664</v>
      </c>
      <c r="N16" s="16">
        <f>'[5]Dia 13 (b)'!$X22</f>
        <v>9.6280018126555618</v>
      </c>
      <c r="O16" s="16">
        <f>'[5]Dia 14 (b)'!$X22</f>
        <v>14.301747941367564</v>
      </c>
      <c r="P16" s="16">
        <f>'[5]Dia 15 (b)'!$X22</f>
        <v>11.677648900746965</v>
      </c>
      <c r="Q16" s="16">
        <f>'[5]Dia 16 (b)'!$X22</f>
        <v>13.090670263898168</v>
      </c>
      <c r="R16" s="16">
        <f>'[5]Dia 17 (b)'!$X22</f>
        <v>10.130528591499115</v>
      </c>
      <c r="S16" s="16">
        <f>'[5]Dia 18 (b)'!$X22</f>
        <v>10.131255171733685</v>
      </c>
      <c r="T16" s="16">
        <f>'[5]Dia 19 (b)'!$X22</f>
        <v>12.873453039786794</v>
      </c>
      <c r="U16" s="16">
        <f>'[5]Dia 20 (b)'!$X22</f>
        <v>15.43687376814748</v>
      </c>
      <c r="V16" s="16">
        <f>'[5]Dia 21 (b)'!$X22</f>
        <v>12.725130957764883</v>
      </c>
      <c r="W16" s="16">
        <f>'[5]Dia 22 (b)'!$X22</f>
        <v>12.933711866120593</v>
      </c>
      <c r="X16" s="16">
        <f>'[5]Dia 23 (b)'!$X22</f>
        <v>9.7692040378243625</v>
      </c>
      <c r="Y16" s="16">
        <f>'[5]Dia 24 (b)'!$X22</f>
        <v>13.368513136133025</v>
      </c>
      <c r="Z16" s="16">
        <f>'[5]Dia 25 (b)'!$X22</f>
        <v>11.01717407216835</v>
      </c>
      <c r="AA16" s="16">
        <f>'[5]Dia 26 (b)'!$X22</f>
        <v>10.808727465327499</v>
      </c>
      <c r="AB16" s="16">
        <f>'[5]Dia 27 (b)'!$X22</f>
        <v>12.436872164753582</v>
      </c>
      <c r="AC16" s="16">
        <f>'[5]Dia 28 (b)'!$X22</f>
        <v>11.546662616329588</v>
      </c>
      <c r="AD16" s="16">
        <f>'[5]Dia 29 (b)'!$X22</f>
        <v>6.8967858638914121</v>
      </c>
      <c r="AE16" s="16">
        <f>'[5]Dia 30 (b)'!$X22</f>
        <v>7.2020589603376033</v>
      </c>
      <c r="AF16" s="16">
        <f>'[5]Dia 31 (b)'!$X22</f>
        <v>9.429637270532341</v>
      </c>
    </row>
    <row r="17" spans="1:32" ht="20.100000000000001" customHeight="1">
      <c r="A17" s="15">
        <v>14</v>
      </c>
      <c r="B17" s="16">
        <f>'[5]Dia 1 (b)'!$X23</f>
        <v>10.845719761778895</v>
      </c>
      <c r="C17" s="16">
        <f>'[5]Dia 2 (b)'!$X23</f>
        <v>10.235644208190799</v>
      </c>
      <c r="D17" s="16">
        <f>'[5]Dia 3 (b)'!$X23</f>
        <v>12.054505973071322</v>
      </c>
      <c r="E17" s="16">
        <f>'[5]Dia 4 (b)'!$X23</f>
        <v>10.550421136689206</v>
      </c>
      <c r="F17" s="16">
        <f>'[5]Dia 5 (b)'!$X23</f>
        <v>6.9932909013042561</v>
      </c>
      <c r="G17" s="16">
        <f>'[5]Dia 6 (b)'!$X23</f>
        <v>8.3198695404982672</v>
      </c>
      <c r="H17" s="16">
        <f>'[5]Dia 7 (b)'!$X23</f>
        <v>9.2833298175620644</v>
      </c>
      <c r="I17" s="16">
        <f>'[5]Dia 8 (b)'!$X23</f>
        <v>10.721523764580224</v>
      </c>
      <c r="J17" s="16">
        <f>'[5]Dia 9 (b)'!$X23</f>
        <v>10.413213069514683</v>
      </c>
      <c r="K17" s="16">
        <f>'[5]Dia 10 (b)'!$X23</f>
        <v>11.849860001989615</v>
      </c>
      <c r="L17" s="16">
        <f>'[5]Dia 11 (b)'!$X23</f>
        <v>9.0966273890427072</v>
      </c>
      <c r="M17" s="16">
        <f>'[5]Dia 12 (b)'!$X23</f>
        <v>9.5966962668799489</v>
      </c>
      <c r="N17" s="16">
        <f>'[5]Dia 13 (b)'!$X23</f>
        <v>8.8602958133850862</v>
      </c>
      <c r="O17" s="16">
        <f>'[5]Dia 14 (b)'!$X23</f>
        <v>13.426025813763991</v>
      </c>
      <c r="P17" s="16">
        <f>'[5]Dia 15 (b)'!$X23</f>
        <v>11.559514702068325</v>
      </c>
      <c r="Q17" s="16">
        <f>'[5]Dia 16 (b)'!$X23</f>
        <v>13.315224885279749</v>
      </c>
      <c r="R17" s="16">
        <f>'[5]Dia 17 (b)'!$X23</f>
        <v>9.8363085101293066</v>
      </c>
      <c r="S17" s="16">
        <f>'[5]Dia 18 (b)'!$X23</f>
        <v>10.029985690557123</v>
      </c>
      <c r="T17" s="16">
        <f>'[5]Dia 19 (b)'!$X23</f>
        <v>13.154963418772068</v>
      </c>
      <c r="U17" s="16">
        <f>'[5]Dia 20 (b)'!$X23</f>
        <v>14.967142877895022</v>
      </c>
      <c r="V17" s="16">
        <f>'[5]Dia 21 (b)'!$X23</f>
        <v>13.32210270810809</v>
      </c>
      <c r="W17" s="16">
        <f>'[5]Dia 22 (b)'!$X23</f>
        <v>11.318421414755747</v>
      </c>
      <c r="X17" s="16">
        <f>'[5]Dia 23 (b)'!$X23</f>
        <v>9.1454766930817204</v>
      </c>
      <c r="Y17" s="16">
        <f>'[5]Dia 24 (b)'!$X23</f>
        <v>12.055291605153124</v>
      </c>
      <c r="Z17" s="16">
        <f>'[5]Dia 25 (b)'!$X23</f>
        <v>10.653358312205254</v>
      </c>
      <c r="AA17" s="16">
        <f>'[5]Dia 26 (b)'!$X23</f>
        <v>11.156248685401771</v>
      </c>
      <c r="AB17" s="16">
        <f>'[5]Dia 27 (b)'!$X23</f>
        <v>12.534953667443759</v>
      </c>
      <c r="AC17" s="16">
        <f>'[5]Dia 28 (b)'!$X23</f>
        <v>10.895507987473209</v>
      </c>
      <c r="AD17" s="16">
        <f>'[5]Dia 29 (b)'!$X23</f>
        <v>6.8976754011843493</v>
      </c>
      <c r="AE17" s="16">
        <f>'[5]Dia 30 (b)'!$X23</f>
        <v>8.0312725697824465</v>
      </c>
      <c r="AF17" s="16">
        <f>'[5]Dia 31 (b)'!$X23</f>
        <v>9.6635079800765062</v>
      </c>
    </row>
    <row r="18" spans="1:32" ht="20.100000000000001" customHeight="1">
      <c r="A18" s="15">
        <v>15</v>
      </c>
      <c r="B18" s="16">
        <f>'[5]Dia 1 (b)'!$X24</f>
        <v>10.508400843618855</v>
      </c>
      <c r="C18" s="16">
        <f>'[5]Dia 2 (b)'!$X24</f>
        <v>10.379550362271795</v>
      </c>
      <c r="D18" s="16">
        <f>'[5]Dia 3 (b)'!$X24</f>
        <v>11.312633198459141</v>
      </c>
      <c r="E18" s="16">
        <f>'[5]Dia 4 (b)'!$X24</f>
        <v>9.579266114293457</v>
      </c>
      <c r="F18" s="16">
        <f>'[5]Dia 5 (b)'!$X24</f>
        <v>7.1225290965249259</v>
      </c>
      <c r="G18" s="16">
        <f>'[5]Dia 6 (b)'!$X24</f>
        <v>8.8341476207932672</v>
      </c>
      <c r="H18" s="16">
        <f>'[5]Dia 7 (b)'!$X24</f>
        <v>9.5724657787210568</v>
      </c>
      <c r="I18" s="16">
        <f>'[5]Dia 8 (b)'!$X24</f>
        <v>11.422344469875005</v>
      </c>
      <c r="J18" s="16">
        <f>'[5]Dia 9 (b)'!$X24</f>
        <v>13.619021162017054</v>
      </c>
      <c r="K18" s="16">
        <f>'[5]Dia 10 (b)'!$X24</f>
        <v>12.300861355198888</v>
      </c>
      <c r="L18" s="16">
        <f>'[5]Dia 11 (b)'!$X24</f>
        <v>9.6231092540018448</v>
      </c>
      <c r="M18" s="16">
        <f>'[5]Dia 12 (b)'!$X24</f>
        <v>9.035301060763052</v>
      </c>
      <c r="N18" s="16">
        <f>'[5]Dia 13 (b)'!$X24</f>
        <v>9.1740754255816324</v>
      </c>
      <c r="O18" s="16">
        <f>'[5]Dia 14 (b)'!$X24</f>
        <v>13.072212785512038</v>
      </c>
      <c r="P18" s="16">
        <f>'[5]Dia 15 (b)'!$X24</f>
        <v>11.563056200026704</v>
      </c>
      <c r="Q18" s="16">
        <f>'[5]Dia 16 (b)'!$X24</f>
        <v>13.40259175636052</v>
      </c>
      <c r="R18" s="16">
        <f>'[5]Dia 17 (b)'!$X24</f>
        <v>9.7044399780336086</v>
      </c>
      <c r="S18" s="16">
        <f>'[5]Dia 18 (b)'!$X24</f>
        <v>10.293712712627686</v>
      </c>
      <c r="T18" s="16">
        <f>'[5]Dia 19 (b)'!$X24</f>
        <v>13.157133202748897</v>
      </c>
      <c r="U18" s="16">
        <f>'[5]Dia 20 (b)'!$X24</f>
        <v>13.795142716584293</v>
      </c>
      <c r="V18" s="16">
        <f>'[5]Dia 21 (b)'!$X24</f>
        <v>13.839568071421073</v>
      </c>
      <c r="W18" s="16">
        <f>'[5]Dia 22 (b)'!$X24</f>
        <v>10.486542548876034</v>
      </c>
      <c r="X18" s="16">
        <f>'[5]Dia 23 (b)'!$X24</f>
        <v>8.8953332931568081</v>
      </c>
      <c r="Y18" s="16">
        <f>'[5]Dia 24 (b)'!$X24</f>
        <v>12.765185318968888</v>
      </c>
      <c r="Z18" s="16">
        <f>'[5]Dia 25 (b)'!$X24</f>
        <v>10.717184735750331</v>
      </c>
      <c r="AA18" s="16">
        <f>'[5]Dia 26 (b)'!$X24</f>
        <v>10.942027460971929</v>
      </c>
      <c r="AB18" s="16">
        <f>'[5]Dia 27 (b)'!$X24</f>
        <v>12.962710472645817</v>
      </c>
      <c r="AC18" s="16">
        <f>'[5]Dia 28 (b)'!$X24</f>
        <v>10.779584952992801</v>
      </c>
      <c r="AD18" s="16">
        <f>'[5]Dia 29 (b)'!$X24</f>
        <v>7.6324446661093877</v>
      </c>
      <c r="AE18" s="16">
        <f>'[5]Dia 30 (b)'!$X24</f>
        <v>7.8368671715901304</v>
      </c>
      <c r="AF18" s="16">
        <f>'[5]Dia 31 (b)'!$X24</f>
        <v>8.985818603884713</v>
      </c>
    </row>
    <row r="19" spans="1:32" ht="20.100000000000001" customHeight="1">
      <c r="A19" s="15">
        <v>16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</row>
    <row r="20" spans="1:32" ht="20.100000000000001" customHeight="1">
      <c r="A20" s="15">
        <v>17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</row>
    <row r="21" spans="1:32" ht="20.100000000000001" customHeight="1">
      <c r="A21" s="15">
        <v>18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</row>
    <row r="22" spans="1:32" ht="20.100000000000001" customHeight="1">
      <c r="A22" s="15">
        <v>19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</row>
    <row r="23" spans="1:32" ht="20.100000000000001" customHeight="1">
      <c r="A23" s="15">
        <v>20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</row>
    <row r="24" spans="1:32" ht="20.100000000000001" customHeight="1">
      <c r="A24" s="15">
        <v>21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</row>
    <row r="25" spans="1:32" ht="20.100000000000001" customHeight="1">
      <c r="A25" s="15">
        <v>22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</row>
    <row r="26" spans="1:32" ht="20.100000000000001" customHeight="1">
      <c r="A26" s="15">
        <v>23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</row>
    <row r="27" spans="1:32" ht="20.100000000000001" customHeight="1" thickBot="1">
      <c r="A27" s="15">
        <v>24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</row>
    <row r="28" spans="1:32" ht="16.5" thickTop="1">
      <c r="A28" s="17"/>
      <c r="B28" s="84" t="s">
        <v>62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1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2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3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5"/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4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2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5"/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5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2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5"/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1</v>
      </c>
      <c r="I46" s="30"/>
      <c r="J46" s="33"/>
      <c r="K46" s="34" t="s">
        <v>3</v>
      </c>
      <c r="L46" s="33"/>
      <c r="M46" s="33"/>
      <c r="N46" s="34" t="s">
        <v>4</v>
      </c>
      <c r="O46" s="33"/>
      <c r="P46" s="33"/>
      <c r="Q46" s="34" t="s">
        <v>5</v>
      </c>
      <c r="R46" s="30"/>
      <c r="S46" s="30"/>
      <c r="T46" s="33" t="s">
        <v>1</v>
      </c>
      <c r="U46" s="33"/>
      <c r="V46" s="33" t="s">
        <v>1</v>
      </c>
      <c r="W46" s="33"/>
      <c r="X46" s="33" t="s">
        <v>6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7</v>
      </c>
      <c r="I47" s="30"/>
      <c r="J47" s="33"/>
      <c r="K47" s="33" t="s">
        <v>7</v>
      </c>
      <c r="L47" s="33"/>
      <c r="M47" s="33"/>
      <c r="N47" s="33" t="s">
        <v>7</v>
      </c>
      <c r="O47" s="33"/>
      <c r="P47" s="33"/>
      <c r="Q47" s="33" t="s">
        <v>7</v>
      </c>
      <c r="R47" s="30"/>
      <c r="S47" s="30"/>
      <c r="T47" s="33" t="s">
        <v>8</v>
      </c>
      <c r="U47" s="33"/>
      <c r="V47" s="33" t="s">
        <v>9</v>
      </c>
      <c r="W47" s="33"/>
      <c r="X47" s="33" t="s">
        <v>10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/>
      <c r="I49" s="39"/>
      <c r="J49" s="41"/>
      <c r="K49" s="40"/>
      <c r="L49" s="41"/>
      <c r="M49" s="41"/>
      <c r="N49" s="40"/>
      <c r="O49" s="41"/>
      <c r="P49" s="41"/>
      <c r="Q49" s="40"/>
      <c r="R49" s="39"/>
      <c r="S49" s="40"/>
      <c r="T49" s="40"/>
      <c r="U49" s="40"/>
      <c r="V49" s="40"/>
      <c r="W49" s="40"/>
      <c r="X49" s="40"/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AB24" sqref="AB24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'[6]Dia 1 (b)'!C1</f>
        <v>JUNHO DE 2024</v>
      </c>
      <c r="C1" s="3"/>
      <c r="D1" s="4"/>
      <c r="E1" s="5"/>
      <c r="F1" s="2"/>
      <c r="G1" s="3"/>
      <c r="H1" s="3"/>
      <c r="I1" s="3"/>
      <c r="J1" s="3"/>
      <c r="K1" s="3" t="s">
        <v>11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/>
    </row>
    <row r="4" spans="1:32" ht="20.100000000000001" customHeight="1">
      <c r="A4" s="15">
        <v>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</row>
    <row r="5" spans="1:32" ht="20.100000000000001" customHeight="1">
      <c r="A5" s="15">
        <v>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</row>
    <row r="6" spans="1:32" ht="20.100000000000001" customHeight="1">
      <c r="A6" s="15">
        <v>3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</row>
    <row r="7" spans="1:32" ht="20.100000000000001" customHeight="1">
      <c r="A7" s="15">
        <v>4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</row>
    <row r="8" spans="1:32" ht="20.100000000000001" customHeight="1">
      <c r="A8" s="15">
        <v>5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</row>
    <row r="9" spans="1:32" ht="20.100000000000001" customHeight="1">
      <c r="A9" s="15">
        <v>6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</row>
    <row r="10" spans="1:32" ht="20.100000000000001" customHeight="1">
      <c r="A10" s="15">
        <v>7</v>
      </c>
      <c r="B10" s="16">
        <f>'[6]Dia 1 (b)'!$X16</f>
        <v>8.8222206120813631</v>
      </c>
      <c r="C10" s="16">
        <f>'[6]Dia 2 (b)'!$X16</f>
        <v>9.5191292831275867</v>
      </c>
      <c r="D10" s="16">
        <f>'[6]Dia 3 (b)'!$X16</f>
        <v>10.659364841477174</v>
      </c>
      <c r="E10" s="16">
        <f>'[6]Dia 4 (b)'!$X16</f>
        <v>11.690528836633959</v>
      </c>
      <c r="F10" s="16">
        <f>'[6]Dia 5 (b)'!$X16</f>
        <v>10.938495807559447</v>
      </c>
      <c r="G10" s="16">
        <f>'[6]Dia 6 (b)'!$X16</f>
        <v>11.053120318333008</v>
      </c>
      <c r="H10" s="16">
        <f>'[6]Dia 7 (b)'!$X16</f>
        <v>10.188526218376509</v>
      </c>
      <c r="I10" s="16">
        <f>'[6]Dia 8 (b)'!$X16</f>
        <v>9.6173786826677556</v>
      </c>
      <c r="J10" s="16">
        <f>'[6]Dia 9 (b)'!$X16</f>
        <v>10.623866505326935</v>
      </c>
      <c r="K10" s="16">
        <f>'[6]Dia 10 (b)'!$X16</f>
        <v>9.7587051654328718</v>
      </c>
      <c r="L10" s="16">
        <f>'[6]Dia 11 (b)'!$X16</f>
        <v>10.425346205204507</v>
      </c>
      <c r="M10" s="16">
        <f>'[6]Dia 12 (b)'!$X16</f>
        <v>9.8963953137570488</v>
      </c>
      <c r="N10" s="16">
        <f>'[6]Dia 13 (b)'!$X16</f>
        <v>9.9154971283553888</v>
      </c>
      <c r="O10" s="16">
        <f>'[6]Dia 14 (b)'!$X16</f>
        <v>7.5332787664101817</v>
      </c>
      <c r="P10" s="16">
        <f>'[6]Dia 15 (b)'!$X16</f>
        <v>9.9790586411241939</v>
      </c>
      <c r="Q10" s="16">
        <f>'[6]Dia 16 (b)'!$X16</f>
        <v>10.573565886068465</v>
      </c>
      <c r="R10" s="16">
        <f>'[6]Dia 17 (b)'!$X16</f>
        <v>9.2122936244407807</v>
      </c>
      <c r="S10" s="16">
        <f>'[6]Dia 18 (b)'!$X16</f>
        <v>8.3861031557738208</v>
      </c>
      <c r="T10" s="16">
        <f>'[6]Dia 19 (b)'!$X16</f>
        <v>8.4136907608943634</v>
      </c>
      <c r="U10" s="16">
        <f>'[6]Dia 20 (b)'!$X16</f>
        <v>8.5290964269127691</v>
      </c>
      <c r="V10" s="16">
        <f>'[6]Dia 21 (b)'!$X16</f>
        <v>8.1881940189006883</v>
      </c>
      <c r="W10" s="16">
        <f>'[6]Dia 22 (b)'!$X16</f>
        <v>9.1945966554357561</v>
      </c>
      <c r="X10" s="16">
        <f>'[6]Dia 23 (b)'!$X16</f>
        <v>9.7017430064053407</v>
      </c>
      <c r="Y10" s="16">
        <f>'[6]Dia 24 (b)'!$X16</f>
        <v>9.9773301521359272</v>
      </c>
      <c r="Z10" s="16">
        <f>'[6]Dia 25 (b)'!$X16</f>
        <v>12.986128393271946</v>
      </c>
      <c r="AA10" s="16">
        <f>'[6]Dia 26 (b)'!$X16</f>
        <v>11.24657319975055</v>
      </c>
      <c r="AB10" s="16">
        <f>'[6]Dia 27 (b)'!$X16</f>
        <v>12.487055862814863</v>
      </c>
      <c r="AC10" s="16">
        <f>'[6]Dia 28 (b)'!$X16</f>
        <v>10.048698383051692</v>
      </c>
      <c r="AD10" s="16">
        <f>'[6]Dia 29 (b)'!$X16</f>
        <v>10.784043341265052</v>
      </c>
      <c r="AE10" s="16">
        <f>'[6]Dia 30 (b)'!$X16</f>
        <v>9.1469425514983609</v>
      </c>
      <c r="AF10" s="16"/>
    </row>
    <row r="11" spans="1:32" ht="20.100000000000001" customHeight="1">
      <c r="A11" s="15">
        <v>8</v>
      </c>
      <c r="B11" s="16">
        <f>'[6]Dia 1 (b)'!$X17</f>
        <v>8.9695116361645777</v>
      </c>
      <c r="C11" s="16">
        <f>'[6]Dia 2 (b)'!$X17</f>
        <v>9.9757513450112949</v>
      </c>
      <c r="D11" s="16">
        <f>'[6]Dia 3 (b)'!$X17</f>
        <v>10.854306068074086</v>
      </c>
      <c r="E11" s="16">
        <f>'[6]Dia 4 (b)'!$X17</f>
        <v>11.640066097745629</v>
      </c>
      <c r="F11" s="16">
        <f>'[6]Dia 5 (b)'!$X17</f>
        <v>11.097031540548141</v>
      </c>
      <c r="G11" s="16">
        <f>'[6]Dia 6 (b)'!$X17</f>
        <v>11.117098840644347</v>
      </c>
      <c r="H11" s="16">
        <f>'[6]Dia 7 (b)'!$X17</f>
        <v>11.506477519883646</v>
      </c>
      <c r="I11" s="16">
        <f>'[6]Dia 8 (b)'!$X17</f>
        <v>11.05029649785828</v>
      </c>
      <c r="J11" s="16">
        <f>'[6]Dia 9 (b)'!$X17</f>
        <v>11.620624425952526</v>
      </c>
      <c r="K11" s="16">
        <f>'[6]Dia 10 (b)'!$X17</f>
        <v>10.81630646086378</v>
      </c>
      <c r="L11" s="16">
        <f>'[6]Dia 11 (b)'!$X17</f>
        <v>11.671041710348304</v>
      </c>
      <c r="M11" s="16">
        <f>'[6]Dia 12 (b)'!$X17</f>
        <v>11.09935848600381</v>
      </c>
      <c r="N11" s="16">
        <f>'[6]Dia 13 (b)'!$X17</f>
        <v>10.587506339618734</v>
      </c>
      <c r="O11" s="16">
        <f>'[6]Dia 14 (b)'!$X17</f>
        <v>8.439446457782072</v>
      </c>
      <c r="P11" s="16">
        <f>'[6]Dia 15 (b)'!$X17</f>
        <v>10.715192901388569</v>
      </c>
      <c r="Q11" s="16">
        <f>'[6]Dia 16 (b)'!$X17</f>
        <v>12.435734147137516</v>
      </c>
      <c r="R11" s="16">
        <f>'[6]Dia 17 (b)'!$X17</f>
        <v>10.049014211644907</v>
      </c>
      <c r="S11" s="16">
        <f>'[6]Dia 18 (b)'!$X17</f>
        <v>8.8227023718489868</v>
      </c>
      <c r="T11" s="16">
        <f>'[6]Dia 19 (b)'!$X17</f>
        <v>9.2649309953992542</v>
      </c>
      <c r="U11" s="16">
        <f>'[6]Dia 20 (b)'!$X17</f>
        <v>10.15292832347791</v>
      </c>
      <c r="V11" s="16">
        <f>'[6]Dia 21 (b)'!$X17</f>
        <v>8.6257302746736073</v>
      </c>
      <c r="W11" s="16">
        <f>'[6]Dia 22 (b)'!$X17</f>
        <v>9.3997857550573052</v>
      </c>
      <c r="X11" s="16">
        <f>'[6]Dia 23 (b)'!$X17</f>
        <v>10.852796017154837</v>
      </c>
      <c r="Y11" s="16">
        <f>'[6]Dia 24 (b)'!$X17</f>
        <v>11.418264575073628</v>
      </c>
      <c r="Z11" s="16">
        <f>'[6]Dia 25 (b)'!$X17</f>
        <v>12.722200120783818</v>
      </c>
      <c r="AA11" s="16">
        <f>'[6]Dia 26 (b)'!$X17</f>
        <v>12.058422959266609</v>
      </c>
      <c r="AB11" s="16">
        <f>'[6]Dia 27 (b)'!$X17</f>
        <v>12.734725324982254</v>
      </c>
      <c r="AC11" s="16">
        <f>'[6]Dia 28 (b)'!$X17</f>
        <v>11.68607800347594</v>
      </c>
      <c r="AD11" s="16">
        <f>'[6]Dia 29 (b)'!$X17</f>
        <v>11.764745076472513</v>
      </c>
      <c r="AE11" s="16">
        <f>'[6]Dia 30 (b)'!$X17</f>
        <v>8.9966889391818654</v>
      </c>
      <c r="AF11" s="16"/>
    </row>
    <row r="12" spans="1:32" ht="20.100000000000001" customHeight="1">
      <c r="A12" s="15">
        <v>9</v>
      </c>
      <c r="B12" s="16">
        <f>'[6]Dia 1 (b)'!$X18</f>
        <v>9.1177925679584693</v>
      </c>
      <c r="C12" s="16">
        <f>'[6]Dia 2 (b)'!$X18</f>
        <v>9.447914111357516</v>
      </c>
      <c r="D12" s="16">
        <f>'[6]Dia 3 (b)'!$X18</f>
        <v>10.854172635658138</v>
      </c>
      <c r="E12" s="16">
        <f>'[6]Dia 4 (b)'!$X18</f>
        <v>11.69965183195314</v>
      </c>
      <c r="F12" s="16">
        <f>'[6]Dia 5 (b)'!$X18</f>
        <v>11.300178966950702</v>
      </c>
      <c r="G12" s="16">
        <f>'[6]Dia 6 (b)'!$X18</f>
        <v>11.395807809656306</v>
      </c>
      <c r="H12" s="16">
        <f>'[6]Dia 7 (b)'!$X18</f>
        <v>12.085983205109635</v>
      </c>
      <c r="I12" s="16">
        <f>'[6]Dia 8 (b)'!$X18</f>
        <v>10.339023509743509</v>
      </c>
      <c r="J12" s="16">
        <f>'[6]Dia 9 (b)'!$X18</f>
        <v>11.253697747745802</v>
      </c>
      <c r="K12" s="16">
        <f>'[6]Dia 10 (b)'!$X18</f>
        <v>10.631552619832432</v>
      </c>
      <c r="L12" s="16">
        <f>'[6]Dia 11 (b)'!$X18</f>
        <v>11.476239935343735</v>
      </c>
      <c r="M12" s="16">
        <f>'[6]Dia 12 (b)'!$X18</f>
        <v>10.385528741870504</v>
      </c>
      <c r="N12" s="16">
        <f>'[6]Dia 13 (b)'!$X18</f>
        <v>10.050361018565798</v>
      </c>
      <c r="O12" s="16">
        <f>'[6]Dia 14 (b)'!$X18</f>
        <v>8.0323954339835417</v>
      </c>
      <c r="P12" s="16">
        <f>'[6]Dia 15 (b)'!$X18</f>
        <v>10.443856132802198</v>
      </c>
      <c r="Q12" s="16">
        <f>'[6]Dia 16 (b)'!$X18</f>
        <v>11.038352441075384</v>
      </c>
      <c r="R12" s="16">
        <f>'[6]Dia 17 (b)'!$X18</f>
        <v>9.7153458775028199</v>
      </c>
      <c r="S12" s="16">
        <f>'[6]Dia 18 (b)'!$X18</f>
        <v>8.2475677072562306</v>
      </c>
      <c r="T12" s="16">
        <f>'[6]Dia 19 (b)'!$X18</f>
        <v>8.8702552396413186</v>
      </c>
      <c r="U12" s="16">
        <f>'[6]Dia 20 (b)'!$X18</f>
        <v>9.4209384062659485</v>
      </c>
      <c r="V12" s="16">
        <f>'[6]Dia 21 (b)'!$X18</f>
        <v>8.3638167387352045</v>
      </c>
      <c r="W12" s="16">
        <f>'[6]Dia 22 (b)'!$X18</f>
        <v>9.3199169783896547</v>
      </c>
      <c r="X12" s="16">
        <f>'[6]Dia 23 (b)'!$X18</f>
        <v>9.5483937607989624</v>
      </c>
      <c r="Y12" s="16">
        <f>'[6]Dia 24 (b)'!$X18</f>
        <v>10.382241619254595</v>
      </c>
      <c r="Z12" s="16">
        <f>'[6]Dia 25 (b)'!$X18</f>
        <v>12.214216349831089</v>
      </c>
      <c r="AA12" s="16">
        <f>'[6]Dia 26 (b)'!$X18</f>
        <v>11.957176105097576</v>
      </c>
      <c r="AB12" s="16">
        <f>'[6]Dia 27 (b)'!$X18</f>
        <v>12.432132933998016</v>
      </c>
      <c r="AC12" s="16">
        <f>'[6]Dia 28 (b)'!$X18</f>
        <v>12.161845200013605</v>
      </c>
      <c r="AD12" s="16">
        <f>'[6]Dia 29 (b)'!$X18</f>
        <v>11.557674019990001</v>
      </c>
      <c r="AE12" s="16">
        <f>'[6]Dia 30 (b)'!$X18</f>
        <v>8.679062604277286</v>
      </c>
      <c r="AF12" s="16"/>
    </row>
    <row r="13" spans="1:32" ht="20.100000000000001" customHeight="1">
      <c r="A13" s="15">
        <v>10</v>
      </c>
      <c r="B13" s="16">
        <f>'[6]Dia 1 (b)'!$X19</f>
        <v>9.2672495904482908</v>
      </c>
      <c r="C13" s="16">
        <f>'[6]Dia 2 (b)'!$X19</f>
        <v>9.0285962883449962</v>
      </c>
      <c r="D13" s="16">
        <f>'[6]Dia 3 (b)'!$X19</f>
        <v>10.911120255353838</v>
      </c>
      <c r="E13" s="16">
        <f>'[6]Dia 4 (b)'!$X19</f>
        <v>11.519778186476019</v>
      </c>
      <c r="F13" s="16">
        <f>'[6]Dia 5 (b)'!$X19</f>
        <v>11.192401523763744</v>
      </c>
      <c r="G13" s="16">
        <f>'[6]Dia 6 (b)'!$X19</f>
        <v>11.530088879699651</v>
      </c>
      <c r="H13" s="16">
        <f>'[6]Dia 7 (b)'!$X19</f>
        <v>11.617417114321146</v>
      </c>
      <c r="I13" s="16">
        <f>'[6]Dia 8 (b)'!$X19</f>
        <v>10.137506380927457</v>
      </c>
      <c r="J13" s="16">
        <f>'[6]Dia 9 (b)'!$X19</f>
        <v>11.45142824735292</v>
      </c>
      <c r="K13" s="16">
        <f>'[6]Dia 10 (b)'!$X19</f>
        <v>9.5468167908771218</v>
      </c>
      <c r="L13" s="16">
        <f>'[6]Dia 11 (b)'!$X19</f>
        <v>11.227828836626575</v>
      </c>
      <c r="M13" s="16">
        <f>'[6]Dia 12 (b)'!$X19</f>
        <v>10.486267882203435</v>
      </c>
      <c r="N13" s="16">
        <f>'[6]Dia 13 (b)'!$X19</f>
        <v>9.3697772089754672</v>
      </c>
      <c r="O13" s="16">
        <f>'[6]Dia 14 (b)'!$X19</f>
        <v>8.0189095962161829</v>
      </c>
      <c r="P13" s="16">
        <f>'[6]Dia 15 (b)'!$X19</f>
        <v>10.514662275097306</v>
      </c>
      <c r="Q13" s="16">
        <f>'[6]Dia 16 (b)'!$X19</f>
        <v>10.913878810557391</v>
      </c>
      <c r="R13" s="16">
        <f>'[6]Dia 17 (b)'!$X19</f>
        <v>8.9354369159646243</v>
      </c>
      <c r="S13" s="16">
        <f>'[6]Dia 18 (b)'!$X19</f>
        <v>7.532453570144666</v>
      </c>
      <c r="T13" s="16">
        <f>'[6]Dia 19 (b)'!$X19</f>
        <v>7.949108640420345</v>
      </c>
      <c r="U13" s="16">
        <f>'[6]Dia 20 (b)'!$X19</f>
        <v>8.2949099466917993</v>
      </c>
      <c r="V13" s="16">
        <f>'[6]Dia 21 (b)'!$X19</f>
        <v>8.2514401060043259</v>
      </c>
      <c r="W13" s="16">
        <f>'[6]Dia 22 (b)'!$X19</f>
        <v>9.0625155849416874</v>
      </c>
      <c r="X13" s="16">
        <f>'[6]Dia 23 (b)'!$X19</f>
        <v>9.342552999756137</v>
      </c>
      <c r="Y13" s="16">
        <f>'[6]Dia 24 (b)'!$X19</f>
        <v>9.297615413969659</v>
      </c>
      <c r="Z13" s="16">
        <f>'[6]Dia 25 (b)'!$X19</f>
        <v>12.245220389523165</v>
      </c>
      <c r="AA13" s="16">
        <f>'[6]Dia 26 (b)'!$X19</f>
        <v>11.757155639615418</v>
      </c>
      <c r="AB13" s="16">
        <f>'[6]Dia 27 (b)'!$X19</f>
        <v>12.435461822178986</v>
      </c>
      <c r="AC13" s="16">
        <f>'[6]Dia 28 (b)'!$X19</f>
        <v>11.735828826868749</v>
      </c>
      <c r="AD13" s="16">
        <f>'[6]Dia 29 (b)'!$X19</f>
        <v>11.710168326730807</v>
      </c>
      <c r="AE13" s="16">
        <f>'[6]Dia 30 (b)'!$X19</f>
        <v>8.8393920869342768</v>
      </c>
      <c r="AF13" s="16"/>
    </row>
    <row r="14" spans="1:32" ht="20.100000000000001" customHeight="1">
      <c r="A14" s="15">
        <v>11</v>
      </c>
      <c r="B14" s="16">
        <f>'[6]Dia 1 (b)'!$X20</f>
        <v>8.8428425855377792</v>
      </c>
      <c r="C14" s="16">
        <f>'[6]Dia 2 (b)'!$X20</f>
        <v>9.9317331047673534</v>
      </c>
      <c r="D14" s="16">
        <f>'[6]Dia 3 (b)'!$X20</f>
        <v>10.371229800960059</v>
      </c>
      <c r="E14" s="16">
        <f>'[6]Dia 4 (b)'!$X20</f>
        <v>11.84495548149826</v>
      </c>
      <c r="F14" s="16">
        <f>'[6]Dia 5 (b)'!$X20</f>
        <v>11.092478269978526</v>
      </c>
      <c r="G14" s="16">
        <f>'[6]Dia 6 (b)'!$X20</f>
        <v>10.942648235088525</v>
      </c>
      <c r="H14" s="16">
        <f>'[6]Dia 7 (b)'!$X20</f>
        <v>11.248920856373141</v>
      </c>
      <c r="I14" s="16">
        <f>'[6]Dia 8 (b)'!$X20</f>
        <v>10.167074721181809</v>
      </c>
      <c r="J14" s="16">
        <f>'[6]Dia 9 (b)'!$X20</f>
        <v>10.364169688483205</v>
      </c>
      <c r="K14" s="16">
        <f>'[6]Dia 10 (b)'!$X20</f>
        <v>9.9088814699127212</v>
      </c>
      <c r="L14" s="16">
        <f>'[6]Dia 11 (b)'!$X20</f>
        <v>11.169144388763874</v>
      </c>
      <c r="M14" s="16">
        <f>'[6]Dia 12 (b)'!$X20</f>
        <v>10.319916486311087</v>
      </c>
      <c r="N14" s="16">
        <f>'[6]Dia 13 (b)'!$X20</f>
        <v>8.8685081992093586</v>
      </c>
      <c r="O14" s="16">
        <f>'[6]Dia 14 (b)'!$X20</f>
        <v>8.0037326287000727</v>
      </c>
      <c r="P14" s="16">
        <f>'[6]Dia 15 (b)'!$X20</f>
        <v>10.881328880865293</v>
      </c>
      <c r="Q14" s="16">
        <f>'[6]Dia 16 (b)'!$X20</f>
        <v>10.087060350778872</v>
      </c>
      <c r="R14" s="16">
        <f>'[6]Dia 17 (b)'!$X20</f>
        <v>9.4521563404068996</v>
      </c>
      <c r="S14" s="16">
        <f>'[6]Dia 18 (b)'!$X20</f>
        <v>7.3203087791344181</v>
      </c>
      <c r="T14" s="16">
        <f>'[6]Dia 19 (b)'!$X20</f>
        <v>8.4022699490614148</v>
      </c>
      <c r="U14" s="16">
        <f>'[6]Dia 20 (b)'!$X20</f>
        <v>7.5935868701827056</v>
      </c>
      <c r="V14" s="16">
        <f>'[6]Dia 21 (b)'!$X20</f>
        <v>8.1001015457115155</v>
      </c>
      <c r="W14" s="16">
        <f>'[6]Dia 22 (b)'!$X20</f>
        <v>8.4797898230973878</v>
      </c>
      <c r="X14" s="16">
        <f>'[6]Dia 23 (b)'!$X20</f>
        <v>9.1589810701847956</v>
      </c>
      <c r="Y14" s="16">
        <f>'[6]Dia 24 (b)'!$X20</f>
        <v>9.1265145262215643</v>
      </c>
      <c r="Z14" s="16">
        <f>'[6]Dia 25 (b)'!$X20</f>
        <v>12.870805505187873</v>
      </c>
      <c r="AA14" s="16">
        <f>'[6]Dia 26 (b)'!$X20</f>
        <v>11.847821635970437</v>
      </c>
      <c r="AB14" s="16">
        <f>'[6]Dia 27 (b)'!$X20</f>
        <v>12.353061326836139</v>
      </c>
      <c r="AC14" s="16">
        <f>'[6]Dia 28 (b)'!$X20</f>
        <v>11.067697262525741</v>
      </c>
      <c r="AD14" s="16">
        <f>'[6]Dia 29 (b)'!$X20</f>
        <v>11.296937211717793</v>
      </c>
      <c r="AE14" s="16">
        <f>'[6]Dia 30 (b)'!$X20</f>
        <v>9.0476521220467827</v>
      </c>
      <c r="AF14" s="16"/>
    </row>
    <row r="15" spans="1:32" ht="20.100000000000001" customHeight="1">
      <c r="A15" s="15">
        <v>12</v>
      </c>
      <c r="B15" s="16">
        <f>'[6]Dia 1 (b)'!$X21</f>
        <v>8.8302981797442222</v>
      </c>
      <c r="C15" s="16">
        <f>'[6]Dia 2 (b)'!$X21</f>
        <v>9.1172461471749298</v>
      </c>
      <c r="D15" s="16">
        <f>'[6]Dia 3 (b)'!$X21</f>
        <v>10.333341061715041</v>
      </c>
      <c r="E15" s="16">
        <f>'[6]Dia 4 (b)'!$X21</f>
        <v>11.509352026582203</v>
      </c>
      <c r="F15" s="16">
        <f>'[6]Dia 5 (b)'!$X21</f>
        <v>11.216080198004613</v>
      </c>
      <c r="G15" s="16">
        <f>'[6]Dia 6 (b)'!$X21</f>
        <v>10.810893684462689</v>
      </c>
      <c r="H15" s="16">
        <f>'[6]Dia 7 (b)'!$X21</f>
        <v>9.836351535525532</v>
      </c>
      <c r="I15" s="16">
        <f>'[6]Dia 8 (b)'!$X21</f>
        <v>9.9663946376717369</v>
      </c>
      <c r="J15" s="16">
        <f>'[6]Dia 9 (b)'!$X21</f>
        <v>10.508534367307011</v>
      </c>
      <c r="K15" s="16">
        <f>'[6]Dia 10 (b)'!$X21</f>
        <v>10.687476455426291</v>
      </c>
      <c r="L15" s="16">
        <f>'[6]Dia 11 (b)'!$X21</f>
        <v>9.4371697884596362</v>
      </c>
      <c r="M15" s="16">
        <f>'[6]Dia 12 (b)'!$X21</f>
        <v>9.6200072060309676</v>
      </c>
      <c r="N15" s="16">
        <f>'[6]Dia 13 (b)'!$X21</f>
        <v>8.3716267074685717</v>
      </c>
      <c r="O15" s="16">
        <f>'[6]Dia 14 (b)'!$X21</f>
        <v>8.4427575613233845</v>
      </c>
      <c r="P15" s="16">
        <f>'[6]Dia 15 (b)'!$X21</f>
        <v>9.9976398361716434</v>
      </c>
      <c r="Q15" s="16">
        <f>'[6]Dia 16 (b)'!$X21</f>
        <v>10.753095355843453</v>
      </c>
      <c r="R15" s="16">
        <f>'[6]Dia 17 (b)'!$X21</f>
        <v>9.1270741176569867</v>
      </c>
      <c r="S15" s="16">
        <f>'[6]Dia 18 (b)'!$X21</f>
        <v>8.0376591721244992</v>
      </c>
      <c r="T15" s="16">
        <f>'[6]Dia 19 (b)'!$X21</f>
        <v>8.2882406046302588</v>
      </c>
      <c r="U15" s="16">
        <f>'[6]Dia 20 (b)'!$X21</f>
        <v>6.0667003945609626</v>
      </c>
      <c r="V15" s="16">
        <f>'[6]Dia 21 (b)'!$X21</f>
        <v>7.9957491329790766</v>
      </c>
      <c r="W15" s="16">
        <f>'[6]Dia 22 (b)'!$X21</f>
        <v>7.9794113615776592</v>
      </c>
      <c r="X15" s="16">
        <f>'[6]Dia 23 (b)'!$X21</f>
        <v>8.8338280872014874</v>
      </c>
      <c r="Y15" s="16">
        <f>'[6]Dia 24 (b)'!$X21</f>
        <v>9.6848461016438332</v>
      </c>
      <c r="Z15" s="16">
        <f>'[6]Dia 25 (b)'!$X21</f>
        <v>12.288440827410804</v>
      </c>
      <c r="AA15" s="16">
        <f>'[6]Dia 26 (b)'!$X21</f>
        <v>10.489225332880727</v>
      </c>
      <c r="AB15" s="16">
        <f>'[6]Dia 27 (b)'!$X21</f>
        <v>11.905619657912609</v>
      </c>
      <c r="AC15" s="16">
        <f>'[6]Dia 28 (b)'!$X21</f>
        <v>11.004061577020996</v>
      </c>
      <c r="AD15" s="16">
        <f>'[6]Dia 29 (b)'!$X21</f>
        <v>10.795880500065444</v>
      </c>
      <c r="AE15" s="16">
        <f>'[6]Dia 30 (b)'!$X21</f>
        <v>8.8841811384985654</v>
      </c>
      <c r="AF15" s="16"/>
    </row>
    <row r="16" spans="1:32" ht="20.100000000000001" customHeight="1">
      <c r="A16" s="15">
        <v>13</v>
      </c>
      <c r="B16" s="16">
        <f>'[6]Dia 1 (b)'!$X22</f>
        <v>7.8412944637807369</v>
      </c>
      <c r="C16" s="16">
        <f>'[6]Dia 2 (b)'!$X22</f>
        <v>9.8113887376941538</v>
      </c>
      <c r="D16" s="16">
        <f>'[6]Dia 3 (b)'!$X22</f>
        <v>9.8883366037110978</v>
      </c>
      <c r="E16" s="16">
        <f>'[6]Dia 4 (b)'!$X22</f>
        <v>12.050126889530933</v>
      </c>
      <c r="F16" s="16">
        <f>'[6]Dia 5 (b)'!$X22</f>
        <v>10.644219445884568</v>
      </c>
      <c r="G16" s="16">
        <f>'[6]Dia 6 (b)'!$X22</f>
        <v>9.9846569362803255</v>
      </c>
      <c r="H16" s="16">
        <f>'[6]Dia 7 (b)'!$X22</f>
        <v>8.417870252497238</v>
      </c>
      <c r="I16" s="16">
        <f>'[6]Dia 8 (b)'!$X22</f>
        <v>9.7290779689652549</v>
      </c>
      <c r="J16" s="16">
        <f>'[6]Dia 9 (b)'!$X22</f>
        <v>9.8523586899587698</v>
      </c>
      <c r="K16" s="16">
        <f>'[6]Dia 10 (b)'!$X22</f>
        <v>10.201474408188474</v>
      </c>
      <c r="L16" s="16">
        <f>'[6]Dia 11 (b)'!$X22</f>
        <v>8.7447038607735799</v>
      </c>
      <c r="M16" s="16">
        <f>'[6]Dia 12 (b)'!$X22</f>
        <v>8.8010303654625019</v>
      </c>
      <c r="N16" s="16">
        <f>'[6]Dia 13 (b)'!$X22</f>
        <v>7.3080162474821027</v>
      </c>
      <c r="O16" s="16">
        <f>'[6]Dia 14 (b)'!$X22</f>
        <v>8.2418172406693646</v>
      </c>
      <c r="P16" s="16">
        <f>'[6]Dia 15 (b)'!$X22</f>
        <v>9.7589707229838076</v>
      </c>
      <c r="Q16" s="16">
        <f>'[6]Dia 16 (b)'!$X22</f>
        <v>9.3587019590747147</v>
      </c>
      <c r="R16" s="16">
        <f>'[6]Dia 17 (b)'!$X22</f>
        <v>8.6804352253273613</v>
      </c>
      <c r="S16" s="16">
        <f>'[6]Dia 18 (b)'!$X22</f>
        <v>7.4228531308809131</v>
      </c>
      <c r="T16" s="16">
        <f>'[6]Dia 19 (b)'!$X22</f>
        <v>8.6569467609837414</v>
      </c>
      <c r="U16" s="16">
        <f>'[6]Dia 20 (b)'!$X22</f>
        <v>5.4950386726513143</v>
      </c>
      <c r="V16" s="16">
        <f>'[6]Dia 21 (b)'!$X22</f>
        <v>7.3803367503433552</v>
      </c>
      <c r="W16" s="16">
        <f>'[6]Dia 22 (b)'!$X22</f>
        <v>7.5889910073392306</v>
      </c>
      <c r="X16" s="16">
        <f>'[6]Dia 23 (b)'!$X22</f>
        <v>8.9250752121238435</v>
      </c>
      <c r="Y16" s="16">
        <f>'[6]Dia 24 (b)'!$X22</f>
        <v>9.4473896726142179</v>
      </c>
      <c r="Z16" s="16">
        <f>'[6]Dia 25 (b)'!$X22</f>
        <v>12.843369773472189</v>
      </c>
      <c r="AA16" s="16">
        <f>'[6]Dia 26 (b)'!$X22</f>
        <v>10.438594371017357</v>
      </c>
      <c r="AB16" s="16">
        <f>'[6]Dia 27 (b)'!$X22</f>
        <v>11.919266326155634</v>
      </c>
      <c r="AC16" s="16">
        <f>'[6]Dia 28 (b)'!$X22</f>
        <v>9.5779031902745526</v>
      </c>
      <c r="AD16" s="16">
        <f>'[6]Dia 29 (b)'!$X22</f>
        <v>11.919425696094995</v>
      </c>
      <c r="AE16" s="16">
        <f>'[6]Dia 30 (b)'!$X22</f>
        <v>8.5856009114817926</v>
      </c>
      <c r="AF16" s="16"/>
    </row>
    <row r="17" spans="1:32" ht="20.100000000000001" customHeight="1">
      <c r="A17" s="15">
        <v>14</v>
      </c>
      <c r="B17" s="16">
        <f>'[6]Dia 1 (b)'!$X23</f>
        <v>7.8965956121762382</v>
      </c>
      <c r="C17" s="16">
        <f>'[6]Dia 2 (b)'!$X23</f>
        <v>8.9194350010123351</v>
      </c>
      <c r="D17" s="16">
        <f>'[6]Dia 3 (b)'!$X23</f>
        <v>9.3200766542690374</v>
      </c>
      <c r="E17" s="16">
        <f>'[6]Dia 4 (b)'!$X23</f>
        <v>11.199945625647645</v>
      </c>
      <c r="F17" s="16">
        <f>'[6]Dia 5 (b)'!$X23</f>
        <v>10.03372201693861</v>
      </c>
      <c r="G17" s="16">
        <f>'[6]Dia 6 (b)'!$X23</f>
        <v>8.6103432954928838</v>
      </c>
      <c r="H17" s="16">
        <f>'[6]Dia 7 (b)'!$X23</f>
        <v>7.5528191454210001</v>
      </c>
      <c r="I17" s="16">
        <f>'[6]Dia 8 (b)'!$X23</f>
        <v>9.2389273134480998</v>
      </c>
      <c r="J17" s="16">
        <f>'[6]Dia 9 (b)'!$X23</f>
        <v>10.166846135862794</v>
      </c>
      <c r="K17" s="16">
        <f>'[6]Dia 10 (b)'!$X23</f>
        <v>9.4870293440494304</v>
      </c>
      <c r="L17" s="16">
        <f>'[6]Dia 11 (b)'!$X23</f>
        <v>9.1618612026729807</v>
      </c>
      <c r="M17" s="16">
        <f>'[6]Dia 12 (b)'!$X23</f>
        <v>8.0258287428803445</v>
      </c>
      <c r="N17" s="16">
        <f>'[6]Dia 13 (b)'!$X23</f>
        <v>6.877681517116395</v>
      </c>
      <c r="O17" s="16">
        <f>'[6]Dia 14 (b)'!$X23</f>
        <v>7.7621332134901762</v>
      </c>
      <c r="P17" s="16">
        <f>'[6]Dia 15 (b)'!$X23</f>
        <v>9.3037067659505883</v>
      </c>
      <c r="Q17" s="16">
        <f>'[6]Dia 16 (b)'!$X23</f>
        <v>8.2901363078812533</v>
      </c>
      <c r="R17" s="16">
        <f>'[6]Dia 17 (b)'!$X23</f>
        <v>9.1480326008718915</v>
      </c>
      <c r="S17" s="16">
        <f>'[6]Dia 18 (b)'!$X23</f>
        <v>7.8010490681623192</v>
      </c>
      <c r="T17" s="16">
        <f>'[6]Dia 19 (b)'!$X23</f>
        <v>7.9634390622924389</v>
      </c>
      <c r="U17" s="16">
        <f>'[6]Dia 20 (b)'!$X23</f>
        <v>5.0065142342388027</v>
      </c>
      <c r="V17" s="16">
        <f>'[6]Dia 21 (b)'!$X23</f>
        <v>6.3448780818651267</v>
      </c>
      <c r="W17" s="16">
        <f>'[6]Dia 22 (b)'!$X23</f>
        <v>7.831823791598377</v>
      </c>
      <c r="X17" s="16">
        <f>'[6]Dia 23 (b)'!$X23</f>
        <v>8.8928569903212207</v>
      </c>
      <c r="Y17" s="16">
        <f>'[6]Dia 24 (b)'!$X23</f>
        <v>8.8650066763533459</v>
      </c>
      <c r="Z17" s="16">
        <f>'[6]Dia 25 (b)'!$X23</f>
        <v>12.848399250573713</v>
      </c>
      <c r="AA17" s="16">
        <f>'[6]Dia 26 (b)'!$X23</f>
        <v>9.9298952292896701</v>
      </c>
      <c r="AB17" s="16">
        <f>'[6]Dia 27 (b)'!$X23</f>
        <v>12.585063042427723</v>
      </c>
      <c r="AC17" s="16">
        <f>'[6]Dia 28 (b)'!$X23</f>
        <v>9.4162286308745102</v>
      </c>
      <c r="AD17" s="16">
        <f>'[6]Dia 29 (b)'!$X23</f>
        <v>11.451546459201307</v>
      </c>
      <c r="AE17" s="16">
        <f>'[6]Dia 30 (b)'!$X23</f>
        <v>8.4922143831915395</v>
      </c>
      <c r="AF17" s="16"/>
    </row>
    <row r="18" spans="1:32" ht="20.100000000000001" customHeight="1">
      <c r="A18" s="15">
        <v>15</v>
      </c>
      <c r="B18" s="16">
        <f>'[6]Dia 1 (b)'!$X24</f>
        <v>7.8387858737123235</v>
      </c>
      <c r="C18" s="16">
        <f>'[6]Dia 2 (b)'!$X24</f>
        <v>8.2795104705608171</v>
      </c>
      <c r="D18" s="16">
        <f>'[6]Dia 3 (b)'!$X24</f>
        <v>10.407463689599439</v>
      </c>
      <c r="E18" s="16">
        <f>'[6]Dia 4 (b)'!$X24</f>
        <v>11.030717590255668</v>
      </c>
      <c r="F18" s="16">
        <f>'[6]Dia 5 (b)'!$X24</f>
        <v>9.8313180319455302</v>
      </c>
      <c r="G18" s="16">
        <f>'[6]Dia 6 (b)'!$X24</f>
        <v>8.5997486890971864</v>
      </c>
      <c r="H18" s="16">
        <f>'[6]Dia 7 (b)'!$X24</f>
        <v>7.7068267382537368</v>
      </c>
      <c r="I18" s="16">
        <f>'[6]Dia 8 (b)'!$X24</f>
        <v>8.872390380245637</v>
      </c>
      <c r="J18" s="16">
        <f>'[6]Dia 9 (b)'!$X24</f>
        <v>9.6214801046632967</v>
      </c>
      <c r="K18" s="16">
        <f>'[6]Dia 10 (b)'!$X24</f>
        <v>9.7924846983414735</v>
      </c>
      <c r="L18" s="16">
        <f>'[6]Dia 11 (b)'!$X24</f>
        <v>12.071045624632792</v>
      </c>
      <c r="M18" s="16">
        <f>'[6]Dia 12 (b)'!$X24</f>
        <v>7.5905159286590536</v>
      </c>
      <c r="N18" s="16">
        <f>'[6]Dia 13 (b)'!$X24</f>
        <v>6.7531959756769071</v>
      </c>
      <c r="O18" s="16">
        <f>'[6]Dia 14 (b)'!$X24</f>
        <v>8.6934799379487107</v>
      </c>
      <c r="P18" s="16">
        <f>'[6]Dia 15 (b)'!$X24</f>
        <v>8.6774515478385865</v>
      </c>
      <c r="Q18" s="16">
        <f>'[6]Dia 16 (b)'!$X24</f>
        <v>8.8016802753517762</v>
      </c>
      <c r="R18" s="16">
        <f>'[6]Dia 17 (b)'!$X24</f>
        <v>9.0669216448954124</v>
      </c>
      <c r="S18" s="16">
        <f>'[6]Dia 18 (b)'!$X24</f>
        <v>7.0650642431915767</v>
      </c>
      <c r="T18" s="16">
        <f>'[6]Dia 19 (b)'!$X24</f>
        <v>7.4516412685746412</v>
      </c>
      <c r="U18" s="16">
        <f>'[6]Dia 20 (b)'!$X24</f>
        <v>4.703245235969054</v>
      </c>
      <c r="V18" s="16">
        <f>'[6]Dia 21 (b)'!$X24</f>
        <v>6.0309228803691362</v>
      </c>
      <c r="W18" s="16">
        <f>'[6]Dia 22 (b)'!$X24</f>
        <v>7.6328978142166655</v>
      </c>
      <c r="X18" s="16">
        <f>'[6]Dia 23 (b)'!$X24</f>
        <v>8.6066517732888599</v>
      </c>
      <c r="Y18" s="16">
        <f>'[6]Dia 24 (b)'!$X24</f>
        <v>8.9533992120994554</v>
      </c>
      <c r="Z18" s="16">
        <f>'[6]Dia 25 (b)'!$X24</f>
        <v>12.892634277634333</v>
      </c>
      <c r="AA18" s="16">
        <f>'[6]Dia 26 (b)'!$X24</f>
        <v>9.9734218172189859</v>
      </c>
      <c r="AB18" s="16">
        <f>'[6]Dia 27 (b)'!$X24</f>
        <v>12.177372674378594</v>
      </c>
      <c r="AC18" s="16">
        <f>'[6]Dia 28 (b)'!$X24</f>
        <v>8.8035374843462186</v>
      </c>
      <c r="AD18" s="16">
        <f>'[6]Dia 29 (b)'!$X24</f>
        <v>12.283259372184535</v>
      </c>
      <c r="AE18" s="16">
        <f>'[6]Dia 30 (b)'!$X24</f>
        <v>8.3929977941602925</v>
      </c>
      <c r="AF18" s="16"/>
    </row>
    <row r="19" spans="1:32" ht="20.100000000000001" customHeight="1">
      <c r="A19" s="15">
        <v>16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</row>
    <row r="20" spans="1:32" ht="20.100000000000001" customHeight="1">
      <c r="A20" s="15">
        <v>17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</row>
    <row r="21" spans="1:32" ht="20.100000000000001" customHeight="1">
      <c r="A21" s="15">
        <v>18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</row>
    <row r="22" spans="1:32" ht="20.100000000000001" customHeight="1">
      <c r="A22" s="15">
        <v>19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</row>
    <row r="23" spans="1:32" ht="20.100000000000001" customHeight="1">
      <c r="A23" s="15">
        <v>20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</row>
    <row r="24" spans="1:32" ht="20.100000000000001" customHeight="1">
      <c r="A24" s="15">
        <v>21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</row>
    <row r="25" spans="1:32" ht="20.100000000000001" customHeight="1">
      <c r="A25" s="15">
        <v>22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</row>
    <row r="26" spans="1:32" ht="20.100000000000001" customHeight="1">
      <c r="A26" s="15">
        <v>23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</row>
    <row r="27" spans="1:32" ht="20.100000000000001" customHeight="1" thickBot="1">
      <c r="A27" s="15">
        <v>24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</row>
    <row r="28" spans="1:32" ht="16.5" thickTop="1">
      <c r="A28" s="17"/>
      <c r="B28" s="84" t="s">
        <v>62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1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2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3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5"/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4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2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5"/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5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2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5"/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1</v>
      </c>
      <c r="I46" s="30"/>
      <c r="J46" s="33"/>
      <c r="K46" s="34" t="s">
        <v>3</v>
      </c>
      <c r="L46" s="33"/>
      <c r="M46" s="33"/>
      <c r="N46" s="34" t="s">
        <v>4</v>
      </c>
      <c r="O46" s="33"/>
      <c r="P46" s="33"/>
      <c r="Q46" s="34" t="s">
        <v>5</v>
      </c>
      <c r="R46" s="30"/>
      <c r="S46" s="30"/>
      <c r="T46" s="33" t="s">
        <v>1</v>
      </c>
      <c r="U46" s="33"/>
      <c r="V46" s="33" t="s">
        <v>1</v>
      </c>
      <c r="W46" s="33"/>
      <c r="X46" s="33" t="s">
        <v>6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7</v>
      </c>
      <c r="I47" s="30"/>
      <c r="J47" s="33"/>
      <c r="K47" s="33" t="s">
        <v>7</v>
      </c>
      <c r="L47" s="33"/>
      <c r="M47" s="33"/>
      <c r="N47" s="33" t="s">
        <v>7</v>
      </c>
      <c r="O47" s="33"/>
      <c r="P47" s="33"/>
      <c r="Q47" s="33" t="s">
        <v>7</v>
      </c>
      <c r="R47" s="30"/>
      <c r="S47" s="30"/>
      <c r="T47" s="33" t="s">
        <v>8</v>
      </c>
      <c r="U47" s="33"/>
      <c r="V47" s="33" t="s">
        <v>9</v>
      </c>
      <c r="W47" s="33"/>
      <c r="X47" s="33" t="s">
        <v>10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/>
      <c r="I49" s="39"/>
      <c r="J49" s="41"/>
      <c r="K49" s="40"/>
      <c r="L49" s="41"/>
      <c r="M49" s="41"/>
      <c r="N49" s="40"/>
      <c r="O49" s="41"/>
      <c r="P49" s="41"/>
      <c r="Q49" s="40"/>
      <c r="R49" s="39"/>
      <c r="S49" s="40"/>
      <c r="T49" s="40"/>
      <c r="U49" s="40"/>
      <c r="V49" s="40"/>
      <c r="W49" s="40"/>
      <c r="X49" s="40"/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AB24" sqref="AB24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'[7]Dia 1 (b)'!C1</f>
        <v>JULHO DE 2024</v>
      </c>
      <c r="C1" s="3"/>
      <c r="D1" s="4"/>
      <c r="E1" s="5"/>
      <c r="F1" s="2"/>
      <c r="G1" s="3"/>
      <c r="H1" s="3"/>
      <c r="I1" s="3"/>
      <c r="J1" s="3"/>
      <c r="K1" s="3" t="s">
        <v>11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2" ht="20.100000000000001" customHeight="1">
      <c r="A4" s="15">
        <v>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</row>
    <row r="5" spans="1:32" ht="20.100000000000001" customHeight="1">
      <c r="A5" s="15">
        <v>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</row>
    <row r="6" spans="1:32" ht="20.100000000000001" customHeight="1">
      <c r="A6" s="15">
        <v>3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</row>
    <row r="7" spans="1:32" ht="20.100000000000001" customHeight="1">
      <c r="A7" s="15">
        <v>4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</row>
    <row r="8" spans="1:32" ht="20.100000000000001" customHeight="1">
      <c r="A8" s="15">
        <v>5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</row>
    <row r="9" spans="1:32" ht="20.100000000000001" customHeight="1">
      <c r="A9" s="15">
        <v>6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</row>
    <row r="10" spans="1:32" ht="20.100000000000001" customHeight="1">
      <c r="A10" s="15">
        <v>7</v>
      </c>
      <c r="B10" s="16">
        <f>'[7]Dia 1 (b)'!$X16</f>
        <v>8.6800789714447024</v>
      </c>
      <c r="C10" s="16">
        <f>'[7]Dia 2 (b)'!$X16</f>
        <v>9.0788427023744518</v>
      </c>
      <c r="D10" s="16">
        <f>'[7]Dia 3 (b)'!$X16</f>
        <v>10.367733563357218</v>
      </c>
      <c r="E10" s="16">
        <f>'[7]Dia 4 (b)'!$X16</f>
        <v>10.54722919088452</v>
      </c>
      <c r="F10" s="16">
        <f>'[7]Dia 5 (b)'!$X16</f>
        <v>10.514154636099557</v>
      </c>
      <c r="G10" s="16">
        <f>'[7]Dia 6 (b)'!$X16</f>
        <v>10.260320469542355</v>
      </c>
      <c r="H10" s="16">
        <f>'[7]Dia 7 (b)'!$X16</f>
        <v>10.443639257822792</v>
      </c>
      <c r="I10" s="16">
        <f>'[7]Dia 8 (b)'!$X16</f>
        <v>9.5783611520066554</v>
      </c>
      <c r="J10" s="16">
        <f>'[7]Dia 9 (b)'!$X16</f>
        <v>9.3494685650785101</v>
      </c>
      <c r="K10" s="16">
        <f>'[7]Dia 10 (b)'!$X16</f>
        <v>11.192494381227574</v>
      </c>
      <c r="L10" s="16">
        <f>'[7]Dia 11 (b)'!$X16</f>
        <v>12.094762860702783</v>
      </c>
      <c r="M10" s="16">
        <f>'[7]Dia 12 (b)'!$X16</f>
        <v>11.036076119820587</v>
      </c>
      <c r="N10" s="16">
        <f>'[7]Dia 13 (b)'!$X16</f>
        <v>9.4386635159934524</v>
      </c>
      <c r="O10" s="16">
        <f>'[7]Dia 14 (b)'!$X16</f>
        <v>10.885350719341039</v>
      </c>
      <c r="P10" s="16">
        <f>'[7]Dia 15 (b)'!$X16</f>
        <v>9.5179500765702052</v>
      </c>
      <c r="Q10" s="16">
        <f>'[7]Dia 16 (b)'!$X16</f>
        <v>10.153741189144835</v>
      </c>
      <c r="R10" s="16">
        <f>'[7]Dia 17 (b)'!$X16</f>
        <v>9.352522220634496</v>
      </c>
      <c r="S10" s="16">
        <f>'[7]Dia 18 (b)'!$X16</f>
        <v>9.4249801528400621</v>
      </c>
      <c r="T10" s="16">
        <f>'[7]Dia 19 (b)'!$X16</f>
        <v>8.7760740736808867</v>
      </c>
      <c r="U10" s="16">
        <f>'[7]Dia 20 (b)'!$X16</f>
        <v>9.6205305788796043</v>
      </c>
      <c r="V10" s="16">
        <f>'[7]Dia 21 (b)'!$X16</f>
        <v>8.9410301856602832</v>
      </c>
      <c r="W10" s="16">
        <f>'[7]Dia 22 (b)'!$X16</f>
        <v>8.4156060944832944</v>
      </c>
      <c r="X10" s="16">
        <f>'[7]Dia 23 (b)'!$X16</f>
        <v>7.136829237324072</v>
      </c>
      <c r="Y10" s="16">
        <f>'[7]Dia 24 (b)'!$X16</f>
        <v>7.3622271513032027</v>
      </c>
      <c r="Z10" s="16">
        <f>'[7]Dia 25 (b)'!$X16</f>
        <v>8.4706207784548493</v>
      </c>
      <c r="AA10" s="16">
        <f>'[7]Dia 26 (b)'!$X16</f>
        <v>8.3167863783814671</v>
      </c>
      <c r="AB10" s="16">
        <f>'[7]Dia 27 (b)'!$X16</f>
        <v>8.4310967873841811</v>
      </c>
      <c r="AC10" s="16">
        <f>'[7]Dia 28 (b)'!$X16</f>
        <v>8.8813547041163847</v>
      </c>
      <c r="AD10" s="16">
        <f>'[7]Dia 29 (b)'!$X16</f>
        <v>9.4977567182871425</v>
      </c>
      <c r="AE10" s="16">
        <f>'[7]Dia 30 (b)'!$X16</f>
        <v>9.5137351880994654</v>
      </c>
      <c r="AF10" s="16">
        <f>'[7]Dia 31 (b)'!$X16</f>
        <v>9.4099764784723448</v>
      </c>
    </row>
    <row r="11" spans="1:32" ht="20.100000000000001" customHeight="1">
      <c r="A11" s="15">
        <v>8</v>
      </c>
      <c r="B11" s="16">
        <f>'[7]Dia 1 (b)'!$X17</f>
        <v>8.7916111210422176</v>
      </c>
      <c r="C11" s="16">
        <f>'[7]Dia 2 (b)'!$X17</f>
        <v>9.1587776643757977</v>
      </c>
      <c r="D11" s="16">
        <f>'[7]Dia 3 (b)'!$X17</f>
        <v>10.662223345816074</v>
      </c>
      <c r="E11" s="16">
        <f>'[7]Dia 4 (b)'!$X17</f>
        <v>10.549377572540868</v>
      </c>
      <c r="F11" s="16">
        <f>'[7]Dia 5 (b)'!$X17</f>
        <v>10.967849696996103</v>
      </c>
      <c r="G11" s="16">
        <f>'[7]Dia 6 (b)'!$X17</f>
        <v>10.253402850729335</v>
      </c>
      <c r="H11" s="16">
        <f>'[7]Dia 7 (b)'!$X17</f>
        <v>10.499396380164809</v>
      </c>
      <c r="I11" s="16">
        <f>'[7]Dia 8 (b)'!$X17</f>
        <v>9.7933746201856504</v>
      </c>
      <c r="J11" s="16">
        <f>'[7]Dia 9 (b)'!$X17</f>
        <v>9.3466773700715073</v>
      </c>
      <c r="K11" s="16">
        <f>'[7]Dia 10 (b)'!$X17</f>
        <v>11.338109930382249</v>
      </c>
      <c r="L11" s="16">
        <f>'[7]Dia 11 (b)'!$X17</f>
        <v>11.846409483985832</v>
      </c>
      <c r="M11" s="16">
        <f>'[7]Dia 12 (b)'!$X17</f>
        <v>11.287922133415988</v>
      </c>
      <c r="N11" s="16">
        <f>'[7]Dia 13 (b)'!$X17</f>
        <v>9.2848565799067497</v>
      </c>
      <c r="O11" s="16">
        <f>'[7]Dia 14 (b)'!$X17</f>
        <v>11.059202940148355</v>
      </c>
      <c r="P11" s="16">
        <f>'[7]Dia 15 (b)'!$X17</f>
        <v>10.059001590199548</v>
      </c>
      <c r="Q11" s="16">
        <f>'[7]Dia 16 (b)'!$X17</f>
        <v>10.324758134894291</v>
      </c>
      <c r="R11" s="16">
        <f>'[7]Dia 17 (b)'!$X17</f>
        <v>10.194358236204888</v>
      </c>
      <c r="S11" s="16">
        <f>'[7]Dia 18 (b)'!$X17</f>
        <v>11.170519829927091</v>
      </c>
      <c r="T11" s="16">
        <f>'[7]Dia 19 (b)'!$X17</f>
        <v>8.7679551201111554</v>
      </c>
      <c r="U11" s="16">
        <f>'[7]Dia 20 (b)'!$X17</f>
        <v>9.8491376662361478</v>
      </c>
      <c r="V11" s="16">
        <f>'[7]Dia 21 (b)'!$X17</f>
        <v>9.1074116204607485</v>
      </c>
      <c r="W11" s="16">
        <f>'[7]Dia 22 (b)'!$X17</f>
        <v>10.054244556726317</v>
      </c>
      <c r="X11" s="16">
        <f>'[7]Dia 23 (b)'!$X17</f>
        <v>8.7446527654393016</v>
      </c>
      <c r="Y11" s="16">
        <f>'[7]Dia 24 (b)'!$X17</f>
        <v>7.175917928501125</v>
      </c>
      <c r="Z11" s="16">
        <f>'[7]Dia 25 (b)'!$X17</f>
        <v>9.4589310002378983</v>
      </c>
      <c r="AA11" s="16">
        <f>'[7]Dia 26 (b)'!$X17</f>
        <v>9.6535754892864887</v>
      </c>
      <c r="AB11" s="16">
        <f>'[7]Dia 27 (b)'!$X17</f>
        <v>9.4517263476544127</v>
      </c>
      <c r="AC11" s="16">
        <f>'[7]Dia 28 (b)'!$X17</f>
        <v>9.4688338434013755</v>
      </c>
      <c r="AD11" s="16">
        <f>'[7]Dia 29 (b)'!$X17</f>
        <v>10.585876029833925</v>
      </c>
      <c r="AE11" s="16">
        <f>'[7]Dia 30 (b)'!$X17</f>
        <v>9.7382280867381592</v>
      </c>
      <c r="AF11" s="16">
        <f>'[7]Dia 31 (b)'!$X17</f>
        <v>9.5745847168640488</v>
      </c>
    </row>
    <row r="12" spans="1:32" ht="20.100000000000001" customHeight="1">
      <c r="A12" s="15">
        <v>9</v>
      </c>
      <c r="B12" s="16">
        <f>'[7]Dia 1 (b)'!$X18</f>
        <v>9.0530952684936832</v>
      </c>
      <c r="C12" s="16">
        <f>'[7]Dia 2 (b)'!$X18</f>
        <v>9.1829967610394547</v>
      </c>
      <c r="D12" s="16">
        <f>'[7]Dia 3 (b)'!$X18</f>
        <v>10.680394830436358</v>
      </c>
      <c r="E12" s="16">
        <f>'[7]Dia 4 (b)'!$X18</f>
        <v>10.263597579140024</v>
      </c>
      <c r="F12" s="16">
        <f>'[7]Dia 5 (b)'!$X18</f>
        <v>10.41079140927004</v>
      </c>
      <c r="G12" s="16">
        <f>'[7]Dia 6 (b)'!$X18</f>
        <v>10.178703254054108</v>
      </c>
      <c r="H12" s="16">
        <f>'[7]Dia 7 (b)'!$X18</f>
        <v>10.348478007296695</v>
      </c>
      <c r="I12" s="16">
        <f>'[7]Dia 8 (b)'!$X18</f>
        <v>9.8794371747117147</v>
      </c>
      <c r="J12" s="16">
        <f>'[7]Dia 9 (b)'!$X18</f>
        <v>9.4678655920540802</v>
      </c>
      <c r="K12" s="16">
        <f>'[7]Dia 10 (b)'!$X18</f>
        <v>12.1323406414126</v>
      </c>
      <c r="L12" s="16">
        <f>'[7]Dia 11 (b)'!$X18</f>
        <v>11.834296411067715</v>
      </c>
      <c r="M12" s="16">
        <f>'[7]Dia 12 (b)'!$X18</f>
        <v>11.926678596274579</v>
      </c>
      <c r="N12" s="16">
        <f>'[7]Dia 13 (b)'!$X18</f>
        <v>9.5848260328752612</v>
      </c>
      <c r="O12" s="16">
        <f>'[7]Dia 14 (b)'!$X18</f>
        <v>11.294851228794061</v>
      </c>
      <c r="P12" s="16">
        <f>'[7]Dia 15 (b)'!$X18</f>
        <v>10.417770791113682</v>
      </c>
      <c r="Q12" s="16">
        <f>'[7]Dia 16 (b)'!$X18</f>
        <v>10.540016187317615</v>
      </c>
      <c r="R12" s="16">
        <f>'[7]Dia 17 (b)'!$X18</f>
        <v>10.317997266262793</v>
      </c>
      <c r="S12" s="16">
        <f>'[7]Dia 18 (b)'!$X18</f>
        <v>11.308408819964054</v>
      </c>
      <c r="T12" s="16">
        <f>'[7]Dia 19 (b)'!$X18</f>
        <v>8.6971936138425345</v>
      </c>
      <c r="U12" s="16">
        <f>'[7]Dia 20 (b)'!$X18</f>
        <v>9.9317997970904557</v>
      </c>
      <c r="V12" s="16">
        <f>'[7]Dia 21 (b)'!$X18</f>
        <v>9.1498068259884633</v>
      </c>
      <c r="W12" s="16">
        <f>'[7]Dia 22 (b)'!$X18</f>
        <v>10.356363457476606</v>
      </c>
      <c r="X12" s="16">
        <f>'[7]Dia 23 (b)'!$X18</f>
        <v>8.9690591730489029</v>
      </c>
      <c r="Y12" s="16">
        <f>'[7]Dia 24 (b)'!$X18</f>
        <v>6.9087640702155415</v>
      </c>
      <c r="Z12" s="16">
        <f>'[7]Dia 25 (b)'!$X18</f>
        <v>8.8583610779740454</v>
      </c>
      <c r="AA12" s="16">
        <f>'[7]Dia 26 (b)'!$X18</f>
        <v>8.9385201562309557</v>
      </c>
      <c r="AB12" s="16">
        <f>'[7]Dia 27 (b)'!$X18</f>
        <v>8.5051238090251715</v>
      </c>
      <c r="AC12" s="16">
        <f>'[7]Dia 28 (b)'!$X18</f>
        <v>9.4622655263110289</v>
      </c>
      <c r="AD12" s="16">
        <f>'[7]Dia 29 (b)'!$X18</f>
        <v>11.155856230335456</v>
      </c>
      <c r="AE12" s="16">
        <f>'[7]Dia 30 (b)'!$X18</f>
        <v>9.8873798968056246</v>
      </c>
      <c r="AF12" s="16">
        <f>'[7]Dia 31 (b)'!$X18</f>
        <v>9.5828270246328255</v>
      </c>
    </row>
    <row r="13" spans="1:32" ht="20.100000000000001" customHeight="1">
      <c r="A13" s="15">
        <v>10</v>
      </c>
      <c r="B13" s="16">
        <f>'[7]Dia 1 (b)'!$X19</f>
        <v>9.3495536468233311</v>
      </c>
      <c r="C13" s="16">
        <f>'[7]Dia 2 (b)'!$X19</f>
        <v>9.2571164712262437</v>
      </c>
      <c r="D13" s="16">
        <f>'[7]Dia 3 (b)'!$X19</f>
        <v>10.959689248743208</v>
      </c>
      <c r="E13" s="16">
        <f>'[7]Dia 4 (b)'!$X19</f>
        <v>9.7173480663751324</v>
      </c>
      <c r="F13" s="16">
        <f>'[7]Dia 5 (b)'!$X19</f>
        <v>9.4478081086234198</v>
      </c>
      <c r="G13" s="16">
        <f>'[7]Dia 6 (b)'!$X19</f>
        <v>10.120781116639744</v>
      </c>
      <c r="H13" s="16">
        <f>'[7]Dia 7 (b)'!$X19</f>
        <v>10.576084468739896</v>
      </c>
      <c r="I13" s="16">
        <f>'[7]Dia 8 (b)'!$X19</f>
        <v>10.439498044627578</v>
      </c>
      <c r="J13" s="16">
        <f>'[7]Dia 9 (b)'!$X19</f>
        <v>9.5246080560417088</v>
      </c>
      <c r="K13" s="16">
        <f>'[7]Dia 10 (b)'!$X19</f>
        <v>12.26887949379884</v>
      </c>
      <c r="L13" s="16">
        <f>'[7]Dia 11 (b)'!$X19</f>
        <v>12.140539092806002</v>
      </c>
      <c r="M13" s="16">
        <f>'[7]Dia 12 (b)'!$X19</f>
        <v>12.386172123377969</v>
      </c>
      <c r="N13" s="16">
        <f>'[7]Dia 13 (b)'!$X19</f>
        <v>9.6700066247440457</v>
      </c>
      <c r="O13" s="16">
        <f>'[7]Dia 14 (b)'!$X19</f>
        <v>11.127534886551468</v>
      </c>
      <c r="P13" s="16">
        <f>'[7]Dia 15 (b)'!$X19</f>
        <v>10.566311723956774</v>
      </c>
      <c r="Q13" s="16">
        <f>'[7]Dia 16 (b)'!$X19</f>
        <v>10.385815260867595</v>
      </c>
      <c r="R13" s="16">
        <f>'[7]Dia 17 (b)'!$X19</f>
        <v>10.374478203597798</v>
      </c>
      <c r="S13" s="16">
        <f>'[7]Dia 18 (b)'!$X19</f>
        <v>10.638147096420262</v>
      </c>
      <c r="T13" s="16">
        <f>'[7]Dia 19 (b)'!$X19</f>
        <v>8.9145543767511004</v>
      </c>
      <c r="U13" s="16">
        <f>'[7]Dia 20 (b)'!$X19</f>
        <v>11.143735053219963</v>
      </c>
      <c r="V13" s="16">
        <f>'[7]Dia 21 (b)'!$X19</f>
        <v>9.398490577614</v>
      </c>
      <c r="W13" s="16">
        <f>'[7]Dia 22 (b)'!$X19</f>
        <v>9.2941380804841511</v>
      </c>
      <c r="X13" s="16">
        <f>'[7]Dia 23 (b)'!$X19</f>
        <v>7.03004874524476</v>
      </c>
      <c r="Y13" s="16">
        <f>'[7]Dia 24 (b)'!$X19</f>
        <v>6.5353302407079807</v>
      </c>
      <c r="Z13" s="16">
        <f>'[7]Dia 25 (b)'!$X19</f>
        <v>8.6013274231929788</v>
      </c>
      <c r="AA13" s="16">
        <f>'[7]Dia 26 (b)'!$X19</f>
        <v>8.8974795150219723</v>
      </c>
      <c r="AB13" s="16">
        <f>'[7]Dia 27 (b)'!$X19</f>
        <v>8.4213661249662852</v>
      </c>
      <c r="AC13" s="16">
        <f>'[7]Dia 28 (b)'!$X19</f>
        <v>8.8431651953766686</v>
      </c>
      <c r="AD13" s="16">
        <f>'[7]Dia 29 (b)'!$X19</f>
        <v>9.7425803542512988</v>
      </c>
      <c r="AE13" s="16">
        <f>'[7]Dia 30 (b)'!$X19</f>
        <v>10.124609755513681</v>
      </c>
      <c r="AF13" s="16">
        <f>'[7]Dia 31 (b)'!$X19</f>
        <v>9.7092923725673081</v>
      </c>
    </row>
    <row r="14" spans="1:32" ht="20.100000000000001" customHeight="1">
      <c r="A14" s="15">
        <v>11</v>
      </c>
      <c r="B14" s="16">
        <f>'[7]Dia 1 (b)'!$X20</f>
        <v>9.4467379422153517</v>
      </c>
      <c r="C14" s="16">
        <f>'[7]Dia 2 (b)'!$X20</f>
        <v>8.7635293165959975</v>
      </c>
      <c r="D14" s="16">
        <f>'[7]Dia 3 (b)'!$X20</f>
        <v>10.169560429005674</v>
      </c>
      <c r="E14" s="16">
        <f>'[7]Dia 4 (b)'!$X20</f>
        <v>9.8832672276534037</v>
      </c>
      <c r="F14" s="16">
        <f>'[7]Dia 5 (b)'!$X20</f>
        <v>7.8170676137951016</v>
      </c>
      <c r="G14" s="16">
        <f>'[7]Dia 6 (b)'!$X20</f>
        <v>10.142987098366499</v>
      </c>
      <c r="H14" s="16">
        <f>'[7]Dia 7 (b)'!$X20</f>
        <v>10.378988610861059</v>
      </c>
      <c r="I14" s="16">
        <f>'[7]Dia 8 (b)'!$X20</f>
        <v>10.4756982547216</v>
      </c>
      <c r="J14" s="16">
        <f>'[7]Dia 9 (b)'!$X20</f>
        <v>9.4830496856247866</v>
      </c>
      <c r="K14" s="16">
        <f>'[7]Dia 10 (b)'!$X20</f>
        <v>12.57179354194956</v>
      </c>
      <c r="L14" s="16">
        <f>'[7]Dia 11 (b)'!$X20</f>
        <v>12.460178031094145</v>
      </c>
      <c r="M14" s="16">
        <f>'[7]Dia 12 (b)'!$X20</f>
        <v>12.520220893084632</v>
      </c>
      <c r="N14" s="16">
        <f>'[7]Dia 13 (b)'!$X20</f>
        <v>9.6894976146274363</v>
      </c>
      <c r="O14" s="16">
        <f>'[7]Dia 14 (b)'!$X20</f>
        <v>10.614239260118659</v>
      </c>
      <c r="P14" s="16">
        <f>'[7]Dia 15 (b)'!$X20</f>
        <v>10.610988063960219</v>
      </c>
      <c r="Q14" s="16">
        <f>'[7]Dia 16 (b)'!$X20</f>
        <v>10.699504882382685</v>
      </c>
      <c r="R14" s="16">
        <f>'[7]Dia 17 (b)'!$X20</f>
        <v>9.873587425147381</v>
      </c>
      <c r="S14" s="16">
        <f>'[7]Dia 18 (b)'!$X20</f>
        <v>10.138530335329808</v>
      </c>
      <c r="T14" s="16">
        <f>'[7]Dia 19 (b)'!$X20</f>
        <v>8.4076816806163848</v>
      </c>
      <c r="U14" s="16">
        <f>'[7]Dia 20 (b)'!$X20</f>
        <v>8.6709847514963521</v>
      </c>
      <c r="V14" s="16">
        <f>'[7]Dia 21 (b)'!$X20</f>
        <v>9.3930050986813001</v>
      </c>
      <c r="W14" s="16">
        <f>'[7]Dia 22 (b)'!$X20</f>
        <v>7.9299408213039779</v>
      </c>
      <c r="X14" s="16">
        <f>'[7]Dia 23 (b)'!$X20</f>
        <v>6.293289797984853</v>
      </c>
      <c r="Y14" s="16">
        <f>'[7]Dia 24 (b)'!$X20</f>
        <v>6.3819702238784952</v>
      </c>
      <c r="Z14" s="16">
        <f>'[7]Dia 25 (b)'!$X20</f>
        <v>7.9179200489012738</v>
      </c>
      <c r="AA14" s="16">
        <f>'[7]Dia 26 (b)'!$X20</f>
        <v>8.4559433348831377</v>
      </c>
      <c r="AB14" s="16">
        <f>'[7]Dia 27 (b)'!$X20</f>
        <v>8.3882697365973513</v>
      </c>
      <c r="AC14" s="16">
        <f>'[7]Dia 28 (b)'!$X20</f>
        <v>8.8801078526247519</v>
      </c>
      <c r="AD14" s="16">
        <f>'[7]Dia 29 (b)'!$X20</f>
        <v>10.541890903795109</v>
      </c>
      <c r="AE14" s="16">
        <f>'[7]Dia 30 (b)'!$X20</f>
        <v>10.284754558642048</v>
      </c>
      <c r="AF14" s="16">
        <f>'[7]Dia 31 (b)'!$X20</f>
        <v>9.8282387735200736</v>
      </c>
    </row>
    <row r="15" spans="1:32" ht="20.100000000000001" customHeight="1">
      <c r="A15" s="15">
        <v>12</v>
      </c>
      <c r="B15" s="16">
        <f>'[7]Dia 1 (b)'!$X21</f>
        <v>9.18314465947239</v>
      </c>
      <c r="C15" s="16">
        <f>'[7]Dia 2 (b)'!$X21</f>
        <v>8.952611683249426</v>
      </c>
      <c r="D15" s="16">
        <f>'[7]Dia 3 (b)'!$X21</f>
        <v>9.5134483236604801</v>
      </c>
      <c r="E15" s="16">
        <f>'[7]Dia 4 (b)'!$X21</f>
        <v>9.5004022876325216</v>
      </c>
      <c r="F15" s="16">
        <f>'[7]Dia 5 (b)'!$X21</f>
        <v>6.9711299663723647</v>
      </c>
      <c r="G15" s="16">
        <f>'[7]Dia 6 (b)'!$X21</f>
        <v>10.209146107598864</v>
      </c>
      <c r="H15" s="16">
        <f>'[7]Dia 7 (b)'!$X21</f>
        <v>10.531204847962245</v>
      </c>
      <c r="I15" s="16">
        <f>'[7]Dia 8 (b)'!$X21</f>
        <v>11.020054526640077</v>
      </c>
      <c r="J15" s="16">
        <f>'[7]Dia 9 (b)'!$X21</f>
        <v>9.7485879059817382</v>
      </c>
      <c r="K15" s="16">
        <f>'[7]Dia 10 (b)'!$X21</f>
        <v>11.977694202515167</v>
      </c>
      <c r="L15" s="16">
        <f>'[7]Dia 11 (b)'!$X21</f>
        <v>12.426947102816341</v>
      </c>
      <c r="M15" s="16">
        <f>'[7]Dia 12 (b)'!$X21</f>
        <v>12.145439115463192</v>
      </c>
      <c r="N15" s="16">
        <f>'[7]Dia 13 (b)'!$X21</f>
        <v>9.6746079836240231</v>
      </c>
      <c r="O15" s="16">
        <f>'[7]Dia 14 (b)'!$X21</f>
        <v>10.326132699201855</v>
      </c>
      <c r="P15" s="16">
        <f>'[7]Dia 15 (b)'!$X21</f>
        <v>10.525591341884866</v>
      </c>
      <c r="Q15" s="16">
        <f>'[7]Dia 16 (b)'!$X21</f>
        <v>10.751188726783994</v>
      </c>
      <c r="R15" s="16">
        <f>'[7]Dia 17 (b)'!$X21</f>
        <v>10.169415779838568</v>
      </c>
      <c r="S15" s="16">
        <f>'[7]Dia 18 (b)'!$X21</f>
        <v>8.8480340257023276</v>
      </c>
      <c r="T15" s="16">
        <f>'[7]Dia 19 (b)'!$X21</f>
        <v>8.9230875426694976</v>
      </c>
      <c r="U15" s="16">
        <f>'[7]Dia 20 (b)'!$X21</f>
        <v>8.7648919977764574</v>
      </c>
      <c r="V15" s="16">
        <f>'[7]Dia 21 (b)'!$X21</f>
        <v>9.4312044110557967</v>
      </c>
      <c r="W15" s="16">
        <f>'[7]Dia 22 (b)'!$X21</f>
        <v>7.7051023699265437</v>
      </c>
      <c r="X15" s="16">
        <f>'[7]Dia 23 (b)'!$X21</f>
        <v>4.8385601686809263</v>
      </c>
      <c r="Y15" s="16">
        <f>'[7]Dia 24 (b)'!$X21</f>
        <v>6.3187096697894205</v>
      </c>
      <c r="Z15" s="16">
        <f>'[7]Dia 25 (b)'!$X21</f>
        <v>7.0757502776409762</v>
      </c>
      <c r="AA15" s="16">
        <f>'[7]Dia 26 (b)'!$X21</f>
        <v>6.5288685587599744</v>
      </c>
      <c r="AB15" s="16">
        <f>'[7]Dia 27 (b)'!$X21</f>
        <v>7.7371972633730541</v>
      </c>
      <c r="AC15" s="16">
        <f>'[7]Dia 28 (b)'!$X21</f>
        <v>8.6306361249463208</v>
      </c>
      <c r="AD15" s="16">
        <f>'[7]Dia 29 (b)'!$X21</f>
        <v>10.375052865211677</v>
      </c>
      <c r="AE15" s="16">
        <f>'[7]Dia 30 (b)'!$X21</f>
        <v>10.425068344436479</v>
      </c>
      <c r="AF15" s="16">
        <f>'[7]Dia 31 (b)'!$X21</f>
        <v>10.240013324263016</v>
      </c>
    </row>
    <row r="16" spans="1:32" ht="20.100000000000001" customHeight="1">
      <c r="A16" s="15">
        <v>13</v>
      </c>
      <c r="B16" s="16">
        <f>'[7]Dia 1 (b)'!$X22</f>
        <v>9.5800990369345556</v>
      </c>
      <c r="C16" s="16">
        <f>'[7]Dia 2 (b)'!$X22</f>
        <v>9.2380409495569147</v>
      </c>
      <c r="D16" s="16">
        <f>'[7]Dia 3 (b)'!$X22</f>
        <v>8.1875511195731185</v>
      </c>
      <c r="E16" s="16">
        <f>'[7]Dia 4 (b)'!$X22</f>
        <v>9.2165796249112475</v>
      </c>
      <c r="F16" s="16">
        <f>'[7]Dia 5 (b)'!$X22</f>
        <v>6.0335771200405892</v>
      </c>
      <c r="G16" s="16">
        <f>'[7]Dia 6 (b)'!$X22</f>
        <v>10.49810007909357</v>
      </c>
      <c r="H16" s="16">
        <f>'[7]Dia 7 (b)'!$X22</f>
        <v>9.9654689058112336</v>
      </c>
      <c r="I16" s="16">
        <f>'[7]Dia 8 (b)'!$X22</f>
        <v>10.630413206981556</v>
      </c>
      <c r="J16" s="16">
        <f>'[7]Dia 9 (b)'!$X22</f>
        <v>9.7541765730179044</v>
      </c>
      <c r="K16" s="16">
        <f>'[7]Dia 10 (b)'!$X22</f>
        <v>12.327881968233223</v>
      </c>
      <c r="L16" s="16">
        <f>'[7]Dia 11 (b)'!$X22</f>
        <v>12.983793704347045</v>
      </c>
      <c r="M16" s="16">
        <f>'[7]Dia 12 (b)'!$X22</f>
        <v>11.279505251434315</v>
      </c>
      <c r="N16" s="16">
        <f>'[7]Dia 13 (b)'!$X22</f>
        <v>9.7933796126308437</v>
      </c>
      <c r="O16" s="16">
        <f>'[7]Dia 14 (b)'!$X22</f>
        <v>9.0145083298605417</v>
      </c>
      <c r="P16" s="16">
        <f>'[7]Dia 15 (b)'!$X22</f>
        <v>10.654652177263371</v>
      </c>
      <c r="Q16" s="16">
        <f>'[7]Dia 16 (b)'!$X22</f>
        <v>10.219788945885979</v>
      </c>
      <c r="R16" s="16">
        <f>'[7]Dia 17 (b)'!$X22</f>
        <v>10.010196290142513</v>
      </c>
      <c r="S16" s="16">
        <f>'[7]Dia 18 (b)'!$X22</f>
        <v>8.6462573459382881</v>
      </c>
      <c r="T16" s="16">
        <f>'[7]Dia 19 (b)'!$X22</f>
        <v>9.13235420626261</v>
      </c>
      <c r="U16" s="16">
        <f>'[7]Dia 20 (b)'!$X22</f>
        <v>8.3081020809110644</v>
      </c>
      <c r="V16" s="16">
        <f>'[7]Dia 21 (b)'!$X22</f>
        <v>9.2775363233745605</v>
      </c>
      <c r="W16" s="16">
        <f>'[7]Dia 22 (b)'!$X22</f>
        <v>7.8544087777058902</v>
      </c>
      <c r="X16" s="16">
        <f>'[7]Dia 23 (b)'!$X22</f>
        <v>5.5974656409234127</v>
      </c>
      <c r="Y16" s="16">
        <f>'[7]Dia 24 (b)'!$X22</f>
        <v>6.640332906570241</v>
      </c>
      <c r="Z16" s="16">
        <f>'[7]Dia 25 (b)'!$X22</f>
        <v>6.7759809274076419</v>
      </c>
      <c r="AA16" s="16">
        <f>'[7]Dia 26 (b)'!$X22</f>
        <v>7.2100017281268931</v>
      </c>
      <c r="AB16" s="16">
        <f>'[7]Dia 27 (b)'!$X22</f>
        <v>7.4998009008097055</v>
      </c>
      <c r="AC16" s="16">
        <f>'[7]Dia 28 (b)'!$X22</f>
        <v>8.3916405882244156</v>
      </c>
      <c r="AD16" s="16">
        <f>'[7]Dia 29 (b)'!$X22</f>
        <v>9.9331155067198562</v>
      </c>
      <c r="AE16" s="16">
        <f>'[7]Dia 30 (b)'!$X22</f>
        <v>10.420224879367099</v>
      </c>
      <c r="AF16" s="16">
        <f>'[7]Dia 31 (b)'!$X22</f>
        <v>10.272176932367028</v>
      </c>
    </row>
    <row r="17" spans="1:32" ht="20.100000000000001" customHeight="1">
      <c r="A17" s="15">
        <v>14</v>
      </c>
      <c r="B17" s="16">
        <f>'[7]Dia 1 (b)'!$X23</f>
        <v>9.5423494211113287</v>
      </c>
      <c r="C17" s="16">
        <f>'[7]Dia 2 (b)'!$X23</f>
        <v>8.5607806674051208</v>
      </c>
      <c r="D17" s="16">
        <f>'[7]Dia 3 (b)'!$X23</f>
        <v>7.8561321430390505</v>
      </c>
      <c r="E17" s="16">
        <f>'[7]Dia 4 (b)'!$X23</f>
        <v>8.5596618183902393</v>
      </c>
      <c r="F17" s="16">
        <f>'[7]Dia 5 (b)'!$X23</f>
        <v>5.7881439745065144</v>
      </c>
      <c r="G17" s="16">
        <f>'[7]Dia 6 (b)'!$X23</f>
        <v>10.689629718973023</v>
      </c>
      <c r="H17" s="16">
        <f>'[7]Dia 7 (b)'!$X23</f>
        <v>8.8897001917576439</v>
      </c>
      <c r="I17" s="16">
        <f>'[7]Dia 8 (b)'!$X23</f>
        <v>10.774528188006082</v>
      </c>
      <c r="J17" s="16">
        <f>'[7]Dia 9 (b)'!$X23</f>
        <v>9.8494614480472791</v>
      </c>
      <c r="K17" s="16">
        <f>'[7]Dia 10 (b)'!$X23</f>
        <v>12.163713693318174</v>
      </c>
      <c r="L17" s="16">
        <f>'[7]Dia 11 (b)'!$X23</f>
        <v>13.141167605528052</v>
      </c>
      <c r="M17" s="16">
        <f>'[7]Dia 12 (b)'!$X23</f>
        <v>10.823895703473635</v>
      </c>
      <c r="N17" s="16">
        <f>'[7]Dia 13 (b)'!$X23</f>
        <v>9.7355002011283016</v>
      </c>
      <c r="O17" s="16">
        <f>'[7]Dia 14 (b)'!$X23</f>
        <v>9.0614689812605889</v>
      </c>
      <c r="P17" s="16">
        <f>'[7]Dia 15 (b)'!$X23</f>
        <v>10.075603144335519</v>
      </c>
      <c r="Q17" s="16">
        <f>'[7]Dia 16 (b)'!$X23</f>
        <v>10.30129145147621</v>
      </c>
      <c r="R17" s="16">
        <f>'[7]Dia 17 (b)'!$X23</f>
        <v>9.3207696073228608</v>
      </c>
      <c r="S17" s="16">
        <f>'[7]Dia 18 (b)'!$X23</f>
        <v>8.6586199150427703</v>
      </c>
      <c r="T17" s="16">
        <f>'[7]Dia 19 (b)'!$X23</f>
        <v>8.7057326867673872</v>
      </c>
      <c r="U17" s="16">
        <f>'[7]Dia 20 (b)'!$X23</f>
        <v>6.527038544124899</v>
      </c>
      <c r="V17" s="16">
        <f>'[7]Dia 21 (b)'!$X23</f>
        <v>9.0398277992089007</v>
      </c>
      <c r="W17" s="16">
        <f>'[7]Dia 22 (b)'!$X23</f>
        <v>7.9902188270645311</v>
      </c>
      <c r="X17" s="16">
        <f>'[7]Dia 23 (b)'!$X23</f>
        <v>5.6313421817142624</v>
      </c>
      <c r="Y17" s="16">
        <f>'[7]Dia 24 (b)'!$X23</f>
        <v>6.4685005805861122</v>
      </c>
      <c r="Z17" s="16">
        <f>'[7]Dia 25 (b)'!$X23</f>
        <v>6.3922307441933963</v>
      </c>
      <c r="AA17" s="16">
        <f>'[7]Dia 26 (b)'!$X23</f>
        <v>7.2217084391982462</v>
      </c>
      <c r="AB17" s="16">
        <f>'[7]Dia 27 (b)'!$X23</f>
        <v>7.5385245698161958</v>
      </c>
      <c r="AC17" s="16">
        <f>'[7]Dia 28 (b)'!$X23</f>
        <v>7.9421354642544983</v>
      </c>
      <c r="AD17" s="16">
        <f>'[7]Dia 29 (b)'!$X23</f>
        <v>9.8332073623940612</v>
      </c>
      <c r="AE17" s="16">
        <f>'[7]Dia 30 (b)'!$X23</f>
        <v>10.370155932730659</v>
      </c>
      <c r="AF17" s="16">
        <f>'[7]Dia 31 (b)'!$X23</f>
        <v>10.109680624345255</v>
      </c>
    </row>
    <row r="18" spans="1:32" ht="20.100000000000001" customHeight="1">
      <c r="A18" s="15">
        <v>15</v>
      </c>
      <c r="B18" s="16">
        <f>'[7]Dia 1 (b)'!$X24</f>
        <v>9.320444814642082</v>
      </c>
      <c r="C18" s="16">
        <f>'[7]Dia 2 (b)'!$X24</f>
        <v>7.9999062621445161</v>
      </c>
      <c r="D18" s="16">
        <f>'[7]Dia 3 (b)'!$X24</f>
        <v>7.0646497618219701</v>
      </c>
      <c r="E18" s="16">
        <f>'[7]Dia 4 (b)'!$X24</f>
        <v>8.7240213564900433</v>
      </c>
      <c r="F18" s="16">
        <f>'[7]Dia 5 (b)'!$X24</f>
        <v>5.8042542143423024</v>
      </c>
      <c r="G18" s="16">
        <f>'[7]Dia 6 (b)'!$X24</f>
        <v>10.240993108110667</v>
      </c>
      <c r="H18" s="16">
        <f>'[7]Dia 7 (b)'!$X24</f>
        <v>7.9116815544827244</v>
      </c>
      <c r="I18" s="16">
        <f>'[7]Dia 8 (b)'!$X24</f>
        <v>10.52755201061801</v>
      </c>
      <c r="J18" s="16">
        <f>'[7]Dia 9 (b)'!$X24</f>
        <v>10.166538380964413</v>
      </c>
      <c r="K18" s="16">
        <f>'[7]Dia 10 (b)'!$X24</f>
        <v>11.875301415681188</v>
      </c>
      <c r="L18" s="16">
        <f>'[7]Dia 11 (b)'!$X24</f>
        <v>13.235982395391726</v>
      </c>
      <c r="M18" s="16">
        <f>'[7]Dia 12 (b)'!$X24</f>
        <v>10.052290706982909</v>
      </c>
      <c r="N18" s="16">
        <f>'[7]Dia 13 (b)'!$X24</f>
        <v>9.5214973123736595</v>
      </c>
      <c r="O18" s="16">
        <f>'[7]Dia 14 (b)'!$X24</f>
        <v>8.6170941454844279</v>
      </c>
      <c r="P18" s="16">
        <f>'[7]Dia 15 (b)'!$X24</f>
        <v>11.138932957869583</v>
      </c>
      <c r="Q18" s="16">
        <f>'[7]Dia 16 (b)'!$X24</f>
        <v>10.717157726334396</v>
      </c>
      <c r="R18" s="16">
        <f>'[7]Dia 17 (b)'!$X24</f>
        <v>9.4806177634696827</v>
      </c>
      <c r="S18" s="16">
        <f>'[7]Dia 18 (b)'!$X24</f>
        <v>11.364689149014083</v>
      </c>
      <c r="T18" s="16">
        <f>'[7]Dia 19 (b)'!$X24</f>
        <v>8.3890022888986611</v>
      </c>
      <c r="U18" s="16">
        <f>'[7]Dia 20 (b)'!$X24</f>
        <v>6.4357214409655183</v>
      </c>
      <c r="V18" s="16">
        <f>'[7]Dia 21 (b)'!$X24</f>
        <v>8.611215696513483</v>
      </c>
      <c r="W18" s="16">
        <f>'[7]Dia 22 (b)'!$X24</f>
        <v>7.9094986768468099</v>
      </c>
      <c r="X18" s="16">
        <f>'[7]Dia 23 (b)'!$X24</f>
        <v>6.2280826821933646</v>
      </c>
      <c r="Y18" s="16">
        <f>'[7]Dia 24 (b)'!$X24</f>
        <v>5.9207117772814968</v>
      </c>
      <c r="Z18" s="16">
        <f>'[7]Dia 25 (b)'!$X24</f>
        <v>6.7435044989891129</v>
      </c>
      <c r="AA18" s="16">
        <f>'[7]Dia 26 (b)'!$X24</f>
        <v>7.4191837259400861</v>
      </c>
      <c r="AB18" s="16">
        <f>'[7]Dia 27 (b)'!$X24</f>
        <v>7.0851016013036388</v>
      </c>
      <c r="AC18" s="16">
        <f>'[7]Dia 28 (b)'!$X24</f>
        <v>7.4159883841383438</v>
      </c>
      <c r="AD18" s="16">
        <f>'[7]Dia 29 (b)'!$X24</f>
        <v>9.9774752146377583</v>
      </c>
      <c r="AE18" s="16">
        <f>'[7]Dia 30 (b)'!$X24</f>
        <v>10.190628127908745</v>
      </c>
      <c r="AF18" s="16">
        <f>'[7]Dia 31 (b)'!$X24</f>
        <v>10.313745624092324</v>
      </c>
    </row>
    <row r="19" spans="1:32" ht="20.100000000000001" customHeight="1">
      <c r="A19" s="15">
        <v>16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</row>
    <row r="20" spans="1:32" ht="20.100000000000001" customHeight="1">
      <c r="A20" s="15">
        <v>17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</row>
    <row r="21" spans="1:32" ht="20.100000000000001" customHeight="1">
      <c r="A21" s="15">
        <v>18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</row>
    <row r="22" spans="1:32" ht="20.100000000000001" customHeight="1">
      <c r="A22" s="15">
        <v>19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</row>
    <row r="23" spans="1:32" ht="20.100000000000001" customHeight="1">
      <c r="A23" s="15">
        <v>20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</row>
    <row r="24" spans="1:32" ht="20.100000000000001" customHeight="1">
      <c r="A24" s="15">
        <v>21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</row>
    <row r="25" spans="1:32" ht="20.100000000000001" customHeight="1">
      <c r="A25" s="15">
        <v>22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</row>
    <row r="26" spans="1:32" ht="20.100000000000001" customHeight="1">
      <c r="A26" s="15">
        <v>23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</row>
    <row r="27" spans="1:32" ht="20.100000000000001" customHeight="1" thickBot="1">
      <c r="A27" s="15">
        <v>24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</row>
    <row r="28" spans="1:32" ht="16.5" thickTop="1">
      <c r="A28" s="17"/>
      <c r="B28" s="84" t="s">
        <v>62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1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2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3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5"/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4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2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5"/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5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2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5"/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1</v>
      </c>
      <c r="I46" s="30"/>
      <c r="J46" s="33"/>
      <c r="K46" s="34" t="s">
        <v>3</v>
      </c>
      <c r="L46" s="33"/>
      <c r="M46" s="33"/>
      <c r="N46" s="34" t="s">
        <v>4</v>
      </c>
      <c r="O46" s="33"/>
      <c r="P46" s="33"/>
      <c r="Q46" s="34" t="s">
        <v>5</v>
      </c>
      <c r="R46" s="30"/>
      <c r="S46" s="30"/>
      <c r="T46" s="33" t="s">
        <v>1</v>
      </c>
      <c r="U46" s="33"/>
      <c r="V46" s="33" t="s">
        <v>1</v>
      </c>
      <c r="W46" s="33"/>
      <c r="X46" s="33" t="s">
        <v>6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7</v>
      </c>
      <c r="I47" s="30"/>
      <c r="J47" s="33"/>
      <c r="K47" s="33" t="s">
        <v>7</v>
      </c>
      <c r="L47" s="33"/>
      <c r="M47" s="33"/>
      <c r="N47" s="33" t="s">
        <v>7</v>
      </c>
      <c r="O47" s="33"/>
      <c r="P47" s="33"/>
      <c r="Q47" s="33" t="s">
        <v>7</v>
      </c>
      <c r="R47" s="30"/>
      <c r="S47" s="30"/>
      <c r="T47" s="33" t="s">
        <v>8</v>
      </c>
      <c r="U47" s="33"/>
      <c r="V47" s="33" t="s">
        <v>9</v>
      </c>
      <c r="W47" s="33"/>
      <c r="X47" s="33" t="s">
        <v>10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/>
      <c r="I49" s="39"/>
      <c r="J49" s="41"/>
      <c r="K49" s="40"/>
      <c r="L49" s="41"/>
      <c r="M49" s="41"/>
      <c r="N49" s="40"/>
      <c r="O49" s="41"/>
      <c r="P49" s="41"/>
      <c r="Q49" s="40"/>
      <c r="R49" s="39"/>
      <c r="S49" s="40"/>
      <c r="T49" s="40"/>
      <c r="U49" s="40"/>
      <c r="V49" s="40"/>
      <c r="W49" s="40"/>
      <c r="X49" s="40"/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497"/>
  <sheetViews>
    <sheetView tabSelected="1" zoomScale="70" zoomScaleNormal="70" workbookViewId="0">
      <selection activeCell="AB24" sqref="AB24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3" ht="18">
      <c r="A1" s="1"/>
      <c r="B1" s="2" t="str">
        <f>'[8]Dia 1 (b)'!C1</f>
        <v>AGOSTO DE 2024</v>
      </c>
      <c r="C1" s="3"/>
      <c r="D1" s="4"/>
      <c r="E1" s="5"/>
      <c r="F1" s="2"/>
      <c r="G1" s="3"/>
      <c r="H1" s="3"/>
      <c r="I1" s="3"/>
      <c r="J1" s="3"/>
      <c r="K1" s="3" t="s">
        <v>11</v>
      </c>
      <c r="L1" s="3"/>
      <c r="M1" s="3"/>
      <c r="N1" s="45"/>
      <c r="O1" s="46"/>
      <c r="P1" s="47"/>
      <c r="Q1" s="46"/>
      <c r="R1" s="46"/>
      <c r="S1" s="46"/>
      <c r="T1" s="46"/>
      <c r="U1" s="46"/>
      <c r="V1" s="48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3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3" ht="20.100000000000001" customHeight="1" thickBot="1">
      <c r="A3" s="49" t="s">
        <v>0</v>
      </c>
      <c r="B3" s="50">
        <v>1</v>
      </c>
      <c r="C3" s="50">
        <v>2</v>
      </c>
      <c r="D3" s="50">
        <v>3</v>
      </c>
      <c r="E3" s="50">
        <v>4</v>
      </c>
      <c r="F3" s="50">
        <v>5</v>
      </c>
      <c r="G3" s="50">
        <v>6</v>
      </c>
      <c r="H3" s="50">
        <v>7</v>
      </c>
      <c r="I3" s="50">
        <v>8</v>
      </c>
      <c r="J3" s="50">
        <v>9</v>
      </c>
      <c r="K3" s="50">
        <v>10</v>
      </c>
      <c r="L3" s="50">
        <v>11</v>
      </c>
      <c r="M3" s="50">
        <v>12</v>
      </c>
      <c r="N3" s="50">
        <v>13</v>
      </c>
      <c r="O3" s="50">
        <v>14</v>
      </c>
      <c r="P3" s="50">
        <v>15</v>
      </c>
      <c r="Q3" s="50">
        <v>16</v>
      </c>
      <c r="R3" s="50">
        <v>17</v>
      </c>
      <c r="S3" s="50">
        <v>18</v>
      </c>
      <c r="T3" s="50">
        <v>19</v>
      </c>
      <c r="U3" s="50">
        <v>20</v>
      </c>
      <c r="V3" s="50">
        <v>21</v>
      </c>
      <c r="W3" s="50">
        <v>22</v>
      </c>
      <c r="X3" s="50">
        <v>23</v>
      </c>
      <c r="Y3" s="50">
        <v>24</v>
      </c>
      <c r="Z3" s="13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3" ht="20.100000000000001" customHeight="1">
      <c r="A4" s="51">
        <v>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</row>
    <row r="5" spans="1:33" ht="20.100000000000001" customHeight="1">
      <c r="A5" s="51">
        <v>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</row>
    <row r="6" spans="1:33" ht="20.100000000000001" customHeight="1">
      <c r="A6" s="51">
        <v>3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</row>
    <row r="7" spans="1:33" ht="20.100000000000001" customHeight="1">
      <c r="A7" s="51">
        <v>4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</row>
    <row r="8" spans="1:33" ht="20.100000000000001" customHeight="1">
      <c r="A8" s="51">
        <v>5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7"/>
      <c r="AG8" s="88"/>
    </row>
    <row r="9" spans="1:33" ht="20.100000000000001" customHeight="1">
      <c r="A9" s="51">
        <v>6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7"/>
      <c r="AG9" s="88"/>
    </row>
    <row r="10" spans="1:33" ht="20.100000000000001" customHeight="1">
      <c r="A10" s="51">
        <v>7</v>
      </c>
      <c r="B10" s="16">
        <f>'[8]Dia 1 (b)'!$X16</f>
        <v>10.576162092308939</v>
      </c>
      <c r="C10" s="16">
        <f>'[8]Dia 2 (b)'!$X16</f>
        <v>10.17595745202977</v>
      </c>
      <c r="D10" s="16">
        <f>'[8]Dia 3 (b)'!$X16</f>
        <v>8.968048878069995</v>
      </c>
      <c r="E10" s="16">
        <f>'[8]Dia 4 (b)'!$X16</f>
        <v>10.186977504553278</v>
      </c>
      <c r="F10" s="16">
        <f>'[8]Dia 5 (b)'!$X16</f>
        <v>11.357983753549869</v>
      </c>
      <c r="G10" s="16">
        <f>'[8]Dia 6 (b)'!$X16</f>
        <v>9.7390376025959764</v>
      </c>
      <c r="H10" s="16">
        <f>'[8]Dia 7 (b)'!$X16</f>
        <v>10.104769580461793</v>
      </c>
      <c r="I10" s="16">
        <f>'[8]Dia 8 (b)'!$X16</f>
        <v>9.0048421989469762</v>
      </c>
      <c r="J10" s="16">
        <f>'[8]Dia 9 (b)'!$X16</f>
        <v>11.742187069892928</v>
      </c>
      <c r="K10" s="16">
        <f>'[8]Dia 10 (b)'!$X16</f>
        <v>7.9227953691720918</v>
      </c>
      <c r="L10" s="16">
        <f>'[8]Dia 11 (b)'!$X16</f>
        <v>6.7650129534671581</v>
      </c>
      <c r="M10" s="16">
        <f>'[8]Dia 12 (b)'!$X16</f>
        <v>6.1948011790208044</v>
      </c>
      <c r="N10" s="16">
        <f>'[8]Dia 13 (b)'!$X16</f>
        <v>6.9599500472592997</v>
      </c>
      <c r="O10" s="16">
        <f>'[8]Dia 14 (b)'!$X16</f>
        <v>7.0046773599570491</v>
      </c>
      <c r="P10" s="16">
        <f>'[8]Dia 15 (b)'!$X16</f>
        <v>8.5989812085767507</v>
      </c>
      <c r="Q10" s="16">
        <f>'[8]Dia 16 (b)'!$X16</f>
        <v>9.169173317183164</v>
      </c>
      <c r="R10" s="16">
        <f>'[8]Dia 17 (b)'!$X16</f>
        <v>9.6865158738539456</v>
      </c>
      <c r="S10" s="16">
        <f>'[8]Dia 18 (b)'!$X16</f>
        <v>8.9279836400939789</v>
      </c>
      <c r="T10" s="16">
        <f>'[8]Dia 19 (b)'!$X16</f>
        <v>8.1885310850244331</v>
      </c>
      <c r="U10" s="16">
        <f>'[8]Dia 20 (b)'!$X16</f>
        <v>10.185999578566962</v>
      </c>
      <c r="V10" s="16">
        <f>'[8]Dia 21 (b)'!$X16</f>
        <v>10.440032124365123</v>
      </c>
      <c r="W10" s="16">
        <f>'[8]Dia 22 (b)'!$X16</f>
        <v>10.326715386044926</v>
      </c>
      <c r="X10" s="16">
        <f>'[8]Dia 23 (b)'!$X16</f>
        <v>9.0059840222448564</v>
      </c>
      <c r="Y10" s="16">
        <f>'[8]Dia 24 (b)'!$X16</f>
        <v>11.763704775961507</v>
      </c>
      <c r="Z10" s="16">
        <f>'[8]Dia 25 (b)'!$X16</f>
        <v>8.5953805280963937</v>
      </c>
      <c r="AA10" s="16">
        <f>'[8]Dia 26 (b)'!$X16</f>
        <v>5.9426094005777941</v>
      </c>
      <c r="AB10" s="16">
        <f>'[8]Dia 27 (b)'!$X16</f>
        <v>5.3010671121858124</v>
      </c>
      <c r="AC10" s="16">
        <f>'[8]Dia 28 (b)'!$X16</f>
        <v>7.5192018421519</v>
      </c>
      <c r="AD10" s="16">
        <f>'[8]Dia 29 (b)'!$X16</f>
        <v>9.3880609962274626</v>
      </c>
      <c r="AE10" s="16">
        <f>'[8]Dia 30 (b)'!$X16</f>
        <v>9.3126781364629725</v>
      </c>
      <c r="AF10" s="87">
        <v>-99</v>
      </c>
      <c r="AG10" s="88"/>
    </row>
    <row r="11" spans="1:33" ht="20.100000000000001" customHeight="1">
      <c r="A11" s="51">
        <v>8</v>
      </c>
      <c r="B11" s="16">
        <f>'[8]Dia 1 (b)'!$X17</f>
        <v>10.558126561253026</v>
      </c>
      <c r="C11" s="16">
        <f>'[8]Dia 2 (b)'!$X17</f>
        <v>10.212480379389929</v>
      </c>
      <c r="D11" s="16">
        <f>'[8]Dia 3 (b)'!$X17</f>
        <v>9.1989667645582198</v>
      </c>
      <c r="E11" s="16">
        <f>'[8]Dia 4 (b)'!$X17</f>
        <v>11.484222709643699</v>
      </c>
      <c r="F11" s="16">
        <f>'[8]Dia 5 (b)'!$X17</f>
        <v>11.897111151482536</v>
      </c>
      <c r="G11" s="16">
        <f>'[8]Dia 6 (b)'!$X17</f>
        <v>10.339845748715295</v>
      </c>
      <c r="H11" s="16">
        <f>'[8]Dia 7 (b)'!$X17</f>
        <v>10.846708270603019</v>
      </c>
      <c r="I11" s="16">
        <f>'[8]Dia 8 (b)'!$X17</f>
        <v>9.5776688488205899</v>
      </c>
      <c r="J11" s="16">
        <f>'[8]Dia 9 (b)'!$X17</f>
        <v>12.55232483539641</v>
      </c>
      <c r="K11" s="16">
        <f>'[8]Dia 10 (b)'!$X17</f>
        <v>7.9139704824983035</v>
      </c>
      <c r="L11" s="16">
        <f>'[8]Dia 11 (b)'!$X17</f>
        <v>7.2103462468696913</v>
      </c>
      <c r="M11" s="16">
        <f>'[8]Dia 12 (b)'!$X17</f>
        <v>6.0331205081806418</v>
      </c>
      <c r="N11" s="16">
        <f>'[8]Dia 13 (b)'!$X17</f>
        <v>6.9537812105794679</v>
      </c>
      <c r="O11" s="16">
        <f>'[8]Dia 14 (b)'!$X17</f>
        <v>7.0826101605867304</v>
      </c>
      <c r="P11" s="16">
        <f>'[8]Dia 15 (b)'!$X17</f>
        <v>9.0233441267639609</v>
      </c>
      <c r="Q11" s="16">
        <f>'[8]Dia 16 (b)'!$X17</f>
        <v>10.714794330793916</v>
      </c>
      <c r="R11" s="16">
        <f>'[8]Dia 17 (b)'!$X17</f>
        <v>10.964804773083834</v>
      </c>
      <c r="S11" s="16">
        <f>'[8]Dia 18 (b)'!$X17</f>
        <v>9.3986337098430823</v>
      </c>
      <c r="T11" s="16">
        <f>'[8]Dia 19 (b)'!$X17</f>
        <v>8.3031416659881305</v>
      </c>
      <c r="U11" s="16">
        <f>'[8]Dia 20 (b)'!$X17</f>
        <v>11.694121750712238</v>
      </c>
      <c r="V11" s="16">
        <f>'[8]Dia 21 (b)'!$X17</f>
        <v>10.089095060681265</v>
      </c>
      <c r="W11" s="16">
        <f>'[8]Dia 22 (b)'!$X17</f>
        <v>10.16860817495477</v>
      </c>
      <c r="X11" s="16">
        <f>'[8]Dia 23 (b)'!$X17</f>
        <v>9.3593659890305858</v>
      </c>
      <c r="Y11" s="16">
        <f>'[8]Dia 24 (b)'!$X17</f>
        <v>11.185054149956535</v>
      </c>
      <c r="Z11" s="16">
        <f>'[8]Dia 25 (b)'!$X17</f>
        <v>8.6101528921734722</v>
      </c>
      <c r="AA11" s="16">
        <f>'[8]Dia 26 (b)'!$X17</f>
        <v>6.3265875157527445</v>
      </c>
      <c r="AB11" s="16">
        <f>'[8]Dia 27 (b)'!$X17</f>
        <v>5.5537691074420925</v>
      </c>
      <c r="AC11" s="16">
        <f>'[8]Dia 28 (b)'!$X17</f>
        <v>7.5507517047248269</v>
      </c>
      <c r="AD11" s="16">
        <f>'[8]Dia 29 (b)'!$X17</f>
        <v>9.4922174711722676</v>
      </c>
      <c r="AE11" s="16">
        <f>'[8]Dia 30 (b)'!$X17</f>
        <v>9.6930676828817273</v>
      </c>
      <c r="AF11" s="87">
        <v>-99</v>
      </c>
      <c r="AG11" s="88"/>
    </row>
    <row r="12" spans="1:33" ht="20.100000000000001" customHeight="1">
      <c r="A12" s="51">
        <v>9</v>
      </c>
      <c r="B12" s="16">
        <f>'[8]Dia 1 (b)'!$X18</f>
        <v>10.539181408472082</v>
      </c>
      <c r="C12" s="16">
        <f>'[8]Dia 2 (b)'!$X18</f>
        <v>10.532683215780141</v>
      </c>
      <c r="D12" s="16">
        <f>'[8]Dia 3 (b)'!$X18</f>
        <v>9.1439329224666306</v>
      </c>
      <c r="E12" s="16">
        <f>'[8]Dia 4 (b)'!$X18</f>
        <v>10.924780039346413</v>
      </c>
      <c r="F12" s="16">
        <f>'[8]Dia 5 (b)'!$X18</f>
        <v>11.140348634420254</v>
      </c>
      <c r="G12" s="16">
        <f>'[8]Dia 6 (b)'!$X18</f>
        <v>9.7956581619191443</v>
      </c>
      <c r="H12" s="16">
        <f>'[8]Dia 7 (b)'!$X18</f>
        <v>9.9153603995338777</v>
      </c>
      <c r="I12" s="16">
        <f>'[8]Dia 8 (b)'!$X18</f>
        <v>8.6981895678497576</v>
      </c>
      <c r="J12" s="16">
        <f>'[8]Dia 9 (b)'!$X18</f>
        <v>12.709230416691922</v>
      </c>
      <c r="K12" s="16">
        <f>'[8]Dia 10 (b)'!$X18</f>
        <v>7.7203669514261293</v>
      </c>
      <c r="L12" s="16">
        <f>'[8]Dia 11 (b)'!$X18</f>
        <v>7.0350253427271179</v>
      </c>
      <c r="M12" s="16">
        <f>'[8]Dia 12 (b)'!$X18</f>
        <v>5.3889300225309684</v>
      </c>
      <c r="N12" s="16">
        <f>'[8]Dia 13 (b)'!$X18</f>
        <v>6.6687427468872826</v>
      </c>
      <c r="O12" s="16">
        <f>'[8]Dia 14 (b)'!$X18</f>
        <v>7.2657179646161758</v>
      </c>
      <c r="P12" s="16">
        <f>'[8]Dia 15 (b)'!$X18</f>
        <v>8.9152644468056614</v>
      </c>
      <c r="Q12" s="16">
        <f>'[8]Dia 16 (b)'!$X18</f>
        <v>10.417682786723104</v>
      </c>
      <c r="R12" s="16">
        <f>'[8]Dia 17 (b)'!$X18</f>
        <v>9.9571120990374755</v>
      </c>
      <c r="S12" s="16">
        <f>'[8]Dia 18 (b)'!$X18</f>
        <v>8.0514191951232466</v>
      </c>
      <c r="T12" s="16">
        <f>'[8]Dia 19 (b)'!$X18</f>
        <v>7.9544151438122954</v>
      </c>
      <c r="U12" s="16">
        <f>'[8]Dia 20 (b)'!$X18</f>
        <v>11.541310910787868</v>
      </c>
      <c r="V12" s="16">
        <f>'[8]Dia 21 (b)'!$X18</f>
        <v>10.111424334061981</v>
      </c>
      <c r="W12" s="16">
        <f>'[8]Dia 22 (b)'!$X18</f>
        <v>9.7164317065611776</v>
      </c>
      <c r="X12" s="16">
        <f>'[8]Dia 23 (b)'!$X18</f>
        <v>8.7579113673415545</v>
      </c>
      <c r="Y12" s="16">
        <f>'[8]Dia 24 (b)'!$X18</f>
        <v>11.61641826749813</v>
      </c>
      <c r="Z12" s="16">
        <f>'[8]Dia 25 (b)'!$X18</f>
        <v>8.3613720783301702</v>
      </c>
      <c r="AA12" s="16">
        <f>'[8]Dia 26 (b)'!$X18</f>
        <v>5.8265845872764563</v>
      </c>
      <c r="AB12" s="16">
        <f>'[8]Dia 27 (b)'!$X18</f>
        <v>6.054250557857296</v>
      </c>
      <c r="AC12" s="16">
        <f>'[8]Dia 28 (b)'!$X18</f>
        <v>7.6703475733945119</v>
      </c>
      <c r="AD12" s="16">
        <f>'[8]Dia 29 (b)'!$X18</f>
        <v>9.661576258666523</v>
      </c>
      <c r="AE12" s="16">
        <f>'[8]Dia 30 (b)'!$X18</f>
        <v>10.013867496707615</v>
      </c>
      <c r="AF12" s="86">
        <f>'[8]Dia 31 (b)'!$X18</f>
        <v>8.5681323856744225</v>
      </c>
      <c r="AG12" s="88"/>
    </row>
    <row r="13" spans="1:33" ht="20.100000000000001" customHeight="1">
      <c r="A13" s="51">
        <v>10</v>
      </c>
      <c r="B13" s="16">
        <f>'[8]Dia 1 (b)'!$X19</f>
        <v>10.460122844618896</v>
      </c>
      <c r="C13" s="16">
        <f>'[8]Dia 2 (b)'!$X19</f>
        <v>10.294094146486525</v>
      </c>
      <c r="D13" s="16">
        <f>'[8]Dia 3 (b)'!$X19</f>
        <v>9.0845189922193477</v>
      </c>
      <c r="E13" s="16">
        <f>'[8]Dia 4 (b)'!$X19</f>
        <v>11.087467047367801</v>
      </c>
      <c r="F13" s="16">
        <f>'[8]Dia 5 (b)'!$X19</f>
        <v>10.341666889790904</v>
      </c>
      <c r="G13" s="16">
        <f>'[8]Dia 6 (b)'!$X19</f>
        <v>9.8196682609423096</v>
      </c>
      <c r="H13" s="16">
        <f>'[8]Dia 7 (b)'!$X19</f>
        <v>8.4031986261525482</v>
      </c>
      <c r="I13" s="16">
        <f>'[8]Dia 8 (b)'!$X19</f>
        <v>8.4970320303743279</v>
      </c>
      <c r="J13" s="16">
        <f>'[8]Dia 9 (b)'!$X19</f>
        <v>12.238686892560835</v>
      </c>
      <c r="K13" s="16">
        <f>'[8]Dia 10 (b)'!$X19</f>
        <v>7.7084241898339787</v>
      </c>
      <c r="L13" s="16">
        <f>'[8]Dia 11 (b)'!$X19</f>
        <v>5.5979250214094627</v>
      </c>
      <c r="M13" s="16">
        <f>'[8]Dia 12 (b)'!$X19</f>
        <v>4.7075909565128455</v>
      </c>
      <c r="N13" s="16">
        <f>'[8]Dia 13 (b)'!$X19</f>
        <v>6.5167083290914931</v>
      </c>
      <c r="O13" s="16">
        <f>'[8]Dia 14 (b)'!$X19</f>
        <v>7.3821000670271912</v>
      </c>
      <c r="P13" s="16">
        <f>'[8]Dia 15 (b)'!$X19</f>
        <v>8.8805773892950626</v>
      </c>
      <c r="Q13" s="16">
        <f>'[8]Dia 16 (b)'!$X19</f>
        <v>10.565449398120878</v>
      </c>
      <c r="R13" s="16">
        <f>'[8]Dia 17 (b)'!$X19</f>
        <v>9.9030060134862712</v>
      </c>
      <c r="S13" s="16">
        <f>'[8]Dia 18 (b)'!$X19</f>
        <v>8.2620015297230083</v>
      </c>
      <c r="T13" s="16">
        <f>'[8]Dia 19 (b)'!$X19</f>
        <v>7.7875498621825416</v>
      </c>
      <c r="U13" s="16">
        <f>'[8]Dia 20 (b)'!$X19</f>
        <v>10.245654788272034</v>
      </c>
      <c r="V13" s="16">
        <f>'[8]Dia 21 (b)'!$X19</f>
        <v>9.6435917592774114</v>
      </c>
      <c r="W13" s="16">
        <f>'[8]Dia 22 (b)'!$X19</f>
        <v>9.41140729781681</v>
      </c>
      <c r="X13" s="16">
        <f>'[8]Dia 23 (b)'!$X19</f>
        <v>8.5363879889529297</v>
      </c>
      <c r="Y13" s="16">
        <f>'[8]Dia 24 (b)'!$X19</f>
        <v>11.346603542504269</v>
      </c>
      <c r="Z13" s="16">
        <f>'[8]Dia 25 (b)'!$X19</f>
        <v>8.5874409162487453</v>
      </c>
      <c r="AA13" s="16">
        <f>'[8]Dia 26 (b)'!$X19</f>
        <v>5.8117797580343113</v>
      </c>
      <c r="AB13" s="16">
        <f>'[8]Dia 27 (b)'!$X19</f>
        <v>5.5776658994736552</v>
      </c>
      <c r="AC13" s="16">
        <f>'[8]Dia 28 (b)'!$X19</f>
        <v>7.6746727070191341</v>
      </c>
      <c r="AD13" s="16">
        <f>'[8]Dia 29 (b)'!$X19</f>
        <v>9.6757163668600938</v>
      </c>
      <c r="AE13" s="16">
        <f>'[8]Dia 30 (b)'!$X19</f>
        <v>9.0869556140903338</v>
      </c>
      <c r="AF13" s="87">
        <v>-99</v>
      </c>
      <c r="AG13" s="88"/>
    </row>
    <row r="14" spans="1:33" ht="20.100000000000001" customHeight="1">
      <c r="A14" s="51">
        <v>11</v>
      </c>
      <c r="B14" s="16">
        <f>'[8]Dia 1 (b)'!$X20</f>
        <v>10.613018054244394</v>
      </c>
      <c r="C14" s="16">
        <f>'[8]Dia 2 (b)'!$X20</f>
        <v>9.8611625010853761</v>
      </c>
      <c r="D14" s="16">
        <f>'[8]Dia 3 (b)'!$X20</f>
        <v>8.6035082584060003</v>
      </c>
      <c r="E14" s="16">
        <f>'[8]Dia 4 (b)'!$X20</f>
        <v>10.85308357133481</v>
      </c>
      <c r="F14" s="16">
        <f>'[8]Dia 5 (b)'!$X20</f>
        <v>10.267117323248174</v>
      </c>
      <c r="G14" s="16">
        <f>'[8]Dia 6 (b)'!$X20</f>
        <v>9.5358606890745055</v>
      </c>
      <c r="H14" s="16">
        <f>'[8]Dia 7 (b)'!$X20</f>
        <v>7.8269447571693993</v>
      </c>
      <c r="I14" s="16">
        <f>'[8]Dia 8 (b)'!$X20</f>
        <v>7.9618810696248454</v>
      </c>
      <c r="J14" s="16">
        <f>'[8]Dia 9 (b)'!$X20</f>
        <v>11.179249788023723</v>
      </c>
      <c r="K14" s="16">
        <f>'[8]Dia 10 (b)'!$X20</f>
        <v>7.5174099925128202</v>
      </c>
      <c r="L14" s="16">
        <f>'[8]Dia 11 (b)'!$X20</f>
        <v>5.0462630419020407</v>
      </c>
      <c r="M14" s="16">
        <f>'[8]Dia 12 (b)'!$X20</f>
        <v>4.9867265748206764</v>
      </c>
      <c r="N14" s="16">
        <f>'[8]Dia 13 (b)'!$X20</f>
        <v>6.0729270394328774</v>
      </c>
      <c r="O14" s="16">
        <f>'[8]Dia 14 (b)'!$X20</f>
        <v>7.5120193775682038</v>
      </c>
      <c r="P14" s="16">
        <f>'[8]Dia 15 (b)'!$X20</f>
        <v>8.9873028661910954</v>
      </c>
      <c r="Q14" s="16">
        <f>'[8]Dia 16 (b)'!$X20</f>
        <v>9.4422355074186992</v>
      </c>
      <c r="R14" s="16">
        <f>'[8]Dia 17 (b)'!$X20</f>
        <v>9.2404013645059955</v>
      </c>
      <c r="S14" s="16">
        <f>'[8]Dia 18 (b)'!$X20</f>
        <v>6.9560014945352622</v>
      </c>
      <c r="T14" s="16">
        <f>'[8]Dia 19 (b)'!$X20</f>
        <v>7.5203391602571177</v>
      </c>
      <c r="U14" s="16">
        <f>'[8]Dia 20 (b)'!$X20</f>
        <v>9.7143759081005232</v>
      </c>
      <c r="V14" s="16">
        <f>'[8]Dia 21 (b)'!$X20</f>
        <v>9.9180844104459656</v>
      </c>
      <c r="W14" s="16">
        <f>'[8]Dia 22 (b)'!$X20</f>
        <v>8.699419912309958</v>
      </c>
      <c r="X14" s="16">
        <f>'[8]Dia 23 (b)'!$X20</f>
        <v>8.4552687008841279</v>
      </c>
      <c r="Y14" s="16">
        <f>'[8]Dia 24 (b)'!$X20</f>
        <v>11.258694229587833</v>
      </c>
      <c r="Z14" s="16">
        <f>'[8]Dia 25 (b)'!$X20</f>
        <v>8.3316031905281012</v>
      </c>
      <c r="AA14" s="16">
        <f>'[8]Dia 26 (b)'!$X20</f>
        <v>5.994542713400576</v>
      </c>
      <c r="AB14" s="16">
        <f>'[8]Dia 27 (b)'!$X20</f>
        <v>4.1104048074523192</v>
      </c>
      <c r="AC14" s="16">
        <f>'[8]Dia 28 (b)'!$X20</f>
        <v>7.6685692518939623</v>
      </c>
      <c r="AD14" s="16">
        <f>'[8]Dia 29 (b)'!$X20</f>
        <v>9.6362995356421415</v>
      </c>
      <c r="AE14" s="16">
        <f>'[8]Dia 30 (b)'!$X20</f>
        <v>8.3059421209961943</v>
      </c>
      <c r="AF14" s="87">
        <v>-99</v>
      </c>
      <c r="AG14" s="88"/>
    </row>
    <row r="15" spans="1:33" ht="20.100000000000001" customHeight="1">
      <c r="A15" s="51">
        <v>12</v>
      </c>
      <c r="B15" s="16">
        <f>'[8]Dia 1 (b)'!$X21</f>
        <v>10.511908336350819</v>
      </c>
      <c r="C15" s="16">
        <f>'[8]Dia 2 (b)'!$X21</f>
        <v>9.4878571529155629</v>
      </c>
      <c r="D15" s="16">
        <f>'[8]Dia 3 (b)'!$X21</f>
        <v>9.0242453160555378</v>
      </c>
      <c r="E15" s="16">
        <f>'[8]Dia 4 (b)'!$X21</f>
        <v>10.411793374106537</v>
      </c>
      <c r="F15" s="16">
        <f>'[8]Dia 5 (b)'!$X21</f>
        <v>9.3927063949752743</v>
      </c>
      <c r="G15" s="16">
        <f>'[8]Dia 6 (b)'!$X21</f>
        <v>8.9629353084834857</v>
      </c>
      <c r="H15" s="16">
        <f>'[8]Dia 7 (b)'!$X21</f>
        <v>7.9084339287822303</v>
      </c>
      <c r="I15" s="16">
        <f>'[8]Dia 8 (b)'!$X21</f>
        <v>7.9128645024540027</v>
      </c>
      <c r="J15" s="16">
        <f>'[8]Dia 9 (b)'!$X21</f>
        <v>9.8713518804707459</v>
      </c>
      <c r="K15" s="16">
        <f>'[8]Dia 10 (b)'!$X21</f>
        <v>7.3143932169680239</v>
      </c>
      <c r="L15" s="16">
        <f>'[8]Dia 11 (b)'!$X21</f>
        <v>4.2879976680620526</v>
      </c>
      <c r="M15" s="16">
        <f>'[8]Dia 12 (b)'!$X21</f>
        <v>4.7427847805193055</v>
      </c>
      <c r="N15" s="16">
        <f>'[8]Dia 13 (b)'!$X21</f>
        <v>6.1660301195593235</v>
      </c>
      <c r="O15" s="16">
        <f>'[8]Dia 14 (b)'!$X21</f>
        <v>7.5342716761582338</v>
      </c>
      <c r="P15" s="16">
        <f>'[8]Dia 15 (b)'!$X21</f>
        <v>9.1648773030793489</v>
      </c>
      <c r="Q15" s="16">
        <f>'[8]Dia 16 (b)'!$X21</f>
        <v>8.5775468803411581</v>
      </c>
      <c r="R15" s="16">
        <f>'[8]Dia 17 (b)'!$X21</f>
        <v>8.0012071853675142</v>
      </c>
      <c r="S15" s="16">
        <f>'[8]Dia 18 (b)'!$X21</f>
        <v>7.142510464784829</v>
      </c>
      <c r="T15" s="16">
        <f>'[8]Dia 19 (b)'!$X21</f>
        <v>7.513738278463908</v>
      </c>
      <c r="U15" s="16">
        <f>'[8]Dia 20 (b)'!$X21</f>
        <v>9.5311289236727692</v>
      </c>
      <c r="V15" s="16">
        <f>'[8]Dia 21 (b)'!$X21</f>
        <v>9.5830145436304193</v>
      </c>
      <c r="W15" s="16">
        <f>'[8]Dia 22 (b)'!$X21</f>
        <v>8.408988909877646</v>
      </c>
      <c r="X15" s="16">
        <f>'[8]Dia 23 (b)'!$X21</f>
        <v>7.2155324613832876</v>
      </c>
      <c r="Y15" s="16">
        <f>'[8]Dia 24 (b)'!$X21</f>
        <v>11.299231461544426</v>
      </c>
      <c r="Z15" s="16">
        <f>'[8]Dia 25 (b)'!$X21</f>
        <v>8.3375484654035841</v>
      </c>
      <c r="AA15" s="16">
        <f>'[8]Dia 26 (b)'!$X21</f>
        <v>6.3134050352262765</v>
      </c>
      <c r="AB15" s="16">
        <f>'[8]Dia 27 (b)'!$X21</f>
        <v>4.7841173022505936</v>
      </c>
      <c r="AC15" s="16">
        <f>'[8]Dia 28 (b)'!$X21</f>
        <v>7.9743694475418083</v>
      </c>
      <c r="AD15" s="16">
        <f>'[8]Dia 29 (b)'!$X21</f>
        <v>9.7181596183971752</v>
      </c>
      <c r="AE15" s="16">
        <f>'[8]Dia 30 (b)'!$X21</f>
        <v>6.1002088557428307</v>
      </c>
      <c r="AF15" s="87">
        <v>-99</v>
      </c>
      <c r="AG15" s="88"/>
    </row>
    <row r="16" spans="1:33" ht="20.100000000000001" customHeight="1">
      <c r="A16" s="51">
        <v>13</v>
      </c>
      <c r="B16" s="16">
        <f>'[8]Dia 1 (b)'!$X22</f>
        <v>10.015301023607055</v>
      </c>
      <c r="C16" s="16">
        <f>'[8]Dia 2 (b)'!$X22</f>
        <v>9.2333733179842525</v>
      </c>
      <c r="D16" s="16">
        <f>'[8]Dia 3 (b)'!$X22</f>
        <v>8.6949268481810371</v>
      </c>
      <c r="E16" s="16">
        <f>'[8]Dia 4 (b)'!$X22</f>
        <v>8.5673923365677478</v>
      </c>
      <c r="F16" s="16">
        <f>'[8]Dia 5 (b)'!$X22</f>
        <v>9.2016648578925473</v>
      </c>
      <c r="G16" s="16">
        <f>'[8]Dia 6 (b)'!$X22</f>
        <v>8.8113621028706888</v>
      </c>
      <c r="H16" s="16">
        <f>'[8]Dia 7 (b)'!$X22</f>
        <v>7.0259098590455444</v>
      </c>
      <c r="I16" s="16">
        <f>'[8]Dia 8 (b)'!$X22</f>
        <v>7.8350766871263531</v>
      </c>
      <c r="J16" s="16">
        <f>'[8]Dia 9 (b)'!$X22</f>
        <v>10.181013910071817</v>
      </c>
      <c r="K16" s="16">
        <f>'[8]Dia 10 (b)'!$X22</f>
        <v>7.4145523390595898</v>
      </c>
      <c r="L16" s="16">
        <f>'[8]Dia 11 (b)'!$X22</f>
        <v>4.7386497526050704</v>
      </c>
      <c r="M16" s="16">
        <f>'[8]Dia 12 (b)'!$X22</f>
        <v>4.4466667700855975</v>
      </c>
      <c r="N16" s="16">
        <f>'[8]Dia 13 (b)'!$X22</f>
        <v>6.059362338678481</v>
      </c>
      <c r="O16" s="16">
        <f>'[8]Dia 14 (b)'!$X22</f>
        <v>7.1627705143957732</v>
      </c>
      <c r="P16" s="16">
        <f>'[8]Dia 15 (b)'!$X22</f>
        <v>9.0487030642487394</v>
      </c>
      <c r="Q16" s="16">
        <f>'[8]Dia 16 (b)'!$X22</f>
        <v>8.1340015842163389</v>
      </c>
      <c r="R16" s="16">
        <f>'[8]Dia 17 (b)'!$X22</f>
        <v>7.2287741905962806</v>
      </c>
      <c r="S16" s="16">
        <f>'[8]Dia 18 (b)'!$X22</f>
        <v>5.9539984329836457</v>
      </c>
      <c r="T16" s="16">
        <f>'[8]Dia 19 (b)'!$X22</f>
        <v>5.1114202278031602</v>
      </c>
      <c r="U16" s="16">
        <f>'[8]Dia 20 (b)'!$X22</f>
        <v>8.5588521809201925</v>
      </c>
      <c r="V16" s="16">
        <f>'[8]Dia 21 (b)'!$X22</f>
        <v>8.4819081481908984</v>
      </c>
      <c r="W16" s="16">
        <f>'[8]Dia 22 (b)'!$X22</f>
        <v>7.300900996393465</v>
      </c>
      <c r="X16" s="16">
        <f>'[8]Dia 23 (b)'!$X22</f>
        <v>6.0772392981137067</v>
      </c>
      <c r="Y16" s="16">
        <f>'[8]Dia 24 (b)'!$X22</f>
        <v>11.028806949798568</v>
      </c>
      <c r="Z16" s="16">
        <f>'[8]Dia 25 (b)'!$X22</f>
        <v>8.1913441822331521</v>
      </c>
      <c r="AA16" s="16">
        <f>'[8]Dia 26 (b)'!$X22</f>
        <v>6.1694606438800141</v>
      </c>
      <c r="AB16" s="16">
        <f>'[8]Dia 27 (b)'!$X22</f>
        <v>4.8676678875885226</v>
      </c>
      <c r="AC16" s="16">
        <f>'[8]Dia 28 (b)'!$X22</f>
        <v>7.9635778654862541</v>
      </c>
      <c r="AD16" s="16">
        <f>'[8]Dia 29 (b)'!$X22</f>
        <v>9.4555351321697305</v>
      </c>
      <c r="AE16" s="16">
        <f>'[8]Dia 30 (b)'!$X22</f>
        <v>6.0926799154794722</v>
      </c>
      <c r="AF16" s="86">
        <f>'[8]Dia 31 (b)'!$X22</f>
        <v>10.549059395678254</v>
      </c>
      <c r="AG16" s="88"/>
    </row>
    <row r="17" spans="1:32" ht="20.100000000000001" customHeight="1">
      <c r="A17" s="51">
        <v>14</v>
      </c>
      <c r="B17" s="16">
        <f>'[8]Dia 1 (b)'!$X23</f>
        <v>9.3484532565112488</v>
      </c>
      <c r="C17" s="16">
        <f>'[8]Dia 2 (b)'!$X23</f>
        <v>7.6784688741157678</v>
      </c>
      <c r="D17" s="16">
        <f>'[8]Dia 3 (b)'!$X23</f>
        <v>8.1279168542764282</v>
      </c>
      <c r="E17" s="16">
        <f>'[8]Dia 4 (b)'!$X23</f>
        <v>7.9590683549955061</v>
      </c>
      <c r="F17" s="16">
        <f>'[8]Dia 5 (b)'!$X23</f>
        <v>8.5009730997936224</v>
      </c>
      <c r="G17" s="16">
        <f>'[8]Dia 6 (b)'!$X23</f>
        <v>8.0746680889416762</v>
      </c>
      <c r="H17" s="16">
        <f>'[8]Dia 7 (b)'!$X23</f>
        <v>7.3061379241721456</v>
      </c>
      <c r="I17" s="16">
        <f>'[8]Dia 8 (b)'!$X23</f>
        <v>7.51612136491224</v>
      </c>
      <c r="J17" s="16">
        <f>'[8]Dia 9 (b)'!$X23</f>
        <v>10.36999271395643</v>
      </c>
      <c r="K17" s="16">
        <f>'[8]Dia 10 (b)'!$X23</f>
        <v>7.3080698838864526</v>
      </c>
      <c r="L17" s="16">
        <f>'[8]Dia 11 (b)'!$X23</f>
        <v>4.9241480399670978</v>
      </c>
      <c r="M17" s="16">
        <f>'[8]Dia 12 (b)'!$X23</f>
        <v>4.801214625796959</v>
      </c>
      <c r="N17" s="16">
        <f>'[8]Dia 13 (b)'!$X23</f>
        <v>6.4890239465250161</v>
      </c>
      <c r="O17" s="16">
        <f>'[8]Dia 14 (b)'!$X23</f>
        <v>7.0939362595548436</v>
      </c>
      <c r="P17" s="16">
        <f>'[8]Dia 15 (b)'!$X23</f>
        <v>7.7352198257177527</v>
      </c>
      <c r="Q17" s="16">
        <f>'[8]Dia 16 (b)'!$X23</f>
        <v>7.1910514677746393</v>
      </c>
      <c r="R17" s="16">
        <f>'[8]Dia 17 (b)'!$X23</f>
        <v>6.6266503154940999</v>
      </c>
      <c r="S17" s="16">
        <f>'[8]Dia 18 (b)'!$X23</f>
        <v>6.4959718813712364</v>
      </c>
      <c r="T17" s="16">
        <f>'[8]Dia 19 (b)'!$X23</f>
        <v>4.5458005696063157</v>
      </c>
      <c r="U17" s="16">
        <f>'[8]Dia 20 (b)'!$X23</f>
        <v>7.5192616593531953</v>
      </c>
      <c r="V17" s="16">
        <f>'[8]Dia 21 (b)'!$X23</f>
        <v>8.6497490591244119</v>
      </c>
      <c r="W17" s="16">
        <f>'[8]Dia 22 (b)'!$X23</f>
        <v>7.1889021747444488</v>
      </c>
      <c r="X17" s="16">
        <f>'[8]Dia 23 (b)'!$X23</f>
        <v>5.9628823116559646</v>
      </c>
      <c r="Y17" s="16">
        <f>'[8]Dia 24 (b)'!$X23</f>
        <v>11.23126026698456</v>
      </c>
      <c r="Z17" s="16">
        <f>'[8]Dia 25 (b)'!$X23</f>
        <v>8.1484094684868502</v>
      </c>
      <c r="AA17" s="16">
        <f>'[8]Dia 26 (b)'!$X23</f>
        <v>5.9959216883861801</v>
      </c>
      <c r="AB17" s="16">
        <f>'[8]Dia 27 (b)'!$X23</f>
        <v>5.5634131143835424</v>
      </c>
      <c r="AC17" s="16">
        <f>'[8]Dia 28 (b)'!$X23</f>
        <v>8.5504741617465569</v>
      </c>
      <c r="AD17" s="16">
        <f>'[8]Dia 29 (b)'!$X23</f>
        <v>8.6402090664037114</v>
      </c>
      <c r="AE17" s="16">
        <f>'[8]Dia 30 (b)'!$X23</f>
        <v>6.5081666437818013</v>
      </c>
      <c r="AF17" s="16">
        <f>'[8]Dia 31 (b)'!$X23</f>
        <v>9.6734148689787993</v>
      </c>
    </row>
    <row r="18" spans="1:32" ht="20.100000000000001" customHeight="1">
      <c r="A18" s="51">
        <v>15</v>
      </c>
      <c r="B18" s="16">
        <f>'[8]Dia 1 (b)'!$X24</f>
        <v>12.527929395816853</v>
      </c>
      <c r="C18" s="16">
        <f>'[8]Dia 2 (b)'!$X24</f>
        <v>7.6296919576874274</v>
      </c>
      <c r="D18" s="16">
        <f>'[8]Dia 3 (b)'!$X24</f>
        <v>8.055621674469009</v>
      </c>
      <c r="E18" s="16">
        <f>'[8]Dia 4 (b)'!$X24</f>
        <v>8.1693413975287594</v>
      </c>
      <c r="F18" s="16">
        <f>'[8]Dia 5 (b)'!$X24</f>
        <v>7.3961896421732645</v>
      </c>
      <c r="G18" s="16">
        <f>'[8]Dia 6 (b)'!$X24</f>
        <v>7.9619054810571432</v>
      </c>
      <c r="H18" s="16">
        <f>'[8]Dia 7 (b)'!$X24</f>
        <v>7.4335429064126091</v>
      </c>
      <c r="I18" s="16">
        <f>'[8]Dia 8 (b)'!$X24</f>
        <v>7.5567692123158805</v>
      </c>
      <c r="J18" s="16">
        <f>'[8]Dia 9 (b)'!$X24</f>
        <v>10.794706879823467</v>
      </c>
      <c r="K18" s="16">
        <f>'[8]Dia 10 (b)'!$X24</f>
        <v>6.9123639259697942</v>
      </c>
      <c r="L18" s="16">
        <f>'[8]Dia 11 (b)'!$X24</f>
        <v>4.3668641839343945</v>
      </c>
      <c r="M18" s="16">
        <f>'[8]Dia 12 (b)'!$X24</f>
        <v>4.75296207666426</v>
      </c>
      <c r="N18" s="16">
        <f>'[8]Dia 13 (b)'!$X24</f>
        <v>6.2515811909755898</v>
      </c>
      <c r="O18" s="16">
        <f>'[8]Dia 14 (b)'!$X24</f>
        <v>6.5083214068362478</v>
      </c>
      <c r="P18" s="16">
        <f>'[8]Dia 15 (b)'!$X24</f>
        <v>7.5309318689851645</v>
      </c>
      <c r="Q18" s="16">
        <f>'[8]Dia 16 (b)'!$X24</f>
        <v>7.2850558619669323</v>
      </c>
      <c r="R18" s="16">
        <f>'[8]Dia 17 (b)'!$X24</f>
        <v>5.4213973182845576</v>
      </c>
      <c r="S18" s="16">
        <f>'[8]Dia 18 (b)'!$X24</f>
        <v>5.7452628920838418</v>
      </c>
      <c r="T18" s="16">
        <f>'[8]Dia 19 (b)'!$X24</f>
        <v>5.6484235691746507</v>
      </c>
      <c r="U18" s="16">
        <f>'[8]Dia 20 (b)'!$X24</f>
        <v>10.618368615173733</v>
      </c>
      <c r="V18" s="16">
        <f>'[8]Dia 21 (b)'!$X24</f>
        <v>8.5782898061678861</v>
      </c>
      <c r="W18" s="16">
        <f>'[8]Dia 22 (b)'!$X24</f>
        <v>6.9865138553059278</v>
      </c>
      <c r="X18" s="16">
        <f>'[8]Dia 23 (b)'!$X24</f>
        <v>6.0539749232599176</v>
      </c>
      <c r="Y18" s="16">
        <f>'[8]Dia 24 (b)'!$X24</f>
        <v>10.807960998709387</v>
      </c>
      <c r="Z18" s="16">
        <f>'[8]Dia 25 (b)'!$X24</f>
        <v>8.2579927285321055</v>
      </c>
      <c r="AA18" s="16">
        <f>'[8]Dia 26 (b)'!$X24</f>
        <v>6.1078100097339449</v>
      </c>
      <c r="AB18" s="16">
        <f>'[8]Dia 27 (b)'!$X24</f>
        <v>5.8940762599923957</v>
      </c>
      <c r="AC18" s="16">
        <f>'[8]Dia 28 (b)'!$X24</f>
        <v>8.7737948538445547</v>
      </c>
      <c r="AD18" s="16">
        <f>'[8]Dia 29 (b)'!$X24</f>
        <v>7.9942060105754269</v>
      </c>
      <c r="AE18" s="16">
        <f>'[8]Dia 30 (b)'!$X24</f>
        <v>6.4222823446263142</v>
      </c>
      <c r="AF18" s="16">
        <f>'[8]Dia 31 (b)'!$X24</f>
        <v>8.1851884224223177</v>
      </c>
    </row>
    <row r="19" spans="1:32" ht="20.100000000000001" customHeight="1">
      <c r="A19" s="51">
        <v>16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</row>
    <row r="20" spans="1:32" ht="20.100000000000001" customHeight="1">
      <c r="A20" s="51">
        <v>17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</row>
    <row r="21" spans="1:32" ht="20.100000000000001" customHeight="1">
      <c r="A21" s="51">
        <v>18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</row>
    <row r="22" spans="1:32" ht="20.100000000000001" customHeight="1">
      <c r="A22" s="51">
        <v>19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</row>
    <row r="23" spans="1:32" ht="20.100000000000001" customHeight="1">
      <c r="A23" s="51">
        <v>20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</row>
    <row r="24" spans="1:32" ht="20.100000000000001" customHeight="1">
      <c r="A24" s="51">
        <v>21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</row>
    <row r="25" spans="1:32" ht="20.100000000000001" customHeight="1">
      <c r="A25" s="51">
        <v>22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</row>
    <row r="26" spans="1:32" ht="20.100000000000001" customHeight="1">
      <c r="A26" s="51">
        <v>23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</row>
    <row r="27" spans="1:32" ht="20.100000000000001" customHeight="1" thickBot="1">
      <c r="A27" s="51">
        <v>24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</row>
    <row r="28" spans="1:32" ht="16.5" thickTop="1">
      <c r="A28" s="17"/>
      <c r="B28" s="84" t="s">
        <v>62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85" t="s">
        <v>63</v>
      </c>
      <c r="AD29" s="3"/>
      <c r="AE29" s="3"/>
      <c r="AF29" s="21"/>
    </row>
    <row r="30" spans="1:32" ht="15.75">
      <c r="A30" s="22" t="s">
        <v>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1"/>
    </row>
    <row r="31" spans="1:32" ht="15.75">
      <c r="A31" s="22" t="s">
        <v>2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3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5"/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4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2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5"/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5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2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5"/>
    </row>
    <row r="44" spans="1:32" ht="15.75">
      <c r="A44" s="22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52" t="s">
        <v>1</v>
      </c>
      <c r="I46" s="30"/>
      <c r="J46" s="53"/>
      <c r="K46" s="54" t="s">
        <v>3</v>
      </c>
      <c r="L46" s="53"/>
      <c r="M46" s="53"/>
      <c r="N46" s="54" t="s">
        <v>4</v>
      </c>
      <c r="O46" s="53"/>
      <c r="P46" s="53"/>
      <c r="Q46" s="54" t="s">
        <v>5</v>
      </c>
      <c r="R46" s="30"/>
      <c r="S46" s="30"/>
      <c r="T46" s="53" t="s">
        <v>1</v>
      </c>
      <c r="U46" s="53"/>
      <c r="V46" s="53" t="s">
        <v>1</v>
      </c>
      <c r="W46" s="53"/>
      <c r="X46" s="53" t="s">
        <v>6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55" t="s">
        <v>7</v>
      </c>
      <c r="I47" s="30"/>
      <c r="J47" s="53"/>
      <c r="K47" s="53" t="s">
        <v>7</v>
      </c>
      <c r="L47" s="53"/>
      <c r="M47" s="53"/>
      <c r="N47" s="53" t="s">
        <v>7</v>
      </c>
      <c r="O47" s="53"/>
      <c r="P47" s="53"/>
      <c r="Q47" s="53" t="s">
        <v>7</v>
      </c>
      <c r="R47" s="30"/>
      <c r="S47" s="30"/>
      <c r="T47" s="53" t="s">
        <v>8</v>
      </c>
      <c r="U47" s="53"/>
      <c r="V47" s="53" t="s">
        <v>9</v>
      </c>
      <c r="W47" s="53"/>
      <c r="X47" s="53" t="s">
        <v>10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27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/>
      <c r="I49" s="39"/>
      <c r="J49" s="41"/>
      <c r="K49" s="40"/>
      <c r="L49" s="41"/>
      <c r="M49" s="41"/>
      <c r="N49" s="40"/>
      <c r="O49" s="41"/>
      <c r="P49" s="41"/>
      <c r="Q49" s="40"/>
      <c r="R49" s="39"/>
      <c r="S49" s="40"/>
      <c r="T49" s="40"/>
      <c r="U49" s="40"/>
      <c r="V49" s="40"/>
      <c r="W49" s="40"/>
      <c r="X49" s="40"/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AB24" sqref="AB24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'[9]Dia 1 (b)'!C1</f>
        <v>SETEMBRO DE 2024</v>
      </c>
      <c r="C1" s="3"/>
      <c r="D1" s="4"/>
      <c r="E1" s="5"/>
      <c r="F1" s="2"/>
      <c r="G1" s="3"/>
      <c r="H1" s="3"/>
      <c r="I1" s="3"/>
      <c r="J1" s="3"/>
      <c r="K1" s="3" t="s">
        <v>11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/>
    </row>
    <row r="4" spans="1:32" ht="20.100000000000001" customHeight="1">
      <c r="A4" s="15">
        <v>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</row>
    <row r="5" spans="1:32" ht="20.100000000000001" customHeight="1">
      <c r="A5" s="15">
        <v>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</row>
    <row r="6" spans="1:32" ht="20.100000000000001" customHeight="1">
      <c r="A6" s="15">
        <v>3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</row>
    <row r="7" spans="1:32" ht="20.100000000000001" customHeight="1">
      <c r="A7" s="15">
        <v>4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</row>
    <row r="8" spans="1:32" ht="20.100000000000001" customHeight="1">
      <c r="A8" s="15">
        <v>5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</row>
    <row r="9" spans="1:32" ht="20.100000000000001" customHeight="1">
      <c r="A9" s="15">
        <v>6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</row>
    <row r="10" spans="1:32" ht="20.100000000000001" customHeight="1">
      <c r="A10" s="15">
        <v>7</v>
      </c>
      <c r="B10" s="16">
        <f>'[9]Dia 1 (b)'!$X16</f>
        <v>10.305801106503557</v>
      </c>
      <c r="C10" s="16">
        <f>'[9]Dia 2 (b)'!$X16</f>
        <v>11.606084906959447</v>
      </c>
      <c r="D10" s="16">
        <f>'[9]Dia 3 (b)'!$X16</f>
        <v>11.18291572475418</v>
      </c>
      <c r="E10" s="16">
        <f>'[9]Dia 4 (b)'!$X16</f>
        <v>12.057947880694103</v>
      </c>
      <c r="F10" s="16">
        <f>'[9]Dia 5 (b)'!$X16</f>
        <v>10.786819671037257</v>
      </c>
      <c r="G10" s="16">
        <f>'[9]Dia 6 (b)'!$X16</f>
        <v>10.508815842870169</v>
      </c>
      <c r="H10" s="16">
        <f>'[9]Dia 7 (b)'!$X16</f>
        <v>12.329776526767645</v>
      </c>
      <c r="I10" s="16">
        <f>'[9]Dia 8 (b)'!$X16</f>
        <v>13.713604660540872</v>
      </c>
      <c r="J10" s="16">
        <f>'[9]Dia 9 (b)'!$X16</f>
        <v>12.390560568409162</v>
      </c>
      <c r="K10" s="16">
        <f>'[9]Dia 10 (b)'!$X16</f>
        <v>10.521502243615085</v>
      </c>
      <c r="L10" s="16">
        <f>'[9]Dia 11 (b)'!$X16</f>
        <v>10.588481478958037</v>
      </c>
      <c r="M10" s="16">
        <f>'[9]Dia 12 (b)'!$X16</f>
        <v>9.5353014623104286</v>
      </c>
      <c r="N10" s="16">
        <f>'[9]Dia 13 (b)'!$X16</f>
        <v>9.2141487673754998</v>
      </c>
      <c r="O10" s="16">
        <f>'[9]Dia 14 (b)'!$X16</f>
        <v>9.3624861353943594</v>
      </c>
      <c r="P10" s="16">
        <f>'[9]Dia 15 (b)'!$X16</f>
        <v>11.934777494737906</v>
      </c>
      <c r="Q10" s="16">
        <f>'[9]Dia 16 (b)'!$X16</f>
        <v>11.356156188622082</v>
      </c>
      <c r="R10" s="16">
        <f>'[9]Dia 17 (b)'!$X16</f>
        <v>10.384454670101547</v>
      </c>
      <c r="S10" s="16">
        <f>'[9]Dia 18 (b)'!$X16</f>
        <v>9.764138737530395</v>
      </c>
      <c r="T10" s="16">
        <f>'[9]Dia 19 (b)'!$X16</f>
        <v>11.156298853363058</v>
      </c>
      <c r="U10" s="16">
        <f>'[9]Dia 20 (b)'!$X16</f>
        <v>12.46131944977434</v>
      </c>
      <c r="V10" s="16">
        <f>'[9]Dia 21 (b)'!$X16</f>
        <v>12.72349871087471</v>
      </c>
      <c r="W10" s="16">
        <f>'[9]Dia 22 (b)'!$X16</f>
        <v>13.168147588936668</v>
      </c>
      <c r="X10" s="16">
        <f>'[9]Dia 23 (b)'!$X16</f>
        <v>13.378880059863532</v>
      </c>
      <c r="Y10" s="16">
        <f>'[9]Dia 24 (b)'!$X16</f>
        <v>13.020117369114951</v>
      </c>
      <c r="Z10" s="16">
        <f>'[9]Dia 25 (b)'!$X16</f>
        <v>13.256035535081262</v>
      </c>
      <c r="AA10" s="16">
        <f>'[9]Dia 26 (b)'!$X16</f>
        <v>11.558613705776127</v>
      </c>
      <c r="AB10" s="16">
        <f>'[9]Dia 27 (b)'!$X16</f>
        <v>13.119464123054422</v>
      </c>
      <c r="AC10" s="16">
        <f>'[9]Dia 28 (b)'!$X16</f>
        <v>10.095099630804571</v>
      </c>
      <c r="AD10" s="16">
        <f>'[9]Dia 29 (b)'!$X16</f>
        <v>10.644452511669483</v>
      </c>
      <c r="AE10" s="16">
        <f>'[9]Dia 30 (b)'!$X16</f>
        <v>12.151874431023929</v>
      </c>
      <c r="AF10" s="16"/>
    </row>
    <row r="11" spans="1:32" ht="20.100000000000001" customHeight="1">
      <c r="A11" s="15">
        <v>8</v>
      </c>
      <c r="B11" s="16">
        <f>'[9]Dia 1 (b)'!$X17</f>
        <v>10.40603910996559</v>
      </c>
      <c r="C11" s="16">
        <f>'[9]Dia 2 (b)'!$X17</f>
        <v>11.370410244443557</v>
      </c>
      <c r="D11" s="16">
        <f>'[9]Dia 3 (b)'!$X17</f>
        <v>11.66536723000587</v>
      </c>
      <c r="E11" s="16">
        <f>'[9]Dia 4 (b)'!$X17</f>
        <v>12.291538734939</v>
      </c>
      <c r="F11" s="16">
        <f>'[9]Dia 5 (b)'!$X17</f>
        <v>10.874788890163726</v>
      </c>
      <c r="G11" s="16">
        <f>'[9]Dia 6 (b)'!$X17</f>
        <v>10.450373647482035</v>
      </c>
      <c r="H11" s="16">
        <f>'[9]Dia 7 (b)'!$X17</f>
        <v>12.685346507676369</v>
      </c>
      <c r="I11" s="16">
        <f>'[9]Dia 8 (b)'!$X17</f>
        <v>14.146429233149105</v>
      </c>
      <c r="J11" s="16">
        <f>'[9]Dia 9 (b)'!$X17</f>
        <v>13.198829944615573</v>
      </c>
      <c r="K11" s="16">
        <f>'[9]Dia 10 (b)'!$X17</f>
        <v>12.413941281061465</v>
      </c>
      <c r="L11" s="16">
        <f>'[9]Dia 11 (b)'!$X17</f>
        <v>9.9989423398719843</v>
      </c>
      <c r="M11" s="16">
        <f>'[9]Dia 12 (b)'!$X17</f>
        <v>8.8935383184457582</v>
      </c>
      <c r="N11" s="16">
        <f>'[9]Dia 13 (b)'!$X17</f>
        <v>7.6594451481021748</v>
      </c>
      <c r="O11" s="16">
        <f>'[9]Dia 14 (b)'!$X17</f>
        <v>9.3194112328998937</v>
      </c>
      <c r="P11" s="16">
        <f>'[9]Dia 15 (b)'!$X17</f>
        <v>11.921440521727371</v>
      </c>
      <c r="Q11" s="16">
        <f>'[9]Dia 16 (b)'!$X17</f>
        <v>10.832170220720219</v>
      </c>
      <c r="R11" s="16">
        <f>'[9]Dia 17 (b)'!$X17</f>
        <v>10.37801721801455</v>
      </c>
      <c r="S11" s="16">
        <f>'[9]Dia 18 (b)'!$X17</f>
        <v>9.7896871737457865</v>
      </c>
      <c r="T11" s="16">
        <f>'[9]Dia 19 (b)'!$X17</f>
        <v>11.284679903567637</v>
      </c>
      <c r="U11" s="16">
        <f>'[9]Dia 20 (b)'!$X17</f>
        <v>12.800752361019493</v>
      </c>
      <c r="V11" s="16">
        <f>'[9]Dia 21 (b)'!$X17</f>
        <v>12.772050126875898</v>
      </c>
      <c r="W11" s="16">
        <f>'[9]Dia 22 (b)'!$X17</f>
        <v>12.900879150464364</v>
      </c>
      <c r="X11" s="16">
        <f>'[9]Dia 23 (b)'!$X17</f>
        <v>14.031055118198777</v>
      </c>
      <c r="Y11" s="16">
        <f>'[9]Dia 24 (b)'!$X17</f>
        <v>13.592130622531737</v>
      </c>
      <c r="Z11" s="16">
        <f>'[9]Dia 25 (b)'!$X17</f>
        <v>12.965449541717767</v>
      </c>
      <c r="AA11" s="16">
        <f>'[9]Dia 26 (b)'!$X17</f>
        <v>11.247470421786906</v>
      </c>
      <c r="AB11" s="16">
        <f>'[9]Dia 27 (b)'!$X17</f>
        <v>12.862444322808374</v>
      </c>
      <c r="AC11" s="16">
        <f>'[9]Dia 28 (b)'!$X17</f>
        <v>9.6793196343477295</v>
      </c>
      <c r="AD11" s="16">
        <f>'[9]Dia 29 (b)'!$X17</f>
        <v>11.019487016132235</v>
      </c>
      <c r="AE11" s="16">
        <f>'[9]Dia 30 (b)'!$X17</f>
        <v>12.408047493792775</v>
      </c>
      <c r="AF11" s="16"/>
    </row>
    <row r="12" spans="1:32" ht="20.100000000000001" customHeight="1">
      <c r="A12" s="15">
        <v>9</v>
      </c>
      <c r="B12" s="16">
        <f>'[9]Dia 1 (b)'!$X18</f>
        <v>9.7099781925623727</v>
      </c>
      <c r="C12" s="16">
        <f>'[9]Dia 2 (b)'!$X18</f>
        <v>12.762300372022722</v>
      </c>
      <c r="D12" s="16">
        <f>'[9]Dia 3 (b)'!$X18</f>
        <v>11.421698388589515</v>
      </c>
      <c r="E12" s="16">
        <f>'[9]Dia 4 (b)'!$X18</f>
        <v>11.419713928227265</v>
      </c>
      <c r="F12" s="16">
        <f>'[9]Dia 5 (b)'!$X18</f>
        <v>11.3525976375696</v>
      </c>
      <c r="G12" s="16">
        <f>'[9]Dia 6 (b)'!$X18</f>
        <v>10.784384281428952</v>
      </c>
      <c r="H12" s="16">
        <f>'[9]Dia 7 (b)'!$X18</f>
        <v>12.816762934664608</v>
      </c>
      <c r="I12" s="16">
        <f>'[9]Dia 8 (b)'!$X18</f>
        <v>13.540426130411626</v>
      </c>
      <c r="J12" s="16">
        <f>'[9]Dia 9 (b)'!$X18</f>
        <v>12.76453808228276</v>
      </c>
      <c r="K12" s="16">
        <f>'[9]Dia 10 (b)'!$X18</f>
        <v>8.6089110095561523</v>
      </c>
      <c r="L12" s="16">
        <f>'[9]Dia 11 (b)'!$X18</f>
        <v>8.6315399841245988</v>
      </c>
      <c r="M12" s="16">
        <f>'[9]Dia 12 (b)'!$X18</f>
        <v>7.5939263822826648</v>
      </c>
      <c r="N12" s="16">
        <f>'[9]Dia 13 (b)'!$X18</f>
        <v>7.6394596757051252</v>
      </c>
      <c r="O12" s="16">
        <f>'[9]Dia 14 (b)'!$X18</f>
        <v>11.691840500379852</v>
      </c>
      <c r="P12" s="16">
        <f>'[9]Dia 15 (b)'!$X18</f>
        <v>11.718885622995392</v>
      </c>
      <c r="Q12" s="16">
        <f>'[9]Dia 16 (b)'!$X18</f>
        <v>10.770523462357318</v>
      </c>
      <c r="R12" s="16">
        <f>'[9]Dia 17 (b)'!$X18</f>
        <v>10.068844754998098</v>
      </c>
      <c r="S12" s="16">
        <f>'[9]Dia 18 (b)'!$X18</f>
        <v>10.015414707818538</v>
      </c>
      <c r="T12" s="16">
        <f>'[9]Dia 19 (b)'!$X18</f>
        <v>11.373713207894079</v>
      </c>
      <c r="U12" s="16">
        <f>'[9]Dia 20 (b)'!$X18</f>
        <v>12.706432185269392</v>
      </c>
      <c r="V12" s="16">
        <f>'[9]Dia 21 (b)'!$X18</f>
        <v>12.340186114672624</v>
      </c>
      <c r="W12" s="16">
        <f>'[9]Dia 22 (b)'!$X18</f>
        <v>12.986632799640915</v>
      </c>
      <c r="X12" s="16">
        <f>'[9]Dia 23 (b)'!$X18</f>
        <v>13.72600080330805</v>
      </c>
      <c r="Y12" s="16">
        <f>'[9]Dia 24 (b)'!$X18</f>
        <v>13.209765207396719</v>
      </c>
      <c r="Z12" s="16">
        <f>'[9]Dia 25 (b)'!$X18</f>
        <v>12.78855376561069</v>
      </c>
      <c r="AA12" s="16">
        <f>'[9]Dia 26 (b)'!$X18</f>
        <v>10.364497265670501</v>
      </c>
      <c r="AB12" s="16">
        <f>'[9]Dia 27 (b)'!$X18</f>
        <v>13.978338137615207</v>
      </c>
      <c r="AC12" s="16">
        <f>'[9]Dia 28 (b)'!$X18</f>
        <v>9.6224409400834361</v>
      </c>
      <c r="AD12" s="16">
        <f>'[9]Dia 29 (b)'!$X18</f>
        <v>10.856433469302477</v>
      </c>
      <c r="AE12" s="16">
        <f>'[9]Dia 30 (b)'!$X18</f>
        <v>12.517717254426085</v>
      </c>
      <c r="AF12" s="16"/>
    </row>
    <row r="13" spans="1:32" ht="20.100000000000001" customHeight="1">
      <c r="A13" s="15">
        <v>10</v>
      </c>
      <c r="B13" s="16">
        <f>'[9]Dia 1 (b)'!$X19</f>
        <v>9.0607453591586484</v>
      </c>
      <c r="C13" s="16">
        <f>'[9]Dia 2 (b)'!$X19</f>
        <v>11.921791761444497</v>
      </c>
      <c r="D13" s="16">
        <f>'[9]Dia 3 (b)'!$X19</f>
        <v>11.74943401666216</v>
      </c>
      <c r="E13" s="16">
        <f>'[9]Dia 4 (b)'!$X19</f>
        <v>9.6898171517382519</v>
      </c>
      <c r="F13" s="16">
        <f>'[9]Dia 5 (b)'!$X19</f>
        <v>11.044044168344259</v>
      </c>
      <c r="G13" s="16">
        <f>'[9]Dia 6 (b)'!$X19</f>
        <v>10.733420159931837</v>
      </c>
      <c r="H13" s="16">
        <f>'[9]Dia 7 (b)'!$X19</f>
        <v>12.861669931753534</v>
      </c>
      <c r="I13" s="16">
        <f>'[9]Dia 8 (b)'!$X19</f>
        <v>12.968588720781531</v>
      </c>
      <c r="J13" s="16">
        <f>'[9]Dia 9 (b)'!$X19</f>
        <v>10.949317358581196</v>
      </c>
      <c r="K13" s="16">
        <f>'[9]Dia 10 (b)'!$X19</f>
        <v>8.1182486053165928</v>
      </c>
      <c r="L13" s="16">
        <f>'[9]Dia 11 (b)'!$X19</f>
        <v>7.8212530583972999</v>
      </c>
      <c r="M13" s="16">
        <f>'[9]Dia 12 (b)'!$X19</f>
        <v>6.728101504548702</v>
      </c>
      <c r="N13" s="16">
        <f>'[9]Dia 13 (b)'!$X19</f>
        <v>7.1615131446763662</v>
      </c>
      <c r="O13" s="16">
        <f>'[9]Dia 14 (b)'!$X19</f>
        <v>11.670142479881402</v>
      </c>
      <c r="P13" s="16">
        <f>'[9]Dia 15 (b)'!$X19</f>
        <v>11.826183564245524</v>
      </c>
      <c r="Q13" s="16">
        <f>'[9]Dia 16 (b)'!$X19</f>
        <v>11.44485455784576</v>
      </c>
      <c r="R13" s="16">
        <f>'[9]Dia 17 (b)'!$X19</f>
        <v>9.9108070913363111</v>
      </c>
      <c r="S13" s="16">
        <f>'[9]Dia 18 (b)'!$X19</f>
        <v>10.033907744222486</v>
      </c>
      <c r="T13" s="16">
        <f>'[9]Dia 19 (b)'!$X19</f>
        <v>11.866301184991304</v>
      </c>
      <c r="U13" s="16">
        <f>'[9]Dia 20 (b)'!$X19</f>
        <v>12.851908487327789</v>
      </c>
      <c r="V13" s="16">
        <f>'[9]Dia 21 (b)'!$X19</f>
        <v>11.912021403390042</v>
      </c>
      <c r="W13" s="16">
        <f>'[9]Dia 22 (b)'!$X19</f>
        <v>12.811870223876785</v>
      </c>
      <c r="X13" s="16">
        <f>'[9]Dia 23 (b)'!$X19</f>
        <v>12.456384101043072</v>
      </c>
      <c r="Y13" s="16">
        <f>'[9]Dia 24 (b)'!$X19</f>
        <v>12.677439289642713</v>
      </c>
      <c r="Z13" s="16">
        <f>'[9]Dia 25 (b)'!$X19</f>
        <v>12.147630940232968</v>
      </c>
      <c r="AA13" s="16">
        <f>'[9]Dia 26 (b)'!$X19</f>
        <v>9.327177810247882</v>
      </c>
      <c r="AB13" s="16">
        <f>'[9]Dia 27 (b)'!$X19</f>
        <v>14.67259820015874</v>
      </c>
      <c r="AC13" s="16">
        <f>'[9]Dia 28 (b)'!$X19</f>
        <v>9.4413328404135299</v>
      </c>
      <c r="AD13" s="16">
        <f>'[9]Dia 29 (b)'!$X19</f>
        <v>11.501759218364219</v>
      </c>
      <c r="AE13" s="16">
        <f>'[9]Dia 30 (b)'!$X19</f>
        <v>12.269117910124212</v>
      </c>
      <c r="AF13" s="16"/>
    </row>
    <row r="14" spans="1:32" ht="20.100000000000001" customHeight="1">
      <c r="A14" s="15">
        <v>11</v>
      </c>
      <c r="B14" s="16">
        <f>'[9]Dia 1 (b)'!$X20</f>
        <v>8.3475017909663869</v>
      </c>
      <c r="C14" s="16">
        <f>'[9]Dia 2 (b)'!$X20</f>
        <v>11.888384919487128</v>
      </c>
      <c r="D14" s="16">
        <f>'[9]Dia 3 (b)'!$X20</f>
        <v>11.310056496269949</v>
      </c>
      <c r="E14" s="16">
        <f>'[9]Dia 4 (b)'!$X20</f>
        <v>8.560875722837169</v>
      </c>
      <c r="F14" s="16">
        <f>'[9]Dia 5 (b)'!$X20</f>
        <v>10.911996365089255</v>
      </c>
      <c r="G14" s="16">
        <f>'[9]Dia 6 (b)'!$X20</f>
        <v>11.132791595167381</v>
      </c>
      <c r="H14" s="16">
        <f>'[9]Dia 7 (b)'!$X20</f>
        <v>13.090222992157996</v>
      </c>
      <c r="I14" s="16">
        <f>'[9]Dia 8 (b)'!$X20</f>
        <v>11.833526290854344</v>
      </c>
      <c r="J14" s="16">
        <f>'[9]Dia 9 (b)'!$X20</f>
        <v>9.8574870712459024</v>
      </c>
      <c r="K14" s="16">
        <f>'[9]Dia 10 (b)'!$X20</f>
        <v>7.3308573139081412</v>
      </c>
      <c r="L14" s="16">
        <f>'[9]Dia 11 (b)'!$X20</f>
        <v>7.4023061098098806</v>
      </c>
      <c r="M14" s="16">
        <f>'[9]Dia 12 (b)'!$X20</f>
        <v>6.308716873716655</v>
      </c>
      <c r="N14" s="16">
        <f>'[9]Dia 13 (b)'!$X20</f>
        <v>7.2925637309837956</v>
      </c>
      <c r="O14" s="16">
        <f>'[9]Dia 14 (b)'!$X20</f>
        <v>10.614034076020651</v>
      </c>
      <c r="P14" s="16">
        <f>'[9]Dia 15 (b)'!$X20</f>
        <v>12.080166220030083</v>
      </c>
      <c r="Q14" s="16">
        <f>'[9]Dia 16 (b)'!$X20</f>
        <v>11.484940894580065</v>
      </c>
      <c r="R14" s="16">
        <f>'[9]Dia 17 (b)'!$X20</f>
        <v>9.6516309231256585</v>
      </c>
      <c r="S14" s="16">
        <f>'[9]Dia 18 (b)'!$X20</f>
        <v>10.761065332676893</v>
      </c>
      <c r="T14" s="16">
        <f>'[9]Dia 19 (b)'!$X20</f>
        <v>11.572359439044131</v>
      </c>
      <c r="U14" s="16">
        <f>'[9]Dia 20 (b)'!$X20</f>
        <v>11.645842441269082</v>
      </c>
      <c r="V14" s="16">
        <f>'[9]Dia 21 (b)'!$X20</f>
        <v>11.515701161448872</v>
      </c>
      <c r="W14" s="16">
        <f>'[9]Dia 22 (b)'!$X20</f>
        <v>12.748904370246098</v>
      </c>
      <c r="X14" s="16">
        <f>'[9]Dia 23 (b)'!$X20</f>
        <v>9.1586890612470988</v>
      </c>
      <c r="Y14" s="16">
        <f>'[9]Dia 24 (b)'!$X20</f>
        <v>11.564162244370715</v>
      </c>
      <c r="Z14" s="16">
        <f>'[9]Dia 25 (b)'!$X20</f>
        <v>11.324741818252821</v>
      </c>
      <c r="AA14" s="16">
        <f>'[9]Dia 26 (b)'!$X20</f>
        <v>8.9193134042868767</v>
      </c>
      <c r="AB14" s="16">
        <f>'[9]Dia 27 (b)'!$X20</f>
        <v>14.099802685791106</v>
      </c>
      <c r="AC14" s="16">
        <f>'[9]Dia 28 (b)'!$X20</f>
        <v>9.3411338389987506</v>
      </c>
      <c r="AD14" s="16">
        <f>'[9]Dia 29 (b)'!$X20</f>
        <v>11.482010947419299</v>
      </c>
      <c r="AE14" s="16">
        <f>'[9]Dia 30 (b)'!$X20</f>
        <v>12.362388081513695</v>
      </c>
      <c r="AF14" s="16"/>
    </row>
    <row r="15" spans="1:32" ht="20.100000000000001" customHeight="1">
      <c r="A15" s="15">
        <v>12</v>
      </c>
      <c r="B15" s="16">
        <f>'[9]Dia 1 (b)'!$X21</f>
        <v>6.1205421725810272</v>
      </c>
      <c r="C15" s="16">
        <f>'[9]Dia 2 (b)'!$X21</f>
        <v>11.694334797376488</v>
      </c>
      <c r="D15" s="16">
        <f>'[9]Dia 3 (b)'!$X21</f>
        <v>11.199123508428773</v>
      </c>
      <c r="E15" s="16">
        <f>'[9]Dia 4 (b)'!$X21</f>
        <v>6.4709481775763589</v>
      </c>
      <c r="F15" s="16">
        <f>'[9]Dia 5 (b)'!$X21</f>
        <v>11.057214723797898</v>
      </c>
      <c r="G15" s="16">
        <f>'[9]Dia 6 (b)'!$X21</f>
        <v>11.403988026947275</v>
      </c>
      <c r="H15" s="16">
        <f>'[9]Dia 7 (b)'!$X21</f>
        <v>12.191392468964761</v>
      </c>
      <c r="I15" s="16">
        <f>'[9]Dia 8 (b)'!$X21</f>
        <v>9.2901467415356631</v>
      </c>
      <c r="J15" s="16">
        <f>'[9]Dia 9 (b)'!$X21</f>
        <v>8.1037921099150587</v>
      </c>
      <c r="K15" s="16">
        <f>'[9]Dia 10 (b)'!$X21</f>
        <v>7.3706195642735377</v>
      </c>
      <c r="L15" s="16">
        <f>'[9]Dia 11 (b)'!$X21</f>
        <v>6.994894064767549</v>
      </c>
      <c r="M15" s="16">
        <f>'[9]Dia 12 (b)'!$X21</f>
        <v>5.9449666841589641</v>
      </c>
      <c r="N15" s="16">
        <f>'[9]Dia 13 (b)'!$X21</f>
        <v>7.0890823113916266</v>
      </c>
      <c r="O15" s="16">
        <f>'[9]Dia 14 (b)'!$X21</f>
        <v>10.379913653736338</v>
      </c>
      <c r="P15" s="16">
        <f>'[9]Dia 15 (b)'!$X21</f>
        <v>12.301941119177423</v>
      </c>
      <c r="Q15" s="16">
        <f>'[9]Dia 16 (b)'!$X21</f>
        <v>11.369297218562194</v>
      </c>
      <c r="R15" s="16">
        <f>'[9]Dia 17 (b)'!$X21</f>
        <v>9.7334855727149527</v>
      </c>
      <c r="S15" s="16">
        <f>'[9]Dia 18 (b)'!$X21</f>
        <v>10.475411418507873</v>
      </c>
      <c r="T15" s="16">
        <f>'[9]Dia 19 (b)'!$X21</f>
        <v>11.648517965871109</v>
      </c>
      <c r="U15" s="16">
        <f>'[9]Dia 20 (b)'!$X21</f>
        <v>10.987921774895382</v>
      </c>
      <c r="V15" s="16">
        <f>'[9]Dia 21 (b)'!$X21</f>
        <v>11.110722856793178</v>
      </c>
      <c r="W15" s="16">
        <f>'[9]Dia 22 (b)'!$X21</f>
        <v>10.973114690500255</v>
      </c>
      <c r="X15" s="16">
        <f>'[9]Dia 23 (b)'!$X21</f>
        <v>8.7463910751662688</v>
      </c>
      <c r="Y15" s="16">
        <f>'[9]Dia 24 (b)'!$X21</f>
        <v>11.101534664765758</v>
      </c>
      <c r="Z15" s="16">
        <f>'[9]Dia 25 (b)'!$X21</f>
        <v>10.079123701395357</v>
      </c>
      <c r="AA15" s="16">
        <f>'[9]Dia 26 (b)'!$X21</f>
        <v>9.06289643873294</v>
      </c>
      <c r="AB15" s="16">
        <f>'[9]Dia 27 (b)'!$X21</f>
        <v>12.734009704786594</v>
      </c>
      <c r="AC15" s="16">
        <f>'[9]Dia 28 (b)'!$X21</f>
        <v>10.040882529668094</v>
      </c>
      <c r="AD15" s="16">
        <f>'[9]Dia 29 (b)'!$X21</f>
        <v>10.660067712643837</v>
      </c>
      <c r="AE15" s="16">
        <f>'[9]Dia 30 (b)'!$X21</f>
        <v>11.639826322090677</v>
      </c>
      <c r="AF15" s="16"/>
    </row>
    <row r="16" spans="1:32" ht="20.100000000000001" customHeight="1">
      <c r="A16" s="15">
        <v>13</v>
      </c>
      <c r="B16" s="16">
        <f>'[9]Dia 1 (b)'!$X22</f>
        <v>5.4870932098383989</v>
      </c>
      <c r="C16" s="16">
        <f>'[9]Dia 2 (b)'!$X22</f>
        <v>12.097887397707984</v>
      </c>
      <c r="D16" s="16">
        <f>'[9]Dia 3 (b)'!$X22</f>
        <v>9.5923934623289959</v>
      </c>
      <c r="E16" s="16">
        <f>'[9]Dia 4 (b)'!$X22</f>
        <v>6.8714734398497965</v>
      </c>
      <c r="F16" s="16">
        <f>'[9]Dia 5 (b)'!$X22</f>
        <v>10.783820671729284</v>
      </c>
      <c r="G16" s="16">
        <f>'[9]Dia 6 (b)'!$X22</f>
        <v>11.369353965888445</v>
      </c>
      <c r="H16" s="16">
        <f>'[9]Dia 7 (b)'!$X22</f>
        <v>12.222965426232429</v>
      </c>
      <c r="I16" s="16">
        <f>'[9]Dia 8 (b)'!$X22</f>
        <v>9.2469341471162121</v>
      </c>
      <c r="J16" s="16">
        <f>'[9]Dia 9 (b)'!$X22</f>
        <v>7.7519941258123408</v>
      </c>
      <c r="K16" s="16">
        <f>'[9]Dia 10 (b)'!$X22</f>
        <v>7.3007801866685229</v>
      </c>
      <c r="L16" s="16">
        <f>'[9]Dia 11 (b)'!$X22</f>
        <v>7.0072909448359191</v>
      </c>
      <c r="M16" s="16">
        <f>'[9]Dia 12 (b)'!$X22</f>
        <v>5.990380099807421</v>
      </c>
      <c r="N16" s="16">
        <f>'[9]Dia 13 (b)'!$X22</f>
        <v>7.2255592504493737</v>
      </c>
      <c r="O16" s="16">
        <f>'[9]Dia 14 (b)'!$X22</f>
        <v>9.8451387028600994</v>
      </c>
      <c r="P16" s="16">
        <f>'[9]Dia 15 (b)'!$X22</f>
        <v>12.061510734702239</v>
      </c>
      <c r="Q16" s="16">
        <f>'[9]Dia 16 (b)'!$X22</f>
        <v>11.448029539170706</v>
      </c>
      <c r="R16" s="16">
        <f>'[9]Dia 17 (b)'!$X22</f>
        <v>9.7568358062324325</v>
      </c>
      <c r="S16" s="16">
        <f>'[9]Dia 18 (b)'!$X22</f>
        <v>10.307666710193265</v>
      </c>
      <c r="T16" s="16">
        <f>'[9]Dia 19 (b)'!$X22</f>
        <v>13.263425968911335</v>
      </c>
      <c r="U16" s="16">
        <f>'[9]Dia 20 (b)'!$X22</f>
        <v>10.959371032803164</v>
      </c>
      <c r="V16" s="16">
        <f>'[9]Dia 21 (b)'!$X22</f>
        <v>10.847885304378693</v>
      </c>
      <c r="W16" s="16">
        <f>'[9]Dia 22 (b)'!$X22</f>
        <v>10.719544671965568</v>
      </c>
      <c r="X16" s="16">
        <f>'[9]Dia 23 (b)'!$X22</f>
        <v>8.0418263271805177</v>
      </c>
      <c r="Y16" s="16">
        <f>'[9]Dia 24 (b)'!$X22</f>
        <v>10.331462542932382</v>
      </c>
      <c r="Z16" s="16">
        <f>'[9]Dia 25 (b)'!$X22</f>
        <v>9.3675925476877886</v>
      </c>
      <c r="AA16" s="16">
        <f>'[9]Dia 26 (b)'!$X22</f>
        <v>8.740154057452413</v>
      </c>
      <c r="AB16" s="16">
        <f>'[9]Dia 27 (b)'!$X22</f>
        <v>12.811635777178903</v>
      </c>
      <c r="AC16" s="16">
        <f>'[9]Dia 28 (b)'!$X22</f>
        <v>10.614663036263448</v>
      </c>
      <c r="AD16" s="16">
        <f>'[9]Dia 29 (b)'!$X22</f>
        <v>11.106471068813164</v>
      </c>
      <c r="AE16" s="16">
        <f>'[9]Dia 30 (b)'!$X22</f>
        <v>11.078080762186509</v>
      </c>
      <c r="AF16" s="16"/>
    </row>
    <row r="17" spans="1:32" ht="20.100000000000001" customHeight="1">
      <c r="A17" s="15">
        <v>14</v>
      </c>
      <c r="B17" s="16">
        <f>'[9]Dia 1 (b)'!$X23</f>
        <v>5.1618688942466857</v>
      </c>
      <c r="C17" s="16">
        <f>'[9]Dia 2 (b)'!$X23</f>
        <v>11.760325460329293</v>
      </c>
      <c r="D17" s="16">
        <f>'[9]Dia 3 (b)'!$X23</f>
        <v>8.066907625553819</v>
      </c>
      <c r="E17" s="16">
        <f>'[9]Dia 4 (b)'!$X23</f>
        <v>5.0863056600143386</v>
      </c>
      <c r="F17" s="16">
        <f>'[9]Dia 5 (b)'!$X23</f>
        <v>10.473956056563757</v>
      </c>
      <c r="G17" s="16">
        <f>'[9]Dia 6 (b)'!$X23</f>
        <v>11.546171357932387</v>
      </c>
      <c r="H17" s="16">
        <f>'[9]Dia 7 (b)'!$X23</f>
        <v>10.585726789016723</v>
      </c>
      <c r="I17" s="16">
        <f>'[9]Dia 8 (b)'!$X23</f>
        <v>8.3080510321282581</v>
      </c>
      <c r="J17" s="16">
        <f>'[9]Dia 9 (b)'!$X23</f>
        <v>6.4119791960062109</v>
      </c>
      <c r="K17" s="16">
        <f>'[9]Dia 10 (b)'!$X23</f>
        <v>7.2789144954027263</v>
      </c>
      <c r="L17" s="16">
        <f>'[9]Dia 11 (b)'!$X23</f>
        <v>6.2760869021442707</v>
      </c>
      <c r="M17" s="16">
        <f>'[9]Dia 12 (b)'!$X23</f>
        <v>6.1952281513127208</v>
      </c>
      <c r="N17" s="16">
        <f>'[9]Dia 13 (b)'!$X23</f>
        <v>6.4095850475847111</v>
      </c>
      <c r="O17" s="16">
        <f>'[9]Dia 14 (b)'!$X23</f>
        <v>8.5915903608757116</v>
      </c>
      <c r="P17" s="16">
        <f>'[9]Dia 15 (b)'!$X23</f>
        <v>11.784342634120648</v>
      </c>
      <c r="Q17" s="16">
        <f>'[9]Dia 16 (b)'!$X23</f>
        <v>11.227548817839741</v>
      </c>
      <c r="R17" s="16">
        <f>'[9]Dia 17 (b)'!$X23</f>
        <v>9.4872382749559527</v>
      </c>
      <c r="S17" s="16">
        <f>'[9]Dia 18 (b)'!$X23</f>
        <v>10.571182081635731</v>
      </c>
      <c r="T17" s="16">
        <f>'[9]Dia 19 (b)'!$X23</f>
        <v>15.065883641306764</v>
      </c>
      <c r="U17" s="16">
        <f>'[9]Dia 20 (b)'!$X23</f>
        <v>11.122215504066036</v>
      </c>
      <c r="V17" s="16">
        <f>'[9]Dia 21 (b)'!$X23</f>
        <v>13.252571478931586</v>
      </c>
      <c r="W17" s="16">
        <f>'[9]Dia 22 (b)'!$X23</f>
        <v>10.280711081062512</v>
      </c>
      <c r="X17" s="16">
        <f>'[9]Dia 23 (b)'!$X23</f>
        <v>8.3663888952921326</v>
      </c>
      <c r="Y17" s="16">
        <f>'[9]Dia 24 (b)'!$X23</f>
        <v>8.4276716576225645</v>
      </c>
      <c r="Z17" s="16">
        <f>'[9]Dia 25 (b)'!$X23</f>
        <v>7.4566584217385792</v>
      </c>
      <c r="AA17" s="16">
        <f>'[9]Dia 26 (b)'!$X23</f>
        <v>8.3827908972829803</v>
      </c>
      <c r="AB17" s="16">
        <f>'[9]Dia 27 (b)'!$X23</f>
        <v>14.035694942147591</v>
      </c>
      <c r="AC17" s="16">
        <f>'[9]Dia 28 (b)'!$X23</f>
        <v>10.731301440993803</v>
      </c>
      <c r="AD17" s="16">
        <f>'[9]Dia 29 (b)'!$X23</f>
        <v>12.736939491238884</v>
      </c>
      <c r="AE17" s="16">
        <f>'[9]Dia 30 (b)'!$X23</f>
        <v>13.066612377222143</v>
      </c>
      <c r="AF17" s="16"/>
    </row>
    <row r="18" spans="1:32" ht="20.100000000000001" customHeight="1">
      <c r="A18" s="15">
        <v>15</v>
      </c>
      <c r="B18" s="16">
        <f>'[9]Dia 1 (b)'!$X24</f>
        <v>5.4040482655050148</v>
      </c>
      <c r="C18" s="16">
        <f>'[9]Dia 2 (b)'!$X24</f>
        <v>11.303159016976181</v>
      </c>
      <c r="D18" s="16">
        <f>'[9]Dia 3 (b)'!$X24</f>
        <v>7.7760839079179149</v>
      </c>
      <c r="E18" s="16">
        <f>'[9]Dia 4 (b)'!$X24</f>
        <v>5.0506802297660789</v>
      </c>
      <c r="F18" s="16">
        <f>'[9]Dia 5 (b)'!$X24</f>
        <v>9.8423771449310351</v>
      </c>
      <c r="G18" s="16">
        <f>'[9]Dia 6 (b)'!$X24</f>
        <v>11.483202485656085</v>
      </c>
      <c r="H18" s="16">
        <f>'[9]Dia 7 (b)'!$X24</f>
        <v>9.127594303837455</v>
      </c>
      <c r="I18" s="16">
        <f>'[9]Dia 8 (b)'!$X24</f>
        <v>8.2269685382274496</v>
      </c>
      <c r="J18" s="16">
        <f>'[9]Dia 9 (b)'!$X24</f>
        <v>8.7855001252370943</v>
      </c>
      <c r="K18" s="16">
        <f>'[9]Dia 10 (b)'!$X24</f>
        <v>6.0434719448691441</v>
      </c>
      <c r="L18" s="16">
        <f>'[9]Dia 11 (b)'!$X24</f>
        <v>7.0304844293922706</v>
      </c>
      <c r="M18" s="16">
        <f>'[9]Dia 12 (b)'!$X24</f>
        <v>5.8733001561317133</v>
      </c>
      <c r="N18" s="16">
        <f>'[9]Dia 13 (b)'!$X24</f>
        <v>7.0404874898319871</v>
      </c>
      <c r="O18" s="16">
        <f>'[9]Dia 14 (b)'!$X24</f>
        <v>11.481693155439844</v>
      </c>
      <c r="P18" s="16">
        <f>'[9]Dia 15 (b)'!$X24</f>
        <v>11.997655815243354</v>
      </c>
      <c r="Q18" s="16">
        <f>'[9]Dia 16 (b)'!$X24</f>
        <v>11.014276111202381</v>
      </c>
      <c r="R18" s="16">
        <f>'[9]Dia 17 (b)'!$X24</f>
        <v>9.9735085408215838</v>
      </c>
      <c r="S18" s="16">
        <f>'[9]Dia 18 (b)'!$X24</f>
        <v>10.92496023908523</v>
      </c>
      <c r="T18" s="16">
        <f>'[9]Dia 19 (b)'!$X24</f>
        <v>13.578746107592925</v>
      </c>
      <c r="U18" s="16">
        <f>'[9]Dia 20 (b)'!$X24</f>
        <v>10.899832489721426</v>
      </c>
      <c r="V18" s="16">
        <f>'[9]Dia 21 (b)'!$X24</f>
        <v>13.4299764406995</v>
      </c>
      <c r="W18" s="16">
        <f>'[9]Dia 22 (b)'!$X24</f>
        <v>9.7344730259287218</v>
      </c>
      <c r="X18" s="16">
        <f>'[9]Dia 23 (b)'!$X24</f>
        <v>10.750638786105302</v>
      </c>
      <c r="Y18" s="16">
        <f>'[9]Dia 24 (b)'!$X24</f>
        <v>14.293711136660638</v>
      </c>
      <c r="Z18" s="16">
        <f>'[9]Dia 25 (b)'!$X24</f>
        <v>6.9982616989660738</v>
      </c>
      <c r="AA18" s="16">
        <f>'[9]Dia 26 (b)'!$X24</f>
        <v>7.6971060386035912</v>
      </c>
      <c r="AB18" s="16">
        <f>'[9]Dia 27 (b)'!$X24</f>
        <v>14.832912254726882</v>
      </c>
      <c r="AC18" s="16">
        <f>'[9]Dia 28 (b)'!$X24</f>
        <v>10.932595039960676</v>
      </c>
      <c r="AD18" s="16">
        <f>'[9]Dia 29 (b)'!$X24</f>
        <v>12.152647566206008</v>
      </c>
      <c r="AE18" s="16">
        <f>'[9]Dia 30 (b)'!$X24</f>
        <v>14.189725018517663</v>
      </c>
      <c r="AF18" s="16"/>
    </row>
    <row r="19" spans="1:32" ht="20.100000000000001" customHeight="1">
      <c r="A19" s="15">
        <v>16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</row>
    <row r="20" spans="1:32" ht="20.100000000000001" customHeight="1">
      <c r="A20" s="15">
        <v>17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</row>
    <row r="21" spans="1:32" ht="20.100000000000001" customHeight="1">
      <c r="A21" s="15">
        <v>18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</row>
    <row r="22" spans="1:32" ht="20.100000000000001" customHeight="1">
      <c r="A22" s="15">
        <v>19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</row>
    <row r="23" spans="1:32" ht="20.100000000000001" customHeight="1">
      <c r="A23" s="15">
        <v>20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</row>
    <row r="24" spans="1:32" ht="20.100000000000001" customHeight="1">
      <c r="A24" s="15">
        <v>21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</row>
    <row r="25" spans="1:32" ht="20.100000000000001" customHeight="1">
      <c r="A25" s="15">
        <v>22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</row>
    <row r="26" spans="1:32" ht="20.100000000000001" customHeight="1">
      <c r="A26" s="15">
        <v>23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</row>
    <row r="27" spans="1:32" ht="20.100000000000001" customHeight="1" thickBot="1">
      <c r="A27" s="15">
        <v>24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</row>
    <row r="28" spans="1:32" ht="16.5" thickTop="1">
      <c r="A28" s="17"/>
      <c r="B28" s="84" t="s">
        <v>62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1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2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3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5"/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4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2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5"/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5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2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5"/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1</v>
      </c>
      <c r="I46" s="30"/>
      <c r="J46" s="33"/>
      <c r="K46" s="34" t="s">
        <v>3</v>
      </c>
      <c r="L46" s="33"/>
      <c r="M46" s="33"/>
      <c r="N46" s="34" t="s">
        <v>4</v>
      </c>
      <c r="O46" s="33"/>
      <c r="P46" s="33"/>
      <c r="Q46" s="34" t="s">
        <v>5</v>
      </c>
      <c r="R46" s="30"/>
      <c r="S46" s="30"/>
      <c r="T46" s="33" t="s">
        <v>1</v>
      </c>
      <c r="U46" s="33"/>
      <c r="V46" s="33" t="s">
        <v>1</v>
      </c>
      <c r="W46" s="33"/>
      <c r="X46" s="33" t="s">
        <v>6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7</v>
      </c>
      <c r="I47" s="30"/>
      <c r="J47" s="33"/>
      <c r="K47" s="33" t="s">
        <v>7</v>
      </c>
      <c r="L47" s="33"/>
      <c r="M47" s="33"/>
      <c r="N47" s="33" t="s">
        <v>7</v>
      </c>
      <c r="O47" s="33"/>
      <c r="P47" s="33"/>
      <c r="Q47" s="33" t="s">
        <v>7</v>
      </c>
      <c r="R47" s="30"/>
      <c r="S47" s="30"/>
      <c r="T47" s="33" t="s">
        <v>8</v>
      </c>
      <c r="U47" s="33"/>
      <c r="V47" s="33" t="s">
        <v>9</v>
      </c>
      <c r="W47" s="33"/>
      <c r="X47" s="33" t="s">
        <v>10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/>
      <c r="I49" s="39"/>
      <c r="J49" s="41"/>
      <c r="K49" s="40"/>
      <c r="L49" s="41"/>
      <c r="M49" s="41"/>
      <c r="N49" s="40"/>
      <c r="O49" s="41"/>
      <c r="P49" s="41"/>
      <c r="Q49" s="40"/>
      <c r="R49" s="39"/>
      <c r="S49" s="40"/>
      <c r="T49" s="40"/>
      <c r="U49" s="40"/>
      <c r="V49" s="40"/>
      <c r="W49" s="40"/>
      <c r="X49" s="40"/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AB24" sqref="AB24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'[10]Dia 1 (b)'!C1</f>
        <v>OUTUBRO DE  2024</v>
      </c>
      <c r="C1" s="3"/>
      <c r="D1" s="4"/>
      <c r="E1" s="5"/>
      <c r="F1" s="2"/>
      <c r="G1" s="3"/>
      <c r="H1" s="3"/>
      <c r="I1" s="3"/>
      <c r="J1" s="3"/>
      <c r="K1" s="3" t="s">
        <v>11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2" ht="20.100000000000001" customHeight="1">
      <c r="A4" s="15">
        <v>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</row>
    <row r="5" spans="1:32" ht="20.100000000000001" customHeight="1">
      <c r="A5" s="15">
        <v>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</row>
    <row r="6" spans="1:32" ht="20.100000000000001" customHeight="1">
      <c r="A6" s="15">
        <v>3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</row>
    <row r="7" spans="1:32" ht="20.100000000000001" customHeight="1">
      <c r="A7" s="15">
        <v>4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</row>
    <row r="8" spans="1:32" ht="20.100000000000001" customHeight="1">
      <c r="A8" s="15">
        <v>5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</row>
    <row r="9" spans="1:32" ht="20.100000000000001" customHeight="1">
      <c r="A9" s="15">
        <v>6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</row>
    <row r="10" spans="1:32" ht="20.100000000000001" customHeight="1">
      <c r="A10" s="15">
        <v>7</v>
      </c>
      <c r="B10" s="16">
        <f>'[10]Dia 1 (b)'!$X16</f>
        <v>11.697485040548903</v>
      </c>
      <c r="C10" s="16">
        <f>'[10]Dia 2 (b)'!$X16</f>
        <v>12.810720618066423</v>
      </c>
      <c r="D10" s="16">
        <f>'[10]Dia 3 (b)'!$X16</f>
        <v>12.853627890649808</v>
      </c>
      <c r="E10" s="16">
        <f>'[10]Dia 4 (b)'!$X16</f>
        <v>11.085064835730371</v>
      </c>
      <c r="F10" s="16">
        <f>'[10]Dia 5 (b)'!$X16</f>
        <v>11.097878737489188</v>
      </c>
      <c r="G10" s="16">
        <f>'[10]Dia 6 (b)'!$X16</f>
        <v>10.525130582641353</v>
      </c>
      <c r="H10" s="16">
        <f>'[10]Dia 7 (b)'!$X16</f>
        <v>10.096878269986222</v>
      </c>
      <c r="I10" s="16">
        <f>'[10]Dia 8 (b)'!$X16</f>
        <v>11.219762080869561</v>
      </c>
      <c r="J10" s="16">
        <f>'[10]Dia 9 (b)'!$X16</f>
        <v>11.892184953589847</v>
      </c>
      <c r="K10" s="16">
        <f>'[10]Dia 10 (b)'!$X16</f>
        <v>13.107691323593855</v>
      </c>
      <c r="L10" s="16">
        <f>'[10]Dia 11 (b)'!$X16</f>
        <v>14.101462593238141</v>
      </c>
      <c r="M10" s="16">
        <f>'[10]Dia 12 (b)'!$X16</f>
        <v>14.33590209934558</v>
      </c>
      <c r="N10" s="16">
        <f>'[10]Dia 13 (b)'!$X16</f>
        <v>11.405165322438007</v>
      </c>
      <c r="O10" s="16">
        <f>'[10]Dia 14 (b)'!$X16</f>
        <v>12.134532254288517</v>
      </c>
      <c r="P10" s="16">
        <f>'[10]Dia 15 (b)'!$X16</f>
        <v>10.803968047962842</v>
      </c>
      <c r="Q10" s="16">
        <f>'[10]Dia 16 (b)'!$X16</f>
        <v>12.333247059642092</v>
      </c>
      <c r="R10" s="16">
        <f>'[10]Dia 17 (b)'!$X16</f>
        <v>11.625348350152366</v>
      </c>
      <c r="S10" s="16">
        <f>'[10]Dia 18 (b)'!$X16</f>
        <v>11.708374758154511</v>
      </c>
      <c r="T10" s="16">
        <f>'[10]Dia 19 (b)'!$X16</f>
        <v>12.22114988172531</v>
      </c>
      <c r="U10" s="16">
        <f>'[10]Dia 20 (b)'!$X16</f>
        <v>11.762780059625687</v>
      </c>
      <c r="V10" s="16">
        <f>'[10]Dia 21 (b)'!$X16</f>
        <v>12.709246882819702</v>
      </c>
      <c r="W10" s="16">
        <f>'[10]Dia 22 (b)'!$X16</f>
        <v>15.177032414974734</v>
      </c>
      <c r="X10" s="16">
        <f>'[10]Dia 23 (b)'!$X16</f>
        <v>16.566252077421783</v>
      </c>
      <c r="Y10" s="16">
        <f>'[10]Dia 24 (b)'!$X16</f>
        <v>15.741079441629308</v>
      </c>
      <c r="Z10" s="16">
        <f>'[10]Dia 25 (b)'!$X16</f>
        <v>14.800024068258288</v>
      </c>
      <c r="AA10" s="16">
        <f>'[10]Dia 26 (b)'!$X16</f>
        <v>15.916394792651287</v>
      </c>
      <c r="AB10" s="16">
        <f>'[10]Dia 27 (b)'!$X16</f>
        <v>10.951182099984997</v>
      </c>
      <c r="AC10" s="16">
        <f>'[10]Dia 28 (b)'!$X16</f>
        <v>11.992333337593593</v>
      </c>
      <c r="AD10" s="16">
        <f>'[10]Dia 29 (b)'!$X16</f>
        <v>13.04801032963851</v>
      </c>
      <c r="AE10" s="16">
        <f>'[10]Dia 30 (b)'!$X16</f>
        <v>12.515056565427527</v>
      </c>
      <c r="AF10" s="16">
        <f>'[10]Dia 31 (b)'!$X16</f>
        <v>10.343647800852017</v>
      </c>
    </row>
    <row r="11" spans="1:32" ht="20.100000000000001" customHeight="1">
      <c r="A11" s="15">
        <v>8</v>
      </c>
      <c r="B11" s="16">
        <f>'[10]Dia 1 (b)'!$X17</f>
        <v>11.236634834002132</v>
      </c>
      <c r="C11" s="16">
        <f>'[10]Dia 2 (b)'!$X17</f>
        <v>10.992119255379894</v>
      </c>
      <c r="D11" s="16">
        <f>'[10]Dia 3 (b)'!$X17</f>
        <v>13.151397712351452</v>
      </c>
      <c r="E11" s="16">
        <f>'[10]Dia 4 (b)'!$X17</f>
        <v>10.842821752752185</v>
      </c>
      <c r="F11" s="16">
        <f>'[10]Dia 5 (b)'!$X17</f>
        <v>10.676970807083688</v>
      </c>
      <c r="G11" s="16">
        <f>'[10]Dia 6 (b)'!$X17</f>
        <v>10.408003360106731</v>
      </c>
      <c r="H11" s="16">
        <f>'[10]Dia 7 (b)'!$X17</f>
        <v>10.010886126942951</v>
      </c>
      <c r="I11" s="16">
        <f>'[10]Dia 8 (b)'!$X17</f>
        <v>10.983307428866089</v>
      </c>
      <c r="J11" s="16">
        <f>'[10]Dia 9 (b)'!$X17</f>
        <v>11.81062305792439</v>
      </c>
      <c r="K11" s="16">
        <f>'[10]Dia 10 (b)'!$X17</f>
        <v>13.065782414196937</v>
      </c>
      <c r="L11" s="16">
        <f>'[10]Dia 11 (b)'!$X17</f>
        <v>14.991612502787271</v>
      </c>
      <c r="M11" s="16">
        <f>'[10]Dia 12 (b)'!$X17</f>
        <v>13.585400990835153</v>
      </c>
      <c r="N11" s="16">
        <f>'[10]Dia 13 (b)'!$X17</f>
        <v>11.976024914729662</v>
      </c>
      <c r="O11" s="16">
        <f>'[10]Dia 14 (b)'!$X17</f>
        <v>12.163590212395581</v>
      </c>
      <c r="P11" s="16">
        <f>'[10]Dia 15 (b)'!$X17</f>
        <v>11.165369108293527</v>
      </c>
      <c r="Q11" s="16">
        <f>'[10]Dia 16 (b)'!$X17</f>
        <v>12.584561538006836</v>
      </c>
      <c r="R11" s="16">
        <f>'[10]Dia 17 (b)'!$X17</f>
        <v>11.685047091558927</v>
      </c>
      <c r="S11" s="16">
        <f>'[10]Dia 18 (b)'!$X17</f>
        <v>11.783645335294779</v>
      </c>
      <c r="T11" s="16">
        <f>'[10]Dia 19 (b)'!$X17</f>
        <v>12.497431928564607</v>
      </c>
      <c r="U11" s="16">
        <f>'[10]Dia 20 (b)'!$X17</f>
        <v>11.944193645479716</v>
      </c>
      <c r="V11" s="16">
        <f>'[10]Dia 21 (b)'!$X17</f>
        <v>12.582650007785764</v>
      </c>
      <c r="W11" s="16">
        <f>'[10]Dia 22 (b)'!$X17</f>
        <v>15.077138162937262</v>
      </c>
      <c r="X11" s="16">
        <f>'[10]Dia 23 (b)'!$X17</f>
        <v>16.055134784625043</v>
      </c>
      <c r="Y11" s="16">
        <f>'[10]Dia 24 (b)'!$X17</f>
        <v>14.830839806785502</v>
      </c>
      <c r="Z11" s="16">
        <f>'[10]Dia 25 (b)'!$X17</f>
        <v>14.497152041785013</v>
      </c>
      <c r="AA11" s="16">
        <f>'[10]Dia 26 (b)'!$X17</f>
        <v>16.218027491895153</v>
      </c>
      <c r="AB11" s="16">
        <f>'[10]Dia 27 (b)'!$X17</f>
        <v>11.551606414903615</v>
      </c>
      <c r="AC11" s="16">
        <f>'[10]Dia 28 (b)'!$X17</f>
        <v>12.136954099943997</v>
      </c>
      <c r="AD11" s="16">
        <f>'[10]Dia 29 (b)'!$X17</f>
        <v>13.130432164847317</v>
      </c>
      <c r="AE11" s="16">
        <f>'[10]Dia 30 (b)'!$X17</f>
        <v>12.554682573245193</v>
      </c>
      <c r="AF11" s="16">
        <f>'[10]Dia 31 (b)'!$X17</f>
        <v>10.837356151561822</v>
      </c>
    </row>
    <row r="12" spans="1:32" ht="20.100000000000001" customHeight="1">
      <c r="A12" s="15">
        <v>9</v>
      </c>
      <c r="B12" s="16">
        <f>'[10]Dia 1 (b)'!$X18</f>
        <v>11.227744905067304</v>
      </c>
      <c r="C12" s="16">
        <f>'[10]Dia 2 (b)'!$X18</f>
        <v>9.8037820205538981</v>
      </c>
      <c r="D12" s="16">
        <f>'[10]Dia 3 (b)'!$X18</f>
        <v>13.69795291016502</v>
      </c>
      <c r="E12" s="16">
        <f>'[10]Dia 4 (b)'!$X18</f>
        <v>10.680592874369124</v>
      </c>
      <c r="F12" s="16">
        <f>'[10]Dia 5 (b)'!$X18</f>
        <v>10.355846633953455</v>
      </c>
      <c r="G12" s="16">
        <f>'[10]Dia 6 (b)'!$X18</f>
        <v>10.595030175348269</v>
      </c>
      <c r="H12" s="16">
        <f>'[10]Dia 7 (b)'!$X18</f>
        <v>10.041181975858471</v>
      </c>
      <c r="I12" s="16">
        <f>'[10]Dia 8 (b)'!$X18</f>
        <v>10.83876539344401</v>
      </c>
      <c r="J12" s="16">
        <f>'[10]Dia 9 (b)'!$X18</f>
        <v>12.175338330317937</v>
      </c>
      <c r="K12" s="16">
        <f>'[10]Dia 10 (b)'!$X18</f>
        <v>12.94280380194505</v>
      </c>
      <c r="L12" s="16">
        <f>'[10]Dia 11 (b)'!$X18</f>
        <v>14.918672025407004</v>
      </c>
      <c r="M12" s="16">
        <f>'[10]Dia 12 (b)'!$X18</f>
        <v>13.552145194396564</v>
      </c>
      <c r="N12" s="16">
        <f>'[10]Dia 13 (b)'!$X18</f>
        <v>11.661894039918097</v>
      </c>
      <c r="O12" s="16">
        <f>'[10]Dia 14 (b)'!$X18</f>
        <v>12.362966710817345</v>
      </c>
      <c r="P12" s="16">
        <f>'[10]Dia 15 (b)'!$X18</f>
        <v>10.567875473859585</v>
      </c>
      <c r="Q12" s="16">
        <f>'[10]Dia 16 (b)'!$X18</f>
        <v>12.881743009418299</v>
      </c>
      <c r="R12" s="16">
        <f>'[10]Dia 17 (b)'!$X18</f>
        <v>10.512268393971405</v>
      </c>
      <c r="S12" s="16">
        <f>'[10]Dia 18 (b)'!$X18</f>
        <v>11.996535324086063</v>
      </c>
      <c r="T12" s="16">
        <f>'[10]Dia 19 (b)'!$X18</f>
        <v>12.869258032371826</v>
      </c>
      <c r="U12" s="16">
        <f>'[10]Dia 20 (b)'!$X18</f>
        <v>11.850101721541721</v>
      </c>
      <c r="V12" s="16">
        <f>'[10]Dia 21 (b)'!$X18</f>
        <v>13.086812734769536</v>
      </c>
      <c r="W12" s="16">
        <f>'[10]Dia 22 (b)'!$X18</f>
        <v>14.814619682789395</v>
      </c>
      <c r="X12" s="16">
        <f>'[10]Dia 23 (b)'!$X18</f>
        <v>16.112167780676241</v>
      </c>
      <c r="Y12" s="16">
        <f>'[10]Dia 24 (b)'!$X18</f>
        <v>14.53421133517374</v>
      </c>
      <c r="Z12" s="16">
        <f>'[10]Dia 25 (b)'!$X18</f>
        <v>14.88222700798711</v>
      </c>
      <c r="AA12" s="16">
        <f>'[10]Dia 26 (b)'!$X18</f>
        <v>16.69568150804464</v>
      </c>
      <c r="AB12" s="16">
        <f>'[10]Dia 27 (b)'!$X18</f>
        <v>11.579402765563676</v>
      </c>
      <c r="AC12" s="16">
        <f>'[10]Dia 28 (b)'!$X18</f>
        <v>12.007304544859441</v>
      </c>
      <c r="AD12" s="16">
        <f>'[10]Dia 29 (b)'!$X18</f>
        <v>13.130925414688919</v>
      </c>
      <c r="AE12" s="16">
        <f>'[10]Dia 30 (b)'!$X18</f>
        <v>12.748332028050488</v>
      </c>
      <c r="AF12" s="16">
        <f>'[10]Dia 31 (b)'!$X18</f>
        <v>10.540024026380745</v>
      </c>
    </row>
    <row r="13" spans="1:32" ht="20.100000000000001" customHeight="1">
      <c r="A13" s="15">
        <v>10</v>
      </c>
      <c r="B13" s="16">
        <f>'[10]Dia 1 (b)'!$X19</f>
        <v>11.576724511575843</v>
      </c>
      <c r="C13" s="16">
        <f>'[10]Dia 2 (b)'!$X19</f>
        <v>8.6272672611916832</v>
      </c>
      <c r="D13" s="16">
        <f>'[10]Dia 3 (b)'!$X19</f>
        <v>13.256804046950313</v>
      </c>
      <c r="E13" s="16">
        <f>'[10]Dia 4 (b)'!$X19</f>
        <v>11.005069091755152</v>
      </c>
      <c r="F13" s="16">
        <f>'[10]Dia 5 (b)'!$X19</f>
        <v>10.454917797609641</v>
      </c>
      <c r="G13" s="16">
        <f>'[10]Dia 6 (b)'!$X19</f>
        <v>10.878057798217064</v>
      </c>
      <c r="H13" s="16">
        <f>'[10]Dia 7 (b)'!$X19</f>
        <v>9.4641935879007804</v>
      </c>
      <c r="I13" s="16">
        <f>'[10]Dia 8 (b)'!$X19</f>
        <v>11.237147469638899</v>
      </c>
      <c r="J13" s="16">
        <f>'[10]Dia 9 (b)'!$X19</f>
        <v>12.454597856414054</v>
      </c>
      <c r="K13" s="16">
        <f>'[10]Dia 10 (b)'!$X19</f>
        <v>13.402777357371598</v>
      </c>
      <c r="L13" s="16">
        <f>'[10]Dia 11 (b)'!$X19</f>
        <v>15.082244176340705</v>
      </c>
      <c r="M13" s="16">
        <f>'[10]Dia 12 (b)'!$X19</f>
        <v>12.968541139402237</v>
      </c>
      <c r="N13" s="16">
        <f>'[10]Dia 13 (b)'!$X19</f>
        <v>11.366817708537837</v>
      </c>
      <c r="O13" s="16">
        <f>'[10]Dia 14 (b)'!$X19</f>
        <v>12.157747087099359</v>
      </c>
      <c r="P13" s="16">
        <f>'[10]Dia 15 (b)'!$X19</f>
        <v>11.222814050965189</v>
      </c>
      <c r="Q13" s="16">
        <f>'[10]Dia 16 (b)'!$X19</f>
        <v>13.447527785713579</v>
      </c>
      <c r="R13" s="16">
        <f>'[10]Dia 17 (b)'!$X19</f>
        <v>11.075964580001267</v>
      </c>
      <c r="S13" s="16">
        <f>'[10]Dia 18 (b)'!$X19</f>
        <v>12.250802185545073</v>
      </c>
      <c r="T13" s="16">
        <f>'[10]Dia 19 (b)'!$X19</f>
        <v>13.0746409098693</v>
      </c>
      <c r="U13" s="16">
        <f>'[10]Dia 20 (b)'!$X19</f>
        <v>12.084057067157996</v>
      </c>
      <c r="V13" s="16">
        <f>'[10]Dia 21 (b)'!$X19</f>
        <v>12.748444117790255</v>
      </c>
      <c r="W13" s="16">
        <f>'[10]Dia 22 (b)'!$X19</f>
        <v>14.508183018060747</v>
      </c>
      <c r="X13" s="16">
        <f>'[10]Dia 23 (b)'!$X19</f>
        <v>15.79507366373948</v>
      </c>
      <c r="Y13" s="16">
        <f>'[10]Dia 24 (b)'!$X19</f>
        <v>14.829102020529275</v>
      </c>
      <c r="Z13" s="16">
        <f>'[10]Dia 25 (b)'!$X19</f>
        <v>15.317404847362306</v>
      </c>
      <c r="AA13" s="16">
        <f>'[10]Dia 26 (b)'!$X19</f>
        <v>16.976564298703629</v>
      </c>
      <c r="AB13" s="16">
        <f>'[10]Dia 27 (b)'!$X19</f>
        <v>11.686771520926344</v>
      </c>
      <c r="AC13" s="16">
        <f>'[10]Dia 28 (b)'!$X19</f>
        <v>11.836799016929961</v>
      </c>
      <c r="AD13" s="16">
        <f>'[10]Dia 29 (b)'!$X19</f>
        <v>13.483103977243424</v>
      </c>
      <c r="AE13" s="16">
        <f>'[10]Dia 30 (b)'!$X19</f>
        <v>12.893342363893385</v>
      </c>
      <c r="AF13" s="16">
        <f>'[10]Dia 31 (b)'!$X19</f>
        <v>10.78858053982767</v>
      </c>
    </row>
    <row r="14" spans="1:32" ht="20.100000000000001" customHeight="1">
      <c r="A14" s="15">
        <v>11</v>
      </c>
      <c r="B14" s="16">
        <f>'[10]Dia 1 (b)'!$X20</f>
        <v>10.295913677051058</v>
      </c>
      <c r="C14" s="16">
        <f>'[10]Dia 2 (b)'!$X20</f>
        <v>9.2536805223872634</v>
      </c>
      <c r="D14" s="16">
        <f>'[10]Dia 3 (b)'!$X20</f>
        <v>13.888261456578583</v>
      </c>
      <c r="E14" s="16">
        <f>'[10]Dia 4 (b)'!$X20</f>
        <v>11.003231152299787</v>
      </c>
      <c r="F14" s="16">
        <f>'[10]Dia 5 (b)'!$X20</f>
        <v>11.139309000973228</v>
      </c>
      <c r="G14" s="16">
        <f>'[10]Dia 6 (b)'!$X20</f>
        <v>10.255534904616642</v>
      </c>
      <c r="H14" s="16">
        <f>'[10]Dia 7 (b)'!$X20</f>
        <v>9.5599494356020802</v>
      </c>
      <c r="I14" s="16">
        <f>'[10]Dia 8 (b)'!$X20</f>
        <v>11.104371053457262</v>
      </c>
      <c r="J14" s="16">
        <f>'[10]Dia 9 (b)'!$X20</f>
        <v>12.580356147094941</v>
      </c>
      <c r="K14" s="16">
        <f>'[10]Dia 10 (b)'!$X20</f>
        <v>12.726104778542707</v>
      </c>
      <c r="L14" s="16">
        <f>'[10]Dia 11 (b)'!$X20</f>
        <v>15.492994178823736</v>
      </c>
      <c r="M14" s="16">
        <f>'[10]Dia 12 (b)'!$X20</f>
        <v>12.49506584617861</v>
      </c>
      <c r="N14" s="16">
        <f>'[10]Dia 13 (b)'!$X20</f>
        <v>11.416520183604815</v>
      </c>
      <c r="O14" s="16">
        <f>'[10]Dia 14 (b)'!$X20</f>
        <v>12.421109816752871</v>
      </c>
      <c r="P14" s="16">
        <f>'[10]Dia 15 (b)'!$X20</f>
        <v>10.951318902391998</v>
      </c>
      <c r="Q14" s="16">
        <f>'[10]Dia 16 (b)'!$X20</f>
        <v>13.402751842566596</v>
      </c>
      <c r="R14" s="16">
        <f>'[10]Dia 17 (b)'!$X20</f>
        <v>12.167804708728044</v>
      </c>
      <c r="S14" s="16">
        <f>'[10]Dia 18 (b)'!$X20</f>
        <v>13.357187274444483</v>
      </c>
      <c r="T14" s="16">
        <f>'[10]Dia 19 (b)'!$X20</f>
        <v>12.784177614247039</v>
      </c>
      <c r="U14" s="16">
        <f>'[10]Dia 20 (b)'!$X20</f>
        <v>12.240126280144249</v>
      </c>
      <c r="V14" s="16">
        <f>'[10]Dia 21 (b)'!$X20</f>
        <v>14.285828014642442</v>
      </c>
      <c r="W14" s="16">
        <f>'[10]Dia 22 (b)'!$X20</f>
        <v>13.991762636781873</v>
      </c>
      <c r="X14" s="16">
        <f>'[10]Dia 23 (b)'!$X20</f>
        <v>15.785128868552503</v>
      </c>
      <c r="Y14" s="16">
        <f>'[10]Dia 24 (b)'!$X20</f>
        <v>14.905973654107108</v>
      </c>
      <c r="Z14" s="16">
        <f>'[10]Dia 25 (b)'!$X20</f>
        <v>14.546890153062165</v>
      </c>
      <c r="AA14" s="16">
        <f>'[10]Dia 26 (b)'!$X20</f>
        <v>15.338944226793775</v>
      </c>
      <c r="AB14" s="16">
        <f>'[10]Dia 27 (b)'!$X20</f>
        <v>11.359682567657089</v>
      </c>
      <c r="AC14" s="16">
        <f>'[10]Dia 28 (b)'!$X20</f>
        <v>12.047248672740587</v>
      </c>
      <c r="AD14" s="16">
        <f>'[10]Dia 29 (b)'!$X20</f>
        <v>13.066098997326145</v>
      </c>
      <c r="AE14" s="16">
        <f>'[10]Dia 30 (b)'!$X20</f>
        <v>12.39004373498066</v>
      </c>
      <c r="AF14" s="16">
        <f>'[10]Dia 31 (b)'!$X20</f>
        <v>10.667941476293674</v>
      </c>
    </row>
    <row r="15" spans="1:32" ht="20.100000000000001" customHeight="1">
      <c r="A15" s="15">
        <v>12</v>
      </c>
      <c r="B15" s="16">
        <f>'[10]Dia 1 (b)'!$X21</f>
        <v>9.4381290047700812</v>
      </c>
      <c r="C15" s="16">
        <f>'[10]Dia 2 (b)'!$X21</f>
        <v>9.1145936981671749</v>
      </c>
      <c r="D15" s="16">
        <f>'[10]Dia 3 (b)'!$X21</f>
        <v>13.194920626390589</v>
      </c>
      <c r="E15" s="16">
        <f>'[10]Dia 4 (b)'!$X21</f>
        <v>10.998956520200458</v>
      </c>
      <c r="F15" s="16">
        <f>'[10]Dia 5 (b)'!$X21</f>
        <v>11.229491500585686</v>
      </c>
      <c r="G15" s="16">
        <f>'[10]Dia 6 (b)'!$X21</f>
        <v>10.636808569152375</v>
      </c>
      <c r="H15" s="16">
        <f>'[10]Dia 7 (b)'!$X21</f>
        <v>8.7379838826291554</v>
      </c>
      <c r="I15" s="16">
        <f>'[10]Dia 8 (b)'!$X21</f>
        <v>11.381666580744712</v>
      </c>
      <c r="J15" s="16">
        <f>'[10]Dia 9 (b)'!$X21</f>
        <v>12.838896006450616</v>
      </c>
      <c r="K15" s="16">
        <f>'[10]Dia 10 (b)'!$X21</f>
        <v>13.009859974004272</v>
      </c>
      <c r="L15" s="16">
        <f>'[10]Dia 11 (b)'!$X21</f>
        <v>14.252128915906715</v>
      </c>
      <c r="M15" s="16">
        <f>'[10]Dia 12 (b)'!$X21</f>
        <v>12.512632661195735</v>
      </c>
      <c r="N15" s="16">
        <f>'[10]Dia 13 (b)'!$X21</f>
        <v>12.44953590221157</v>
      </c>
      <c r="O15" s="16">
        <f>'[10]Dia 14 (b)'!$X21</f>
        <v>12.526208329145511</v>
      </c>
      <c r="P15" s="16">
        <f>'[10]Dia 15 (b)'!$X21</f>
        <v>10.800695336872026</v>
      </c>
      <c r="Q15" s="16">
        <f>'[10]Dia 16 (b)'!$X21</f>
        <v>12.622936847357048</v>
      </c>
      <c r="R15" s="16">
        <f>'[10]Dia 17 (b)'!$X21</f>
        <v>11.924706621037354</v>
      </c>
      <c r="S15" s="16">
        <f>'[10]Dia 18 (b)'!$X21</f>
        <v>13.598472890443848</v>
      </c>
      <c r="T15" s="16">
        <f>'[10]Dia 19 (b)'!$X21</f>
        <v>12.413635439995113</v>
      </c>
      <c r="U15" s="16">
        <f>'[10]Dia 20 (b)'!$X21</f>
        <v>12.533249272706762</v>
      </c>
      <c r="V15" s="16">
        <f>'[10]Dia 21 (b)'!$X21</f>
        <v>14.359822608908203</v>
      </c>
      <c r="W15" s="16">
        <f>'[10]Dia 22 (b)'!$X21</f>
        <v>13.733732162646433</v>
      </c>
      <c r="X15" s="16">
        <f>'[10]Dia 23 (b)'!$X21</f>
        <v>16.405419408850793</v>
      </c>
      <c r="Y15" s="16">
        <f>'[10]Dia 24 (b)'!$X21</f>
        <v>14.314731783093995</v>
      </c>
      <c r="Z15" s="16">
        <f>'[10]Dia 25 (b)'!$X21</f>
        <v>14.82039542501308</v>
      </c>
      <c r="AA15" s="16">
        <f>'[10]Dia 26 (b)'!$X21</f>
        <v>15.522238839869788</v>
      </c>
      <c r="AB15" s="16">
        <f>'[10]Dia 27 (b)'!$X21</f>
        <v>11.483217278811834</v>
      </c>
      <c r="AC15" s="16">
        <f>'[10]Dia 28 (b)'!$X21</f>
        <v>12.144808813862745</v>
      </c>
      <c r="AD15" s="16">
        <f>'[10]Dia 29 (b)'!$X21</f>
        <v>13.250422390235443</v>
      </c>
      <c r="AE15" s="16">
        <f>'[10]Dia 30 (b)'!$X21</f>
        <v>11.921697414733606</v>
      </c>
      <c r="AF15" s="16">
        <f>'[10]Dia 31 (b)'!$X21</f>
        <v>12.277198615168192</v>
      </c>
    </row>
    <row r="16" spans="1:32" ht="20.100000000000001" customHeight="1">
      <c r="A16" s="15">
        <v>13</v>
      </c>
      <c r="B16" s="16">
        <f>'[10]Dia 1 (b)'!$X22</f>
        <v>10.281588738576881</v>
      </c>
      <c r="C16" s="16">
        <f>'[10]Dia 2 (b)'!$X22</f>
        <v>8.4557585752006119</v>
      </c>
      <c r="D16" s="16">
        <f>'[10]Dia 3 (b)'!$X22</f>
        <v>12.634279122981324</v>
      </c>
      <c r="E16" s="16">
        <f>'[10]Dia 4 (b)'!$X22</f>
        <v>10.845449712181674</v>
      </c>
      <c r="F16" s="16">
        <f>'[10]Dia 5 (b)'!$X22</f>
        <v>11.2122055022058</v>
      </c>
      <c r="G16" s="16">
        <f>'[10]Dia 6 (b)'!$X22</f>
        <v>11.680708251015613</v>
      </c>
      <c r="H16" s="16">
        <f>'[10]Dia 7 (b)'!$X22</f>
        <v>10.76306800831342</v>
      </c>
      <c r="I16" s="16">
        <f>'[10]Dia 8 (b)'!$X22</f>
        <v>10.870151104429581</v>
      </c>
      <c r="J16" s="16">
        <f>'[10]Dia 9 (b)'!$X22</f>
        <v>12.879713163476419</v>
      </c>
      <c r="K16" s="16">
        <f>'[10]Dia 10 (b)'!$X22</f>
        <v>12.750947146397172</v>
      </c>
      <c r="L16" s="16">
        <f>'[10]Dia 11 (b)'!$X22</f>
        <v>14.699986653185702</v>
      </c>
      <c r="M16" s="16">
        <f>'[10]Dia 12 (b)'!$X22</f>
        <v>11.729765118412791</v>
      </c>
      <c r="N16" s="16">
        <f>'[10]Dia 13 (b)'!$X22</f>
        <v>12.464656514272942</v>
      </c>
      <c r="O16" s="16">
        <f>'[10]Dia 14 (b)'!$X22</f>
        <v>12.663722068454508</v>
      </c>
      <c r="P16" s="16">
        <f>'[10]Dia 15 (b)'!$X22</f>
        <v>12.93755600600122</v>
      </c>
      <c r="Q16" s="16">
        <f>'[10]Dia 16 (b)'!$X22</f>
        <v>13.415213923764247</v>
      </c>
      <c r="R16" s="16">
        <f>'[10]Dia 17 (b)'!$X22</f>
        <v>12.380717769254888</v>
      </c>
      <c r="S16" s="16">
        <f>'[10]Dia 18 (b)'!$X22</f>
        <v>13.608004373428454</v>
      </c>
      <c r="T16" s="16">
        <f>'[10]Dia 19 (b)'!$X22</f>
        <v>12.103086813590446</v>
      </c>
      <c r="U16" s="16">
        <f>'[10]Dia 20 (b)'!$X22</f>
        <v>12.581091258068884</v>
      </c>
      <c r="V16" s="16">
        <f>'[10]Dia 21 (b)'!$X22</f>
        <v>14.511778682396722</v>
      </c>
      <c r="W16" s="16">
        <f>'[10]Dia 22 (b)'!$X22</f>
        <v>13.876389645412912</v>
      </c>
      <c r="X16" s="16">
        <f>'[10]Dia 23 (b)'!$X22</f>
        <v>15.947168230796589</v>
      </c>
      <c r="Y16" s="16">
        <f>'[10]Dia 24 (b)'!$X22</f>
        <v>15.47714781373433</v>
      </c>
      <c r="Z16" s="16">
        <f>'[10]Dia 25 (b)'!$X22</f>
        <v>14.25606046475629</v>
      </c>
      <c r="AA16" s="16">
        <f>'[10]Dia 26 (b)'!$X22</f>
        <v>14.68439970759823</v>
      </c>
      <c r="AB16" s="16">
        <f>'[10]Dia 27 (b)'!$X22</f>
        <v>11.421027567875669</v>
      </c>
      <c r="AC16" s="16">
        <f>'[10]Dia 28 (b)'!$X22</f>
        <v>12.834911608946653</v>
      </c>
      <c r="AD16" s="16">
        <f>'[10]Dia 29 (b)'!$X22</f>
        <v>13.353169130495013</v>
      </c>
      <c r="AE16" s="16">
        <f>'[10]Dia 30 (b)'!$X22</f>
        <v>11.927823391378663</v>
      </c>
      <c r="AF16" s="16">
        <f>'[10]Dia 31 (b)'!$X22</f>
        <v>12.410951811386441</v>
      </c>
    </row>
    <row r="17" spans="1:32" ht="20.100000000000001" customHeight="1">
      <c r="A17" s="15">
        <v>14</v>
      </c>
      <c r="B17" s="16">
        <f>'[10]Dia 1 (b)'!$X23</f>
        <v>9.2025876692931146</v>
      </c>
      <c r="C17" s="16">
        <f>'[10]Dia 2 (b)'!$X23</f>
        <v>7.3922187459236479</v>
      </c>
      <c r="D17" s="16">
        <f>'[10]Dia 3 (b)'!$X23</f>
        <v>13.051451895348622</v>
      </c>
      <c r="E17" s="16">
        <f>'[10]Dia 4 (b)'!$X23</f>
        <v>10.827171292606153</v>
      </c>
      <c r="F17" s="16">
        <f>'[10]Dia 5 (b)'!$X23</f>
        <v>11.496584790697069</v>
      </c>
      <c r="G17" s="16">
        <f>'[10]Dia 6 (b)'!$X23</f>
        <v>11.375101907029562</v>
      </c>
      <c r="H17" s="16">
        <f>'[10]Dia 7 (b)'!$X23</f>
        <v>11.198230105613337</v>
      </c>
      <c r="I17" s="16">
        <f>'[10]Dia 8 (b)'!$X23</f>
        <v>12.227084949158391</v>
      </c>
      <c r="J17" s="16">
        <f>'[10]Dia 9 (b)'!$X23</f>
        <v>12.128884348708945</v>
      </c>
      <c r="K17" s="16">
        <f>'[10]Dia 10 (b)'!$X23</f>
        <v>14.05599511125102</v>
      </c>
      <c r="L17" s="16">
        <f>'[10]Dia 11 (b)'!$X23</f>
        <v>15.068084774598471</v>
      </c>
      <c r="M17" s="16">
        <f>'[10]Dia 12 (b)'!$X23</f>
        <v>14.537141833029271</v>
      </c>
      <c r="N17" s="16">
        <f>'[10]Dia 13 (b)'!$X23</f>
        <v>12.309822405006349</v>
      </c>
      <c r="O17" s="16">
        <f>'[10]Dia 14 (b)'!$X23</f>
        <v>12.35834313961052</v>
      </c>
      <c r="P17" s="16">
        <f>'[10]Dia 15 (b)'!$X23</f>
        <v>12.750347146676701</v>
      </c>
      <c r="Q17" s="16">
        <f>'[10]Dia 16 (b)'!$X23</f>
        <v>13.897404295093434</v>
      </c>
      <c r="R17" s="16">
        <f>'[10]Dia 17 (b)'!$X23</f>
        <v>13.195995493207615</v>
      </c>
      <c r="S17" s="16">
        <f>'[10]Dia 18 (b)'!$X23</f>
        <v>13.627834255494731</v>
      </c>
      <c r="T17" s="16">
        <f>'[10]Dia 19 (b)'!$X23</f>
        <v>11.795192502894528</v>
      </c>
      <c r="U17" s="16">
        <f>'[10]Dia 20 (b)'!$X23</f>
        <v>12.921868684432116</v>
      </c>
      <c r="V17" s="16">
        <f>'[10]Dia 21 (b)'!$X23</f>
        <v>14.859854341521554</v>
      </c>
      <c r="W17" s="16">
        <f>'[10]Dia 22 (b)'!$X23</f>
        <v>13.642917807870168</v>
      </c>
      <c r="X17" s="16">
        <f>'[10]Dia 23 (b)'!$X23</f>
        <v>16.7659440080152</v>
      </c>
      <c r="Y17" s="16">
        <f>'[10]Dia 24 (b)'!$X23</f>
        <v>16.126094711361336</v>
      </c>
      <c r="Z17" s="16">
        <f>'[10]Dia 25 (b)'!$X23</f>
        <v>14.555474309546737</v>
      </c>
      <c r="AA17" s="16">
        <f>'[10]Dia 26 (b)'!$X23</f>
        <v>14.402814569582764</v>
      </c>
      <c r="AB17" s="16">
        <f>'[10]Dia 27 (b)'!$X23</f>
        <v>11.639276316272142</v>
      </c>
      <c r="AC17" s="16">
        <f>'[10]Dia 28 (b)'!$X23</f>
        <v>12.912375642477052</v>
      </c>
      <c r="AD17" s="16">
        <f>'[10]Dia 29 (b)'!$X23</f>
        <v>13.173615112493195</v>
      </c>
      <c r="AE17" s="16">
        <f>'[10]Dia 30 (b)'!$X23</f>
        <v>12.484452346665725</v>
      </c>
      <c r="AF17" s="16">
        <f>'[10]Dia 31 (b)'!$X23</f>
        <v>12.038267576957496</v>
      </c>
    </row>
    <row r="18" spans="1:32" ht="20.100000000000001" customHeight="1">
      <c r="A18" s="15">
        <v>15</v>
      </c>
      <c r="B18" s="16">
        <f>'[10]Dia 1 (b)'!$X24</f>
        <v>7.943645109434649</v>
      </c>
      <c r="C18" s="16">
        <f>'[10]Dia 2 (b)'!$X24</f>
        <v>14.28300496296087</v>
      </c>
      <c r="D18" s="16">
        <f>'[10]Dia 3 (b)'!$X24</f>
        <v>12.171479963303957</v>
      </c>
      <c r="E18" s="16">
        <f>'[10]Dia 4 (b)'!$X24</f>
        <v>10.86889045754808</v>
      </c>
      <c r="F18" s="16">
        <f>'[10]Dia 5 (b)'!$X24</f>
        <v>11.596879054615759</v>
      </c>
      <c r="G18" s="16">
        <f>'[10]Dia 6 (b)'!$X24</f>
        <v>11.367470787216327</v>
      </c>
      <c r="H18" s="16">
        <f>'[10]Dia 7 (b)'!$X24</f>
        <v>10.303143643609943</v>
      </c>
      <c r="I18" s="16">
        <f>'[10]Dia 8 (b)'!$X24</f>
        <v>13.905277847220109</v>
      </c>
      <c r="J18" s="16">
        <f>'[10]Dia 9 (b)'!$X24</f>
        <v>12.215859126070706</v>
      </c>
      <c r="K18" s="16">
        <f>'[10]Dia 10 (b)'!$X24</f>
        <v>14.668999950488161</v>
      </c>
      <c r="L18" s="16">
        <f>'[10]Dia 11 (b)'!$X24</f>
        <v>14.502144368597101</v>
      </c>
      <c r="M18" s="16">
        <f>'[10]Dia 12 (b)'!$X24</f>
        <v>14.082805082681739</v>
      </c>
      <c r="N18" s="16">
        <f>'[10]Dia 13 (b)'!$X24</f>
        <v>12.352518476853035</v>
      </c>
      <c r="O18" s="16">
        <f>'[10]Dia 14 (b)'!$X24</f>
        <v>12.206172640983048</v>
      </c>
      <c r="P18" s="16">
        <f>'[10]Dia 15 (b)'!$X24</f>
        <v>13.142420335595641</v>
      </c>
      <c r="Q18" s="16">
        <f>'[10]Dia 16 (b)'!$X24</f>
        <v>14.917849142560422</v>
      </c>
      <c r="R18" s="16">
        <f>'[10]Dia 17 (b)'!$X24</f>
        <v>13.790102249230948</v>
      </c>
      <c r="S18" s="16">
        <f>'[10]Dia 18 (b)'!$X24</f>
        <v>13.367433355875077</v>
      </c>
      <c r="T18" s="16">
        <f>'[10]Dia 19 (b)'!$X24</f>
        <v>11.457585837040803</v>
      </c>
      <c r="U18" s="16">
        <f>'[10]Dia 20 (b)'!$X24</f>
        <v>12.671316929179129</v>
      </c>
      <c r="V18" s="16">
        <f>'[10]Dia 21 (b)'!$X24</f>
        <v>14.605951359507864</v>
      </c>
      <c r="W18" s="16">
        <f>'[10]Dia 22 (b)'!$X24</f>
        <v>16.624040644038438</v>
      </c>
      <c r="X18" s="16">
        <f>'[10]Dia 23 (b)'!$X24</f>
        <v>16.468429228958509</v>
      </c>
      <c r="Y18" s="16">
        <f>'[10]Dia 24 (b)'!$X24</f>
        <v>15.434053106412806</v>
      </c>
      <c r="Z18" s="16">
        <f>'[10]Dia 25 (b)'!$X24</f>
        <v>14.684649484670311</v>
      </c>
      <c r="AA18" s="16">
        <f>'[10]Dia 26 (b)'!$X24</f>
        <v>12.890181340983386</v>
      </c>
      <c r="AB18" s="16">
        <f>'[10]Dia 27 (b)'!$X24</f>
        <v>11.645549356321419</v>
      </c>
      <c r="AC18" s="16">
        <f>'[10]Dia 28 (b)'!$X24</f>
        <v>13.216916274650837</v>
      </c>
      <c r="AD18" s="16">
        <f>'[10]Dia 29 (b)'!$X24</f>
        <v>12.956577243131614</v>
      </c>
      <c r="AE18" s="16">
        <f>'[10]Dia 30 (b)'!$X24</f>
        <v>12.096703009027221</v>
      </c>
      <c r="AF18" s="16">
        <f>'[10]Dia 31 (b)'!$X24</f>
        <v>11.742931139242957</v>
      </c>
    </row>
    <row r="19" spans="1:32" ht="20.100000000000001" customHeight="1">
      <c r="A19" s="15">
        <v>16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</row>
    <row r="20" spans="1:32" ht="20.100000000000001" customHeight="1">
      <c r="A20" s="15">
        <v>17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</row>
    <row r="21" spans="1:32" ht="20.100000000000001" customHeight="1">
      <c r="A21" s="15">
        <v>18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</row>
    <row r="22" spans="1:32" ht="20.100000000000001" customHeight="1">
      <c r="A22" s="15">
        <v>19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</row>
    <row r="23" spans="1:32" ht="20.100000000000001" customHeight="1">
      <c r="A23" s="15">
        <v>20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</row>
    <row r="24" spans="1:32" ht="20.100000000000001" customHeight="1">
      <c r="A24" s="15">
        <v>21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</row>
    <row r="25" spans="1:32" ht="20.100000000000001" customHeight="1">
      <c r="A25" s="15">
        <v>22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</row>
    <row r="26" spans="1:32" ht="20.100000000000001" customHeight="1">
      <c r="A26" s="15">
        <v>23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</row>
    <row r="27" spans="1:32" ht="20.100000000000001" customHeight="1" thickBot="1">
      <c r="A27" s="15">
        <v>24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</row>
    <row r="28" spans="1:32" ht="16.5" thickTop="1">
      <c r="A28" s="17"/>
      <c r="B28" s="84" t="s">
        <v>62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1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2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3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5"/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4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2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5"/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5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2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5"/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1</v>
      </c>
      <c r="I46" s="30"/>
      <c r="J46" s="33"/>
      <c r="K46" s="34" t="s">
        <v>3</v>
      </c>
      <c r="L46" s="33"/>
      <c r="M46" s="33"/>
      <c r="N46" s="34" t="s">
        <v>4</v>
      </c>
      <c r="O46" s="33"/>
      <c r="P46" s="33"/>
      <c r="Q46" s="34" t="s">
        <v>5</v>
      </c>
      <c r="R46" s="30"/>
      <c r="S46" s="30"/>
      <c r="T46" s="33" t="s">
        <v>1</v>
      </c>
      <c r="U46" s="33"/>
      <c r="V46" s="33" t="s">
        <v>1</v>
      </c>
      <c r="W46" s="33"/>
      <c r="X46" s="33" t="s">
        <v>6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7</v>
      </c>
      <c r="I47" s="30"/>
      <c r="J47" s="33"/>
      <c r="K47" s="33" t="s">
        <v>7</v>
      </c>
      <c r="L47" s="33"/>
      <c r="M47" s="33"/>
      <c r="N47" s="33" t="s">
        <v>7</v>
      </c>
      <c r="O47" s="33"/>
      <c r="P47" s="33"/>
      <c r="Q47" s="33" t="s">
        <v>7</v>
      </c>
      <c r="R47" s="30"/>
      <c r="S47" s="30"/>
      <c r="T47" s="33" t="s">
        <v>8</v>
      </c>
      <c r="U47" s="33"/>
      <c r="V47" s="33" t="s">
        <v>9</v>
      </c>
      <c r="W47" s="33"/>
      <c r="X47" s="33" t="s">
        <v>10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/>
      <c r="I49" s="39"/>
      <c r="J49" s="41"/>
      <c r="K49" s="40"/>
      <c r="L49" s="41"/>
      <c r="M49" s="41"/>
      <c r="N49" s="40"/>
      <c r="O49" s="41"/>
      <c r="P49" s="41"/>
      <c r="Q49" s="40"/>
      <c r="R49" s="39"/>
      <c r="S49" s="40"/>
      <c r="T49" s="40"/>
      <c r="U49" s="40"/>
      <c r="V49" s="40"/>
      <c r="W49" s="40"/>
      <c r="X49" s="40"/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AB24" sqref="AB24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'[11]Dia 1 (b)'!C1</f>
        <v>NOVEMBRO DE 2024</v>
      </c>
      <c r="C1" s="3"/>
      <c r="D1" s="4"/>
      <c r="E1" s="5"/>
      <c r="F1" s="2"/>
      <c r="G1" s="3"/>
      <c r="H1" s="3"/>
      <c r="I1" s="3"/>
      <c r="J1" s="3"/>
      <c r="K1" s="3" t="s">
        <v>11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/>
    </row>
    <row r="4" spans="1:32" ht="20.100000000000001" customHeight="1">
      <c r="A4" s="15">
        <v>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</row>
    <row r="5" spans="1:32" ht="20.100000000000001" customHeight="1">
      <c r="A5" s="15">
        <v>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</row>
    <row r="6" spans="1:32" ht="20.100000000000001" customHeight="1">
      <c r="A6" s="15">
        <v>3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</row>
    <row r="7" spans="1:32" ht="20.100000000000001" customHeight="1">
      <c r="A7" s="15">
        <v>4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</row>
    <row r="8" spans="1:32" ht="20.100000000000001" customHeight="1">
      <c r="A8" s="15">
        <v>5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</row>
    <row r="9" spans="1:32" ht="20.100000000000001" customHeight="1">
      <c r="A9" s="15">
        <v>6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</row>
    <row r="10" spans="1:32" ht="20.100000000000001" customHeight="1">
      <c r="A10" s="15">
        <v>7</v>
      </c>
      <c r="B10" s="16">
        <f>'[11]Dia 1 (b)'!$X16</f>
        <v>11.256135844319497</v>
      </c>
      <c r="C10" s="16">
        <f>'[11]Dia 2 (b)'!$X16</f>
        <v>13.628963658847125</v>
      </c>
      <c r="D10" s="16">
        <f>'[11]Dia 3 (b)'!$X16</f>
        <v>15.132015836324516</v>
      </c>
      <c r="E10" s="16">
        <f>'[11]Dia 4 (b)'!$X16</f>
        <v>14.82490350236824</v>
      </c>
      <c r="F10" s="16">
        <f>'[11]Dia 5 (b)'!$X16</f>
        <v>15.042965120992996</v>
      </c>
      <c r="G10" s="16">
        <f>'[11]Dia 6 (b)'!$X16</f>
        <v>16.107880376257814</v>
      </c>
      <c r="H10" s="16">
        <f>'[11]Dia 7 (b)'!$X16</f>
        <v>16.699862803621631</v>
      </c>
      <c r="I10" s="16">
        <f>'[11]Dia 8 (b)'!$X16</f>
        <v>15.600702671300255</v>
      </c>
      <c r="J10" s="16">
        <f>'[11]Dia 9 (b)'!$X16</f>
        <v>12.189809708684692</v>
      </c>
      <c r="K10" s="16">
        <f>'[11]Dia 10 (b)'!$X16</f>
        <v>11.199267347646732</v>
      </c>
      <c r="L10" s="16">
        <f>'[11]Dia 11 (b)'!$X16</f>
        <v>11.27975443260736</v>
      </c>
      <c r="M10" s="16">
        <f>'[11]Dia 12 (b)'!$X16</f>
        <v>12.566172684320371</v>
      </c>
      <c r="N10" s="16">
        <f>'[11]Dia 13 (b)'!$X16</f>
        <v>11.738071307271765</v>
      </c>
      <c r="O10" s="16">
        <f>'[11]Dia 14 (b)'!$X16</f>
        <v>10.90926335260135</v>
      </c>
      <c r="P10" s="16">
        <f>'[11]Dia 15 (b)'!$X16</f>
        <v>12.271435892832944</v>
      </c>
      <c r="Q10" s="16">
        <f>'[11]Dia 16 (b)'!$X16</f>
        <v>14.583868067764362</v>
      </c>
      <c r="R10" s="16">
        <f>'[11]Dia 17 (b)'!$X16</f>
        <v>13.159082301103142</v>
      </c>
      <c r="S10" s="16">
        <f>'[11]Dia 18 (b)'!$X16</f>
        <v>13.731874326473182</v>
      </c>
      <c r="T10" s="16">
        <f>'[11]Dia 19 (b)'!$X16</f>
        <v>12.8401686620918</v>
      </c>
      <c r="U10" s="16">
        <f>'[11]Dia 20 (b)'!$X16</f>
        <v>12.930042498766326</v>
      </c>
      <c r="V10" s="16">
        <f>'[11]Dia 21 (b)'!$X16</f>
        <v>14.34530335569746</v>
      </c>
      <c r="W10" s="16">
        <f>'[11]Dia 22 (b)'!$X16</f>
        <v>13.625850515990098</v>
      </c>
      <c r="X10" s="16">
        <f>'[11]Dia 23 (b)'!$X16</f>
        <v>13.461215927361527</v>
      </c>
      <c r="Y10" s="16">
        <f>'[11]Dia 24 (b)'!$X16</f>
        <v>11.426297923120286</v>
      </c>
      <c r="Z10" s="16">
        <f>'[11]Dia 25 (b)'!$X16</f>
        <v>10.390310064205805</v>
      </c>
      <c r="AA10" s="16">
        <f>'[11]Dia 26 (b)'!$X16</f>
        <v>12.968693754464761</v>
      </c>
      <c r="AB10" s="16">
        <f>'[11]Dia 27 (b)'!$X16</f>
        <v>13.483811216881573</v>
      </c>
      <c r="AC10" s="16">
        <f>'[11]Dia 28 (b)'!$X16</f>
        <v>12.421076247980212</v>
      </c>
      <c r="AD10" s="16">
        <f>'[11]Dia 29 (b)'!$X16</f>
        <v>15.878294195216503</v>
      </c>
      <c r="AE10" s="16">
        <f>'[11]Dia 30 (b)'!$X16</f>
        <v>15.596969229442637</v>
      </c>
      <c r="AF10" s="16"/>
    </row>
    <row r="11" spans="1:32" ht="20.100000000000001" customHeight="1">
      <c r="A11" s="15">
        <v>8</v>
      </c>
      <c r="B11" s="16">
        <f>'[11]Dia 1 (b)'!$X17</f>
        <v>11.413820254285069</v>
      </c>
      <c r="C11" s="16">
        <f>'[11]Dia 2 (b)'!$X17</f>
        <v>13.5187501548596</v>
      </c>
      <c r="D11" s="16">
        <f>'[11]Dia 3 (b)'!$X17</f>
        <v>15.373835671343684</v>
      </c>
      <c r="E11" s="16">
        <f>'[11]Dia 4 (b)'!$X17</f>
        <v>15.100338951092258</v>
      </c>
      <c r="F11" s="16">
        <f>'[11]Dia 5 (b)'!$X17</f>
        <v>14.67407241605139</v>
      </c>
      <c r="G11" s="16">
        <f>'[11]Dia 6 (b)'!$X17</f>
        <v>15.761974740611858</v>
      </c>
      <c r="H11" s="16">
        <f>'[11]Dia 7 (b)'!$X17</f>
        <v>16.783883961722648</v>
      </c>
      <c r="I11" s="16">
        <f>'[11]Dia 8 (b)'!$X17</f>
        <v>16.095181696314214</v>
      </c>
      <c r="J11" s="16">
        <f>'[11]Dia 9 (b)'!$X17</f>
        <v>13.018209631223771</v>
      </c>
      <c r="K11" s="16">
        <f>'[11]Dia 10 (b)'!$X17</f>
        <v>10.795153951543572</v>
      </c>
      <c r="L11" s="16">
        <f>'[11]Dia 11 (b)'!$X17</f>
        <v>11.929642840473198</v>
      </c>
      <c r="M11" s="16">
        <f>'[11]Dia 12 (b)'!$X17</f>
        <v>11.060873675222629</v>
      </c>
      <c r="N11" s="16">
        <f>'[11]Dia 13 (b)'!$X17</f>
        <v>11.041609019862358</v>
      </c>
      <c r="O11" s="16">
        <f>'[11]Dia 14 (b)'!$X17</f>
        <v>11.045740587738621</v>
      </c>
      <c r="P11" s="16">
        <f>'[11]Dia 15 (b)'!$X17</f>
        <v>12.471628584762772</v>
      </c>
      <c r="Q11" s="16">
        <f>'[11]Dia 16 (b)'!$X17</f>
        <v>14.323491423831557</v>
      </c>
      <c r="R11" s="16">
        <f>'[11]Dia 17 (b)'!$X17</f>
        <v>12.826582326643601</v>
      </c>
      <c r="S11" s="16">
        <f>'[11]Dia 18 (b)'!$X17</f>
        <v>13.463706057511564</v>
      </c>
      <c r="T11" s="16">
        <f>'[11]Dia 19 (b)'!$X17</f>
        <v>12.838060726877128</v>
      </c>
      <c r="U11" s="16">
        <f>'[11]Dia 20 (b)'!$X17</f>
        <v>13.505282979796506</v>
      </c>
      <c r="V11" s="16">
        <f>'[11]Dia 21 (b)'!$X17</f>
        <v>14.595552708173178</v>
      </c>
      <c r="W11" s="16">
        <f>'[11]Dia 22 (b)'!$X17</f>
        <v>13.75222366439616</v>
      </c>
      <c r="X11" s="16">
        <f>'[11]Dia 23 (b)'!$X17</f>
        <v>13.540940236006181</v>
      </c>
      <c r="Y11" s="16">
        <f>'[11]Dia 24 (b)'!$X17</f>
        <v>11.43050951431375</v>
      </c>
      <c r="Z11" s="16">
        <f>'[11]Dia 25 (b)'!$X17</f>
        <v>10.542781387636916</v>
      </c>
      <c r="AA11" s="16">
        <f>'[11]Dia 26 (b)'!$X17</f>
        <v>11.784868680600654</v>
      </c>
      <c r="AB11" s="16">
        <f>'[11]Dia 27 (b)'!$X17</f>
        <v>12.189310968031673</v>
      </c>
      <c r="AC11" s="16">
        <f>'[11]Dia 28 (b)'!$X17</f>
        <v>11.497724058487035</v>
      </c>
      <c r="AD11" s="16">
        <f>'[11]Dia 29 (b)'!$X17</f>
        <v>15.564391868970846</v>
      </c>
      <c r="AE11" s="16">
        <f>'[11]Dia 30 (b)'!$X17</f>
        <v>16.097978177560492</v>
      </c>
      <c r="AF11" s="16"/>
    </row>
    <row r="12" spans="1:32" ht="20.100000000000001" customHeight="1">
      <c r="A12" s="15">
        <v>9</v>
      </c>
      <c r="B12" s="16">
        <f>'[11]Dia 1 (b)'!$X18</f>
        <v>11.381104569189302</v>
      </c>
      <c r="C12" s="16">
        <f>'[11]Dia 2 (b)'!$X18</f>
        <v>12.514299279229302</v>
      </c>
      <c r="D12" s="16">
        <f>'[11]Dia 3 (b)'!$X18</f>
        <v>15.595548838415358</v>
      </c>
      <c r="E12" s="16">
        <f>'[11]Dia 4 (b)'!$X18</f>
        <v>15.39385810663552</v>
      </c>
      <c r="F12" s="16">
        <f>'[11]Dia 5 (b)'!$X18</f>
        <v>14.323477901844363</v>
      </c>
      <c r="G12" s="16">
        <f>'[11]Dia 6 (b)'!$X18</f>
        <v>15.837428296344727</v>
      </c>
      <c r="H12" s="16">
        <f>'[11]Dia 7 (b)'!$X18</f>
        <v>15.779506328564398</v>
      </c>
      <c r="I12" s="16">
        <f>'[11]Dia 8 (b)'!$X18</f>
        <v>16.392920007844364</v>
      </c>
      <c r="J12" s="16">
        <f>'[11]Dia 9 (b)'!$X18</f>
        <v>12.391061366934512</v>
      </c>
      <c r="K12" s="16">
        <f>'[11]Dia 10 (b)'!$X18</f>
        <v>10.504967398029912</v>
      </c>
      <c r="L12" s="16">
        <f>'[11]Dia 11 (b)'!$X18</f>
        <v>11.73960259946719</v>
      </c>
      <c r="M12" s="16">
        <f>'[11]Dia 12 (b)'!$X18</f>
        <v>10.16259032737752</v>
      </c>
      <c r="N12" s="16">
        <f>'[11]Dia 13 (b)'!$X18</f>
        <v>10.761350779422578</v>
      </c>
      <c r="O12" s="16">
        <f>'[11]Dia 14 (b)'!$X18</f>
        <v>11.25538614122585</v>
      </c>
      <c r="P12" s="16">
        <f>'[11]Dia 15 (b)'!$X18</f>
        <v>12.86370170921233</v>
      </c>
      <c r="Q12" s="16">
        <f>'[11]Dia 16 (b)'!$X18</f>
        <v>14.228761215085001</v>
      </c>
      <c r="R12" s="16">
        <f>'[11]Dia 17 (b)'!$X18</f>
        <v>12.811956495630911</v>
      </c>
      <c r="S12" s="16">
        <f>'[11]Dia 18 (b)'!$X18</f>
        <v>14.07764937149261</v>
      </c>
      <c r="T12" s="16">
        <f>'[11]Dia 19 (b)'!$X18</f>
        <v>12.923626325468229</v>
      </c>
      <c r="U12" s="16">
        <f>'[11]Dia 20 (b)'!$X18</f>
        <v>13.987135318320114</v>
      </c>
      <c r="V12" s="16">
        <f>'[11]Dia 21 (b)'!$X18</f>
        <v>14.352253854089499</v>
      </c>
      <c r="W12" s="16">
        <f>'[11]Dia 22 (b)'!$X18</f>
        <v>13.617440633141774</v>
      </c>
      <c r="X12" s="16">
        <f>'[11]Dia 23 (b)'!$X18</f>
        <v>13.329939099885483</v>
      </c>
      <c r="Y12" s="16">
        <f>'[11]Dia 24 (b)'!$X18</f>
        <v>10.640089810994544</v>
      </c>
      <c r="Z12" s="16">
        <f>'[11]Dia 25 (b)'!$X18</f>
        <v>10.199061326557356</v>
      </c>
      <c r="AA12" s="16">
        <f>'[11]Dia 26 (b)'!$X18</f>
        <v>11.798105937063383</v>
      </c>
      <c r="AB12" s="16">
        <f>'[11]Dia 27 (b)'!$X18</f>
        <v>10.943654170993211</v>
      </c>
      <c r="AC12" s="16">
        <f>'[11]Dia 28 (b)'!$X18</f>
        <v>12.877555130370331</v>
      </c>
      <c r="AD12" s="16">
        <f>'[11]Dia 29 (b)'!$X18</f>
        <v>14.306993354493464</v>
      </c>
      <c r="AE12" s="16">
        <f>'[11]Dia 30 (b)'!$X18</f>
        <v>16.742117946253934</v>
      </c>
      <c r="AF12" s="16"/>
    </row>
    <row r="13" spans="1:32" ht="20.100000000000001" customHeight="1">
      <c r="A13" s="15">
        <v>10</v>
      </c>
      <c r="B13" s="16">
        <f>'[11]Dia 1 (b)'!$X19</f>
        <v>11.172498617012092</v>
      </c>
      <c r="C13" s="16">
        <f>'[11]Dia 2 (b)'!$X19</f>
        <v>12.609956938306636</v>
      </c>
      <c r="D13" s="16">
        <f>'[11]Dia 3 (b)'!$X19</f>
        <v>15.285873078859304</v>
      </c>
      <c r="E13" s="16">
        <f>'[11]Dia 4 (b)'!$X19</f>
        <v>15.880940901329742</v>
      </c>
      <c r="F13" s="16">
        <f>'[11]Dia 5 (b)'!$X19</f>
        <v>14.93798001748403</v>
      </c>
      <c r="G13" s="16">
        <f>'[11]Dia 6 (b)'!$X19</f>
        <v>16.238188673670287</v>
      </c>
      <c r="H13" s="16">
        <f>'[11]Dia 7 (b)'!$X19</f>
        <v>15.90847314350213</v>
      </c>
      <c r="I13" s="16">
        <f>'[11]Dia 8 (b)'!$X19</f>
        <v>16.429455536084163</v>
      </c>
      <c r="J13" s="16">
        <f>'[11]Dia 9 (b)'!$X19</f>
        <v>12.130645572263662</v>
      </c>
      <c r="K13" s="16">
        <f>'[11]Dia 10 (b)'!$X19</f>
        <v>10.727168930489622</v>
      </c>
      <c r="L13" s="16">
        <f>'[11]Dia 11 (b)'!$X19</f>
        <v>12.566911204939368</v>
      </c>
      <c r="M13" s="16">
        <f>'[11]Dia 12 (b)'!$X19</f>
        <v>10.33381665864953</v>
      </c>
      <c r="N13" s="16">
        <f>'[11]Dia 13 (b)'!$X19</f>
        <v>10.893349734899305</v>
      </c>
      <c r="O13" s="16">
        <f>'[11]Dia 14 (b)'!$X19</f>
        <v>11.484633440452424</v>
      </c>
      <c r="P13" s="16">
        <f>'[11]Dia 15 (b)'!$X19</f>
        <v>12.573401288492208</v>
      </c>
      <c r="Q13" s="16">
        <f>'[11]Dia 16 (b)'!$X19</f>
        <v>14.685813721705314</v>
      </c>
      <c r="R13" s="16">
        <f>'[11]Dia 17 (b)'!$X19</f>
        <v>12.399927366815543</v>
      </c>
      <c r="S13" s="16">
        <f>'[11]Dia 18 (b)'!$X19</f>
        <v>13.32686259078935</v>
      </c>
      <c r="T13" s="16">
        <f>'[11]Dia 19 (b)'!$X19</f>
        <v>12.123877654296356</v>
      </c>
      <c r="U13" s="16">
        <f>'[11]Dia 20 (b)'!$X19</f>
        <v>14.571545352110491</v>
      </c>
      <c r="V13" s="16">
        <f>'[11]Dia 21 (b)'!$X19</f>
        <v>14.735741500811777</v>
      </c>
      <c r="W13" s="16">
        <f>'[11]Dia 22 (b)'!$X19</f>
        <v>13.991521457526678</v>
      </c>
      <c r="X13" s="16">
        <f>'[11]Dia 23 (b)'!$X19</f>
        <v>13.476704258525144</v>
      </c>
      <c r="Y13" s="16">
        <f>'[11]Dia 24 (b)'!$X19</f>
        <v>10.810026633421264</v>
      </c>
      <c r="Z13" s="16">
        <f>'[11]Dia 25 (b)'!$X19</f>
        <v>10.231589902905851</v>
      </c>
      <c r="AA13" s="16">
        <f>'[11]Dia 26 (b)'!$X19</f>
        <v>11.029595711695867</v>
      </c>
      <c r="AB13" s="16">
        <f>'[11]Dia 27 (b)'!$X19</f>
        <v>11.310474767013785</v>
      </c>
      <c r="AC13" s="16">
        <f>'[11]Dia 28 (b)'!$X19</f>
        <v>13.128967044996767</v>
      </c>
      <c r="AD13" s="16">
        <f>'[11]Dia 29 (b)'!$X19</f>
        <v>15.200898340808065</v>
      </c>
      <c r="AE13" s="16">
        <f>'[11]Dia 30 (b)'!$X19</f>
        <v>16.348920244320233</v>
      </c>
      <c r="AF13" s="16"/>
    </row>
    <row r="14" spans="1:32" ht="20.100000000000001" customHeight="1">
      <c r="A14" s="15">
        <v>11</v>
      </c>
      <c r="B14" s="16">
        <f>'[11]Dia 1 (b)'!$X20</f>
        <v>10.866864141733043</v>
      </c>
      <c r="C14" s="16">
        <f>'[11]Dia 2 (b)'!$X20</f>
        <v>13.152476472722718</v>
      </c>
      <c r="D14" s="16">
        <f>'[11]Dia 3 (b)'!$X20</f>
        <v>16.184752172031764</v>
      </c>
      <c r="E14" s="16">
        <f>'[11]Dia 4 (b)'!$X20</f>
        <v>16.085291676973867</v>
      </c>
      <c r="F14" s="16">
        <f>'[11]Dia 5 (b)'!$X20</f>
        <v>14.272302792438053</v>
      </c>
      <c r="G14" s="16">
        <f>'[11]Dia 6 (b)'!$X20</f>
        <v>16.276811841165571</v>
      </c>
      <c r="H14" s="16">
        <f>'[11]Dia 7 (b)'!$X20</f>
        <v>16.253033706872568</v>
      </c>
      <c r="I14" s="16">
        <f>'[11]Dia 8 (b)'!$X20</f>
        <v>16.058814687052948</v>
      </c>
      <c r="J14" s="16">
        <f>'[11]Dia 9 (b)'!$X20</f>
        <v>12.223646391828995</v>
      </c>
      <c r="K14" s="16">
        <f>'[11]Dia 10 (b)'!$X20</f>
        <v>10.812827491100231</v>
      </c>
      <c r="L14" s="16">
        <f>'[11]Dia 11 (b)'!$X20</f>
        <v>11.548341101723642</v>
      </c>
      <c r="M14" s="16">
        <f>'[11]Dia 12 (b)'!$X20</f>
        <v>11.387504115773437</v>
      </c>
      <c r="N14" s="16">
        <f>'[11]Dia 13 (b)'!$X20</f>
        <v>10.910622392977119</v>
      </c>
      <c r="O14" s="16">
        <f>'[11]Dia 14 (b)'!$X20</f>
        <v>11.765342226925922</v>
      </c>
      <c r="P14" s="16">
        <f>'[11]Dia 15 (b)'!$X20</f>
        <v>13.167174962343111</v>
      </c>
      <c r="Q14" s="16">
        <f>'[11]Dia 16 (b)'!$X20</f>
        <v>15.497683377879635</v>
      </c>
      <c r="R14" s="16">
        <f>'[11]Dia 17 (b)'!$X20</f>
        <v>12.569972209636832</v>
      </c>
      <c r="S14" s="16">
        <f>'[11]Dia 18 (b)'!$X20</f>
        <v>12.834689373241131</v>
      </c>
      <c r="T14" s="16">
        <f>'[11]Dia 19 (b)'!$X20</f>
        <v>11.947293336386121</v>
      </c>
      <c r="U14" s="16">
        <f>'[11]Dia 20 (b)'!$X20</f>
        <v>13.842141626838847</v>
      </c>
      <c r="V14" s="16">
        <f>'[11]Dia 21 (b)'!$X20</f>
        <v>14.897786825786536</v>
      </c>
      <c r="W14" s="16">
        <f>'[11]Dia 22 (b)'!$X20</f>
        <v>13.536038736453008</v>
      </c>
      <c r="X14" s="16">
        <f>'[11]Dia 23 (b)'!$X20</f>
        <v>13.263232169442963</v>
      </c>
      <c r="Y14" s="16">
        <f>'[11]Dia 24 (b)'!$X20</f>
        <v>11.52410384858778</v>
      </c>
      <c r="Z14" s="16">
        <f>'[11]Dia 25 (b)'!$X20</f>
        <v>10.54410568250665</v>
      </c>
      <c r="AA14" s="16">
        <f>'[11]Dia 26 (b)'!$X20</f>
        <v>11.445355636169513</v>
      </c>
      <c r="AB14" s="16">
        <f>'[11]Dia 27 (b)'!$X20</f>
        <v>11.848938104782741</v>
      </c>
      <c r="AC14" s="16">
        <f>'[11]Dia 28 (b)'!$X20</f>
        <v>13.005768020036012</v>
      </c>
      <c r="AD14" s="16">
        <f>'[11]Dia 29 (b)'!$X20</f>
        <v>16.046818696732768</v>
      </c>
      <c r="AE14" s="16">
        <f>'[11]Dia 30 (b)'!$X20</f>
        <v>16.139275400389078</v>
      </c>
      <c r="AF14" s="16"/>
    </row>
    <row r="15" spans="1:32" ht="20.100000000000001" customHeight="1">
      <c r="A15" s="15">
        <v>12</v>
      </c>
      <c r="B15" s="16">
        <f>'[11]Dia 1 (b)'!$X21</f>
        <v>11.573544757043461</v>
      </c>
      <c r="C15" s="16">
        <f>'[11]Dia 2 (b)'!$X21</f>
        <v>12.550756497301395</v>
      </c>
      <c r="D15" s="16">
        <f>'[11]Dia 3 (b)'!$X21</f>
        <v>15.953764852278338</v>
      </c>
      <c r="E15" s="16">
        <f>'[11]Dia 4 (b)'!$X21</f>
        <v>15.318736064680644</v>
      </c>
      <c r="F15" s="16">
        <f>'[11]Dia 5 (b)'!$X21</f>
        <v>14.279813984138125</v>
      </c>
      <c r="G15" s="16">
        <f>'[11]Dia 6 (b)'!$X21</f>
        <v>14.801884648015289</v>
      </c>
      <c r="H15" s="16">
        <f>'[11]Dia 7 (b)'!$X21</f>
        <v>16.32197699996869</v>
      </c>
      <c r="I15" s="16">
        <f>'[11]Dia 8 (b)'!$X21</f>
        <v>16.369217184199893</v>
      </c>
      <c r="J15" s="16">
        <f>'[11]Dia 9 (b)'!$X21</f>
        <v>12.742174879480382</v>
      </c>
      <c r="K15" s="16">
        <f>'[11]Dia 10 (b)'!$X21</f>
        <v>11.996488935483255</v>
      </c>
      <c r="L15" s="16">
        <f>'[11]Dia 11 (b)'!$X21</f>
        <v>10.736303103252576</v>
      </c>
      <c r="M15" s="16">
        <f>'[11]Dia 12 (b)'!$X21</f>
        <v>10.494336788545803</v>
      </c>
      <c r="N15" s="16">
        <f>'[11]Dia 13 (b)'!$X21</f>
        <v>10.888054652584373</v>
      </c>
      <c r="O15" s="16">
        <f>'[11]Dia 14 (b)'!$X21</f>
        <v>11.853155908045499</v>
      </c>
      <c r="P15" s="16">
        <f>'[11]Dia 15 (b)'!$X21</f>
        <v>12.854012569659121</v>
      </c>
      <c r="Q15" s="16">
        <f>'[11]Dia 16 (b)'!$X21</f>
        <v>14.840192788304728</v>
      </c>
      <c r="R15" s="16">
        <f>'[11]Dia 17 (b)'!$X21</f>
        <v>12.539647426256849</v>
      </c>
      <c r="S15" s="16">
        <f>'[11]Dia 18 (b)'!$X21</f>
        <v>12.025495257123394</v>
      </c>
      <c r="T15" s="16">
        <f>'[11]Dia 19 (b)'!$X21</f>
        <v>12.47226315408404</v>
      </c>
      <c r="U15" s="16">
        <f>'[11]Dia 20 (b)'!$X21</f>
        <v>13.619921512591127</v>
      </c>
      <c r="V15" s="16">
        <f>'[11]Dia 21 (b)'!$X21</f>
        <v>15.154017158898139</v>
      </c>
      <c r="W15" s="16">
        <f>'[11]Dia 22 (b)'!$X21</f>
        <v>13.736314052682392</v>
      </c>
      <c r="X15" s="16">
        <f>'[11]Dia 23 (b)'!$X21</f>
        <v>12.651856246676928</v>
      </c>
      <c r="Y15" s="16">
        <f>'[11]Dia 24 (b)'!$X21</f>
        <v>11.439109692783381</v>
      </c>
      <c r="Z15" s="16">
        <f>'[11]Dia 25 (b)'!$X21</f>
        <v>9.9566280842469492</v>
      </c>
      <c r="AA15" s="16">
        <f>'[11]Dia 26 (b)'!$X21</f>
        <v>10.712874046700675</v>
      </c>
      <c r="AB15" s="16">
        <f>'[11]Dia 27 (b)'!$X21</f>
        <v>10.979565720638407</v>
      </c>
      <c r="AC15" s="16">
        <f>'[11]Dia 28 (b)'!$X21</f>
        <v>12.486444635013159</v>
      </c>
      <c r="AD15" s="16">
        <f>'[11]Dia 29 (b)'!$X21</f>
        <v>16.342978258443939</v>
      </c>
      <c r="AE15" s="16">
        <f>'[11]Dia 30 (b)'!$X21</f>
        <v>15.959046423983233</v>
      </c>
      <c r="AF15" s="16"/>
    </row>
    <row r="16" spans="1:32" ht="20.100000000000001" customHeight="1">
      <c r="A16" s="15">
        <v>13</v>
      </c>
      <c r="B16" s="16">
        <f>'[11]Dia 1 (b)'!$X22</f>
        <v>11.817246033023247</v>
      </c>
      <c r="C16" s="16">
        <f>'[11]Dia 2 (b)'!$X22</f>
        <v>13.433312934850703</v>
      </c>
      <c r="D16" s="16">
        <f>'[11]Dia 3 (b)'!$X22</f>
        <v>13.832724981027511</v>
      </c>
      <c r="E16" s="16">
        <f>'[11]Dia 4 (b)'!$X22</f>
        <v>15.320146876513999</v>
      </c>
      <c r="F16" s="16">
        <f>'[11]Dia 5 (b)'!$X22</f>
        <v>14.495065212976638</v>
      </c>
      <c r="G16" s="16">
        <f>'[11]Dia 6 (b)'!$X22</f>
        <v>15.15431250446106</v>
      </c>
      <c r="H16" s="16">
        <f>'[11]Dia 7 (b)'!$X22</f>
        <v>15.916290251984389</v>
      </c>
      <c r="I16" s="16">
        <f>'[11]Dia 8 (b)'!$X22</f>
        <v>16.332400179078387</v>
      </c>
      <c r="J16" s="16">
        <f>'[11]Dia 9 (b)'!$X22</f>
        <v>12.64000281061722</v>
      </c>
      <c r="K16" s="16">
        <f>'[11]Dia 10 (b)'!$X22</f>
        <v>11.489752811447051</v>
      </c>
      <c r="L16" s="16">
        <f>'[11]Dia 11 (b)'!$X22</f>
        <v>9.3493061100157906</v>
      </c>
      <c r="M16" s="16">
        <f>'[11]Dia 12 (b)'!$X22</f>
        <v>14.96656405343831</v>
      </c>
      <c r="N16" s="16">
        <f>'[11]Dia 13 (b)'!$X22</f>
        <v>11.100014351861287</v>
      </c>
      <c r="O16" s="16">
        <f>'[11]Dia 14 (b)'!$X22</f>
        <v>11.9837777894437</v>
      </c>
      <c r="P16" s="16">
        <f>'[11]Dia 15 (b)'!$X22</f>
        <v>14.492594165811074</v>
      </c>
      <c r="Q16" s="16">
        <f>'[11]Dia 16 (b)'!$X22</f>
        <v>15.365479897863439</v>
      </c>
      <c r="R16" s="16">
        <f>'[11]Dia 17 (b)'!$X22</f>
        <v>11.838015695385391</v>
      </c>
      <c r="S16" s="16">
        <f>'[11]Dia 18 (b)'!$X22</f>
        <v>11.188322453538181</v>
      </c>
      <c r="T16" s="16">
        <f>'[11]Dia 19 (b)'!$X22</f>
        <v>13.262618429135225</v>
      </c>
      <c r="U16" s="16">
        <f>'[11]Dia 20 (b)'!$X22</f>
        <v>13.900532037888965</v>
      </c>
      <c r="V16" s="16">
        <f>'[11]Dia 21 (b)'!$X22</f>
        <v>14.594768327385635</v>
      </c>
      <c r="W16" s="16">
        <f>'[11]Dia 22 (b)'!$X22</f>
        <v>13.023937405919288</v>
      </c>
      <c r="X16" s="16">
        <f>'[11]Dia 23 (b)'!$X22</f>
        <v>13.051643035103991</v>
      </c>
      <c r="Y16" s="16">
        <f>'[11]Dia 24 (b)'!$X22</f>
        <v>11.111330803257971</v>
      </c>
      <c r="Z16" s="16">
        <f>'[11]Dia 25 (b)'!$X22</f>
        <v>11.513275853705421</v>
      </c>
      <c r="AA16" s="16">
        <f>'[11]Dia 26 (b)'!$X22</f>
        <v>10.710027197622237</v>
      </c>
      <c r="AB16" s="16">
        <f>'[11]Dia 27 (b)'!$X22</f>
        <v>10.755596886672157</v>
      </c>
      <c r="AC16" s="16">
        <f>'[11]Dia 28 (b)'!$X22</f>
        <v>12.169702095783961</v>
      </c>
      <c r="AD16" s="16">
        <f>'[11]Dia 29 (b)'!$X22</f>
        <v>15.106961527105403</v>
      </c>
      <c r="AE16" s="16">
        <f>'[11]Dia 30 (b)'!$X22</f>
        <v>16.967821701118943</v>
      </c>
      <c r="AF16" s="16"/>
    </row>
    <row r="17" spans="1:32" ht="20.100000000000001" customHeight="1">
      <c r="A17" s="15">
        <v>14</v>
      </c>
      <c r="B17" s="16">
        <f>'[11]Dia 1 (b)'!$X23</f>
        <v>14.092549219158535</v>
      </c>
      <c r="C17" s="16">
        <f>'[11]Dia 2 (b)'!$X23</f>
        <v>2.2884900060726623E-5</v>
      </c>
      <c r="D17" s="16">
        <f>'[11]Dia 3 (b)'!$X23</f>
        <v>14.732756185073548</v>
      </c>
      <c r="E17" s="16">
        <f>'[11]Dia 4 (b)'!$X23</f>
        <v>15.200772474383076</v>
      </c>
      <c r="F17" s="16">
        <f>'[11]Dia 5 (b)'!$X23</f>
        <v>13.173143892915892</v>
      </c>
      <c r="G17" s="16">
        <f>'[11]Dia 6 (b)'!$X23</f>
        <v>16.490280507790093</v>
      </c>
      <c r="H17" s="16">
        <f>'[11]Dia 7 (b)'!$X23</f>
        <v>16.453801695069778</v>
      </c>
      <c r="I17" s="16">
        <f>'[11]Dia 8 (b)'!$X23</f>
        <v>14.851329902391745</v>
      </c>
      <c r="J17" s="16">
        <f>'[11]Dia 9 (b)'!$X23</f>
        <v>12.477046358853425</v>
      </c>
      <c r="K17" s="16">
        <f>'[11]Dia 10 (b)'!$X23</f>
        <v>11.413794971735973</v>
      </c>
      <c r="L17" s="16">
        <f>'[11]Dia 11 (b)'!$X23</f>
        <v>8.1717301743107384</v>
      </c>
      <c r="M17" s="16">
        <f>'[11]Dia 12 (b)'!$X23</f>
        <v>14.725384841574936</v>
      </c>
      <c r="N17" s="16">
        <f>'[11]Dia 13 (b)'!$X23</f>
        <v>10.951194558404733</v>
      </c>
      <c r="O17" s="16">
        <f>'[11]Dia 14 (b)'!$X23</f>
        <v>11.917556405196143</v>
      </c>
      <c r="P17" s="16">
        <f>'[11]Dia 15 (b)'!$X23</f>
        <v>14.379455108119092</v>
      </c>
      <c r="Q17" s="16">
        <f>'[11]Dia 16 (b)'!$X23</f>
        <v>14.793012137148542</v>
      </c>
      <c r="R17" s="16">
        <f>'[11]Dia 17 (b)'!$X23</f>
        <v>11.975668726507797</v>
      </c>
      <c r="S17" s="16">
        <f>'[11]Dia 18 (b)'!$X23</f>
        <v>14.053353588568473</v>
      </c>
      <c r="T17" s="16">
        <f>'[11]Dia 19 (b)'!$X23</f>
        <v>13.513411946934678</v>
      </c>
      <c r="U17" s="16">
        <f>'[11]Dia 20 (b)'!$X23</f>
        <v>16.414969869472802</v>
      </c>
      <c r="V17" s="16">
        <f>'[11]Dia 21 (b)'!$X23</f>
        <v>15.118427493737208</v>
      </c>
      <c r="W17" s="16">
        <f>'[11]Dia 22 (b)'!$X23</f>
        <v>13.627345398117116</v>
      </c>
      <c r="X17" s="16">
        <f>'[11]Dia 23 (b)'!$X23</f>
        <v>12.749627024301448</v>
      </c>
      <c r="Y17" s="16">
        <f>'[11]Dia 24 (b)'!$X23</f>
        <v>11.322493173199849</v>
      </c>
      <c r="Z17" s="16">
        <f>'[11]Dia 25 (b)'!$X23</f>
        <v>12.408785851463008</v>
      </c>
      <c r="AA17" s="16">
        <f>'[11]Dia 26 (b)'!$X23</f>
        <v>10.594190887180755</v>
      </c>
      <c r="AB17" s="16">
        <f>'[11]Dia 27 (b)'!$X23</f>
        <v>10.891193724965929</v>
      </c>
      <c r="AC17" s="16">
        <f>'[11]Dia 28 (b)'!$X23</f>
        <v>12.153730553133155</v>
      </c>
      <c r="AD17" s="16">
        <f>'[11]Dia 29 (b)'!$X23</f>
        <v>14.859427679311073</v>
      </c>
      <c r="AE17" s="16">
        <f>'[11]Dia 30 (b)'!$X23</f>
        <v>17.215192709065317</v>
      </c>
      <c r="AF17" s="16"/>
    </row>
    <row r="18" spans="1:32" ht="20.100000000000001" customHeight="1">
      <c r="A18" s="15">
        <v>15</v>
      </c>
      <c r="B18" s="16">
        <f>'[11]Dia 1 (b)'!$X24</f>
        <v>14.33160180290553</v>
      </c>
      <c r="C18" s="16">
        <f>'[11]Dia 2 (b)'!$X24</f>
        <v>15.168016712727011</v>
      </c>
      <c r="D18" s="16">
        <f>'[11]Dia 3 (b)'!$X24</f>
        <v>15.007842091198153</v>
      </c>
      <c r="E18" s="16">
        <f>'[11]Dia 4 (b)'!$X24</f>
        <v>16.783606280665364</v>
      </c>
      <c r="F18" s="16">
        <f>'[11]Dia 5 (b)'!$X24</f>
        <v>12.805508029490335</v>
      </c>
      <c r="G18" s="16">
        <f>'[11]Dia 6 (b)'!$X24</f>
        <v>16.46012314358406</v>
      </c>
      <c r="H18" s="16">
        <f>'[11]Dia 7 (b)'!$X24</f>
        <v>16.110697753958384</v>
      </c>
      <c r="I18" s="16">
        <f>'[11]Dia 8 (b)'!$X24</f>
        <v>13.859003965413217</v>
      </c>
      <c r="J18" s="16">
        <f>'[11]Dia 9 (b)'!$X24</f>
        <v>12.390220656086798</v>
      </c>
      <c r="K18" s="16">
        <f>'[11]Dia 10 (b)'!$X24</f>
        <v>11.816195467724031</v>
      </c>
      <c r="L18" s="16">
        <f>'[11]Dia 11 (b)'!$X24</f>
        <v>8.049169726942015</v>
      </c>
      <c r="M18" s="16">
        <f>'[11]Dia 12 (b)'!$X24</f>
        <v>14.258330282919212</v>
      </c>
      <c r="N18" s="16">
        <f>'[11]Dia 13 (b)'!$X24</f>
        <v>10.834853127392797</v>
      </c>
      <c r="O18" s="16">
        <f>'[11]Dia 14 (b)'!$X24</f>
        <v>12.416874321155063</v>
      </c>
      <c r="P18" s="16">
        <f>'[11]Dia 15 (b)'!$X24</f>
        <v>14.385025328224996</v>
      </c>
      <c r="Q18" s="16">
        <f>'[11]Dia 16 (b)'!$X24</f>
        <v>14.534000195762101</v>
      </c>
      <c r="R18" s="16">
        <f>'[11]Dia 17 (b)'!$X24</f>
        <v>14.660931786288369</v>
      </c>
      <c r="S18" s="16">
        <f>'[11]Dia 18 (b)'!$X24</f>
        <v>13.432152113628295</v>
      </c>
      <c r="T18" s="16">
        <f>'[11]Dia 19 (b)'!$X24</f>
        <v>13.735422987418259</v>
      </c>
      <c r="U18" s="16">
        <f>'[11]Dia 20 (b)'!$X24</f>
        <v>16.091140024178973</v>
      </c>
      <c r="V18" s="16">
        <f>'[11]Dia 21 (b)'!$X24</f>
        <v>14.271303730142437</v>
      </c>
      <c r="W18" s="16">
        <f>'[11]Dia 22 (b)'!$X24</f>
        <v>13.024231789526327</v>
      </c>
      <c r="X18" s="16">
        <f>'[11]Dia 23 (b)'!$X24</f>
        <v>12.734533658571998</v>
      </c>
      <c r="Y18" s="16">
        <f>'[11]Dia 24 (b)'!$X24</f>
        <v>11.577855734915152</v>
      </c>
      <c r="Z18" s="16">
        <f>'[11]Dia 25 (b)'!$X24</f>
        <v>12.807498460706388</v>
      </c>
      <c r="AA18" s="16">
        <f>'[11]Dia 26 (b)'!$X24</f>
        <v>9.8941575084675595</v>
      </c>
      <c r="AB18" s="16">
        <f>'[11]Dia 27 (b)'!$X24</f>
        <v>10.78635305152738</v>
      </c>
      <c r="AC18" s="16">
        <f>'[11]Dia 28 (b)'!$X24</f>
        <v>13.247988947116704</v>
      </c>
      <c r="AD18" s="16">
        <f>'[11]Dia 29 (b)'!$X24</f>
        <v>15.311526363635345</v>
      </c>
      <c r="AE18" s="16">
        <f>'[11]Dia 30 (b)'!$X24</f>
        <v>16.33607211175573</v>
      </c>
      <c r="AF18" s="16"/>
    </row>
    <row r="19" spans="1:32" ht="20.100000000000001" customHeight="1">
      <c r="A19" s="15">
        <v>16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</row>
    <row r="20" spans="1:32" ht="20.100000000000001" customHeight="1">
      <c r="A20" s="15">
        <v>17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</row>
    <row r="21" spans="1:32" ht="20.100000000000001" customHeight="1">
      <c r="A21" s="15">
        <v>18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</row>
    <row r="22" spans="1:32" ht="20.100000000000001" customHeight="1">
      <c r="A22" s="15">
        <v>19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</row>
    <row r="23" spans="1:32" ht="20.100000000000001" customHeight="1">
      <c r="A23" s="15">
        <v>20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</row>
    <row r="24" spans="1:32" ht="20.100000000000001" customHeight="1">
      <c r="A24" s="15">
        <v>21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</row>
    <row r="25" spans="1:32" ht="20.100000000000001" customHeight="1">
      <c r="A25" s="15">
        <v>22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</row>
    <row r="26" spans="1:32" ht="20.100000000000001" customHeight="1">
      <c r="A26" s="15">
        <v>23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</row>
    <row r="27" spans="1:32" ht="20.100000000000001" customHeight="1" thickBot="1">
      <c r="A27" s="15">
        <v>24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</row>
    <row r="28" spans="1:32" ht="16.5" thickTop="1">
      <c r="A28" s="17"/>
      <c r="B28" s="84" t="s">
        <v>62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1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2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3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5"/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4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2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5"/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5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2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5"/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1</v>
      </c>
      <c r="I46" s="30"/>
      <c r="J46" s="33"/>
      <c r="K46" s="34" t="s">
        <v>3</v>
      </c>
      <c r="L46" s="33"/>
      <c r="M46" s="33"/>
      <c r="N46" s="34" t="s">
        <v>4</v>
      </c>
      <c r="O46" s="33"/>
      <c r="P46" s="33"/>
      <c r="Q46" s="34" t="s">
        <v>5</v>
      </c>
      <c r="R46" s="30"/>
      <c r="S46" s="30"/>
      <c r="T46" s="33" t="s">
        <v>1</v>
      </c>
      <c r="U46" s="33"/>
      <c r="V46" s="33" t="s">
        <v>1</v>
      </c>
      <c r="W46" s="33"/>
      <c r="X46" s="33" t="s">
        <v>6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7</v>
      </c>
      <c r="I47" s="30"/>
      <c r="J47" s="33"/>
      <c r="K47" s="33" t="s">
        <v>7</v>
      </c>
      <c r="L47" s="33"/>
      <c r="M47" s="33"/>
      <c r="N47" s="33" t="s">
        <v>7</v>
      </c>
      <c r="O47" s="33"/>
      <c r="P47" s="33"/>
      <c r="Q47" s="33" t="s">
        <v>7</v>
      </c>
      <c r="R47" s="30"/>
      <c r="S47" s="30"/>
      <c r="T47" s="33" t="s">
        <v>8</v>
      </c>
      <c r="U47" s="33"/>
      <c r="V47" s="33" t="s">
        <v>9</v>
      </c>
      <c r="W47" s="33"/>
      <c r="X47" s="33" t="s">
        <v>10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/>
      <c r="I49" s="39"/>
      <c r="J49" s="41"/>
      <c r="K49" s="40"/>
      <c r="L49" s="41"/>
      <c r="M49" s="41"/>
      <c r="N49" s="40"/>
      <c r="O49" s="41"/>
      <c r="P49" s="41"/>
      <c r="Q49" s="40"/>
      <c r="R49" s="39"/>
      <c r="S49" s="40"/>
      <c r="T49" s="40"/>
      <c r="U49" s="40"/>
      <c r="V49" s="40"/>
      <c r="W49" s="40"/>
      <c r="X49" s="40"/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F497"/>
  <sheetViews>
    <sheetView tabSelected="1" zoomScale="70" zoomScaleNormal="70" workbookViewId="0">
      <selection activeCell="AB24" sqref="AB24"/>
    </sheetView>
  </sheetViews>
  <sheetFormatPr defaultColWidth="5.7109375" defaultRowHeight="15"/>
  <cols>
    <col min="1" max="1" width="11.5703125" customWidth="1"/>
    <col min="2" max="32" width="7.7109375" style="44" customWidth="1"/>
    <col min="33" max="33" width="12.7109375" customWidth="1"/>
    <col min="257" max="257" width="11.5703125" customWidth="1"/>
    <col min="258" max="288" width="7.7109375" customWidth="1"/>
    <col min="289" max="289" width="12.7109375" customWidth="1"/>
    <col min="513" max="513" width="11.5703125" customWidth="1"/>
    <col min="514" max="544" width="7.7109375" customWidth="1"/>
    <col min="545" max="545" width="12.7109375" customWidth="1"/>
    <col min="769" max="769" width="11.5703125" customWidth="1"/>
    <col min="770" max="800" width="7.7109375" customWidth="1"/>
    <col min="801" max="801" width="12.7109375" customWidth="1"/>
    <col min="1025" max="1025" width="11.5703125" customWidth="1"/>
    <col min="1026" max="1056" width="7.7109375" customWidth="1"/>
    <col min="1057" max="1057" width="12.7109375" customWidth="1"/>
    <col min="1281" max="1281" width="11.5703125" customWidth="1"/>
    <col min="1282" max="1312" width="7.7109375" customWidth="1"/>
    <col min="1313" max="1313" width="12.7109375" customWidth="1"/>
    <col min="1537" max="1537" width="11.5703125" customWidth="1"/>
    <col min="1538" max="1568" width="7.7109375" customWidth="1"/>
    <col min="1569" max="1569" width="12.7109375" customWidth="1"/>
    <col min="1793" max="1793" width="11.5703125" customWidth="1"/>
    <col min="1794" max="1824" width="7.7109375" customWidth="1"/>
    <col min="1825" max="1825" width="12.7109375" customWidth="1"/>
    <col min="2049" max="2049" width="11.5703125" customWidth="1"/>
    <col min="2050" max="2080" width="7.7109375" customWidth="1"/>
    <col min="2081" max="2081" width="12.7109375" customWidth="1"/>
    <col min="2305" max="2305" width="11.5703125" customWidth="1"/>
    <col min="2306" max="2336" width="7.7109375" customWidth="1"/>
    <col min="2337" max="2337" width="12.7109375" customWidth="1"/>
    <col min="2561" max="2561" width="11.5703125" customWidth="1"/>
    <col min="2562" max="2592" width="7.7109375" customWidth="1"/>
    <col min="2593" max="2593" width="12.7109375" customWidth="1"/>
    <col min="2817" max="2817" width="11.5703125" customWidth="1"/>
    <col min="2818" max="2848" width="7.7109375" customWidth="1"/>
    <col min="2849" max="2849" width="12.7109375" customWidth="1"/>
    <col min="3073" max="3073" width="11.5703125" customWidth="1"/>
    <col min="3074" max="3104" width="7.7109375" customWidth="1"/>
    <col min="3105" max="3105" width="12.7109375" customWidth="1"/>
    <col min="3329" max="3329" width="11.5703125" customWidth="1"/>
    <col min="3330" max="3360" width="7.7109375" customWidth="1"/>
    <col min="3361" max="3361" width="12.7109375" customWidth="1"/>
    <col min="3585" max="3585" width="11.5703125" customWidth="1"/>
    <col min="3586" max="3616" width="7.7109375" customWidth="1"/>
    <col min="3617" max="3617" width="12.7109375" customWidth="1"/>
    <col min="3841" max="3841" width="11.5703125" customWidth="1"/>
    <col min="3842" max="3872" width="7.7109375" customWidth="1"/>
    <col min="3873" max="3873" width="12.7109375" customWidth="1"/>
    <col min="4097" max="4097" width="11.5703125" customWidth="1"/>
    <col min="4098" max="4128" width="7.7109375" customWidth="1"/>
    <col min="4129" max="4129" width="12.7109375" customWidth="1"/>
    <col min="4353" max="4353" width="11.5703125" customWidth="1"/>
    <col min="4354" max="4384" width="7.7109375" customWidth="1"/>
    <col min="4385" max="4385" width="12.7109375" customWidth="1"/>
    <col min="4609" max="4609" width="11.5703125" customWidth="1"/>
    <col min="4610" max="4640" width="7.7109375" customWidth="1"/>
    <col min="4641" max="4641" width="12.7109375" customWidth="1"/>
    <col min="4865" max="4865" width="11.5703125" customWidth="1"/>
    <col min="4866" max="4896" width="7.7109375" customWidth="1"/>
    <col min="4897" max="4897" width="12.7109375" customWidth="1"/>
    <col min="5121" max="5121" width="11.5703125" customWidth="1"/>
    <col min="5122" max="5152" width="7.7109375" customWidth="1"/>
    <col min="5153" max="5153" width="12.7109375" customWidth="1"/>
    <col min="5377" max="5377" width="11.5703125" customWidth="1"/>
    <col min="5378" max="5408" width="7.7109375" customWidth="1"/>
    <col min="5409" max="5409" width="12.7109375" customWidth="1"/>
    <col min="5633" max="5633" width="11.5703125" customWidth="1"/>
    <col min="5634" max="5664" width="7.7109375" customWidth="1"/>
    <col min="5665" max="5665" width="12.7109375" customWidth="1"/>
    <col min="5889" max="5889" width="11.5703125" customWidth="1"/>
    <col min="5890" max="5920" width="7.7109375" customWidth="1"/>
    <col min="5921" max="5921" width="12.7109375" customWidth="1"/>
    <col min="6145" max="6145" width="11.5703125" customWidth="1"/>
    <col min="6146" max="6176" width="7.7109375" customWidth="1"/>
    <col min="6177" max="6177" width="12.7109375" customWidth="1"/>
    <col min="6401" max="6401" width="11.5703125" customWidth="1"/>
    <col min="6402" max="6432" width="7.7109375" customWidth="1"/>
    <col min="6433" max="6433" width="12.7109375" customWidth="1"/>
    <col min="6657" max="6657" width="11.5703125" customWidth="1"/>
    <col min="6658" max="6688" width="7.7109375" customWidth="1"/>
    <col min="6689" max="6689" width="12.7109375" customWidth="1"/>
    <col min="6913" max="6913" width="11.5703125" customWidth="1"/>
    <col min="6914" max="6944" width="7.7109375" customWidth="1"/>
    <col min="6945" max="6945" width="12.7109375" customWidth="1"/>
    <col min="7169" max="7169" width="11.5703125" customWidth="1"/>
    <col min="7170" max="7200" width="7.7109375" customWidth="1"/>
    <col min="7201" max="7201" width="12.7109375" customWidth="1"/>
    <col min="7425" max="7425" width="11.5703125" customWidth="1"/>
    <col min="7426" max="7456" width="7.7109375" customWidth="1"/>
    <col min="7457" max="7457" width="12.7109375" customWidth="1"/>
    <col min="7681" max="7681" width="11.5703125" customWidth="1"/>
    <col min="7682" max="7712" width="7.7109375" customWidth="1"/>
    <col min="7713" max="7713" width="12.7109375" customWidth="1"/>
    <col min="7937" max="7937" width="11.5703125" customWidth="1"/>
    <col min="7938" max="7968" width="7.7109375" customWidth="1"/>
    <col min="7969" max="7969" width="12.7109375" customWidth="1"/>
    <col min="8193" max="8193" width="11.5703125" customWidth="1"/>
    <col min="8194" max="8224" width="7.7109375" customWidth="1"/>
    <col min="8225" max="8225" width="12.7109375" customWidth="1"/>
    <col min="8449" max="8449" width="11.5703125" customWidth="1"/>
    <col min="8450" max="8480" width="7.7109375" customWidth="1"/>
    <col min="8481" max="8481" width="12.7109375" customWidth="1"/>
    <col min="8705" max="8705" width="11.5703125" customWidth="1"/>
    <col min="8706" max="8736" width="7.7109375" customWidth="1"/>
    <col min="8737" max="8737" width="12.7109375" customWidth="1"/>
    <col min="8961" max="8961" width="11.5703125" customWidth="1"/>
    <col min="8962" max="8992" width="7.7109375" customWidth="1"/>
    <col min="8993" max="8993" width="12.7109375" customWidth="1"/>
    <col min="9217" max="9217" width="11.5703125" customWidth="1"/>
    <col min="9218" max="9248" width="7.7109375" customWidth="1"/>
    <col min="9249" max="9249" width="12.7109375" customWidth="1"/>
    <col min="9473" max="9473" width="11.5703125" customWidth="1"/>
    <col min="9474" max="9504" width="7.7109375" customWidth="1"/>
    <col min="9505" max="9505" width="12.7109375" customWidth="1"/>
    <col min="9729" max="9729" width="11.5703125" customWidth="1"/>
    <col min="9730" max="9760" width="7.7109375" customWidth="1"/>
    <col min="9761" max="9761" width="12.7109375" customWidth="1"/>
    <col min="9985" max="9985" width="11.5703125" customWidth="1"/>
    <col min="9986" max="10016" width="7.7109375" customWidth="1"/>
    <col min="10017" max="10017" width="12.7109375" customWidth="1"/>
    <col min="10241" max="10241" width="11.5703125" customWidth="1"/>
    <col min="10242" max="10272" width="7.7109375" customWidth="1"/>
    <col min="10273" max="10273" width="12.7109375" customWidth="1"/>
    <col min="10497" max="10497" width="11.5703125" customWidth="1"/>
    <col min="10498" max="10528" width="7.7109375" customWidth="1"/>
    <col min="10529" max="10529" width="12.7109375" customWidth="1"/>
    <col min="10753" max="10753" width="11.5703125" customWidth="1"/>
    <col min="10754" max="10784" width="7.7109375" customWidth="1"/>
    <col min="10785" max="10785" width="12.7109375" customWidth="1"/>
    <col min="11009" max="11009" width="11.5703125" customWidth="1"/>
    <col min="11010" max="11040" width="7.7109375" customWidth="1"/>
    <col min="11041" max="11041" width="12.7109375" customWidth="1"/>
    <col min="11265" max="11265" width="11.5703125" customWidth="1"/>
    <col min="11266" max="11296" width="7.7109375" customWidth="1"/>
    <col min="11297" max="11297" width="12.7109375" customWidth="1"/>
    <col min="11521" max="11521" width="11.5703125" customWidth="1"/>
    <col min="11522" max="11552" width="7.7109375" customWidth="1"/>
    <col min="11553" max="11553" width="12.7109375" customWidth="1"/>
    <col min="11777" max="11777" width="11.5703125" customWidth="1"/>
    <col min="11778" max="11808" width="7.7109375" customWidth="1"/>
    <col min="11809" max="11809" width="12.7109375" customWidth="1"/>
    <col min="12033" max="12033" width="11.5703125" customWidth="1"/>
    <col min="12034" max="12064" width="7.7109375" customWidth="1"/>
    <col min="12065" max="12065" width="12.7109375" customWidth="1"/>
    <col min="12289" max="12289" width="11.5703125" customWidth="1"/>
    <col min="12290" max="12320" width="7.7109375" customWidth="1"/>
    <col min="12321" max="12321" width="12.7109375" customWidth="1"/>
    <col min="12545" max="12545" width="11.5703125" customWidth="1"/>
    <col min="12546" max="12576" width="7.7109375" customWidth="1"/>
    <col min="12577" max="12577" width="12.7109375" customWidth="1"/>
    <col min="12801" max="12801" width="11.5703125" customWidth="1"/>
    <col min="12802" max="12832" width="7.7109375" customWidth="1"/>
    <col min="12833" max="12833" width="12.7109375" customWidth="1"/>
    <col min="13057" max="13057" width="11.5703125" customWidth="1"/>
    <col min="13058" max="13088" width="7.7109375" customWidth="1"/>
    <col min="13089" max="13089" width="12.7109375" customWidth="1"/>
    <col min="13313" max="13313" width="11.5703125" customWidth="1"/>
    <col min="13314" max="13344" width="7.7109375" customWidth="1"/>
    <col min="13345" max="13345" width="12.7109375" customWidth="1"/>
    <col min="13569" max="13569" width="11.5703125" customWidth="1"/>
    <col min="13570" max="13600" width="7.7109375" customWidth="1"/>
    <col min="13601" max="13601" width="12.7109375" customWidth="1"/>
    <col min="13825" max="13825" width="11.5703125" customWidth="1"/>
    <col min="13826" max="13856" width="7.7109375" customWidth="1"/>
    <col min="13857" max="13857" width="12.7109375" customWidth="1"/>
    <col min="14081" max="14081" width="11.5703125" customWidth="1"/>
    <col min="14082" max="14112" width="7.7109375" customWidth="1"/>
    <col min="14113" max="14113" width="12.7109375" customWidth="1"/>
    <col min="14337" max="14337" width="11.5703125" customWidth="1"/>
    <col min="14338" max="14368" width="7.7109375" customWidth="1"/>
    <col min="14369" max="14369" width="12.7109375" customWidth="1"/>
    <col min="14593" max="14593" width="11.5703125" customWidth="1"/>
    <col min="14594" max="14624" width="7.7109375" customWidth="1"/>
    <col min="14625" max="14625" width="12.7109375" customWidth="1"/>
    <col min="14849" max="14849" width="11.5703125" customWidth="1"/>
    <col min="14850" max="14880" width="7.7109375" customWidth="1"/>
    <col min="14881" max="14881" width="12.7109375" customWidth="1"/>
    <col min="15105" max="15105" width="11.5703125" customWidth="1"/>
    <col min="15106" max="15136" width="7.7109375" customWidth="1"/>
    <col min="15137" max="15137" width="12.7109375" customWidth="1"/>
    <col min="15361" max="15361" width="11.5703125" customWidth="1"/>
    <col min="15362" max="15392" width="7.7109375" customWidth="1"/>
    <col min="15393" max="15393" width="12.7109375" customWidth="1"/>
    <col min="15617" max="15617" width="11.5703125" customWidth="1"/>
    <col min="15618" max="15648" width="7.7109375" customWidth="1"/>
    <col min="15649" max="15649" width="12.7109375" customWidth="1"/>
    <col min="15873" max="15873" width="11.5703125" customWidth="1"/>
    <col min="15874" max="15904" width="7.7109375" customWidth="1"/>
    <col min="15905" max="15905" width="12.7109375" customWidth="1"/>
    <col min="16129" max="16129" width="11.5703125" customWidth="1"/>
    <col min="16130" max="16160" width="7.7109375" customWidth="1"/>
    <col min="16161" max="16161" width="12.7109375" customWidth="1"/>
  </cols>
  <sheetData>
    <row r="1" spans="1:32" ht="18">
      <c r="A1" s="1"/>
      <c r="B1" s="2" t="str">
        <f>'[12]Dia 1 (b)'!C1</f>
        <v>DEZEMBRO DE 2024</v>
      </c>
      <c r="C1" s="3"/>
      <c r="D1" s="4"/>
      <c r="E1" s="5"/>
      <c r="F1" s="2"/>
      <c r="G1" s="3"/>
      <c r="H1" s="3"/>
      <c r="I1" s="3"/>
      <c r="J1" s="3"/>
      <c r="K1" s="3" t="s">
        <v>11</v>
      </c>
      <c r="L1" s="3"/>
      <c r="M1" s="3"/>
      <c r="N1" s="6"/>
      <c r="O1" s="7"/>
      <c r="P1" s="8"/>
      <c r="Q1" s="7"/>
      <c r="R1" s="7"/>
      <c r="S1" s="7"/>
      <c r="T1" s="7"/>
      <c r="U1" s="7"/>
      <c r="V1" s="9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thickBot="1">
      <c r="A2" s="1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20.100000000000001" customHeight="1" thickBot="1">
      <c r="A3" s="10" t="s">
        <v>0</v>
      </c>
      <c r="B3" s="11">
        <v>1</v>
      </c>
      <c r="C3" s="11">
        <v>2</v>
      </c>
      <c r="D3" s="11">
        <v>3</v>
      </c>
      <c r="E3" s="11">
        <v>4</v>
      </c>
      <c r="F3" s="11">
        <v>5</v>
      </c>
      <c r="G3" s="11">
        <v>6</v>
      </c>
      <c r="H3" s="11">
        <v>7</v>
      </c>
      <c r="I3" s="11">
        <v>8</v>
      </c>
      <c r="J3" s="11">
        <v>9</v>
      </c>
      <c r="K3" s="11">
        <v>10</v>
      </c>
      <c r="L3" s="11">
        <v>11</v>
      </c>
      <c r="M3" s="11">
        <v>12</v>
      </c>
      <c r="N3" s="11">
        <v>13</v>
      </c>
      <c r="O3" s="11">
        <v>14</v>
      </c>
      <c r="P3" s="11">
        <v>15</v>
      </c>
      <c r="Q3" s="11">
        <v>16</v>
      </c>
      <c r="R3" s="11">
        <v>17</v>
      </c>
      <c r="S3" s="11">
        <v>18</v>
      </c>
      <c r="T3" s="11">
        <v>19</v>
      </c>
      <c r="U3" s="11">
        <v>20</v>
      </c>
      <c r="V3" s="11">
        <v>21</v>
      </c>
      <c r="W3" s="11">
        <v>22</v>
      </c>
      <c r="X3" s="11">
        <v>23</v>
      </c>
      <c r="Y3" s="11">
        <v>24</v>
      </c>
      <c r="Z3" s="12">
        <v>25</v>
      </c>
      <c r="AA3" s="13">
        <v>26</v>
      </c>
      <c r="AB3" s="13">
        <v>27</v>
      </c>
      <c r="AC3" s="13">
        <v>28</v>
      </c>
      <c r="AD3" s="13">
        <v>29</v>
      </c>
      <c r="AE3" s="13">
        <v>30</v>
      </c>
      <c r="AF3" s="14">
        <v>31</v>
      </c>
    </row>
    <row r="4" spans="1:32" ht="20.100000000000001" customHeight="1">
      <c r="A4" s="15">
        <v>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</row>
    <row r="5" spans="1:32" ht="20.100000000000001" customHeight="1">
      <c r="A5" s="15">
        <v>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</row>
    <row r="6" spans="1:32" ht="20.100000000000001" customHeight="1">
      <c r="A6" s="15">
        <v>3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</row>
    <row r="7" spans="1:32" ht="20.100000000000001" customHeight="1">
      <c r="A7" s="15">
        <v>4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</row>
    <row r="8" spans="1:32" ht="20.100000000000001" customHeight="1">
      <c r="A8" s="15">
        <v>5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</row>
    <row r="9" spans="1:32" ht="20.100000000000001" customHeight="1">
      <c r="A9" s="15">
        <v>6</v>
      </c>
      <c r="B9" s="82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</row>
    <row r="10" spans="1:32" ht="20.100000000000001" customHeight="1">
      <c r="A10" s="15">
        <v>7</v>
      </c>
      <c r="B10" s="16">
        <f>'[12]Dia 1 (b)'!$X16</f>
        <v>14.613995967651498</v>
      </c>
      <c r="C10" s="16">
        <f>'[12]Dia 2 (b)'!$X16</f>
        <v>16.870066481165907</v>
      </c>
      <c r="D10" s="16">
        <f>'[12]Dia 3 (b)'!$X16</f>
        <v>17.305091887482849</v>
      </c>
      <c r="E10" s="16">
        <f>'[12]Dia 4 (b)'!$X16</f>
        <v>12.575912049633928</v>
      </c>
      <c r="F10" s="16">
        <f>'[12]Dia 5 (b)'!$X16</f>
        <v>13.567379861220264</v>
      </c>
      <c r="G10" s="16">
        <f>'[12]Dia 6 (b)'!$X16</f>
        <v>16.501015355158309</v>
      </c>
      <c r="H10" s="16">
        <f>'[12]Dia 7 (b)'!$X16</f>
        <v>17.343418627534383</v>
      </c>
      <c r="I10" s="16">
        <f>'[12]Dia 8 (b)'!$X16</f>
        <v>15.875072317286854</v>
      </c>
      <c r="J10" s="16">
        <f>'[12]Dia 9 (b)'!$X16</f>
        <v>16.003743442689267</v>
      </c>
      <c r="K10" s="16">
        <f>'[12]Dia 10 (b)'!$X16</f>
        <v>15.649471042073289</v>
      </c>
      <c r="L10" s="16">
        <f>'[12]Dia 11 (b)'!$X16</f>
        <v>13.056609827042861</v>
      </c>
      <c r="M10" s="16">
        <f>'[12]Dia 12 (b)'!$X16</f>
        <v>11.003524380878549</v>
      </c>
      <c r="N10" s="16">
        <f>'[12]Dia 13 (b)'!$X16</f>
        <v>12.55854744166472</v>
      </c>
      <c r="O10" s="16">
        <f>'[12]Dia 14 (b)'!$X16</f>
        <v>14.922574193921596</v>
      </c>
      <c r="P10" s="16">
        <f>'[12]Dia 15 (b)'!$X16</f>
        <v>14.498362211076799</v>
      </c>
      <c r="Q10" s="16">
        <f>'[12]Dia 16 (b)'!$X16</f>
        <v>12.153470998262701</v>
      </c>
      <c r="R10" s="16">
        <f>'[12]Dia 17 (b)'!$X16</f>
        <v>12.194878158381893</v>
      </c>
      <c r="S10" s="16">
        <f>'[12]Dia 18 (b)'!$X16</f>
        <v>11.512390401167899</v>
      </c>
      <c r="T10" s="16">
        <f>'[12]Dia 19 (b)'!$X16</f>
        <v>12.996049355040606</v>
      </c>
      <c r="U10" s="16">
        <f>'[12]Dia 20 (b)'!$X16</f>
        <v>15.335198681042051</v>
      </c>
      <c r="V10" s="16">
        <f>'[12]Dia 21 (b)'!$X16</f>
        <v>15.217904674706936</v>
      </c>
      <c r="W10" s="16">
        <f>'[12]Dia 22 (b)'!$X16</f>
        <v>15.888488070742337</v>
      </c>
      <c r="X10" s="16">
        <f>'[12]Dia 23 (b)'!$X16</f>
        <v>15.711342025484186</v>
      </c>
      <c r="Y10" s="16">
        <f>'[12]Dia 24 (b)'!$X16</f>
        <v>12.993172470504433</v>
      </c>
      <c r="Z10" s="16">
        <f>'[12]Dia 25 (b)'!$X16</f>
        <v>14.233775217772966</v>
      </c>
      <c r="AA10" s="16">
        <f>'[12]Dia 26 (b)'!$X16</f>
        <v>15.939623003356665</v>
      </c>
      <c r="AB10" s="16">
        <f>'[12]Dia 27 (b)'!$X16</f>
        <v>16.033623051111061</v>
      </c>
      <c r="AC10" s="16">
        <f>'[12]Dia 28 (b)'!$X16</f>
        <v>16.276643463969446</v>
      </c>
      <c r="AD10" s="16">
        <f>'[12]Dia 29 (b)'!$X16</f>
        <v>14.609327715556224</v>
      </c>
      <c r="AE10" s="16">
        <f>'[12]Dia 30 (b)'!$X16</f>
        <v>14.123996019278628</v>
      </c>
      <c r="AF10" s="16">
        <f>'[12]Dia 31 (b)'!$X16</f>
        <v>13.088157123497229</v>
      </c>
    </row>
    <row r="11" spans="1:32" ht="20.100000000000001" customHeight="1">
      <c r="A11" s="15">
        <v>8</v>
      </c>
      <c r="B11" s="16">
        <f>'[12]Dia 1 (b)'!$X17</f>
        <v>14.087656672129073</v>
      </c>
      <c r="C11" s="16">
        <f>'[12]Dia 2 (b)'!$X17</f>
        <v>16.783903007937248</v>
      </c>
      <c r="D11" s="16">
        <f>'[12]Dia 3 (b)'!$X17</f>
        <v>17.391828436349215</v>
      </c>
      <c r="E11" s="16">
        <f>'[12]Dia 4 (b)'!$X17</f>
        <v>12.606548759660123</v>
      </c>
      <c r="F11" s="16">
        <f>'[12]Dia 5 (b)'!$X17</f>
        <v>13.721472329960894</v>
      </c>
      <c r="G11" s="16">
        <f>'[12]Dia 6 (b)'!$X17</f>
        <v>16.526550174560043</v>
      </c>
      <c r="H11" s="16">
        <f>'[12]Dia 7 (b)'!$X17</f>
        <v>16.040486621950876</v>
      </c>
      <c r="I11" s="16">
        <f>'[12]Dia 8 (b)'!$X17</f>
        <v>15.861119146499631</v>
      </c>
      <c r="J11" s="16">
        <f>'[12]Dia 9 (b)'!$X17</f>
        <v>16.015140287641486</v>
      </c>
      <c r="K11" s="16">
        <f>'[12]Dia 10 (b)'!$X17</f>
        <v>15.983437861919354</v>
      </c>
      <c r="L11" s="16">
        <f>'[12]Dia 11 (b)'!$X17</f>
        <v>13.052344391784089</v>
      </c>
      <c r="M11" s="16">
        <f>'[12]Dia 12 (b)'!$X17</f>
        <v>11.646510117766292</v>
      </c>
      <c r="N11" s="16">
        <f>'[12]Dia 13 (b)'!$X17</f>
        <v>12.769867634485184</v>
      </c>
      <c r="O11" s="16">
        <f>'[12]Dia 14 (b)'!$X17</f>
        <v>14.965492223418595</v>
      </c>
      <c r="P11" s="16">
        <f>'[12]Dia 15 (b)'!$X17</f>
        <v>14.82580652993472</v>
      </c>
      <c r="Q11" s="16">
        <f>'[12]Dia 16 (b)'!$X17</f>
        <v>10.959536750842236</v>
      </c>
      <c r="R11" s="16">
        <f>'[12]Dia 17 (b)'!$X17</f>
        <v>12.189699319504529</v>
      </c>
      <c r="S11" s="16">
        <f>'[12]Dia 18 (b)'!$X17</f>
        <v>10.874632415885916</v>
      </c>
      <c r="T11" s="16">
        <f>'[12]Dia 19 (b)'!$X17</f>
        <v>13.090009965983933</v>
      </c>
      <c r="U11" s="16">
        <f>'[12]Dia 20 (b)'!$X17</f>
        <v>14.467130725699187</v>
      </c>
      <c r="V11" s="16">
        <f>'[12]Dia 21 (b)'!$X17</f>
        <v>15.332919266846337</v>
      </c>
      <c r="W11" s="16">
        <f>'[12]Dia 22 (b)'!$X17</f>
        <v>15.856622787043049</v>
      </c>
      <c r="X11" s="16">
        <f>'[12]Dia 23 (b)'!$X17</f>
        <v>15.524345458523246</v>
      </c>
      <c r="Y11" s="16">
        <f>'[12]Dia 24 (b)'!$X17</f>
        <v>12.582329748668831</v>
      </c>
      <c r="Z11" s="16">
        <f>'[12]Dia 25 (b)'!$X17</f>
        <v>14.577626484553575</v>
      </c>
      <c r="AA11" s="16">
        <f>'[12]Dia 26 (b)'!$X17</f>
        <v>15.755277843223427</v>
      </c>
      <c r="AB11" s="16">
        <f>'[12]Dia 27 (b)'!$X17</f>
        <v>17.260428318453414</v>
      </c>
      <c r="AC11" s="16">
        <f>'[12]Dia 28 (b)'!$X17</f>
        <v>16.243398796817544</v>
      </c>
      <c r="AD11" s="16">
        <f>'[12]Dia 29 (b)'!$X17</f>
        <v>14.803701321579355</v>
      </c>
      <c r="AE11" s="16">
        <f>'[12]Dia 30 (b)'!$X17</f>
        <v>13.927835259056666</v>
      </c>
      <c r="AF11" s="16">
        <f>'[12]Dia 31 (b)'!$X17</f>
        <v>13.164404338603042</v>
      </c>
    </row>
    <row r="12" spans="1:32" ht="20.100000000000001" customHeight="1">
      <c r="A12" s="15">
        <v>9</v>
      </c>
      <c r="B12" s="16">
        <f>'[12]Dia 1 (b)'!$X18</f>
        <v>14.24383535733349</v>
      </c>
      <c r="C12" s="16">
        <f>'[12]Dia 2 (b)'!$X18</f>
        <v>17.102466733588674</v>
      </c>
      <c r="D12" s="16">
        <f>'[12]Dia 3 (b)'!$X18</f>
        <v>16.937946903501036</v>
      </c>
      <c r="E12" s="16">
        <f>'[12]Dia 4 (b)'!$X18</f>
        <v>12.773255656431814</v>
      </c>
      <c r="F12" s="16">
        <f>'[12]Dia 5 (b)'!$X18</f>
        <v>13.81472032165501</v>
      </c>
      <c r="G12" s="16">
        <f>'[12]Dia 6 (b)'!$X18</f>
        <v>17.268634468258078</v>
      </c>
      <c r="H12" s="16">
        <f>'[12]Dia 7 (b)'!$X18</f>
        <v>15.158378562070181</v>
      </c>
      <c r="I12" s="16">
        <f>'[12]Dia 8 (b)'!$X18</f>
        <v>15.751124095101879</v>
      </c>
      <c r="J12" s="16">
        <f>'[12]Dia 9 (b)'!$X18</f>
        <v>15.887564208726268</v>
      </c>
      <c r="K12" s="16">
        <f>'[12]Dia 10 (b)'!$X18</f>
        <v>16.305634027372591</v>
      </c>
      <c r="L12" s="16">
        <f>'[12]Dia 11 (b)'!$X18</f>
        <v>13.662793517697729</v>
      </c>
      <c r="M12" s="16">
        <f>'[12]Dia 12 (b)'!$X18</f>
        <v>11.922114390179882</v>
      </c>
      <c r="N12" s="16">
        <f>'[12]Dia 13 (b)'!$X18</f>
        <v>12.931265599063302</v>
      </c>
      <c r="O12" s="16">
        <f>'[12]Dia 14 (b)'!$X18</f>
        <v>14.045560663014809</v>
      </c>
      <c r="P12" s="16">
        <f>'[12]Dia 15 (b)'!$X18</f>
        <v>14.573132312316654</v>
      </c>
      <c r="Q12" s="16">
        <f>'[12]Dia 16 (b)'!$X18</f>
        <v>10.834380369216316</v>
      </c>
      <c r="R12" s="16">
        <f>'[12]Dia 17 (b)'!$X18</f>
        <v>11.813405821403986</v>
      </c>
      <c r="S12" s="16">
        <f>'[12]Dia 18 (b)'!$X18</f>
        <v>11.547783498542321</v>
      </c>
      <c r="T12" s="16">
        <f>'[12]Dia 19 (b)'!$X18</f>
        <v>13.419518044382784</v>
      </c>
      <c r="U12" s="16">
        <f>'[12]Dia 20 (b)'!$X18</f>
        <v>15.074080415643168</v>
      </c>
      <c r="V12" s="16">
        <f>'[12]Dia 21 (b)'!$X18</f>
        <v>15.722736734379575</v>
      </c>
      <c r="W12" s="16">
        <f>'[12]Dia 22 (b)'!$X18</f>
        <v>15.345615380349081</v>
      </c>
      <c r="X12" s="16">
        <f>'[12]Dia 23 (b)'!$X18</f>
        <v>15.577309185026737</v>
      </c>
      <c r="Y12" s="16">
        <f>'[12]Dia 24 (b)'!$X18</f>
        <v>12.905927790581341</v>
      </c>
      <c r="Z12" s="16">
        <f>'[12]Dia 25 (b)'!$X18</f>
        <v>14.421583986644768</v>
      </c>
      <c r="AA12" s="16">
        <f>'[12]Dia 26 (b)'!$X18</f>
        <v>16.258388710734991</v>
      </c>
      <c r="AB12" s="16">
        <f>'[12]Dia 27 (b)'!$X18</f>
        <v>15.668820495180821</v>
      </c>
      <c r="AC12" s="16">
        <f>'[12]Dia 28 (b)'!$X18</f>
        <v>15.711622827108428</v>
      </c>
      <c r="AD12" s="16">
        <f>'[12]Dia 29 (b)'!$X18</f>
        <v>14.155477821829065</v>
      </c>
      <c r="AE12" s="16">
        <f>'[12]Dia 30 (b)'!$X18</f>
        <v>13.62786902731739</v>
      </c>
      <c r="AF12" s="16">
        <f>'[12]Dia 31 (b)'!$X18</f>
        <v>13.603966007042553</v>
      </c>
    </row>
    <row r="13" spans="1:32" ht="20.100000000000001" customHeight="1">
      <c r="A13" s="15">
        <v>10</v>
      </c>
      <c r="B13" s="16">
        <f>'[12]Dia 1 (b)'!$X19</f>
        <v>13.952572516757664</v>
      </c>
      <c r="C13" s="16">
        <f>'[12]Dia 2 (b)'!$X19</f>
        <v>17.160564597390248</v>
      </c>
      <c r="D13" s="16">
        <f>'[12]Dia 3 (b)'!$X19</f>
        <v>16.685231872390521</v>
      </c>
      <c r="E13" s="16">
        <f>'[12]Dia 4 (b)'!$X19</f>
        <v>11.855971133431863</v>
      </c>
      <c r="F13" s="16">
        <f>'[12]Dia 5 (b)'!$X19</f>
        <v>14.147866803352734</v>
      </c>
      <c r="G13" s="16">
        <f>'[12]Dia 6 (b)'!$X19</f>
        <v>16.491135984197275</v>
      </c>
      <c r="H13" s="16">
        <f>'[12]Dia 7 (b)'!$X19</f>
        <v>15.1952763395154</v>
      </c>
      <c r="I13" s="16">
        <f>'[12]Dia 8 (b)'!$X19</f>
        <v>15.91189509767945</v>
      </c>
      <c r="J13" s="16">
        <f>'[12]Dia 9 (b)'!$X19</f>
        <v>17.161516954707345</v>
      </c>
      <c r="K13" s="16">
        <f>'[12]Dia 10 (b)'!$X19</f>
        <v>16.105699981864397</v>
      </c>
      <c r="L13" s="16">
        <f>'[12]Dia 11 (b)'!$X19</f>
        <v>12.716627380276851</v>
      </c>
      <c r="M13" s="16">
        <f>'[12]Dia 12 (b)'!$X19</f>
        <v>10.976226163542723</v>
      </c>
      <c r="N13" s="16">
        <f>'[12]Dia 13 (b)'!$X19</f>
        <v>13.233109671596388</v>
      </c>
      <c r="O13" s="16">
        <f>'[12]Dia 14 (b)'!$X19</f>
        <v>12.659405173447498</v>
      </c>
      <c r="P13" s="16">
        <f>'[12]Dia 15 (b)'!$X19</f>
        <v>15.116694104196119</v>
      </c>
      <c r="Q13" s="16">
        <f>'[12]Dia 16 (b)'!$X19</f>
        <v>11.446471719836458</v>
      </c>
      <c r="R13" s="16">
        <f>'[12]Dia 17 (b)'!$X19</f>
        <v>11.697010164450765</v>
      </c>
      <c r="S13" s="16">
        <f>'[12]Dia 18 (b)'!$X19</f>
        <v>11.477866808736351</v>
      </c>
      <c r="T13" s="16">
        <f>'[12]Dia 19 (b)'!$X19</f>
        <v>12.803302991389293</v>
      </c>
      <c r="U13" s="16">
        <f>'[12]Dia 20 (b)'!$X19</f>
        <v>15.389705356453224</v>
      </c>
      <c r="V13" s="16">
        <f>'[12]Dia 21 (b)'!$X19</f>
        <v>16.165101256362117</v>
      </c>
      <c r="W13" s="16">
        <f>'[12]Dia 22 (b)'!$X19</f>
        <v>15.228756284623881</v>
      </c>
      <c r="X13" s="16">
        <f>'[12]Dia 23 (b)'!$X19</f>
        <v>15.351807318136274</v>
      </c>
      <c r="Y13" s="16">
        <f>'[12]Dia 24 (b)'!$X19</f>
        <v>13.332597817039851</v>
      </c>
      <c r="Z13" s="16">
        <f>'[12]Dia 25 (b)'!$X19</f>
        <v>14.465130331323586</v>
      </c>
      <c r="AA13" s="16">
        <f>'[12]Dia 26 (b)'!$X19</f>
        <v>16.776568961655986</v>
      </c>
      <c r="AB13" s="16">
        <f>'[12]Dia 27 (b)'!$X19</f>
        <v>15.768429010863796</v>
      </c>
      <c r="AC13" s="16">
        <f>'[12]Dia 28 (b)'!$X19</f>
        <v>15.414413300859099</v>
      </c>
      <c r="AD13" s="16">
        <f>'[12]Dia 29 (b)'!$X19</f>
        <v>13.726311889328432</v>
      </c>
      <c r="AE13" s="16">
        <f>'[12]Dia 30 (b)'!$X19</f>
        <v>12.978018141655703</v>
      </c>
      <c r="AF13" s="16">
        <f>'[12]Dia 31 (b)'!$X19</f>
        <v>12.702804626788277</v>
      </c>
    </row>
    <row r="14" spans="1:32" ht="20.100000000000001" customHeight="1">
      <c r="A14" s="15">
        <v>11</v>
      </c>
      <c r="B14" s="16">
        <f>'[12]Dia 1 (b)'!$X20</f>
        <v>13.500353475208357</v>
      </c>
      <c r="C14" s="16">
        <f>'[12]Dia 2 (b)'!$X20</f>
        <v>16.509709251713232</v>
      </c>
      <c r="D14" s="16">
        <f>'[12]Dia 3 (b)'!$X20</f>
        <v>16.748118002996328</v>
      </c>
      <c r="E14" s="16">
        <f>'[12]Dia 4 (b)'!$X20</f>
        <v>11.730692140502724</v>
      </c>
      <c r="F14" s="16">
        <f>'[12]Dia 5 (b)'!$X20</f>
        <v>14.880419926866487</v>
      </c>
      <c r="G14" s="16">
        <f>'[12]Dia 6 (b)'!$X20</f>
        <v>15.442095743497042</v>
      </c>
      <c r="H14" s="16">
        <f>'[12]Dia 7 (b)'!$X20</f>
        <v>13.450874308823462</v>
      </c>
      <c r="I14" s="16">
        <f>'[12]Dia 8 (b)'!$X20</f>
        <v>16.019567140297788</v>
      </c>
      <c r="J14" s="16">
        <f>'[12]Dia 9 (b)'!$X20</f>
        <v>16.663253133213882</v>
      </c>
      <c r="K14" s="16">
        <f>'[12]Dia 10 (b)'!$X20</f>
        <v>16.803831481965268</v>
      </c>
      <c r="L14" s="16">
        <f>'[12]Dia 11 (b)'!$X20</f>
        <v>11.799578352241037</v>
      </c>
      <c r="M14" s="16">
        <f>'[12]Dia 12 (b)'!$X20</f>
        <v>12.220043515930465</v>
      </c>
      <c r="N14" s="16">
        <f>'[12]Dia 13 (b)'!$X20</f>
        <v>13.778673094992229</v>
      </c>
      <c r="O14" s="16">
        <f>'[12]Dia 14 (b)'!$X20</f>
        <v>14.225610938347179</v>
      </c>
      <c r="P14" s="16">
        <f>'[12]Dia 15 (b)'!$X20</f>
        <v>14.800947325357109</v>
      </c>
      <c r="Q14" s="16">
        <f>'[12]Dia 16 (b)'!$X20</f>
        <v>11.296712414774765</v>
      </c>
      <c r="R14" s="16">
        <f>'[12]Dia 17 (b)'!$X20</f>
        <v>12.380207051811668</v>
      </c>
      <c r="S14" s="16">
        <f>'[12]Dia 18 (b)'!$X20</f>
        <v>11.686348916664333</v>
      </c>
      <c r="T14" s="16">
        <f>'[12]Dia 19 (b)'!$X20</f>
        <v>10.293069066149506</v>
      </c>
      <c r="U14" s="16">
        <f>'[12]Dia 20 (b)'!$X20</f>
        <v>15.185624226539009</v>
      </c>
      <c r="V14" s="16">
        <f>'[12]Dia 21 (b)'!$X20</f>
        <v>15.347981150783001</v>
      </c>
      <c r="W14" s="16">
        <f>'[12]Dia 22 (b)'!$X20</f>
        <v>14.93829690995536</v>
      </c>
      <c r="X14" s="16">
        <f>'[12]Dia 23 (b)'!$X20</f>
        <v>15.286471294752651</v>
      </c>
      <c r="Y14" s="16">
        <f>'[12]Dia 24 (b)'!$X20</f>
        <v>14.090391804489643</v>
      </c>
      <c r="Z14" s="16">
        <f>'[12]Dia 25 (b)'!$X20</f>
        <v>14.055855204688738</v>
      </c>
      <c r="AA14" s="16">
        <f>'[12]Dia 26 (b)'!$X20</f>
        <v>15.978715187545621</v>
      </c>
      <c r="AB14" s="16">
        <f>'[12]Dia 27 (b)'!$X20</f>
        <v>16.16909162280048</v>
      </c>
      <c r="AC14" s="16">
        <f>'[12]Dia 28 (b)'!$X20</f>
        <v>13.611780854710553</v>
      </c>
      <c r="AD14" s="16">
        <f>'[12]Dia 29 (b)'!$X20</f>
        <v>13.58394784819634</v>
      </c>
      <c r="AE14" s="16">
        <f>'[12]Dia 30 (b)'!$X20</f>
        <v>12.895787505587037</v>
      </c>
      <c r="AF14" s="16">
        <f>'[12]Dia 31 (b)'!$X20</f>
        <v>13.407815866039774</v>
      </c>
    </row>
    <row r="15" spans="1:32" ht="20.100000000000001" customHeight="1">
      <c r="A15" s="15">
        <v>12</v>
      </c>
      <c r="B15" s="16">
        <f>'[12]Dia 1 (b)'!$X21</f>
        <v>13.340339917041227</v>
      </c>
      <c r="C15" s="16">
        <f>'[12]Dia 2 (b)'!$X21</f>
        <v>16.75414236927962</v>
      </c>
      <c r="D15" s="16">
        <f>'[12]Dia 3 (b)'!$X21</f>
        <v>17.225145017665401</v>
      </c>
      <c r="E15" s="16">
        <f>'[12]Dia 4 (b)'!$X21</f>
        <v>12.106497947617392</v>
      </c>
      <c r="F15" s="16">
        <f>'[12]Dia 5 (b)'!$X21</f>
        <v>15.008016547552893</v>
      </c>
      <c r="G15" s="16">
        <f>'[12]Dia 6 (b)'!$X21</f>
        <v>14.852526228104296</v>
      </c>
      <c r="H15" s="16">
        <f>'[12]Dia 7 (b)'!$X21</f>
        <v>13.649728892784365</v>
      </c>
      <c r="I15" s="16">
        <f>'[12]Dia 8 (b)'!$X21</f>
        <v>16.622409674971706</v>
      </c>
      <c r="J15" s="16">
        <f>'[12]Dia 9 (b)'!$X21</f>
        <v>16.834755469643991</v>
      </c>
      <c r="K15" s="16">
        <f>'[12]Dia 10 (b)'!$X21</f>
        <v>15.952066035131743</v>
      </c>
      <c r="L15" s="16">
        <f>'[12]Dia 11 (b)'!$X21</f>
        <v>12.565105961215567</v>
      </c>
      <c r="M15" s="16">
        <f>'[12]Dia 12 (b)'!$X21</f>
        <v>12.051127919649952</v>
      </c>
      <c r="N15" s="16">
        <f>'[12]Dia 13 (b)'!$X21</f>
        <v>13.562215287018169</v>
      </c>
      <c r="O15" s="16">
        <f>'[12]Dia 14 (b)'!$X21</f>
        <v>14.009666093361268</v>
      </c>
      <c r="P15" s="16">
        <f>'[12]Dia 15 (b)'!$X21</f>
        <v>14.970475588732471</v>
      </c>
      <c r="Q15" s="16">
        <f>'[12]Dia 16 (b)'!$X21</f>
        <v>11.522675467839079</v>
      </c>
      <c r="R15" s="16">
        <f>'[12]Dia 17 (b)'!$X21</f>
        <v>12.954209008198948</v>
      </c>
      <c r="S15" s="16">
        <f>'[12]Dia 18 (b)'!$X21</f>
        <v>12.721207274556486</v>
      </c>
      <c r="T15" s="16">
        <f>'[12]Dia 19 (b)'!$X21</f>
        <v>10.429425031633787</v>
      </c>
      <c r="U15" s="16">
        <f>'[12]Dia 20 (b)'!$X21</f>
        <v>15.613156421470697</v>
      </c>
      <c r="V15" s="16">
        <f>'[12]Dia 21 (b)'!$X21</f>
        <v>15.999718108169132</v>
      </c>
      <c r="W15" s="16">
        <f>'[12]Dia 22 (b)'!$X21</f>
        <v>15.129393954855235</v>
      </c>
      <c r="X15" s="16">
        <f>'[12]Dia 23 (b)'!$X21</f>
        <v>15.729378232342086</v>
      </c>
      <c r="Y15" s="16">
        <f>'[12]Dia 24 (b)'!$X21</f>
        <v>14.111148753191166</v>
      </c>
      <c r="Z15" s="16">
        <f>'[12]Dia 25 (b)'!$X21</f>
        <v>14.159848108737261</v>
      </c>
      <c r="AA15" s="16">
        <f>'[12]Dia 26 (b)'!$X21</f>
        <v>17.056432766323415</v>
      </c>
      <c r="AB15" s="16">
        <f>'[12]Dia 27 (b)'!$X21</f>
        <v>16.020370008363972</v>
      </c>
      <c r="AC15" s="16">
        <f>'[12]Dia 28 (b)'!$X21</f>
        <v>16.164849950582656</v>
      </c>
      <c r="AD15" s="16">
        <f>'[12]Dia 29 (b)'!$X21</f>
        <v>14.780733408714816</v>
      </c>
      <c r="AE15" s="16">
        <f>'[12]Dia 30 (b)'!$X21</f>
        <v>14.533059738968257</v>
      </c>
      <c r="AF15" s="16">
        <f>'[12]Dia 31 (b)'!$X21</f>
        <v>15.468604154613017</v>
      </c>
    </row>
    <row r="16" spans="1:32" ht="20.100000000000001" customHeight="1">
      <c r="A16" s="15">
        <v>13</v>
      </c>
      <c r="B16" s="16">
        <f>'[12]Dia 1 (b)'!$X22</f>
        <v>15.726414886926538</v>
      </c>
      <c r="C16" s="16">
        <f>'[12]Dia 2 (b)'!$X22</f>
        <v>16.219703969770624</v>
      </c>
      <c r="D16" s="16">
        <f>'[12]Dia 3 (b)'!$X22</f>
        <v>17.613657113763008</v>
      </c>
      <c r="E16" s="16">
        <f>'[12]Dia 4 (b)'!$X22</f>
        <v>12.148583490554349</v>
      </c>
      <c r="F16" s="16">
        <f>'[12]Dia 5 (b)'!$X22</f>
        <v>15.040058143302939</v>
      </c>
      <c r="G16" s="16">
        <f>'[12]Dia 6 (b)'!$X22</f>
        <v>13.838441022649123</v>
      </c>
      <c r="H16" s="16">
        <f>'[12]Dia 7 (b)'!$X22</f>
        <v>13.058722165884966</v>
      </c>
      <c r="I16" s="16">
        <f>'[12]Dia 8 (b)'!$X22</f>
        <v>16.459266854925513</v>
      </c>
      <c r="J16" s="16">
        <f>'[12]Dia 9 (b)'!$X22</f>
        <v>16.604949930800188</v>
      </c>
      <c r="K16" s="16">
        <f>'[12]Dia 10 (b)'!$X22</f>
        <v>16.315907740546756</v>
      </c>
      <c r="L16" s="16">
        <f>'[12]Dia 11 (b)'!$X22</f>
        <v>12.522945779718745</v>
      </c>
      <c r="M16" s="16">
        <f>'[12]Dia 12 (b)'!$X22</f>
        <v>11.869936543738145</v>
      </c>
      <c r="N16" s="16">
        <f>'[12]Dia 13 (b)'!$X22</f>
        <v>14.368773228250689</v>
      </c>
      <c r="O16" s="16">
        <f>'[12]Dia 14 (b)'!$X22</f>
        <v>14.211008826420326</v>
      </c>
      <c r="P16" s="16">
        <f>'[12]Dia 15 (b)'!$X22</f>
        <v>13.505169765686002</v>
      </c>
      <c r="Q16" s="16">
        <f>'[12]Dia 16 (b)'!$X22</f>
        <v>11.879761170713923</v>
      </c>
      <c r="R16" s="16">
        <f>'[12]Dia 17 (b)'!$X22</f>
        <v>13.109449347315847</v>
      </c>
      <c r="S16" s="16">
        <f>'[12]Dia 18 (b)'!$X22</f>
        <v>13.596761413609224</v>
      </c>
      <c r="T16" s="16">
        <f>'[12]Dia 19 (b)'!$X22</f>
        <v>10.074428885851628</v>
      </c>
      <c r="U16" s="16">
        <f>'[12]Dia 20 (b)'!$X22</f>
        <v>15.14923328666454</v>
      </c>
      <c r="V16" s="16">
        <f>'[12]Dia 21 (b)'!$X22</f>
        <v>20.707465676167413</v>
      </c>
      <c r="W16" s="16">
        <f>'[12]Dia 22 (b)'!$X22</f>
        <v>15.281377581799566</v>
      </c>
      <c r="X16" s="16">
        <f>'[12]Dia 23 (b)'!$X22</f>
        <v>14.916733216086417</v>
      </c>
      <c r="Y16" s="16">
        <f>'[12]Dia 24 (b)'!$X22</f>
        <v>14.202412311518701</v>
      </c>
      <c r="Z16" s="16">
        <f>'[12]Dia 25 (b)'!$X22</f>
        <v>13.050490090541537</v>
      </c>
      <c r="AA16" s="16">
        <f>'[12]Dia 26 (b)'!$X22</f>
        <v>16.758728720204232</v>
      </c>
      <c r="AB16" s="16">
        <f>'[12]Dia 27 (b)'!$X22</f>
        <v>15.787256646937434</v>
      </c>
      <c r="AC16" s="16">
        <f>'[12]Dia 28 (b)'!$X22</f>
        <v>16.617664636584454</v>
      </c>
      <c r="AD16" s="16">
        <f>'[12]Dia 29 (b)'!$X22</f>
        <v>15.238206704203582</v>
      </c>
      <c r="AE16" s="16">
        <f>'[12]Dia 30 (b)'!$X22</f>
        <v>16.093304254954475</v>
      </c>
      <c r="AF16" s="16">
        <f>'[12]Dia 31 (b)'!$X22</f>
        <v>15.451080982075849</v>
      </c>
    </row>
    <row r="17" spans="1:32" ht="20.100000000000001" customHeight="1">
      <c r="A17" s="15">
        <v>14</v>
      </c>
      <c r="B17" s="16">
        <f>'[12]Dia 1 (b)'!$X23</f>
        <v>16.396304872210521</v>
      </c>
      <c r="C17" s="16">
        <f>'[12]Dia 2 (b)'!$X23</f>
        <v>15.815337302276909</v>
      </c>
      <c r="D17" s="16">
        <f>'[12]Dia 3 (b)'!$X23</f>
        <v>16.588642516799272</v>
      </c>
      <c r="E17" s="16">
        <f>'[12]Dia 4 (b)'!$X23</f>
        <v>11.579302139093532</v>
      </c>
      <c r="F17" s="16">
        <f>'[12]Dia 5 (b)'!$X23</f>
        <v>16.221611056406367</v>
      </c>
      <c r="G17" s="16">
        <f>'[12]Dia 6 (b)'!$X23</f>
        <v>14.09796641833595</v>
      </c>
      <c r="H17" s="16">
        <f>'[12]Dia 7 (b)'!$X23</f>
        <v>12.618459367619378</v>
      </c>
      <c r="I17" s="16">
        <f>'[12]Dia 8 (b)'!$X23</f>
        <v>16.329653942602555</v>
      </c>
      <c r="J17" s="16">
        <f>'[12]Dia 9 (b)'!$X23</f>
        <v>15.941439799281502</v>
      </c>
      <c r="K17" s="16">
        <f>'[12]Dia 10 (b)'!$X23</f>
        <v>16.247423830768358</v>
      </c>
      <c r="L17" s="16">
        <f>'[12]Dia 11 (b)'!$X23</f>
        <v>12.359528991262211</v>
      </c>
      <c r="M17" s="16">
        <f>'[12]Dia 12 (b)'!$X23</f>
        <v>12.232263930731488</v>
      </c>
      <c r="N17" s="16">
        <f>'[12]Dia 13 (b)'!$X23</f>
        <v>14.509141050951623</v>
      </c>
      <c r="O17" s="16">
        <f>'[12]Dia 14 (b)'!$X23</f>
        <v>14.045516080616988</v>
      </c>
      <c r="P17" s="16">
        <f>'[12]Dia 15 (b)'!$X23</f>
        <v>12.770238119145766</v>
      </c>
      <c r="Q17" s="16">
        <f>'[12]Dia 16 (b)'!$X23</f>
        <v>11.136860326372728</v>
      </c>
      <c r="R17" s="16">
        <f>'[12]Dia 17 (b)'!$X23</f>
        <v>13.217015991625155</v>
      </c>
      <c r="S17" s="16">
        <f>'[12]Dia 18 (b)'!$X23</f>
        <v>12.982431974846945</v>
      </c>
      <c r="T17" s="16">
        <f>'[12]Dia 19 (b)'!$X23</f>
        <v>15.069279767530192</v>
      </c>
      <c r="U17" s="16">
        <f>'[12]Dia 20 (b)'!$X23</f>
        <v>14.041323907409634</v>
      </c>
      <c r="V17" s="16">
        <f>'[12]Dia 21 (b)'!$X23</f>
        <v>17.3574397206961</v>
      </c>
      <c r="W17" s="16">
        <f>'[12]Dia 22 (b)'!$X23</f>
        <v>15.22633243769052</v>
      </c>
      <c r="X17" s="16">
        <f>'[12]Dia 23 (b)'!$X23</f>
        <v>14.676129051852779</v>
      </c>
      <c r="Y17" s="16">
        <f>'[12]Dia 24 (b)'!$X23</f>
        <v>14.833911622016156</v>
      </c>
      <c r="Z17" s="16">
        <f>'[12]Dia 25 (b)'!$X23</f>
        <v>13.264101254569297</v>
      </c>
      <c r="AA17" s="16">
        <f>'[12]Dia 26 (b)'!$X23</f>
        <v>16.0696131072824</v>
      </c>
      <c r="AB17" s="16">
        <f>'[12]Dia 27 (b)'!$X23</f>
        <v>17.927494655929166</v>
      </c>
      <c r="AC17" s="16">
        <f>'[12]Dia 28 (b)'!$X23</f>
        <v>15.782628687605737</v>
      </c>
      <c r="AD17" s="16">
        <f>'[12]Dia 29 (b)'!$X23</f>
        <v>15.023924811464992</v>
      </c>
      <c r="AE17" s="16">
        <f>'[12]Dia 30 (b)'!$X23</f>
        <v>14.518372998563908</v>
      </c>
      <c r="AF17" s="16">
        <f>'[12]Dia 31 (b)'!$X23</f>
        <v>15.422847867972258</v>
      </c>
    </row>
    <row r="18" spans="1:32" ht="20.100000000000001" customHeight="1">
      <c r="A18" s="15">
        <v>15</v>
      </c>
      <c r="B18" s="16">
        <f>'[12]Dia 1 (b)'!$X24</f>
        <v>16.157949001925161</v>
      </c>
      <c r="C18" s="16">
        <f>'[12]Dia 2 (b)'!$X24</f>
        <v>15.862624289753686</v>
      </c>
      <c r="D18" s="16">
        <f>'[12]Dia 3 (b)'!$X24</f>
        <v>16.167408784322319</v>
      </c>
      <c r="E18" s="16">
        <f>'[12]Dia 4 (b)'!$X24</f>
        <v>11.963367515973632</v>
      </c>
      <c r="F18" s="16">
        <f>'[12]Dia 5 (b)'!$X24</f>
        <v>16.006535936368724</v>
      </c>
      <c r="G18" s="16">
        <f>'[12]Dia 6 (b)'!$X24</f>
        <v>14.622064455254886</v>
      </c>
      <c r="H18" s="16">
        <f>'[12]Dia 7 (b)'!$X24</f>
        <v>12.599674483375056</v>
      </c>
      <c r="I18" s="16">
        <f>'[12]Dia 8 (b)'!$X24</f>
        <v>17.063793925717281</v>
      </c>
      <c r="J18" s="16">
        <f>'[12]Dia 9 (b)'!$X24</f>
        <v>16.077777134522876</v>
      </c>
      <c r="K18" s="16">
        <f>'[12]Dia 10 (b)'!$X24</f>
        <v>17.68446325254822</v>
      </c>
      <c r="L18" s="16">
        <f>'[12]Dia 11 (b)'!$X24</f>
        <v>12.060507077496565</v>
      </c>
      <c r="M18" s="16">
        <f>'[12]Dia 12 (b)'!$X24</f>
        <v>12.2184483155553</v>
      </c>
      <c r="N18" s="16">
        <f>'[12]Dia 13 (b)'!$X24</f>
        <v>14.734566507914494</v>
      </c>
      <c r="O18" s="16">
        <f>'[12]Dia 14 (b)'!$X24</f>
        <v>13.281736128756689</v>
      </c>
      <c r="P18" s="16">
        <f>'[12]Dia 15 (b)'!$X24</f>
        <v>11.049650973168852</v>
      </c>
      <c r="Q18" s="16">
        <f>'[12]Dia 16 (b)'!$X24</f>
        <v>10.638833953130064</v>
      </c>
      <c r="R18" s="16">
        <f>'[12]Dia 17 (b)'!$X24</f>
        <v>13.759511176579332</v>
      </c>
      <c r="S18" s="16">
        <f>'[12]Dia 18 (b)'!$X24</f>
        <v>13.393807801856768</v>
      </c>
      <c r="T18" s="16">
        <f>'[12]Dia 19 (b)'!$X24</f>
        <v>15.600196394109759</v>
      </c>
      <c r="U18" s="16">
        <f>'[12]Dia 20 (b)'!$X24</f>
        <v>15.510244459090991</v>
      </c>
      <c r="V18" s="16">
        <f>'[12]Dia 21 (b)'!$X24</f>
        <v>17.426384899823692</v>
      </c>
      <c r="W18" s="16">
        <f>'[12]Dia 22 (b)'!$X24</f>
        <v>15.456769754574184</v>
      </c>
      <c r="X18" s="16">
        <f>'[12]Dia 23 (b)'!$X24</f>
        <v>14.780149952260253</v>
      </c>
      <c r="Y18" s="16">
        <f>'[12]Dia 24 (b)'!$X24</f>
        <v>15.014913379650489</v>
      </c>
      <c r="Z18" s="16">
        <f>'[12]Dia 25 (b)'!$X24</f>
        <v>17.391610144494646</v>
      </c>
      <c r="AA18" s="16">
        <f>'[12]Dia 26 (b)'!$X24</f>
        <v>17.62621821611156</v>
      </c>
      <c r="AB18" s="16">
        <f>'[12]Dia 27 (b)'!$X24</f>
        <v>16.824221394511319</v>
      </c>
      <c r="AC18" s="16">
        <f>'[12]Dia 28 (b)'!$X24</f>
        <v>17.902372425178271</v>
      </c>
      <c r="AD18" s="16">
        <f>'[12]Dia 29 (b)'!$X24</f>
        <v>15.168406955078563</v>
      </c>
      <c r="AE18" s="16">
        <f>'[12]Dia 30 (b)'!$X24</f>
        <v>14.825110906692998</v>
      </c>
      <c r="AF18" s="16">
        <f>'[12]Dia 31 (b)'!$X24</f>
        <v>16.005270922190064</v>
      </c>
    </row>
    <row r="19" spans="1:32" ht="20.100000000000001" customHeight="1">
      <c r="A19" s="15">
        <v>16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</row>
    <row r="20" spans="1:32" ht="20.100000000000001" customHeight="1">
      <c r="A20" s="15">
        <v>17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</row>
    <row r="21" spans="1:32" ht="20.100000000000001" customHeight="1">
      <c r="A21" s="15">
        <v>18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</row>
    <row r="22" spans="1:32" ht="20.100000000000001" customHeight="1">
      <c r="A22" s="15">
        <v>19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</row>
    <row r="23" spans="1:32" ht="20.100000000000001" customHeight="1">
      <c r="A23" s="15">
        <v>20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</row>
    <row r="24" spans="1:32" ht="20.100000000000001" customHeight="1">
      <c r="A24" s="15">
        <v>21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</row>
    <row r="25" spans="1:32" ht="20.100000000000001" customHeight="1">
      <c r="A25" s="15">
        <v>22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</row>
    <row r="26" spans="1:32" ht="20.100000000000001" customHeight="1">
      <c r="A26" s="15">
        <v>23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</row>
    <row r="27" spans="1:32" ht="20.100000000000001" customHeight="1" thickBot="1">
      <c r="A27" s="15">
        <v>24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</row>
    <row r="28" spans="1:32" ht="16.5" thickTop="1">
      <c r="A28" s="17"/>
      <c r="B28" s="84" t="s">
        <v>62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9"/>
    </row>
    <row r="29" spans="1:32" ht="15.75">
      <c r="A29" s="20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1"/>
    </row>
    <row r="30" spans="1:32" ht="15.75">
      <c r="A30" s="22" t="s">
        <v>1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1"/>
    </row>
    <row r="31" spans="1:32" ht="15.75">
      <c r="A31" s="22" t="s">
        <v>2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5"/>
    </row>
    <row r="32" spans="1:32" ht="15.7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8"/>
    </row>
    <row r="33" spans="1:32" ht="15.7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8"/>
    </row>
    <row r="34" spans="1:32" ht="15.75">
      <c r="A34" s="22" t="s">
        <v>3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8"/>
    </row>
    <row r="35" spans="1:32" ht="15.75">
      <c r="A35" s="22" t="s">
        <v>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5"/>
    </row>
    <row r="36" spans="1:32" ht="15.7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5"/>
    </row>
    <row r="37" spans="1:32" ht="15.7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8"/>
    </row>
    <row r="38" spans="1:32" ht="15.75">
      <c r="A38" s="22" t="s">
        <v>4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8"/>
    </row>
    <row r="39" spans="1:32" ht="15.75">
      <c r="A39" s="22" t="s">
        <v>2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5"/>
    </row>
    <row r="40" spans="1:32" ht="15.7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5"/>
    </row>
    <row r="41" spans="1:32" ht="15.7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8"/>
    </row>
    <row r="42" spans="1:32" ht="15.75">
      <c r="A42" s="22" t="s">
        <v>5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8"/>
    </row>
    <row r="43" spans="1:32" ht="15.75">
      <c r="A43" s="22" t="s">
        <v>2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5"/>
    </row>
    <row r="44" spans="1:32" ht="15.75">
      <c r="A44" s="22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5"/>
    </row>
    <row r="45" spans="1:32" ht="15.75">
      <c r="A45" s="20"/>
      <c r="B45" s="3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1"/>
    </row>
    <row r="46" spans="1:32" ht="15.75">
      <c r="A46" s="31"/>
      <c r="B46" s="30"/>
      <c r="C46" s="3"/>
      <c r="D46" s="3"/>
      <c r="E46" s="3"/>
      <c r="F46" s="3"/>
      <c r="G46" s="3"/>
      <c r="H46" s="32" t="s">
        <v>1</v>
      </c>
      <c r="I46" s="30"/>
      <c r="J46" s="33"/>
      <c r="K46" s="34" t="s">
        <v>3</v>
      </c>
      <c r="L46" s="33"/>
      <c r="M46" s="33"/>
      <c r="N46" s="34" t="s">
        <v>4</v>
      </c>
      <c r="O46" s="33"/>
      <c r="P46" s="33"/>
      <c r="Q46" s="34" t="s">
        <v>5</v>
      </c>
      <c r="R46" s="30"/>
      <c r="S46" s="30"/>
      <c r="T46" s="33" t="s">
        <v>1</v>
      </c>
      <c r="U46" s="33"/>
      <c r="V46" s="33" t="s">
        <v>1</v>
      </c>
      <c r="W46" s="33"/>
      <c r="X46" s="33" t="s">
        <v>6</v>
      </c>
      <c r="Y46" s="3"/>
      <c r="Z46" s="3"/>
      <c r="AA46" s="3"/>
      <c r="AB46" s="3"/>
      <c r="AC46" s="3"/>
      <c r="AD46" s="3"/>
      <c r="AE46" s="3"/>
      <c r="AF46" s="21"/>
    </row>
    <row r="47" spans="1:32" ht="15.75">
      <c r="A47" s="31"/>
      <c r="B47" s="30"/>
      <c r="C47" s="3"/>
      <c r="D47" s="3"/>
      <c r="E47" s="3"/>
      <c r="F47" s="3"/>
      <c r="G47" s="3"/>
      <c r="H47" s="35" t="s">
        <v>7</v>
      </c>
      <c r="I47" s="30"/>
      <c r="J47" s="33"/>
      <c r="K47" s="33" t="s">
        <v>7</v>
      </c>
      <c r="L47" s="33"/>
      <c r="M47" s="33"/>
      <c r="N47" s="33" t="s">
        <v>7</v>
      </c>
      <c r="O47" s="33"/>
      <c r="P47" s="33"/>
      <c r="Q47" s="33" t="s">
        <v>7</v>
      </c>
      <c r="R47" s="30"/>
      <c r="S47" s="30"/>
      <c r="T47" s="33" t="s">
        <v>8</v>
      </c>
      <c r="U47" s="33"/>
      <c r="V47" s="33" t="s">
        <v>9</v>
      </c>
      <c r="W47" s="33"/>
      <c r="X47" s="33" t="s">
        <v>10</v>
      </c>
      <c r="Y47" s="3"/>
      <c r="Z47" s="3"/>
      <c r="AA47" s="3"/>
      <c r="AB47" s="3"/>
      <c r="AC47" s="3"/>
      <c r="AD47" s="3"/>
      <c r="AE47" s="3"/>
      <c r="AF47" s="21"/>
    </row>
    <row r="48" spans="1:32" ht="15.75">
      <c r="A48" s="31"/>
      <c r="B48" s="30"/>
      <c r="C48" s="3"/>
      <c r="D48" s="3"/>
      <c r="E48" s="3"/>
      <c r="F48" s="3"/>
      <c r="G48" s="3"/>
      <c r="H48" s="3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1"/>
    </row>
    <row r="49" spans="1:32" ht="16.5" thickBot="1">
      <c r="A49" s="37"/>
      <c r="B49" s="38"/>
      <c r="C49" s="39"/>
      <c r="D49" s="39"/>
      <c r="E49" s="39"/>
      <c r="F49" s="39"/>
      <c r="G49" s="39"/>
      <c r="H49" s="40"/>
      <c r="I49" s="39"/>
      <c r="J49" s="41"/>
      <c r="K49" s="40"/>
      <c r="L49" s="41"/>
      <c r="M49" s="41"/>
      <c r="N49" s="40"/>
      <c r="O49" s="41"/>
      <c r="P49" s="41"/>
      <c r="Q49" s="40"/>
      <c r="R49" s="39"/>
      <c r="S49" s="40"/>
      <c r="T49" s="40"/>
      <c r="U49" s="40"/>
      <c r="V49" s="40"/>
      <c r="W49" s="40"/>
      <c r="X49" s="40"/>
      <c r="Y49" s="39"/>
      <c r="Z49" s="39"/>
      <c r="AA49" s="39"/>
      <c r="AB49" s="39"/>
      <c r="AC49" s="39"/>
      <c r="AD49" s="39"/>
      <c r="AE49" s="39"/>
      <c r="AF49" s="42"/>
    </row>
    <row r="50" spans="1:32" ht="15.75" thickTop="1">
      <c r="B50" s="43"/>
    </row>
    <row r="51" spans="1:32">
      <c r="B51" s="43"/>
    </row>
    <row r="52" spans="1:32">
      <c r="B52" s="43"/>
    </row>
    <row r="53" spans="1:32">
      <c r="B53" s="43"/>
    </row>
    <row r="54" spans="1:32">
      <c r="B54" s="43"/>
    </row>
    <row r="55" spans="1:32">
      <c r="B55" s="43"/>
    </row>
    <row r="56" spans="1:32">
      <c r="B56" s="43"/>
    </row>
    <row r="57" spans="1:32">
      <c r="B57" s="43"/>
    </row>
    <row r="58" spans="1:32">
      <c r="B58" s="43"/>
    </row>
    <row r="59" spans="1:32">
      <c r="B59" s="43"/>
    </row>
    <row r="60" spans="1:32">
      <c r="B60" s="43"/>
    </row>
    <row r="61" spans="1:32">
      <c r="B61" s="43"/>
    </row>
    <row r="62" spans="1:32">
      <c r="B62" s="43"/>
    </row>
    <row r="63" spans="1:32">
      <c r="B63" s="43"/>
    </row>
    <row r="64" spans="1:32">
      <c r="B64" s="43"/>
    </row>
    <row r="65" spans="2:2">
      <c r="B65" s="43"/>
    </row>
    <row r="66" spans="2:2">
      <c r="B66" s="43"/>
    </row>
    <row r="67" spans="2:2">
      <c r="B67" s="43"/>
    </row>
    <row r="68" spans="2:2">
      <c r="B68" s="43"/>
    </row>
    <row r="69" spans="2:2">
      <c r="B69" s="43"/>
    </row>
    <row r="70" spans="2:2">
      <c r="B70" s="43"/>
    </row>
    <row r="71" spans="2:2">
      <c r="B71" s="43"/>
    </row>
    <row r="72" spans="2:2">
      <c r="B72" s="43"/>
    </row>
    <row r="73" spans="2:2">
      <c r="B73" s="43"/>
    </row>
    <row r="74" spans="2:2">
      <c r="B74" s="43"/>
    </row>
    <row r="75" spans="2:2">
      <c r="B75" s="43"/>
    </row>
    <row r="76" spans="2:2">
      <c r="B76" s="43"/>
    </row>
    <row r="77" spans="2:2">
      <c r="B77" s="43"/>
    </row>
    <row r="78" spans="2:2">
      <c r="B78" s="43"/>
    </row>
    <row r="79" spans="2:2">
      <c r="B79" s="43"/>
    </row>
    <row r="80" spans="2:2">
      <c r="B80" s="43"/>
    </row>
    <row r="81" spans="2:2">
      <c r="B81" s="43"/>
    </row>
    <row r="82" spans="2:2">
      <c r="B82" s="43"/>
    </row>
    <row r="83" spans="2:2">
      <c r="B83" s="43"/>
    </row>
    <row r="84" spans="2:2">
      <c r="B84" s="43"/>
    </row>
    <row r="85" spans="2:2">
      <c r="B85" s="43"/>
    </row>
    <row r="86" spans="2:2">
      <c r="B86" s="43"/>
    </row>
    <row r="87" spans="2:2">
      <c r="B87" s="43"/>
    </row>
    <row r="88" spans="2:2">
      <c r="B88" s="43"/>
    </row>
    <row r="89" spans="2:2">
      <c r="B89" s="43"/>
    </row>
    <row r="90" spans="2:2">
      <c r="B90" s="43"/>
    </row>
    <row r="91" spans="2:2">
      <c r="B91" s="43"/>
    </row>
    <row r="92" spans="2:2">
      <c r="B92" s="43"/>
    </row>
    <row r="93" spans="2:2">
      <c r="B93" s="43"/>
    </row>
    <row r="94" spans="2:2">
      <c r="B94" s="43"/>
    </row>
    <row r="95" spans="2:2">
      <c r="B95" s="43"/>
    </row>
    <row r="96" spans="2:2">
      <c r="B96" s="43"/>
    </row>
    <row r="97" spans="2:2">
      <c r="B97" s="43"/>
    </row>
    <row r="98" spans="2:2">
      <c r="B98" s="43"/>
    </row>
    <row r="99" spans="2:2">
      <c r="B99" s="43"/>
    </row>
    <row r="100" spans="2:2">
      <c r="B100" s="43"/>
    </row>
    <row r="101" spans="2:2">
      <c r="B101" s="43"/>
    </row>
    <row r="102" spans="2:2">
      <c r="B102" s="43"/>
    </row>
    <row r="103" spans="2:2">
      <c r="B103" s="43"/>
    </row>
    <row r="104" spans="2:2">
      <c r="B104" s="43"/>
    </row>
    <row r="105" spans="2:2">
      <c r="B105" s="43"/>
    </row>
    <row r="106" spans="2:2">
      <c r="B106" s="43"/>
    </row>
    <row r="107" spans="2:2">
      <c r="B107" s="43"/>
    </row>
    <row r="108" spans="2:2">
      <c r="B108" s="43"/>
    </row>
    <row r="109" spans="2:2">
      <c r="B109" s="43"/>
    </row>
    <row r="110" spans="2:2">
      <c r="B110" s="43"/>
    </row>
    <row r="111" spans="2:2">
      <c r="B111" s="43"/>
    </row>
    <row r="112" spans="2:2">
      <c r="B112" s="43"/>
    </row>
    <row r="113" spans="2:2">
      <c r="B113" s="43"/>
    </row>
    <row r="114" spans="2:2">
      <c r="B114" s="43"/>
    </row>
    <row r="115" spans="2:2">
      <c r="B115" s="43"/>
    </row>
    <row r="116" spans="2:2">
      <c r="B116" s="43"/>
    </row>
    <row r="117" spans="2:2">
      <c r="B117" s="43"/>
    </row>
    <row r="118" spans="2:2">
      <c r="B118" s="43"/>
    </row>
    <row r="119" spans="2:2">
      <c r="B119" s="43"/>
    </row>
    <row r="120" spans="2:2">
      <c r="B120" s="43"/>
    </row>
    <row r="121" spans="2:2">
      <c r="B121" s="43"/>
    </row>
    <row r="122" spans="2:2">
      <c r="B122" s="43"/>
    </row>
    <row r="123" spans="2:2">
      <c r="B123" s="43"/>
    </row>
    <row r="124" spans="2:2">
      <c r="B124" s="43"/>
    </row>
    <row r="125" spans="2:2">
      <c r="B125" s="43"/>
    </row>
    <row r="126" spans="2:2">
      <c r="B126" s="43"/>
    </row>
    <row r="127" spans="2:2">
      <c r="B127" s="43"/>
    </row>
    <row r="128" spans="2:2">
      <c r="B128" s="43"/>
    </row>
    <row r="129" spans="2:2">
      <c r="B129" s="43"/>
    </row>
    <row r="130" spans="2:2">
      <c r="B130" s="43"/>
    </row>
    <row r="131" spans="2:2">
      <c r="B131" s="43"/>
    </row>
    <row r="132" spans="2:2">
      <c r="B132" s="43"/>
    </row>
    <row r="133" spans="2:2">
      <c r="B133" s="43"/>
    </row>
    <row r="134" spans="2:2">
      <c r="B134" s="43"/>
    </row>
    <row r="135" spans="2:2">
      <c r="B135" s="43"/>
    </row>
    <row r="136" spans="2:2">
      <c r="B136" s="43"/>
    </row>
    <row r="137" spans="2:2">
      <c r="B137" s="43"/>
    </row>
    <row r="138" spans="2:2">
      <c r="B138" s="43"/>
    </row>
    <row r="139" spans="2:2">
      <c r="B139" s="43"/>
    </row>
    <row r="140" spans="2:2">
      <c r="B140" s="43"/>
    </row>
    <row r="141" spans="2:2">
      <c r="B141" s="43"/>
    </row>
    <row r="142" spans="2:2">
      <c r="B142" s="43"/>
    </row>
    <row r="143" spans="2:2">
      <c r="B143" s="43"/>
    </row>
    <row r="144" spans="2:2">
      <c r="B144" s="43"/>
    </row>
    <row r="145" spans="2:2">
      <c r="B145" s="43"/>
    </row>
    <row r="146" spans="2:2">
      <c r="B146" s="43"/>
    </row>
    <row r="147" spans="2:2">
      <c r="B147" s="43"/>
    </row>
    <row r="148" spans="2:2">
      <c r="B148" s="43"/>
    </row>
    <row r="149" spans="2:2">
      <c r="B149" s="43"/>
    </row>
    <row r="150" spans="2:2">
      <c r="B150" s="43"/>
    </row>
    <row r="151" spans="2:2">
      <c r="B151" s="43"/>
    </row>
    <row r="152" spans="2:2">
      <c r="B152" s="43"/>
    </row>
    <row r="153" spans="2:2">
      <c r="B153" s="43"/>
    </row>
    <row r="154" spans="2:2">
      <c r="B154" s="43"/>
    </row>
    <row r="155" spans="2:2">
      <c r="B155" s="43"/>
    </row>
    <row r="156" spans="2:2">
      <c r="B156" s="43"/>
    </row>
    <row r="157" spans="2:2">
      <c r="B157" s="43"/>
    </row>
    <row r="158" spans="2:2">
      <c r="B158" s="43"/>
    </row>
    <row r="159" spans="2:2">
      <c r="B159" s="43"/>
    </row>
    <row r="160" spans="2:2">
      <c r="B160" s="43"/>
    </row>
    <row r="161" spans="2:2">
      <c r="B161" s="43"/>
    </row>
    <row r="162" spans="2:2">
      <c r="B162" s="43"/>
    </row>
    <row r="163" spans="2:2">
      <c r="B163" s="43"/>
    </row>
    <row r="164" spans="2:2">
      <c r="B164" s="43"/>
    </row>
    <row r="165" spans="2:2">
      <c r="B165" s="43"/>
    </row>
    <row r="166" spans="2:2">
      <c r="B166" s="43"/>
    </row>
    <row r="167" spans="2:2">
      <c r="B167" s="43"/>
    </row>
    <row r="168" spans="2:2">
      <c r="B168" s="43"/>
    </row>
    <row r="169" spans="2:2">
      <c r="B169" s="43"/>
    </row>
    <row r="170" spans="2:2">
      <c r="B170" s="43"/>
    </row>
    <row r="171" spans="2:2">
      <c r="B171" s="43"/>
    </row>
    <row r="172" spans="2:2">
      <c r="B172" s="43"/>
    </row>
    <row r="173" spans="2:2">
      <c r="B173" s="43"/>
    </row>
    <row r="174" spans="2:2">
      <c r="B174" s="43"/>
    </row>
    <row r="175" spans="2:2">
      <c r="B175" s="43"/>
    </row>
    <row r="176" spans="2:2">
      <c r="B176" s="43"/>
    </row>
    <row r="177" spans="2:2">
      <c r="B177" s="43"/>
    </row>
    <row r="178" spans="2:2">
      <c r="B178" s="43"/>
    </row>
    <row r="179" spans="2:2">
      <c r="B179" s="43"/>
    </row>
    <row r="180" spans="2:2">
      <c r="B180" s="43"/>
    </row>
    <row r="181" spans="2:2">
      <c r="B181" s="43"/>
    </row>
    <row r="182" spans="2:2">
      <c r="B182" s="43"/>
    </row>
    <row r="183" spans="2:2">
      <c r="B183" s="43"/>
    </row>
    <row r="184" spans="2:2">
      <c r="B184" s="43"/>
    </row>
    <row r="185" spans="2:2">
      <c r="B185" s="43"/>
    </row>
    <row r="186" spans="2:2">
      <c r="B186" s="43"/>
    </row>
    <row r="187" spans="2:2">
      <c r="B187" s="43"/>
    </row>
    <row r="188" spans="2:2">
      <c r="B188" s="43"/>
    </row>
    <row r="189" spans="2:2">
      <c r="B189" s="43"/>
    </row>
    <row r="190" spans="2:2">
      <c r="B190" s="43"/>
    </row>
    <row r="191" spans="2:2">
      <c r="B191" s="43"/>
    </row>
    <row r="192" spans="2:2">
      <c r="B192" s="43"/>
    </row>
    <row r="193" spans="2:2">
      <c r="B193" s="43"/>
    </row>
    <row r="194" spans="2:2">
      <c r="B194" s="43"/>
    </row>
    <row r="195" spans="2:2">
      <c r="B195" s="43"/>
    </row>
    <row r="196" spans="2:2">
      <c r="B196" s="43"/>
    </row>
    <row r="197" spans="2:2">
      <c r="B197" s="43"/>
    </row>
    <row r="198" spans="2:2">
      <c r="B198" s="43"/>
    </row>
    <row r="199" spans="2:2">
      <c r="B199" s="43"/>
    </row>
    <row r="200" spans="2:2">
      <c r="B200" s="43"/>
    </row>
    <row r="201" spans="2:2">
      <c r="B201" s="43"/>
    </row>
    <row r="202" spans="2:2">
      <c r="B202" s="43"/>
    </row>
    <row r="203" spans="2:2">
      <c r="B203" s="43"/>
    </row>
    <row r="204" spans="2:2">
      <c r="B204" s="43"/>
    </row>
    <row r="205" spans="2:2">
      <c r="B205" s="43"/>
    </row>
    <row r="206" spans="2:2">
      <c r="B206" s="43"/>
    </row>
    <row r="207" spans="2:2">
      <c r="B207" s="43"/>
    </row>
    <row r="208" spans="2:2">
      <c r="B208" s="43"/>
    </row>
    <row r="209" spans="2:2">
      <c r="B209" s="43"/>
    </row>
    <row r="210" spans="2:2">
      <c r="B210" s="43"/>
    </row>
    <row r="211" spans="2:2">
      <c r="B211" s="43"/>
    </row>
    <row r="212" spans="2:2">
      <c r="B212" s="43"/>
    </row>
    <row r="213" spans="2:2">
      <c r="B213" s="43"/>
    </row>
    <row r="214" spans="2:2">
      <c r="B214" s="43"/>
    </row>
    <row r="215" spans="2:2">
      <c r="B215" s="43"/>
    </row>
    <row r="216" spans="2:2">
      <c r="B216" s="43"/>
    </row>
    <row r="217" spans="2:2">
      <c r="B217" s="43"/>
    </row>
    <row r="218" spans="2:2">
      <c r="B218" s="43"/>
    </row>
    <row r="219" spans="2:2">
      <c r="B219" s="43"/>
    </row>
    <row r="220" spans="2:2">
      <c r="B220" s="43"/>
    </row>
    <row r="221" spans="2:2">
      <c r="B221" s="43"/>
    </row>
    <row r="222" spans="2:2">
      <c r="B222" s="43"/>
    </row>
    <row r="223" spans="2:2">
      <c r="B223" s="43"/>
    </row>
    <row r="224" spans="2:2">
      <c r="B224" s="43"/>
    </row>
    <row r="225" spans="2:2">
      <c r="B225" s="43"/>
    </row>
    <row r="226" spans="2:2">
      <c r="B226" s="43"/>
    </row>
    <row r="227" spans="2:2">
      <c r="B227" s="43"/>
    </row>
    <row r="228" spans="2:2">
      <c r="B228" s="43"/>
    </row>
    <row r="229" spans="2:2">
      <c r="B229" s="43"/>
    </row>
    <row r="230" spans="2:2">
      <c r="B230" s="43"/>
    </row>
    <row r="231" spans="2:2">
      <c r="B231" s="43"/>
    </row>
    <row r="232" spans="2:2">
      <c r="B232" s="43"/>
    </row>
    <row r="233" spans="2:2">
      <c r="B233" s="43"/>
    </row>
    <row r="234" spans="2:2">
      <c r="B234" s="43"/>
    </row>
    <row r="235" spans="2:2">
      <c r="B235" s="43"/>
    </row>
    <row r="236" spans="2:2">
      <c r="B236" s="43"/>
    </row>
    <row r="237" spans="2:2">
      <c r="B237" s="43"/>
    </row>
    <row r="238" spans="2:2">
      <c r="B238" s="43"/>
    </row>
    <row r="239" spans="2:2">
      <c r="B239" s="43"/>
    </row>
    <row r="240" spans="2:2">
      <c r="B240" s="43"/>
    </row>
    <row r="241" spans="2:2">
      <c r="B241" s="43"/>
    </row>
    <row r="242" spans="2:2">
      <c r="B242" s="43"/>
    </row>
    <row r="243" spans="2:2">
      <c r="B243" s="43"/>
    </row>
    <row r="244" spans="2:2">
      <c r="B244" s="43"/>
    </row>
    <row r="245" spans="2:2">
      <c r="B245" s="43"/>
    </row>
    <row r="246" spans="2:2">
      <c r="B246" s="43"/>
    </row>
    <row r="247" spans="2:2">
      <c r="B247" s="43"/>
    </row>
    <row r="248" spans="2:2">
      <c r="B248" s="43"/>
    </row>
    <row r="249" spans="2:2">
      <c r="B249" s="43"/>
    </row>
    <row r="250" spans="2:2">
      <c r="B250" s="43"/>
    </row>
    <row r="251" spans="2:2">
      <c r="B251" s="43"/>
    </row>
    <row r="252" spans="2:2">
      <c r="B252" s="43"/>
    </row>
    <row r="253" spans="2:2">
      <c r="B253" s="43"/>
    </row>
    <row r="254" spans="2:2">
      <c r="B254" s="43"/>
    </row>
    <row r="255" spans="2:2">
      <c r="B255" s="43"/>
    </row>
    <row r="256" spans="2:2">
      <c r="B256" s="43"/>
    </row>
    <row r="257" spans="2:2">
      <c r="B257" s="43"/>
    </row>
    <row r="258" spans="2:2">
      <c r="B258" s="43"/>
    </row>
    <row r="259" spans="2:2">
      <c r="B259" s="43"/>
    </row>
    <row r="260" spans="2:2">
      <c r="B260" s="43"/>
    </row>
    <row r="261" spans="2:2">
      <c r="B261" s="43"/>
    </row>
    <row r="262" spans="2:2">
      <c r="B262" s="43"/>
    </row>
    <row r="263" spans="2:2">
      <c r="B263" s="43"/>
    </row>
    <row r="264" spans="2:2">
      <c r="B264" s="43"/>
    </row>
    <row r="265" spans="2:2">
      <c r="B265" s="43"/>
    </row>
    <row r="266" spans="2:2">
      <c r="B266" s="43"/>
    </row>
    <row r="267" spans="2:2">
      <c r="B267" s="43"/>
    </row>
    <row r="268" spans="2:2">
      <c r="B268" s="43"/>
    </row>
    <row r="269" spans="2:2">
      <c r="B269" s="43"/>
    </row>
    <row r="270" spans="2:2">
      <c r="B270" s="43"/>
    </row>
    <row r="271" spans="2:2">
      <c r="B271" s="43"/>
    </row>
    <row r="272" spans="2:2">
      <c r="B272" s="43"/>
    </row>
    <row r="273" spans="2:2">
      <c r="B273" s="43"/>
    </row>
    <row r="274" spans="2:2">
      <c r="B274" s="43"/>
    </row>
    <row r="275" spans="2:2">
      <c r="B275" s="43"/>
    </row>
    <row r="276" spans="2:2">
      <c r="B276" s="43"/>
    </row>
    <row r="277" spans="2:2">
      <c r="B277" s="43"/>
    </row>
    <row r="278" spans="2:2">
      <c r="B278" s="43"/>
    </row>
    <row r="279" spans="2:2">
      <c r="B279" s="43"/>
    </row>
    <row r="280" spans="2:2">
      <c r="B280" s="43"/>
    </row>
    <row r="281" spans="2:2">
      <c r="B281" s="43"/>
    </row>
    <row r="282" spans="2:2">
      <c r="B282" s="43"/>
    </row>
    <row r="283" spans="2:2">
      <c r="B283" s="43"/>
    </row>
    <row r="284" spans="2:2">
      <c r="B284" s="43"/>
    </row>
    <row r="285" spans="2:2">
      <c r="B285" s="43"/>
    </row>
    <row r="286" spans="2:2">
      <c r="B286" s="43"/>
    </row>
    <row r="287" spans="2:2">
      <c r="B287" s="43"/>
    </row>
    <row r="288" spans="2:2">
      <c r="B288" s="43"/>
    </row>
    <row r="289" spans="2:2">
      <c r="B289" s="43"/>
    </row>
    <row r="290" spans="2:2">
      <c r="B290" s="43"/>
    </row>
    <row r="291" spans="2:2">
      <c r="B291" s="43"/>
    </row>
    <row r="292" spans="2:2">
      <c r="B292" s="43"/>
    </row>
    <row r="293" spans="2:2">
      <c r="B293" s="43"/>
    </row>
    <row r="294" spans="2:2">
      <c r="B294" s="43"/>
    </row>
    <row r="295" spans="2:2">
      <c r="B295" s="43"/>
    </row>
    <row r="296" spans="2:2">
      <c r="B296" s="43"/>
    </row>
    <row r="297" spans="2:2">
      <c r="B297" s="43"/>
    </row>
    <row r="298" spans="2:2">
      <c r="B298" s="43"/>
    </row>
    <row r="299" spans="2:2">
      <c r="B299" s="43"/>
    </row>
    <row r="300" spans="2:2">
      <c r="B300" s="43"/>
    </row>
    <row r="301" spans="2:2">
      <c r="B301" s="43"/>
    </row>
    <row r="302" spans="2:2">
      <c r="B302" s="43"/>
    </row>
    <row r="303" spans="2:2">
      <c r="B303" s="43"/>
    </row>
    <row r="304" spans="2:2">
      <c r="B304" s="43"/>
    </row>
    <row r="305" spans="2:2">
      <c r="B305" s="43"/>
    </row>
    <row r="306" spans="2:2">
      <c r="B306" s="43"/>
    </row>
    <row r="307" spans="2:2">
      <c r="B307" s="43"/>
    </row>
    <row r="308" spans="2:2">
      <c r="B308" s="43"/>
    </row>
    <row r="309" spans="2:2">
      <c r="B309" s="43"/>
    </row>
    <row r="310" spans="2:2">
      <c r="B310" s="43"/>
    </row>
    <row r="311" spans="2:2">
      <c r="B311" s="43"/>
    </row>
    <row r="312" spans="2:2">
      <c r="B312" s="43"/>
    </row>
    <row r="313" spans="2:2">
      <c r="B313" s="43"/>
    </row>
    <row r="314" spans="2:2">
      <c r="B314" s="43"/>
    </row>
    <row r="315" spans="2:2">
      <c r="B315" s="43"/>
    </row>
    <row r="316" spans="2:2">
      <c r="B316" s="43"/>
    </row>
    <row r="317" spans="2:2">
      <c r="B317" s="43"/>
    </row>
    <row r="318" spans="2:2">
      <c r="B318" s="43"/>
    </row>
    <row r="319" spans="2:2">
      <c r="B319" s="43"/>
    </row>
    <row r="320" spans="2:2">
      <c r="B320" s="43"/>
    </row>
    <row r="321" spans="2:2">
      <c r="B321" s="43"/>
    </row>
    <row r="322" spans="2:2">
      <c r="B322" s="43"/>
    </row>
    <row r="323" spans="2:2">
      <c r="B323" s="43"/>
    </row>
    <row r="324" spans="2:2">
      <c r="B324" s="43"/>
    </row>
    <row r="325" spans="2:2">
      <c r="B325" s="43"/>
    </row>
    <row r="326" spans="2:2">
      <c r="B326" s="43"/>
    </row>
    <row r="327" spans="2:2">
      <c r="B327" s="43"/>
    </row>
    <row r="328" spans="2:2">
      <c r="B328" s="43"/>
    </row>
    <row r="329" spans="2:2">
      <c r="B329" s="43"/>
    </row>
    <row r="330" spans="2:2">
      <c r="B330" s="43"/>
    </row>
    <row r="331" spans="2:2">
      <c r="B331" s="43"/>
    </row>
    <row r="332" spans="2:2">
      <c r="B332" s="43"/>
    </row>
    <row r="333" spans="2:2">
      <c r="B333" s="43"/>
    </row>
    <row r="334" spans="2:2">
      <c r="B334" s="43"/>
    </row>
    <row r="335" spans="2:2">
      <c r="B335" s="43"/>
    </row>
    <row r="336" spans="2:2">
      <c r="B336" s="43"/>
    </row>
    <row r="337" spans="2:2">
      <c r="B337" s="43"/>
    </row>
    <row r="338" spans="2:2">
      <c r="B338" s="43"/>
    </row>
    <row r="339" spans="2:2">
      <c r="B339" s="43"/>
    </row>
    <row r="340" spans="2:2">
      <c r="B340" s="43"/>
    </row>
    <row r="341" spans="2:2">
      <c r="B341" s="43"/>
    </row>
    <row r="342" spans="2:2">
      <c r="B342" s="43"/>
    </row>
    <row r="343" spans="2:2">
      <c r="B343" s="43"/>
    </row>
    <row r="344" spans="2:2">
      <c r="B344" s="43"/>
    </row>
    <row r="345" spans="2:2">
      <c r="B345" s="43"/>
    </row>
    <row r="346" spans="2:2">
      <c r="B346" s="43"/>
    </row>
    <row r="347" spans="2:2">
      <c r="B347" s="43"/>
    </row>
    <row r="348" spans="2:2">
      <c r="B348" s="43"/>
    </row>
    <row r="349" spans="2:2">
      <c r="B349" s="43"/>
    </row>
    <row r="350" spans="2:2">
      <c r="B350" s="43"/>
    </row>
    <row r="351" spans="2:2">
      <c r="B351" s="43"/>
    </row>
    <row r="352" spans="2:2">
      <c r="B352" s="43"/>
    </row>
    <row r="353" spans="2:2">
      <c r="B353" s="43"/>
    </row>
    <row r="354" spans="2:2">
      <c r="B354" s="43"/>
    </row>
    <row r="355" spans="2:2">
      <c r="B355" s="43"/>
    </row>
    <row r="356" spans="2:2">
      <c r="B356" s="43"/>
    </row>
    <row r="357" spans="2:2">
      <c r="B357" s="43"/>
    </row>
    <row r="358" spans="2:2">
      <c r="B358" s="43"/>
    </row>
    <row r="359" spans="2:2">
      <c r="B359" s="43"/>
    </row>
    <row r="360" spans="2:2">
      <c r="B360" s="43"/>
    </row>
    <row r="361" spans="2:2">
      <c r="B361" s="43"/>
    </row>
    <row r="362" spans="2:2">
      <c r="B362" s="43"/>
    </row>
    <row r="363" spans="2:2">
      <c r="B363" s="43"/>
    </row>
    <row r="364" spans="2:2">
      <c r="B364" s="43"/>
    </row>
    <row r="365" spans="2:2">
      <c r="B365" s="43"/>
    </row>
    <row r="366" spans="2:2">
      <c r="B366" s="43"/>
    </row>
    <row r="367" spans="2:2">
      <c r="B367" s="43"/>
    </row>
    <row r="368" spans="2:2">
      <c r="B368" s="43"/>
    </row>
    <row r="369" spans="2:2">
      <c r="B369" s="43"/>
    </row>
    <row r="370" spans="2:2">
      <c r="B370" s="43"/>
    </row>
    <row r="371" spans="2:2">
      <c r="B371" s="43"/>
    </row>
    <row r="372" spans="2:2">
      <c r="B372" s="43"/>
    </row>
    <row r="373" spans="2:2">
      <c r="B373" s="43"/>
    </row>
    <row r="374" spans="2:2">
      <c r="B374" s="43"/>
    </row>
    <row r="375" spans="2:2">
      <c r="B375" s="43"/>
    </row>
    <row r="376" spans="2:2">
      <c r="B376" s="43"/>
    </row>
    <row r="377" spans="2:2">
      <c r="B377" s="43"/>
    </row>
    <row r="378" spans="2:2">
      <c r="B378" s="43"/>
    </row>
    <row r="379" spans="2:2">
      <c r="B379" s="43"/>
    </row>
    <row r="380" spans="2:2">
      <c r="B380" s="43"/>
    </row>
    <row r="381" spans="2:2">
      <c r="B381" s="43"/>
    </row>
    <row r="382" spans="2:2">
      <c r="B382" s="43"/>
    </row>
    <row r="383" spans="2:2">
      <c r="B383" s="43"/>
    </row>
    <row r="384" spans="2:2">
      <c r="B384" s="43"/>
    </row>
    <row r="385" spans="2:2">
      <c r="B385" s="43"/>
    </row>
    <row r="386" spans="2:2">
      <c r="B386" s="43"/>
    </row>
    <row r="387" spans="2:2">
      <c r="B387" s="43"/>
    </row>
    <row r="388" spans="2:2">
      <c r="B388" s="43"/>
    </row>
    <row r="389" spans="2:2">
      <c r="B389" s="43"/>
    </row>
    <row r="390" spans="2:2">
      <c r="B390" s="43"/>
    </row>
    <row r="391" spans="2:2">
      <c r="B391" s="43"/>
    </row>
    <row r="392" spans="2:2">
      <c r="B392" s="43"/>
    </row>
    <row r="393" spans="2:2">
      <c r="B393" s="43"/>
    </row>
    <row r="394" spans="2:2">
      <c r="B394" s="43"/>
    </row>
    <row r="395" spans="2:2">
      <c r="B395" s="43"/>
    </row>
    <row r="396" spans="2:2">
      <c r="B396" s="43"/>
    </row>
    <row r="397" spans="2:2">
      <c r="B397" s="43"/>
    </row>
    <row r="398" spans="2:2">
      <c r="B398" s="43"/>
    </row>
    <row r="399" spans="2:2">
      <c r="B399" s="43"/>
    </row>
    <row r="400" spans="2:2">
      <c r="B400" s="43"/>
    </row>
    <row r="401" spans="2:2">
      <c r="B401" s="43"/>
    </row>
    <row r="402" spans="2:2">
      <c r="B402" s="43"/>
    </row>
    <row r="403" spans="2:2">
      <c r="B403" s="43"/>
    </row>
    <row r="404" spans="2:2">
      <c r="B404" s="43"/>
    </row>
    <row r="405" spans="2:2">
      <c r="B405" s="43"/>
    </row>
    <row r="406" spans="2:2">
      <c r="B406" s="43"/>
    </row>
    <row r="407" spans="2:2">
      <c r="B407" s="43"/>
    </row>
    <row r="408" spans="2:2">
      <c r="B408" s="43"/>
    </row>
    <row r="409" spans="2:2">
      <c r="B409" s="43"/>
    </row>
    <row r="410" spans="2:2">
      <c r="B410" s="43"/>
    </row>
    <row r="411" spans="2:2">
      <c r="B411" s="43"/>
    </row>
    <row r="412" spans="2:2">
      <c r="B412" s="43"/>
    </row>
    <row r="413" spans="2:2">
      <c r="B413" s="43"/>
    </row>
    <row r="414" spans="2:2">
      <c r="B414" s="43"/>
    </row>
    <row r="415" spans="2:2">
      <c r="B415" s="43"/>
    </row>
    <row r="416" spans="2:2">
      <c r="B416" s="43"/>
    </row>
    <row r="417" spans="2:2">
      <c r="B417" s="43"/>
    </row>
    <row r="418" spans="2:2">
      <c r="B418" s="43"/>
    </row>
    <row r="419" spans="2:2">
      <c r="B419" s="43"/>
    </row>
    <row r="420" spans="2:2">
      <c r="B420" s="43"/>
    </row>
    <row r="421" spans="2:2">
      <c r="B421" s="43"/>
    </row>
    <row r="422" spans="2:2">
      <c r="B422" s="43"/>
    </row>
    <row r="423" spans="2:2">
      <c r="B423" s="43"/>
    </row>
    <row r="424" spans="2:2">
      <c r="B424" s="43"/>
    </row>
    <row r="425" spans="2:2">
      <c r="B425" s="43"/>
    </row>
    <row r="426" spans="2:2">
      <c r="B426" s="43"/>
    </row>
    <row r="427" spans="2:2">
      <c r="B427" s="43"/>
    </row>
    <row r="428" spans="2:2">
      <c r="B428" s="43"/>
    </row>
    <row r="429" spans="2:2">
      <c r="B429" s="43"/>
    </row>
    <row r="430" spans="2:2">
      <c r="B430" s="43"/>
    </row>
    <row r="431" spans="2:2">
      <c r="B431" s="43"/>
    </row>
    <row r="432" spans="2:2">
      <c r="B432" s="43"/>
    </row>
    <row r="433" spans="2:2">
      <c r="B433" s="43"/>
    </row>
    <row r="434" spans="2:2">
      <c r="B434" s="43"/>
    </row>
    <row r="435" spans="2:2">
      <c r="B435" s="43"/>
    </row>
    <row r="436" spans="2:2">
      <c r="B436" s="43"/>
    </row>
    <row r="437" spans="2:2">
      <c r="B437" s="43"/>
    </row>
    <row r="438" spans="2:2">
      <c r="B438" s="43"/>
    </row>
    <row r="439" spans="2:2">
      <c r="B439" s="43"/>
    </row>
    <row r="440" spans="2:2">
      <c r="B440" s="43"/>
    </row>
    <row r="441" spans="2:2">
      <c r="B441" s="43"/>
    </row>
    <row r="442" spans="2:2">
      <c r="B442" s="43"/>
    </row>
    <row r="443" spans="2:2">
      <c r="B443" s="43"/>
    </row>
    <row r="444" spans="2:2">
      <c r="B444" s="43"/>
    </row>
    <row r="445" spans="2:2">
      <c r="B445" s="43"/>
    </row>
    <row r="446" spans="2:2">
      <c r="B446" s="43"/>
    </row>
    <row r="447" spans="2:2">
      <c r="B447" s="43"/>
    </row>
    <row r="448" spans="2:2">
      <c r="B448" s="43"/>
    </row>
    <row r="449" spans="2:2">
      <c r="B449" s="43"/>
    </row>
    <row r="450" spans="2:2">
      <c r="B450" s="43"/>
    </row>
    <row r="451" spans="2:2">
      <c r="B451" s="43"/>
    </row>
    <row r="452" spans="2:2">
      <c r="B452" s="43"/>
    </row>
    <row r="453" spans="2:2">
      <c r="B453" s="43"/>
    </row>
    <row r="454" spans="2:2">
      <c r="B454" s="43"/>
    </row>
    <row r="455" spans="2:2">
      <c r="B455" s="43"/>
    </row>
    <row r="456" spans="2:2">
      <c r="B456" s="43"/>
    </row>
    <row r="457" spans="2:2">
      <c r="B457" s="43"/>
    </row>
    <row r="458" spans="2:2">
      <c r="B458" s="43"/>
    </row>
    <row r="459" spans="2:2">
      <c r="B459" s="43"/>
    </row>
    <row r="460" spans="2:2">
      <c r="B460" s="43"/>
    </row>
    <row r="461" spans="2:2">
      <c r="B461" s="43"/>
    </row>
    <row r="462" spans="2:2">
      <c r="B462" s="43"/>
    </row>
    <row r="463" spans="2:2">
      <c r="B463" s="43"/>
    </row>
    <row r="464" spans="2:2">
      <c r="B464" s="43"/>
    </row>
    <row r="465" spans="2:2">
      <c r="B465" s="43"/>
    </row>
    <row r="466" spans="2:2">
      <c r="B466" s="43"/>
    </row>
    <row r="467" spans="2:2">
      <c r="B467" s="43"/>
    </row>
    <row r="468" spans="2:2">
      <c r="B468" s="43"/>
    </row>
    <row r="469" spans="2:2">
      <c r="B469" s="43"/>
    </row>
    <row r="470" spans="2:2">
      <c r="B470" s="43"/>
    </row>
    <row r="471" spans="2:2">
      <c r="B471" s="43"/>
    </row>
    <row r="472" spans="2:2">
      <c r="B472" s="43"/>
    </row>
    <row r="473" spans="2:2">
      <c r="B473" s="43"/>
    </row>
    <row r="474" spans="2:2">
      <c r="B474" s="43"/>
    </row>
    <row r="475" spans="2:2">
      <c r="B475" s="43"/>
    </row>
    <row r="476" spans="2:2">
      <c r="B476" s="43"/>
    </row>
    <row r="477" spans="2:2">
      <c r="B477" s="43"/>
    </row>
    <row r="478" spans="2:2">
      <c r="B478" s="43"/>
    </row>
    <row r="479" spans="2:2">
      <c r="B479" s="43"/>
    </row>
    <row r="480" spans="2:2">
      <c r="B480" s="43"/>
    </row>
    <row r="481" spans="2:2">
      <c r="B481" s="43"/>
    </row>
    <row r="482" spans="2:2">
      <c r="B482" s="43"/>
    </row>
    <row r="483" spans="2:2">
      <c r="B483" s="43"/>
    </row>
    <row r="484" spans="2:2">
      <c r="B484" s="43"/>
    </row>
    <row r="485" spans="2:2">
      <c r="B485" s="43"/>
    </row>
    <row r="486" spans="2:2">
      <c r="B486" s="43"/>
    </row>
    <row r="487" spans="2:2">
      <c r="B487" s="43"/>
    </row>
    <row r="488" spans="2:2">
      <c r="B488" s="43"/>
    </row>
    <row r="489" spans="2:2">
      <c r="B489" s="43"/>
    </row>
    <row r="490" spans="2:2">
      <c r="B490" s="43"/>
    </row>
    <row r="491" spans="2:2">
      <c r="B491" s="43"/>
    </row>
    <row r="492" spans="2:2">
      <c r="B492" s="43"/>
    </row>
    <row r="493" spans="2:2">
      <c r="B493" s="43"/>
    </row>
    <row r="494" spans="2:2">
      <c r="B494" s="43"/>
    </row>
    <row r="495" spans="2:2">
      <c r="B495" s="43"/>
    </row>
    <row r="496" spans="2:2">
      <c r="B496" s="43"/>
    </row>
    <row r="497" spans="2:2">
      <c r="B497" s="4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36"/>
  <sheetViews>
    <sheetView zoomScale="80" zoomScaleNormal="80" workbookViewId="0">
      <selection activeCell="D2" sqref="D2"/>
    </sheetView>
  </sheetViews>
  <sheetFormatPr defaultRowHeight="15"/>
  <sheetData>
    <row r="1" spans="1:14" ht="16.5" thickBot="1">
      <c r="B1" s="70" t="s">
        <v>12</v>
      </c>
      <c r="C1" s="71"/>
      <c r="D1" s="72">
        <v>2024</v>
      </c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4">
      <c r="C2" s="73" t="s">
        <v>13</v>
      </c>
      <c r="D2" s="73" t="s">
        <v>14</v>
      </c>
      <c r="E2" s="73" t="s">
        <v>15</v>
      </c>
      <c r="F2" s="73" t="s">
        <v>16</v>
      </c>
      <c r="G2" s="73" t="s">
        <v>17</v>
      </c>
      <c r="H2" s="73" t="s">
        <v>18</v>
      </c>
      <c r="I2" s="73" t="s">
        <v>19</v>
      </c>
      <c r="J2" s="73" t="s">
        <v>20</v>
      </c>
      <c r="K2" s="73" t="s">
        <v>21</v>
      </c>
      <c r="L2" s="73" t="s">
        <v>22</v>
      </c>
      <c r="M2" s="73" t="s">
        <v>23</v>
      </c>
      <c r="N2" s="73" t="s">
        <v>24</v>
      </c>
    </row>
    <row r="3" spans="1:14" ht="15.75">
      <c r="A3" t="s">
        <v>25</v>
      </c>
      <c r="B3" s="74">
        <v>1</v>
      </c>
      <c r="C3" s="75">
        <f>Jan!B$31</f>
        <v>0</v>
      </c>
      <c r="D3" s="75">
        <f>Fev!B$31</f>
        <v>0</v>
      </c>
      <c r="E3" s="75">
        <f>Mar!B$31</f>
        <v>0</v>
      </c>
      <c r="F3" s="75">
        <f>Abr!B$31</f>
        <v>0</v>
      </c>
      <c r="G3" s="75">
        <f>Mai!B$31</f>
        <v>0</v>
      </c>
      <c r="H3" s="75">
        <f>Jun!B$31</f>
        <v>0</v>
      </c>
      <c r="I3" s="75">
        <f>Jul!B$31</f>
        <v>0</v>
      </c>
      <c r="J3" s="75">
        <f>Ago!B$31</f>
        <v>0</v>
      </c>
      <c r="K3" s="75">
        <f>Set!B$31</f>
        <v>0</v>
      </c>
      <c r="L3" s="75">
        <f>Out!B$31</f>
        <v>0</v>
      </c>
      <c r="M3" s="75">
        <f>Nov!B$31</f>
        <v>0</v>
      </c>
      <c r="N3" s="75">
        <f>Dez!B$31</f>
        <v>0</v>
      </c>
    </row>
    <row r="4" spans="1:14" ht="15.75">
      <c r="A4" t="s">
        <v>26</v>
      </c>
      <c r="B4" s="74">
        <v>2</v>
      </c>
      <c r="C4" s="75">
        <f>Jan!C$31</f>
        <v>0</v>
      </c>
      <c r="D4" s="75">
        <f>Fev!C$31</f>
        <v>0</v>
      </c>
      <c r="E4" s="75">
        <f>Mar!C$31</f>
        <v>0</v>
      </c>
      <c r="F4" s="75">
        <f>Abr!C$31</f>
        <v>0</v>
      </c>
      <c r="G4" s="75">
        <f>Mai!C$31</f>
        <v>0</v>
      </c>
      <c r="H4" s="75">
        <f>Jun!C$31</f>
        <v>0</v>
      </c>
      <c r="I4" s="75">
        <f>Jul!C$31</f>
        <v>0</v>
      </c>
      <c r="J4" s="75">
        <f>Ago!C$31</f>
        <v>0</v>
      </c>
      <c r="K4" s="75">
        <f>Set!C$31</f>
        <v>0</v>
      </c>
      <c r="L4" s="75">
        <f>Out!C$31</f>
        <v>0</v>
      </c>
      <c r="M4" s="75">
        <f>Nov!C$31</f>
        <v>0</v>
      </c>
      <c r="N4" s="75">
        <f>Dez!C$31</f>
        <v>0</v>
      </c>
    </row>
    <row r="5" spans="1:14" ht="15.75">
      <c r="A5" t="s">
        <v>27</v>
      </c>
      <c r="B5" s="74">
        <v>3</v>
      </c>
      <c r="C5" s="75">
        <f>Jan!D$31</f>
        <v>0</v>
      </c>
      <c r="D5" s="75">
        <f>Fev!D$31</f>
        <v>0</v>
      </c>
      <c r="E5" s="75">
        <f>Mar!D$31</f>
        <v>0</v>
      </c>
      <c r="F5" s="75">
        <f>Abr!D$31</f>
        <v>0</v>
      </c>
      <c r="G5" s="75">
        <f>Mai!D$31</f>
        <v>0</v>
      </c>
      <c r="H5" s="75">
        <f>Jun!D$31</f>
        <v>0</v>
      </c>
      <c r="I5" s="75">
        <f>Jul!D$31</f>
        <v>0</v>
      </c>
      <c r="J5" s="75">
        <f>Ago!D$31</f>
        <v>0</v>
      </c>
      <c r="K5" s="75">
        <f>Set!D$31</f>
        <v>0</v>
      </c>
      <c r="L5" s="75">
        <f>Out!D$31</f>
        <v>0</v>
      </c>
      <c r="M5" s="75">
        <f>Nov!D$31</f>
        <v>0</v>
      </c>
      <c r="N5" s="75">
        <f>Dez!D$31</f>
        <v>0</v>
      </c>
    </row>
    <row r="6" spans="1:14" ht="15.75">
      <c r="A6" t="s">
        <v>28</v>
      </c>
      <c r="B6" s="74">
        <v>4</v>
      </c>
      <c r="C6" s="75">
        <f>Jan!E$31</f>
        <v>0</v>
      </c>
      <c r="D6" s="75">
        <f>Fev!E$31</f>
        <v>0</v>
      </c>
      <c r="E6" s="75">
        <f>Mar!E$31</f>
        <v>0</v>
      </c>
      <c r="F6" s="75">
        <f>Abr!E$31</f>
        <v>0</v>
      </c>
      <c r="G6" s="75">
        <f>Mai!E$31</f>
        <v>0</v>
      </c>
      <c r="H6" s="75">
        <f>Jun!E$31</f>
        <v>0</v>
      </c>
      <c r="I6" s="75">
        <f>Jul!E$31</f>
        <v>0</v>
      </c>
      <c r="J6" s="75">
        <f>Ago!E$31</f>
        <v>0</v>
      </c>
      <c r="K6" s="75">
        <f>Set!E$31</f>
        <v>0</v>
      </c>
      <c r="L6" s="75">
        <f>Out!E$31</f>
        <v>0</v>
      </c>
      <c r="M6" s="75">
        <f>Nov!E$31</f>
        <v>0</v>
      </c>
      <c r="N6" s="75">
        <f>Dez!E$31</f>
        <v>0</v>
      </c>
    </row>
    <row r="7" spans="1:14" ht="15.75">
      <c r="A7" t="s">
        <v>29</v>
      </c>
      <c r="B7" s="74">
        <v>5</v>
      </c>
      <c r="C7" s="75">
        <f>Jan!F$31</f>
        <v>0</v>
      </c>
      <c r="D7" s="75">
        <f>Fev!F$31</f>
        <v>0</v>
      </c>
      <c r="E7" s="75">
        <f>Mar!F$31</f>
        <v>0</v>
      </c>
      <c r="F7" s="75">
        <f>Abr!F$31</f>
        <v>0</v>
      </c>
      <c r="G7" s="75">
        <f>Mai!F$31</f>
        <v>0</v>
      </c>
      <c r="H7" s="75">
        <f>Jun!F$31</f>
        <v>0</v>
      </c>
      <c r="I7" s="75">
        <f>Jul!F$31</f>
        <v>0</v>
      </c>
      <c r="J7" s="75">
        <f>Ago!F$31</f>
        <v>0</v>
      </c>
      <c r="K7" s="75">
        <f>Set!F$31</f>
        <v>0</v>
      </c>
      <c r="L7" s="75">
        <f>Out!F$31</f>
        <v>0</v>
      </c>
      <c r="M7" s="75">
        <f>Nov!F$31</f>
        <v>0</v>
      </c>
      <c r="N7" s="75">
        <f>Dez!F$31</f>
        <v>0</v>
      </c>
    </row>
    <row r="8" spans="1:14" ht="15.75">
      <c r="A8" t="s">
        <v>30</v>
      </c>
      <c r="B8" s="74">
        <v>6</v>
      </c>
      <c r="C8" s="75">
        <f>Jan!G$31</f>
        <v>0</v>
      </c>
      <c r="D8" s="75">
        <f>Fev!G$31</f>
        <v>0</v>
      </c>
      <c r="E8" s="75">
        <f>Mar!G$31</f>
        <v>0</v>
      </c>
      <c r="F8" s="75">
        <f>Abr!G$31</f>
        <v>0</v>
      </c>
      <c r="G8" s="75">
        <f>Mai!G$31</f>
        <v>0</v>
      </c>
      <c r="H8" s="75">
        <f>Jun!G$31</f>
        <v>0</v>
      </c>
      <c r="I8" s="75">
        <f>Jul!G$31</f>
        <v>0</v>
      </c>
      <c r="J8" s="75">
        <f>Ago!G$31</f>
        <v>0</v>
      </c>
      <c r="K8" s="75">
        <f>Set!G$31</f>
        <v>0</v>
      </c>
      <c r="L8" s="75">
        <f>Out!G$31</f>
        <v>0</v>
      </c>
      <c r="M8" s="75">
        <f>Nov!G$31</f>
        <v>0</v>
      </c>
      <c r="N8" s="75">
        <f>Dez!G$31</f>
        <v>0</v>
      </c>
    </row>
    <row r="9" spans="1:14" ht="15.75">
      <c r="A9" t="s">
        <v>31</v>
      </c>
      <c r="B9" s="74">
        <v>7</v>
      </c>
      <c r="C9" s="75">
        <f>Jan!H$31</f>
        <v>0</v>
      </c>
      <c r="D9" s="75">
        <f>Fev!H$31</f>
        <v>0</v>
      </c>
      <c r="E9" s="75">
        <f>Mar!H$31</f>
        <v>0</v>
      </c>
      <c r="F9" s="75">
        <f>Abr!H$31</f>
        <v>0</v>
      </c>
      <c r="G9" s="75">
        <f>Mai!H$31</f>
        <v>0</v>
      </c>
      <c r="H9" s="75">
        <f>Jun!H$31</f>
        <v>0</v>
      </c>
      <c r="I9" s="75">
        <f>Jul!H$31</f>
        <v>0</v>
      </c>
      <c r="J9" s="75">
        <f>Ago!H$31</f>
        <v>0</v>
      </c>
      <c r="K9" s="75">
        <f>Set!H$31</f>
        <v>0</v>
      </c>
      <c r="L9" s="75">
        <f>Out!H$31</f>
        <v>0</v>
      </c>
      <c r="M9" s="75">
        <f>Nov!H$31</f>
        <v>0</v>
      </c>
      <c r="N9" s="75">
        <f>Dez!H$31</f>
        <v>0</v>
      </c>
    </row>
    <row r="10" spans="1:14" ht="15.75">
      <c r="A10" t="s">
        <v>32</v>
      </c>
      <c r="B10" s="74">
        <v>8</v>
      </c>
      <c r="C10" s="75">
        <f>Jan!I$31</f>
        <v>0</v>
      </c>
      <c r="D10" s="75">
        <f>Fev!I$31</f>
        <v>0</v>
      </c>
      <c r="E10" s="75">
        <f>Mar!I$31</f>
        <v>0</v>
      </c>
      <c r="F10" s="75">
        <f>Abr!I$31</f>
        <v>0</v>
      </c>
      <c r="G10" s="75">
        <f>Mai!I$31</f>
        <v>0</v>
      </c>
      <c r="H10" s="75">
        <f>Jun!I$31</f>
        <v>0</v>
      </c>
      <c r="I10" s="75">
        <f>Jul!I$31</f>
        <v>0</v>
      </c>
      <c r="J10" s="75">
        <f>Ago!I$31</f>
        <v>0</v>
      </c>
      <c r="K10" s="75">
        <f>Set!I$31</f>
        <v>0</v>
      </c>
      <c r="L10" s="75">
        <f>Out!I$31</f>
        <v>0</v>
      </c>
      <c r="M10" s="75">
        <f>Nov!I$31</f>
        <v>0</v>
      </c>
      <c r="N10" s="75">
        <f>Dez!I$31</f>
        <v>0</v>
      </c>
    </row>
    <row r="11" spans="1:14" ht="15.75">
      <c r="A11" t="s">
        <v>33</v>
      </c>
      <c r="B11" s="74">
        <v>9</v>
      </c>
      <c r="C11" s="75">
        <f>Jan!J$31</f>
        <v>0</v>
      </c>
      <c r="D11" s="75">
        <f>Fev!J$31</f>
        <v>0</v>
      </c>
      <c r="E11" s="75">
        <f>Mar!J$31</f>
        <v>0</v>
      </c>
      <c r="F11" s="75">
        <f>Abr!J$31</f>
        <v>0</v>
      </c>
      <c r="G11" s="75">
        <f>Mai!J$31</f>
        <v>0</v>
      </c>
      <c r="H11" s="75">
        <f>Jun!J$31</f>
        <v>0</v>
      </c>
      <c r="I11" s="75">
        <f>Jul!J$31</f>
        <v>0</v>
      </c>
      <c r="J11" s="75">
        <f>Ago!J$31</f>
        <v>0</v>
      </c>
      <c r="K11" s="75">
        <f>Set!J$31</f>
        <v>0</v>
      </c>
      <c r="L11" s="75">
        <f>Out!J$31</f>
        <v>0</v>
      </c>
      <c r="M11" s="75">
        <f>Nov!J$31</f>
        <v>0</v>
      </c>
      <c r="N11" s="75">
        <f>Dez!J$31</f>
        <v>0</v>
      </c>
    </row>
    <row r="12" spans="1:14" ht="15.75">
      <c r="A12" t="s">
        <v>34</v>
      </c>
      <c r="B12" s="74">
        <v>10</v>
      </c>
      <c r="C12" s="75">
        <f>Jan!K$31</f>
        <v>0</v>
      </c>
      <c r="D12" s="75">
        <f>Fev!K$31</f>
        <v>0</v>
      </c>
      <c r="E12" s="75">
        <f>Mar!K$31</f>
        <v>0</v>
      </c>
      <c r="F12" s="75">
        <f>Abr!K$31</f>
        <v>0</v>
      </c>
      <c r="G12" s="75">
        <f>Mai!K$31</f>
        <v>0</v>
      </c>
      <c r="H12" s="75">
        <f>Jun!K$31</f>
        <v>0</v>
      </c>
      <c r="I12" s="75">
        <f>Jul!K$31</f>
        <v>0</v>
      </c>
      <c r="J12" s="75">
        <f>Ago!K$31</f>
        <v>0</v>
      </c>
      <c r="K12" s="75">
        <f>Set!K$31</f>
        <v>0</v>
      </c>
      <c r="L12" s="75">
        <f>Out!K$31</f>
        <v>0</v>
      </c>
      <c r="M12" s="75">
        <f>Nov!K$31</f>
        <v>0</v>
      </c>
      <c r="N12" s="75">
        <f>Dez!K$31</f>
        <v>0</v>
      </c>
    </row>
    <row r="13" spans="1:14" ht="15.75">
      <c r="A13" t="s">
        <v>35</v>
      </c>
      <c r="B13" s="74">
        <v>11</v>
      </c>
      <c r="C13" s="75">
        <f>Jan!L$31</f>
        <v>0</v>
      </c>
      <c r="D13" s="75">
        <f>Fev!L$31</f>
        <v>0</v>
      </c>
      <c r="E13" s="75">
        <f>Mar!L$31</f>
        <v>0</v>
      </c>
      <c r="F13" s="75">
        <f>Abr!L$31</f>
        <v>0</v>
      </c>
      <c r="G13" s="75">
        <f>Mai!L$31</f>
        <v>0</v>
      </c>
      <c r="H13" s="75">
        <f>Jun!L$31</f>
        <v>0</v>
      </c>
      <c r="I13" s="75">
        <f>Jul!L$31</f>
        <v>0</v>
      </c>
      <c r="J13" s="75">
        <f>Ago!L$31</f>
        <v>0</v>
      </c>
      <c r="K13" s="75">
        <f>Set!L$31</f>
        <v>0</v>
      </c>
      <c r="L13" s="75">
        <f>Out!L$31</f>
        <v>0</v>
      </c>
      <c r="M13" s="75">
        <f>Nov!L$31</f>
        <v>0</v>
      </c>
      <c r="N13" s="75">
        <f>Dez!L$31</f>
        <v>0</v>
      </c>
    </row>
    <row r="14" spans="1:14" ht="15.75">
      <c r="A14" t="s">
        <v>36</v>
      </c>
      <c r="B14" s="74">
        <v>12</v>
      </c>
      <c r="C14" s="75">
        <f>Jan!M$31</f>
        <v>0</v>
      </c>
      <c r="D14" s="75">
        <f>Fev!M$31</f>
        <v>0</v>
      </c>
      <c r="E14" s="75">
        <f>Mar!M$31</f>
        <v>0</v>
      </c>
      <c r="F14" s="75">
        <f>Abr!M$31</f>
        <v>0</v>
      </c>
      <c r="G14" s="75">
        <f>Mai!M$31</f>
        <v>0</v>
      </c>
      <c r="H14" s="75">
        <f>Jun!M$31</f>
        <v>0</v>
      </c>
      <c r="I14" s="75">
        <f>Jul!M$31</f>
        <v>0</v>
      </c>
      <c r="J14" s="75">
        <f>Ago!M$31</f>
        <v>0</v>
      </c>
      <c r="K14" s="75">
        <f>Set!M$31</f>
        <v>0</v>
      </c>
      <c r="L14" s="75">
        <f>Out!M$31</f>
        <v>0</v>
      </c>
      <c r="M14" s="75">
        <f>Nov!M$31</f>
        <v>0</v>
      </c>
      <c r="N14" s="75">
        <f>Dez!M$31</f>
        <v>0</v>
      </c>
    </row>
    <row r="15" spans="1:14" ht="15.75">
      <c r="A15" t="s">
        <v>37</v>
      </c>
      <c r="B15" s="74">
        <v>13</v>
      </c>
      <c r="C15" s="75">
        <f>Jan!N$31</f>
        <v>0</v>
      </c>
      <c r="D15" s="75">
        <f>Fev!N$31</f>
        <v>0</v>
      </c>
      <c r="E15" s="75">
        <f>Mar!N$31</f>
        <v>0</v>
      </c>
      <c r="F15" s="75">
        <f>Abr!N$31</f>
        <v>0</v>
      </c>
      <c r="G15" s="75">
        <f>Mai!N$31</f>
        <v>0</v>
      </c>
      <c r="H15" s="75">
        <f>Jun!N$31</f>
        <v>0</v>
      </c>
      <c r="I15" s="75">
        <f>Jul!N$31</f>
        <v>0</v>
      </c>
      <c r="J15" s="75">
        <f>Ago!N$31</f>
        <v>0</v>
      </c>
      <c r="K15" s="75">
        <f>Set!N$31</f>
        <v>0</v>
      </c>
      <c r="L15" s="75">
        <f>Out!N$31</f>
        <v>0</v>
      </c>
      <c r="M15" s="75">
        <f>Nov!N$31</f>
        <v>0</v>
      </c>
      <c r="N15" s="75">
        <f>Dez!N$31</f>
        <v>0</v>
      </c>
    </row>
    <row r="16" spans="1:14" ht="15.75">
      <c r="A16" t="s">
        <v>38</v>
      </c>
      <c r="B16" s="74">
        <v>14</v>
      </c>
      <c r="C16" s="75">
        <f>Jan!O$31</f>
        <v>0</v>
      </c>
      <c r="D16" s="75">
        <f>Fev!O$31</f>
        <v>0</v>
      </c>
      <c r="E16" s="75">
        <f>Mar!O$31</f>
        <v>0</v>
      </c>
      <c r="F16" s="75">
        <f>Abr!O$31</f>
        <v>0</v>
      </c>
      <c r="G16" s="75">
        <f>Mai!O$31</f>
        <v>0</v>
      </c>
      <c r="H16" s="75">
        <f>Jun!O$31</f>
        <v>0</v>
      </c>
      <c r="I16" s="75">
        <f>Jul!O$31</f>
        <v>0</v>
      </c>
      <c r="J16" s="75">
        <f>Ago!O$31</f>
        <v>0</v>
      </c>
      <c r="K16" s="75">
        <f>Set!O$31</f>
        <v>0</v>
      </c>
      <c r="L16" s="75">
        <f>Out!O$31</f>
        <v>0</v>
      </c>
      <c r="M16" s="75">
        <f>Nov!O$31</f>
        <v>0</v>
      </c>
      <c r="N16" s="75">
        <f>Dez!O$31</f>
        <v>0</v>
      </c>
    </row>
    <row r="17" spans="1:14" ht="15.75">
      <c r="A17" t="s">
        <v>39</v>
      </c>
      <c r="B17" s="74">
        <v>15</v>
      </c>
      <c r="C17" s="75">
        <f>Jan!P$31</f>
        <v>0</v>
      </c>
      <c r="D17" s="75">
        <f>Fev!P$31</f>
        <v>0</v>
      </c>
      <c r="E17" s="75">
        <f>Mar!P$31</f>
        <v>0</v>
      </c>
      <c r="F17" s="75">
        <f>Abr!P$31</f>
        <v>0</v>
      </c>
      <c r="G17" s="75">
        <f>Mai!P$31</f>
        <v>0</v>
      </c>
      <c r="H17" s="75">
        <f>Jun!P$31</f>
        <v>0</v>
      </c>
      <c r="I17" s="75">
        <f>Jul!P$31</f>
        <v>0</v>
      </c>
      <c r="J17" s="75">
        <f>Ago!P$31</f>
        <v>0</v>
      </c>
      <c r="K17" s="75">
        <f>Set!P$31</f>
        <v>0</v>
      </c>
      <c r="L17" s="75">
        <f>Out!P$31</f>
        <v>0</v>
      </c>
      <c r="M17" s="75">
        <f>Nov!P$31</f>
        <v>0</v>
      </c>
      <c r="N17" s="75">
        <f>Dez!P$31</f>
        <v>0</v>
      </c>
    </row>
    <row r="18" spans="1:14" ht="15.75">
      <c r="A18" t="s">
        <v>40</v>
      </c>
      <c r="B18" s="74">
        <v>16</v>
      </c>
      <c r="C18" s="75">
        <f>Jan!Q$31</f>
        <v>0</v>
      </c>
      <c r="D18" s="75">
        <f>Fev!Q$31</f>
        <v>0</v>
      </c>
      <c r="E18" s="75">
        <f>Mar!Q$31</f>
        <v>0</v>
      </c>
      <c r="F18" s="75">
        <f>Abr!Q$31</f>
        <v>0</v>
      </c>
      <c r="G18" s="75">
        <f>Mai!Q$31</f>
        <v>0</v>
      </c>
      <c r="H18" s="75">
        <f>Jun!Q$31</f>
        <v>0</v>
      </c>
      <c r="I18" s="75">
        <f>Jul!Q$31</f>
        <v>0</v>
      </c>
      <c r="J18" s="75">
        <f>Ago!Q$31</f>
        <v>0</v>
      </c>
      <c r="K18" s="75">
        <f>Set!Q$31</f>
        <v>0</v>
      </c>
      <c r="L18" s="75">
        <f>Out!Q$31</f>
        <v>0</v>
      </c>
      <c r="M18" s="75">
        <f>Nov!Q$31</f>
        <v>0</v>
      </c>
      <c r="N18" s="75">
        <f>Dez!Q$31</f>
        <v>0</v>
      </c>
    </row>
    <row r="19" spans="1:14" ht="15.75">
      <c r="A19" t="s">
        <v>41</v>
      </c>
      <c r="B19" s="74">
        <v>17</v>
      </c>
      <c r="C19" s="75">
        <f>Jan!R$31</f>
        <v>0</v>
      </c>
      <c r="D19" s="75">
        <f>Fev!R$31</f>
        <v>0</v>
      </c>
      <c r="E19" s="75">
        <f>Mar!R$31</f>
        <v>0</v>
      </c>
      <c r="F19" s="75">
        <f>Abr!R$31</f>
        <v>0</v>
      </c>
      <c r="G19" s="75">
        <f>Mai!R$31</f>
        <v>0</v>
      </c>
      <c r="H19" s="75">
        <f>Jun!R$31</f>
        <v>0</v>
      </c>
      <c r="I19" s="75">
        <f>Jul!R$31</f>
        <v>0</v>
      </c>
      <c r="J19" s="75">
        <f>Ago!R$31</f>
        <v>0</v>
      </c>
      <c r="K19" s="75">
        <f>Set!R$31</f>
        <v>0</v>
      </c>
      <c r="L19" s="75">
        <f>Out!R$31</f>
        <v>0</v>
      </c>
      <c r="M19" s="75">
        <f>Nov!R$31</f>
        <v>0</v>
      </c>
      <c r="N19" s="75">
        <f>Dez!R$31</f>
        <v>0</v>
      </c>
    </row>
    <row r="20" spans="1:14" ht="15.75">
      <c r="A20" t="s">
        <v>42</v>
      </c>
      <c r="B20" s="74">
        <v>18</v>
      </c>
      <c r="C20" s="75">
        <f>Jan!S$31</f>
        <v>0</v>
      </c>
      <c r="D20" s="75">
        <f>Fev!S$31</f>
        <v>0</v>
      </c>
      <c r="E20" s="75">
        <f>Mar!S$31</f>
        <v>0</v>
      </c>
      <c r="F20" s="75">
        <f>Abr!S$31</f>
        <v>0</v>
      </c>
      <c r="G20" s="75">
        <f>Mai!S$31</f>
        <v>0</v>
      </c>
      <c r="H20" s="75">
        <f>Jun!S$31</f>
        <v>0</v>
      </c>
      <c r="I20" s="75">
        <f>Jul!S$31</f>
        <v>0</v>
      </c>
      <c r="J20" s="75">
        <f>Ago!S$31</f>
        <v>0</v>
      </c>
      <c r="K20" s="75">
        <f>Set!S$31</f>
        <v>0</v>
      </c>
      <c r="L20" s="75">
        <f>Out!S$31</f>
        <v>0</v>
      </c>
      <c r="M20" s="75">
        <f>Nov!S$31</f>
        <v>0</v>
      </c>
      <c r="N20" s="75">
        <f>Dez!S$31</f>
        <v>0</v>
      </c>
    </row>
    <row r="21" spans="1:14" ht="15.75">
      <c r="A21" t="s">
        <v>43</v>
      </c>
      <c r="B21" s="74">
        <v>19</v>
      </c>
      <c r="C21" s="75">
        <f>Jan!T$31</f>
        <v>0</v>
      </c>
      <c r="D21" s="75">
        <f>Fev!T$31</f>
        <v>0</v>
      </c>
      <c r="E21" s="75">
        <f>Mar!T$31</f>
        <v>0</v>
      </c>
      <c r="F21" s="75">
        <f>Abr!T$31</f>
        <v>0</v>
      </c>
      <c r="G21" s="75">
        <f>Mai!T$31</f>
        <v>0</v>
      </c>
      <c r="H21" s="75">
        <f>Jun!T$31</f>
        <v>0</v>
      </c>
      <c r="I21" s="75">
        <f>Jul!T$31</f>
        <v>0</v>
      </c>
      <c r="J21" s="75">
        <f>Ago!T$31</f>
        <v>0</v>
      </c>
      <c r="K21" s="75">
        <f>Set!T$31</f>
        <v>0</v>
      </c>
      <c r="L21" s="75">
        <f>Out!T$31</f>
        <v>0</v>
      </c>
      <c r="M21" s="75">
        <f>Nov!T$31</f>
        <v>0</v>
      </c>
      <c r="N21" s="75">
        <f>Dez!T$31</f>
        <v>0</v>
      </c>
    </row>
    <row r="22" spans="1:14" ht="15.75">
      <c r="A22" t="s">
        <v>44</v>
      </c>
      <c r="B22" s="74">
        <v>20</v>
      </c>
      <c r="C22" s="75">
        <f>Jan!U$31</f>
        <v>0</v>
      </c>
      <c r="D22" s="75">
        <f>Fev!U$31</f>
        <v>0</v>
      </c>
      <c r="E22" s="75">
        <f>Mar!U$31</f>
        <v>0</v>
      </c>
      <c r="F22" s="75">
        <f>Abr!U$31</f>
        <v>0</v>
      </c>
      <c r="G22" s="75">
        <f>Mai!U$31</f>
        <v>0</v>
      </c>
      <c r="H22" s="75">
        <f>Jun!U$31</f>
        <v>0</v>
      </c>
      <c r="I22" s="75">
        <f>Jul!U$31</f>
        <v>0</v>
      </c>
      <c r="J22" s="75">
        <f>Ago!U$31</f>
        <v>0</v>
      </c>
      <c r="K22" s="75">
        <f>Set!U$31</f>
        <v>0</v>
      </c>
      <c r="L22" s="75">
        <f>Out!U$31</f>
        <v>0</v>
      </c>
      <c r="M22" s="75">
        <f>Nov!U$31</f>
        <v>0</v>
      </c>
      <c r="N22" s="75">
        <f>Dez!U$31</f>
        <v>0</v>
      </c>
    </row>
    <row r="23" spans="1:14" ht="15.75">
      <c r="A23" t="s">
        <v>45</v>
      </c>
      <c r="B23" s="74">
        <v>21</v>
      </c>
      <c r="C23" s="75">
        <f>Jan!V$31</f>
        <v>0</v>
      </c>
      <c r="D23" s="75">
        <f>Fev!V$31</f>
        <v>0</v>
      </c>
      <c r="E23" s="75">
        <f>Mar!V$31</f>
        <v>0</v>
      </c>
      <c r="F23" s="75">
        <f>Abr!V$31</f>
        <v>0</v>
      </c>
      <c r="G23" s="75">
        <f>Mai!V$31</f>
        <v>0</v>
      </c>
      <c r="H23" s="75">
        <f>Jun!V$31</f>
        <v>0</v>
      </c>
      <c r="I23" s="75">
        <f>Jul!V$31</f>
        <v>0</v>
      </c>
      <c r="J23" s="75">
        <f>Ago!V$31</f>
        <v>0</v>
      </c>
      <c r="K23" s="75">
        <f>Set!V$31</f>
        <v>0</v>
      </c>
      <c r="L23" s="75">
        <f>Out!V$31</f>
        <v>0</v>
      </c>
      <c r="M23" s="75">
        <f>Nov!V$31</f>
        <v>0</v>
      </c>
      <c r="N23" s="75">
        <f>Dez!V$31</f>
        <v>0</v>
      </c>
    </row>
    <row r="24" spans="1:14" ht="15.75">
      <c r="A24" t="s">
        <v>46</v>
      </c>
      <c r="B24" s="74">
        <v>22</v>
      </c>
      <c r="C24" s="75">
        <f>Jan!W$31</f>
        <v>0</v>
      </c>
      <c r="D24" s="75">
        <f>Fev!W$31</f>
        <v>0</v>
      </c>
      <c r="E24" s="75">
        <f>Mar!W$31</f>
        <v>0</v>
      </c>
      <c r="F24" s="75">
        <f>Abr!W$31</f>
        <v>0</v>
      </c>
      <c r="G24" s="75">
        <f>Mai!W$31</f>
        <v>0</v>
      </c>
      <c r="H24" s="75">
        <f>Jun!W$31</f>
        <v>0</v>
      </c>
      <c r="I24" s="75">
        <f>Jul!W$31</f>
        <v>0</v>
      </c>
      <c r="J24" s="75">
        <f>Ago!W$31</f>
        <v>0</v>
      </c>
      <c r="K24" s="75">
        <f>Set!W$31</f>
        <v>0</v>
      </c>
      <c r="L24" s="75">
        <f>Out!W$31</f>
        <v>0</v>
      </c>
      <c r="M24" s="75">
        <f>Nov!W$31</f>
        <v>0</v>
      </c>
      <c r="N24" s="75">
        <f>Dez!W$31</f>
        <v>0</v>
      </c>
    </row>
    <row r="25" spans="1:14" ht="15.75">
      <c r="A25" t="s">
        <v>47</v>
      </c>
      <c r="B25" s="74">
        <v>23</v>
      </c>
      <c r="C25" s="75">
        <f>Jan!X$31</f>
        <v>0</v>
      </c>
      <c r="D25" s="75">
        <f>Fev!X$31</f>
        <v>0</v>
      </c>
      <c r="E25" s="75">
        <f>Mar!X$31</f>
        <v>0</v>
      </c>
      <c r="F25" s="75">
        <f>Abr!X$31</f>
        <v>0</v>
      </c>
      <c r="G25" s="75">
        <f>Mai!X$31</f>
        <v>0</v>
      </c>
      <c r="H25" s="75">
        <f>Jun!X$31</f>
        <v>0</v>
      </c>
      <c r="I25" s="75">
        <f>Jul!X$31</f>
        <v>0</v>
      </c>
      <c r="J25" s="75">
        <f>Ago!X$31</f>
        <v>0</v>
      </c>
      <c r="K25" s="75">
        <f>Set!X$31</f>
        <v>0</v>
      </c>
      <c r="L25" s="75">
        <f>Out!X$31</f>
        <v>0</v>
      </c>
      <c r="M25" s="75">
        <f>Nov!X$31</f>
        <v>0</v>
      </c>
      <c r="N25" s="75">
        <f>Dez!X$31</f>
        <v>0</v>
      </c>
    </row>
    <row r="26" spans="1:14" ht="15.75">
      <c r="A26" t="s">
        <v>48</v>
      </c>
      <c r="B26" s="74">
        <v>24</v>
      </c>
      <c r="C26" s="75">
        <f>Jan!Y$31</f>
        <v>0</v>
      </c>
      <c r="D26" s="75">
        <f>Fev!Y$31</f>
        <v>0</v>
      </c>
      <c r="E26" s="75">
        <f>Mar!Y$31</f>
        <v>0</v>
      </c>
      <c r="F26" s="75">
        <f>Abr!Y$31</f>
        <v>0</v>
      </c>
      <c r="G26" s="75">
        <f>Mai!Y$31</f>
        <v>0</v>
      </c>
      <c r="H26" s="75">
        <f>Jun!Y$31</f>
        <v>0</v>
      </c>
      <c r="I26" s="75">
        <f>Jul!Y$31</f>
        <v>0</v>
      </c>
      <c r="J26" s="75">
        <f>Ago!Y$31</f>
        <v>0</v>
      </c>
      <c r="K26" s="75">
        <f>Set!Y$31</f>
        <v>0</v>
      </c>
      <c r="L26" s="75">
        <f>Out!Y$31</f>
        <v>0</v>
      </c>
      <c r="M26" s="75">
        <f>Nov!Y$31</f>
        <v>0</v>
      </c>
      <c r="N26" s="75">
        <f>Dez!Y$31</f>
        <v>0</v>
      </c>
    </row>
    <row r="27" spans="1:14" ht="15.75">
      <c r="A27" t="s">
        <v>49</v>
      </c>
      <c r="B27" s="74">
        <v>25</v>
      </c>
      <c r="C27" s="75">
        <f>Jan!Z$31</f>
        <v>0</v>
      </c>
      <c r="D27" s="75">
        <f>Fev!Z$31</f>
        <v>0</v>
      </c>
      <c r="E27" s="75">
        <f>Mar!Z$31</f>
        <v>0</v>
      </c>
      <c r="F27" s="75">
        <f>Abr!Z$31</f>
        <v>0</v>
      </c>
      <c r="G27" s="75">
        <f>Mai!Z$31</f>
        <v>0</v>
      </c>
      <c r="H27" s="75">
        <f>Jun!Z$31</f>
        <v>0</v>
      </c>
      <c r="I27" s="75">
        <f>Jul!Z$31</f>
        <v>0</v>
      </c>
      <c r="J27" s="75">
        <f>Ago!Z$31</f>
        <v>0</v>
      </c>
      <c r="K27" s="75">
        <f>Set!Z$31</f>
        <v>0</v>
      </c>
      <c r="L27" s="75">
        <f>Out!Z$31</f>
        <v>0</v>
      </c>
      <c r="M27" s="75">
        <f>Nov!Z$31</f>
        <v>0</v>
      </c>
      <c r="N27" s="75">
        <f>Dez!Z$31</f>
        <v>0</v>
      </c>
    </row>
    <row r="28" spans="1:14" ht="15.75">
      <c r="A28" t="s">
        <v>50</v>
      </c>
      <c r="B28" s="74">
        <v>26</v>
      </c>
      <c r="C28" s="75">
        <f>Jan!AA$31</f>
        <v>0</v>
      </c>
      <c r="D28" s="75">
        <f>Fev!AA$31</f>
        <v>0</v>
      </c>
      <c r="E28" s="75">
        <f>Mar!AA$31</f>
        <v>0</v>
      </c>
      <c r="F28" s="75">
        <f>Abr!AA$31</f>
        <v>0</v>
      </c>
      <c r="G28" s="75">
        <f>Mai!AA$31</f>
        <v>0</v>
      </c>
      <c r="H28" s="75">
        <f>Jun!AA$31</f>
        <v>0</v>
      </c>
      <c r="I28" s="75">
        <f>Jul!AA$31</f>
        <v>0</v>
      </c>
      <c r="J28" s="75">
        <f>Ago!AA$31</f>
        <v>0</v>
      </c>
      <c r="K28" s="75">
        <f>Set!AA$31</f>
        <v>0</v>
      </c>
      <c r="L28" s="75">
        <f>Out!AA$31</f>
        <v>0</v>
      </c>
      <c r="M28" s="75">
        <f>Nov!AA$31</f>
        <v>0</v>
      </c>
      <c r="N28" s="75">
        <f>Dez!AA$31</f>
        <v>0</v>
      </c>
    </row>
    <row r="29" spans="1:14" ht="15.75">
      <c r="A29" t="s">
        <v>51</v>
      </c>
      <c r="B29" s="74">
        <v>27</v>
      </c>
      <c r="C29" s="75">
        <f>Jan!AB$31</f>
        <v>0</v>
      </c>
      <c r="D29" s="75">
        <f>Fev!AB$31</f>
        <v>0</v>
      </c>
      <c r="E29" s="75">
        <f>Mar!AB$31</f>
        <v>0</v>
      </c>
      <c r="F29" s="75">
        <f>Abr!AB$31</f>
        <v>0</v>
      </c>
      <c r="G29" s="75">
        <f>Mai!AB$31</f>
        <v>0</v>
      </c>
      <c r="H29" s="75">
        <f>Jun!AB$31</f>
        <v>0</v>
      </c>
      <c r="I29" s="75">
        <f>Jul!AB$31</f>
        <v>0</v>
      </c>
      <c r="J29" s="75">
        <f>Ago!AB$31</f>
        <v>0</v>
      </c>
      <c r="K29" s="75">
        <f>Set!AB$31</f>
        <v>0</v>
      </c>
      <c r="L29" s="75">
        <f>Out!AB$31</f>
        <v>0</v>
      </c>
      <c r="M29" s="75">
        <f>Nov!AB$31</f>
        <v>0</v>
      </c>
      <c r="N29" s="75">
        <f>Dez!AB$31</f>
        <v>0</v>
      </c>
    </row>
    <row r="30" spans="1:14" ht="15.75">
      <c r="A30" t="s">
        <v>52</v>
      </c>
      <c r="B30" s="74">
        <v>28</v>
      </c>
      <c r="C30" s="75">
        <f>Jan!AC$31</f>
        <v>0</v>
      </c>
      <c r="D30" s="75">
        <f>Fev!AC$31</f>
        <v>0</v>
      </c>
      <c r="E30" s="75">
        <f>Mar!AC$31</f>
        <v>0</v>
      </c>
      <c r="F30" s="75">
        <f>Abr!AC$31</f>
        <v>0</v>
      </c>
      <c r="G30" s="75">
        <f>Mai!AC$31</f>
        <v>0</v>
      </c>
      <c r="H30" s="75">
        <f>Jun!AC$31</f>
        <v>0</v>
      </c>
      <c r="I30" s="75">
        <f>Jul!AC$31</f>
        <v>0</v>
      </c>
      <c r="J30" s="75">
        <f>Ago!AC$31</f>
        <v>0</v>
      </c>
      <c r="K30" s="75">
        <f>Set!AC$31</f>
        <v>0</v>
      </c>
      <c r="L30" s="75">
        <f>Out!AC$31</f>
        <v>0</v>
      </c>
      <c r="M30" s="75">
        <f>Nov!AC$31</f>
        <v>0</v>
      </c>
      <c r="N30" s="75">
        <f>Dez!AC$31</f>
        <v>0</v>
      </c>
    </row>
    <row r="31" spans="1:14" ht="15.75">
      <c r="A31" t="s">
        <v>53</v>
      </c>
      <c r="B31" s="74">
        <v>29</v>
      </c>
      <c r="C31" s="75">
        <f>Jan!AD$31</f>
        <v>0</v>
      </c>
      <c r="D31" s="75">
        <f>Fev!AD$31</f>
        <v>0</v>
      </c>
      <c r="E31" s="75">
        <f>Mar!AD$31</f>
        <v>0</v>
      </c>
      <c r="F31" s="75">
        <f>Abr!AD$31</f>
        <v>0</v>
      </c>
      <c r="G31" s="75">
        <f>Mai!AD$31</f>
        <v>0</v>
      </c>
      <c r="H31" s="75">
        <f>Jun!AD$31</f>
        <v>0</v>
      </c>
      <c r="I31" s="75">
        <f>Jul!AD$31</f>
        <v>0</v>
      </c>
      <c r="J31" s="75">
        <f>Ago!AD$31</f>
        <v>0</v>
      </c>
      <c r="K31" s="75">
        <f>Set!AD$31</f>
        <v>0</v>
      </c>
      <c r="L31" s="75">
        <f>Out!AD$31</f>
        <v>0</v>
      </c>
      <c r="M31" s="75">
        <f>Nov!AD$31</f>
        <v>0</v>
      </c>
      <c r="N31" s="75">
        <f>Dez!AD$31</f>
        <v>0</v>
      </c>
    </row>
    <row r="32" spans="1:14" ht="15.75">
      <c r="A32" t="s">
        <v>54</v>
      </c>
      <c r="B32" s="74">
        <v>30</v>
      </c>
      <c r="C32" s="75">
        <f>Jan!AE$31</f>
        <v>0</v>
      </c>
      <c r="D32" s="75"/>
      <c r="E32" s="75">
        <f>Mar!AE$31</f>
        <v>0</v>
      </c>
      <c r="F32" s="75">
        <f>Abr!AE$31</f>
        <v>0</v>
      </c>
      <c r="G32" s="75">
        <f>Mai!AE$31</f>
        <v>0</v>
      </c>
      <c r="H32" s="75">
        <f>Jun!AE$31</f>
        <v>0</v>
      </c>
      <c r="I32" s="75">
        <f>Jul!AE$31</f>
        <v>0</v>
      </c>
      <c r="J32" s="75">
        <f>Ago!AE$31</f>
        <v>0</v>
      </c>
      <c r="K32" s="75">
        <f>Set!AE$31</f>
        <v>0</v>
      </c>
      <c r="L32" s="75">
        <f>Out!AE$31</f>
        <v>0</v>
      </c>
      <c r="M32" s="75">
        <f>Nov!AE$31</f>
        <v>0</v>
      </c>
      <c r="N32" s="75">
        <f>Dez!AE$31</f>
        <v>0</v>
      </c>
    </row>
    <row r="33" spans="1:14" ht="15.75">
      <c r="A33" t="s">
        <v>55</v>
      </c>
      <c r="B33" s="74">
        <v>31</v>
      </c>
      <c r="C33" s="75">
        <f>Jan!AF$31</f>
        <v>0</v>
      </c>
      <c r="D33" s="75"/>
      <c r="E33" s="75">
        <f>Mar!AF$31</f>
        <v>0</v>
      </c>
      <c r="F33" s="75"/>
      <c r="G33" s="75">
        <f>Mai!AF$31</f>
        <v>0</v>
      </c>
      <c r="H33" s="75"/>
      <c r="I33" s="75">
        <f>Jul!AF$31</f>
        <v>0</v>
      </c>
      <c r="J33" s="75">
        <f>Ago!AF$31</f>
        <v>0</v>
      </c>
      <c r="K33" s="75"/>
      <c r="L33" s="75">
        <f>Out!AF$31</f>
        <v>0</v>
      </c>
      <c r="M33" s="75"/>
      <c r="N33" s="75">
        <f>Dez!AF$31</f>
        <v>0</v>
      </c>
    </row>
    <row r="34" spans="1:14" ht="15.75"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</row>
    <row r="35" spans="1:14" ht="15.75">
      <c r="B35" s="77" t="s">
        <v>56</v>
      </c>
      <c r="C35" s="78">
        <f t="shared" ref="C35:N35" si="0">AVERAGE(C3:C33)</f>
        <v>0</v>
      </c>
      <c r="D35" s="78">
        <f t="shared" si="0"/>
        <v>0</v>
      </c>
      <c r="E35" s="78">
        <f t="shared" si="0"/>
        <v>0</v>
      </c>
      <c r="F35" s="78">
        <f t="shared" si="0"/>
        <v>0</v>
      </c>
      <c r="G35" s="78">
        <f t="shared" si="0"/>
        <v>0</v>
      </c>
      <c r="H35" s="78">
        <f t="shared" si="0"/>
        <v>0</v>
      </c>
      <c r="I35" s="78">
        <f t="shared" si="0"/>
        <v>0</v>
      </c>
      <c r="J35" s="78">
        <f t="shared" si="0"/>
        <v>0</v>
      </c>
      <c r="K35" s="78">
        <f t="shared" si="0"/>
        <v>0</v>
      </c>
      <c r="L35" s="78">
        <f t="shared" si="0"/>
        <v>0</v>
      </c>
      <c r="M35" s="78">
        <f t="shared" si="0"/>
        <v>0</v>
      </c>
      <c r="N35" s="78">
        <f t="shared" si="0"/>
        <v>0</v>
      </c>
    </row>
    <row r="36" spans="1:14">
      <c r="B36" s="79" t="s">
        <v>57</v>
      </c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1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36"/>
  <sheetViews>
    <sheetView zoomScale="80" zoomScaleNormal="80" workbookViewId="0">
      <selection activeCell="D2" sqref="D2"/>
    </sheetView>
  </sheetViews>
  <sheetFormatPr defaultRowHeight="15"/>
  <sheetData>
    <row r="1" spans="1:14" ht="16.5" thickBot="1">
      <c r="B1" s="70" t="s">
        <v>58</v>
      </c>
      <c r="C1" s="71"/>
      <c r="D1" s="72">
        <v>2024</v>
      </c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4">
      <c r="C2" s="73" t="s">
        <v>13</v>
      </c>
      <c r="D2" s="73" t="s">
        <v>14</v>
      </c>
      <c r="E2" s="73" t="s">
        <v>15</v>
      </c>
      <c r="F2" s="73" t="s">
        <v>16</v>
      </c>
      <c r="G2" s="73" t="s">
        <v>17</v>
      </c>
      <c r="H2" s="73" t="s">
        <v>18</v>
      </c>
      <c r="I2" s="73" t="s">
        <v>19</v>
      </c>
      <c r="J2" s="73" t="s">
        <v>20</v>
      </c>
      <c r="K2" s="73" t="s">
        <v>21</v>
      </c>
      <c r="L2" s="73" t="s">
        <v>22</v>
      </c>
      <c r="M2" s="73" t="s">
        <v>23</v>
      </c>
      <c r="N2" s="73" t="s">
        <v>24</v>
      </c>
    </row>
    <row r="3" spans="1:14" ht="15.75">
      <c r="A3" t="s">
        <v>25</v>
      </c>
      <c r="B3" s="74">
        <v>1</v>
      </c>
      <c r="C3" s="75">
        <f>Jan!B$35</f>
        <v>0</v>
      </c>
      <c r="D3" s="75">
        <f>Fev!B$35</f>
        <v>0</v>
      </c>
      <c r="E3" s="75">
        <f>Mar!B$35</f>
        <v>0</v>
      </c>
      <c r="F3" s="75">
        <f>Abr!B$35</f>
        <v>0</v>
      </c>
      <c r="G3" s="75">
        <f>Mai!B$35</f>
        <v>0</v>
      </c>
      <c r="H3" s="75">
        <f>Jun!B$35</f>
        <v>0</v>
      </c>
      <c r="I3" s="75">
        <f>Jul!B$35</f>
        <v>0</v>
      </c>
      <c r="J3" s="75">
        <f>Ago!B$35</f>
        <v>0</v>
      </c>
      <c r="K3" s="75">
        <f>Set!B$35</f>
        <v>0</v>
      </c>
      <c r="L3" s="75">
        <f>Out!B$35</f>
        <v>0</v>
      </c>
      <c r="M3" s="75">
        <f>Nov!B$35</f>
        <v>0</v>
      </c>
      <c r="N3" s="75">
        <f>Dez!B$35</f>
        <v>0</v>
      </c>
    </row>
    <row r="4" spans="1:14" ht="15.75">
      <c r="A4" t="s">
        <v>26</v>
      </c>
      <c r="B4" s="74">
        <v>2</v>
      </c>
      <c r="C4" s="75">
        <f>Jan!C$35</f>
        <v>0</v>
      </c>
      <c r="D4" s="75">
        <f>Fev!C$35</f>
        <v>0</v>
      </c>
      <c r="E4" s="75">
        <f>Mar!C$35</f>
        <v>0</v>
      </c>
      <c r="F4" s="75">
        <f>Abr!C$35</f>
        <v>0</v>
      </c>
      <c r="G4" s="75">
        <f>Mai!C$35</f>
        <v>0</v>
      </c>
      <c r="H4" s="75">
        <f>Jun!C$35</f>
        <v>0</v>
      </c>
      <c r="I4" s="75">
        <f>Jul!C$35</f>
        <v>0</v>
      </c>
      <c r="J4" s="75">
        <f>Ago!C$35</f>
        <v>0</v>
      </c>
      <c r="K4" s="75">
        <f>Set!C$35</f>
        <v>0</v>
      </c>
      <c r="L4" s="75">
        <f>Out!C$35</f>
        <v>0</v>
      </c>
      <c r="M4" s="75">
        <f>Nov!C$35</f>
        <v>0</v>
      </c>
      <c r="N4" s="75">
        <f>Dez!C$35</f>
        <v>0</v>
      </c>
    </row>
    <row r="5" spans="1:14" ht="15.75">
      <c r="A5" t="s">
        <v>27</v>
      </c>
      <c r="B5" s="74">
        <v>3</v>
      </c>
      <c r="C5" s="75">
        <f>Jan!D$35</f>
        <v>0</v>
      </c>
      <c r="D5" s="75">
        <f>Fev!D$35</f>
        <v>0</v>
      </c>
      <c r="E5" s="75">
        <f>Mar!D$35</f>
        <v>0</v>
      </c>
      <c r="F5" s="75">
        <f>Abr!D$35</f>
        <v>0</v>
      </c>
      <c r="G5" s="75">
        <f>Mai!D$35</f>
        <v>0</v>
      </c>
      <c r="H5" s="75">
        <f>Jun!D$35</f>
        <v>0</v>
      </c>
      <c r="I5" s="75">
        <f>Jul!D$35</f>
        <v>0</v>
      </c>
      <c r="J5" s="75">
        <f>Ago!D$35</f>
        <v>0</v>
      </c>
      <c r="K5" s="75">
        <f>Set!D$35</f>
        <v>0</v>
      </c>
      <c r="L5" s="75">
        <f>Out!D$35</f>
        <v>0</v>
      </c>
      <c r="M5" s="75">
        <f>Nov!D$35</f>
        <v>0</v>
      </c>
      <c r="N5" s="75">
        <f>Dez!D$35</f>
        <v>0</v>
      </c>
    </row>
    <row r="6" spans="1:14" ht="15.75">
      <c r="A6" t="s">
        <v>28</v>
      </c>
      <c r="B6" s="74">
        <v>4</v>
      </c>
      <c r="C6" s="75">
        <f>Jan!E$35</f>
        <v>0</v>
      </c>
      <c r="D6" s="75">
        <f>Fev!E$35</f>
        <v>0</v>
      </c>
      <c r="E6" s="75">
        <f>Mar!E$35</f>
        <v>0</v>
      </c>
      <c r="F6" s="75">
        <f>Abr!E$35</f>
        <v>0</v>
      </c>
      <c r="G6" s="75">
        <f>Mai!E$35</f>
        <v>0</v>
      </c>
      <c r="H6" s="75">
        <f>Jun!E$35</f>
        <v>0</v>
      </c>
      <c r="I6" s="75">
        <f>Jul!E$35</f>
        <v>0</v>
      </c>
      <c r="J6" s="75">
        <f>Ago!E$35</f>
        <v>0</v>
      </c>
      <c r="K6" s="75">
        <f>Set!E$35</f>
        <v>0</v>
      </c>
      <c r="L6" s="75">
        <f>Out!E$35</f>
        <v>0</v>
      </c>
      <c r="M6" s="75">
        <f>Nov!E$35</f>
        <v>0</v>
      </c>
      <c r="N6" s="75">
        <f>Dez!E$35</f>
        <v>0</v>
      </c>
    </row>
    <row r="7" spans="1:14" ht="15.75">
      <c r="A7" t="s">
        <v>29</v>
      </c>
      <c r="B7" s="74">
        <v>5</v>
      </c>
      <c r="C7" s="75">
        <f>Jan!F$35</f>
        <v>0</v>
      </c>
      <c r="D7" s="75">
        <f>Fev!F$35</f>
        <v>0</v>
      </c>
      <c r="E7" s="75">
        <f>Mar!F$35</f>
        <v>0</v>
      </c>
      <c r="F7" s="75">
        <f>Abr!F$35</f>
        <v>0</v>
      </c>
      <c r="G7" s="75">
        <f>Mai!F$35</f>
        <v>0</v>
      </c>
      <c r="H7" s="75">
        <f>Jun!F$35</f>
        <v>0</v>
      </c>
      <c r="I7" s="75">
        <f>Jul!F$35</f>
        <v>0</v>
      </c>
      <c r="J7" s="75">
        <f>Ago!F$35</f>
        <v>0</v>
      </c>
      <c r="K7" s="75">
        <f>Set!F$35</f>
        <v>0</v>
      </c>
      <c r="L7" s="75">
        <f>Out!F$35</f>
        <v>0</v>
      </c>
      <c r="M7" s="75">
        <f>Nov!F$35</f>
        <v>0</v>
      </c>
      <c r="N7" s="75">
        <f>Dez!F$35</f>
        <v>0</v>
      </c>
    </row>
    <row r="8" spans="1:14" ht="15.75">
      <c r="A8" t="s">
        <v>30</v>
      </c>
      <c r="B8" s="74">
        <v>6</v>
      </c>
      <c r="C8" s="75">
        <f>Jan!G$35</f>
        <v>0</v>
      </c>
      <c r="D8" s="75">
        <f>Fev!G$35</f>
        <v>0</v>
      </c>
      <c r="E8" s="75">
        <f>Mar!G$35</f>
        <v>0</v>
      </c>
      <c r="F8" s="75">
        <f>Abr!G$35</f>
        <v>0</v>
      </c>
      <c r="G8" s="75">
        <f>Mai!G$35</f>
        <v>0</v>
      </c>
      <c r="H8" s="75">
        <f>Jun!G$35</f>
        <v>0</v>
      </c>
      <c r="I8" s="75">
        <f>Jul!G$35</f>
        <v>0</v>
      </c>
      <c r="J8" s="75">
        <f>Ago!G$35</f>
        <v>0</v>
      </c>
      <c r="K8" s="75">
        <f>Set!G$35</f>
        <v>0</v>
      </c>
      <c r="L8" s="75">
        <f>Out!G$35</f>
        <v>0</v>
      </c>
      <c r="M8" s="75">
        <f>Nov!G$35</f>
        <v>0</v>
      </c>
      <c r="N8" s="75">
        <f>Dez!G$35</f>
        <v>0</v>
      </c>
    </row>
    <row r="9" spans="1:14" ht="15.75">
      <c r="A9" t="s">
        <v>31</v>
      </c>
      <c r="B9" s="74">
        <v>7</v>
      </c>
      <c r="C9" s="75">
        <f>Jan!H$35</f>
        <v>0</v>
      </c>
      <c r="D9" s="75">
        <f>Fev!H$35</f>
        <v>0</v>
      </c>
      <c r="E9" s="75">
        <f>Mar!H$35</f>
        <v>0</v>
      </c>
      <c r="F9" s="75">
        <f>Abr!H$35</f>
        <v>0</v>
      </c>
      <c r="G9" s="75">
        <f>Mai!H$35</f>
        <v>0</v>
      </c>
      <c r="H9" s="75">
        <f>Jun!H$35</f>
        <v>0</v>
      </c>
      <c r="I9" s="75">
        <f>Jul!H$35</f>
        <v>0</v>
      </c>
      <c r="J9" s="75">
        <f>Ago!H$35</f>
        <v>0</v>
      </c>
      <c r="K9" s="75">
        <f>Set!H$35</f>
        <v>0</v>
      </c>
      <c r="L9" s="75">
        <f>Out!H$35</f>
        <v>0</v>
      </c>
      <c r="M9" s="75">
        <f>Nov!H$35</f>
        <v>0</v>
      </c>
      <c r="N9" s="75">
        <f>Dez!H$35</f>
        <v>0</v>
      </c>
    </row>
    <row r="10" spans="1:14" ht="15.75">
      <c r="A10" t="s">
        <v>32</v>
      </c>
      <c r="B10" s="74">
        <v>8</v>
      </c>
      <c r="C10" s="75">
        <f>Jan!I$35</f>
        <v>0</v>
      </c>
      <c r="D10" s="75">
        <f>Fev!I$35</f>
        <v>0</v>
      </c>
      <c r="E10" s="75">
        <f>Mar!I$35</f>
        <v>0</v>
      </c>
      <c r="F10" s="75">
        <f>Abr!I$35</f>
        <v>0</v>
      </c>
      <c r="G10" s="75">
        <f>Mai!I$35</f>
        <v>0</v>
      </c>
      <c r="H10" s="75">
        <f>Jun!I$35</f>
        <v>0</v>
      </c>
      <c r="I10" s="75">
        <f>Jul!I$35</f>
        <v>0</v>
      </c>
      <c r="J10" s="75">
        <f>Ago!I$35</f>
        <v>0</v>
      </c>
      <c r="K10" s="75">
        <f>Set!I$35</f>
        <v>0</v>
      </c>
      <c r="L10" s="75">
        <f>Out!I$35</f>
        <v>0</v>
      </c>
      <c r="M10" s="75">
        <f>Nov!I$35</f>
        <v>0</v>
      </c>
      <c r="N10" s="75">
        <f>Dez!I$35</f>
        <v>0</v>
      </c>
    </row>
    <row r="11" spans="1:14" ht="15.75">
      <c r="A11" t="s">
        <v>33</v>
      </c>
      <c r="B11" s="74">
        <v>9</v>
      </c>
      <c r="C11" s="75">
        <f>Jan!J$35</f>
        <v>0</v>
      </c>
      <c r="D11" s="75">
        <f>Fev!J$35</f>
        <v>0</v>
      </c>
      <c r="E11" s="75">
        <f>Mar!J$35</f>
        <v>0</v>
      </c>
      <c r="F11" s="75">
        <f>Abr!J$35</f>
        <v>0</v>
      </c>
      <c r="G11" s="75">
        <f>Mai!J$35</f>
        <v>0</v>
      </c>
      <c r="H11" s="75">
        <f>Jun!J$35</f>
        <v>0</v>
      </c>
      <c r="I11" s="75">
        <f>Jul!J$35</f>
        <v>0</v>
      </c>
      <c r="J11" s="75">
        <f>Ago!J$35</f>
        <v>0</v>
      </c>
      <c r="K11" s="75">
        <f>Set!J$35</f>
        <v>0</v>
      </c>
      <c r="L11" s="75">
        <f>Out!J$35</f>
        <v>0</v>
      </c>
      <c r="M11" s="75">
        <f>Nov!J$35</f>
        <v>0</v>
      </c>
      <c r="N11" s="75">
        <f>Dez!J$35</f>
        <v>0</v>
      </c>
    </row>
    <row r="12" spans="1:14" ht="15.75">
      <c r="A12" t="s">
        <v>34</v>
      </c>
      <c r="B12" s="74">
        <v>10</v>
      </c>
      <c r="C12" s="75">
        <f>Jan!K$35</f>
        <v>0</v>
      </c>
      <c r="D12" s="75">
        <f>Fev!K$35</f>
        <v>0</v>
      </c>
      <c r="E12" s="75">
        <f>Mar!K$35</f>
        <v>0</v>
      </c>
      <c r="F12" s="75">
        <f>Abr!K$35</f>
        <v>0</v>
      </c>
      <c r="G12" s="75">
        <f>Mai!K$35</f>
        <v>0</v>
      </c>
      <c r="H12" s="75">
        <f>Jun!K$35</f>
        <v>0</v>
      </c>
      <c r="I12" s="75">
        <f>Jul!K$35</f>
        <v>0</v>
      </c>
      <c r="J12" s="75">
        <f>Ago!K$35</f>
        <v>0</v>
      </c>
      <c r="K12" s="75">
        <f>Set!K$35</f>
        <v>0</v>
      </c>
      <c r="L12" s="75">
        <f>Out!K$35</f>
        <v>0</v>
      </c>
      <c r="M12" s="75">
        <f>Nov!K$35</f>
        <v>0</v>
      </c>
      <c r="N12" s="75">
        <f>Dez!K$35</f>
        <v>0</v>
      </c>
    </row>
    <row r="13" spans="1:14" ht="15.75">
      <c r="A13" t="s">
        <v>35</v>
      </c>
      <c r="B13" s="74">
        <v>11</v>
      </c>
      <c r="C13" s="75">
        <f>Jan!L$35</f>
        <v>0</v>
      </c>
      <c r="D13" s="75">
        <f>Fev!L$35</f>
        <v>0</v>
      </c>
      <c r="E13" s="75">
        <f>Mar!L$35</f>
        <v>0</v>
      </c>
      <c r="F13" s="75">
        <f>Abr!L$35</f>
        <v>0</v>
      </c>
      <c r="G13" s="75">
        <f>Mai!L$35</f>
        <v>0</v>
      </c>
      <c r="H13" s="75">
        <f>Jun!L$35</f>
        <v>0</v>
      </c>
      <c r="I13" s="75">
        <f>Jul!L$35</f>
        <v>0</v>
      </c>
      <c r="J13" s="75">
        <f>Ago!L$35</f>
        <v>0</v>
      </c>
      <c r="K13" s="75">
        <f>Set!L$35</f>
        <v>0</v>
      </c>
      <c r="L13" s="75">
        <f>Out!L$35</f>
        <v>0</v>
      </c>
      <c r="M13" s="75">
        <f>Nov!L$35</f>
        <v>0</v>
      </c>
      <c r="N13" s="75">
        <f>Dez!L$35</f>
        <v>0</v>
      </c>
    </row>
    <row r="14" spans="1:14" ht="15.75">
      <c r="A14" t="s">
        <v>36</v>
      </c>
      <c r="B14" s="74">
        <v>12</v>
      </c>
      <c r="C14" s="75">
        <f>Jan!M$35</f>
        <v>0</v>
      </c>
      <c r="D14" s="75">
        <f>Fev!M$35</f>
        <v>0</v>
      </c>
      <c r="E14" s="75">
        <f>Mar!M$35</f>
        <v>0</v>
      </c>
      <c r="F14" s="75">
        <f>Abr!M$35</f>
        <v>0</v>
      </c>
      <c r="G14" s="75">
        <f>Mai!M$35</f>
        <v>0</v>
      </c>
      <c r="H14" s="75">
        <f>Jun!M$35</f>
        <v>0</v>
      </c>
      <c r="I14" s="75">
        <f>Jul!M$35</f>
        <v>0</v>
      </c>
      <c r="J14" s="75">
        <f>Ago!M$35</f>
        <v>0</v>
      </c>
      <c r="K14" s="75">
        <f>Set!M$35</f>
        <v>0</v>
      </c>
      <c r="L14" s="75">
        <f>Out!M$35</f>
        <v>0</v>
      </c>
      <c r="M14" s="75">
        <f>Nov!M$35</f>
        <v>0</v>
      </c>
      <c r="N14" s="75">
        <f>Dez!M$35</f>
        <v>0</v>
      </c>
    </row>
    <row r="15" spans="1:14" ht="15.75">
      <c r="A15" t="s">
        <v>37</v>
      </c>
      <c r="B15" s="74">
        <v>13</v>
      </c>
      <c r="C15" s="75">
        <f>Jan!N$35</f>
        <v>0</v>
      </c>
      <c r="D15" s="75">
        <f>Fev!N$35</f>
        <v>0</v>
      </c>
      <c r="E15" s="75">
        <f>Mar!N$35</f>
        <v>0</v>
      </c>
      <c r="F15" s="75">
        <f>Abr!N$35</f>
        <v>0</v>
      </c>
      <c r="G15" s="75">
        <f>Mai!N$35</f>
        <v>0</v>
      </c>
      <c r="H15" s="75">
        <f>Jun!N$35</f>
        <v>0</v>
      </c>
      <c r="I15" s="75">
        <f>Jul!N$35</f>
        <v>0</v>
      </c>
      <c r="J15" s="75">
        <f>Ago!N$35</f>
        <v>0</v>
      </c>
      <c r="K15" s="75">
        <f>Set!N$35</f>
        <v>0</v>
      </c>
      <c r="L15" s="75">
        <f>Out!N$35</f>
        <v>0</v>
      </c>
      <c r="M15" s="75">
        <f>Nov!N$35</f>
        <v>0</v>
      </c>
      <c r="N15" s="75">
        <f>Dez!N$35</f>
        <v>0</v>
      </c>
    </row>
    <row r="16" spans="1:14" ht="15.75">
      <c r="A16" t="s">
        <v>38</v>
      </c>
      <c r="B16" s="74">
        <v>14</v>
      </c>
      <c r="C16" s="75">
        <f>Jan!O$35</f>
        <v>0</v>
      </c>
      <c r="D16" s="75">
        <f>Fev!O$35</f>
        <v>0</v>
      </c>
      <c r="E16" s="75">
        <f>Mar!O$35</f>
        <v>0</v>
      </c>
      <c r="F16" s="75">
        <f>Abr!O$35</f>
        <v>0</v>
      </c>
      <c r="G16" s="75">
        <f>Mai!O$35</f>
        <v>0</v>
      </c>
      <c r="H16" s="75">
        <f>Jun!O$35</f>
        <v>0</v>
      </c>
      <c r="I16" s="75">
        <f>Jul!O$35</f>
        <v>0</v>
      </c>
      <c r="J16" s="75">
        <f>Ago!O$35</f>
        <v>0</v>
      </c>
      <c r="K16" s="75">
        <f>Set!O$35</f>
        <v>0</v>
      </c>
      <c r="L16" s="75">
        <f>Out!O$35</f>
        <v>0</v>
      </c>
      <c r="M16" s="75">
        <f>Nov!O$35</f>
        <v>0</v>
      </c>
      <c r="N16" s="75">
        <f>Dez!O$35</f>
        <v>0</v>
      </c>
    </row>
    <row r="17" spans="1:14" ht="15.75">
      <c r="A17" t="s">
        <v>39</v>
      </c>
      <c r="B17" s="74">
        <v>15</v>
      </c>
      <c r="C17" s="75">
        <f>Jan!P$35</f>
        <v>0</v>
      </c>
      <c r="D17" s="75">
        <f>Fev!P$35</f>
        <v>0</v>
      </c>
      <c r="E17" s="75">
        <f>Mar!P$35</f>
        <v>0</v>
      </c>
      <c r="F17" s="75">
        <f>Abr!P$35</f>
        <v>0</v>
      </c>
      <c r="G17" s="75">
        <f>Mai!P$35</f>
        <v>0</v>
      </c>
      <c r="H17" s="75">
        <f>Jun!P$35</f>
        <v>0</v>
      </c>
      <c r="I17" s="75">
        <f>Jul!P$35</f>
        <v>0</v>
      </c>
      <c r="J17" s="75">
        <f>Ago!P$35</f>
        <v>0</v>
      </c>
      <c r="K17" s="75">
        <f>Set!P$35</f>
        <v>0</v>
      </c>
      <c r="L17" s="75">
        <f>Out!P$35</f>
        <v>0</v>
      </c>
      <c r="M17" s="75">
        <f>Nov!P$35</f>
        <v>0</v>
      </c>
      <c r="N17" s="75">
        <f>Dez!P$35</f>
        <v>0</v>
      </c>
    </row>
    <row r="18" spans="1:14" ht="15.75">
      <c r="A18" t="s">
        <v>40</v>
      </c>
      <c r="B18" s="74">
        <v>16</v>
      </c>
      <c r="C18" s="75">
        <f>Jan!Q$35</f>
        <v>0</v>
      </c>
      <c r="D18" s="75">
        <f>Fev!Q$35</f>
        <v>0</v>
      </c>
      <c r="E18" s="75">
        <f>Mar!Q$35</f>
        <v>0</v>
      </c>
      <c r="F18" s="75">
        <f>Abr!Q$35</f>
        <v>0</v>
      </c>
      <c r="G18" s="75">
        <f>Mai!Q$35</f>
        <v>0</v>
      </c>
      <c r="H18" s="75">
        <f>Jun!Q$35</f>
        <v>0</v>
      </c>
      <c r="I18" s="75">
        <f>Jul!Q$35</f>
        <v>0</v>
      </c>
      <c r="J18" s="75">
        <f>Ago!Q$35</f>
        <v>0</v>
      </c>
      <c r="K18" s="75">
        <f>Set!Q$35</f>
        <v>0</v>
      </c>
      <c r="L18" s="75">
        <f>Out!Q$35</f>
        <v>0</v>
      </c>
      <c r="M18" s="75">
        <f>Nov!Q$35</f>
        <v>0</v>
      </c>
      <c r="N18" s="75">
        <f>Dez!Q$35</f>
        <v>0</v>
      </c>
    </row>
    <row r="19" spans="1:14" ht="15.75">
      <c r="A19" t="s">
        <v>41</v>
      </c>
      <c r="B19" s="74">
        <v>17</v>
      </c>
      <c r="C19" s="75">
        <f>Jan!R$35</f>
        <v>0</v>
      </c>
      <c r="D19" s="75">
        <f>Fev!R$35</f>
        <v>0</v>
      </c>
      <c r="E19" s="75">
        <f>Mar!R$35</f>
        <v>0</v>
      </c>
      <c r="F19" s="75">
        <f>Abr!R$35</f>
        <v>0</v>
      </c>
      <c r="G19" s="75">
        <f>Mai!R$35</f>
        <v>0</v>
      </c>
      <c r="H19" s="75">
        <f>Jun!R$35</f>
        <v>0</v>
      </c>
      <c r="I19" s="75">
        <f>Jul!R$35</f>
        <v>0</v>
      </c>
      <c r="J19" s="75">
        <f>Ago!R$35</f>
        <v>0</v>
      </c>
      <c r="K19" s="75">
        <f>Set!R$35</f>
        <v>0</v>
      </c>
      <c r="L19" s="75">
        <f>Out!R$35</f>
        <v>0</v>
      </c>
      <c r="M19" s="75">
        <f>Nov!R$35</f>
        <v>0</v>
      </c>
      <c r="N19" s="75">
        <f>Dez!R$35</f>
        <v>0</v>
      </c>
    </row>
    <row r="20" spans="1:14" ht="15.75">
      <c r="A20" t="s">
        <v>42</v>
      </c>
      <c r="B20" s="74">
        <v>18</v>
      </c>
      <c r="C20" s="75">
        <f>Jan!S$35</f>
        <v>0</v>
      </c>
      <c r="D20" s="75">
        <f>Fev!S$35</f>
        <v>0</v>
      </c>
      <c r="E20" s="75">
        <f>Mar!S$35</f>
        <v>0</v>
      </c>
      <c r="F20" s="75">
        <f>Abr!S$35</f>
        <v>0</v>
      </c>
      <c r="G20" s="75">
        <f>Mai!S$35</f>
        <v>0</v>
      </c>
      <c r="H20" s="75">
        <f>Jun!S$35</f>
        <v>0</v>
      </c>
      <c r="I20" s="75">
        <f>Jul!S$35</f>
        <v>0</v>
      </c>
      <c r="J20" s="75">
        <f>Ago!S$35</f>
        <v>0</v>
      </c>
      <c r="K20" s="75">
        <f>Set!S$35</f>
        <v>0</v>
      </c>
      <c r="L20" s="75">
        <f>Out!S$35</f>
        <v>0</v>
      </c>
      <c r="M20" s="75">
        <f>Nov!S$35</f>
        <v>0</v>
      </c>
      <c r="N20" s="75">
        <f>Dez!S$35</f>
        <v>0</v>
      </c>
    </row>
    <row r="21" spans="1:14" ht="15.75">
      <c r="A21" t="s">
        <v>43</v>
      </c>
      <c r="B21" s="74">
        <v>19</v>
      </c>
      <c r="C21" s="75">
        <f>Jan!T$35</f>
        <v>0</v>
      </c>
      <c r="D21" s="75">
        <f>Fev!T$35</f>
        <v>0</v>
      </c>
      <c r="E21" s="75">
        <f>Mar!T$35</f>
        <v>0</v>
      </c>
      <c r="F21" s="75">
        <f>Abr!T$35</f>
        <v>0</v>
      </c>
      <c r="G21" s="75">
        <f>Mai!T$35</f>
        <v>0</v>
      </c>
      <c r="H21" s="75">
        <f>Jun!T$35</f>
        <v>0</v>
      </c>
      <c r="I21" s="75">
        <f>Jul!T$35</f>
        <v>0</v>
      </c>
      <c r="J21" s="75">
        <f>Ago!T$35</f>
        <v>0</v>
      </c>
      <c r="K21" s="75">
        <f>Set!T$35</f>
        <v>0</v>
      </c>
      <c r="L21" s="75">
        <f>Out!T$35</f>
        <v>0</v>
      </c>
      <c r="M21" s="75">
        <f>Nov!T$35</f>
        <v>0</v>
      </c>
      <c r="N21" s="75">
        <f>Dez!T$35</f>
        <v>0</v>
      </c>
    </row>
    <row r="22" spans="1:14" ht="15.75">
      <c r="A22" t="s">
        <v>44</v>
      </c>
      <c r="B22" s="74">
        <v>20</v>
      </c>
      <c r="C22" s="75">
        <f>Jan!U$35</f>
        <v>0</v>
      </c>
      <c r="D22" s="75">
        <f>Fev!U$35</f>
        <v>0</v>
      </c>
      <c r="E22" s="75">
        <f>Mar!U$35</f>
        <v>0</v>
      </c>
      <c r="F22" s="75">
        <f>Abr!U$35</f>
        <v>0</v>
      </c>
      <c r="G22" s="75">
        <f>Mai!U$35</f>
        <v>0</v>
      </c>
      <c r="H22" s="75">
        <f>Jun!U$35</f>
        <v>0</v>
      </c>
      <c r="I22" s="75">
        <f>Jul!U$35</f>
        <v>0</v>
      </c>
      <c r="J22" s="75">
        <f>Ago!U$35</f>
        <v>0</v>
      </c>
      <c r="K22" s="75">
        <f>Set!U$35</f>
        <v>0</v>
      </c>
      <c r="L22" s="75">
        <f>Out!U$35</f>
        <v>0</v>
      </c>
      <c r="M22" s="75">
        <f>Nov!U$35</f>
        <v>0</v>
      </c>
      <c r="N22" s="75">
        <f>Dez!U$35</f>
        <v>0</v>
      </c>
    </row>
    <row r="23" spans="1:14" ht="15.75">
      <c r="A23" t="s">
        <v>45</v>
      </c>
      <c r="B23" s="74">
        <v>21</v>
      </c>
      <c r="C23" s="75">
        <f>Jan!V$35</f>
        <v>0</v>
      </c>
      <c r="D23" s="75">
        <f>Fev!V$35</f>
        <v>0</v>
      </c>
      <c r="E23" s="75">
        <f>Mar!V$35</f>
        <v>0</v>
      </c>
      <c r="F23" s="75">
        <f>Abr!V$35</f>
        <v>0</v>
      </c>
      <c r="G23" s="75">
        <f>Mai!V$35</f>
        <v>0</v>
      </c>
      <c r="H23" s="75">
        <f>Jun!V$35</f>
        <v>0</v>
      </c>
      <c r="I23" s="75">
        <f>Jul!V$35</f>
        <v>0</v>
      </c>
      <c r="J23" s="75">
        <f>Ago!V$35</f>
        <v>0</v>
      </c>
      <c r="K23" s="75">
        <f>Set!V$35</f>
        <v>0</v>
      </c>
      <c r="L23" s="75">
        <f>Out!V$35</f>
        <v>0</v>
      </c>
      <c r="M23" s="75">
        <f>Nov!V$35</f>
        <v>0</v>
      </c>
      <c r="N23" s="75">
        <f>Dez!V$35</f>
        <v>0</v>
      </c>
    </row>
    <row r="24" spans="1:14" ht="15.75">
      <c r="A24" t="s">
        <v>46</v>
      </c>
      <c r="B24" s="74">
        <v>22</v>
      </c>
      <c r="C24" s="75">
        <f>Jan!W$35</f>
        <v>0</v>
      </c>
      <c r="D24" s="75">
        <f>Fev!W$35</f>
        <v>0</v>
      </c>
      <c r="E24" s="75">
        <f>Mar!W$35</f>
        <v>0</v>
      </c>
      <c r="F24" s="75">
        <f>Abr!W$35</f>
        <v>0</v>
      </c>
      <c r="G24" s="75">
        <f>Mai!W$35</f>
        <v>0</v>
      </c>
      <c r="H24" s="75">
        <f>Jun!W$35</f>
        <v>0</v>
      </c>
      <c r="I24" s="75">
        <f>Jul!W$35</f>
        <v>0</v>
      </c>
      <c r="J24" s="75">
        <f>Ago!W$35</f>
        <v>0</v>
      </c>
      <c r="K24" s="75">
        <f>Set!W$35</f>
        <v>0</v>
      </c>
      <c r="L24" s="75">
        <f>Out!W$35</f>
        <v>0</v>
      </c>
      <c r="M24" s="75">
        <f>Nov!W$35</f>
        <v>0</v>
      </c>
      <c r="N24" s="75">
        <f>Dez!W$35</f>
        <v>0</v>
      </c>
    </row>
    <row r="25" spans="1:14" ht="15.75">
      <c r="A25" t="s">
        <v>47</v>
      </c>
      <c r="B25" s="74">
        <v>23</v>
      </c>
      <c r="C25" s="75">
        <f>Jan!X$35</f>
        <v>0</v>
      </c>
      <c r="D25" s="75">
        <f>Fev!X$35</f>
        <v>0</v>
      </c>
      <c r="E25" s="75">
        <f>Mar!X$35</f>
        <v>0</v>
      </c>
      <c r="F25" s="75">
        <f>Abr!X$35</f>
        <v>0</v>
      </c>
      <c r="G25" s="75">
        <f>Mai!X$35</f>
        <v>0</v>
      </c>
      <c r="H25" s="75">
        <f>Jun!X$35</f>
        <v>0</v>
      </c>
      <c r="I25" s="75">
        <f>Jul!X$35</f>
        <v>0</v>
      </c>
      <c r="J25" s="75">
        <f>Ago!X$35</f>
        <v>0</v>
      </c>
      <c r="K25" s="75">
        <f>Set!X$35</f>
        <v>0</v>
      </c>
      <c r="L25" s="75">
        <f>Out!X$35</f>
        <v>0</v>
      </c>
      <c r="M25" s="75">
        <f>Nov!X$35</f>
        <v>0</v>
      </c>
      <c r="N25" s="75">
        <f>Dez!X$35</f>
        <v>0</v>
      </c>
    </row>
    <row r="26" spans="1:14" ht="15.75">
      <c r="A26" t="s">
        <v>48</v>
      </c>
      <c r="B26" s="74">
        <v>24</v>
      </c>
      <c r="C26" s="75">
        <f>Jan!Y$35</f>
        <v>0</v>
      </c>
      <c r="D26" s="75">
        <f>Fev!Y$35</f>
        <v>0</v>
      </c>
      <c r="E26" s="75">
        <f>Mar!Y$35</f>
        <v>0</v>
      </c>
      <c r="F26" s="75">
        <f>Abr!Y$35</f>
        <v>0</v>
      </c>
      <c r="G26" s="75">
        <f>Mai!Y$35</f>
        <v>0</v>
      </c>
      <c r="H26" s="75">
        <f>Jun!Y$35</f>
        <v>0</v>
      </c>
      <c r="I26" s="75">
        <f>Jul!Y$35</f>
        <v>0</v>
      </c>
      <c r="J26" s="75">
        <f>Ago!Y$35</f>
        <v>0</v>
      </c>
      <c r="K26" s="75">
        <f>Set!Y$35</f>
        <v>0</v>
      </c>
      <c r="L26" s="75">
        <f>Out!Y$35</f>
        <v>0</v>
      </c>
      <c r="M26" s="75">
        <f>Nov!Y$35</f>
        <v>0</v>
      </c>
      <c r="N26" s="75">
        <f>Dez!Y$35</f>
        <v>0</v>
      </c>
    </row>
    <row r="27" spans="1:14" ht="15.75">
      <c r="A27" t="s">
        <v>49</v>
      </c>
      <c r="B27" s="74">
        <v>25</v>
      </c>
      <c r="C27" s="75">
        <f>Jan!Z$35</f>
        <v>0</v>
      </c>
      <c r="D27" s="75">
        <f>Fev!Z$35</f>
        <v>0</v>
      </c>
      <c r="E27" s="75">
        <f>Mar!Z$35</f>
        <v>0</v>
      </c>
      <c r="F27" s="75">
        <f>Abr!Z$35</f>
        <v>0</v>
      </c>
      <c r="G27" s="75">
        <f>Mai!Z$35</f>
        <v>0</v>
      </c>
      <c r="H27" s="75">
        <f>Jun!Z$35</f>
        <v>0</v>
      </c>
      <c r="I27" s="75">
        <f>Jul!Z$35</f>
        <v>0</v>
      </c>
      <c r="J27" s="75">
        <f>Ago!Z$35</f>
        <v>0</v>
      </c>
      <c r="K27" s="75">
        <f>Set!Z$35</f>
        <v>0</v>
      </c>
      <c r="L27" s="75">
        <f>Out!Z$35</f>
        <v>0</v>
      </c>
      <c r="M27" s="75">
        <f>Nov!Z$35</f>
        <v>0</v>
      </c>
      <c r="N27" s="75">
        <f>Dez!Z$35</f>
        <v>0</v>
      </c>
    </row>
    <row r="28" spans="1:14" ht="15.75">
      <c r="A28" t="s">
        <v>50</v>
      </c>
      <c r="B28" s="74">
        <v>26</v>
      </c>
      <c r="C28" s="75">
        <f>Jan!AA$35</f>
        <v>0</v>
      </c>
      <c r="D28" s="75">
        <f>Fev!AA$35</f>
        <v>0</v>
      </c>
      <c r="E28" s="75">
        <f>Mar!AA$35</f>
        <v>0</v>
      </c>
      <c r="F28" s="75">
        <f>Abr!AA$35</f>
        <v>0</v>
      </c>
      <c r="G28" s="75">
        <f>Mai!AA$35</f>
        <v>0</v>
      </c>
      <c r="H28" s="75">
        <f>Jun!AA$35</f>
        <v>0</v>
      </c>
      <c r="I28" s="75">
        <f>Jul!AA$35</f>
        <v>0</v>
      </c>
      <c r="J28" s="75">
        <f>Ago!AA$35</f>
        <v>0</v>
      </c>
      <c r="K28" s="75">
        <f>Set!AA$35</f>
        <v>0</v>
      </c>
      <c r="L28" s="75">
        <f>Out!AA$35</f>
        <v>0</v>
      </c>
      <c r="M28" s="75">
        <f>Nov!AA$35</f>
        <v>0</v>
      </c>
      <c r="N28" s="75">
        <f>Dez!AA$35</f>
        <v>0</v>
      </c>
    </row>
    <row r="29" spans="1:14" ht="15.75">
      <c r="A29" t="s">
        <v>51</v>
      </c>
      <c r="B29" s="74">
        <v>27</v>
      </c>
      <c r="C29" s="75">
        <f>Jan!AB$35</f>
        <v>0</v>
      </c>
      <c r="D29" s="75">
        <f>Fev!AB$35</f>
        <v>0</v>
      </c>
      <c r="E29" s="75">
        <f>Mar!AB$35</f>
        <v>0</v>
      </c>
      <c r="F29" s="75">
        <f>Abr!AB$35</f>
        <v>0</v>
      </c>
      <c r="G29" s="75">
        <f>Mai!AB$35</f>
        <v>0</v>
      </c>
      <c r="H29" s="75">
        <f>Jun!AB$35</f>
        <v>0</v>
      </c>
      <c r="I29" s="75">
        <f>Jul!AB$35</f>
        <v>0</v>
      </c>
      <c r="J29" s="75">
        <f>Ago!AB$35</f>
        <v>0</v>
      </c>
      <c r="K29" s="75">
        <f>Set!AB$35</f>
        <v>0</v>
      </c>
      <c r="L29" s="75">
        <f>Out!AB$35</f>
        <v>0</v>
      </c>
      <c r="M29" s="75">
        <f>Nov!AB$35</f>
        <v>0</v>
      </c>
      <c r="N29" s="75">
        <f>Dez!AB$35</f>
        <v>0</v>
      </c>
    </row>
    <row r="30" spans="1:14" ht="15.75">
      <c r="A30" t="s">
        <v>52</v>
      </c>
      <c r="B30" s="74">
        <v>28</v>
      </c>
      <c r="C30" s="75">
        <f>Jan!AC$35</f>
        <v>0</v>
      </c>
      <c r="D30" s="75">
        <f>Fev!AC$35</f>
        <v>0</v>
      </c>
      <c r="E30" s="75">
        <f>Mar!AC$35</f>
        <v>0</v>
      </c>
      <c r="F30" s="75">
        <f>Abr!AC$35</f>
        <v>0</v>
      </c>
      <c r="G30" s="75">
        <f>Mai!AC$35</f>
        <v>0</v>
      </c>
      <c r="H30" s="75">
        <f>Jun!AC$35</f>
        <v>0</v>
      </c>
      <c r="I30" s="75">
        <f>Jul!AC$35</f>
        <v>0</v>
      </c>
      <c r="J30" s="75">
        <f>Ago!AC$35</f>
        <v>0</v>
      </c>
      <c r="K30" s="75">
        <f>Set!AC$35</f>
        <v>0</v>
      </c>
      <c r="L30" s="75">
        <f>Out!AC$35</f>
        <v>0</v>
      </c>
      <c r="M30" s="75">
        <f>Nov!AC$35</f>
        <v>0</v>
      </c>
      <c r="N30" s="75">
        <f>Dez!AC$35</f>
        <v>0</v>
      </c>
    </row>
    <row r="31" spans="1:14" ht="15.75">
      <c r="A31" t="s">
        <v>53</v>
      </c>
      <c r="B31" s="74">
        <v>29</v>
      </c>
      <c r="C31" s="75">
        <f>Jan!AD$35</f>
        <v>0</v>
      </c>
      <c r="D31" s="75">
        <f>Fev!AD$35</f>
        <v>0</v>
      </c>
      <c r="E31" s="75">
        <f>Mar!AD$35</f>
        <v>0</v>
      </c>
      <c r="F31" s="75">
        <f>Abr!AD$35</f>
        <v>0</v>
      </c>
      <c r="G31" s="75">
        <f>Mai!AD$35</f>
        <v>0</v>
      </c>
      <c r="H31" s="75">
        <f>Jun!AD$35</f>
        <v>0</v>
      </c>
      <c r="I31" s="75">
        <f>Jul!AD$35</f>
        <v>0</v>
      </c>
      <c r="J31" s="75">
        <f>Ago!AD$35</f>
        <v>0</v>
      </c>
      <c r="K31" s="75">
        <f>Set!AD$35</f>
        <v>0</v>
      </c>
      <c r="L31" s="75">
        <f>Out!AD$35</f>
        <v>0</v>
      </c>
      <c r="M31" s="75">
        <f>Nov!AD$35</f>
        <v>0</v>
      </c>
      <c r="N31" s="75">
        <f>Dez!AD$35</f>
        <v>0</v>
      </c>
    </row>
    <row r="32" spans="1:14" ht="15.75">
      <c r="A32" t="s">
        <v>54</v>
      </c>
      <c r="B32" s="74">
        <v>30</v>
      </c>
      <c r="C32" s="75">
        <f>Jan!AE$35</f>
        <v>0</v>
      </c>
      <c r="D32" s="75"/>
      <c r="E32" s="75">
        <f>Mar!AE$35</f>
        <v>0</v>
      </c>
      <c r="F32" s="75">
        <f>Abr!AE$35</f>
        <v>0</v>
      </c>
      <c r="G32" s="75">
        <f>Mai!AE$35</f>
        <v>0</v>
      </c>
      <c r="H32" s="75">
        <f>Jun!AE$35</f>
        <v>0</v>
      </c>
      <c r="I32" s="75">
        <f>Jul!AE$35</f>
        <v>0</v>
      </c>
      <c r="J32" s="75">
        <f>Ago!AE$35</f>
        <v>0</v>
      </c>
      <c r="K32" s="75">
        <f>Set!AE$35</f>
        <v>0</v>
      </c>
      <c r="L32" s="75">
        <f>Out!AE$35</f>
        <v>0</v>
      </c>
      <c r="M32" s="75">
        <f>Nov!AE$35</f>
        <v>0</v>
      </c>
      <c r="N32" s="75">
        <f>Dez!AE$35</f>
        <v>0</v>
      </c>
    </row>
    <row r="33" spans="1:14" ht="15.75">
      <c r="A33" t="s">
        <v>55</v>
      </c>
      <c r="B33" s="74">
        <v>31</v>
      </c>
      <c r="C33" s="75">
        <f>Jan!AF$35</f>
        <v>0</v>
      </c>
      <c r="D33" s="75"/>
      <c r="E33" s="75">
        <f>Mar!AF$35</f>
        <v>0</v>
      </c>
      <c r="F33" s="75"/>
      <c r="G33" s="75">
        <f>Mai!AF$35</f>
        <v>0</v>
      </c>
      <c r="H33" s="75"/>
      <c r="I33" s="75">
        <f>Jul!AF$35</f>
        <v>0</v>
      </c>
      <c r="J33" s="75">
        <f>Ago!AF$35</f>
        <v>0</v>
      </c>
      <c r="K33" s="75"/>
      <c r="L33" s="75">
        <f>Out!AF$35</f>
        <v>0</v>
      </c>
      <c r="M33" s="75"/>
      <c r="N33" s="75">
        <f>Dez!AF$35</f>
        <v>0</v>
      </c>
    </row>
    <row r="34" spans="1:14" ht="15.75"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</row>
    <row r="35" spans="1:14" ht="15.75">
      <c r="B35" s="77" t="s">
        <v>60</v>
      </c>
      <c r="C35" s="78">
        <f>MAX(C3:C33)</f>
        <v>0</v>
      </c>
      <c r="D35" s="78">
        <f t="shared" ref="D35:N35" si="0">MAX(D3:D33)</f>
        <v>0</v>
      </c>
      <c r="E35" s="78">
        <f t="shared" si="0"/>
        <v>0</v>
      </c>
      <c r="F35" s="78">
        <f t="shared" si="0"/>
        <v>0</v>
      </c>
      <c r="G35" s="78">
        <f t="shared" si="0"/>
        <v>0</v>
      </c>
      <c r="H35" s="78">
        <f t="shared" si="0"/>
        <v>0</v>
      </c>
      <c r="I35" s="78">
        <f t="shared" si="0"/>
        <v>0</v>
      </c>
      <c r="J35" s="78">
        <f t="shared" si="0"/>
        <v>0</v>
      </c>
      <c r="K35" s="78">
        <f t="shared" si="0"/>
        <v>0</v>
      </c>
      <c r="L35" s="78">
        <f t="shared" si="0"/>
        <v>0</v>
      </c>
      <c r="M35" s="78">
        <f t="shared" si="0"/>
        <v>0</v>
      </c>
      <c r="N35" s="78">
        <f t="shared" si="0"/>
        <v>0</v>
      </c>
    </row>
    <row r="36" spans="1:14">
      <c r="B36" s="79" t="s">
        <v>57</v>
      </c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1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36"/>
  <sheetViews>
    <sheetView zoomScale="80" zoomScaleNormal="80" workbookViewId="0">
      <selection activeCell="D2" sqref="D2"/>
    </sheetView>
  </sheetViews>
  <sheetFormatPr defaultRowHeight="15"/>
  <cols>
    <col min="3" max="3" width="10.85546875" bestFit="1" customWidth="1"/>
  </cols>
  <sheetData>
    <row r="1" spans="1:14" ht="16.5" thickBot="1">
      <c r="B1" s="70" t="s">
        <v>59</v>
      </c>
      <c r="C1" s="71"/>
      <c r="D1" s="72">
        <v>2024</v>
      </c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4">
      <c r="C2" s="73" t="s">
        <v>13</v>
      </c>
      <c r="D2" s="73" t="s">
        <v>14</v>
      </c>
      <c r="E2" s="73" t="s">
        <v>15</v>
      </c>
      <c r="F2" s="73" t="s">
        <v>16</v>
      </c>
      <c r="G2" s="73" t="s">
        <v>17</v>
      </c>
      <c r="H2" s="73" t="s">
        <v>18</v>
      </c>
      <c r="I2" s="73" t="s">
        <v>19</v>
      </c>
      <c r="J2" s="73" t="s">
        <v>20</v>
      </c>
      <c r="K2" s="73" t="s">
        <v>21</v>
      </c>
      <c r="L2" s="73" t="s">
        <v>22</v>
      </c>
      <c r="M2" s="73" t="s">
        <v>23</v>
      </c>
      <c r="N2" s="73" t="s">
        <v>24</v>
      </c>
    </row>
    <row r="3" spans="1:14" ht="15.75">
      <c r="A3" t="s">
        <v>25</v>
      </c>
      <c r="B3" s="74">
        <v>1</v>
      </c>
      <c r="C3" s="75">
        <f>Jan!B$39</f>
        <v>0</v>
      </c>
      <c r="D3" s="75">
        <f>Fev!B$39</f>
        <v>0</v>
      </c>
      <c r="E3" s="75">
        <f>Mar!B$39</f>
        <v>0</v>
      </c>
      <c r="F3" s="75">
        <f>Abr!B$39</f>
        <v>0</v>
      </c>
      <c r="G3" s="75">
        <f>Mai!B$39</f>
        <v>0</v>
      </c>
      <c r="H3" s="75">
        <f>Jun!B$39</f>
        <v>0</v>
      </c>
      <c r="I3" s="75">
        <f>Jul!B$39</f>
        <v>0</v>
      </c>
      <c r="J3" s="75">
        <f>Ago!B$39</f>
        <v>0</v>
      </c>
      <c r="K3" s="75">
        <f>Set!B$39</f>
        <v>0</v>
      </c>
      <c r="L3" s="75">
        <f>Out!B$39</f>
        <v>0</v>
      </c>
      <c r="M3" s="75">
        <f>Nov!B$39</f>
        <v>0</v>
      </c>
      <c r="N3" s="75">
        <f>Dez!B$39</f>
        <v>0</v>
      </c>
    </row>
    <row r="4" spans="1:14" ht="15.75">
      <c r="A4" t="s">
        <v>26</v>
      </c>
      <c r="B4" s="74">
        <v>2</v>
      </c>
      <c r="C4" s="75">
        <f>Jan!C$39</f>
        <v>0</v>
      </c>
      <c r="D4" s="75">
        <f>Fev!C$39</f>
        <v>0</v>
      </c>
      <c r="E4" s="75">
        <f>Mar!C$39</f>
        <v>0</v>
      </c>
      <c r="F4" s="75">
        <f>Abr!C$39</f>
        <v>0</v>
      </c>
      <c r="G4" s="75">
        <f>Mai!C$39</f>
        <v>0</v>
      </c>
      <c r="H4" s="75">
        <f>Jun!C$39</f>
        <v>0</v>
      </c>
      <c r="I4" s="75">
        <f>Jul!C$39</f>
        <v>0</v>
      </c>
      <c r="J4" s="75">
        <f>Ago!C$39</f>
        <v>0</v>
      </c>
      <c r="K4" s="75">
        <f>Set!C$39</f>
        <v>0</v>
      </c>
      <c r="L4" s="75">
        <f>Out!C$39</f>
        <v>0</v>
      </c>
      <c r="M4" s="75">
        <f>Nov!C$39</f>
        <v>0</v>
      </c>
      <c r="N4" s="75">
        <f>Dez!C$39</f>
        <v>0</v>
      </c>
    </row>
    <row r="5" spans="1:14" ht="15.75">
      <c r="A5" t="s">
        <v>27</v>
      </c>
      <c r="B5" s="74">
        <v>3</v>
      </c>
      <c r="C5" s="75">
        <f>Jan!D$39</f>
        <v>0</v>
      </c>
      <c r="D5" s="75">
        <f>Fev!D$39</f>
        <v>0</v>
      </c>
      <c r="E5" s="75">
        <f>Mar!D$39</f>
        <v>0</v>
      </c>
      <c r="F5" s="75">
        <f>Abr!D$39</f>
        <v>0</v>
      </c>
      <c r="G5" s="75">
        <f>Mai!D$39</f>
        <v>0</v>
      </c>
      <c r="H5" s="75">
        <f>Jun!D$39</f>
        <v>0</v>
      </c>
      <c r="I5" s="75">
        <f>Jul!D$39</f>
        <v>0</v>
      </c>
      <c r="J5" s="75">
        <f>Ago!D$39</f>
        <v>0</v>
      </c>
      <c r="K5" s="75">
        <f>Set!D$39</f>
        <v>0</v>
      </c>
      <c r="L5" s="75">
        <f>Out!D$39</f>
        <v>0</v>
      </c>
      <c r="M5" s="75">
        <f>Nov!D$39</f>
        <v>0</v>
      </c>
      <c r="N5" s="75">
        <f>Dez!D$39</f>
        <v>0</v>
      </c>
    </row>
    <row r="6" spans="1:14" ht="15.75">
      <c r="A6" t="s">
        <v>28</v>
      </c>
      <c r="B6" s="74">
        <v>4</v>
      </c>
      <c r="C6" s="75">
        <f>Jan!E$39</f>
        <v>0</v>
      </c>
      <c r="D6" s="75">
        <f>Fev!E$39</f>
        <v>0</v>
      </c>
      <c r="E6" s="75">
        <f>Mar!E$39</f>
        <v>0</v>
      </c>
      <c r="F6" s="75">
        <f>Abr!E$39</f>
        <v>0</v>
      </c>
      <c r="G6" s="75">
        <f>Mai!E$39</f>
        <v>0</v>
      </c>
      <c r="H6" s="75">
        <f>Jun!E$39</f>
        <v>0</v>
      </c>
      <c r="I6" s="75">
        <f>Jul!E$39</f>
        <v>0</v>
      </c>
      <c r="J6" s="75">
        <f>Ago!E$39</f>
        <v>0</v>
      </c>
      <c r="K6" s="75">
        <f>Set!E$39</f>
        <v>0</v>
      </c>
      <c r="L6" s="75">
        <f>Out!E$39</f>
        <v>0</v>
      </c>
      <c r="M6" s="75">
        <f>Nov!E$39</f>
        <v>0</v>
      </c>
      <c r="N6" s="75">
        <f>Dez!E$39</f>
        <v>0</v>
      </c>
    </row>
    <row r="7" spans="1:14" ht="15.75">
      <c r="A7" t="s">
        <v>29</v>
      </c>
      <c r="B7" s="74">
        <v>5</v>
      </c>
      <c r="C7" s="75">
        <f>Jan!F$39</f>
        <v>0</v>
      </c>
      <c r="D7" s="75">
        <f>Fev!F$39</f>
        <v>0</v>
      </c>
      <c r="E7" s="75">
        <f>Mar!F$39</f>
        <v>0</v>
      </c>
      <c r="F7" s="75">
        <f>Abr!F$39</f>
        <v>0</v>
      </c>
      <c r="G7" s="75">
        <f>Mai!F$39</f>
        <v>0</v>
      </c>
      <c r="H7" s="75">
        <f>Jun!F$39</f>
        <v>0</v>
      </c>
      <c r="I7" s="75">
        <f>Jul!F$39</f>
        <v>0</v>
      </c>
      <c r="J7" s="75">
        <f>Ago!F$39</f>
        <v>0</v>
      </c>
      <c r="K7" s="75">
        <f>Set!F$39</f>
        <v>0</v>
      </c>
      <c r="L7" s="75">
        <f>Out!F$39</f>
        <v>0</v>
      </c>
      <c r="M7" s="75">
        <f>Nov!F$39</f>
        <v>0</v>
      </c>
      <c r="N7" s="75">
        <f>Dez!F$39</f>
        <v>0</v>
      </c>
    </row>
    <row r="8" spans="1:14" ht="15.75">
      <c r="A8" t="s">
        <v>30</v>
      </c>
      <c r="B8" s="74">
        <v>6</v>
      </c>
      <c r="C8" s="75">
        <f>Jan!G$39</f>
        <v>0</v>
      </c>
      <c r="D8" s="75">
        <f>Fev!G$39</f>
        <v>0</v>
      </c>
      <c r="E8" s="75">
        <f>Mar!G$39</f>
        <v>0</v>
      </c>
      <c r="F8" s="75">
        <f>Abr!G$39</f>
        <v>0</v>
      </c>
      <c r="G8" s="75">
        <f>Mai!G$39</f>
        <v>0</v>
      </c>
      <c r="H8" s="75">
        <f>Jun!G$39</f>
        <v>0</v>
      </c>
      <c r="I8" s="75">
        <f>Jul!G$39</f>
        <v>0</v>
      </c>
      <c r="J8" s="75">
        <f>Ago!G$39</f>
        <v>0</v>
      </c>
      <c r="K8" s="75">
        <f>Set!G$39</f>
        <v>0</v>
      </c>
      <c r="L8" s="75">
        <f>Out!G$39</f>
        <v>0</v>
      </c>
      <c r="M8" s="75">
        <f>Nov!G$39</f>
        <v>0</v>
      </c>
      <c r="N8" s="75">
        <f>Dez!G$39</f>
        <v>0</v>
      </c>
    </row>
    <row r="9" spans="1:14" ht="15.75">
      <c r="A9" t="s">
        <v>31</v>
      </c>
      <c r="B9" s="74">
        <v>7</v>
      </c>
      <c r="C9" s="75">
        <f>Jan!H$39</f>
        <v>0</v>
      </c>
      <c r="D9" s="75">
        <f>Fev!H$39</f>
        <v>0</v>
      </c>
      <c r="E9" s="75">
        <f>Mar!H$39</f>
        <v>0</v>
      </c>
      <c r="F9" s="75">
        <f>Abr!H$39</f>
        <v>0</v>
      </c>
      <c r="G9" s="75">
        <f>Mai!H$39</f>
        <v>0</v>
      </c>
      <c r="H9" s="75">
        <f>Jun!H$39</f>
        <v>0</v>
      </c>
      <c r="I9" s="75">
        <f>Jul!H$39</f>
        <v>0</v>
      </c>
      <c r="J9" s="75">
        <f>Ago!H$39</f>
        <v>0</v>
      </c>
      <c r="K9" s="75">
        <f>Set!H$39</f>
        <v>0</v>
      </c>
      <c r="L9" s="75">
        <f>Out!H$39</f>
        <v>0</v>
      </c>
      <c r="M9" s="75">
        <f>Nov!H$39</f>
        <v>0</v>
      </c>
      <c r="N9" s="75">
        <f>Dez!H$39</f>
        <v>0</v>
      </c>
    </row>
    <row r="10" spans="1:14" ht="15.75">
      <c r="A10" t="s">
        <v>32</v>
      </c>
      <c r="B10" s="74">
        <v>8</v>
      </c>
      <c r="C10" s="75">
        <f>Jan!I$39</f>
        <v>0</v>
      </c>
      <c r="D10" s="75">
        <f>Fev!I$39</f>
        <v>0</v>
      </c>
      <c r="E10" s="75">
        <f>Mar!I$39</f>
        <v>0</v>
      </c>
      <c r="F10" s="75">
        <f>Abr!I$39</f>
        <v>0</v>
      </c>
      <c r="G10" s="75">
        <f>Mai!I$39</f>
        <v>0</v>
      </c>
      <c r="H10" s="75">
        <f>Jun!I$39</f>
        <v>0</v>
      </c>
      <c r="I10" s="75">
        <f>Jul!I$39</f>
        <v>0</v>
      </c>
      <c r="J10" s="75">
        <f>Ago!I$39</f>
        <v>0</v>
      </c>
      <c r="K10" s="75">
        <f>Set!I$39</f>
        <v>0</v>
      </c>
      <c r="L10" s="75">
        <f>Out!I$39</f>
        <v>0</v>
      </c>
      <c r="M10" s="75">
        <f>Nov!I$39</f>
        <v>0</v>
      </c>
      <c r="N10" s="75">
        <f>Dez!I$39</f>
        <v>0</v>
      </c>
    </row>
    <row r="11" spans="1:14" ht="15.75">
      <c r="A11" t="s">
        <v>33</v>
      </c>
      <c r="B11" s="74">
        <v>9</v>
      </c>
      <c r="C11" s="75">
        <f>Jan!J$39</f>
        <v>0</v>
      </c>
      <c r="D11" s="75">
        <f>Fev!J$39</f>
        <v>0</v>
      </c>
      <c r="E11" s="75">
        <f>Mar!J$39</f>
        <v>0</v>
      </c>
      <c r="F11" s="75">
        <f>Abr!J$39</f>
        <v>0</v>
      </c>
      <c r="G11" s="75">
        <f>Mai!J$39</f>
        <v>0</v>
      </c>
      <c r="H11" s="75">
        <f>Jun!J$39</f>
        <v>0</v>
      </c>
      <c r="I11" s="75">
        <f>Jul!J$39</f>
        <v>0</v>
      </c>
      <c r="J11" s="75">
        <f>Ago!J$39</f>
        <v>0</v>
      </c>
      <c r="K11" s="75">
        <f>Set!J$39</f>
        <v>0</v>
      </c>
      <c r="L11" s="75">
        <f>Out!J$39</f>
        <v>0</v>
      </c>
      <c r="M11" s="75">
        <f>Nov!J$39</f>
        <v>0</v>
      </c>
      <c r="N11" s="75">
        <f>Dez!J$39</f>
        <v>0</v>
      </c>
    </row>
    <row r="12" spans="1:14" ht="15.75">
      <c r="A12" t="s">
        <v>34</v>
      </c>
      <c r="B12" s="74">
        <v>10</v>
      </c>
      <c r="C12" s="75">
        <f>Jan!K$39</f>
        <v>0</v>
      </c>
      <c r="D12" s="75">
        <f>Fev!K$39</f>
        <v>0</v>
      </c>
      <c r="E12" s="75">
        <f>Mar!K$39</f>
        <v>0</v>
      </c>
      <c r="F12" s="75">
        <f>Abr!K$39</f>
        <v>0</v>
      </c>
      <c r="G12" s="75">
        <f>Mai!K$39</f>
        <v>0</v>
      </c>
      <c r="H12" s="75">
        <f>Jun!K$39</f>
        <v>0</v>
      </c>
      <c r="I12" s="75">
        <f>Jul!K$39</f>
        <v>0</v>
      </c>
      <c r="J12" s="75">
        <f>Ago!K$39</f>
        <v>0</v>
      </c>
      <c r="K12" s="75">
        <f>Set!K$39</f>
        <v>0</v>
      </c>
      <c r="L12" s="75">
        <f>Out!K$39</f>
        <v>0</v>
      </c>
      <c r="M12" s="75">
        <f>Nov!K$39</f>
        <v>0</v>
      </c>
      <c r="N12" s="75">
        <f>Dez!K$39</f>
        <v>0</v>
      </c>
    </row>
    <row r="13" spans="1:14" ht="15.75">
      <c r="A13" t="s">
        <v>35</v>
      </c>
      <c r="B13" s="74">
        <v>11</v>
      </c>
      <c r="C13" s="75">
        <f>Jan!L$39</f>
        <v>0</v>
      </c>
      <c r="D13" s="75">
        <f>Fev!L$39</f>
        <v>0</v>
      </c>
      <c r="E13" s="75">
        <f>Mar!L$39</f>
        <v>0</v>
      </c>
      <c r="F13" s="75">
        <f>Abr!L$39</f>
        <v>0</v>
      </c>
      <c r="G13" s="75">
        <f>Mai!L$39</f>
        <v>0</v>
      </c>
      <c r="H13" s="75">
        <f>Jun!L$39</f>
        <v>0</v>
      </c>
      <c r="I13" s="75">
        <f>Jul!L$39</f>
        <v>0</v>
      </c>
      <c r="J13" s="75">
        <f>Ago!L$39</f>
        <v>0</v>
      </c>
      <c r="K13" s="75">
        <f>Set!L$39</f>
        <v>0</v>
      </c>
      <c r="L13" s="75">
        <f>Out!L$39</f>
        <v>0</v>
      </c>
      <c r="M13" s="75">
        <f>Nov!L$39</f>
        <v>0</v>
      </c>
      <c r="N13" s="75">
        <f>Dez!L$39</f>
        <v>0</v>
      </c>
    </row>
    <row r="14" spans="1:14" ht="15.75">
      <c r="A14" t="s">
        <v>36</v>
      </c>
      <c r="B14" s="74">
        <v>12</v>
      </c>
      <c r="C14" s="75">
        <f>Jan!M$39</f>
        <v>0</v>
      </c>
      <c r="D14" s="75">
        <f>Fev!M$39</f>
        <v>0</v>
      </c>
      <c r="E14" s="75">
        <f>Mar!M$39</f>
        <v>0</v>
      </c>
      <c r="F14" s="75">
        <f>Abr!M$39</f>
        <v>0</v>
      </c>
      <c r="G14" s="75">
        <f>Mai!M$39</f>
        <v>0</v>
      </c>
      <c r="H14" s="75">
        <f>Jun!M$39</f>
        <v>0</v>
      </c>
      <c r="I14" s="75">
        <f>Jul!M$39</f>
        <v>0</v>
      </c>
      <c r="J14" s="75">
        <f>Ago!M$39</f>
        <v>0</v>
      </c>
      <c r="K14" s="75">
        <f>Set!M$39</f>
        <v>0</v>
      </c>
      <c r="L14" s="75">
        <f>Out!M$39</f>
        <v>0</v>
      </c>
      <c r="M14" s="75">
        <f>Nov!M$39</f>
        <v>0</v>
      </c>
      <c r="N14" s="75">
        <f>Dez!M$39</f>
        <v>0</v>
      </c>
    </row>
    <row r="15" spans="1:14" ht="15.75">
      <c r="A15" t="s">
        <v>37</v>
      </c>
      <c r="B15" s="74">
        <v>13</v>
      </c>
      <c r="C15" s="75">
        <f>Jan!N$39</f>
        <v>0</v>
      </c>
      <c r="D15" s="75">
        <f>Fev!N$39</f>
        <v>0</v>
      </c>
      <c r="E15" s="75">
        <f>Mar!N$39</f>
        <v>0</v>
      </c>
      <c r="F15" s="75">
        <f>Abr!N$39</f>
        <v>0</v>
      </c>
      <c r="G15" s="75">
        <f>Mai!N$39</f>
        <v>0</v>
      </c>
      <c r="H15" s="75">
        <f>Jun!N$39</f>
        <v>0</v>
      </c>
      <c r="I15" s="75">
        <f>Jul!N$39</f>
        <v>0</v>
      </c>
      <c r="J15" s="75">
        <f>Ago!N$39</f>
        <v>0</v>
      </c>
      <c r="K15" s="75">
        <f>Set!N$39</f>
        <v>0</v>
      </c>
      <c r="L15" s="75">
        <f>Out!N$39</f>
        <v>0</v>
      </c>
      <c r="M15" s="75">
        <f>Nov!N$39</f>
        <v>0</v>
      </c>
      <c r="N15" s="75">
        <f>Dez!N$39</f>
        <v>0</v>
      </c>
    </row>
    <row r="16" spans="1:14" ht="15.75">
      <c r="A16" t="s">
        <v>38</v>
      </c>
      <c r="B16" s="74">
        <v>14</v>
      </c>
      <c r="C16" s="75">
        <f>Jan!O$39</f>
        <v>0</v>
      </c>
      <c r="D16" s="75">
        <f>Fev!O$39</f>
        <v>0</v>
      </c>
      <c r="E16" s="75">
        <f>Mar!O$39</f>
        <v>0</v>
      </c>
      <c r="F16" s="75">
        <f>Abr!O$39</f>
        <v>0</v>
      </c>
      <c r="G16" s="75">
        <f>Mai!O$39</f>
        <v>0</v>
      </c>
      <c r="H16" s="75">
        <f>Jun!O$39</f>
        <v>0</v>
      </c>
      <c r="I16" s="75">
        <f>Jul!O$39</f>
        <v>0</v>
      </c>
      <c r="J16" s="75">
        <f>Ago!O$39</f>
        <v>0</v>
      </c>
      <c r="K16" s="75">
        <f>Set!O$39</f>
        <v>0</v>
      </c>
      <c r="L16" s="75">
        <f>Out!O$39</f>
        <v>0</v>
      </c>
      <c r="M16" s="75">
        <f>Nov!O$39</f>
        <v>0</v>
      </c>
      <c r="N16" s="75">
        <f>Dez!O$39</f>
        <v>0</v>
      </c>
    </row>
    <row r="17" spans="1:14" ht="15.75">
      <c r="A17" t="s">
        <v>39</v>
      </c>
      <c r="B17" s="74">
        <v>15</v>
      </c>
      <c r="C17" s="75">
        <f>Jan!P$39</f>
        <v>0</v>
      </c>
      <c r="D17" s="75">
        <f>Fev!P$39</f>
        <v>0</v>
      </c>
      <c r="E17" s="75">
        <f>Mar!P$39</f>
        <v>0</v>
      </c>
      <c r="F17" s="75">
        <f>Abr!P$39</f>
        <v>0</v>
      </c>
      <c r="G17" s="75">
        <f>Mai!P$39</f>
        <v>0</v>
      </c>
      <c r="H17" s="75">
        <f>Jun!P$39</f>
        <v>0</v>
      </c>
      <c r="I17" s="75">
        <f>Jul!P$39</f>
        <v>0</v>
      </c>
      <c r="J17" s="75">
        <f>Ago!P$39</f>
        <v>0</v>
      </c>
      <c r="K17" s="75">
        <f>Set!P$39</f>
        <v>0</v>
      </c>
      <c r="L17" s="75">
        <f>Out!P$39</f>
        <v>0</v>
      </c>
      <c r="M17" s="75">
        <f>Nov!P$39</f>
        <v>0</v>
      </c>
      <c r="N17" s="75">
        <f>Dez!P$39</f>
        <v>0</v>
      </c>
    </row>
    <row r="18" spans="1:14" ht="15.75">
      <c r="A18" t="s">
        <v>40</v>
      </c>
      <c r="B18" s="74">
        <v>16</v>
      </c>
      <c r="C18" s="75">
        <f>Jan!Q$39</f>
        <v>0</v>
      </c>
      <c r="D18" s="75">
        <f>Fev!Q$39</f>
        <v>0</v>
      </c>
      <c r="E18" s="75">
        <f>Mar!Q$39</f>
        <v>0</v>
      </c>
      <c r="F18" s="75">
        <f>Abr!Q$39</f>
        <v>0</v>
      </c>
      <c r="G18" s="75">
        <f>Mai!Q$39</f>
        <v>0</v>
      </c>
      <c r="H18" s="75">
        <f>Jun!Q$39</f>
        <v>0</v>
      </c>
      <c r="I18" s="75">
        <f>Jul!Q$39</f>
        <v>0</v>
      </c>
      <c r="J18" s="75">
        <f>Ago!Q$39</f>
        <v>0</v>
      </c>
      <c r="K18" s="75">
        <f>Set!Q$39</f>
        <v>0</v>
      </c>
      <c r="L18" s="75">
        <f>Out!Q$39</f>
        <v>0</v>
      </c>
      <c r="M18" s="75">
        <f>Nov!Q$39</f>
        <v>0</v>
      </c>
      <c r="N18" s="75">
        <f>Dez!Q$39</f>
        <v>0</v>
      </c>
    </row>
    <row r="19" spans="1:14" ht="15.75">
      <c r="A19" t="s">
        <v>41</v>
      </c>
      <c r="B19" s="74">
        <v>17</v>
      </c>
      <c r="C19" s="75">
        <f>Jan!R$39</f>
        <v>0</v>
      </c>
      <c r="D19" s="75">
        <f>Fev!R$39</f>
        <v>0</v>
      </c>
      <c r="E19" s="75">
        <f>Mar!R$39</f>
        <v>0</v>
      </c>
      <c r="F19" s="75">
        <f>Abr!R$39</f>
        <v>0</v>
      </c>
      <c r="G19" s="75">
        <f>Mai!R$39</f>
        <v>0</v>
      </c>
      <c r="H19" s="75">
        <f>Jun!R$39</f>
        <v>0</v>
      </c>
      <c r="I19" s="75">
        <f>Jul!R$39</f>
        <v>0</v>
      </c>
      <c r="J19" s="75">
        <f>Ago!R$39</f>
        <v>0</v>
      </c>
      <c r="K19" s="75">
        <f>Set!R$39</f>
        <v>0</v>
      </c>
      <c r="L19" s="75">
        <f>Out!R$39</f>
        <v>0</v>
      </c>
      <c r="M19" s="75">
        <f>Nov!R$39</f>
        <v>0</v>
      </c>
      <c r="N19" s="75">
        <f>Dez!R$39</f>
        <v>0</v>
      </c>
    </row>
    <row r="20" spans="1:14" ht="15.75">
      <c r="A20" t="s">
        <v>42</v>
      </c>
      <c r="B20" s="74">
        <v>18</v>
      </c>
      <c r="C20" s="75">
        <f>Jan!S$39</f>
        <v>0</v>
      </c>
      <c r="D20" s="75">
        <f>Fev!S$39</f>
        <v>0</v>
      </c>
      <c r="E20" s="75">
        <f>Mar!S$39</f>
        <v>0</v>
      </c>
      <c r="F20" s="75">
        <f>Abr!S$39</f>
        <v>0</v>
      </c>
      <c r="G20" s="75">
        <f>Mai!S$39</f>
        <v>0</v>
      </c>
      <c r="H20" s="75">
        <f>Jun!S$39</f>
        <v>0</v>
      </c>
      <c r="I20" s="75">
        <f>Jul!S$39</f>
        <v>0</v>
      </c>
      <c r="J20" s="75">
        <f>Ago!S$39</f>
        <v>0</v>
      </c>
      <c r="K20" s="75">
        <f>Set!S$39</f>
        <v>0</v>
      </c>
      <c r="L20" s="75">
        <f>Out!S$39</f>
        <v>0</v>
      </c>
      <c r="M20" s="75">
        <f>Nov!S$39</f>
        <v>0</v>
      </c>
      <c r="N20" s="75">
        <f>Dez!S$39</f>
        <v>0</v>
      </c>
    </row>
    <row r="21" spans="1:14" ht="15.75">
      <c r="A21" t="s">
        <v>43</v>
      </c>
      <c r="B21" s="74">
        <v>19</v>
      </c>
      <c r="C21" s="75">
        <f>Jan!T$39</f>
        <v>0</v>
      </c>
      <c r="D21" s="75">
        <f>Fev!T$39</f>
        <v>0</v>
      </c>
      <c r="E21" s="75">
        <f>Mar!T$39</f>
        <v>0</v>
      </c>
      <c r="F21" s="75">
        <f>Abr!T$39</f>
        <v>0</v>
      </c>
      <c r="G21" s="75">
        <f>Mai!T$39</f>
        <v>0</v>
      </c>
      <c r="H21" s="75">
        <f>Jun!T$39</f>
        <v>0</v>
      </c>
      <c r="I21" s="75">
        <f>Jul!T$39</f>
        <v>0</v>
      </c>
      <c r="J21" s="75">
        <f>Ago!T$39</f>
        <v>0</v>
      </c>
      <c r="K21" s="75">
        <f>Set!T$39</f>
        <v>0</v>
      </c>
      <c r="L21" s="75">
        <f>Out!T$39</f>
        <v>0</v>
      </c>
      <c r="M21" s="75">
        <f>Nov!T$39</f>
        <v>0</v>
      </c>
      <c r="N21" s="75">
        <f>Dez!T$39</f>
        <v>0</v>
      </c>
    </row>
    <row r="22" spans="1:14" ht="15.75">
      <c r="A22" t="s">
        <v>44</v>
      </c>
      <c r="B22" s="74">
        <v>20</v>
      </c>
      <c r="C22" s="75">
        <f>Jan!U$39</f>
        <v>0</v>
      </c>
      <c r="D22" s="75">
        <f>Fev!U$39</f>
        <v>0</v>
      </c>
      <c r="E22" s="75">
        <f>Mar!U$39</f>
        <v>0</v>
      </c>
      <c r="F22" s="75">
        <f>Abr!U$39</f>
        <v>0</v>
      </c>
      <c r="G22" s="75">
        <f>Mai!U$39</f>
        <v>0</v>
      </c>
      <c r="H22" s="75">
        <f>Jun!U$39</f>
        <v>0</v>
      </c>
      <c r="I22" s="75">
        <f>Jul!U$39</f>
        <v>0</v>
      </c>
      <c r="J22" s="75">
        <f>Ago!U$39</f>
        <v>0</v>
      </c>
      <c r="K22" s="75">
        <f>Set!U$39</f>
        <v>0</v>
      </c>
      <c r="L22" s="75">
        <f>Out!U$39</f>
        <v>0</v>
      </c>
      <c r="M22" s="75">
        <f>Nov!U$39</f>
        <v>0</v>
      </c>
      <c r="N22" s="75">
        <f>Dez!U$39</f>
        <v>0</v>
      </c>
    </row>
    <row r="23" spans="1:14" ht="15.75">
      <c r="A23" t="s">
        <v>45</v>
      </c>
      <c r="B23" s="74">
        <v>21</v>
      </c>
      <c r="C23" s="75">
        <f>Jan!V$39</f>
        <v>0</v>
      </c>
      <c r="D23" s="75">
        <f>Fev!V$39</f>
        <v>0</v>
      </c>
      <c r="E23" s="75">
        <f>Mar!V$39</f>
        <v>0</v>
      </c>
      <c r="F23" s="75">
        <f>Abr!V$39</f>
        <v>0</v>
      </c>
      <c r="G23" s="75">
        <f>Mai!V$39</f>
        <v>0</v>
      </c>
      <c r="H23" s="75">
        <f>Jun!V$39</f>
        <v>0</v>
      </c>
      <c r="I23" s="75">
        <f>Jul!V$39</f>
        <v>0</v>
      </c>
      <c r="J23" s="75">
        <f>Ago!V$39</f>
        <v>0</v>
      </c>
      <c r="K23" s="75">
        <f>Set!V$39</f>
        <v>0</v>
      </c>
      <c r="L23" s="75">
        <f>Out!V$39</f>
        <v>0</v>
      </c>
      <c r="M23" s="75">
        <f>Nov!V$39</f>
        <v>0</v>
      </c>
      <c r="N23" s="75">
        <f>Dez!V$39</f>
        <v>0</v>
      </c>
    </row>
    <row r="24" spans="1:14" ht="15.75">
      <c r="A24" t="s">
        <v>46</v>
      </c>
      <c r="B24" s="74">
        <v>22</v>
      </c>
      <c r="C24" s="75">
        <f>Jan!W$39</f>
        <v>0</v>
      </c>
      <c r="D24" s="75">
        <f>Fev!W$39</f>
        <v>0</v>
      </c>
      <c r="E24" s="75">
        <f>Mar!W$39</f>
        <v>0</v>
      </c>
      <c r="F24" s="75">
        <f>Abr!W$39</f>
        <v>0</v>
      </c>
      <c r="G24" s="75">
        <f>Mai!W$39</f>
        <v>0</v>
      </c>
      <c r="H24" s="75">
        <f>Jun!W$39</f>
        <v>0</v>
      </c>
      <c r="I24" s="75">
        <f>Jul!W$39</f>
        <v>0</v>
      </c>
      <c r="J24" s="75">
        <f>Ago!W$39</f>
        <v>0</v>
      </c>
      <c r="K24" s="75">
        <f>Set!W$39</f>
        <v>0</v>
      </c>
      <c r="L24" s="75">
        <f>Out!W$39</f>
        <v>0</v>
      </c>
      <c r="M24" s="75">
        <f>Nov!W$39</f>
        <v>0</v>
      </c>
      <c r="N24" s="75">
        <f>Dez!W$39</f>
        <v>0</v>
      </c>
    </row>
    <row r="25" spans="1:14" ht="15.75">
      <c r="A25" t="s">
        <v>47</v>
      </c>
      <c r="B25" s="74">
        <v>23</v>
      </c>
      <c r="C25" s="75">
        <f>Jan!X$39</f>
        <v>0</v>
      </c>
      <c r="D25" s="75">
        <f>Fev!X$39</f>
        <v>0</v>
      </c>
      <c r="E25" s="75">
        <f>Mar!X$39</f>
        <v>0</v>
      </c>
      <c r="F25" s="75">
        <f>Abr!X$39</f>
        <v>0</v>
      </c>
      <c r="G25" s="75">
        <f>Mai!X$39</f>
        <v>0</v>
      </c>
      <c r="H25" s="75">
        <f>Jun!X$39</f>
        <v>0</v>
      </c>
      <c r="I25" s="75">
        <f>Jul!X$39</f>
        <v>0</v>
      </c>
      <c r="J25" s="75">
        <f>Ago!X$39</f>
        <v>0</v>
      </c>
      <c r="K25" s="75">
        <f>Set!X$39</f>
        <v>0</v>
      </c>
      <c r="L25" s="75">
        <f>Out!X$39</f>
        <v>0</v>
      </c>
      <c r="M25" s="75">
        <f>Nov!X$39</f>
        <v>0</v>
      </c>
      <c r="N25" s="75">
        <f>Dez!X$39</f>
        <v>0</v>
      </c>
    </row>
    <row r="26" spans="1:14" ht="15.75">
      <c r="A26" t="s">
        <v>48</v>
      </c>
      <c r="B26" s="74">
        <v>24</v>
      </c>
      <c r="C26" s="75">
        <f>Jan!Y$39</f>
        <v>0</v>
      </c>
      <c r="D26" s="75">
        <f>Fev!Y$39</f>
        <v>0</v>
      </c>
      <c r="E26" s="75">
        <f>Mar!Y$39</f>
        <v>0</v>
      </c>
      <c r="F26" s="75">
        <f>Abr!Y$39</f>
        <v>0</v>
      </c>
      <c r="G26" s="75">
        <f>Mai!Y$39</f>
        <v>0</v>
      </c>
      <c r="H26" s="75">
        <f>Jun!Y$39</f>
        <v>0</v>
      </c>
      <c r="I26" s="75">
        <f>Jul!Y$39</f>
        <v>0</v>
      </c>
      <c r="J26" s="75">
        <f>Ago!Y$39</f>
        <v>0</v>
      </c>
      <c r="K26" s="75">
        <f>Set!Y$39</f>
        <v>0</v>
      </c>
      <c r="L26" s="75">
        <f>Out!Y$39</f>
        <v>0</v>
      </c>
      <c r="M26" s="75">
        <f>Nov!Y$39</f>
        <v>0</v>
      </c>
      <c r="N26" s="75">
        <f>Dez!Y$39</f>
        <v>0</v>
      </c>
    </row>
    <row r="27" spans="1:14" ht="15.75">
      <c r="A27" t="s">
        <v>49</v>
      </c>
      <c r="B27" s="74">
        <v>25</v>
      </c>
      <c r="C27" s="75">
        <f>Jan!Z$39</f>
        <v>0</v>
      </c>
      <c r="D27" s="75">
        <f>Fev!Z$39</f>
        <v>0</v>
      </c>
      <c r="E27" s="75">
        <f>Mar!Z$39</f>
        <v>0</v>
      </c>
      <c r="F27" s="75">
        <f>Abr!Z$39</f>
        <v>0</v>
      </c>
      <c r="G27" s="75">
        <f>Mai!Z$39</f>
        <v>0</v>
      </c>
      <c r="H27" s="75">
        <f>Jun!Z$39</f>
        <v>0</v>
      </c>
      <c r="I27" s="75">
        <f>Jul!Z$39</f>
        <v>0</v>
      </c>
      <c r="J27" s="75">
        <f>Ago!Z$39</f>
        <v>0</v>
      </c>
      <c r="K27" s="75">
        <f>Set!Z$39</f>
        <v>0</v>
      </c>
      <c r="L27" s="75">
        <f>Out!Z$39</f>
        <v>0</v>
      </c>
      <c r="M27" s="75">
        <f>Nov!Z$39</f>
        <v>0</v>
      </c>
      <c r="N27" s="75">
        <f>Dez!Z$39</f>
        <v>0</v>
      </c>
    </row>
    <row r="28" spans="1:14" ht="15.75">
      <c r="A28" t="s">
        <v>50</v>
      </c>
      <c r="B28" s="74">
        <v>26</v>
      </c>
      <c r="C28" s="75">
        <f>Jan!AA$39</f>
        <v>0</v>
      </c>
      <c r="D28" s="75">
        <f>Fev!AA$39</f>
        <v>0</v>
      </c>
      <c r="E28" s="75">
        <f>Mar!AA$39</f>
        <v>0</v>
      </c>
      <c r="F28" s="75">
        <f>Abr!AA$39</f>
        <v>0</v>
      </c>
      <c r="G28" s="75">
        <f>Mai!AA$39</f>
        <v>0</v>
      </c>
      <c r="H28" s="75">
        <f>Jun!AA$39</f>
        <v>0</v>
      </c>
      <c r="I28" s="75">
        <f>Jul!AA$39</f>
        <v>0</v>
      </c>
      <c r="J28" s="75">
        <f>Ago!AA$39</f>
        <v>0</v>
      </c>
      <c r="K28" s="75">
        <f>Set!AA$39</f>
        <v>0</v>
      </c>
      <c r="L28" s="75">
        <f>Out!AA$39</f>
        <v>0</v>
      </c>
      <c r="M28" s="75">
        <f>Nov!AA$39</f>
        <v>0</v>
      </c>
      <c r="N28" s="75">
        <f>Dez!AA$39</f>
        <v>0</v>
      </c>
    </row>
    <row r="29" spans="1:14" ht="15.75">
      <c r="A29" t="s">
        <v>51</v>
      </c>
      <c r="B29" s="74">
        <v>27</v>
      </c>
      <c r="C29" s="75">
        <f>Jan!AB$39</f>
        <v>0</v>
      </c>
      <c r="D29" s="75">
        <f>Fev!AB$39</f>
        <v>0</v>
      </c>
      <c r="E29" s="75">
        <f>Mar!AB$39</f>
        <v>0</v>
      </c>
      <c r="F29" s="75">
        <f>Abr!AB$39</f>
        <v>0</v>
      </c>
      <c r="G29" s="75">
        <f>Mai!AB$39</f>
        <v>0</v>
      </c>
      <c r="H29" s="75">
        <f>Jun!AB$39</f>
        <v>0</v>
      </c>
      <c r="I29" s="75">
        <f>Jul!AB$39</f>
        <v>0</v>
      </c>
      <c r="J29" s="75">
        <f>Ago!AB$39</f>
        <v>0</v>
      </c>
      <c r="K29" s="75">
        <f>Set!AB$39</f>
        <v>0</v>
      </c>
      <c r="L29" s="75">
        <f>Out!AB$39</f>
        <v>0</v>
      </c>
      <c r="M29" s="75">
        <f>Nov!AB$39</f>
        <v>0</v>
      </c>
      <c r="N29" s="75">
        <f>Dez!AB$39</f>
        <v>0</v>
      </c>
    </row>
    <row r="30" spans="1:14" ht="15.75">
      <c r="A30" t="s">
        <v>52</v>
      </c>
      <c r="B30" s="74">
        <v>28</v>
      </c>
      <c r="C30" s="75">
        <f>Jan!AC$39</f>
        <v>0</v>
      </c>
      <c r="D30" s="75">
        <f>Fev!AC$39</f>
        <v>0</v>
      </c>
      <c r="E30" s="75">
        <f>Mar!AC$39</f>
        <v>0</v>
      </c>
      <c r="F30" s="75">
        <f>Abr!AC$39</f>
        <v>0</v>
      </c>
      <c r="G30" s="75">
        <f>Mai!AC$39</f>
        <v>0</v>
      </c>
      <c r="H30" s="75">
        <f>Jun!AC$39</f>
        <v>0</v>
      </c>
      <c r="I30" s="75">
        <f>Jul!AC$39</f>
        <v>0</v>
      </c>
      <c r="J30" s="75">
        <f>Ago!AC$39</f>
        <v>0</v>
      </c>
      <c r="K30" s="75">
        <f>Set!AC$39</f>
        <v>0</v>
      </c>
      <c r="L30" s="75">
        <f>Out!AC$39</f>
        <v>0</v>
      </c>
      <c r="M30" s="75">
        <f>Nov!AC$39</f>
        <v>0</v>
      </c>
      <c r="N30" s="75">
        <f>Dez!AC$39</f>
        <v>0</v>
      </c>
    </row>
    <row r="31" spans="1:14" ht="15.75">
      <c r="A31" t="s">
        <v>53</v>
      </c>
      <c r="B31" s="74">
        <v>29</v>
      </c>
      <c r="C31" s="75">
        <f>Jan!AD$39</f>
        <v>0</v>
      </c>
      <c r="D31" s="75">
        <f>Fev!AD$39</f>
        <v>0</v>
      </c>
      <c r="E31" s="75">
        <f>Mar!AD$39</f>
        <v>0</v>
      </c>
      <c r="F31" s="75">
        <f>Abr!AD$39</f>
        <v>0</v>
      </c>
      <c r="G31" s="75">
        <f>Mai!AD$39</f>
        <v>0</v>
      </c>
      <c r="H31" s="75">
        <f>Jun!AD$39</f>
        <v>0</v>
      </c>
      <c r="I31" s="75">
        <f>Jul!AD$39</f>
        <v>0</v>
      </c>
      <c r="J31" s="75">
        <f>Ago!AD$39</f>
        <v>0</v>
      </c>
      <c r="K31" s="75">
        <f>Set!AD$39</f>
        <v>0</v>
      </c>
      <c r="L31" s="75">
        <f>Out!AD$39</f>
        <v>0</v>
      </c>
      <c r="M31" s="75">
        <f>Nov!AD$39</f>
        <v>0</v>
      </c>
      <c r="N31" s="75">
        <f>Dez!AD$39</f>
        <v>0</v>
      </c>
    </row>
    <row r="32" spans="1:14" ht="15.75">
      <c r="A32" t="s">
        <v>54</v>
      </c>
      <c r="B32" s="74">
        <v>30</v>
      </c>
      <c r="C32" s="75">
        <f>Jan!AE$39</f>
        <v>0</v>
      </c>
      <c r="D32" s="75"/>
      <c r="E32" s="75">
        <f>Mar!AE$39</f>
        <v>0</v>
      </c>
      <c r="F32" s="75">
        <f>Abr!AE$39</f>
        <v>0</v>
      </c>
      <c r="G32" s="75">
        <f>Mai!AE$39</f>
        <v>0</v>
      </c>
      <c r="H32" s="75">
        <f>Jun!AE$39</f>
        <v>0</v>
      </c>
      <c r="I32" s="75">
        <f>Jul!AE$39</f>
        <v>0</v>
      </c>
      <c r="J32" s="75">
        <f>Ago!AE$39</f>
        <v>0</v>
      </c>
      <c r="K32" s="75">
        <f>Set!AE$39</f>
        <v>0</v>
      </c>
      <c r="L32" s="75">
        <f>Out!AE$39</f>
        <v>0</v>
      </c>
      <c r="M32" s="75">
        <f>Nov!AE$39</f>
        <v>0</v>
      </c>
      <c r="N32" s="75">
        <f>Dez!AE$39</f>
        <v>0</v>
      </c>
    </row>
    <row r="33" spans="1:14" ht="15.75">
      <c r="A33" t="s">
        <v>55</v>
      </c>
      <c r="B33" s="74">
        <v>31</v>
      </c>
      <c r="C33" s="75">
        <f>Jan!AF$39</f>
        <v>0</v>
      </c>
      <c r="D33" s="75"/>
      <c r="E33" s="75">
        <f>Mar!AF$39</f>
        <v>0</v>
      </c>
      <c r="F33" s="75"/>
      <c r="G33" s="75">
        <f>Mai!AF$39</f>
        <v>0</v>
      </c>
      <c r="H33" s="75"/>
      <c r="I33" s="75">
        <f>Jul!AF$39</f>
        <v>0</v>
      </c>
      <c r="J33" s="75">
        <f>Ago!AF$39</f>
        <v>0</v>
      </c>
      <c r="K33" s="75"/>
      <c r="L33" s="75">
        <f>Out!AF$39</f>
        <v>0</v>
      </c>
      <c r="M33" s="75"/>
      <c r="N33" s="75">
        <f>Dez!AF$39</f>
        <v>0</v>
      </c>
    </row>
    <row r="34" spans="1:14" ht="15.75"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</row>
    <row r="35" spans="1:14" ht="15.75">
      <c r="B35" s="77" t="s">
        <v>61</v>
      </c>
      <c r="C35" s="78">
        <f>MIN(C3:C33)</f>
        <v>0</v>
      </c>
      <c r="D35" s="78">
        <f t="shared" ref="D35:N35" si="0">MIN(D3:D33)</f>
        <v>0</v>
      </c>
      <c r="E35" s="78">
        <f t="shared" si="0"/>
        <v>0</v>
      </c>
      <c r="F35" s="78">
        <f t="shared" si="0"/>
        <v>0</v>
      </c>
      <c r="G35" s="78">
        <f t="shared" si="0"/>
        <v>0</v>
      </c>
      <c r="H35" s="78">
        <f t="shared" si="0"/>
        <v>0</v>
      </c>
      <c r="I35" s="78">
        <f t="shared" si="0"/>
        <v>0</v>
      </c>
      <c r="J35" s="78">
        <f t="shared" si="0"/>
        <v>0</v>
      </c>
      <c r="K35" s="78">
        <f t="shared" si="0"/>
        <v>0</v>
      </c>
      <c r="L35" s="78">
        <f t="shared" si="0"/>
        <v>0</v>
      </c>
      <c r="M35" s="78">
        <f t="shared" si="0"/>
        <v>0</v>
      </c>
      <c r="N35" s="78">
        <f t="shared" si="0"/>
        <v>0</v>
      </c>
    </row>
    <row r="36" spans="1:14">
      <c r="B36" s="79" t="s">
        <v>57</v>
      </c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Média Diária</vt:lpstr>
      <vt:lpstr>Máxima Mensal</vt:lpstr>
      <vt:lpstr>Mínima Mensal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</dc:creator>
  <cp:lastModifiedBy>Emilia</cp:lastModifiedBy>
  <dcterms:created xsi:type="dcterms:W3CDTF">2018-01-11T15:30:14Z</dcterms:created>
  <dcterms:modified xsi:type="dcterms:W3CDTF">2026-03-11T18:33:28Z</dcterms:modified>
</cp:coreProperties>
</file>