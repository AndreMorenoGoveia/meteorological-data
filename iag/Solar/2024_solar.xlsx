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calcPr calcId="125725"/>
</workbook>
</file>

<file path=xl/calcChain.xml><?xml version="1.0" encoding="utf-8"?>
<calcChain xmlns="http://schemas.openxmlformats.org/spreadsheetml/2006/main">
  <c r="U40" i="12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Y39" s="1"/>
  <c r="AA39" s="1"/>
  <c r="W39"/>
  <c r="G39"/>
  <c r="C39"/>
  <c r="D39" s="1"/>
  <c r="Z38"/>
  <c r="X38"/>
  <c r="W38"/>
  <c r="Y38" s="1"/>
  <c r="AA38" s="1"/>
  <c r="H38"/>
  <c r="G38"/>
  <c r="F38"/>
  <c r="E38"/>
  <c r="D38"/>
  <c r="C38"/>
  <c r="Z37"/>
  <c r="Y37"/>
  <c r="AA37" s="1"/>
  <c r="X37"/>
  <c r="W37"/>
  <c r="G37"/>
  <c r="D37"/>
  <c r="F37" s="1"/>
  <c r="H37" s="1"/>
  <c r="C37"/>
  <c r="Z36"/>
  <c r="Y36"/>
  <c r="AA36" s="1"/>
  <c r="X36"/>
  <c r="W36"/>
  <c r="G36"/>
  <c r="C36"/>
  <c r="D36" s="1"/>
  <c r="Z35"/>
  <c r="X35"/>
  <c r="W35"/>
  <c r="Y35" s="1"/>
  <c r="AA35" s="1"/>
  <c r="G35"/>
  <c r="C35"/>
  <c r="D35" s="1"/>
  <c r="Z34"/>
  <c r="X34"/>
  <c r="W34"/>
  <c r="Y34" s="1"/>
  <c r="AA34" s="1"/>
  <c r="G34"/>
  <c r="D34"/>
  <c r="E34" s="1"/>
  <c r="C34"/>
  <c r="Z33"/>
  <c r="X33"/>
  <c r="W33"/>
  <c r="Y33" s="1"/>
  <c r="AA33" s="1"/>
  <c r="G33"/>
  <c r="E33"/>
  <c r="D33"/>
  <c r="F33" s="1"/>
  <c r="H33" s="1"/>
  <c r="C33"/>
  <c r="Z32"/>
  <c r="Y32"/>
  <c r="AA32" s="1"/>
  <c r="X32"/>
  <c r="W32"/>
  <c r="G32"/>
  <c r="C32"/>
  <c r="D32" s="1"/>
  <c r="Z31"/>
  <c r="Y31"/>
  <c r="AA31" s="1"/>
  <c r="X31"/>
  <c r="W31"/>
  <c r="G31"/>
  <c r="C31"/>
  <c r="D31" s="1"/>
  <c r="Z30"/>
  <c r="X30"/>
  <c r="W30"/>
  <c r="Y30" s="1"/>
  <c r="AA30" s="1"/>
  <c r="G30"/>
  <c r="F30"/>
  <c r="H30" s="1"/>
  <c r="E30"/>
  <c r="D30"/>
  <c r="C30"/>
  <c r="Z29"/>
  <c r="Y29"/>
  <c r="AA29" s="1"/>
  <c r="X29"/>
  <c r="W29"/>
  <c r="G29"/>
  <c r="D29"/>
  <c r="E29" s="1"/>
  <c r="C29"/>
  <c r="Z28"/>
  <c r="Y28"/>
  <c r="AA28" s="1"/>
  <c r="X28"/>
  <c r="W28"/>
  <c r="G28"/>
  <c r="C28"/>
  <c r="D28" s="1"/>
  <c r="Z27"/>
  <c r="X27"/>
  <c r="W27"/>
  <c r="Y27" s="1"/>
  <c r="AA27" s="1"/>
  <c r="G27"/>
  <c r="C27"/>
  <c r="D27" s="1"/>
  <c r="Z26"/>
  <c r="X26"/>
  <c r="W26"/>
  <c r="Y26" s="1"/>
  <c r="AA26" s="1"/>
  <c r="G26"/>
  <c r="E26"/>
  <c r="D26"/>
  <c r="F26" s="1"/>
  <c r="H26" s="1"/>
  <c r="C26"/>
  <c r="Z25"/>
  <c r="X25"/>
  <c r="W25"/>
  <c r="Y25" s="1"/>
  <c r="AA25" s="1"/>
  <c r="H25"/>
  <c r="G25"/>
  <c r="F25"/>
  <c r="E25"/>
  <c r="D25"/>
  <c r="C25"/>
  <c r="Z24"/>
  <c r="Y24"/>
  <c r="AA24" s="1"/>
  <c r="X24"/>
  <c r="W24"/>
  <c r="G24"/>
  <c r="C24"/>
  <c r="D24" s="1"/>
  <c r="Z23"/>
  <c r="X23"/>
  <c r="Y23" s="1"/>
  <c r="AA23" s="1"/>
  <c r="W23"/>
  <c r="G23"/>
  <c r="C23"/>
  <c r="D23" s="1"/>
  <c r="Z22"/>
  <c r="X22"/>
  <c r="W22"/>
  <c r="Y22" s="1"/>
  <c r="AA22" s="1"/>
  <c r="H22"/>
  <c r="G22"/>
  <c r="F22"/>
  <c r="E22"/>
  <c r="D22"/>
  <c r="C22"/>
  <c r="Z21"/>
  <c r="X21"/>
  <c r="W21"/>
  <c r="Y21" s="1"/>
  <c r="AA21" s="1"/>
  <c r="G21"/>
  <c r="D21"/>
  <c r="F21" s="1"/>
  <c r="H21" s="1"/>
  <c r="C21"/>
  <c r="Z20"/>
  <c r="Y20"/>
  <c r="AA20" s="1"/>
  <c r="X20"/>
  <c r="W20"/>
  <c r="G20"/>
  <c r="D20"/>
  <c r="E20" s="1"/>
  <c r="C20"/>
  <c r="Z19"/>
  <c r="X19"/>
  <c r="W19"/>
  <c r="Y19" s="1"/>
  <c r="AA19" s="1"/>
  <c r="G19"/>
  <c r="C19"/>
  <c r="D19" s="1"/>
  <c r="Z18"/>
  <c r="X18"/>
  <c r="W18"/>
  <c r="Y18" s="1"/>
  <c r="AA18" s="1"/>
  <c r="G18"/>
  <c r="E18"/>
  <c r="D18"/>
  <c r="F18" s="1"/>
  <c r="H18" s="1"/>
  <c r="C18"/>
  <c r="Z17"/>
  <c r="X17"/>
  <c r="W17"/>
  <c r="Y17" s="1"/>
  <c r="AA17" s="1"/>
  <c r="G17"/>
  <c r="E17"/>
  <c r="D17"/>
  <c r="F17" s="1"/>
  <c r="H17" s="1"/>
  <c r="C17"/>
  <c r="Z16"/>
  <c r="Y16"/>
  <c r="AA16" s="1"/>
  <c r="X16"/>
  <c r="W16"/>
  <c r="G16"/>
  <c r="C16"/>
  <c r="D16" s="1"/>
  <c r="Z15"/>
  <c r="Y15"/>
  <c r="AA15" s="1"/>
  <c r="X15"/>
  <c r="W15"/>
  <c r="G15"/>
  <c r="C15"/>
  <c r="D15" s="1"/>
  <c r="Z14"/>
  <c r="X14"/>
  <c r="W14"/>
  <c r="Y14" s="1"/>
  <c r="AA14" s="1"/>
  <c r="G14"/>
  <c r="F14"/>
  <c r="H14" s="1"/>
  <c r="E14"/>
  <c r="D14"/>
  <c r="C14"/>
  <c r="Z13"/>
  <c r="Y13"/>
  <c r="AA13" s="1"/>
  <c r="X13"/>
  <c r="W13"/>
  <c r="G13"/>
  <c r="D13"/>
  <c r="E13" s="1"/>
  <c r="C13"/>
  <c r="Z12"/>
  <c r="Y12"/>
  <c r="AA12" s="1"/>
  <c r="X12"/>
  <c r="W12"/>
  <c r="G12"/>
  <c r="C12"/>
  <c r="D12" s="1"/>
  <c r="Z11"/>
  <c r="X11"/>
  <c r="W11"/>
  <c r="Y11" s="1"/>
  <c r="AA11" s="1"/>
  <c r="G11"/>
  <c r="C11"/>
  <c r="D11" s="1"/>
  <c r="Z10"/>
  <c r="X10"/>
  <c r="W10"/>
  <c r="Y10" s="1"/>
  <c r="AA10" s="1"/>
  <c r="G10"/>
  <c r="E10"/>
  <c r="D10"/>
  <c r="F10" s="1"/>
  <c r="H10" s="1"/>
  <c r="C10"/>
  <c r="Z9"/>
  <c r="Z40" s="1"/>
  <c r="X9"/>
  <c r="W9"/>
  <c r="Y9" s="1"/>
  <c r="AA9" s="1"/>
  <c r="G9"/>
  <c r="D9"/>
  <c r="E9" s="1"/>
  <c r="C9"/>
  <c r="V40" i="11"/>
  <c r="U40"/>
  <c r="T40"/>
  <c r="S40"/>
  <c r="R40"/>
  <c r="Q40"/>
  <c r="P40"/>
  <c r="X40" s="1"/>
  <c r="O40"/>
  <c r="N40"/>
  <c r="M40"/>
  <c r="L40"/>
  <c r="K40"/>
  <c r="J40"/>
  <c r="I40"/>
  <c r="W40" s="1"/>
  <c r="Y40" s="1"/>
  <c r="Z38"/>
  <c r="Y38"/>
  <c r="AA38" s="1"/>
  <c r="X38"/>
  <c r="W38"/>
  <c r="G38"/>
  <c r="C38"/>
  <c r="D38" s="1"/>
  <c r="Z37"/>
  <c r="X37"/>
  <c r="W37"/>
  <c r="Y37" s="1"/>
  <c r="AA37" s="1"/>
  <c r="G37"/>
  <c r="F37"/>
  <c r="H37" s="1"/>
  <c r="E37"/>
  <c r="D37"/>
  <c r="C37"/>
  <c r="Z36"/>
  <c r="Y36"/>
  <c r="AA36" s="1"/>
  <c r="X36"/>
  <c r="W36"/>
  <c r="G36"/>
  <c r="D36"/>
  <c r="E36" s="1"/>
  <c r="C36"/>
  <c r="Z35"/>
  <c r="Y35"/>
  <c r="AA35" s="1"/>
  <c r="X35"/>
  <c r="W35"/>
  <c r="G35"/>
  <c r="C35"/>
  <c r="D35" s="1"/>
  <c r="Z34"/>
  <c r="X34"/>
  <c r="W34"/>
  <c r="Y34" s="1"/>
  <c r="AA34" s="1"/>
  <c r="G34"/>
  <c r="C34"/>
  <c r="D34" s="1"/>
  <c r="Z33"/>
  <c r="X33"/>
  <c r="W33"/>
  <c r="Y33" s="1"/>
  <c r="AA33" s="1"/>
  <c r="G33"/>
  <c r="E33"/>
  <c r="D33"/>
  <c r="F33" s="1"/>
  <c r="H33" s="1"/>
  <c r="C33"/>
  <c r="Z32"/>
  <c r="X32"/>
  <c r="W32"/>
  <c r="Y32" s="1"/>
  <c r="AA32" s="1"/>
  <c r="G32"/>
  <c r="D32"/>
  <c r="E32" s="1"/>
  <c r="C32"/>
  <c r="Z31"/>
  <c r="Y31"/>
  <c r="AA31" s="1"/>
  <c r="X31"/>
  <c r="W31"/>
  <c r="G31"/>
  <c r="C31"/>
  <c r="D31" s="1"/>
  <c r="Z30"/>
  <c r="X30"/>
  <c r="Y30" s="1"/>
  <c r="AA30" s="1"/>
  <c r="W30"/>
  <c r="G30"/>
  <c r="C30"/>
  <c r="D30" s="1"/>
  <c r="Z29"/>
  <c r="X29"/>
  <c r="W29"/>
  <c r="Y29" s="1"/>
  <c r="AA29" s="1"/>
  <c r="H29"/>
  <c r="G29"/>
  <c r="F29"/>
  <c r="E29"/>
  <c r="D29"/>
  <c r="C29"/>
  <c r="Z28"/>
  <c r="X28"/>
  <c r="W28"/>
  <c r="Y28" s="1"/>
  <c r="AA28" s="1"/>
  <c r="G28"/>
  <c r="D28"/>
  <c r="F28" s="1"/>
  <c r="H28" s="1"/>
  <c r="C28"/>
  <c r="Z27"/>
  <c r="Y27"/>
  <c r="AA27" s="1"/>
  <c r="X27"/>
  <c r="W27"/>
  <c r="G27"/>
  <c r="D27"/>
  <c r="E27" s="1"/>
  <c r="C27"/>
  <c r="Z26"/>
  <c r="X26"/>
  <c r="W26"/>
  <c r="Y26" s="1"/>
  <c r="AA26" s="1"/>
  <c r="G26"/>
  <c r="C26"/>
  <c r="D26" s="1"/>
  <c r="Z25"/>
  <c r="X25"/>
  <c r="W25"/>
  <c r="Y25" s="1"/>
  <c r="AA25" s="1"/>
  <c r="G25"/>
  <c r="E25"/>
  <c r="D25"/>
  <c r="F25" s="1"/>
  <c r="H25" s="1"/>
  <c r="C25"/>
  <c r="Z24"/>
  <c r="X24"/>
  <c r="W24"/>
  <c r="Y24" s="1"/>
  <c r="AA24" s="1"/>
  <c r="G24"/>
  <c r="E24"/>
  <c r="D24"/>
  <c r="F24" s="1"/>
  <c r="H24" s="1"/>
  <c r="C24"/>
  <c r="Z23"/>
  <c r="Y23"/>
  <c r="AA23" s="1"/>
  <c r="X23"/>
  <c r="W23"/>
  <c r="G23"/>
  <c r="C23"/>
  <c r="D23" s="1"/>
  <c r="Z22"/>
  <c r="Y22"/>
  <c r="AA22" s="1"/>
  <c r="X22"/>
  <c r="W22"/>
  <c r="G22"/>
  <c r="C22"/>
  <c r="D22" s="1"/>
  <c r="Z21"/>
  <c r="X21"/>
  <c r="W21"/>
  <c r="Y21" s="1"/>
  <c r="AA21" s="1"/>
  <c r="G21"/>
  <c r="F21"/>
  <c r="H21" s="1"/>
  <c r="E21"/>
  <c r="D21"/>
  <c r="C21"/>
  <c r="Z20"/>
  <c r="Y20"/>
  <c r="AA20" s="1"/>
  <c r="X20"/>
  <c r="W20"/>
  <c r="G20"/>
  <c r="D20"/>
  <c r="E20" s="1"/>
  <c r="C20"/>
  <c r="Z19"/>
  <c r="Y19"/>
  <c r="AA19" s="1"/>
  <c r="X19"/>
  <c r="W19"/>
  <c r="G19"/>
  <c r="C19"/>
  <c r="D19" s="1"/>
  <c r="Z18"/>
  <c r="X18"/>
  <c r="W18"/>
  <c r="Y18" s="1"/>
  <c r="AA18" s="1"/>
  <c r="G18"/>
  <c r="C18"/>
  <c r="D18" s="1"/>
  <c r="Z17"/>
  <c r="X17"/>
  <c r="W17"/>
  <c r="Y17" s="1"/>
  <c r="AA17" s="1"/>
  <c r="G17"/>
  <c r="E17"/>
  <c r="D17"/>
  <c r="F17" s="1"/>
  <c r="H17" s="1"/>
  <c r="C17"/>
  <c r="Z16"/>
  <c r="X16"/>
  <c r="W16"/>
  <c r="Y16" s="1"/>
  <c r="AA16" s="1"/>
  <c r="G16"/>
  <c r="D16"/>
  <c r="E16" s="1"/>
  <c r="C16"/>
  <c r="Z15"/>
  <c r="Y15"/>
  <c r="AA15" s="1"/>
  <c r="X15"/>
  <c r="W15"/>
  <c r="G15"/>
  <c r="C15"/>
  <c r="D15" s="1"/>
  <c r="Z14"/>
  <c r="X14"/>
  <c r="Y14" s="1"/>
  <c r="AA14" s="1"/>
  <c r="W14"/>
  <c r="G14"/>
  <c r="C14"/>
  <c r="D14" s="1"/>
  <c r="Z13"/>
  <c r="X13"/>
  <c r="W13"/>
  <c r="Y13" s="1"/>
  <c r="AA13" s="1"/>
  <c r="H13"/>
  <c r="G13"/>
  <c r="F13"/>
  <c r="E13"/>
  <c r="D13"/>
  <c r="C13"/>
  <c r="Z12"/>
  <c r="X12"/>
  <c r="W12"/>
  <c r="Y12" s="1"/>
  <c r="AA12" s="1"/>
  <c r="G12"/>
  <c r="D12"/>
  <c r="F12" s="1"/>
  <c r="H12" s="1"/>
  <c r="C12"/>
  <c r="Z11"/>
  <c r="Y11"/>
  <c r="AA11" s="1"/>
  <c r="X11"/>
  <c r="W11"/>
  <c r="G11"/>
  <c r="D11"/>
  <c r="E11" s="1"/>
  <c r="C11"/>
  <c r="Z10"/>
  <c r="X10"/>
  <c r="W10"/>
  <c r="Y10" s="1"/>
  <c r="AA10" s="1"/>
  <c r="G10"/>
  <c r="C10"/>
  <c r="D10" s="1"/>
  <c r="Z9"/>
  <c r="Z40" s="1"/>
  <c r="X9"/>
  <c r="W9"/>
  <c r="Y9" s="1"/>
  <c r="AA9" s="1"/>
  <c r="G9"/>
  <c r="E9"/>
  <c r="D9"/>
  <c r="F9" s="1"/>
  <c r="H9" s="1"/>
  <c r="C9"/>
  <c r="V40" i="10"/>
  <c r="U40"/>
  <c r="T40"/>
  <c r="S40"/>
  <c r="R40"/>
  <c r="Q40"/>
  <c r="X40" s="1"/>
  <c r="P40"/>
  <c r="O40"/>
  <c r="N40"/>
  <c r="M40"/>
  <c r="L40"/>
  <c r="K40"/>
  <c r="J40"/>
  <c r="W40" s="1"/>
  <c r="I40"/>
  <c r="Z39"/>
  <c r="Y39"/>
  <c r="AA39" s="1"/>
  <c r="X39"/>
  <c r="W39"/>
  <c r="G39"/>
  <c r="C39"/>
  <c r="D39" s="1"/>
  <c r="Z38"/>
  <c r="X38"/>
  <c r="Y38" s="1"/>
  <c r="AA38" s="1"/>
  <c r="W38"/>
  <c r="G38"/>
  <c r="C38"/>
  <c r="D38" s="1"/>
  <c r="Z37"/>
  <c r="X37"/>
  <c r="W37"/>
  <c r="Y37" s="1"/>
  <c r="AA37" s="1"/>
  <c r="H37"/>
  <c r="G37"/>
  <c r="F37"/>
  <c r="E37"/>
  <c r="D37"/>
  <c r="C37"/>
  <c r="Z36"/>
  <c r="X36"/>
  <c r="W36"/>
  <c r="Y36" s="1"/>
  <c r="AA36" s="1"/>
  <c r="G36"/>
  <c r="D36"/>
  <c r="F36" s="1"/>
  <c r="H36" s="1"/>
  <c r="C36"/>
  <c r="Z35"/>
  <c r="Y35"/>
  <c r="AA35" s="1"/>
  <c r="X35"/>
  <c r="W35"/>
  <c r="G35"/>
  <c r="D35"/>
  <c r="E35" s="1"/>
  <c r="C35"/>
  <c r="Z34"/>
  <c r="X34"/>
  <c r="W34"/>
  <c r="Y34" s="1"/>
  <c r="AA34" s="1"/>
  <c r="G34"/>
  <c r="C34"/>
  <c r="D34" s="1"/>
  <c r="Z33"/>
  <c r="X33"/>
  <c r="W33"/>
  <c r="Y33" s="1"/>
  <c r="AA33" s="1"/>
  <c r="G33"/>
  <c r="E33"/>
  <c r="D33"/>
  <c r="F33" s="1"/>
  <c r="H33" s="1"/>
  <c r="C33"/>
  <c r="Z32"/>
  <c r="X32"/>
  <c r="W32"/>
  <c r="Y32" s="1"/>
  <c r="AA32" s="1"/>
  <c r="G32"/>
  <c r="E32"/>
  <c r="D32"/>
  <c r="F32" s="1"/>
  <c r="H32" s="1"/>
  <c r="C32"/>
  <c r="Z31"/>
  <c r="Y31"/>
  <c r="AA31" s="1"/>
  <c r="X31"/>
  <c r="W31"/>
  <c r="G31"/>
  <c r="C31"/>
  <c r="D31" s="1"/>
  <c r="Z30"/>
  <c r="Y30"/>
  <c r="AA30" s="1"/>
  <c r="X30"/>
  <c r="W30"/>
  <c r="G30"/>
  <c r="C30"/>
  <c r="D30" s="1"/>
  <c r="Z29"/>
  <c r="X29"/>
  <c r="W29"/>
  <c r="Y29" s="1"/>
  <c r="AA29" s="1"/>
  <c r="G29"/>
  <c r="F29"/>
  <c r="H29" s="1"/>
  <c r="E29"/>
  <c r="D29"/>
  <c r="C29"/>
  <c r="Z28"/>
  <c r="Y28"/>
  <c r="AA28" s="1"/>
  <c r="X28"/>
  <c r="W28"/>
  <c r="G28"/>
  <c r="D28"/>
  <c r="E28" s="1"/>
  <c r="C28"/>
  <c r="Z27"/>
  <c r="Y27"/>
  <c r="AA27" s="1"/>
  <c r="X27"/>
  <c r="W27"/>
  <c r="G27"/>
  <c r="C27"/>
  <c r="D27" s="1"/>
  <c r="Z26"/>
  <c r="X26"/>
  <c r="W26"/>
  <c r="Y26" s="1"/>
  <c r="AA26" s="1"/>
  <c r="G26"/>
  <c r="C26"/>
  <c r="D26" s="1"/>
  <c r="Z25"/>
  <c r="X25"/>
  <c r="W25"/>
  <c r="Y25" s="1"/>
  <c r="AA25" s="1"/>
  <c r="G25"/>
  <c r="E25"/>
  <c r="D25"/>
  <c r="F25" s="1"/>
  <c r="H25" s="1"/>
  <c r="C25"/>
  <c r="Z24"/>
  <c r="X24"/>
  <c r="W24"/>
  <c r="Y24" s="1"/>
  <c r="AA24" s="1"/>
  <c r="G24"/>
  <c r="D24"/>
  <c r="E24" s="1"/>
  <c r="C24"/>
  <c r="Z23"/>
  <c r="Y23"/>
  <c r="AA23" s="1"/>
  <c r="X23"/>
  <c r="W23"/>
  <c r="G23"/>
  <c r="C23"/>
  <c r="D23" s="1"/>
  <c r="AA22"/>
  <c r="Z22"/>
  <c r="Y22"/>
  <c r="X22"/>
  <c r="W22"/>
  <c r="G22"/>
  <c r="C22"/>
  <c r="D22" s="1"/>
  <c r="Z21"/>
  <c r="X21"/>
  <c r="W21"/>
  <c r="Y21" s="1"/>
  <c r="AA21" s="1"/>
  <c r="H21"/>
  <c r="G21"/>
  <c r="F21"/>
  <c r="E21"/>
  <c r="D21"/>
  <c r="C21"/>
  <c r="Z20"/>
  <c r="X20"/>
  <c r="W20"/>
  <c r="Y20" s="1"/>
  <c r="AA20" s="1"/>
  <c r="G20"/>
  <c r="D20"/>
  <c r="F20" s="1"/>
  <c r="H20" s="1"/>
  <c r="C20"/>
  <c r="Z19"/>
  <c r="Y19"/>
  <c r="AA19" s="1"/>
  <c r="X19"/>
  <c r="W19"/>
  <c r="G19"/>
  <c r="D19"/>
  <c r="E19" s="1"/>
  <c r="C19"/>
  <c r="Z18"/>
  <c r="X18"/>
  <c r="W18"/>
  <c r="Y18" s="1"/>
  <c r="AA18" s="1"/>
  <c r="G18"/>
  <c r="C18"/>
  <c r="D18" s="1"/>
  <c r="Z17"/>
  <c r="X17"/>
  <c r="W17"/>
  <c r="Y17" s="1"/>
  <c r="AA17" s="1"/>
  <c r="G17"/>
  <c r="E17"/>
  <c r="D17"/>
  <c r="F17" s="1"/>
  <c r="H17" s="1"/>
  <c r="C17"/>
  <c r="Z16"/>
  <c r="X16"/>
  <c r="W16"/>
  <c r="Y16" s="1"/>
  <c r="AA16" s="1"/>
  <c r="G16"/>
  <c r="E16"/>
  <c r="D16"/>
  <c r="F16" s="1"/>
  <c r="H16" s="1"/>
  <c r="C16"/>
  <c r="Z15"/>
  <c r="Y15"/>
  <c r="AA15" s="1"/>
  <c r="X15"/>
  <c r="W15"/>
  <c r="G15"/>
  <c r="C15"/>
  <c r="D15" s="1"/>
  <c r="Z14"/>
  <c r="Y14"/>
  <c r="AA14" s="1"/>
  <c r="X14"/>
  <c r="W14"/>
  <c r="G14"/>
  <c r="C14"/>
  <c r="D14" s="1"/>
  <c r="Z13"/>
  <c r="X13"/>
  <c r="W13"/>
  <c r="Y13" s="1"/>
  <c r="AA13" s="1"/>
  <c r="G13"/>
  <c r="F13"/>
  <c r="H13" s="1"/>
  <c r="E13"/>
  <c r="D13"/>
  <c r="C13"/>
  <c r="Z12"/>
  <c r="Y12"/>
  <c r="AA12" s="1"/>
  <c r="X12"/>
  <c r="W12"/>
  <c r="G12"/>
  <c r="D12"/>
  <c r="E12" s="1"/>
  <c r="C12"/>
  <c r="Z11"/>
  <c r="Y11"/>
  <c r="AA11" s="1"/>
  <c r="X11"/>
  <c r="W11"/>
  <c r="G11"/>
  <c r="C11"/>
  <c r="D11" s="1"/>
  <c r="Z10"/>
  <c r="X10"/>
  <c r="W10"/>
  <c r="Y10" s="1"/>
  <c r="AA10" s="1"/>
  <c r="G10"/>
  <c r="C10"/>
  <c r="D10" s="1"/>
  <c r="Z9"/>
  <c r="Z40" s="1"/>
  <c r="X9"/>
  <c r="W9"/>
  <c r="Y9" s="1"/>
  <c r="AA9" s="1"/>
  <c r="G9"/>
  <c r="E9"/>
  <c r="D9"/>
  <c r="F9" s="1"/>
  <c r="H9" s="1"/>
  <c r="C9"/>
  <c r="V40" i="9"/>
  <c r="U40"/>
  <c r="T40"/>
  <c r="S40"/>
  <c r="R40"/>
  <c r="Q40"/>
  <c r="P40"/>
  <c r="X40" s="1"/>
  <c r="O40"/>
  <c r="N40"/>
  <c r="M40"/>
  <c r="L40"/>
  <c r="K40"/>
  <c r="J40"/>
  <c r="W40" s="1"/>
  <c r="I40"/>
  <c r="Z38"/>
  <c r="Y38"/>
  <c r="AA38" s="1"/>
  <c r="X38"/>
  <c r="W38"/>
  <c r="G38"/>
  <c r="C38"/>
  <c r="D38" s="1"/>
  <c r="Z37"/>
  <c r="Y37"/>
  <c r="AA37" s="1"/>
  <c r="X37"/>
  <c r="W37"/>
  <c r="G37"/>
  <c r="C37"/>
  <c r="D37" s="1"/>
  <c r="Z36"/>
  <c r="X36"/>
  <c r="W36"/>
  <c r="Y36" s="1"/>
  <c r="AA36" s="1"/>
  <c r="G36"/>
  <c r="F36"/>
  <c r="H36" s="1"/>
  <c r="E36"/>
  <c r="D36"/>
  <c r="C36"/>
  <c r="Z35"/>
  <c r="Y35"/>
  <c r="AA35" s="1"/>
  <c r="X35"/>
  <c r="W35"/>
  <c r="G35"/>
  <c r="D35"/>
  <c r="E35" s="1"/>
  <c r="C35"/>
  <c r="Z34"/>
  <c r="Y34"/>
  <c r="AA34" s="1"/>
  <c r="X34"/>
  <c r="W34"/>
  <c r="G34"/>
  <c r="F34"/>
  <c r="H34" s="1"/>
  <c r="D34"/>
  <c r="E34" s="1"/>
  <c r="C34"/>
  <c r="Z33"/>
  <c r="X33"/>
  <c r="W33"/>
  <c r="Y33" s="1"/>
  <c r="AA33" s="1"/>
  <c r="G33"/>
  <c r="C33"/>
  <c r="D33" s="1"/>
  <c r="Z32"/>
  <c r="X32"/>
  <c r="W32"/>
  <c r="Y32" s="1"/>
  <c r="AA32" s="1"/>
  <c r="G32"/>
  <c r="E32"/>
  <c r="D32"/>
  <c r="F32" s="1"/>
  <c r="H32" s="1"/>
  <c r="C32"/>
  <c r="Z31"/>
  <c r="X31"/>
  <c r="W31"/>
  <c r="Y31" s="1"/>
  <c r="AA31" s="1"/>
  <c r="G31"/>
  <c r="E31"/>
  <c r="D31"/>
  <c r="F31" s="1"/>
  <c r="H31" s="1"/>
  <c r="C31"/>
  <c r="Z30"/>
  <c r="Y30"/>
  <c r="AA30" s="1"/>
  <c r="X30"/>
  <c r="W30"/>
  <c r="G30"/>
  <c r="C30"/>
  <c r="D30" s="1"/>
  <c r="AA29"/>
  <c r="Z29"/>
  <c r="Y29"/>
  <c r="X29"/>
  <c r="W29"/>
  <c r="G29"/>
  <c r="C29"/>
  <c r="D29" s="1"/>
  <c r="Z28"/>
  <c r="X28"/>
  <c r="W28"/>
  <c r="Y28" s="1"/>
  <c r="AA28" s="1"/>
  <c r="H28"/>
  <c r="G28"/>
  <c r="F28"/>
  <c r="E28"/>
  <c r="D28"/>
  <c r="C28"/>
  <c r="Z27"/>
  <c r="X27"/>
  <c r="W27"/>
  <c r="Y27" s="1"/>
  <c r="AA27" s="1"/>
  <c r="G27"/>
  <c r="D27"/>
  <c r="F27" s="1"/>
  <c r="H27" s="1"/>
  <c r="C27"/>
  <c r="Z26"/>
  <c r="Y26"/>
  <c r="AA26" s="1"/>
  <c r="X26"/>
  <c r="W26"/>
  <c r="G26"/>
  <c r="D26"/>
  <c r="E26" s="1"/>
  <c r="C26"/>
  <c r="Z25"/>
  <c r="X25"/>
  <c r="W25"/>
  <c r="Y25" s="1"/>
  <c r="AA25" s="1"/>
  <c r="G25"/>
  <c r="C25"/>
  <c r="D25" s="1"/>
  <c r="Z24"/>
  <c r="X24"/>
  <c r="W24"/>
  <c r="Y24" s="1"/>
  <c r="AA24" s="1"/>
  <c r="H24"/>
  <c r="G24"/>
  <c r="F24"/>
  <c r="E24"/>
  <c r="D24"/>
  <c r="C24"/>
  <c r="Z23"/>
  <c r="X23"/>
  <c r="W23"/>
  <c r="Y23" s="1"/>
  <c r="AA23" s="1"/>
  <c r="G23"/>
  <c r="E23"/>
  <c r="D23"/>
  <c r="F23" s="1"/>
  <c r="H23" s="1"/>
  <c r="C23"/>
  <c r="Z22"/>
  <c r="Y22"/>
  <c r="AA22" s="1"/>
  <c r="X22"/>
  <c r="W22"/>
  <c r="G22"/>
  <c r="C22"/>
  <c r="D22" s="1"/>
  <c r="Z21"/>
  <c r="Y21"/>
  <c r="AA21" s="1"/>
  <c r="X21"/>
  <c r="W21"/>
  <c r="G21"/>
  <c r="C21"/>
  <c r="D21" s="1"/>
  <c r="Z20"/>
  <c r="X20"/>
  <c r="W20"/>
  <c r="Y20" s="1"/>
  <c r="AA20" s="1"/>
  <c r="G20"/>
  <c r="F20"/>
  <c r="H20" s="1"/>
  <c r="E20"/>
  <c r="D20"/>
  <c r="C20"/>
  <c r="Z19"/>
  <c r="Y19"/>
  <c r="AA19" s="1"/>
  <c r="X19"/>
  <c r="W19"/>
  <c r="G19"/>
  <c r="D19"/>
  <c r="E19" s="1"/>
  <c r="C19"/>
  <c r="Z18"/>
  <c r="Y18"/>
  <c r="AA18" s="1"/>
  <c r="X18"/>
  <c r="W18"/>
  <c r="G18"/>
  <c r="F18"/>
  <c r="H18" s="1"/>
  <c r="D18"/>
  <c r="E18" s="1"/>
  <c r="C18"/>
  <c r="Z17"/>
  <c r="X17"/>
  <c r="W17"/>
  <c r="Y17" s="1"/>
  <c r="AA17" s="1"/>
  <c r="G17"/>
  <c r="C17"/>
  <c r="D17" s="1"/>
  <c r="Z16"/>
  <c r="X16"/>
  <c r="W16"/>
  <c r="Y16" s="1"/>
  <c r="AA16" s="1"/>
  <c r="G16"/>
  <c r="E16"/>
  <c r="D16"/>
  <c r="F16" s="1"/>
  <c r="H16" s="1"/>
  <c r="C16"/>
  <c r="Z15"/>
  <c r="X15"/>
  <c r="W15"/>
  <c r="Y15" s="1"/>
  <c r="AA15" s="1"/>
  <c r="G15"/>
  <c r="E15"/>
  <c r="D15"/>
  <c r="F15" s="1"/>
  <c r="H15" s="1"/>
  <c r="C15"/>
  <c r="Z14"/>
  <c r="Y14"/>
  <c r="AA14" s="1"/>
  <c r="X14"/>
  <c r="W14"/>
  <c r="G14"/>
  <c r="C14"/>
  <c r="D14" s="1"/>
  <c r="AA13"/>
  <c r="Z13"/>
  <c r="Y13"/>
  <c r="X13"/>
  <c r="W13"/>
  <c r="G13"/>
  <c r="C13"/>
  <c r="D13" s="1"/>
  <c r="Z12"/>
  <c r="X12"/>
  <c r="W12"/>
  <c r="Y12" s="1"/>
  <c r="AA12" s="1"/>
  <c r="H12"/>
  <c r="G12"/>
  <c r="F12"/>
  <c r="E12"/>
  <c r="D12"/>
  <c r="C12"/>
  <c r="Z11"/>
  <c r="X11"/>
  <c r="W11"/>
  <c r="Y11" s="1"/>
  <c r="AA11" s="1"/>
  <c r="G11"/>
  <c r="D11"/>
  <c r="F11" s="1"/>
  <c r="H11" s="1"/>
  <c r="C11"/>
  <c r="Z10"/>
  <c r="Z40" s="1"/>
  <c r="Y10"/>
  <c r="AA10" s="1"/>
  <c r="X10"/>
  <c r="W10"/>
  <c r="G10"/>
  <c r="D10"/>
  <c r="E10" s="1"/>
  <c r="C10"/>
  <c r="Z9"/>
  <c r="X9"/>
  <c r="W9"/>
  <c r="Y9" s="1"/>
  <c r="AA9" s="1"/>
  <c r="AA40" s="1"/>
  <c r="G9"/>
  <c r="C9"/>
  <c r="D9" s="1"/>
  <c r="V40" i="8"/>
  <c r="U40"/>
  <c r="T40"/>
  <c r="S40"/>
  <c r="X40" s="1"/>
  <c r="R40"/>
  <c r="Q40"/>
  <c r="P40"/>
  <c r="O40"/>
  <c r="N40"/>
  <c r="M40"/>
  <c r="L40"/>
  <c r="K40"/>
  <c r="J40"/>
  <c r="W40" s="1"/>
  <c r="Y40" s="1"/>
  <c r="I40"/>
  <c r="Z39"/>
  <c r="X39"/>
  <c r="W39"/>
  <c r="Y39" s="1"/>
  <c r="AA39" s="1"/>
  <c r="G39"/>
  <c r="E39"/>
  <c r="D39"/>
  <c r="F39" s="1"/>
  <c r="H39" s="1"/>
  <c r="C39"/>
  <c r="Z38"/>
  <c r="Y38"/>
  <c r="AA38" s="1"/>
  <c r="X38"/>
  <c r="W38"/>
  <c r="G38"/>
  <c r="C38"/>
  <c r="D38" s="1"/>
  <c r="AA37"/>
  <c r="Z37"/>
  <c r="Y37"/>
  <c r="X37"/>
  <c r="W37"/>
  <c r="G37"/>
  <c r="C37"/>
  <c r="D37" s="1"/>
  <c r="Z36"/>
  <c r="X36"/>
  <c r="W36"/>
  <c r="Y36" s="1"/>
  <c r="AA36" s="1"/>
  <c r="H36"/>
  <c r="G36"/>
  <c r="F36"/>
  <c r="E36"/>
  <c r="D36"/>
  <c r="C36"/>
  <c r="Z35"/>
  <c r="X35"/>
  <c r="W35"/>
  <c r="Y35" s="1"/>
  <c r="AA35" s="1"/>
  <c r="G35"/>
  <c r="D35"/>
  <c r="F35" s="1"/>
  <c r="H35" s="1"/>
  <c r="C35"/>
  <c r="Z34"/>
  <c r="Y34"/>
  <c r="AA34" s="1"/>
  <c r="X34"/>
  <c r="W34"/>
  <c r="G34"/>
  <c r="D34"/>
  <c r="E34" s="1"/>
  <c r="C34"/>
  <c r="Z33"/>
  <c r="X33"/>
  <c r="W33"/>
  <c r="Y33" s="1"/>
  <c r="AA33" s="1"/>
  <c r="G33"/>
  <c r="C33"/>
  <c r="D33" s="1"/>
  <c r="Z32"/>
  <c r="X32"/>
  <c r="W32"/>
  <c r="Y32" s="1"/>
  <c r="AA32" s="1"/>
  <c r="G32"/>
  <c r="E32"/>
  <c r="D32"/>
  <c r="F32" s="1"/>
  <c r="H32" s="1"/>
  <c r="C32"/>
  <c r="Z31"/>
  <c r="X31"/>
  <c r="W31"/>
  <c r="Y31" s="1"/>
  <c r="AA31" s="1"/>
  <c r="G31"/>
  <c r="E31"/>
  <c r="D31"/>
  <c r="F31" s="1"/>
  <c r="H31" s="1"/>
  <c r="C31"/>
  <c r="Z30"/>
  <c r="Y30"/>
  <c r="AA30" s="1"/>
  <c r="X30"/>
  <c r="W30"/>
  <c r="G30"/>
  <c r="C30"/>
  <c r="D30" s="1"/>
  <c r="Z29"/>
  <c r="Y29"/>
  <c r="AA29" s="1"/>
  <c r="X29"/>
  <c r="W29"/>
  <c r="G29"/>
  <c r="C29"/>
  <c r="D29" s="1"/>
  <c r="Z28"/>
  <c r="X28"/>
  <c r="W28"/>
  <c r="Y28" s="1"/>
  <c r="AA28" s="1"/>
  <c r="G28"/>
  <c r="C28"/>
  <c r="D28" s="1"/>
  <c r="Z27"/>
  <c r="Y27"/>
  <c r="AA27" s="1"/>
  <c r="X27"/>
  <c r="W27"/>
  <c r="G27"/>
  <c r="D27"/>
  <c r="E27" s="1"/>
  <c r="C27"/>
  <c r="Z26"/>
  <c r="Y26"/>
  <c r="AA26" s="1"/>
  <c r="X26"/>
  <c r="W26"/>
  <c r="G26"/>
  <c r="F26"/>
  <c r="H26" s="1"/>
  <c r="D26"/>
  <c r="E26" s="1"/>
  <c r="C26"/>
  <c r="Z25"/>
  <c r="X25"/>
  <c r="W25"/>
  <c r="Y25" s="1"/>
  <c r="AA25" s="1"/>
  <c r="G25"/>
  <c r="C25"/>
  <c r="D25" s="1"/>
  <c r="Z24"/>
  <c r="X24"/>
  <c r="W24"/>
  <c r="Y24" s="1"/>
  <c r="AA24" s="1"/>
  <c r="G24"/>
  <c r="E24"/>
  <c r="D24"/>
  <c r="F24" s="1"/>
  <c r="H24" s="1"/>
  <c r="C24"/>
  <c r="Z23"/>
  <c r="X23"/>
  <c r="W23"/>
  <c r="Y23" s="1"/>
  <c r="AA23" s="1"/>
  <c r="G23"/>
  <c r="E23"/>
  <c r="D23"/>
  <c r="F23" s="1"/>
  <c r="H23" s="1"/>
  <c r="C23"/>
  <c r="Z22"/>
  <c r="Y22"/>
  <c r="AA22" s="1"/>
  <c r="X22"/>
  <c r="W22"/>
  <c r="G22"/>
  <c r="C22"/>
  <c r="D22" s="1"/>
  <c r="AA21"/>
  <c r="Z21"/>
  <c r="Y21"/>
  <c r="X21"/>
  <c r="W21"/>
  <c r="G21"/>
  <c r="C21"/>
  <c r="D21" s="1"/>
  <c r="Z20"/>
  <c r="X20"/>
  <c r="W20"/>
  <c r="Y20" s="1"/>
  <c r="AA20" s="1"/>
  <c r="H20"/>
  <c r="G20"/>
  <c r="F20"/>
  <c r="E20"/>
  <c r="D20"/>
  <c r="C20"/>
  <c r="Z19"/>
  <c r="X19"/>
  <c r="W19"/>
  <c r="Y19" s="1"/>
  <c r="AA19" s="1"/>
  <c r="H19"/>
  <c r="G19"/>
  <c r="F19"/>
  <c r="E19"/>
  <c r="D19"/>
  <c r="C19"/>
  <c r="Z18"/>
  <c r="Y18"/>
  <c r="AA18" s="1"/>
  <c r="X18"/>
  <c r="W18"/>
  <c r="G18"/>
  <c r="D18"/>
  <c r="E18" s="1"/>
  <c r="C18"/>
  <c r="Z17"/>
  <c r="X17"/>
  <c r="W17"/>
  <c r="Y17" s="1"/>
  <c r="AA17" s="1"/>
  <c r="G17"/>
  <c r="C17"/>
  <c r="D17" s="1"/>
  <c r="Z16"/>
  <c r="X16"/>
  <c r="W16"/>
  <c r="Y16" s="1"/>
  <c r="AA16" s="1"/>
  <c r="G16"/>
  <c r="E16"/>
  <c r="D16"/>
  <c r="F16" s="1"/>
  <c r="H16" s="1"/>
  <c r="C16"/>
  <c r="Z15"/>
  <c r="X15"/>
  <c r="W15"/>
  <c r="Y15" s="1"/>
  <c r="AA15" s="1"/>
  <c r="G15"/>
  <c r="E15"/>
  <c r="D15"/>
  <c r="F15" s="1"/>
  <c r="H15" s="1"/>
  <c r="C15"/>
  <c r="Z14"/>
  <c r="Y14"/>
  <c r="AA14" s="1"/>
  <c r="X14"/>
  <c r="W14"/>
  <c r="G14"/>
  <c r="C14"/>
  <c r="D14" s="1"/>
  <c r="Z13"/>
  <c r="Y13"/>
  <c r="AA13" s="1"/>
  <c r="X13"/>
  <c r="W13"/>
  <c r="G13"/>
  <c r="C13"/>
  <c r="D13" s="1"/>
  <c r="Z12"/>
  <c r="X12"/>
  <c r="W12"/>
  <c r="Y12" s="1"/>
  <c r="AA12" s="1"/>
  <c r="G12"/>
  <c r="C12"/>
  <c r="D12" s="1"/>
  <c r="Z11"/>
  <c r="Y11"/>
  <c r="AA11" s="1"/>
  <c r="X11"/>
  <c r="W11"/>
  <c r="G11"/>
  <c r="D11"/>
  <c r="E11" s="1"/>
  <c r="C11"/>
  <c r="Z10"/>
  <c r="Z40" s="1"/>
  <c r="Y10"/>
  <c r="AA10" s="1"/>
  <c r="X10"/>
  <c r="W10"/>
  <c r="G10"/>
  <c r="F10"/>
  <c r="H10" s="1"/>
  <c r="D10"/>
  <c r="E10" s="1"/>
  <c r="C10"/>
  <c r="Z9"/>
  <c r="X9"/>
  <c r="W9"/>
  <c r="Y9" s="1"/>
  <c r="AA9" s="1"/>
  <c r="H9"/>
  <c r="G9"/>
  <c r="F9"/>
  <c r="E9"/>
  <c r="D9"/>
  <c r="C9"/>
  <c r="V40" i="7"/>
  <c r="U40"/>
  <c r="T40"/>
  <c r="S40"/>
  <c r="R40"/>
  <c r="Q40"/>
  <c r="P40"/>
  <c r="X40" s="1"/>
  <c r="O40"/>
  <c r="N40"/>
  <c r="M40"/>
  <c r="L40"/>
  <c r="K40"/>
  <c r="J40"/>
  <c r="W40" s="1"/>
  <c r="Y40" s="1"/>
  <c r="I40"/>
  <c r="Z39"/>
  <c r="X39"/>
  <c r="W39"/>
  <c r="Y39" s="1"/>
  <c r="AA39" s="1"/>
  <c r="H39"/>
  <c r="G39"/>
  <c r="F39"/>
  <c r="E39"/>
  <c r="D39"/>
  <c r="C39"/>
  <c r="Z38"/>
  <c r="Y38"/>
  <c r="AA38" s="1"/>
  <c r="X38"/>
  <c r="W38"/>
  <c r="G38"/>
  <c r="C38"/>
  <c r="D38" s="1"/>
  <c r="Z37"/>
  <c r="Y37"/>
  <c r="AA37" s="1"/>
  <c r="X37"/>
  <c r="W37"/>
  <c r="G37"/>
  <c r="C37"/>
  <c r="D37" s="1"/>
  <c r="Z36"/>
  <c r="X36"/>
  <c r="W36"/>
  <c r="Y36" s="1"/>
  <c r="AA36" s="1"/>
  <c r="G36"/>
  <c r="C36"/>
  <c r="D36" s="1"/>
  <c r="Z35"/>
  <c r="Y35"/>
  <c r="AA35" s="1"/>
  <c r="X35"/>
  <c r="W35"/>
  <c r="G35"/>
  <c r="D35"/>
  <c r="E35" s="1"/>
  <c r="C35"/>
  <c r="Z34"/>
  <c r="Y34"/>
  <c r="AA34" s="1"/>
  <c r="X34"/>
  <c r="W34"/>
  <c r="G34"/>
  <c r="F34"/>
  <c r="H34" s="1"/>
  <c r="D34"/>
  <c r="E34" s="1"/>
  <c r="C34"/>
  <c r="Z33"/>
  <c r="X33"/>
  <c r="W33"/>
  <c r="Y33" s="1"/>
  <c r="AA33" s="1"/>
  <c r="G33"/>
  <c r="C33"/>
  <c r="D33" s="1"/>
  <c r="Z32"/>
  <c r="X32"/>
  <c r="W32"/>
  <c r="Y32" s="1"/>
  <c r="AA32" s="1"/>
  <c r="G32"/>
  <c r="E32"/>
  <c r="D32"/>
  <c r="F32" s="1"/>
  <c r="H32" s="1"/>
  <c r="C32"/>
  <c r="Z31"/>
  <c r="X31"/>
  <c r="W31"/>
  <c r="Y31" s="1"/>
  <c r="AA31" s="1"/>
  <c r="G31"/>
  <c r="E31"/>
  <c r="D31"/>
  <c r="F31" s="1"/>
  <c r="H31" s="1"/>
  <c r="C31"/>
  <c r="Z30"/>
  <c r="Y30"/>
  <c r="AA30" s="1"/>
  <c r="X30"/>
  <c r="W30"/>
  <c r="G30"/>
  <c r="C30"/>
  <c r="D30" s="1"/>
  <c r="AA29"/>
  <c r="Z29"/>
  <c r="Y29"/>
  <c r="X29"/>
  <c r="W29"/>
  <c r="G29"/>
  <c r="C29"/>
  <c r="D29" s="1"/>
  <c r="Z28"/>
  <c r="X28"/>
  <c r="W28"/>
  <c r="Y28" s="1"/>
  <c r="AA28" s="1"/>
  <c r="G28"/>
  <c r="C28"/>
  <c r="D28" s="1"/>
  <c r="Z27"/>
  <c r="X27"/>
  <c r="W27"/>
  <c r="Y27" s="1"/>
  <c r="AA27" s="1"/>
  <c r="G27"/>
  <c r="D27"/>
  <c r="F27" s="1"/>
  <c r="H27" s="1"/>
  <c r="C27"/>
  <c r="Z26"/>
  <c r="Y26"/>
  <c r="AA26" s="1"/>
  <c r="X26"/>
  <c r="W26"/>
  <c r="G26"/>
  <c r="D26"/>
  <c r="E26" s="1"/>
  <c r="C26"/>
  <c r="Z25"/>
  <c r="X25"/>
  <c r="W25"/>
  <c r="Y25" s="1"/>
  <c r="AA25" s="1"/>
  <c r="G25"/>
  <c r="C25"/>
  <c r="D25" s="1"/>
  <c r="Z24"/>
  <c r="X24"/>
  <c r="W24"/>
  <c r="Y24" s="1"/>
  <c r="AA24" s="1"/>
  <c r="G24"/>
  <c r="E24"/>
  <c r="D24"/>
  <c r="F24" s="1"/>
  <c r="H24" s="1"/>
  <c r="C24"/>
  <c r="Z23"/>
  <c r="X23"/>
  <c r="W23"/>
  <c r="Y23" s="1"/>
  <c r="AA23" s="1"/>
  <c r="G23"/>
  <c r="E23"/>
  <c r="D23"/>
  <c r="F23" s="1"/>
  <c r="H23" s="1"/>
  <c r="C23"/>
  <c r="Z22"/>
  <c r="Y22"/>
  <c r="AA22" s="1"/>
  <c r="X22"/>
  <c r="W22"/>
  <c r="G22"/>
  <c r="C22"/>
  <c r="D22" s="1"/>
  <c r="Z21"/>
  <c r="Y21"/>
  <c r="AA21" s="1"/>
  <c r="X21"/>
  <c r="W21"/>
  <c r="G21"/>
  <c r="C21"/>
  <c r="D21" s="1"/>
  <c r="Z20"/>
  <c r="X20"/>
  <c r="W20"/>
  <c r="Y20" s="1"/>
  <c r="AA20" s="1"/>
  <c r="G20"/>
  <c r="C20"/>
  <c r="D20" s="1"/>
  <c r="Z19"/>
  <c r="Y19"/>
  <c r="AA19" s="1"/>
  <c r="X19"/>
  <c r="W19"/>
  <c r="G19"/>
  <c r="D19"/>
  <c r="E19" s="1"/>
  <c r="C19"/>
  <c r="Z18"/>
  <c r="Y18"/>
  <c r="AA18" s="1"/>
  <c r="X18"/>
  <c r="W18"/>
  <c r="G18"/>
  <c r="F18"/>
  <c r="H18" s="1"/>
  <c r="D18"/>
  <c r="E18" s="1"/>
  <c r="C18"/>
  <c r="Z17"/>
  <c r="X17"/>
  <c r="W17"/>
  <c r="Y17" s="1"/>
  <c r="AA17" s="1"/>
  <c r="G17"/>
  <c r="C17"/>
  <c r="D17" s="1"/>
  <c r="Z16"/>
  <c r="X16"/>
  <c r="W16"/>
  <c r="Y16" s="1"/>
  <c r="AA16" s="1"/>
  <c r="G16"/>
  <c r="E16"/>
  <c r="D16"/>
  <c r="F16" s="1"/>
  <c r="H16" s="1"/>
  <c r="C16"/>
  <c r="Z15"/>
  <c r="X15"/>
  <c r="W15"/>
  <c r="Y15" s="1"/>
  <c r="AA15" s="1"/>
  <c r="G15"/>
  <c r="E15"/>
  <c r="D15"/>
  <c r="F15" s="1"/>
  <c r="H15" s="1"/>
  <c r="C15"/>
  <c r="Z14"/>
  <c r="Y14"/>
  <c r="AA14" s="1"/>
  <c r="X14"/>
  <c r="W14"/>
  <c r="G14"/>
  <c r="C14"/>
  <c r="D14" s="1"/>
  <c r="AA13"/>
  <c r="Z13"/>
  <c r="Y13"/>
  <c r="X13"/>
  <c r="W13"/>
  <c r="G13"/>
  <c r="C13"/>
  <c r="D13" s="1"/>
  <c r="Z12"/>
  <c r="X12"/>
  <c r="W12"/>
  <c r="Y12" s="1"/>
  <c r="AA12" s="1"/>
  <c r="H12"/>
  <c r="G12"/>
  <c r="F12"/>
  <c r="E12"/>
  <c r="D12"/>
  <c r="C12"/>
  <c r="Z11"/>
  <c r="X11"/>
  <c r="W11"/>
  <c r="Y11" s="1"/>
  <c r="AA11" s="1"/>
  <c r="G11"/>
  <c r="D11"/>
  <c r="F11" s="1"/>
  <c r="H11" s="1"/>
  <c r="C11"/>
  <c r="Z10"/>
  <c r="Z40" s="1"/>
  <c r="Y10"/>
  <c r="AA10" s="1"/>
  <c r="X10"/>
  <c r="W10"/>
  <c r="G10"/>
  <c r="D10"/>
  <c r="E10" s="1"/>
  <c r="C10"/>
  <c r="Z9"/>
  <c r="X9"/>
  <c r="W9"/>
  <c r="Y9" s="1"/>
  <c r="AA9" s="1"/>
  <c r="G9"/>
  <c r="C9"/>
  <c r="D9" s="1"/>
  <c r="V40" i="6"/>
  <c r="U40"/>
  <c r="T40"/>
  <c r="S40"/>
  <c r="X40" s="1"/>
  <c r="R40"/>
  <c r="Q40"/>
  <c r="P40"/>
  <c r="O40"/>
  <c r="N40"/>
  <c r="M40"/>
  <c r="L40"/>
  <c r="K40"/>
  <c r="J40"/>
  <c r="W40" s="1"/>
  <c r="Y40" s="1"/>
  <c r="I40"/>
  <c r="Z38"/>
  <c r="X38"/>
  <c r="W38"/>
  <c r="Y38" s="1"/>
  <c r="AA38" s="1"/>
  <c r="G38"/>
  <c r="E38"/>
  <c r="D38"/>
  <c r="F38" s="1"/>
  <c r="H38" s="1"/>
  <c r="C38"/>
  <c r="Z37"/>
  <c r="Y37"/>
  <c r="AA37" s="1"/>
  <c r="X37"/>
  <c r="W37"/>
  <c r="G37"/>
  <c r="C37"/>
  <c r="D37" s="1"/>
  <c r="AA36"/>
  <c r="Z36"/>
  <c r="Y36"/>
  <c r="X36"/>
  <c r="W36"/>
  <c r="G36"/>
  <c r="C36"/>
  <c r="D36" s="1"/>
  <c r="Z35"/>
  <c r="X35"/>
  <c r="W35"/>
  <c r="Y35" s="1"/>
  <c r="AA35" s="1"/>
  <c r="H35"/>
  <c r="G35"/>
  <c r="F35"/>
  <c r="E35"/>
  <c r="D35"/>
  <c r="C35"/>
  <c r="Z34"/>
  <c r="X34"/>
  <c r="W34"/>
  <c r="Y34" s="1"/>
  <c r="AA34" s="1"/>
  <c r="G34"/>
  <c r="D34"/>
  <c r="F34" s="1"/>
  <c r="H34" s="1"/>
  <c r="C34"/>
  <c r="Z33"/>
  <c r="Y33"/>
  <c r="AA33" s="1"/>
  <c r="X33"/>
  <c r="W33"/>
  <c r="G33"/>
  <c r="D33"/>
  <c r="E33" s="1"/>
  <c r="C33"/>
  <c r="Z32"/>
  <c r="X32"/>
  <c r="W32"/>
  <c r="Y32" s="1"/>
  <c r="AA32" s="1"/>
  <c r="G32"/>
  <c r="C32"/>
  <c r="D32" s="1"/>
  <c r="Z31"/>
  <c r="X31"/>
  <c r="W31"/>
  <c r="Y31" s="1"/>
  <c r="AA31" s="1"/>
  <c r="G31"/>
  <c r="E31"/>
  <c r="D31"/>
  <c r="F31" s="1"/>
  <c r="H31" s="1"/>
  <c r="C31"/>
  <c r="Z30"/>
  <c r="X30"/>
  <c r="W30"/>
  <c r="Y30" s="1"/>
  <c r="AA30" s="1"/>
  <c r="G30"/>
  <c r="E30"/>
  <c r="D30"/>
  <c r="F30" s="1"/>
  <c r="H30" s="1"/>
  <c r="C30"/>
  <c r="Z29"/>
  <c r="Y29"/>
  <c r="AA29" s="1"/>
  <c r="X29"/>
  <c r="W29"/>
  <c r="G29"/>
  <c r="C29"/>
  <c r="D29" s="1"/>
  <c r="Z28"/>
  <c r="Y28"/>
  <c r="AA28" s="1"/>
  <c r="X28"/>
  <c r="W28"/>
  <c r="G28"/>
  <c r="C28"/>
  <c r="D28" s="1"/>
  <c r="Z27"/>
  <c r="X27"/>
  <c r="W27"/>
  <c r="Y27" s="1"/>
  <c r="AA27" s="1"/>
  <c r="G27"/>
  <c r="C27"/>
  <c r="D27" s="1"/>
  <c r="Z26"/>
  <c r="Y26"/>
  <c r="AA26" s="1"/>
  <c r="X26"/>
  <c r="W26"/>
  <c r="G26"/>
  <c r="D26"/>
  <c r="E26" s="1"/>
  <c r="C26"/>
  <c r="Z25"/>
  <c r="Y25"/>
  <c r="AA25" s="1"/>
  <c r="X25"/>
  <c r="W25"/>
  <c r="G25"/>
  <c r="F25"/>
  <c r="H25" s="1"/>
  <c r="D25"/>
  <c r="E25" s="1"/>
  <c r="C25"/>
  <c r="Z24"/>
  <c r="X24"/>
  <c r="W24"/>
  <c r="Y24" s="1"/>
  <c r="AA24" s="1"/>
  <c r="G24"/>
  <c r="C24"/>
  <c r="D24" s="1"/>
  <c r="Z23"/>
  <c r="X23"/>
  <c r="W23"/>
  <c r="Y23" s="1"/>
  <c r="AA23" s="1"/>
  <c r="G23"/>
  <c r="E23"/>
  <c r="D23"/>
  <c r="F23" s="1"/>
  <c r="H23" s="1"/>
  <c r="C23"/>
  <c r="Z22"/>
  <c r="X22"/>
  <c r="W22"/>
  <c r="Y22" s="1"/>
  <c r="AA22" s="1"/>
  <c r="G22"/>
  <c r="E22"/>
  <c r="D22"/>
  <c r="F22" s="1"/>
  <c r="H22" s="1"/>
  <c r="C22"/>
  <c r="Z21"/>
  <c r="Y21"/>
  <c r="AA21" s="1"/>
  <c r="X21"/>
  <c r="W21"/>
  <c r="G21"/>
  <c r="C21"/>
  <c r="D21" s="1"/>
  <c r="AA20"/>
  <c r="Z20"/>
  <c r="Y20"/>
  <c r="X20"/>
  <c r="W20"/>
  <c r="G20"/>
  <c r="C20"/>
  <c r="D20" s="1"/>
  <c r="Z19"/>
  <c r="X19"/>
  <c r="W19"/>
  <c r="Y19" s="1"/>
  <c r="AA19" s="1"/>
  <c r="H19"/>
  <c r="G19"/>
  <c r="F19"/>
  <c r="E19"/>
  <c r="D19"/>
  <c r="C19"/>
  <c r="Z18"/>
  <c r="X18"/>
  <c r="W18"/>
  <c r="Y18" s="1"/>
  <c r="AA18" s="1"/>
  <c r="G18"/>
  <c r="D18"/>
  <c r="F18" s="1"/>
  <c r="H18" s="1"/>
  <c r="C18"/>
  <c r="Z17"/>
  <c r="Y17"/>
  <c r="AA17" s="1"/>
  <c r="X17"/>
  <c r="W17"/>
  <c r="G17"/>
  <c r="D17"/>
  <c r="E17" s="1"/>
  <c r="C17"/>
  <c r="Z16"/>
  <c r="X16"/>
  <c r="W16"/>
  <c r="Y16" s="1"/>
  <c r="AA16" s="1"/>
  <c r="G16"/>
  <c r="C16"/>
  <c r="D16" s="1"/>
  <c r="Z15"/>
  <c r="X15"/>
  <c r="W15"/>
  <c r="Y15" s="1"/>
  <c r="AA15" s="1"/>
  <c r="G15"/>
  <c r="E15"/>
  <c r="D15"/>
  <c r="F15" s="1"/>
  <c r="H15" s="1"/>
  <c r="C15"/>
  <c r="Z14"/>
  <c r="X14"/>
  <c r="W14"/>
  <c r="Y14" s="1"/>
  <c r="AA14" s="1"/>
  <c r="G14"/>
  <c r="E14"/>
  <c r="D14"/>
  <c r="F14" s="1"/>
  <c r="H14" s="1"/>
  <c r="C14"/>
  <c r="Z13"/>
  <c r="Y13"/>
  <c r="AA13" s="1"/>
  <c r="X13"/>
  <c r="W13"/>
  <c r="G13"/>
  <c r="C13"/>
  <c r="D13" s="1"/>
  <c r="Z12"/>
  <c r="Y12"/>
  <c r="AA12" s="1"/>
  <c r="X12"/>
  <c r="W12"/>
  <c r="G12"/>
  <c r="C12"/>
  <c r="D12" s="1"/>
  <c r="Z11"/>
  <c r="X11"/>
  <c r="W11"/>
  <c r="Y11" s="1"/>
  <c r="AA11" s="1"/>
  <c r="G11"/>
  <c r="C11"/>
  <c r="D11" s="1"/>
  <c r="Z10"/>
  <c r="X10"/>
  <c r="W10"/>
  <c r="Y10" s="1"/>
  <c r="AA10" s="1"/>
  <c r="G10"/>
  <c r="C10"/>
  <c r="D10" s="1"/>
  <c r="Z9"/>
  <c r="Z40" s="1"/>
  <c r="Y9"/>
  <c r="AA9" s="1"/>
  <c r="X9"/>
  <c r="W9"/>
  <c r="G9"/>
  <c r="D9"/>
  <c r="E9" s="1"/>
  <c r="C9"/>
  <c r="V40" i="5"/>
  <c r="U40"/>
  <c r="T40"/>
  <c r="S40"/>
  <c r="R40"/>
  <c r="Q40"/>
  <c r="P40"/>
  <c r="X40" s="1"/>
  <c r="O40"/>
  <c r="N40"/>
  <c r="M40"/>
  <c r="W40" s="1"/>
  <c r="L40"/>
  <c r="K40"/>
  <c r="J40"/>
  <c r="I40"/>
  <c r="Z39"/>
  <c r="X39"/>
  <c r="W39"/>
  <c r="Y39" s="1"/>
  <c r="AA39" s="1"/>
  <c r="G39"/>
  <c r="E39"/>
  <c r="D39"/>
  <c r="F39" s="1"/>
  <c r="H39" s="1"/>
  <c r="C39"/>
  <c r="Z38"/>
  <c r="X38"/>
  <c r="W38"/>
  <c r="Y38" s="1"/>
  <c r="AA38" s="1"/>
  <c r="G38"/>
  <c r="E38"/>
  <c r="D38"/>
  <c r="F38" s="1"/>
  <c r="H38" s="1"/>
  <c r="C38"/>
  <c r="Z37"/>
  <c r="Y37"/>
  <c r="AA37" s="1"/>
  <c r="X37"/>
  <c r="W37"/>
  <c r="G37"/>
  <c r="C37"/>
  <c r="D37" s="1"/>
  <c r="Z36"/>
  <c r="Y36"/>
  <c r="AA36" s="1"/>
  <c r="X36"/>
  <c r="W36"/>
  <c r="G36"/>
  <c r="C36"/>
  <c r="D36" s="1"/>
  <c r="Z35"/>
  <c r="X35"/>
  <c r="W35"/>
  <c r="Y35" s="1"/>
  <c r="AA35" s="1"/>
  <c r="G35"/>
  <c r="F35"/>
  <c r="H35" s="1"/>
  <c r="E35"/>
  <c r="D35"/>
  <c r="C35"/>
  <c r="Z34"/>
  <c r="X34"/>
  <c r="W34"/>
  <c r="Y34" s="1"/>
  <c r="AA34" s="1"/>
  <c r="G34"/>
  <c r="C34"/>
  <c r="D34" s="1"/>
  <c r="Z33"/>
  <c r="Y33"/>
  <c r="AA33" s="1"/>
  <c r="X33"/>
  <c r="W33"/>
  <c r="G33"/>
  <c r="D33"/>
  <c r="E33" s="1"/>
  <c r="C33"/>
  <c r="Z32"/>
  <c r="X32"/>
  <c r="W32"/>
  <c r="Y32" s="1"/>
  <c r="AA32" s="1"/>
  <c r="G32"/>
  <c r="C32"/>
  <c r="D32" s="1"/>
  <c r="Z31"/>
  <c r="X31"/>
  <c r="W31"/>
  <c r="Y31" s="1"/>
  <c r="AA31" s="1"/>
  <c r="G31"/>
  <c r="D31"/>
  <c r="E31" s="1"/>
  <c r="C31"/>
  <c r="Z30"/>
  <c r="X30"/>
  <c r="W30"/>
  <c r="Y30" s="1"/>
  <c r="AA30" s="1"/>
  <c r="G30"/>
  <c r="E30"/>
  <c r="D30"/>
  <c r="F30" s="1"/>
  <c r="H30" s="1"/>
  <c r="C30"/>
  <c r="Z29"/>
  <c r="X29"/>
  <c r="Y29" s="1"/>
  <c r="AA29" s="1"/>
  <c r="W29"/>
  <c r="G29"/>
  <c r="C29"/>
  <c r="D29" s="1"/>
  <c r="Z28"/>
  <c r="Y28"/>
  <c r="AA28" s="1"/>
  <c r="X28"/>
  <c r="W28"/>
  <c r="G28"/>
  <c r="C28"/>
  <c r="D28" s="1"/>
  <c r="Z27"/>
  <c r="X27"/>
  <c r="W27"/>
  <c r="Y27" s="1"/>
  <c r="AA27" s="1"/>
  <c r="G27"/>
  <c r="C27"/>
  <c r="D27" s="1"/>
  <c r="Z26"/>
  <c r="X26"/>
  <c r="W26"/>
  <c r="Y26" s="1"/>
  <c r="AA26" s="1"/>
  <c r="G26"/>
  <c r="D26"/>
  <c r="F26" s="1"/>
  <c r="H26" s="1"/>
  <c r="C26"/>
  <c r="Z25"/>
  <c r="Y25"/>
  <c r="AA25" s="1"/>
  <c r="X25"/>
  <c r="W25"/>
  <c r="G25"/>
  <c r="D25"/>
  <c r="E25" s="1"/>
  <c r="C25"/>
  <c r="Z24"/>
  <c r="X24"/>
  <c r="W24"/>
  <c r="Y24" s="1"/>
  <c r="AA24" s="1"/>
  <c r="G24"/>
  <c r="C24"/>
  <c r="D24" s="1"/>
  <c r="Z23"/>
  <c r="X23"/>
  <c r="W23"/>
  <c r="Y23" s="1"/>
  <c r="AA23" s="1"/>
  <c r="G23"/>
  <c r="E23"/>
  <c r="D23"/>
  <c r="F23" s="1"/>
  <c r="H23" s="1"/>
  <c r="C23"/>
  <c r="Z22"/>
  <c r="X22"/>
  <c r="W22"/>
  <c r="Y22" s="1"/>
  <c r="AA22" s="1"/>
  <c r="G22"/>
  <c r="E22"/>
  <c r="D22"/>
  <c r="F22" s="1"/>
  <c r="H22" s="1"/>
  <c r="C22"/>
  <c r="Z21"/>
  <c r="Y21"/>
  <c r="AA21" s="1"/>
  <c r="X21"/>
  <c r="W21"/>
  <c r="G21"/>
  <c r="C21"/>
  <c r="D21" s="1"/>
  <c r="Z20"/>
  <c r="Y20"/>
  <c r="AA20" s="1"/>
  <c r="X20"/>
  <c r="W20"/>
  <c r="G20"/>
  <c r="C20"/>
  <c r="D20" s="1"/>
  <c r="Z19"/>
  <c r="X19"/>
  <c r="W19"/>
  <c r="Y19" s="1"/>
  <c r="AA19" s="1"/>
  <c r="G19"/>
  <c r="F19"/>
  <c r="H19" s="1"/>
  <c r="E19"/>
  <c r="D19"/>
  <c r="C19"/>
  <c r="Z18"/>
  <c r="X18"/>
  <c r="W18"/>
  <c r="Y18" s="1"/>
  <c r="AA18" s="1"/>
  <c r="G18"/>
  <c r="C18"/>
  <c r="D18" s="1"/>
  <c r="Z17"/>
  <c r="Y17"/>
  <c r="AA17" s="1"/>
  <c r="X17"/>
  <c r="W17"/>
  <c r="G17"/>
  <c r="D17"/>
  <c r="E17" s="1"/>
  <c r="C17"/>
  <c r="Z16"/>
  <c r="X16"/>
  <c r="W16"/>
  <c r="Y16" s="1"/>
  <c r="AA16" s="1"/>
  <c r="G16"/>
  <c r="C16"/>
  <c r="D16" s="1"/>
  <c r="Z15"/>
  <c r="X15"/>
  <c r="W15"/>
  <c r="Y15" s="1"/>
  <c r="AA15" s="1"/>
  <c r="G15"/>
  <c r="D15"/>
  <c r="E15" s="1"/>
  <c r="C15"/>
  <c r="Z14"/>
  <c r="X14"/>
  <c r="W14"/>
  <c r="Y14" s="1"/>
  <c r="AA14" s="1"/>
  <c r="G14"/>
  <c r="E14"/>
  <c r="D14"/>
  <c r="F14" s="1"/>
  <c r="H14" s="1"/>
  <c r="C14"/>
  <c r="Z13"/>
  <c r="X13"/>
  <c r="Y13" s="1"/>
  <c r="AA13" s="1"/>
  <c r="W13"/>
  <c r="G13"/>
  <c r="C13"/>
  <c r="D13" s="1"/>
  <c r="Z12"/>
  <c r="Y12"/>
  <c r="AA12" s="1"/>
  <c r="X12"/>
  <c r="W12"/>
  <c r="G12"/>
  <c r="C12"/>
  <c r="D12" s="1"/>
  <c r="Z11"/>
  <c r="X11"/>
  <c r="W11"/>
  <c r="Y11" s="1"/>
  <c r="AA11" s="1"/>
  <c r="G11"/>
  <c r="C11"/>
  <c r="D11" s="1"/>
  <c r="Z10"/>
  <c r="X10"/>
  <c r="W10"/>
  <c r="Y10" s="1"/>
  <c r="AA10" s="1"/>
  <c r="G10"/>
  <c r="D10"/>
  <c r="F10" s="1"/>
  <c r="H10" s="1"/>
  <c r="C10"/>
  <c r="Z9"/>
  <c r="Z40" s="1"/>
  <c r="Y9"/>
  <c r="AA9" s="1"/>
  <c r="X9"/>
  <c r="W9"/>
  <c r="G9"/>
  <c r="D9"/>
  <c r="E9" s="1"/>
  <c r="C9"/>
  <c r="X40" i="4"/>
  <c r="V40"/>
  <c r="U40"/>
  <c r="T40"/>
  <c r="S40"/>
  <c r="R40"/>
  <c r="Q40"/>
  <c r="P40"/>
  <c r="O40"/>
  <c r="N40"/>
  <c r="M40"/>
  <c r="W40" s="1"/>
  <c r="Y40" s="1"/>
  <c r="L40"/>
  <c r="K40"/>
  <c r="J40"/>
  <c r="I40"/>
  <c r="Z38"/>
  <c r="X38"/>
  <c r="W38"/>
  <c r="Y38" s="1"/>
  <c r="AA38" s="1"/>
  <c r="G38"/>
  <c r="D38"/>
  <c r="E38" s="1"/>
  <c r="C38"/>
  <c r="Z37"/>
  <c r="X37"/>
  <c r="W37"/>
  <c r="Y37" s="1"/>
  <c r="AA37" s="1"/>
  <c r="G37"/>
  <c r="E37"/>
  <c r="D37"/>
  <c r="F37" s="1"/>
  <c r="H37" s="1"/>
  <c r="C37"/>
  <c r="Z36"/>
  <c r="X36"/>
  <c r="Y36" s="1"/>
  <c r="AA36" s="1"/>
  <c r="W36"/>
  <c r="G36"/>
  <c r="C36"/>
  <c r="D36" s="1"/>
  <c r="Z35"/>
  <c r="Y35"/>
  <c r="AA35" s="1"/>
  <c r="X35"/>
  <c r="W35"/>
  <c r="G35"/>
  <c r="C35"/>
  <c r="D35" s="1"/>
  <c r="Z34"/>
  <c r="X34"/>
  <c r="W34"/>
  <c r="Y34" s="1"/>
  <c r="AA34" s="1"/>
  <c r="G34"/>
  <c r="F34"/>
  <c r="H34" s="1"/>
  <c r="E34"/>
  <c r="D34"/>
  <c r="C34"/>
  <c r="Z33"/>
  <c r="X33"/>
  <c r="W33"/>
  <c r="Y33" s="1"/>
  <c r="AA33" s="1"/>
  <c r="G33"/>
  <c r="D33"/>
  <c r="F33" s="1"/>
  <c r="H33" s="1"/>
  <c r="C33"/>
  <c r="Z32"/>
  <c r="Y32"/>
  <c r="AA32" s="1"/>
  <c r="X32"/>
  <c r="W32"/>
  <c r="G32"/>
  <c r="D32"/>
  <c r="E32" s="1"/>
  <c r="C32"/>
  <c r="Z31"/>
  <c r="X31"/>
  <c r="W31"/>
  <c r="Y31" s="1"/>
  <c r="AA31" s="1"/>
  <c r="G31"/>
  <c r="C31"/>
  <c r="D31" s="1"/>
  <c r="Z30"/>
  <c r="X30"/>
  <c r="W30"/>
  <c r="Y30" s="1"/>
  <c r="AA30" s="1"/>
  <c r="G30"/>
  <c r="E30"/>
  <c r="D30"/>
  <c r="F30" s="1"/>
  <c r="H30" s="1"/>
  <c r="C30"/>
  <c r="Z29"/>
  <c r="X29"/>
  <c r="W29"/>
  <c r="Y29" s="1"/>
  <c r="AA29" s="1"/>
  <c r="G29"/>
  <c r="E29"/>
  <c r="D29"/>
  <c r="F29" s="1"/>
  <c r="H29" s="1"/>
  <c r="C29"/>
  <c r="Z28"/>
  <c r="Y28"/>
  <c r="AA28" s="1"/>
  <c r="X28"/>
  <c r="W28"/>
  <c r="G28"/>
  <c r="C28"/>
  <c r="D28" s="1"/>
  <c r="Z27"/>
  <c r="Y27"/>
  <c r="AA27" s="1"/>
  <c r="X27"/>
  <c r="W27"/>
  <c r="G27"/>
  <c r="C27"/>
  <c r="D27" s="1"/>
  <c r="Z26"/>
  <c r="X26"/>
  <c r="W26"/>
  <c r="Y26" s="1"/>
  <c r="AA26" s="1"/>
  <c r="G26"/>
  <c r="C26"/>
  <c r="D26" s="1"/>
  <c r="Z25"/>
  <c r="X25"/>
  <c r="W25"/>
  <c r="Y25" s="1"/>
  <c r="AA25" s="1"/>
  <c r="G25"/>
  <c r="C25"/>
  <c r="D25" s="1"/>
  <c r="Z24"/>
  <c r="Y24"/>
  <c r="AA24" s="1"/>
  <c r="X24"/>
  <c r="W24"/>
  <c r="G24"/>
  <c r="D24"/>
  <c r="E24" s="1"/>
  <c r="C24"/>
  <c r="Z23"/>
  <c r="X23"/>
  <c r="W23"/>
  <c r="Y23" s="1"/>
  <c r="AA23" s="1"/>
  <c r="G23"/>
  <c r="C23"/>
  <c r="D23" s="1"/>
  <c r="Z22"/>
  <c r="X22"/>
  <c r="W22"/>
  <c r="Y22" s="1"/>
  <c r="AA22" s="1"/>
  <c r="G22"/>
  <c r="D22"/>
  <c r="E22" s="1"/>
  <c r="C22"/>
  <c r="Z21"/>
  <c r="X21"/>
  <c r="W21"/>
  <c r="Y21" s="1"/>
  <c r="AA21" s="1"/>
  <c r="G21"/>
  <c r="E21"/>
  <c r="D21"/>
  <c r="F21" s="1"/>
  <c r="H21" s="1"/>
  <c r="C21"/>
  <c r="Z20"/>
  <c r="X20"/>
  <c r="Y20" s="1"/>
  <c r="AA20" s="1"/>
  <c r="W20"/>
  <c r="G20"/>
  <c r="C20"/>
  <c r="D20" s="1"/>
  <c r="Z19"/>
  <c r="Y19"/>
  <c r="AA19" s="1"/>
  <c r="X19"/>
  <c r="W19"/>
  <c r="G19"/>
  <c r="C19"/>
  <c r="D19" s="1"/>
  <c r="Z18"/>
  <c r="X18"/>
  <c r="W18"/>
  <c r="Y18" s="1"/>
  <c r="AA18" s="1"/>
  <c r="G18"/>
  <c r="C18"/>
  <c r="D18" s="1"/>
  <c r="Z17"/>
  <c r="X17"/>
  <c r="W17"/>
  <c r="Y17" s="1"/>
  <c r="AA17" s="1"/>
  <c r="G17"/>
  <c r="D17"/>
  <c r="F17" s="1"/>
  <c r="H17" s="1"/>
  <c r="C17"/>
  <c r="Z16"/>
  <c r="Y16"/>
  <c r="AA16" s="1"/>
  <c r="X16"/>
  <c r="W16"/>
  <c r="G16"/>
  <c r="D16"/>
  <c r="E16" s="1"/>
  <c r="C16"/>
  <c r="Z15"/>
  <c r="X15"/>
  <c r="W15"/>
  <c r="Y15" s="1"/>
  <c r="AA15" s="1"/>
  <c r="G15"/>
  <c r="C15"/>
  <c r="D15" s="1"/>
  <c r="Z14"/>
  <c r="X14"/>
  <c r="W14"/>
  <c r="Y14" s="1"/>
  <c r="AA14" s="1"/>
  <c r="G14"/>
  <c r="E14"/>
  <c r="D14"/>
  <c r="F14" s="1"/>
  <c r="H14" s="1"/>
  <c r="C14"/>
  <c r="Z13"/>
  <c r="X13"/>
  <c r="W13"/>
  <c r="Y13" s="1"/>
  <c r="AA13" s="1"/>
  <c r="G13"/>
  <c r="E13"/>
  <c r="D13"/>
  <c r="F13" s="1"/>
  <c r="H13" s="1"/>
  <c r="C13"/>
  <c r="Z12"/>
  <c r="Y12"/>
  <c r="AA12" s="1"/>
  <c r="X12"/>
  <c r="W12"/>
  <c r="G12"/>
  <c r="C12"/>
  <c r="D12" s="1"/>
  <c r="Z11"/>
  <c r="Y11"/>
  <c r="AA11" s="1"/>
  <c r="X11"/>
  <c r="W11"/>
  <c r="G11"/>
  <c r="C11"/>
  <c r="D11" s="1"/>
  <c r="Z10"/>
  <c r="X10"/>
  <c r="W10"/>
  <c r="Y10" s="1"/>
  <c r="AA10" s="1"/>
  <c r="G10"/>
  <c r="C10"/>
  <c r="D10" s="1"/>
  <c r="Z9"/>
  <c r="Z40" s="1"/>
  <c r="X9"/>
  <c r="W9"/>
  <c r="Y9" s="1"/>
  <c r="AA9" s="1"/>
  <c r="G9"/>
  <c r="C9"/>
  <c r="D9" s="1"/>
  <c r="V40" i="3"/>
  <c r="U40"/>
  <c r="T40"/>
  <c r="S40"/>
  <c r="R40"/>
  <c r="Q40"/>
  <c r="P40"/>
  <c r="X40" s="1"/>
  <c r="O40"/>
  <c r="N40"/>
  <c r="M40"/>
  <c r="L40"/>
  <c r="K40"/>
  <c r="J40"/>
  <c r="I40"/>
  <c r="W40" s="1"/>
  <c r="Z39"/>
  <c r="X39"/>
  <c r="W39"/>
  <c r="Y39" s="1"/>
  <c r="AA39" s="1"/>
  <c r="G39"/>
  <c r="C39"/>
  <c r="D39" s="1"/>
  <c r="Z38"/>
  <c r="X38"/>
  <c r="W38"/>
  <c r="Y38" s="1"/>
  <c r="AA38" s="1"/>
  <c r="G38"/>
  <c r="E38"/>
  <c r="D38"/>
  <c r="F38" s="1"/>
  <c r="H38" s="1"/>
  <c r="C38"/>
  <c r="Z37"/>
  <c r="X37"/>
  <c r="W37"/>
  <c r="Y37" s="1"/>
  <c r="AA37" s="1"/>
  <c r="G37"/>
  <c r="E37"/>
  <c r="D37"/>
  <c r="F37" s="1"/>
  <c r="H37" s="1"/>
  <c r="C37"/>
  <c r="Z36"/>
  <c r="Y36"/>
  <c r="AA36" s="1"/>
  <c r="X36"/>
  <c r="W36"/>
  <c r="G36"/>
  <c r="C36"/>
  <c r="D36" s="1"/>
  <c r="Z35"/>
  <c r="Y35"/>
  <c r="AA35" s="1"/>
  <c r="X35"/>
  <c r="W35"/>
  <c r="G35"/>
  <c r="C35"/>
  <c r="D35" s="1"/>
  <c r="Z34"/>
  <c r="X34"/>
  <c r="W34"/>
  <c r="Y34" s="1"/>
  <c r="AA34" s="1"/>
  <c r="G34"/>
  <c r="F34"/>
  <c r="H34" s="1"/>
  <c r="E34"/>
  <c r="D34"/>
  <c r="C34"/>
  <c r="Z33"/>
  <c r="X33"/>
  <c r="W33"/>
  <c r="Y33" s="1"/>
  <c r="AA33" s="1"/>
  <c r="G33"/>
  <c r="C33"/>
  <c r="D33" s="1"/>
  <c r="Z32"/>
  <c r="Y32"/>
  <c r="AA32" s="1"/>
  <c r="X32"/>
  <c r="W32"/>
  <c r="G32"/>
  <c r="D32"/>
  <c r="E32" s="1"/>
  <c r="C32"/>
  <c r="Z31"/>
  <c r="X31"/>
  <c r="W31"/>
  <c r="Y31" s="1"/>
  <c r="AA31" s="1"/>
  <c r="G31"/>
  <c r="C31"/>
  <c r="D31" s="1"/>
  <c r="Z30"/>
  <c r="X30"/>
  <c r="W30"/>
  <c r="Y30" s="1"/>
  <c r="AA30" s="1"/>
  <c r="G30"/>
  <c r="D30"/>
  <c r="E30" s="1"/>
  <c r="C30"/>
  <c r="Z29"/>
  <c r="X29"/>
  <c r="W29"/>
  <c r="Y29" s="1"/>
  <c r="AA29" s="1"/>
  <c r="G29"/>
  <c r="E29"/>
  <c r="D29"/>
  <c r="F29" s="1"/>
  <c r="H29" s="1"/>
  <c r="C29"/>
  <c r="Z28"/>
  <c r="X28"/>
  <c r="Y28" s="1"/>
  <c r="AA28" s="1"/>
  <c r="W28"/>
  <c r="G28"/>
  <c r="C28"/>
  <c r="D28" s="1"/>
  <c r="Z27"/>
  <c r="Y27"/>
  <c r="AA27" s="1"/>
  <c r="X27"/>
  <c r="W27"/>
  <c r="G27"/>
  <c r="C27"/>
  <c r="D27" s="1"/>
  <c r="Z26"/>
  <c r="X26"/>
  <c r="W26"/>
  <c r="Y26" s="1"/>
  <c r="AA26" s="1"/>
  <c r="G26"/>
  <c r="C26"/>
  <c r="D26" s="1"/>
  <c r="Z25"/>
  <c r="X25"/>
  <c r="W25"/>
  <c r="Y25" s="1"/>
  <c r="AA25" s="1"/>
  <c r="G25"/>
  <c r="D25"/>
  <c r="F25" s="1"/>
  <c r="H25" s="1"/>
  <c r="C25"/>
  <c r="Z24"/>
  <c r="Y24"/>
  <c r="AA24" s="1"/>
  <c r="X24"/>
  <c r="W24"/>
  <c r="G24"/>
  <c r="D24"/>
  <c r="E24" s="1"/>
  <c r="C24"/>
  <c r="Z23"/>
  <c r="X23"/>
  <c r="W23"/>
  <c r="Y23" s="1"/>
  <c r="AA23" s="1"/>
  <c r="G23"/>
  <c r="C23"/>
  <c r="D23" s="1"/>
  <c r="Z22"/>
  <c r="X22"/>
  <c r="W22"/>
  <c r="Y22" s="1"/>
  <c r="AA22" s="1"/>
  <c r="G22"/>
  <c r="E22"/>
  <c r="D22"/>
  <c r="F22" s="1"/>
  <c r="H22" s="1"/>
  <c r="C22"/>
  <c r="Z21"/>
  <c r="X21"/>
  <c r="W21"/>
  <c r="Y21" s="1"/>
  <c r="AA21" s="1"/>
  <c r="G21"/>
  <c r="E21"/>
  <c r="D21"/>
  <c r="F21" s="1"/>
  <c r="H21" s="1"/>
  <c r="C21"/>
  <c r="Z20"/>
  <c r="Y20"/>
  <c r="AA20" s="1"/>
  <c r="X20"/>
  <c r="W20"/>
  <c r="G20"/>
  <c r="C20"/>
  <c r="D20" s="1"/>
  <c r="Z19"/>
  <c r="Y19"/>
  <c r="AA19" s="1"/>
  <c r="X19"/>
  <c r="W19"/>
  <c r="G19"/>
  <c r="C19"/>
  <c r="D19" s="1"/>
  <c r="Z18"/>
  <c r="X18"/>
  <c r="W18"/>
  <c r="Y18" s="1"/>
  <c r="AA18" s="1"/>
  <c r="G18"/>
  <c r="F18"/>
  <c r="H18" s="1"/>
  <c r="E18"/>
  <c r="D18"/>
  <c r="C18"/>
  <c r="Z17"/>
  <c r="X17"/>
  <c r="W17"/>
  <c r="Y17" s="1"/>
  <c r="AA17" s="1"/>
  <c r="G17"/>
  <c r="C17"/>
  <c r="D17" s="1"/>
  <c r="Z16"/>
  <c r="Z40" s="1"/>
  <c r="Y16"/>
  <c r="AA16" s="1"/>
  <c r="X16"/>
  <c r="W16"/>
  <c r="G16"/>
  <c r="D16"/>
  <c r="E16" s="1"/>
  <c r="C16"/>
  <c r="Z15"/>
  <c r="X15"/>
  <c r="W15"/>
  <c r="Y15" s="1"/>
  <c r="AA15" s="1"/>
  <c r="G15"/>
  <c r="C15"/>
  <c r="D15" s="1"/>
  <c r="Z14"/>
  <c r="X14"/>
  <c r="W14"/>
  <c r="Y14" s="1"/>
  <c r="AA14" s="1"/>
  <c r="G14"/>
  <c r="D14"/>
  <c r="E14" s="1"/>
  <c r="C14"/>
  <c r="Z13"/>
  <c r="X13"/>
  <c r="W13"/>
  <c r="Y13" s="1"/>
  <c r="AA13" s="1"/>
  <c r="G13"/>
  <c r="E13"/>
  <c r="D13"/>
  <c r="F13" s="1"/>
  <c r="H13" s="1"/>
  <c r="C13"/>
  <c r="Z12"/>
  <c r="X12"/>
  <c r="Y12" s="1"/>
  <c r="AA12" s="1"/>
  <c r="W12"/>
  <c r="G12"/>
  <c r="C12"/>
  <c r="D12" s="1"/>
  <c r="Z11"/>
  <c r="Y11"/>
  <c r="AA11" s="1"/>
  <c r="X11"/>
  <c r="W11"/>
  <c r="G11"/>
  <c r="C11"/>
  <c r="D11" s="1"/>
  <c r="Z10"/>
  <c r="X10"/>
  <c r="W10"/>
  <c r="Y10" s="1"/>
  <c r="AA10" s="1"/>
  <c r="G10"/>
  <c r="F10"/>
  <c r="H10" s="1"/>
  <c r="E10"/>
  <c r="D10"/>
  <c r="C10"/>
  <c r="Z9"/>
  <c r="X9"/>
  <c r="W9"/>
  <c r="Y9" s="1"/>
  <c r="AA9" s="1"/>
  <c r="G9"/>
  <c r="D9"/>
  <c r="F9" s="1"/>
  <c r="H9" s="1"/>
  <c r="C9"/>
  <c r="V39" i="2"/>
  <c r="U39"/>
  <c r="T39"/>
  <c r="S39"/>
  <c r="R39"/>
  <c r="Q39"/>
  <c r="P39"/>
  <c r="X39" s="1"/>
  <c r="O39"/>
  <c r="N39"/>
  <c r="M39"/>
  <c r="L39"/>
  <c r="K39"/>
  <c r="J39"/>
  <c r="I39"/>
  <c r="W39" s="1"/>
  <c r="Y39" s="1"/>
  <c r="Z37"/>
  <c r="X37"/>
  <c r="W37"/>
  <c r="Y37" s="1"/>
  <c r="AA37" s="1"/>
  <c r="G37"/>
  <c r="F37"/>
  <c r="H37" s="1"/>
  <c r="D37"/>
  <c r="E37" s="1"/>
  <c r="C37"/>
  <c r="Z36"/>
  <c r="X36"/>
  <c r="W36"/>
  <c r="Y36" s="1"/>
  <c r="AA36" s="1"/>
  <c r="G36"/>
  <c r="D36"/>
  <c r="E36" s="1"/>
  <c r="C36"/>
  <c r="Z35"/>
  <c r="X35"/>
  <c r="W35"/>
  <c r="Y35" s="1"/>
  <c r="AA35" s="1"/>
  <c r="G35"/>
  <c r="E35"/>
  <c r="D35"/>
  <c r="F35" s="1"/>
  <c r="H35" s="1"/>
  <c r="C35"/>
  <c r="Z34"/>
  <c r="X34"/>
  <c r="Y34" s="1"/>
  <c r="AA34" s="1"/>
  <c r="W34"/>
  <c r="G34"/>
  <c r="C34"/>
  <c r="D34" s="1"/>
  <c r="Z33"/>
  <c r="Y33"/>
  <c r="AA33" s="1"/>
  <c r="X33"/>
  <c r="W33"/>
  <c r="G33"/>
  <c r="C33"/>
  <c r="D33" s="1"/>
  <c r="Z32"/>
  <c r="X32"/>
  <c r="W32"/>
  <c r="Y32" s="1"/>
  <c r="AA32" s="1"/>
  <c r="G32"/>
  <c r="F32"/>
  <c r="H32" s="1"/>
  <c r="E32"/>
  <c r="D32"/>
  <c r="C32"/>
  <c r="Z31"/>
  <c r="X31"/>
  <c r="W31"/>
  <c r="Y31" s="1"/>
  <c r="AA31" s="1"/>
  <c r="G31"/>
  <c r="D31"/>
  <c r="F31" s="1"/>
  <c r="H31" s="1"/>
  <c r="C31"/>
  <c r="Z30"/>
  <c r="Y30"/>
  <c r="AA30" s="1"/>
  <c r="X30"/>
  <c r="W30"/>
  <c r="G30"/>
  <c r="D30"/>
  <c r="E30" s="1"/>
  <c r="C30"/>
  <c r="Z29"/>
  <c r="X29"/>
  <c r="W29"/>
  <c r="Y29" s="1"/>
  <c r="AA29" s="1"/>
  <c r="G29"/>
  <c r="C29"/>
  <c r="D29" s="1"/>
  <c r="Z28"/>
  <c r="X28"/>
  <c r="W28"/>
  <c r="Y28" s="1"/>
  <c r="AA28" s="1"/>
  <c r="G28"/>
  <c r="E28"/>
  <c r="D28"/>
  <c r="F28" s="1"/>
  <c r="H28" s="1"/>
  <c r="C28"/>
  <c r="Z27"/>
  <c r="X27"/>
  <c r="W27"/>
  <c r="Y27" s="1"/>
  <c r="AA27" s="1"/>
  <c r="G27"/>
  <c r="E27"/>
  <c r="D27"/>
  <c r="F27" s="1"/>
  <c r="H27" s="1"/>
  <c r="C27"/>
  <c r="Z26"/>
  <c r="Y26"/>
  <c r="AA26" s="1"/>
  <c r="X26"/>
  <c r="W26"/>
  <c r="G26"/>
  <c r="C26"/>
  <c r="D26" s="1"/>
  <c r="Z25"/>
  <c r="Y25"/>
  <c r="AA25" s="1"/>
  <c r="X25"/>
  <c r="W25"/>
  <c r="G25"/>
  <c r="C25"/>
  <c r="D25" s="1"/>
  <c r="Z24"/>
  <c r="X24"/>
  <c r="W24"/>
  <c r="Y24" s="1"/>
  <c r="AA24" s="1"/>
  <c r="G24"/>
  <c r="C24"/>
  <c r="D24" s="1"/>
  <c r="Z23"/>
  <c r="X23"/>
  <c r="W23"/>
  <c r="Y23" s="1"/>
  <c r="AA23" s="1"/>
  <c r="G23"/>
  <c r="C23"/>
  <c r="D23" s="1"/>
  <c r="Z22"/>
  <c r="Y22"/>
  <c r="AA22" s="1"/>
  <c r="X22"/>
  <c r="W22"/>
  <c r="G22"/>
  <c r="D22"/>
  <c r="E22" s="1"/>
  <c r="C22"/>
  <c r="Z21"/>
  <c r="X21"/>
  <c r="W21"/>
  <c r="Y21" s="1"/>
  <c r="AA21" s="1"/>
  <c r="G21"/>
  <c r="F21"/>
  <c r="H21" s="1"/>
  <c r="D21"/>
  <c r="E21" s="1"/>
  <c r="C21"/>
  <c r="Z20"/>
  <c r="X20"/>
  <c r="W20"/>
  <c r="Y20" s="1"/>
  <c r="AA20" s="1"/>
  <c r="G20"/>
  <c r="D20"/>
  <c r="E20" s="1"/>
  <c r="C20"/>
  <c r="Z19"/>
  <c r="X19"/>
  <c r="Y19" s="1"/>
  <c r="AA19" s="1"/>
  <c r="W19"/>
  <c r="G19"/>
  <c r="E19"/>
  <c r="D19"/>
  <c r="F19" s="1"/>
  <c r="H19" s="1"/>
  <c r="C19"/>
  <c r="Z18"/>
  <c r="X18"/>
  <c r="Y18" s="1"/>
  <c r="AA18" s="1"/>
  <c r="W18"/>
  <c r="G18"/>
  <c r="C18"/>
  <c r="D18" s="1"/>
  <c r="Z17"/>
  <c r="Y17"/>
  <c r="AA17" s="1"/>
  <c r="X17"/>
  <c r="W17"/>
  <c r="G17"/>
  <c r="C17"/>
  <c r="D17" s="1"/>
  <c r="Z16"/>
  <c r="X16"/>
  <c r="W16"/>
  <c r="Y16" s="1"/>
  <c r="AA16" s="1"/>
  <c r="G16"/>
  <c r="F16"/>
  <c r="H16" s="1"/>
  <c r="E16"/>
  <c r="D16"/>
  <c r="C16"/>
  <c r="Z15"/>
  <c r="X15"/>
  <c r="W15"/>
  <c r="Y15" s="1"/>
  <c r="AA15" s="1"/>
  <c r="G15"/>
  <c r="D15"/>
  <c r="F15" s="1"/>
  <c r="H15" s="1"/>
  <c r="C15"/>
  <c r="Z14"/>
  <c r="Y14"/>
  <c r="AA14" s="1"/>
  <c r="X14"/>
  <c r="W14"/>
  <c r="G14"/>
  <c r="D14"/>
  <c r="E14" s="1"/>
  <c r="C14"/>
  <c r="Z13"/>
  <c r="X13"/>
  <c r="W13"/>
  <c r="Y13" s="1"/>
  <c r="AA13" s="1"/>
  <c r="G13"/>
  <c r="C13"/>
  <c r="D13" s="1"/>
  <c r="Z12"/>
  <c r="Z39" s="1"/>
  <c r="X12"/>
  <c r="W12"/>
  <c r="Y12" s="1"/>
  <c r="AA12" s="1"/>
  <c r="G12"/>
  <c r="E12"/>
  <c r="D12"/>
  <c r="F12" s="1"/>
  <c r="H12" s="1"/>
  <c r="C12"/>
  <c r="AA11"/>
  <c r="Z11"/>
  <c r="Y11"/>
  <c r="X11"/>
  <c r="W11"/>
  <c r="G11"/>
  <c r="E11"/>
  <c r="D11"/>
  <c r="F11" s="1"/>
  <c r="H11" s="1"/>
  <c r="C11"/>
  <c r="Z10"/>
  <c r="Y10"/>
  <c r="AA10" s="1"/>
  <c r="X10"/>
  <c r="W10"/>
  <c r="G10"/>
  <c r="C10"/>
  <c r="D10" s="1"/>
  <c r="Z9"/>
  <c r="Y9"/>
  <c r="AA9" s="1"/>
  <c r="X9"/>
  <c r="W9"/>
  <c r="H9"/>
  <c r="G9"/>
  <c r="F9"/>
  <c r="E9"/>
  <c r="D9"/>
  <c r="C9"/>
  <c r="V40" i="1"/>
  <c r="U40"/>
  <c r="T40"/>
  <c r="S40"/>
  <c r="R40"/>
  <c r="Q40"/>
  <c r="P40"/>
  <c r="X40" s="1"/>
  <c r="O40"/>
  <c r="N40"/>
  <c r="M40"/>
  <c r="L40"/>
  <c r="W40" s="1"/>
  <c r="K40"/>
  <c r="J40"/>
  <c r="I40"/>
  <c r="Z39"/>
  <c r="X39"/>
  <c r="W39"/>
  <c r="Y39" s="1"/>
  <c r="AA39" s="1"/>
  <c r="G39"/>
  <c r="D39"/>
  <c r="F39" s="1"/>
  <c r="H39" s="1"/>
  <c r="C39"/>
  <c r="Z38"/>
  <c r="Y38"/>
  <c r="AA38" s="1"/>
  <c r="X38"/>
  <c r="W38"/>
  <c r="G38"/>
  <c r="D38"/>
  <c r="E38" s="1"/>
  <c r="C38"/>
  <c r="Z37"/>
  <c r="X37"/>
  <c r="W37"/>
  <c r="Y37" s="1"/>
  <c r="AA37" s="1"/>
  <c r="G37"/>
  <c r="F37"/>
  <c r="H37" s="1"/>
  <c r="D37"/>
  <c r="E37" s="1"/>
  <c r="C37"/>
  <c r="Z36"/>
  <c r="X36"/>
  <c r="W36"/>
  <c r="Y36" s="1"/>
  <c r="AA36" s="1"/>
  <c r="G36"/>
  <c r="E36"/>
  <c r="D36"/>
  <c r="F36" s="1"/>
  <c r="H36" s="1"/>
  <c r="C36"/>
  <c r="Z35"/>
  <c r="X35"/>
  <c r="Y35" s="1"/>
  <c r="AA35" s="1"/>
  <c r="W35"/>
  <c r="G35"/>
  <c r="E35"/>
  <c r="D35"/>
  <c r="F35" s="1"/>
  <c r="H35" s="1"/>
  <c r="C35"/>
  <c r="Z34"/>
  <c r="Y34"/>
  <c r="AA34" s="1"/>
  <c r="X34"/>
  <c r="W34"/>
  <c r="G34"/>
  <c r="C34"/>
  <c r="D34" s="1"/>
  <c r="Z33"/>
  <c r="Y33"/>
  <c r="AA33" s="1"/>
  <c r="X33"/>
  <c r="W33"/>
  <c r="G33"/>
  <c r="C33"/>
  <c r="D33" s="1"/>
  <c r="Z32"/>
  <c r="X32"/>
  <c r="W32"/>
  <c r="Y32" s="1"/>
  <c r="AA32" s="1"/>
  <c r="G32"/>
  <c r="C32"/>
  <c r="D32" s="1"/>
  <c r="Z31"/>
  <c r="X31"/>
  <c r="W31"/>
  <c r="Y31" s="1"/>
  <c r="AA31" s="1"/>
  <c r="G31"/>
  <c r="C31"/>
  <c r="D31" s="1"/>
  <c r="Z30"/>
  <c r="Y30"/>
  <c r="AA30" s="1"/>
  <c r="X30"/>
  <c r="W30"/>
  <c r="G30"/>
  <c r="D30"/>
  <c r="E30" s="1"/>
  <c r="C30"/>
  <c r="Z29"/>
  <c r="X29"/>
  <c r="W29"/>
  <c r="Y29" s="1"/>
  <c r="AA29" s="1"/>
  <c r="G29"/>
  <c r="F29"/>
  <c r="H29" s="1"/>
  <c r="D29"/>
  <c r="E29" s="1"/>
  <c r="C29"/>
  <c r="Z28"/>
  <c r="X28"/>
  <c r="W28"/>
  <c r="Y28" s="1"/>
  <c r="AA28" s="1"/>
  <c r="G28"/>
  <c r="D28"/>
  <c r="E28" s="1"/>
  <c r="C28"/>
  <c r="Z27"/>
  <c r="X27"/>
  <c r="Y27" s="1"/>
  <c r="AA27" s="1"/>
  <c r="W27"/>
  <c r="G27"/>
  <c r="E27"/>
  <c r="D27"/>
  <c r="F27" s="1"/>
  <c r="H27" s="1"/>
  <c r="C27"/>
  <c r="Z26"/>
  <c r="X26"/>
  <c r="Y26" s="1"/>
  <c r="AA26" s="1"/>
  <c r="W26"/>
  <c r="G26"/>
  <c r="C26"/>
  <c r="D26" s="1"/>
  <c r="Z25"/>
  <c r="Y25"/>
  <c r="AA25" s="1"/>
  <c r="X25"/>
  <c r="W25"/>
  <c r="G25"/>
  <c r="C25"/>
  <c r="D25" s="1"/>
  <c r="Z24"/>
  <c r="X24"/>
  <c r="W24"/>
  <c r="Y24" s="1"/>
  <c r="AA24" s="1"/>
  <c r="G24"/>
  <c r="C24"/>
  <c r="D24" s="1"/>
  <c r="Z23"/>
  <c r="X23"/>
  <c r="W23"/>
  <c r="Y23" s="1"/>
  <c r="AA23" s="1"/>
  <c r="G23"/>
  <c r="D23"/>
  <c r="F23" s="1"/>
  <c r="H23" s="1"/>
  <c r="C23"/>
  <c r="Z22"/>
  <c r="Y22"/>
  <c r="AA22" s="1"/>
  <c r="X22"/>
  <c r="W22"/>
  <c r="G22"/>
  <c r="D22"/>
  <c r="E22" s="1"/>
  <c r="C22"/>
  <c r="Z21"/>
  <c r="X21"/>
  <c r="W21"/>
  <c r="Y21" s="1"/>
  <c r="AA21" s="1"/>
  <c r="G21"/>
  <c r="F21"/>
  <c r="H21" s="1"/>
  <c r="D21"/>
  <c r="E21" s="1"/>
  <c r="C21"/>
  <c r="Z20"/>
  <c r="X20"/>
  <c r="W20"/>
  <c r="Y20" s="1"/>
  <c r="AA20" s="1"/>
  <c r="G20"/>
  <c r="E20"/>
  <c r="D20"/>
  <c r="F20" s="1"/>
  <c r="H20" s="1"/>
  <c r="C20"/>
  <c r="Z19"/>
  <c r="X19"/>
  <c r="Y19" s="1"/>
  <c r="AA19" s="1"/>
  <c r="W19"/>
  <c r="G19"/>
  <c r="E19"/>
  <c r="D19"/>
  <c r="F19" s="1"/>
  <c r="H19" s="1"/>
  <c r="C19"/>
  <c r="Z18"/>
  <c r="Y18"/>
  <c r="AA18" s="1"/>
  <c r="X18"/>
  <c r="W18"/>
  <c r="G18"/>
  <c r="C18"/>
  <c r="D18" s="1"/>
  <c r="Z17"/>
  <c r="Y17"/>
  <c r="AA17" s="1"/>
  <c r="X17"/>
  <c r="W17"/>
  <c r="G17"/>
  <c r="C17"/>
  <c r="D17" s="1"/>
  <c r="Z16"/>
  <c r="X16"/>
  <c r="W16"/>
  <c r="Y16" s="1"/>
  <c r="AA16" s="1"/>
  <c r="G16"/>
  <c r="F16"/>
  <c r="H16" s="1"/>
  <c r="E16"/>
  <c r="D16"/>
  <c r="C16"/>
  <c r="Z15"/>
  <c r="X15"/>
  <c r="W15"/>
  <c r="Y15" s="1"/>
  <c r="AA15" s="1"/>
  <c r="G15"/>
  <c r="C15"/>
  <c r="D15" s="1"/>
  <c r="Z14"/>
  <c r="Y14"/>
  <c r="AA14" s="1"/>
  <c r="X14"/>
  <c r="W14"/>
  <c r="G14"/>
  <c r="D14"/>
  <c r="E14" s="1"/>
  <c r="C14"/>
  <c r="Z13"/>
  <c r="X13"/>
  <c r="W13"/>
  <c r="Y13" s="1"/>
  <c r="AA13" s="1"/>
  <c r="G13"/>
  <c r="F13"/>
  <c r="H13" s="1"/>
  <c r="E13"/>
  <c r="D13"/>
  <c r="C13"/>
  <c r="Z12"/>
  <c r="X12"/>
  <c r="W12"/>
  <c r="Y12" s="1"/>
  <c r="AA12" s="1"/>
  <c r="G12"/>
  <c r="D12"/>
  <c r="E12" s="1"/>
  <c r="C12"/>
  <c r="AA11"/>
  <c r="Z11"/>
  <c r="Y11"/>
  <c r="X11"/>
  <c r="W11"/>
  <c r="G11"/>
  <c r="E11"/>
  <c r="D11"/>
  <c r="F11" s="1"/>
  <c r="H11" s="1"/>
  <c r="C11"/>
  <c r="Z10"/>
  <c r="X10"/>
  <c r="Y10" s="1"/>
  <c r="AA10" s="1"/>
  <c r="W10"/>
  <c r="G10"/>
  <c r="C10"/>
  <c r="D10" s="1"/>
  <c r="Z9"/>
  <c r="Z40" s="1"/>
  <c r="Y9"/>
  <c r="AA9" s="1"/>
  <c r="X9"/>
  <c r="W9"/>
  <c r="G9"/>
  <c r="C9"/>
  <c r="D9" s="1"/>
  <c r="E11" i="3" l="1"/>
  <c r="F11"/>
  <c r="H11" s="1"/>
  <c r="E9" i="4"/>
  <c r="F9"/>
  <c r="H9" s="1"/>
  <c r="E12"/>
  <c r="F12"/>
  <c r="H12" s="1"/>
  <c r="E32" i="5"/>
  <c r="F32"/>
  <c r="H32" s="1"/>
  <c r="E36" i="6"/>
  <c r="F36"/>
  <c r="H36" s="1"/>
  <c r="E17" i="8"/>
  <c r="F17"/>
  <c r="H17" s="1"/>
  <c r="E23" i="10"/>
  <c r="F23"/>
  <c r="H23" s="1"/>
  <c r="E25" i="4"/>
  <c r="F25"/>
  <c r="H25" s="1"/>
  <c r="E28"/>
  <c r="F28"/>
  <c r="H28" s="1"/>
  <c r="E37" i="5"/>
  <c r="F37"/>
  <c r="H37" s="1"/>
  <c r="E17" i="9"/>
  <c r="F17"/>
  <c r="H17" s="1"/>
  <c r="E38"/>
  <c r="F38"/>
  <c r="H38" s="1"/>
  <c r="E11" i="10"/>
  <c r="F11"/>
  <c r="H11" s="1"/>
  <c r="E22" i="11"/>
  <c r="F22"/>
  <c r="H22" s="1"/>
  <c r="E39" i="12"/>
  <c r="F39"/>
  <c r="H39" s="1"/>
  <c r="AA39" i="2"/>
  <c r="AA40" i="8"/>
  <c r="AA40" i="11"/>
  <c r="E18" i="1"/>
  <c r="F18"/>
  <c r="H18" s="1"/>
  <c r="E16" i="5"/>
  <c r="F16"/>
  <c r="H16" s="1"/>
  <c r="E29"/>
  <c r="F29"/>
  <c r="H29" s="1"/>
  <c r="E21" i="6"/>
  <c r="F21"/>
  <c r="H21" s="1"/>
  <c r="E21" i="8"/>
  <c r="F21"/>
  <c r="H21" s="1"/>
  <c r="E38"/>
  <c r="F38"/>
  <c r="H38" s="1"/>
  <c r="E18" i="10"/>
  <c r="F18"/>
  <c r="H18" s="1"/>
  <c r="Y40"/>
  <c r="E26" i="3"/>
  <c r="F26"/>
  <c r="H26" s="1"/>
  <c r="E39"/>
  <c r="F39"/>
  <c r="H39" s="1"/>
  <c r="E35" i="4"/>
  <c r="F35"/>
  <c r="H35" s="1"/>
  <c r="E21" i="5"/>
  <c r="F21"/>
  <c r="H21" s="1"/>
  <c r="E11" i="6"/>
  <c r="F11"/>
  <c r="H11" s="1"/>
  <c r="E13" i="7"/>
  <c r="F13"/>
  <c r="H13" s="1"/>
  <c r="E28"/>
  <c r="F28"/>
  <c r="H28" s="1"/>
  <c r="E33"/>
  <c r="F33"/>
  <c r="H33" s="1"/>
  <c r="E28" i="8"/>
  <c r="F28"/>
  <c r="H28" s="1"/>
  <c r="E33" i="9"/>
  <c r="F33"/>
  <c r="H33" s="1"/>
  <c r="E30" i="10"/>
  <c r="F30"/>
  <c r="H30" s="1"/>
  <c r="E14" i="11"/>
  <c r="F14"/>
  <c r="H14" s="1"/>
  <c r="AA40" i="12"/>
  <c r="E24" i="2"/>
  <c r="F24"/>
  <c r="H24" s="1"/>
  <c r="E13" i="5"/>
  <c r="F13"/>
  <c r="H13" s="1"/>
  <c r="E34"/>
  <c r="F34"/>
  <c r="H34" s="1"/>
  <c r="E16" i="6"/>
  <c r="F16"/>
  <c r="H16" s="1"/>
  <c r="E20" i="7"/>
  <c r="F20"/>
  <c r="H20" s="1"/>
  <c r="E38"/>
  <c r="F38"/>
  <c r="H38" s="1"/>
  <c r="E14" i="8"/>
  <c r="F14"/>
  <c r="H14" s="1"/>
  <c r="E33"/>
  <c r="F33"/>
  <c r="H33" s="1"/>
  <c r="E34" i="11"/>
  <c r="F34"/>
  <c r="H34" s="1"/>
  <c r="E12" i="12"/>
  <c r="F12"/>
  <c r="H12" s="1"/>
  <c r="Y40" i="1"/>
  <c r="E15"/>
  <c r="F15"/>
  <c r="H15" s="1"/>
  <c r="E25"/>
  <c r="F25"/>
  <c r="H25" s="1"/>
  <c r="E33"/>
  <c r="F33"/>
  <c r="H33" s="1"/>
  <c r="E29" i="2"/>
  <c r="F29"/>
  <c r="H29" s="1"/>
  <c r="E34"/>
  <c r="F34"/>
  <c r="H34" s="1"/>
  <c r="E23" i="3"/>
  <c r="F23"/>
  <c r="H23" s="1"/>
  <c r="E19" i="4"/>
  <c r="F19"/>
  <c r="H19" s="1"/>
  <c r="E28" i="6"/>
  <c r="F28"/>
  <c r="H28" s="1"/>
  <c r="E25" i="7"/>
  <c r="F25"/>
  <c r="H25" s="1"/>
  <c r="E14" i="9"/>
  <c r="F14"/>
  <c r="H14" s="1"/>
  <c r="E21"/>
  <c r="F21"/>
  <c r="H21" s="1"/>
  <c r="E19" i="12"/>
  <c r="F19"/>
  <c r="H19" s="1"/>
  <c r="E24"/>
  <c r="F24"/>
  <c r="H24" s="1"/>
  <c r="E31"/>
  <c r="F31"/>
  <c r="H31" s="1"/>
  <c r="E31" i="3"/>
  <c r="F31"/>
  <c r="H31" s="1"/>
  <c r="E11" i="4"/>
  <c r="F11"/>
  <c r="H11" s="1"/>
  <c r="E18" i="5"/>
  <c r="F18"/>
  <c r="H18" s="1"/>
  <c r="E10" i="10"/>
  <c r="F10"/>
  <c r="H10" s="1"/>
  <c r="E15"/>
  <c r="F15"/>
  <c r="H15" s="1"/>
  <c r="E19" i="11"/>
  <c r="F19"/>
  <c r="H19" s="1"/>
  <c r="E36" i="3"/>
  <c r="F36"/>
  <c r="H36" s="1"/>
  <c r="E27" i="4"/>
  <c r="F27"/>
  <c r="H27" s="1"/>
  <c r="E36" i="5"/>
  <c r="F36"/>
  <c r="H36" s="1"/>
  <c r="E30" i="7"/>
  <c r="F30"/>
  <c r="H30" s="1"/>
  <c r="E25" i="8"/>
  <c r="F25"/>
  <c r="H25" s="1"/>
  <c r="E9" i="9"/>
  <c r="F9"/>
  <c r="H9" s="1"/>
  <c r="E30"/>
  <c r="F30"/>
  <c r="H30" s="1"/>
  <c r="E37"/>
  <c r="F37"/>
  <c r="H37" s="1"/>
  <c r="E22" i="10"/>
  <c r="F22"/>
  <c r="H22" s="1"/>
  <c r="E26" i="11"/>
  <c r="F26"/>
  <c r="H26" s="1"/>
  <c r="E31"/>
  <c r="F31"/>
  <c r="H31" s="1"/>
  <c r="E36" i="12"/>
  <c r="F36"/>
  <c r="H36" s="1"/>
  <c r="AA40" i="5"/>
  <c r="E10" i="1"/>
  <c r="F10"/>
  <c r="H10" s="1"/>
  <c r="E17"/>
  <c r="F17"/>
  <c r="H17" s="1"/>
  <c r="E15" i="3"/>
  <c r="F15"/>
  <c r="H15" s="1"/>
  <c r="E28"/>
  <c r="F28"/>
  <c r="H28" s="1"/>
  <c r="E28" i="5"/>
  <c r="F28"/>
  <c r="H28" s="1"/>
  <c r="E10" i="6"/>
  <c r="F10"/>
  <c r="H10" s="1"/>
  <c r="E13"/>
  <c r="F13"/>
  <c r="H13" s="1"/>
  <c r="E17" i="7"/>
  <c r="F17"/>
  <c r="H17" s="1"/>
  <c r="E30" i="8"/>
  <c r="F30"/>
  <c r="H30" s="1"/>
  <c r="E27" i="10"/>
  <c r="F27"/>
  <c r="H27" s="1"/>
  <c r="E13" i="2"/>
  <c r="F13"/>
  <c r="H13" s="1"/>
  <c r="E18"/>
  <c r="F18"/>
  <c r="H18" s="1"/>
  <c r="E23"/>
  <c r="F23"/>
  <c r="H23" s="1"/>
  <c r="E26"/>
  <c r="F26"/>
  <c r="H26" s="1"/>
  <c r="E20" i="3"/>
  <c r="F20"/>
  <c r="H20" s="1"/>
  <c r="E20" i="5"/>
  <c r="F20"/>
  <c r="H20" s="1"/>
  <c r="E20" i="6"/>
  <c r="F20"/>
  <c r="H20" s="1"/>
  <c r="E37"/>
  <c r="F37"/>
  <c r="H37" s="1"/>
  <c r="E22" i="7"/>
  <c r="F22"/>
  <c r="H22" s="1"/>
  <c r="E37" i="8"/>
  <c r="F37"/>
  <c r="H37" s="1"/>
  <c r="E25" i="9"/>
  <c r="F25"/>
  <c r="H25" s="1"/>
  <c r="E34" i="10"/>
  <c r="F34"/>
  <c r="H34" s="1"/>
  <c r="E39"/>
  <c r="F39"/>
  <c r="H39" s="1"/>
  <c r="E11" i="12"/>
  <c r="F11"/>
  <c r="H11" s="1"/>
  <c r="E16"/>
  <c r="F16"/>
  <c r="H16" s="1"/>
  <c r="Y40" i="5"/>
  <c r="AA40" i="10"/>
  <c r="E24" i="1"/>
  <c r="F24"/>
  <c r="H24" s="1"/>
  <c r="E32"/>
  <c r="F32"/>
  <c r="H32" s="1"/>
  <c r="E12" i="3"/>
  <c r="F12"/>
  <c r="H12" s="1"/>
  <c r="E33"/>
  <c r="F33"/>
  <c r="H33" s="1"/>
  <c r="E18" i="4"/>
  <c r="F18"/>
  <c r="H18" s="1"/>
  <c r="E12" i="5"/>
  <c r="F12"/>
  <c r="H12" s="1"/>
  <c r="E27" i="6"/>
  <c r="F27"/>
  <c r="H27" s="1"/>
  <c r="E37" i="7"/>
  <c r="F37"/>
  <c r="H37" s="1"/>
  <c r="E13" i="8"/>
  <c r="F13"/>
  <c r="H13" s="1"/>
  <c r="E38" i="11"/>
  <c r="F38"/>
  <c r="H38" s="1"/>
  <c r="E23" i="12"/>
  <c r="F23"/>
  <c r="H23" s="1"/>
  <c r="E28"/>
  <c r="F28"/>
  <c r="H28" s="1"/>
  <c r="AA40" i="1"/>
  <c r="AA40" i="6"/>
  <c r="Y40" i="9"/>
  <c r="E33" i="2"/>
  <c r="F33"/>
  <c r="H33" s="1"/>
  <c r="E10" i="4"/>
  <c r="F10"/>
  <c r="H10" s="1"/>
  <c r="E32" i="6"/>
  <c r="F32"/>
  <c r="H32" s="1"/>
  <c r="E22" i="8"/>
  <c r="F22"/>
  <c r="H22" s="1"/>
  <c r="E18" i="11"/>
  <c r="F18"/>
  <c r="H18" s="1"/>
  <c r="E23"/>
  <c r="F23"/>
  <c r="H23" s="1"/>
  <c r="AA40" i="3"/>
  <c r="E17"/>
  <c r="F17"/>
  <c r="H17" s="1"/>
  <c r="E15" i="4"/>
  <c r="F15"/>
  <c r="H15" s="1"/>
  <c r="E26"/>
  <c r="F26"/>
  <c r="H26" s="1"/>
  <c r="E14" i="7"/>
  <c r="F14"/>
  <c r="H14" s="1"/>
  <c r="E13" i="9"/>
  <c r="F13"/>
  <c r="H13" s="1"/>
  <c r="E14" i="10"/>
  <c r="F14"/>
  <c r="H14" s="1"/>
  <c r="E30" i="11"/>
  <c r="F30"/>
  <c r="H30" s="1"/>
  <c r="E35" i="12"/>
  <c r="F35"/>
  <c r="H35" s="1"/>
  <c r="AA40" i="7"/>
  <c r="E35" i="3"/>
  <c r="F35"/>
  <c r="H35" s="1"/>
  <c r="E23" i="4"/>
  <c r="F23"/>
  <c r="H23" s="1"/>
  <c r="E31"/>
  <c r="F31"/>
  <c r="H31" s="1"/>
  <c r="E36"/>
  <c r="F36"/>
  <c r="H36" s="1"/>
  <c r="E27" i="5"/>
  <c r="F27"/>
  <c r="H27" s="1"/>
  <c r="E26" i="10"/>
  <c r="F26"/>
  <c r="H26" s="1"/>
  <c r="E31"/>
  <c r="F31"/>
  <c r="H31" s="1"/>
  <c r="E9" i="1"/>
  <c r="F9"/>
  <c r="H9" s="1"/>
  <c r="E27" i="3"/>
  <c r="F27"/>
  <c r="H27" s="1"/>
  <c r="E12" i="6"/>
  <c r="F12"/>
  <c r="H12" s="1"/>
  <c r="E24"/>
  <c r="F24"/>
  <c r="H24" s="1"/>
  <c r="E9" i="7"/>
  <c r="F9"/>
  <c r="H9" s="1"/>
  <c r="E29"/>
  <c r="F29"/>
  <c r="H29" s="1"/>
  <c r="E29" i="8"/>
  <c r="F29"/>
  <c r="H29" s="1"/>
  <c r="E29" i="9"/>
  <c r="F29"/>
  <c r="H29" s="1"/>
  <c r="E38" i="10"/>
  <c r="F38"/>
  <c r="H38" s="1"/>
  <c r="E10" i="11"/>
  <c r="F10"/>
  <c r="H10" s="1"/>
  <c r="E15"/>
  <c r="F15"/>
  <c r="H15" s="1"/>
  <c r="Y40" i="3"/>
  <c r="AA40" i="4"/>
  <c r="E26" i="1"/>
  <c r="F26"/>
  <c r="H26" s="1"/>
  <c r="E31"/>
  <c r="F31"/>
  <c r="H31" s="1"/>
  <c r="E34"/>
  <c r="F34"/>
  <c r="H34" s="1"/>
  <c r="E10" i="2"/>
  <c r="F10"/>
  <c r="H10" s="1"/>
  <c r="E17"/>
  <c r="F17"/>
  <c r="H17" s="1"/>
  <c r="E25"/>
  <c r="F25"/>
  <c r="H25" s="1"/>
  <c r="E19" i="3"/>
  <c r="F19"/>
  <c r="H19" s="1"/>
  <c r="E20" i="4"/>
  <c r="F20"/>
  <c r="H20" s="1"/>
  <c r="E11" i="5"/>
  <c r="F11"/>
  <c r="H11" s="1"/>
  <c r="E24"/>
  <c r="F24"/>
  <c r="H24" s="1"/>
  <c r="E29" i="6"/>
  <c r="F29"/>
  <c r="H29" s="1"/>
  <c r="E21" i="7"/>
  <c r="F21"/>
  <c r="H21" s="1"/>
  <c r="E36"/>
  <c r="F36"/>
  <c r="H36" s="1"/>
  <c r="E12" i="8"/>
  <c r="F12"/>
  <c r="H12" s="1"/>
  <c r="E22" i="9"/>
  <c r="F22"/>
  <c r="H22" s="1"/>
  <c r="E35" i="11"/>
  <c r="F35"/>
  <c r="H35" s="1"/>
  <c r="E15" i="12"/>
  <c r="F15"/>
  <c r="H15" s="1"/>
  <c r="E27"/>
  <c r="F27"/>
  <c r="H27" s="1"/>
  <c r="E32"/>
  <c r="F32"/>
  <c r="H32" s="1"/>
  <c r="E23" i="1"/>
  <c r="E39"/>
  <c r="E15" i="2"/>
  <c r="E31"/>
  <c r="E9" i="3"/>
  <c r="E25"/>
  <c r="E17" i="4"/>
  <c r="E33"/>
  <c r="E10" i="5"/>
  <c r="E26"/>
  <c r="E18" i="6"/>
  <c r="E34"/>
  <c r="E11" i="7"/>
  <c r="E27"/>
  <c r="E35" i="8"/>
  <c r="E11" i="9"/>
  <c r="E27"/>
  <c r="E20" i="10"/>
  <c r="E36"/>
  <c r="E12" i="11"/>
  <c r="E28"/>
  <c r="E21" i="12"/>
  <c r="F34"/>
  <c r="H34" s="1"/>
  <c r="E37"/>
  <c r="F14" i="1"/>
  <c r="H14" s="1"/>
  <c r="F30"/>
  <c r="H30" s="1"/>
  <c r="F22" i="2"/>
  <c r="H22" s="1"/>
  <c r="F16" i="3"/>
  <c r="H16" s="1"/>
  <c r="F32"/>
  <c r="H32" s="1"/>
  <c r="F24" i="4"/>
  <c r="H24" s="1"/>
  <c r="F17" i="5"/>
  <c r="H17" s="1"/>
  <c r="F33"/>
  <c r="H33" s="1"/>
  <c r="F9" i="6"/>
  <c r="H9" s="1"/>
  <c r="F24" i="10"/>
  <c r="H24" s="1"/>
  <c r="F16" i="11"/>
  <c r="H16" s="1"/>
  <c r="F32"/>
  <c r="H32" s="1"/>
  <c r="F9" i="12"/>
  <c r="H9" s="1"/>
  <c r="F26" i="6"/>
  <c r="H26" s="1"/>
  <c r="F19" i="7"/>
  <c r="H19" s="1"/>
  <c r="F35"/>
  <c r="H35" s="1"/>
  <c r="F11" i="8"/>
  <c r="H11" s="1"/>
  <c r="F27"/>
  <c r="H27" s="1"/>
  <c r="F19" i="9"/>
  <c r="H19" s="1"/>
  <c r="F35"/>
  <c r="H35" s="1"/>
  <c r="F12" i="10"/>
  <c r="H12" s="1"/>
  <c r="F28"/>
  <c r="H28" s="1"/>
  <c r="F20" i="11"/>
  <c r="H20" s="1"/>
  <c r="F36"/>
  <c r="H36" s="1"/>
  <c r="F13" i="12"/>
  <c r="H13" s="1"/>
  <c r="F29"/>
  <c r="H29" s="1"/>
  <c r="F12" i="1"/>
  <c r="H12" s="1"/>
  <c r="F28"/>
  <c r="H28" s="1"/>
  <c r="F20" i="2"/>
  <c r="H20" s="1"/>
  <c r="F36"/>
  <c r="H36" s="1"/>
  <c r="F14" i="3"/>
  <c r="H14" s="1"/>
  <c r="F30"/>
  <c r="H30" s="1"/>
  <c r="F22" i="4"/>
  <c r="H22" s="1"/>
  <c r="F38"/>
  <c r="H38" s="1"/>
  <c r="F15" i="5"/>
  <c r="H15" s="1"/>
  <c r="F31"/>
  <c r="H31" s="1"/>
  <c r="F22" i="1"/>
  <c r="H22" s="1"/>
  <c r="F38"/>
  <c r="H38" s="1"/>
  <c r="F14" i="2"/>
  <c r="H14" s="1"/>
  <c r="F30"/>
  <c r="H30" s="1"/>
  <c r="F24" i="3"/>
  <c r="H24" s="1"/>
  <c r="F16" i="4"/>
  <c r="H16" s="1"/>
  <c r="F32"/>
  <c r="H32" s="1"/>
  <c r="F9" i="5"/>
  <c r="H9" s="1"/>
  <c r="F25"/>
  <c r="H25" s="1"/>
  <c r="F17" i="6"/>
  <c r="H17" s="1"/>
  <c r="F33"/>
  <c r="H33" s="1"/>
  <c r="F10" i="7"/>
  <c r="H10" s="1"/>
  <c r="F26"/>
  <c r="H26" s="1"/>
  <c r="F18" i="8"/>
  <c r="H18" s="1"/>
  <c r="F34"/>
  <c r="H34" s="1"/>
  <c r="F10" i="9"/>
  <c r="H10" s="1"/>
  <c r="F26"/>
  <c r="H26" s="1"/>
  <c r="F19" i="10"/>
  <c r="H19" s="1"/>
  <c r="F35"/>
  <c r="H35" s="1"/>
  <c r="F11" i="11"/>
  <c r="H11" s="1"/>
  <c r="F27"/>
  <c r="H27" s="1"/>
  <c r="F20" i="12"/>
  <c r="H20" s="1"/>
</calcChain>
</file>

<file path=xl/sharedStrings.xml><?xml version="1.0" encoding="utf-8"?>
<sst xmlns="http://schemas.openxmlformats.org/spreadsheetml/2006/main" count="782" uniqueCount="76">
  <si>
    <t>JANEIRO DE 2024</t>
  </si>
  <si>
    <t xml:space="preserve">                     INSTITUTO   ASTRONÔMICO   E   GEOFÍSICO   DA   UNIVERSIDADE   DE   SÃO   PAULO</t>
  </si>
  <si>
    <t>Atualização: Sergio 2021; Edvaldo Gomes 2023</t>
  </si>
  <si>
    <t>(digitado por  Pety )</t>
  </si>
  <si>
    <t>(digitado por Pety  )</t>
  </si>
  <si>
    <t xml:space="preserve">(Planilha verificada por Edvaldo Gomes )  </t>
  </si>
  <si>
    <t xml:space="preserve">    DADOS  RELATIVOS  À  IRRADIAÇÃO  SOLAR  GLOBAL  E  À  DURAÇÃO  DO  BRILHO  SOLAR</t>
  </si>
  <si>
    <t>(Planilha verificada por  Edvaldo Gomes  )</t>
  </si>
  <si>
    <t>DIA</t>
  </si>
  <si>
    <t xml:space="preserve">                 IRRADIAÇÃO  SOLAR  GLOBAL</t>
  </si>
  <si>
    <t xml:space="preserve">   DURAÇÃO  DO  BRILHO  SOLAR</t>
  </si>
  <si>
    <t>área</t>
  </si>
  <si>
    <t>fator</t>
  </si>
  <si>
    <t>total</t>
  </si>
  <si>
    <t>estimativa</t>
  </si>
  <si>
    <t>topo da</t>
  </si>
  <si>
    <t>transmissão</t>
  </si>
  <si>
    <t>duração</t>
  </si>
  <si>
    <t>insolação</t>
  </si>
  <si>
    <t>média</t>
  </si>
  <si>
    <t>diário de</t>
  </si>
  <si>
    <t>diário</t>
  </si>
  <si>
    <t>piranômetro</t>
  </si>
  <si>
    <t>atmosfera</t>
  </si>
  <si>
    <t>global</t>
  </si>
  <si>
    <t xml:space="preserve">                duração  horária  (horas)</t>
  </si>
  <si>
    <t>totais  (horas)</t>
  </si>
  <si>
    <t>teórica (hs)</t>
  </si>
  <si>
    <t>relativa (%)</t>
  </si>
  <si>
    <t>(cm2)</t>
  </si>
  <si>
    <t>correção</t>
  </si>
  <si>
    <t>(cal / cm2)</t>
  </si>
  <si>
    <t>(MJ / m2)</t>
  </si>
  <si>
    <t>(%)</t>
  </si>
  <si>
    <t>05h-06h</t>
  </si>
  <si>
    <t>06h-07h</t>
  </si>
  <si>
    <t>07h-08h</t>
  </si>
  <si>
    <t>08h-09h</t>
  </si>
  <si>
    <t>09h-10h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</si>
  <si>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</si>
  <si>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</si>
  <si>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</si>
  <si>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</si>
  <si>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</si>
  <si>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</si>
  <si>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</si>
  <si>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</si>
  <si>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</si>
  <si>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manhã</t>
  </si>
  <si>
    <t>tarde</t>
  </si>
  <si>
    <t>dia</t>
  </si>
  <si>
    <t xml:space="preserve">"área média": valor médio obtido a partir de diversas planimetrias sobre o actinograma </t>
  </si>
  <si>
    <t>"fator diário de correção": fator multiplicativo recomendado pelo fabricante do actinógrafo, dado por 0,734+0,00641*ho-0,000033*ho*ho, sendo ho a elevação solar na passagem meridiana</t>
  </si>
  <si>
    <t>"total diário": produto entre (1) a área média, (2) o fator de correção diário, (3) a constante 14,25 (quantidade de cal/cm2 para cada cm2 de área planimetrada), e (4) o fator 1,022 (obediência à World Radiometric Reference)</t>
  </si>
  <si>
    <t>"estimativa piranômetro": irradiação diária que seria medida com um piranômetro Eppley equipado de filtro Schott WG7, dada por (7,86+1,25*A)*4,1868/100, sendo A a irradiação obtida com o actinógrafo</t>
  </si>
  <si>
    <t>"topo da atmosfera": valor teórico da irradiação diária solar incidente no topo da atmosfera, para uma constante solar de 1367 W/m2</t>
  </si>
  <si>
    <t>"transmissão global": quociente entre as irradiações "estimativa piranômetro" e "topo da atmosfera"</t>
  </si>
  <si>
    <t>"insolação relativa": quociente entre o total diário observado para a duração de brilho solar e o respectivo valor teórico, desprezando-se possíveis efeitos associados à refração atmosférica</t>
  </si>
  <si>
    <r>
      <t xml:space="preserve">(*) valores </t>
    </r>
    <r>
      <rPr>
        <sz val="12"/>
        <color indexed="10"/>
        <rFont val="Arial"/>
        <family val="2"/>
      </rPr>
      <t>-99,0</t>
    </r>
    <r>
      <rPr>
        <sz val="12"/>
        <rFont val="Arial"/>
        <family val="2"/>
      </rPr>
      <t xml:space="preserve"> indicam falha no registro do actinógrafo</t>
    </r>
  </si>
  <si>
    <t>FEVEREIRO DE 2024</t>
  </si>
  <si>
    <t>(digitado por Pety )</t>
  </si>
  <si>
    <t>(Planilha verificada por  Edvaldo Gomes )</t>
  </si>
  <si>
    <t>MARÇO DE 2024</t>
  </si>
  <si>
    <t>(Planilha verificada por Edvaldo Gomes )</t>
  </si>
  <si>
    <t xml:space="preserve"> </t>
  </si>
  <si>
    <t>ABRIL DE 2024</t>
  </si>
  <si>
    <r>
      <t xml:space="preserve">(*) valores </t>
    </r>
    <r>
      <rPr>
        <sz val="12"/>
        <color indexed="10"/>
        <rFont val="Arial"/>
        <family val="2"/>
      </rPr>
      <t>-0,0</t>
    </r>
    <r>
      <rPr>
        <sz val="12"/>
        <rFont val="Arial"/>
        <family val="2"/>
      </rPr>
      <t xml:space="preserve"> indicam falha no registro do heliógrafo</t>
    </r>
  </si>
  <si>
    <t>MAIO DE 2024</t>
  </si>
  <si>
    <t>(Planilha verificada por Edvaldo Gome )</t>
  </si>
  <si>
    <t xml:space="preserve"> JUNHO DE 2024</t>
  </si>
  <si>
    <t>JULHO DE 2024</t>
  </si>
  <si>
    <t xml:space="preserve"> AGOSTO DE 2024</t>
  </si>
  <si>
    <t>SETEMBRO DE 2024</t>
  </si>
  <si>
    <t>OUTUBRO DE 2024</t>
  </si>
  <si>
    <t>NOVEMBRO DE 2024</t>
  </si>
  <si>
    <t>DEZEMBRO DE 2024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</si>
</sst>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9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0"/>
      <color rgb="FFFF0000"/>
      <name val="Arial"/>
      <family val="2"/>
    </font>
    <font>
      <b/>
      <i/>
      <u/>
      <sz val="10"/>
      <color indexed="10"/>
      <name val="Arial"/>
      <family val="2"/>
    </font>
    <font>
      <i/>
      <u/>
      <sz val="10"/>
      <name val="Arial"/>
      <family val="2"/>
    </font>
    <font>
      <b/>
      <sz val="10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3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indexed="9"/>
        <bgColor indexed="27"/>
      </patternFill>
    </fill>
  </fills>
  <borders count="9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/>
      <diagonal/>
    </border>
    <border>
      <left style="double">
        <color indexed="63"/>
      </left>
      <right/>
      <top style="double">
        <color indexed="63"/>
      </top>
      <bottom style="medium">
        <color indexed="63"/>
      </bottom>
      <diagonal/>
    </border>
    <border>
      <left/>
      <right/>
      <top style="double">
        <color indexed="63"/>
      </top>
      <bottom/>
      <diagonal/>
    </border>
    <border>
      <left/>
      <right/>
      <top style="double">
        <color indexed="63"/>
      </top>
      <bottom style="medium">
        <color indexed="63"/>
      </bottom>
      <diagonal/>
    </border>
    <border>
      <left/>
      <right style="double">
        <color indexed="63"/>
      </right>
      <top style="double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double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double">
        <color indexed="63"/>
      </right>
      <top style="medium">
        <color indexed="63"/>
      </top>
      <bottom/>
      <diagonal/>
    </border>
    <border>
      <left style="double">
        <color indexed="63"/>
      </left>
      <right/>
      <top/>
      <bottom/>
      <diagonal/>
    </border>
    <border>
      <left style="double">
        <color indexed="63"/>
      </left>
      <right style="thin">
        <color indexed="63"/>
      </right>
      <top/>
      <bottom/>
      <diagonal/>
    </border>
    <border>
      <left style="double">
        <color indexed="63"/>
      </left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double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double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/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double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/>
      <diagonal/>
    </border>
    <border>
      <left/>
      <right style="thin">
        <color indexed="63"/>
      </right>
      <top/>
      <bottom/>
      <diagonal/>
    </border>
    <border>
      <left style="medium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double">
        <color indexed="63"/>
      </right>
      <top style="thin">
        <color indexed="63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double">
        <color indexed="63"/>
      </left>
      <right style="thin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medium">
        <color indexed="63"/>
      </right>
      <top/>
      <bottom/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4"/>
      </bottom>
      <diagonal/>
    </border>
    <border>
      <left style="thin">
        <color indexed="63"/>
      </left>
      <right style="medium">
        <color indexed="63"/>
      </right>
      <top/>
      <bottom style="double">
        <color indexed="63"/>
      </bottom>
      <diagonal/>
    </border>
    <border>
      <left/>
      <right style="medium">
        <color indexed="63"/>
      </right>
      <top/>
      <bottom/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3">
    <xf numFmtId="0" fontId="0" fillId="0" borderId="0"/>
    <xf numFmtId="9" fontId="1" fillId="0" borderId="0" applyFill="0" applyBorder="0" applyAlignment="0" applyProtection="0"/>
    <xf numFmtId="0" fontId="1" fillId="0" borderId="0" applyNumberFormat="0"/>
  </cellStyleXfs>
  <cellXfs count="229">
    <xf numFmtId="0" fontId="0" fillId="0" borderId="0" xfId="0"/>
    <xf numFmtId="0" fontId="2" fillId="2" borderId="0" xfId="2" applyFont="1" applyFill="1" applyAlignment="1">
      <alignment horizontal="left"/>
    </xf>
    <xf numFmtId="0" fontId="2" fillId="2" borderId="0" xfId="2" applyFont="1" applyFill="1" applyAlignment="1">
      <alignment horizontal="right"/>
    </xf>
    <xf numFmtId="0" fontId="1" fillId="3" borderId="0" xfId="2" applyFill="1"/>
    <xf numFmtId="0" fontId="2" fillId="3" borderId="0" xfId="2" applyFont="1" applyFill="1" applyAlignment="1">
      <alignment horizontal="left"/>
    </xf>
    <xf numFmtId="0" fontId="3" fillId="3" borderId="0" xfId="2" applyFont="1" applyFill="1" applyAlignment="1">
      <alignment horizontal="center"/>
    </xf>
    <xf numFmtId="0" fontId="2" fillId="3" borderId="0" xfId="2" applyFont="1" applyFill="1"/>
    <xf numFmtId="0" fontId="4" fillId="3" borderId="0" xfId="2" applyFont="1" applyFill="1"/>
    <xf numFmtId="0" fontId="1" fillId="0" borderId="0" xfId="2"/>
    <xf numFmtId="0" fontId="0" fillId="2" borderId="0" xfId="2" applyFont="1" applyFill="1" applyAlignment="1">
      <alignment horizontal="left"/>
    </xf>
    <xf numFmtId="0" fontId="0" fillId="3" borderId="0" xfId="2" applyFont="1" applyFill="1" applyAlignment="1">
      <alignment horizontal="left"/>
    </xf>
    <xf numFmtId="0" fontId="5" fillId="3" borderId="1" xfId="2" applyFont="1" applyFill="1" applyBorder="1" applyAlignment="1">
      <alignment horizontal="center"/>
    </xf>
    <xf numFmtId="0" fontId="1" fillId="3" borderId="2" xfId="2" applyFill="1" applyBorder="1"/>
    <xf numFmtId="0" fontId="5" fillId="3" borderId="3" xfId="2" applyFont="1" applyFill="1" applyBorder="1" applyAlignment="1">
      <alignment horizontal="left"/>
    </xf>
    <xf numFmtId="0" fontId="1" fillId="3" borderId="4" xfId="2" applyFill="1" applyBorder="1"/>
    <xf numFmtId="0" fontId="5" fillId="3" borderId="4" xfId="2" applyFont="1" applyFill="1" applyBorder="1" applyAlignment="1">
      <alignment horizontal="center"/>
    </xf>
    <xf numFmtId="0" fontId="1" fillId="3" borderId="5" xfId="2" applyFill="1" applyBorder="1"/>
    <xf numFmtId="0" fontId="5" fillId="3" borderId="3" xfId="2" applyFont="1" applyFill="1" applyBorder="1" applyAlignment="1">
      <alignment horizontal="center"/>
    </xf>
    <xf numFmtId="0" fontId="5" fillId="3" borderId="3" xfId="2" applyFont="1" applyFill="1" applyBorder="1"/>
    <xf numFmtId="0" fontId="6" fillId="3" borderId="5" xfId="2" applyFont="1" applyFill="1" applyBorder="1" applyAlignment="1">
      <alignment horizontal="center"/>
    </xf>
    <xf numFmtId="0" fontId="1" fillId="3" borderId="6" xfId="2" applyFill="1" applyBorder="1" applyAlignment="1">
      <alignment horizontal="center" vertical="top" wrapText="1"/>
    </xf>
    <xf numFmtId="0" fontId="6" fillId="3" borderId="7" xfId="2" applyFont="1" applyFill="1" applyBorder="1" applyAlignment="1">
      <alignment horizontal="center"/>
    </xf>
    <xf numFmtId="0" fontId="6" fillId="3" borderId="8" xfId="2" applyFont="1" applyFill="1" applyBorder="1" applyAlignment="1">
      <alignment horizontal="center"/>
    </xf>
    <xf numFmtId="0" fontId="6" fillId="3" borderId="9" xfId="2" applyFont="1" applyFill="1" applyBorder="1" applyAlignment="1">
      <alignment horizontal="center"/>
    </xf>
    <xf numFmtId="0" fontId="6" fillId="3" borderId="10" xfId="2" applyFont="1" applyFill="1" applyBorder="1" applyAlignment="1">
      <alignment horizontal="center"/>
    </xf>
    <xf numFmtId="0" fontId="6" fillId="3" borderId="11" xfId="2" applyFont="1" applyFill="1" applyBorder="1" applyAlignment="1">
      <alignment horizontal="left"/>
    </xf>
    <xf numFmtId="0" fontId="1" fillId="3" borderId="12" xfId="2" applyFill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" fillId="3" borderId="14" xfId="2" applyFill="1" applyBorder="1" applyAlignment="1">
      <alignment horizontal="center"/>
    </xf>
    <xf numFmtId="0" fontId="0" fillId="3" borderId="12" xfId="2" applyFont="1" applyFill="1" applyBorder="1" applyAlignment="1">
      <alignment horizontal="center"/>
    </xf>
    <xf numFmtId="0" fontId="0" fillId="3" borderId="13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center"/>
    </xf>
    <xf numFmtId="0" fontId="6" fillId="3" borderId="15" xfId="2" applyFont="1" applyFill="1" applyBorder="1" applyAlignment="1">
      <alignment horizontal="center"/>
    </xf>
    <xf numFmtId="0" fontId="1" fillId="3" borderId="16" xfId="2" applyFill="1" applyBorder="1" applyAlignment="1">
      <alignment horizontal="center" vertical="top" wrapText="1"/>
    </xf>
    <xf numFmtId="0" fontId="6" fillId="3" borderId="17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18" xfId="2" applyFont="1" applyFill="1" applyBorder="1" applyAlignment="1">
      <alignment horizontal="center"/>
    </xf>
    <xf numFmtId="0" fontId="5" fillId="3" borderId="19" xfId="2" applyFont="1" applyFill="1" applyBorder="1" applyAlignment="1">
      <alignment horizontal="left"/>
    </xf>
    <xf numFmtId="0" fontId="6" fillId="3" borderId="20" xfId="2" applyFont="1" applyFill="1" applyBorder="1" applyAlignment="1">
      <alignment horizontal="left"/>
    </xf>
    <xf numFmtId="0" fontId="6" fillId="3" borderId="21" xfId="2" applyFont="1" applyFill="1" applyBorder="1" applyAlignment="1">
      <alignment horizontal="center"/>
    </xf>
    <xf numFmtId="0" fontId="1" fillId="3" borderId="19" xfId="2" applyFill="1" applyBorder="1" applyAlignment="1">
      <alignment horizontal="center"/>
    </xf>
    <xf numFmtId="0" fontId="6" fillId="3" borderId="20" xfId="2" applyFont="1" applyFill="1" applyBorder="1" applyAlignment="1">
      <alignment horizontal="center"/>
    </xf>
    <xf numFmtId="0" fontId="6" fillId="3" borderId="22" xfId="2" applyFont="1" applyFill="1" applyBorder="1" applyAlignment="1">
      <alignment horizontal="center"/>
    </xf>
    <xf numFmtId="9" fontId="0" fillId="3" borderId="23" xfId="1" applyFont="1" applyFill="1" applyBorder="1" applyAlignment="1">
      <alignment horizontal="center" vertical="top" wrapText="1"/>
    </xf>
    <xf numFmtId="0" fontId="6" fillId="3" borderId="24" xfId="2" applyFont="1" applyFill="1" applyBorder="1" applyAlignment="1">
      <alignment horizontal="center"/>
    </xf>
    <xf numFmtId="0" fontId="6" fillId="3" borderId="25" xfId="2" applyFont="1" applyFill="1" applyBorder="1" applyAlignment="1">
      <alignment horizontal="center"/>
    </xf>
    <xf numFmtId="0" fontId="6" fillId="3" borderId="26" xfId="2" applyFont="1" applyFill="1" applyBorder="1" applyAlignment="1">
      <alignment horizontal="center"/>
    </xf>
    <xf numFmtId="0" fontId="6" fillId="3" borderId="27" xfId="2" applyFont="1" applyFill="1" applyBorder="1" applyAlignment="1">
      <alignment horizontal="center"/>
    </xf>
    <xf numFmtId="0" fontId="6" fillId="3" borderId="28" xfId="2" applyFont="1" applyFill="1" applyBorder="1" applyAlignment="1">
      <alignment horizontal="center"/>
    </xf>
    <xf numFmtId="0" fontId="6" fillId="3" borderId="29" xfId="2" applyFont="1" applyFill="1" applyBorder="1" applyAlignment="1">
      <alignment horizontal="center"/>
    </xf>
    <xf numFmtId="0" fontId="6" fillId="3" borderId="30" xfId="2" applyFont="1" applyFill="1" applyBorder="1" applyAlignment="1">
      <alignment horizontal="left"/>
    </xf>
    <xf numFmtId="0" fontId="6" fillId="3" borderId="31" xfId="2" applyFont="1" applyFill="1" applyBorder="1" applyAlignment="1">
      <alignment horizontal="center"/>
    </xf>
    <xf numFmtId="0" fontId="6" fillId="3" borderId="13" xfId="2" applyFont="1" applyFill="1" applyBorder="1" applyAlignment="1">
      <alignment horizontal="center"/>
    </xf>
    <xf numFmtId="0" fontId="6" fillId="3" borderId="32" xfId="2" applyFont="1" applyFill="1" applyBorder="1" applyAlignment="1">
      <alignment horizontal="center"/>
    </xf>
    <xf numFmtId="0" fontId="6" fillId="3" borderId="33" xfId="2" applyFont="1" applyFill="1" applyBorder="1" applyAlignment="1">
      <alignment horizontal="center"/>
    </xf>
    <xf numFmtId="0" fontId="3" fillId="4" borderId="34" xfId="2" applyFont="1" applyFill="1" applyBorder="1" applyAlignment="1">
      <alignment horizontal="center"/>
    </xf>
    <xf numFmtId="164" fontId="3" fillId="2" borderId="35" xfId="2" applyNumberFormat="1" applyFont="1" applyFill="1" applyBorder="1" applyAlignment="1">
      <alignment horizontal="center"/>
    </xf>
    <xf numFmtId="165" fontId="3" fillId="3" borderId="36" xfId="2" applyNumberFormat="1" applyFont="1" applyFill="1" applyBorder="1" applyAlignment="1">
      <alignment horizontal="center"/>
    </xf>
    <xf numFmtId="164" fontId="3" fillId="3" borderId="35" xfId="2" applyNumberFormat="1" applyFont="1" applyFill="1" applyBorder="1" applyAlignment="1">
      <alignment horizontal="center"/>
    </xf>
    <xf numFmtId="2" fontId="3" fillId="3" borderId="37" xfId="2" applyNumberFormat="1" applyFont="1" applyFill="1" applyBorder="1" applyAlignment="1">
      <alignment horizontal="center"/>
    </xf>
    <xf numFmtId="2" fontId="3" fillId="3" borderId="38" xfId="2" applyNumberFormat="1" applyFont="1" applyFill="1" applyBorder="1" applyAlignment="1">
      <alignment horizontal="center"/>
    </xf>
    <xf numFmtId="2" fontId="3" fillId="3" borderId="39" xfId="2" applyNumberFormat="1" applyFont="1" applyFill="1" applyBorder="1" applyAlignment="1">
      <alignment horizontal="center"/>
    </xf>
    <xf numFmtId="164" fontId="3" fillId="3" borderId="40" xfId="2" applyNumberFormat="1" applyFont="1" applyFill="1" applyBorder="1" applyAlignment="1">
      <alignment horizontal="center"/>
    </xf>
    <xf numFmtId="164" fontId="3" fillId="2" borderId="41" xfId="2" applyNumberFormat="1" applyFont="1" applyFill="1" applyBorder="1" applyAlignment="1">
      <alignment horizontal="center"/>
    </xf>
    <xf numFmtId="164" fontId="3" fillId="2" borderId="42" xfId="2" applyNumberFormat="1" applyFont="1" applyFill="1" applyBorder="1" applyAlignment="1">
      <alignment horizontal="center"/>
    </xf>
    <xf numFmtId="164" fontId="3" fillId="0" borderId="43" xfId="0" applyNumberFormat="1" applyFont="1" applyBorder="1" applyAlignment="1">
      <alignment horizontal="center"/>
    </xf>
    <xf numFmtId="164" fontId="3" fillId="0" borderId="44" xfId="0" applyNumberFormat="1" applyFont="1" applyBorder="1" applyAlignment="1">
      <alignment horizontal="center"/>
    </xf>
    <xf numFmtId="164" fontId="7" fillId="3" borderId="45" xfId="2" applyNumberFormat="1" applyFont="1" applyFill="1" applyBorder="1" applyAlignment="1">
      <alignment horizontal="center"/>
    </xf>
    <xf numFmtId="164" fontId="3" fillId="3" borderId="44" xfId="2" applyNumberFormat="1" applyFont="1" applyFill="1" applyBorder="1" applyAlignment="1">
      <alignment horizontal="center"/>
    </xf>
    <xf numFmtId="164" fontId="3" fillId="3" borderId="46" xfId="2" applyNumberFormat="1" applyFont="1" applyFill="1" applyBorder="1" applyAlignment="1">
      <alignment horizontal="center"/>
    </xf>
    <xf numFmtId="164" fontId="3" fillId="3" borderId="47" xfId="2" applyNumberFormat="1" applyFont="1" applyFill="1" applyBorder="1" applyAlignment="1">
      <alignment horizontal="center"/>
    </xf>
    <xf numFmtId="164" fontId="3" fillId="3" borderId="48" xfId="2" applyNumberFormat="1" applyFont="1" applyFill="1" applyBorder="1" applyAlignment="1">
      <alignment horizontal="center"/>
    </xf>
    <xf numFmtId="0" fontId="3" fillId="5" borderId="34" xfId="2" applyFont="1" applyFill="1" applyBorder="1" applyAlignment="1">
      <alignment horizontal="center"/>
    </xf>
    <xf numFmtId="165" fontId="3" fillId="3" borderId="39" xfId="2" applyNumberFormat="1" applyFont="1" applyFill="1" applyBorder="1" applyAlignment="1">
      <alignment horizontal="center"/>
    </xf>
    <xf numFmtId="164" fontId="3" fillId="3" borderId="49" xfId="2" applyNumberFormat="1" applyFont="1" applyFill="1" applyBorder="1" applyAlignment="1">
      <alignment horizontal="center"/>
    </xf>
    <xf numFmtId="164" fontId="3" fillId="2" borderId="44" xfId="2" applyNumberFormat="1" applyFont="1" applyFill="1" applyBorder="1" applyAlignment="1">
      <alignment horizontal="center"/>
    </xf>
    <xf numFmtId="164" fontId="3" fillId="2" borderId="46" xfId="2" applyNumberFormat="1" applyFont="1" applyFill="1" applyBorder="1" applyAlignment="1">
      <alignment horizontal="center"/>
    </xf>
    <xf numFmtId="164" fontId="3" fillId="2" borderId="50" xfId="2" applyNumberFormat="1" applyFont="1" applyFill="1" applyBorder="1" applyAlignment="1">
      <alignment horizontal="center"/>
    </xf>
    <xf numFmtId="164" fontId="3" fillId="2" borderId="43" xfId="2" applyNumberFormat="1" applyFont="1" applyFill="1" applyBorder="1" applyAlignment="1">
      <alignment horizontal="center"/>
    </xf>
    <xf numFmtId="0" fontId="3" fillId="5" borderId="51" xfId="2" applyFont="1" applyFill="1" applyBorder="1" applyAlignment="1">
      <alignment horizontal="center"/>
    </xf>
    <xf numFmtId="164" fontId="3" fillId="2" borderId="52" xfId="2" applyNumberFormat="1" applyFont="1" applyFill="1" applyBorder="1" applyAlignment="1">
      <alignment horizontal="center"/>
    </xf>
    <xf numFmtId="164" fontId="3" fillId="2" borderId="53" xfId="2" applyNumberFormat="1" applyFont="1" applyFill="1" applyBorder="1" applyAlignment="1">
      <alignment horizontal="center"/>
    </xf>
    <xf numFmtId="0" fontId="3" fillId="6" borderId="51" xfId="2" applyFont="1" applyFill="1" applyBorder="1" applyAlignment="1">
      <alignment horizontal="center"/>
    </xf>
    <xf numFmtId="0" fontId="3" fillId="4" borderId="51" xfId="2" applyFont="1" applyFill="1" applyBorder="1" applyAlignment="1">
      <alignment horizontal="center"/>
    </xf>
    <xf numFmtId="0" fontId="3" fillId="3" borderId="51" xfId="2" applyFont="1" applyFill="1" applyBorder="1" applyAlignment="1">
      <alignment horizontal="center"/>
    </xf>
    <xf numFmtId="0" fontId="3" fillId="3" borderId="54" xfId="2" applyFont="1" applyFill="1" applyBorder="1" applyAlignment="1">
      <alignment horizontal="center"/>
    </xf>
    <xf numFmtId="164" fontId="3" fillId="2" borderId="55" xfId="2" applyNumberFormat="1" applyFont="1" applyFill="1" applyBorder="1" applyAlignment="1">
      <alignment horizontal="center"/>
    </xf>
    <xf numFmtId="165" fontId="3" fillId="3" borderId="55" xfId="2" applyNumberFormat="1" applyFont="1" applyFill="1" applyBorder="1" applyAlignment="1">
      <alignment horizontal="center"/>
    </xf>
    <xf numFmtId="164" fontId="3" fillId="3" borderId="55" xfId="2" applyNumberFormat="1" applyFont="1" applyFill="1" applyBorder="1" applyAlignment="1">
      <alignment horizontal="center"/>
    </xf>
    <xf numFmtId="2" fontId="3" fillId="3" borderId="56" xfId="2" applyNumberFormat="1" applyFont="1" applyFill="1" applyBorder="1" applyAlignment="1">
      <alignment horizontal="center"/>
    </xf>
    <xf numFmtId="2" fontId="3" fillId="3" borderId="57" xfId="2" applyNumberFormat="1" applyFont="1" applyFill="1" applyBorder="1" applyAlignment="1">
      <alignment horizontal="center"/>
    </xf>
    <xf numFmtId="2" fontId="3" fillId="3" borderId="55" xfId="2" applyNumberFormat="1" applyFont="1" applyFill="1" applyBorder="1" applyAlignment="1">
      <alignment horizontal="center"/>
    </xf>
    <xf numFmtId="164" fontId="3" fillId="3" borderId="58" xfId="2" applyNumberFormat="1" applyFont="1" applyFill="1" applyBorder="1" applyAlignment="1">
      <alignment horizontal="center"/>
    </xf>
    <xf numFmtId="164" fontId="3" fillId="2" borderId="59" xfId="2" applyNumberFormat="1" applyFont="1" applyFill="1" applyBorder="1" applyAlignment="1">
      <alignment horizontal="center"/>
    </xf>
    <xf numFmtId="164" fontId="3" fillId="2" borderId="60" xfId="2" applyNumberFormat="1" applyFont="1" applyFill="1" applyBorder="1" applyAlignment="1">
      <alignment horizontal="center"/>
    </xf>
    <xf numFmtId="164" fontId="3" fillId="0" borderId="59" xfId="0" applyNumberFormat="1" applyFont="1" applyBorder="1" applyAlignment="1">
      <alignment horizontal="center"/>
    </xf>
    <xf numFmtId="164" fontId="3" fillId="0" borderId="55" xfId="0" applyNumberFormat="1" applyFont="1" applyBorder="1" applyAlignment="1">
      <alignment horizontal="center"/>
    </xf>
    <xf numFmtId="164" fontId="7" fillId="3" borderId="61" xfId="2" applyNumberFormat="1" applyFont="1" applyFill="1" applyBorder="1" applyAlignment="1">
      <alignment horizontal="center"/>
    </xf>
    <xf numFmtId="164" fontId="3" fillId="3" borderId="60" xfId="2" applyNumberFormat="1" applyFont="1" applyFill="1" applyBorder="1" applyAlignment="1">
      <alignment horizontal="center"/>
    </xf>
    <xf numFmtId="164" fontId="3" fillId="3" borderId="62" xfId="2" applyNumberFormat="1" applyFont="1" applyFill="1" applyBorder="1" applyAlignment="1">
      <alignment horizontal="center"/>
    </xf>
    <xf numFmtId="164" fontId="3" fillId="3" borderId="63" xfId="2" applyNumberFormat="1" applyFont="1" applyFill="1" applyBorder="1" applyAlignment="1">
      <alignment horizontal="center"/>
    </xf>
    <xf numFmtId="0" fontId="3" fillId="3" borderId="0" xfId="2" applyFont="1" applyFill="1"/>
    <xf numFmtId="164" fontId="3" fillId="3" borderId="0" xfId="2" applyNumberFormat="1" applyFont="1" applyFill="1" applyAlignment="1">
      <alignment horizontal="center"/>
    </xf>
    <xf numFmtId="164" fontId="3" fillId="3" borderId="3" xfId="2" applyNumberFormat="1" applyFont="1" applyFill="1" applyBorder="1" applyAlignment="1">
      <alignment horizontal="center"/>
    </xf>
    <xf numFmtId="164" fontId="7" fillId="3" borderId="3" xfId="2" applyNumberFormat="1" applyFont="1" applyFill="1" applyBorder="1" applyAlignment="1">
      <alignment horizontal="center"/>
    </xf>
    <xf numFmtId="0" fontId="3" fillId="0" borderId="0" xfId="2" applyFont="1"/>
    <xf numFmtId="0" fontId="4" fillId="0" borderId="0" xfId="2" applyFont="1"/>
    <xf numFmtId="0" fontId="9" fillId="3" borderId="0" xfId="2" applyFont="1" applyFill="1"/>
    <xf numFmtId="0" fontId="0" fillId="3" borderId="0" xfId="2" applyFont="1" applyFill="1"/>
    <xf numFmtId="0" fontId="6" fillId="3" borderId="64" xfId="2" applyFont="1" applyFill="1" applyBorder="1" applyAlignment="1">
      <alignment horizontal="center"/>
    </xf>
    <xf numFmtId="0" fontId="3" fillId="3" borderId="34" xfId="2" applyFont="1" applyFill="1" applyBorder="1" applyAlignment="1">
      <alignment horizontal="center"/>
    </xf>
    <xf numFmtId="164" fontId="10" fillId="2" borderId="65" xfId="2" applyNumberFormat="1" applyFont="1" applyFill="1" applyBorder="1" applyAlignment="1">
      <alignment horizontal="center"/>
    </xf>
    <xf numFmtId="164" fontId="7" fillId="2" borderId="44" xfId="0" applyNumberFormat="1" applyFont="1" applyFill="1" applyBorder="1" applyAlignment="1">
      <alignment horizontal="center"/>
    </xf>
    <xf numFmtId="164" fontId="7" fillId="2" borderId="42" xfId="0" applyNumberFormat="1" applyFont="1" applyFill="1" applyBorder="1" applyAlignment="1">
      <alignment horizontal="center"/>
    </xf>
    <xf numFmtId="164" fontId="7" fillId="2" borderId="43" xfId="0" applyNumberFormat="1" applyFont="1" applyFill="1" applyBorder="1" applyAlignment="1">
      <alignment horizontal="center"/>
    </xf>
    <xf numFmtId="164" fontId="7" fillId="3" borderId="35" xfId="2" applyNumberFormat="1" applyFont="1" applyFill="1" applyBorder="1" applyAlignment="1">
      <alignment horizontal="center"/>
    </xf>
    <xf numFmtId="164" fontId="3" fillId="3" borderId="39" xfId="2" applyNumberFormat="1" applyFont="1" applyFill="1" applyBorder="1" applyAlignment="1">
      <alignment horizontal="center"/>
    </xf>
    <xf numFmtId="164" fontId="3" fillId="3" borderId="66" xfId="2" applyNumberFormat="1" applyFont="1" applyFill="1" applyBorder="1" applyAlignment="1">
      <alignment horizontal="center"/>
    </xf>
    <xf numFmtId="165" fontId="3" fillId="3" borderId="44" xfId="2" applyNumberFormat="1" applyFont="1" applyFill="1" applyBorder="1" applyAlignment="1">
      <alignment horizontal="center"/>
    </xf>
    <xf numFmtId="164" fontId="7" fillId="2" borderId="46" xfId="0" applyNumberFormat="1" applyFont="1" applyFill="1" applyBorder="1" applyAlignment="1">
      <alignment horizontal="center"/>
    </xf>
    <xf numFmtId="0" fontId="10" fillId="5" borderId="51" xfId="2" applyFont="1" applyFill="1" applyBorder="1" applyAlignment="1">
      <alignment horizontal="center"/>
    </xf>
    <xf numFmtId="0" fontId="3" fillId="5" borderId="54" xfId="2" applyFont="1" applyFill="1" applyBorder="1" applyAlignment="1">
      <alignment horizontal="center"/>
    </xf>
    <xf numFmtId="2" fontId="3" fillId="3" borderId="59" xfId="2" applyNumberFormat="1" applyFont="1" applyFill="1" applyBorder="1" applyAlignment="1">
      <alignment horizontal="center"/>
    </xf>
    <xf numFmtId="164" fontId="7" fillId="3" borderId="67" xfId="2" applyNumberFormat="1" applyFont="1" applyFill="1" applyBorder="1" applyAlignment="1">
      <alignment horizontal="center"/>
    </xf>
    <xf numFmtId="164" fontId="3" fillId="3" borderId="9" xfId="2" applyNumberFormat="1" applyFont="1" applyFill="1" applyBorder="1" applyAlignment="1">
      <alignment horizontal="center"/>
    </xf>
    <xf numFmtId="164" fontId="3" fillId="3" borderId="50" xfId="2" applyNumberFormat="1" applyFont="1" applyFill="1" applyBorder="1" applyAlignment="1">
      <alignment horizontal="center"/>
    </xf>
    <xf numFmtId="164" fontId="3" fillId="3" borderId="68" xfId="2" applyNumberFormat="1" applyFont="1" applyFill="1" applyBorder="1" applyAlignment="1">
      <alignment horizontal="center"/>
    </xf>
    <xf numFmtId="164" fontId="3" fillId="3" borderId="69" xfId="2" applyNumberFormat="1" applyFont="1" applyFill="1" applyBorder="1" applyAlignment="1">
      <alignment horizontal="center"/>
    </xf>
    <xf numFmtId="164" fontId="7" fillId="3" borderId="70" xfId="2" applyNumberFormat="1" applyFont="1" applyFill="1" applyBorder="1" applyAlignment="1">
      <alignment horizontal="center"/>
    </xf>
    <xf numFmtId="164" fontId="3" fillId="3" borderId="70" xfId="2" applyNumberFormat="1" applyFont="1" applyFill="1" applyBorder="1" applyAlignment="1">
      <alignment horizontal="center"/>
    </xf>
    <xf numFmtId="9" fontId="1" fillId="5" borderId="23" xfId="1" applyFont="1" applyFill="1" applyBorder="1" applyAlignment="1">
      <alignment horizontal="center" vertical="top" wrapText="1"/>
    </xf>
    <xf numFmtId="164" fontId="3" fillId="2" borderId="44" xfId="0" applyNumberFormat="1" applyFont="1" applyFill="1" applyBorder="1" applyAlignment="1">
      <alignment horizontal="center"/>
    </xf>
    <xf numFmtId="164" fontId="3" fillId="2" borderId="42" xfId="0" applyNumberFormat="1" applyFont="1" applyFill="1" applyBorder="1" applyAlignment="1">
      <alignment horizontal="center"/>
    </xf>
    <xf numFmtId="164" fontId="3" fillId="2" borderId="43" xfId="0" applyNumberFormat="1" applyFont="1" applyFill="1" applyBorder="1" applyAlignment="1">
      <alignment horizontal="center"/>
    </xf>
    <xf numFmtId="164" fontId="3" fillId="2" borderId="71" xfId="2" applyNumberFormat="1" applyFont="1" applyFill="1" applyBorder="1" applyAlignment="1">
      <alignment horizontal="center"/>
    </xf>
    <xf numFmtId="164" fontId="3" fillId="2" borderId="46" xfId="0" applyNumberFormat="1" applyFont="1" applyFill="1" applyBorder="1" applyAlignment="1">
      <alignment horizontal="center"/>
    </xf>
    <xf numFmtId="0" fontId="2" fillId="5" borderId="51" xfId="2" applyFont="1" applyFill="1" applyBorder="1" applyAlignment="1">
      <alignment horizontal="center"/>
    </xf>
    <xf numFmtId="164" fontId="11" fillId="2" borderId="43" xfId="0" applyNumberFormat="1" applyFont="1" applyFill="1" applyBorder="1" applyAlignment="1">
      <alignment horizontal="center"/>
    </xf>
    <xf numFmtId="164" fontId="11" fillId="2" borderId="44" xfId="0" applyNumberFormat="1" applyFont="1" applyFill="1" applyBorder="1" applyAlignment="1">
      <alignment horizontal="center"/>
    </xf>
    <xf numFmtId="164" fontId="11" fillId="2" borderId="46" xfId="0" applyNumberFormat="1" applyFont="1" applyFill="1" applyBorder="1" applyAlignment="1">
      <alignment horizontal="center"/>
    </xf>
    <xf numFmtId="164" fontId="3" fillId="2" borderId="44" xfId="0" quotePrefix="1" applyNumberFormat="1" applyFont="1" applyFill="1" applyBorder="1" applyAlignment="1">
      <alignment horizontal="center"/>
    </xf>
    <xf numFmtId="164" fontId="4" fillId="2" borderId="44" xfId="0" applyNumberFormat="1" applyFont="1" applyFill="1" applyBorder="1" applyAlignment="1">
      <alignment horizontal="center"/>
    </xf>
    <xf numFmtId="164" fontId="3" fillId="2" borderId="53" xfId="0" applyNumberFormat="1" applyFont="1" applyFill="1" applyBorder="1" applyAlignment="1">
      <alignment horizontal="center"/>
    </xf>
    <xf numFmtId="164" fontId="3" fillId="2" borderId="52" xfId="0" applyNumberFormat="1" applyFont="1" applyFill="1" applyBorder="1" applyAlignment="1">
      <alignment horizontal="center"/>
    </xf>
    <xf numFmtId="164" fontId="3" fillId="2" borderId="50" xfId="0" applyNumberFormat="1" applyFont="1" applyFill="1" applyBorder="1" applyAlignment="1">
      <alignment horizontal="center"/>
    </xf>
    <xf numFmtId="164" fontId="3" fillId="2" borderId="72" xfId="2" applyNumberFormat="1" applyFont="1" applyFill="1" applyBorder="1" applyAlignment="1">
      <alignment horizontal="center"/>
    </xf>
    <xf numFmtId="164" fontId="3" fillId="2" borderId="59" xfId="0" applyNumberFormat="1" applyFont="1" applyFill="1" applyBorder="1" applyAlignment="1">
      <alignment horizontal="center"/>
    </xf>
    <xf numFmtId="164" fontId="3" fillId="2" borderId="55" xfId="0" applyNumberFormat="1" applyFont="1" applyFill="1" applyBorder="1" applyAlignment="1">
      <alignment horizontal="center"/>
    </xf>
    <xf numFmtId="164" fontId="3" fillId="2" borderId="60" xfId="0" applyNumberFormat="1" applyFont="1" applyFill="1" applyBorder="1" applyAlignment="1">
      <alignment horizontal="center"/>
    </xf>
    <xf numFmtId="0" fontId="12" fillId="3" borderId="0" xfId="2" applyFont="1" applyFill="1"/>
    <xf numFmtId="0" fontId="12" fillId="5" borderId="0" xfId="2" applyFont="1" applyFill="1"/>
    <xf numFmtId="0" fontId="13" fillId="3" borderId="0" xfId="2" applyFont="1" applyFill="1"/>
    <xf numFmtId="164" fontId="3" fillId="2" borderId="36" xfId="2" applyNumberFormat="1" applyFont="1" applyFill="1" applyBorder="1" applyAlignment="1">
      <alignment horizontal="center"/>
    </xf>
    <xf numFmtId="164" fontId="10" fillId="2" borderId="43" xfId="2" applyNumberFormat="1" applyFont="1" applyFill="1" applyBorder="1" applyAlignment="1">
      <alignment horizontal="center"/>
    </xf>
    <xf numFmtId="164" fontId="10" fillId="2" borderId="52" xfId="2" applyNumberFormat="1" applyFont="1" applyFill="1" applyBorder="1" applyAlignment="1">
      <alignment horizontal="center"/>
    </xf>
    <xf numFmtId="164" fontId="10" fillId="2" borderId="50" xfId="2" applyNumberFormat="1" applyFont="1" applyFill="1" applyBorder="1" applyAlignment="1">
      <alignment horizontal="center"/>
    </xf>
    <xf numFmtId="164" fontId="3" fillId="7" borderId="52" xfId="2" applyNumberFormat="1" applyFont="1" applyFill="1" applyBorder="1" applyAlignment="1">
      <alignment horizontal="center"/>
    </xf>
    <xf numFmtId="164" fontId="3" fillId="3" borderId="73" xfId="2" applyNumberFormat="1" applyFont="1" applyFill="1" applyBorder="1" applyAlignment="1">
      <alignment horizontal="center"/>
    </xf>
    <xf numFmtId="164" fontId="3" fillId="3" borderId="74" xfId="2" applyNumberFormat="1" applyFont="1" applyFill="1" applyBorder="1" applyAlignment="1">
      <alignment horizontal="center"/>
    </xf>
    <xf numFmtId="0" fontId="1" fillId="3" borderId="0" xfId="2" applyFont="1" applyFill="1"/>
    <xf numFmtId="0" fontId="1" fillId="3" borderId="16" xfId="2" applyFill="1" applyBorder="1"/>
    <xf numFmtId="0" fontId="3" fillId="3" borderId="16" xfId="2" applyFont="1" applyFill="1" applyBorder="1" applyAlignment="1">
      <alignment horizontal="center"/>
    </xf>
    <xf numFmtId="0" fontId="1" fillId="0" borderId="0" xfId="2" applyBorder="1"/>
    <xf numFmtId="0" fontId="11" fillId="3" borderId="51" xfId="2" applyFont="1" applyFill="1" applyBorder="1" applyAlignment="1">
      <alignment horizontal="center"/>
    </xf>
    <xf numFmtId="0" fontId="6" fillId="3" borderId="30" xfId="2" applyFont="1" applyFill="1" applyBorder="1" applyAlignment="1">
      <alignment horizontal="center"/>
    </xf>
    <xf numFmtId="0" fontId="14" fillId="2" borderId="65" xfId="2" applyFont="1" applyFill="1" applyBorder="1" applyAlignment="1">
      <alignment horizontal="center"/>
    </xf>
    <xf numFmtId="164" fontId="3" fillId="2" borderId="75" xfId="2" applyNumberFormat="1" applyFont="1" applyFill="1" applyBorder="1" applyAlignment="1">
      <alignment horizontal="center"/>
    </xf>
    <xf numFmtId="164" fontId="3" fillId="2" borderId="66" xfId="2" applyNumberFormat="1" applyFont="1" applyFill="1" applyBorder="1" applyAlignment="1">
      <alignment horizontal="center"/>
    </xf>
    <xf numFmtId="0" fontId="14" fillId="2" borderId="76" xfId="2" applyFont="1" applyFill="1" applyBorder="1" applyAlignment="1">
      <alignment horizontal="center"/>
    </xf>
    <xf numFmtId="0" fontId="14" fillId="2" borderId="77" xfId="2" applyFont="1" applyFill="1" applyBorder="1" applyAlignment="1">
      <alignment horizontal="center"/>
    </xf>
    <xf numFmtId="164" fontId="11" fillId="2" borderId="44" xfId="2" applyNumberFormat="1" applyFont="1" applyFill="1" applyBorder="1" applyAlignment="1">
      <alignment horizontal="center"/>
    </xf>
    <xf numFmtId="164" fontId="7" fillId="8" borderId="55" xfId="2" applyNumberFormat="1" applyFont="1" applyFill="1" applyBorder="1" applyAlignment="1">
      <alignment horizontal="center"/>
    </xf>
    <xf numFmtId="164" fontId="3" fillId="3" borderId="38" xfId="2" applyNumberFormat="1" applyFont="1" applyFill="1" applyBorder="1" applyAlignment="1">
      <alignment horizontal="center"/>
    </xf>
    <xf numFmtId="164" fontId="3" fillId="3" borderId="78" xfId="2" applyNumberFormat="1" applyFont="1" applyFill="1" applyBorder="1" applyAlignment="1">
      <alignment horizontal="center"/>
    </xf>
    <xf numFmtId="0" fontId="4" fillId="3" borderId="0" xfId="2" applyFont="1" applyFill="1" applyAlignment="1">
      <alignment horizontal="left"/>
    </xf>
    <xf numFmtId="0" fontId="10" fillId="3" borderId="0" xfId="2" applyFont="1" applyFill="1" applyAlignment="1">
      <alignment horizontal="center"/>
    </xf>
    <xf numFmtId="0" fontId="15" fillId="3" borderId="0" xfId="2" applyFont="1" applyFill="1"/>
    <xf numFmtId="0" fontId="6" fillId="3" borderId="79" xfId="2" applyFont="1" applyFill="1" applyBorder="1" applyAlignment="1">
      <alignment horizontal="center"/>
    </xf>
    <xf numFmtId="0" fontId="6" fillId="3" borderId="80" xfId="2" applyFont="1" applyFill="1" applyBorder="1" applyAlignment="1">
      <alignment horizontal="center"/>
    </xf>
    <xf numFmtId="164" fontId="3" fillId="2" borderId="31" xfId="2" applyNumberFormat="1" applyFont="1" applyFill="1" applyBorder="1" applyAlignment="1">
      <alignment horizontal="center"/>
    </xf>
    <xf numFmtId="164" fontId="3" fillId="2" borderId="8" xfId="2" applyNumberFormat="1" applyFont="1" applyFill="1" applyBorder="1" applyAlignment="1">
      <alignment horizontal="center"/>
    </xf>
    <xf numFmtId="164" fontId="3" fillId="2" borderId="81" xfId="2" applyNumberFormat="1" applyFont="1" applyFill="1" applyBorder="1" applyAlignment="1">
      <alignment horizontal="center"/>
    </xf>
    <xf numFmtId="164" fontId="11" fillId="2" borderId="35" xfId="2" applyNumberFormat="1" applyFont="1" applyFill="1" applyBorder="1" applyAlignment="1">
      <alignment horizontal="center"/>
    </xf>
    <xf numFmtId="164" fontId="11" fillId="2" borderId="43" xfId="2" applyNumberFormat="1" applyFont="1" applyFill="1" applyBorder="1" applyAlignment="1">
      <alignment horizontal="center"/>
    </xf>
    <xf numFmtId="164" fontId="11" fillId="2" borderId="82" xfId="2" applyNumberFormat="1" applyFont="1" applyFill="1" applyBorder="1" applyAlignment="1">
      <alignment horizontal="center"/>
    </xf>
    <xf numFmtId="164" fontId="11" fillId="2" borderId="45" xfId="2" applyNumberFormat="1" applyFont="1" applyFill="1" applyBorder="1" applyAlignment="1">
      <alignment horizontal="center"/>
    </xf>
    <xf numFmtId="164" fontId="11" fillId="2" borderId="53" xfId="2" applyNumberFormat="1" applyFont="1" applyFill="1" applyBorder="1" applyAlignment="1">
      <alignment horizontal="center"/>
    </xf>
    <xf numFmtId="164" fontId="10" fillId="2" borderId="53" xfId="2" applyNumberFormat="1" applyFont="1" applyFill="1" applyBorder="1" applyAlignment="1">
      <alignment horizontal="center"/>
    </xf>
    <xf numFmtId="164" fontId="10" fillId="2" borderId="44" xfId="2" applyNumberFormat="1" applyFont="1" applyFill="1" applyBorder="1" applyAlignment="1">
      <alignment horizontal="center"/>
    </xf>
    <xf numFmtId="164" fontId="3" fillId="2" borderId="82" xfId="2" applyNumberFormat="1" applyFont="1" applyFill="1" applyBorder="1" applyAlignment="1">
      <alignment horizontal="center"/>
    </xf>
    <xf numFmtId="164" fontId="3" fillId="2" borderId="45" xfId="2" applyNumberFormat="1" applyFont="1" applyFill="1" applyBorder="1" applyAlignment="1">
      <alignment horizontal="center"/>
    </xf>
    <xf numFmtId="164" fontId="11" fillId="2" borderId="52" xfId="2" applyNumberFormat="1" applyFont="1" applyFill="1" applyBorder="1" applyAlignment="1">
      <alignment horizontal="center"/>
    </xf>
    <xf numFmtId="164" fontId="11" fillId="2" borderId="83" xfId="2" applyNumberFormat="1" applyFont="1" applyFill="1" applyBorder="1" applyAlignment="1">
      <alignment horizontal="center"/>
    </xf>
    <xf numFmtId="164" fontId="11" fillId="2" borderId="84" xfId="2" applyNumberFormat="1" applyFont="1" applyFill="1" applyBorder="1" applyAlignment="1">
      <alignment horizontal="center"/>
    </xf>
    <xf numFmtId="164" fontId="3" fillId="2" borderId="83" xfId="2" applyNumberFormat="1" applyFont="1" applyFill="1" applyBorder="1" applyAlignment="1">
      <alignment horizontal="center"/>
    </xf>
    <xf numFmtId="164" fontId="3" fillId="2" borderId="84" xfId="2" applyNumberFormat="1" applyFont="1" applyFill="1" applyBorder="1" applyAlignment="1">
      <alignment horizontal="center"/>
    </xf>
    <xf numFmtId="164" fontId="10" fillId="2" borderId="55" xfId="2" applyNumberFormat="1" applyFont="1" applyFill="1" applyBorder="1" applyAlignment="1">
      <alignment horizontal="center"/>
    </xf>
    <xf numFmtId="0" fontId="14" fillId="2" borderId="72" xfId="2" applyFont="1" applyFill="1" applyBorder="1" applyAlignment="1">
      <alignment horizontal="center"/>
    </xf>
    <xf numFmtId="164" fontId="3" fillId="2" borderId="57" xfId="2" applyNumberFormat="1" applyFont="1" applyFill="1" applyBorder="1" applyAlignment="1">
      <alignment horizontal="center"/>
    </xf>
    <xf numFmtId="164" fontId="3" fillId="2" borderId="61" xfId="2" applyNumberFormat="1" applyFont="1" applyFill="1" applyBorder="1" applyAlignment="1">
      <alignment horizontal="center"/>
    </xf>
    <xf numFmtId="0" fontId="16" fillId="3" borderId="0" xfId="2" applyFont="1" applyFill="1"/>
    <xf numFmtId="164" fontId="10" fillId="2" borderId="35" xfId="2" applyNumberFormat="1" applyFont="1" applyFill="1" applyBorder="1" applyAlignment="1">
      <alignment horizontal="center"/>
    </xf>
    <xf numFmtId="164" fontId="3" fillId="3" borderId="36" xfId="2" applyNumberFormat="1" applyFont="1" applyFill="1" applyBorder="1" applyAlignment="1">
      <alignment horizontal="center"/>
    </xf>
    <xf numFmtId="164" fontId="3" fillId="3" borderId="85" xfId="2" applyNumberFormat="1" applyFont="1" applyFill="1" applyBorder="1" applyAlignment="1">
      <alignment horizontal="center"/>
    </xf>
    <xf numFmtId="164" fontId="3" fillId="3" borderId="86" xfId="2" applyNumberFormat="1" applyFont="1" applyFill="1" applyBorder="1" applyAlignment="1">
      <alignment horizontal="center"/>
    </xf>
    <xf numFmtId="0" fontId="3" fillId="9" borderId="77" xfId="2" applyFont="1" applyFill="1" applyBorder="1" applyAlignment="1">
      <alignment horizontal="center"/>
    </xf>
    <xf numFmtId="0" fontId="3" fillId="9" borderId="71" xfId="2" applyFont="1" applyFill="1" applyBorder="1" applyAlignment="1">
      <alignment horizontal="center"/>
    </xf>
    <xf numFmtId="164" fontId="3" fillId="2" borderId="87" xfId="2" applyNumberFormat="1" applyFont="1" applyFill="1" applyBorder="1" applyAlignment="1">
      <alignment horizontal="center"/>
    </xf>
    <xf numFmtId="164" fontId="3" fillId="3" borderId="67" xfId="2" applyNumberFormat="1" applyFont="1" applyFill="1" applyBorder="1" applyAlignment="1">
      <alignment horizontal="center"/>
    </xf>
    <xf numFmtId="0" fontId="3" fillId="3" borderId="0" xfId="2" applyFont="1" applyFill="1" applyBorder="1"/>
    <xf numFmtId="164" fontId="7" fillId="8" borderId="42" xfId="2" applyNumberFormat="1" applyFont="1" applyFill="1" applyBorder="1" applyAlignment="1">
      <alignment horizontal="center"/>
    </xf>
    <xf numFmtId="164" fontId="7" fillId="8" borderId="86" xfId="2" applyNumberFormat="1" applyFont="1" applyFill="1" applyBorder="1" applyAlignment="1">
      <alignment horizontal="center"/>
    </xf>
    <xf numFmtId="164" fontId="7" fillId="8" borderId="88" xfId="2" applyNumberFormat="1" applyFont="1" applyFill="1" applyBorder="1" applyAlignment="1">
      <alignment horizontal="center"/>
    </xf>
    <xf numFmtId="164" fontId="3" fillId="3" borderId="89" xfId="2" applyNumberFormat="1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164" fontId="3" fillId="8" borderId="42" xfId="2" applyNumberFormat="1" applyFont="1" applyFill="1" applyBorder="1" applyAlignment="1">
      <alignment horizontal="center"/>
    </xf>
    <xf numFmtId="164" fontId="3" fillId="3" borderId="13" xfId="2" applyNumberFormat="1" applyFont="1" applyFill="1" applyBorder="1" applyAlignment="1">
      <alignment horizontal="center"/>
    </xf>
    <xf numFmtId="164" fontId="3" fillId="8" borderId="86" xfId="2" applyNumberFormat="1" applyFont="1" applyFill="1" applyBorder="1" applyAlignment="1">
      <alignment horizontal="center"/>
    </xf>
    <xf numFmtId="164" fontId="3" fillId="3" borderId="90" xfId="2" applyNumberFormat="1" applyFont="1" applyFill="1" applyBorder="1" applyAlignment="1">
      <alignment horizontal="center"/>
    </xf>
    <xf numFmtId="164" fontId="3" fillId="8" borderId="88" xfId="2" applyNumberFormat="1" applyFont="1" applyFill="1" applyBorder="1" applyAlignment="1">
      <alignment horizontal="center"/>
    </xf>
    <xf numFmtId="164" fontId="3" fillId="3" borderId="91" xfId="2" applyNumberFormat="1" applyFont="1" applyFill="1" applyBorder="1" applyAlignment="1">
      <alignment horizontal="center"/>
    </xf>
    <xf numFmtId="0" fontId="5" fillId="3" borderId="0" xfId="2" applyFont="1" applyFill="1"/>
    <xf numFmtId="0" fontId="17" fillId="3" borderId="0" xfId="2" applyFont="1" applyFill="1" applyAlignment="1">
      <alignment horizontal="center"/>
    </xf>
    <xf numFmtId="0" fontId="18" fillId="3" borderId="0" xfId="2" applyFont="1" applyFill="1" applyAlignment="1">
      <alignment horizontal="left"/>
    </xf>
    <xf numFmtId="164" fontId="3" fillId="3" borderId="92" xfId="2" applyNumberFormat="1" applyFont="1" applyFill="1" applyBorder="1" applyAlignment="1">
      <alignment horizontal="center"/>
    </xf>
    <xf numFmtId="164" fontId="1" fillId="0" borderId="0" xfId="2" applyNumberFormat="1"/>
    <xf numFmtId="164" fontId="3" fillId="3" borderId="93" xfId="2" applyNumberFormat="1" applyFont="1" applyFill="1" applyBorder="1" applyAlignment="1">
      <alignment horizontal="center"/>
    </xf>
    <xf numFmtId="9" fontId="0" fillId="0" borderId="0" xfId="1" applyFont="1"/>
  </cellXfs>
  <cellStyles count="3">
    <cellStyle name="Normal" xfId="0" builtinId="0"/>
    <cellStyle name="Normal_01f1998a" xfId="2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Solar/so2024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irradiação solar - ano"/>
      <sheetName val="transmissão global - ano"/>
      <sheetName val="duração do brilho - ano"/>
      <sheetName val="insolação relativa - ano"/>
      <sheetName val="cálculos teóricos"/>
      <sheetName val="figura 1"/>
      <sheetName val="figura 2"/>
      <sheetName val="figura 3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I3">
            <v>13.432646455605028</v>
          </cell>
          <cell r="K3">
            <v>1.0433095476903587</v>
          </cell>
          <cell r="T3">
            <v>42.972554729067994</v>
          </cell>
        </row>
        <row r="4">
          <cell r="I4">
            <v>13.427083464038553</v>
          </cell>
          <cell r="K4">
            <v>1.0432689705391567</v>
          </cell>
          <cell r="T4">
            <v>42.957348831388643</v>
          </cell>
        </row>
        <row r="5">
          <cell r="I5">
            <v>13.420993894192648</v>
          </cell>
          <cell r="K5">
            <v>1.0432240147113081</v>
          </cell>
          <cell r="T5">
            <v>42.94007223550922</v>
          </cell>
        </row>
        <row r="6">
          <cell r="I6">
            <v>13.414382772748056</v>
          </cell>
          <cell r="K6">
            <v>1.0431745699304664</v>
          </cell>
          <cell r="T6">
            <v>42.920712814194886</v>
          </cell>
        </row>
        <row r="7">
          <cell r="I7">
            <v>13.40725552892793</v>
          </cell>
          <cell r="K7">
            <v>1.0431205173832472</v>
          </cell>
          <cell r="T7">
            <v>42.899257802114548</v>
          </cell>
        </row>
        <row r="8">
          <cell r="I8">
            <v>13.399617979654318</v>
          </cell>
          <cell r="K8">
            <v>1.0430617300197544</v>
          </cell>
          <cell r="T8">
            <v>42.875693838404729</v>
          </cell>
        </row>
        <row r="9">
          <cell r="I9">
            <v>13.391476313835456</v>
          </cell>
          <cell r="K9">
            <v>1.0429980728749551</v>
          </cell>
          <cell r="T9">
            <v>42.850007012169783</v>
          </cell>
        </row>
        <row r="10">
          <cell r="I10">
            <v>13.382837075865469</v>
          </cell>
          <cell r="K10">
            <v>1.0429294034098502</v>
          </cell>
          <cell r="T10">
            <v>42.822182910782871</v>
          </cell>
        </row>
        <row r="11">
          <cell r="I11">
            <v>13.373707148420571</v>
          </cell>
          <cell r="K11">
            <v>1.0428555718713279</v>
          </cell>
          <cell r="T11">
            <v>42.792206670842504</v>
          </cell>
        </row>
        <row r="12">
          <cell r="I12">
            <v>13.364093734637674</v>
          </cell>
          <cell r="K12">
            <v>1.0427764216695341</v>
          </cell>
          <cell r="T12">
            <v>42.760063031628945</v>
          </cell>
        </row>
        <row r="13">
          <cell r="I13">
            <v>13.354004339762858</v>
          </cell>
          <cell r="K13">
            <v>1.0426917897715424</v>
          </cell>
          <cell r="T13">
            <v>42.72573639089709</v>
          </cell>
        </row>
        <row r="14">
          <cell r="I14">
            <v>13.343446752357368</v>
          </cell>
          <cell r="K14">
            <v>1.0426015071100707</v>
          </cell>
          <cell r="T14">
            <v>42.689210862833292</v>
          </cell>
        </row>
        <row r="15">
          <cell r="I15">
            <v>13.332429025149247</v>
          </cell>
          <cell r="K15">
            <v>1.0425053990059436</v>
          </cell>
          <cell r="T15">
            <v>42.6504703379955</v>
          </cell>
        </row>
        <row r="16">
          <cell r="I16">
            <v>13.32095945561748</v>
          </cell>
          <cell r="K16">
            <v>1.0424032856029817</v>
          </cell>
          <cell r="T16">
            <v>42.609498545049341</v>
          </cell>
        </row>
        <row r="17">
          <cell r="I17">
            <v>13.309046566394962</v>
          </cell>
          <cell r="K17">
            <v>1.0422949823139649</v>
          </cell>
          <cell r="T17">
            <v>42.566279114105868</v>
          </cell>
        </row>
        <row r="18">
          <cell r="I18">
            <v>13.296699085574138</v>
          </cell>
          <cell r="K18">
            <v>1.0421803002763004</v>
          </cell>
          <cell r="T18">
            <v>42.520795641460737</v>
          </cell>
        </row>
        <row r="19">
          <cell r="I19">
            <v>13.283925926997437</v>
          </cell>
          <cell r="K19">
            <v>1.0420590468160129</v>
          </cell>
          <cell r="T19">
            <v>42.473031755529334</v>
          </cell>
        </row>
        <row r="20">
          <cell r="I20">
            <v>13.270736170611478</v>
          </cell>
          <cell r="K20">
            <v>1.0419310259186705</v>
          </cell>
          <cell r="T20">
            <v>42.422971183768496</v>
          </cell>
        </row>
        <row r="21">
          <cell r="I21">
            <v>13.257139042960983</v>
          </cell>
          <cell r="K21">
            <v>1.0417960387058549</v>
          </cell>
          <cell r="T21">
            <v>42.370597820371522</v>
          </cell>
        </row>
        <row r="22">
          <cell r="I22">
            <v>13.243143897894775</v>
          </cell>
          <cell r="K22">
            <v>1.0416538839157914</v>
          </cell>
          <cell r="T22">
            <v>42.315895794520593</v>
          </cell>
        </row>
        <row r="23">
          <cell r="I23">
            <v>13.228760197552258</v>
          </cell>
          <cell r="K23">
            <v>1.0415043583867623</v>
          </cell>
          <cell r="T23">
            <v>42.258849538979433</v>
          </cell>
        </row>
        <row r="24">
          <cell r="I24">
            <v>13.213997493694729</v>
          </cell>
          <cell r="K24">
            <v>1.0413472575419567</v>
          </cell>
          <cell r="T24">
            <v>42.199443858808038</v>
          </cell>
        </row>
        <row r="25">
          <cell r="I25">
            <v>13.198865409441321</v>
          </cell>
          <cell r="K25">
            <v>1.041182375874407</v>
          </cell>
          <cell r="T25">
            <v>42.137663999981427</v>
          </cell>
        </row>
        <row r="26">
          <cell r="I26">
            <v>13.183373621464895</v>
          </cell>
          <cell r="K26">
            <v>1.0410095074307182</v>
          </cell>
          <cell r="T26">
            <v>42.073495717695977</v>
          </cell>
        </row>
        <row r="27">
          <cell r="I27">
            <v>13.16753184269853</v>
          </cell>
          <cell r="K27">
            <v>1.0408284462923059</v>
          </cell>
          <cell r="T27">
            <v>42.006925344148755</v>
          </cell>
        </row>
        <row r="28">
          <cell r="I28">
            <v>13.151349805598334</v>
          </cell>
          <cell r="K28">
            <v>1.0406389870529105</v>
          </cell>
          <cell r="T28">
            <v>41.937939855578989</v>
          </cell>
        </row>
        <row r="29">
          <cell r="I29">
            <v>13.134837246003574</v>
          </cell>
          <cell r="K29">
            <v>1.040440925291195</v>
          </cell>
          <cell r="T29">
            <v>41.866526938364217</v>
          </cell>
        </row>
        <row r="30">
          <cell r="I30">
            <v>13.118003887630318</v>
          </cell>
          <cell r="K30">
            <v>1.0402340580372698</v>
          </cell>
          <cell r="T30">
            <v>41.792675053969653</v>
          </cell>
        </row>
        <row r="31">
          <cell r="I31">
            <v>13.100859427229913</v>
          </cell>
          <cell r="K31">
            <v>1.0400181842320544</v>
          </cell>
          <cell r="T31">
            <v>41.716373502555001</v>
          </cell>
        </row>
        <row r="32">
          <cell r="I32">
            <v>13.083413520438963</v>
          </cell>
          <cell r="K32">
            <v>1.0397931051784299</v>
          </cell>
          <cell r="T32">
            <v>41.637612485050042</v>
          </cell>
        </row>
        <row r="33">
          <cell r="I33">
            <v>13.065675768342954</v>
          </cell>
          <cell r="K33">
            <v>1.0395586249831952</v>
          </cell>
          <cell r="T33">
            <v>41.556383163518021</v>
          </cell>
        </row>
        <row r="34">
          <cell r="I34">
            <v>13.047655704771071</v>
          </cell>
          <cell r="K34">
            <v>1.0393145509889044</v>
          </cell>
          <cell r="T34">
            <v>41.472677719635314</v>
          </cell>
        </row>
        <row r="35">
          <cell r="I35">
            <v>13.029362784335678</v>
          </cell>
          <cell r="K35">
            <v>1.03906069419472</v>
          </cell>
          <cell r="T35">
            <v>41.386489411124131</v>
          </cell>
        </row>
        <row r="36">
          <cell r="I36">
            <v>13.010806371225611</v>
          </cell>
          <cell r="K36">
            <v>1.038796869665491</v>
          </cell>
          <cell r="T36">
            <v>41.297812625986587</v>
          </cell>
        </row>
        <row r="37">
          <cell r="I37">
            <v>12.991995728758745</v>
          </cell>
          <cell r="K37">
            <v>1.0385228969283236</v>
          </cell>
          <cell r="T37">
            <v>41.206642934398403</v>
          </cell>
        </row>
        <row r="38">
          <cell r="I38">
            <v>12.972940009695547</v>
          </cell>
          <cell r="K38">
            <v>1.0382386003559865</v>
          </cell>
          <cell r="T38">
            <v>41.112977138132415</v>
          </cell>
        </row>
        <row r="39">
          <cell r="I39">
            <v>12.953648247311923</v>
          </cell>
          <cell r="K39">
            <v>1.0379438095365645</v>
          </cell>
          <cell r="T39">
            <v>41.016813317393655</v>
          </cell>
        </row>
        <row r="40">
          <cell r="I40">
            <v>12.934129347226488</v>
          </cell>
          <cell r="K40">
            <v>1.037638359628839</v>
          </cell>
          <cell r="T40">
            <v>40.9181508749611</v>
          </cell>
        </row>
        <row r="41">
          <cell r="I41">
            <v>12.914392079974427</v>
          </cell>
          <cell r="K41">
            <v>1.0373220917029544</v>
          </cell>
          <cell r="T41">
            <v>40.816990577542512</v>
          </cell>
        </row>
        <row r="42">
          <cell r="I42">
            <v>12.894445074317558</v>
          </cell>
          <cell r="K42">
            <v>1.0369948530659916</v>
          </cell>
          <cell r="T42">
            <v>40.713334594263301</v>
          </cell>
        </row>
        <row r="43">
          <cell r="I43">
            <v>12.874296811277606</v>
          </cell>
          <cell r="K43">
            <v>1.0366564975721508</v>
          </cell>
          <cell r="T43">
            <v>40.607186532222627</v>
          </cell>
        </row>
        <row r="44">
          <cell r="I44">
            <v>12.853955618877693</v>
          </cell>
          <cell r="K44">
            <v>1.0363068859173084</v>
          </cell>
          <cell r="T44">
            <v>40.49855146906372</v>
          </cell>
        </row>
        <row r="45">
          <cell r="I45">
            <v>12.833429667575025</v>
          </cell>
          <cell r="K45">
            <v>1.0359458859177855</v>
          </cell>
          <cell r="T45">
            <v>40.387435982518646</v>
          </cell>
        </row>
        <row r="46">
          <cell r="I46">
            <v>12.812726966366139</v>
          </cell>
          <cell r="K46">
            <v>1.0355733727732386</v>
          </cell>
          <cell r="T46">
            <v>40.273848176901005</v>
          </cell>
        </row>
        <row r="47">
          <cell r="I47">
            <v>12.791855359544524</v>
          </cell>
          <cell r="K47">
            <v>1.0351892293136391</v>
          </cell>
          <cell r="T47">
            <v>40.157797706533401</v>
          </cell>
        </row>
        <row r="48">
          <cell r="I48">
            <v>12.770822524089397</v>
          </cell>
          <cell r="K48">
            <v>1.0347933462303829</v>
          </cell>
          <cell r="T48">
            <v>40.03929579610913</v>
          </cell>
        </row>
        <row r="49">
          <cell r="I49">
            <v>12.749635967663192</v>
          </cell>
          <cell r="K49">
            <v>1.0343856222916303</v>
          </cell>
          <cell r="T49">
            <v>39.918355258000474</v>
          </cell>
        </row>
        <row r="50">
          <cell r="I50">
            <v>12.728303027194645</v>
          </cell>
          <cell r="K50">
            <v>1.0339659645420316</v>
          </cell>
          <cell r="T50">
            <v>39.794990506538213</v>
          </cell>
        </row>
        <row r="51">
          <cell r="I51">
            <v>12.706830868023706</v>
          </cell>
          <cell r="K51">
            <v>1.0335342884870602</v>
          </cell>
          <cell r="T51">
            <v>39.669217569298148</v>
          </cell>
        </row>
        <row r="52">
          <cell r="I52">
            <v>12.685226483584112</v>
          </cell>
          <cell r="K52">
            <v>1.033090518262219</v>
          </cell>
          <cell r="T52">
            <v>39.54105409544276</v>
          </cell>
        </row>
        <row r="53">
          <cell r="I53">
            <v>12.663496695599086</v>
          </cell>
          <cell r="K53">
            <v>1.0326345867874447</v>
          </cell>
          <cell r="T53">
            <v>39.410519361176185</v>
          </cell>
        </row>
        <row r="54">
          <cell r="I54">
            <v>12.641648154765646</v>
          </cell>
          <cell r="K54">
            <v>1.032166435907075</v>
          </cell>
          <cell r="T54">
            <v>39.277634272380226</v>
          </cell>
        </row>
        <row r="55">
          <cell r="I55">
            <v>12.619687341902916</v>
          </cell>
          <cell r="K55">
            <v>1.0316860165157933</v>
          </cell>
          <cell r="T55">
            <v>39.142421364509971</v>
          </cell>
        </row>
        <row r="56">
          <cell r="I56">
            <v>12.597620569540034</v>
          </cell>
          <cell r="K56">
            <v>1.0311932886709996</v>
          </cell>
          <cell r="T56">
            <v>39.004904799834748</v>
          </cell>
        </row>
        <row r="57">
          <cell r="I57">
            <v>12.575453983919491</v>
          </cell>
          <cell r="K57">
            <v>1.0306882216920989</v>
          </cell>
          <cell r="T57">
            <v>38.865110362118791</v>
          </cell>
        </row>
        <row r="58">
          <cell r="I58">
            <v>12.553193567392162</v>
          </cell>
          <cell r="K58">
            <v>1.0301707942472205</v>
          </cell>
          <cell r="T58">
            <v>38.723065448843045</v>
          </cell>
        </row>
        <row r="59">
          <cell r="I59">
            <v>12.530845141180563</v>
          </cell>
          <cell r="K59">
            <v>1.0296409944279203</v>
          </cell>
          <cell r="T59">
            <v>38.578799061075529</v>
          </cell>
        </row>
        <row r="60">
          <cell r="I60">
            <v>12.508414368487685</v>
          </cell>
          <cell r="K60">
            <v>1.0290988198124356</v>
          </cell>
          <cell r="T60">
            <v>38.432341791103383</v>
          </cell>
        </row>
        <row r="61">
          <cell r="I61">
            <v>12.485906757928969</v>
          </cell>
          <cell r="K61">
            <v>1.0285442775180771</v>
          </cell>
          <cell r="T61">
            <v>38.283725807943732</v>
          </cell>
        </row>
        <row r="62">
          <cell r="I62">
            <v>12.485906757928969</v>
          </cell>
          <cell r="K62">
            <v>1.0285442775180771</v>
          </cell>
          <cell r="T62">
            <v>38.283725807943732</v>
          </cell>
        </row>
        <row r="63">
          <cell r="I63">
            <v>12.463327667266025</v>
          </cell>
          <cell r="K63">
            <v>1.0279773842433713</v>
          </cell>
          <cell r="T63">
            <v>38.132984840855237</v>
          </cell>
        </row>
        <row r="64">
          <cell r="I64">
            <v>12.440682307421085</v>
          </cell>
          <cell r="K64">
            <v>1.027398166300562</v>
          </cell>
          <cell r="T64">
            <v>37.980154160973754</v>
          </cell>
        </row>
        <row r="65">
          <cell r="I65">
            <v>12.417975746751987</v>
          </cell>
          <cell r="K65">
            <v>1.0268066596390977</v>
          </cell>
          <cell r="T65">
            <v>37.825270561198415</v>
          </cell>
        </row>
        <row r="66">
          <cell r="I66">
            <v>12.395212915568337</v>
          </cell>
          <cell r="K66">
            <v>1.0262029098607273</v>
          </cell>
          <cell r="T66">
            <v>37.668372334455164</v>
          </cell>
        </row>
        <row r="67">
          <cell r="I67">
            <v>12.372398610870075</v>
          </cell>
          <cell r="K67">
            <v>1.0255869722268318</v>
          </cell>
          <cell r="T67">
            <v>37.509499250465367</v>
          </cell>
        </row>
        <row r="68">
          <cell r="I68">
            <v>12.349537501290623</v>
          </cell>
          <cell r="K68">
            <v>1.0249589116586053</v>
          </cell>
          <cell r="T68">
            <v>37.348692531146071</v>
          </cell>
        </row>
        <row r="69">
          <cell r="I69">
            <v>12.326634132227381</v>
          </cell>
          <cell r="K69">
            <v>1.0243188027306998</v>
          </cell>
          <cell r="T69">
            <v>37.185994824767818</v>
          </cell>
        </row>
        <row r="70">
          <cell r="I70">
            <v>12.303692931143221</v>
          </cell>
          <cell r="K70">
            <v>1.023666729658925</v>
          </cell>
          <cell r="T70">
            <v>37.021450178993661</v>
          </cell>
        </row>
        <row r="71">
          <cell r="I71">
            <v>12.280718213023388</v>
          </cell>
          <cell r="K71">
            <v>1.0230027862825883</v>
          </cell>
          <cell r="T71">
            <v>36.855104012919824</v>
          </cell>
        </row>
        <row r="72">
          <cell r="I72">
            <v>12.25771418597288</v>
          </cell>
          <cell r="K72">
            <v>1.0223270760420269</v>
          </cell>
          <cell r="T72">
            <v>36.687003088236096</v>
          </cell>
        </row>
        <row r="73">
          <cell r="I73">
            <v>12.234684956940034</v>
          </cell>
          <cell r="K73">
            <v>1.0216397119518779</v>
          </cell>
          <cell r="T73">
            <v>36.517195479618834</v>
          </cell>
        </row>
        <row r="74">
          <cell r="I74">
            <v>12.211634537553067</v>
          </cell>
          <cell r="K74">
            <v>1.0209408165705878</v>
          </cell>
          <cell r="T74">
            <v>36.345730544465582</v>
          </cell>
        </row>
        <row r="75">
          <cell r="I75">
            <v>12.1885668500564</v>
          </cell>
          <cell r="K75">
            <v>1.0202305219666468</v>
          </cell>
          <cell r="T75">
            <v>36.172658892075304</v>
          </cell>
        </row>
        <row r="76">
          <cell r="I76">
            <v>12.165485733334812</v>
          </cell>
          <cell r="K76">
            <v>1.0195089696819948</v>
          </cell>
          <cell r="T76">
            <v>35.998032352371688</v>
          </cell>
        </row>
        <row r="77">
          <cell r="I77">
            <v>12.142394949013712</v>
          </cell>
          <cell r="K77">
            <v>1.0187763106930137</v>
          </cell>
          <cell r="T77">
            <v>35.82190394426226</v>
          </cell>
        </row>
        <row r="78">
          <cell r="I78">
            <v>12.119298187624363</v>
          </cell>
          <cell r="K78">
            <v>1.018032705369482</v>
          </cell>
          <cell r="T78">
            <v>35.644327843718507</v>
          </cell>
        </row>
        <row r="79">
          <cell r="I79">
            <v>12.096199074823641</v>
          </cell>
          <cell r="K79">
            <v>1.0172783234318352</v>
          </cell>
          <cell r="T79">
            <v>35.465359351656311</v>
          </cell>
        </row>
        <row r="80">
          <cell r="I80">
            <v>12.073101177658092</v>
          </cell>
          <cell r="K80">
            <v>1.016513343907022</v>
          </cell>
          <cell r="T80">
            <v>35.285054861688451</v>
          </cell>
        </row>
        <row r="81">
          <cell r="I81">
            <v>12.050008010862662</v>
          </cell>
          <cell r="K81">
            <v>1.0157379550832217</v>
          </cell>
          <cell r="T81">
            <v>35.103471827814516</v>
          </cell>
        </row>
        <row r="82">
          <cell r="I82">
            <v>12.026923043184821</v>
          </cell>
          <cell r="K82">
            <v>1.0149523544636272</v>
          </cell>
          <cell r="T82">
            <v>34.920668732105412</v>
          </cell>
        </row>
        <row r="83">
          <cell r="I83">
            <v>12.003849703725068</v>
          </cell>
          <cell r="K83">
            <v>1.0141567487194687</v>
          </cell>
          <cell r="T83">
            <v>34.736705052432924</v>
          </cell>
        </row>
        <row r="84">
          <cell r="I84">
            <v>11.980791388285134</v>
          </cell>
          <cell r="K84">
            <v>1.0133513536423984</v>
          </cell>
          <cell r="T84">
            <v>34.551641230287451</v>
          </cell>
        </row>
        <row r="85">
          <cell r="I85">
            <v>11.957751465715512</v>
          </cell>
          <cell r="K85">
            <v>1.0125363940963121</v>
          </cell>
          <cell r="T85">
            <v>34.36553863871918</v>
          </cell>
        </row>
        <row r="86">
          <cell r="I86">
            <v>11.934733284254012</v>
          </cell>
          <cell r="K86">
            <v>1.011712103968645</v>
          </cell>
          <cell r="T86">
            <v>34.1784595504311</v>
          </cell>
        </row>
        <row r="87">
          <cell r="I87">
            <v>11.911740177847248</v>
          </cell>
          <cell r="K87">
            <v>1.0108787261211196</v>
          </cell>
          <cell r="T87">
            <v>33.990467106044939</v>
          </cell>
        </row>
        <row r="88">
          <cell r="I88">
            <v>11.888775472447131</v>
          </cell>
          <cell r="K88">
            <v>1.010036512339894</v>
          </cell>
          <cell r="T88">
            <v>33.801625282554461</v>
          </cell>
        </row>
        <row r="89">
          <cell r="I89">
            <v>11.865842492274421</v>
          </cell>
          <cell r="K89">
            <v>1.0091857232849979</v>
          </cell>
          <cell r="T89">
            <v>33.61199886197312</v>
          </cell>
        </row>
        <row r="90">
          <cell r="I90">
            <v>11.842944566041432</v>
          </cell>
          <cell r="K90">
            <v>1.0083266284389116</v>
          </cell>
          <cell r="T90">
            <v>33.421653400177576</v>
          </cell>
        </row>
        <row r="91">
          <cell r="I91">
            <v>11.820085033125993</v>
          </cell>
          <cell r="K91">
            <v>1.0074595060540923</v>
          </cell>
          <cell r="T91">
            <v>33.230655195941289</v>
          </cell>
        </row>
        <row r="92">
          <cell r="I92">
            <v>11.797267249688634</v>
          </cell>
          <cell r="K92">
            <v>1.0065846430992109</v>
          </cell>
          <cell r="T92">
            <v>33.03907126014785</v>
          </cell>
        </row>
        <row r="93">
          <cell r="I93">
            <v>11.774494594725017</v>
          </cell>
          <cell r="K93">
            <v>1.0057023352038255</v>
          </cell>
          <cell r="T93">
            <v>32.846969285166935</v>
          </cell>
        </row>
        <row r="94">
          <cell r="I94">
            <v>11.751770476045246</v>
          </cell>
          <cell r="K94">
            <v>1.0048128866011701</v>
          </cell>
          <cell r="T94">
            <v>32.65441761437198</v>
          </cell>
        </row>
        <row r="95">
          <cell r="I95">
            <v>11.729098336171763</v>
          </cell>
          <cell r="K95">
            <v>1.0039166100687127</v>
          </cell>
          <cell r="T95">
            <v>32.461485211773081</v>
          </cell>
        </row>
        <row r="96">
          <cell r="I96">
            <v>11.706481658147139</v>
          </cell>
          <cell r="K96">
            <v>1.003013826866084</v>
          </cell>
          <cell r="T96">
            <v>32.268241631734995</v>
          </cell>
        </row>
        <row r="97">
          <cell r="I97">
            <v>11.683923971242983</v>
          </cell>
          <cell r="K97">
            <v>1.0021048666699626</v>
          </cell>
          <cell r="T97">
            <v>32.074756988746543</v>
          </cell>
        </row>
        <row r="98">
          <cell r="I98">
            <v>11.661428856560702</v>
          </cell>
          <cell r="K98">
            <v>1.0011900675054584</v>
          </cell>
          <cell r="T98">
            <v>31.881101927204124</v>
          </cell>
        </row>
        <row r="99">
          <cell r="I99">
            <v>11.638999952514853</v>
          </cell>
          <cell r="K99">
            <v>1.0002697756735133</v>
          </cell>
          <cell r="T99">
            <v>31.687347591169619</v>
          </cell>
        </row>
        <row r="100">
          <cell r="I100">
            <v>11.616640960189132</v>
          </cell>
          <cell r="K100">
            <v>0.99934434567381758</v>
          </cell>
          <cell r="T100">
            <v>31.493565594061103</v>
          </cell>
        </row>
        <row r="101">
          <cell r="I101">
            <v>11.594355648555021</v>
          </cell>
          <cell r="K101">
            <v>0.99841414012270413</v>
          </cell>
          <cell r="T101">
            <v>31.299827988232465</v>
          </cell>
        </row>
        <row r="102">
          <cell r="I102">
            <v>11.5721478595426</v>
          </cell>
          <cell r="K102">
            <v>0.99747952966548015</v>
          </cell>
          <cell r="T102">
            <v>31.106207234397623</v>
          </cell>
        </row>
        <row r="103">
          <cell r="I103">
            <v>11.55002151295256</v>
          </cell>
          <cell r="K103">
            <v>0.99654089288262615</v>
          </cell>
          <cell r="T103">
            <v>30.912776170854091</v>
          </cell>
        </row>
        <row r="104">
          <cell r="I104">
            <v>11.527980611198263</v>
          </cell>
          <cell r="K104">
            <v>0.99559861618928736</v>
          </cell>
          <cell r="T104">
            <v>30.719607982460538</v>
          </cell>
        </row>
        <row r="105">
          <cell r="I105">
            <v>11.506029243866161</v>
          </cell>
          <cell r="K105">
            <v>0.99465309372746913</v>
          </cell>
          <cell r="T105">
            <v>30.526776169323703</v>
          </cell>
        </row>
        <row r="106">
          <cell r="I106">
            <v>11.484171592082447</v>
          </cell>
          <cell r="K106">
            <v>0.9937047272503452</v>
          </cell>
          <cell r="T106">
            <v>30.334354515150523</v>
          </cell>
        </row>
        <row r="107">
          <cell r="I107">
            <v>11.462411932673533</v>
          </cell>
          <cell r="K107">
            <v>0.99275392599807921</v>
          </cell>
          <cell r="T107">
            <v>30.142417055223362</v>
          </cell>
        </row>
        <row r="108">
          <cell r="I108">
            <v>11.440754642107416</v>
          </cell>
          <cell r="K108">
            <v>0.99180110656457066</v>
          </cell>
          <cell r="T108">
            <v>29.951038043957332</v>
          </cell>
        </row>
        <row r="109">
          <cell r="I109">
            <v>11.419204200202659</v>
          </cell>
          <cell r="K109">
            <v>0.99084669275453241</v>
          </cell>
          <cell r="T109">
            <v>29.760291922001649</v>
          </cell>
        </row>
        <row r="110">
          <cell r="I110">
            <v>11.397765193591368</v>
          </cell>
          <cell r="K110">
            <v>0.9898911154303186</v>
          </cell>
          <cell r="T110">
            <v>29.570253282849443</v>
          </cell>
        </row>
        <row r="111">
          <cell r="I111">
            <v>11.376442318922143</v>
          </cell>
          <cell r="K111">
            <v>0.98893481234793812</v>
          </cell>
          <cell r="T111">
            <v>29.380996838923444</v>
          </cell>
        </row>
        <row r="112">
          <cell r="I112">
            <v>11.355240385788584</v>
          </cell>
          <cell r="K112">
            <v>0.9879782279816971</v>
          </cell>
          <cell r="T112">
            <v>29.192597387108517</v>
          </cell>
        </row>
        <row r="113">
          <cell r="I113">
            <v>11.334164319368824</v>
          </cell>
          <cell r="K113">
            <v>0.98702181333694017</v>
          </cell>
          <cell r="T113">
            <v>29.005129773706106</v>
          </cell>
        </row>
        <row r="114">
          <cell r="I114">
            <v>11.313219162761063</v>
          </cell>
          <cell r="K114">
            <v>0.98606602575038249</v>
          </cell>
          <cell r="T114">
            <v>28.818668858789103</v>
          </cell>
        </row>
        <row r="115">
          <cell r="I115">
            <v>11.292410079000071</v>
          </cell>
          <cell r="K115">
            <v>0.98511132867754536</v>
          </cell>
          <cell r="T115">
            <v>28.633289479940686</v>
          </cell>
        </row>
        <row r="116">
          <cell r="I116">
            <v>11.27174235273929</v>
          </cell>
          <cell r="K116">
            <v>0.98415819146685024</v>
          </cell>
          <cell r="T116">
            <v>28.449066415364875</v>
          </cell>
        </row>
        <row r="117">
          <cell r="I117">
            <v>11.251221391583176</v>
          </cell>
          <cell r="K117">
            <v>0.98320708911994803</v>
          </cell>
          <cell r="T117">
            <v>28.266074346361314</v>
          </cell>
        </row>
        <row r="118">
          <cell r="I118">
            <v>11.230852727054316</v>
          </cell>
          <cell r="K118">
            <v>0.98225850203790688</v>
          </cell>
          <cell r="T118">
            <v>28.08438781916194</v>
          </cell>
        </row>
        <row r="119">
          <cell r="I119">
            <v>11.210642015179907</v>
          </cell>
          <cell r="K119">
            <v>0.98131291575291579</v>
          </cell>
          <cell r="T119">
            <v>27.904081206131991</v>
          </cell>
        </row>
        <row r="120">
          <cell r="I120">
            <v>11.190595036682291</v>
          </cell>
          <cell r="K120">
            <v>0.98037082064520997</v>
          </cell>
          <cell r="T120">
            <v>27.725228666343192</v>
          </cell>
        </row>
        <row r="121">
          <cell r="I121">
            <v>11.170717696758381</v>
          </cell>
          <cell r="K121">
            <v>0.97943271164497014</v>
          </cell>
          <cell r="T121">
            <v>27.547904105531607</v>
          </cell>
        </row>
        <row r="122">
          <cell r="I122">
            <v>11.15101602443325</v>
          </cell>
          <cell r="K122">
            <v>0.97849908791898976</v>
          </cell>
          <cell r="T122">
            <v>27.372181135458487</v>
          </cell>
        </row>
        <row r="123">
          <cell r="I123">
            <v>11.131496171473273</v>
          </cell>
          <cell r="K123">
            <v>0.97757045254197084</v>
          </cell>
          <cell r="T123">
            <v>27.198133032696809</v>
          </cell>
        </row>
        <row r="124">
          <cell r="I124">
            <v>11.112164410845079</v>
          </cell>
          <cell r="K124">
            <v>0.97664731215234668</v>
          </cell>
          <cell r="T124">
            <v>27.025832696871763</v>
          </cell>
        </row>
        <row r="125">
          <cell r="I125">
            <v>11.093027134706757</v>
          </cell>
          <cell r="K125">
            <v>0.97573017659260319</v>
          </cell>
          <cell r="T125">
            <v>26.855352608387982</v>
          </cell>
        </row>
        <row r="126">
          <cell r="I126">
            <v>11.074090851918852</v>
          </cell>
          <cell r="K126">
            <v>0.97481955853411284</v>
          </cell>
          <cell r="T126">
            <v>26.686764785681291</v>
          </cell>
        </row>
        <row r="127">
          <cell r="I127">
            <v>11.055362185063325</v>
          </cell>
          <cell r="K127">
            <v>0.97391597308657185</v>
          </cell>
          <cell r="T127">
            <v>26.520140742037025</v>
          </cell>
        </row>
        <row r="128">
          <cell r="I128">
            <v>11.036847866959667</v>
          </cell>
          <cell r="K128">
            <v>0.97301993739218018</v>
          </cell>
          <cell r="T128">
            <v>26.355551442021564</v>
          </cell>
        </row>
        <row r="129">
          <cell r="I129">
            <v>11.018554736668527</v>
          </cell>
          <cell r="K129">
            <v>0.97213197020477449</v>
          </cell>
          <cell r="T129">
            <v>26.193067257577663</v>
          </cell>
        </row>
        <row r="130">
          <cell r="I130">
            <v>11.000489734974462</v>
          </cell>
          <cell r="K130">
            <v>0.97125259145418985</v>
          </cell>
          <cell r="T130">
            <v>26.032757923837824</v>
          </cell>
        </row>
        <row r="131">
          <cell r="I131">
            <v>10.982659899340732</v>
          </cell>
          <cell r="K131">
            <v>0.97038232179618111</v>
          </cell>
          <cell r="T131">
            <v>25.874692494713734</v>
          </cell>
        </row>
        <row r="132">
          <cell r="I132">
            <v>10.965072358330648</v>
          </cell>
          <cell r="K132">
            <v>0.96952168214831635</v>
          </cell>
          <cell r="T132">
            <v>25.718939298322645</v>
          </cell>
        </row>
        <row r="133">
          <cell r="I133">
            <v>10.947734325491757</v>
          </cell>
          <cell r="K133">
            <v>0.96867119321230488</v>
          </cell>
          <cell r="T133">
            <v>25.565565892314495</v>
          </cell>
        </row>
        <row r="134">
          <cell r="I134">
            <v>10.930653092700721</v>
          </cell>
          <cell r="K134">
            <v>0.9678313749832993</v>
          </cell>
          <cell r="T134">
            <v>25.414639019166131</v>
          </cell>
        </row>
        <row r="135">
          <cell r="I135">
            <v>10.913836022969011</v>
          </cell>
          <cell r="K135">
            <v>0.96700274624676985</v>
          </cell>
          <cell r="T135">
            <v>25.26622456151059</v>
          </cell>
        </row>
        <row r="136">
          <cell r="I136">
            <v>10.897290542711382</v>
          </cell>
          <cell r="K136">
            <v>0.96618582406361775</v>
          </cell>
          <cell r="T136">
            <v>25.120387497571706</v>
          </cell>
        </row>
        <row r="137">
          <cell r="I137">
            <v>10.881024133481446</v>
          </cell>
          <cell r="K137">
            <v>0.96538112324425585</v>
          </cell>
          <cell r="T137">
            <v>24.977191856775008</v>
          </cell>
        </row>
        <row r="138">
          <cell r="I138">
            <v>10.865044323181046</v>
          </cell>
          <cell r="K138">
            <v>0.96458915581244764</v>
          </cell>
          <cell r="T138">
            <v>24.836700675606831</v>
          </cell>
        </row>
        <row r="139">
          <cell r="I139">
            <v>10.849358676752436</v>
          </cell>
          <cell r="K139">
            <v>0.96381043045975534</v>
          </cell>
          <cell r="T139">
            <v>24.698975953794339</v>
          </cell>
        </row>
        <row r="140">
          <cell r="I140">
            <v>10.833974786365069</v>
          </cell>
          <cell r="K140">
            <v>0.96304545199151148</v>
          </cell>
          <cell r="T140">
            <v>24.564078610878632</v>
          </cell>
        </row>
        <row r="141">
          <cell r="I141">
            <v>10.818900261111278</v>
          </cell>
          <cell r="K141">
            <v>0.96229472076527511</v>
          </cell>
          <cell r="T141">
            <v>24.432068443253335</v>
          </cell>
        </row>
        <row r="142">
          <cell r="I142">
            <v>10.804142716228</v>
          </cell>
          <cell r="K142">
            <v>0.96155873212279996</v>
          </cell>
          <cell r="T142">
            <v>24.3030040817398</v>
          </cell>
        </row>
        <row r="143">
          <cell r="I143">
            <v>10.78970976186449</v>
          </cell>
          <cell r="K143">
            <v>0.9608379758165817</v>
          </cell>
          <cell r="T143">
            <v>24.176942949769266</v>
          </cell>
        </row>
        <row r="144">
          <cell r="I144">
            <v>10.775608991418745</v>
          </cell>
          <cell r="K144">
            <v>0.96013293543210909</v>
          </cell>
          <cell r="T144">
            <v>24.053941222240866</v>
          </cell>
        </row>
        <row r="145">
          <cell r="I145">
            <v>10.761847969468413</v>
          </cell>
          <cell r="K145">
            <v>0.95944408780698176</v>
          </cell>
          <cell r="T145">
            <v>23.934053785122181</v>
          </cell>
        </row>
        <row r="146">
          <cell r="I146">
            <v>10.748434219324782</v>
          </cell>
          <cell r="K146">
            <v>0.95877190244810251</v>
          </cell>
          <cell r="T146">
            <v>23.81733419585737</v>
          </cell>
        </row>
        <row r="147">
          <cell r="I147">
            <v>10.735375210241287</v>
          </cell>
          <cell r="K147">
            <v>0.95811684094818839</v>
          </cell>
          <cell r="T147">
            <v>23.703834644645326</v>
          </cell>
        </row>
        <row r="148">
          <cell r="I148">
            <v>10.722678344310896</v>
          </cell>
          <cell r="K148">
            <v>0.95747935640287785</v>
          </cell>
          <cell r="T148">
            <v>23.593605916647533</v>
          </cell>
        </row>
        <row r="149">
          <cell r="I149">
            <v>10.710350943089647</v>
          </cell>
          <cell r="K149">
            <v>0.95685989282974016</v>
          </cell>
          <cell r="T149">
            <v>23.486697355182486</v>
          </cell>
        </row>
        <row r="150">
          <cell r="I150">
            <v>10.698400233986028</v>
          </cell>
          <cell r="K150">
            <v>0.95625888459052066</v>
          </cell>
          <cell r="T150">
            <v>23.38315682596054</v>
          </cell>
        </row>
        <row r="151">
          <cell r="I151">
            <v>10.686833336458804</v>
          </cell>
          <cell r="K151">
            <v>0.95567675581796974</v>
          </cell>
          <cell r="T151">
            <v>23.283030682409645</v>
          </cell>
        </row>
        <row r="152">
          <cell r="I152">
            <v>10.675657248068191</v>
          </cell>
          <cell r="K152">
            <v>0.95511391984862659</v>
          </cell>
          <cell r="T152">
            <v>23.186363732139114</v>
          </cell>
        </row>
        <row r="153">
          <cell r="I153">
            <v>10.66487883042762</v>
          </cell>
          <cell r="K153">
            <v>0.95457077866293116</v>
          </cell>
          <cell r="T153">
            <v>23.093199204585154</v>
          </cell>
        </row>
        <row r="154">
          <cell r="I154">
            <v>10.654504795105451</v>
          </cell>
          <cell r="K154">
            <v>0.95404772233404822</v>
          </cell>
          <cell r="T154">
            <v>23.003578719878121</v>
          </cell>
        </row>
        <row r="155">
          <cell r="I155">
            <v>10.64454168952793</v>
          </cell>
          <cell r="K155">
            <v>0.95354512848678641</v>
          </cell>
          <cell r="T155">
            <v>22.917542258968254</v>
          </cell>
        </row>
        <row r="156">
          <cell r="I156">
            <v>10.634995882936208</v>
          </cell>
          <cell r="K156">
            <v>0.95306336176798911</v>
          </cell>
          <cell r="T156">
            <v>22.835128135042794</v>
          </cell>
        </row>
        <row r="157">
          <cell r="I157">
            <v>10.625873552451839</v>
          </cell>
          <cell r="K157">
            <v>0.95260277332976384</v>
          </cell>
          <cell r="T157">
            <v>22.756372966264053</v>
          </cell>
        </row>
        <row r="158">
          <cell r="I158">
            <v>10.617180669306048</v>
          </cell>
          <cell r="K158">
            <v>0.95216370032690345</v>
          </cell>
          <cell r="T158">
            <v>22.681311649854528</v>
          </cell>
        </row>
        <row r="159">
          <cell r="I159">
            <v>10.608922985289027</v>
          </cell>
          <cell r="K159">
            <v>0.95174646542982722</v>
          </cell>
          <cell r="T159">
            <v>22.609977337551737</v>
          </cell>
        </row>
        <row r="160">
          <cell r="I160">
            <v>10.601106019475857</v>
          </cell>
          <cell r="K160">
            <v>0.95135137635435019</v>
          </cell>
          <cell r="T160">
            <v>22.542401412452758</v>
          </cell>
        </row>
        <row r="161">
          <cell r="I161">
            <v>10.593735045285838</v>
          </cell>
          <cell r="K161">
            <v>0.9509787254095502</v>
          </cell>
          <cell r="T161">
            <v>22.478613467264381</v>
          </cell>
        </row>
        <row r="162">
          <cell r="I162">
            <v>10.586815077931689</v>
          </cell>
          <cell r="K162">
            <v>0.95062878906497217</v>
          </cell>
          <cell r="T162">
            <v>22.418641283973457</v>
          </cell>
        </row>
        <row r="163">
          <cell r="I163">
            <v>10.580350862314617</v>
          </cell>
          <cell r="K163">
            <v>0.95030182753836612</v>
          </cell>
          <cell r="T163">
            <v>22.362510814947974</v>
          </cell>
        </row>
        <row r="164">
          <cell r="I164">
            <v>10.57434686142002</v>
          </cell>
          <cell r="K164">
            <v>0.94999808440510503</v>
          </cell>
          <cell r="T164">
            <v>22.310246165477785</v>
          </cell>
        </row>
        <row r="165">
          <cell r="I165">
            <v>10.568807245267474</v>
          </cell>
          <cell r="K165">
            <v>0.94971778623038505</v>
          </cell>
          <cell r="T165">
            <v>22.261869577761775</v>
          </cell>
        </row>
        <row r="166">
          <cell r="I166">
            <v>10.563735880466673</v>
          </cell>
          <cell r="K166">
            <v>0.94946114222524891</v>
          </cell>
          <cell r="T166">
            <v>22.217401416345737</v>
          </cell>
        </row>
        <row r="167">
          <cell r="I167">
            <v>10.559136320429129</v>
          </cell>
          <cell r="K167">
            <v>0.9492283439274154</v>
          </cell>
          <cell r="T167">
            <v>22.176860155014239</v>
          </cell>
        </row>
        <row r="168">
          <cell r="I168">
            <v>10.555011796282567</v>
          </cell>
          <cell r="K168">
            <v>0.94901956490783757</v>
          </cell>
          <cell r="T168">
            <v>22.140262365137801</v>
          </cell>
        </row>
        <row r="169">
          <cell r="I169">
            <v>10.551365208532534</v>
          </cell>
          <cell r="K169">
            <v>0.94883496050383698</v>
          </cell>
          <cell r="T169">
            <v>22.107622705475894</v>
          </cell>
        </row>
        <row r="170">
          <cell r="I170">
            <v>10.54819911951218</v>
          </cell>
          <cell r="K170">
            <v>0.9486746675795964</v>
          </cell>
          <cell r="T170">
            <v>22.078953913434933</v>
          </cell>
        </row>
        <row r="171">
          <cell r="I171">
            <v>10.545515746657909</v>
          </cell>
          <cell r="K171">
            <v>0.94853880431471793</v>
          </cell>
          <cell r="T171">
            <v>22.054266797780116</v>
          </cell>
        </row>
        <row r="172">
          <cell r="I172">
            <v>10.543316956644638</v>
          </cell>
          <cell r="K172">
            <v>0.94842747002147099</v>
          </cell>
          <cell r="T172">
            <v>22.033570232799129</v>
          </cell>
        </row>
        <row r="173">
          <cell r="I173">
            <v>10.541604260410397</v>
          </cell>
          <cell r="K173">
            <v>0.94834074499127929</v>
          </cell>
          <cell r="T173">
            <v>22.016871153915464</v>
          </cell>
        </row>
        <row r="174">
          <cell r="I174">
            <v>10.540378809095687</v>
          </cell>
          <cell r="K174">
            <v>0.94827869037091239</v>
          </cell>
          <cell r="T174">
            <v>22.004174554749007</v>
          </cell>
        </row>
        <row r="175">
          <cell r="I175">
            <v>10.539641390918483</v>
          </cell>
          <cell r="K175">
            <v>0.94824134806875726</v>
          </cell>
          <cell r="T175">
            <v>21.995483485621605</v>
          </cell>
        </row>
        <row r="176">
          <cell r="I176">
            <v>10.539392429001008</v>
          </cell>
          <cell r="K176">
            <v>0.94822874069146967</v>
          </cell>
          <cell r="T176">
            <v>21.990799053505</v>
          </cell>
        </row>
        <row r="177">
          <cell r="I177">
            <v>10.539631980159754</v>
          </cell>
          <cell r="K177">
            <v>0.9482408715112014</v>
          </cell>
          <cell r="T177">
            <v>21.990120423409326</v>
          </cell>
        </row>
        <row r="178">
          <cell r="I178">
            <v>10.540359734665067</v>
          </cell>
          <cell r="K178">
            <v>0.94827772446352887</v>
          </cell>
          <cell r="T178">
            <v>21.993444821210002</v>
          </cell>
        </row>
        <row r="179">
          <cell r="I179">
            <v>10.541575016971914</v>
          </cell>
          <cell r="K179">
            <v>0.94833926417610326</v>
          </cell>
          <cell r="T179">
            <v>22.000767537911535</v>
          </cell>
        </row>
        <row r="180">
          <cell r="I180">
            <v>10.543276787418177</v>
          </cell>
          <cell r="K180">
            <v>0.94842543602796126</v>
          </cell>
          <cell r="T180">
            <v>22.012081935346771</v>
          </cell>
        </row>
        <row r="181">
          <cell r="I181">
            <v>10.545463644882119</v>
          </cell>
          <cell r="K181">
            <v>0.94853616623934689</v>
          </cell>
          <cell r="T181">
            <v>22.027379453310431</v>
          </cell>
        </row>
        <row r="182">
          <cell r="I182">
            <v>10.548133830385645</v>
          </cell>
          <cell r="K182">
            <v>0.94867136199179813</v>
          </cell>
          <cell r="T182">
            <v>22.046649618125883</v>
          </cell>
        </row>
        <row r="183">
          <cell r="I183">
            <v>10.551285231625181</v>
          </cell>
          <cell r="K183">
            <v>0.94883091157817412</v>
          </cell>
          <cell r="T183">
            <v>22.069880052644166</v>
          </cell>
        </row>
        <row r="184">
          <cell r="I184">
            <v>10.554915388407521</v>
          </cell>
          <cell r="K184">
            <v>0.94901468458220362</v>
          </cell>
          <cell r="T184">
            <v>22.097056487674202</v>
          </cell>
        </row>
        <row r="185">
          <cell r="I185">
            <v>10.559021498963354</v>
          </cell>
          <cell r="K185">
            <v>0.94922253208705598</v>
          </cell>
          <cell r="T185">
            <v>22.12816277484286</v>
          </cell>
        </row>
        <row r="186">
          <cell r="I186">
            <v>10.563600427107158</v>
          </cell>
          <cell r="K186">
            <v>0.94945428691235023</v>
          </cell>
          <cell r="T186">
            <v>22.16318090088307</v>
          </cell>
        </row>
        <row r="187">
          <cell r="I187">
            <v>10.568648710207977</v>
          </cell>
          <cell r="K187">
            <v>0.94970976387893824</v>
          </cell>
          <cell r="T187">
            <v>22.20209100334764</v>
          </cell>
        </row>
        <row r="188">
          <cell r="I188">
            <v>10.57416256793211</v>
          </cell>
          <cell r="K188">
            <v>0.9499887601007182</v>
          </cell>
          <cell r="T188">
            <v>22.244871387745548</v>
          </cell>
        </row>
        <row r="189">
          <cell r="I189">
            <v>10.580137911715219</v>
          </cell>
          <cell r="K189">
            <v>0.95029105530266378</v>
          </cell>
          <cell r="T189">
            <v>22.291498546096314</v>
          </cell>
        </row>
        <row r="190">
          <cell r="I190">
            <v>10.586570354918337</v>
          </cell>
          <cell r="K190">
            <v>0.95061641216417903</v>
          </cell>
          <cell r="T190">
            <v>22.341947176896817</v>
          </cell>
        </row>
        <row r="191">
          <cell r="I191">
            <v>10.593455223619625</v>
          </cell>
          <cell r="K191">
            <v>0.95096457668682222</v>
          </cell>
          <cell r="T191">
            <v>22.396190206493252</v>
          </cell>
        </row>
        <row r="192">
          <cell r="I192">
            <v>10.600787567991276</v>
          </cell>
          <cell r="K192">
            <v>0.95133527858537681</v>
          </cell>
          <cell r="T192">
            <v>22.454198811849096</v>
          </cell>
        </row>
        <row r="193">
          <cell r="I193">
            <v>10.608562174209084</v>
          </cell>
          <cell r="K193">
            <v>0.95172823170119347</v>
          </cell>
          <cell r="T193">
            <v>22.515942444697764</v>
          </cell>
        </row>
        <row r="194">
          <cell r="I194">
            <v>10.616773576840487</v>
          </cell>
          <cell r="K194">
            <v>0.95214313443666077</v>
          </cell>
          <cell r="T194">
            <v>22.581388857066401</v>
          </cell>
        </row>
        <row r="195">
          <cell r="I195">
            <v>10.625416071655851</v>
          </cell>
          <cell r="K195">
            <v>0.95257967020962231</v>
          </cell>
          <cell r="T195">
            <v>22.650504128154459</v>
          </cell>
        </row>
        <row r="196">
          <cell r="I196">
            <v>10.634483728806718</v>
          </cell>
          <cell r="K196">
            <v>0.95303750792650499</v>
          </cell>
          <cell r="T196">
            <v>22.723252692547995</v>
          </cell>
        </row>
        <row r="197">
          <cell r="I197">
            <v>10.643970406314452</v>
          </cell>
          <cell r="K197">
            <v>0.95351630247288299</v>
          </cell>
          <cell r="T197">
            <v>22.79959736974741</v>
          </cell>
        </row>
        <row r="198">
          <cell r="I198">
            <v>10.653869763812521</v>
          </cell>
          <cell r="K198">
            <v>0.95401569522016727</v>
          </cell>
          <cell r="T198">
            <v>22.879499394983263</v>
          </cell>
        </row>
        <row r="199">
          <cell r="I199">
            <v>10.664175276485974</v>
          </cell>
          <cell r="K199">
            <v>0.95453531454708007</v>
          </cell>
          <cell r="T199">
            <v>22.962918451291131</v>
          </cell>
        </row>
        <row r="200">
          <cell r="I200">
            <v>10.674880249152137</v>
          </cell>
          <cell r="K200">
            <v>0.95507477637454152</v>
          </cell>
          <cell r="T200">
            <v>23.049812702813032</v>
          </cell>
        </row>
        <row r="201">
          <cell r="I201">
            <v>10.685977830427753</v>
          </cell>
          <cell r="K201">
            <v>0.9556336847125847</v>
          </cell>
          <cell r="T201">
            <v>23.140138829289349</v>
          </cell>
        </row>
        <row r="202">
          <cell r="I202">
            <v>10.69746102692859</v>
          </cell>
          <cell r="K202">
            <v>0.95621163221789329</v>
          </cell>
          <cell r="T202">
            <v>23.233852061700922</v>
          </cell>
        </row>
        <row r="203">
          <cell r="I203">
            <v>10.709322717449501</v>
          </cell>
          <cell r="K203">
            <v>0.95680820076054496</v>
          </cell>
          <cell r="T203">
            <v>23.330906219017812</v>
          </cell>
        </row>
        <row r="204">
          <cell r="I204">
            <v>10.721555667074277</v>
          </cell>
          <cell r="K204">
            <v>0.95742296199854815</v>
          </cell>
          <cell r="T204">
            <v>23.431253746006767</v>
          </cell>
        </row>
        <row r="205">
          <cell r="I205">
            <v>10.734152541166916</v>
          </cell>
          <cell r="K205">
            <v>0.95805547795874668</v>
          </cell>
          <cell r="T205">
            <v>23.534845752045989</v>
          </cell>
        </row>
        <row r="206">
          <cell r="I206">
            <v>10.747105919197939</v>
          </cell>
          <cell r="K206">
            <v>0.9587053016226873</v>
          </cell>
          <cell r="T206">
            <v>23.641632050891843</v>
          </cell>
        </row>
        <row r="207">
          <cell r="I207">
            <v>10.760408308361818</v>
          </cell>
          <cell r="K207">
            <v>0.95937197751604364</v>
          </cell>
          <cell r="T207">
            <v>23.751561201338504</v>
          </cell>
        </row>
        <row r="208">
          <cell r="I208">
            <v>10.774052156944194</v>
          </cell>
          <cell r="K208">
            <v>0.96005504230021532</v>
          </cell>
          <cell r="T208">
            <v>23.864580548707934</v>
          </cell>
        </row>
        <row r="209">
          <cell r="I209">
            <v>10.788029867400006</v>
          </cell>
          <cell r="K209">
            <v>0.96075402536473475</v>
          </cell>
          <cell r="T209">
            <v>23.980636267104472</v>
          </cell>
        </row>
        <row r="210">
          <cell r="I210">
            <v>10.802333809106663</v>
          </cell>
          <cell r="K210">
            <v>0.96146844941914744</v>
          </cell>
          <cell r="T210">
            <v>24.099673402364708</v>
          </cell>
        </row>
        <row r="211">
          <cell r="I211">
            <v>10.81695633075898</v>
          </cell>
          <cell r="K211">
            <v>0.96219783108305346</v>
          </cell>
          <cell r="T211">
            <v>24.221635915630831</v>
          </cell>
        </row>
        <row r="212">
          <cell r="I212">
            <v>10.831889772375648</v>
          </cell>
          <cell r="K212">
            <v>0.96294168147303771</v>
          </cell>
          <cell r="T212">
            <v>24.346466727472635</v>
          </cell>
        </row>
        <row r="213">
          <cell r="I213">
            <v>10.84712647688978</v>
          </cell>
          <cell r="K213">
            <v>0.96369950678525729</v>
          </cell>
          <cell r="T213">
            <v>24.474107762481303</v>
          </cell>
        </row>
        <row r="214">
          <cell r="I214">
            <v>10.86265880129913</v>
          </cell>
          <cell r="K214">
            <v>0.96447080887248837</v>
          </cell>
          <cell r="T214">
            <v>24.60449999425596</v>
          </cell>
        </row>
        <row r="215">
          <cell r="I215">
            <v>10.87847912735425</v>
          </cell>
          <cell r="K215">
            <v>0.96525508581449126</v>
          </cell>
          <cell r="T215">
            <v>24.7375834907022</v>
          </cell>
        </row>
        <row r="216">
          <cell r="I216">
            <v>10.894579871765924</v>
          </cell>
          <cell r="K216">
            <v>0.96605183248059556</v>
          </cell>
          <cell r="T216">
            <v>24.873297459560863</v>
          </cell>
        </row>
        <row r="217">
          <cell r="I217">
            <v>10.910953495915864</v>
          </cell>
          <cell r="K217">
            <v>0.96686054108346287</v>
          </cell>
          <cell r="T217">
            <v>25.01158029408397</v>
          </cell>
        </row>
        <row r="218">
          <cell r="I218">
            <v>10.927592515057382</v>
          </cell>
          <cell r="K218">
            <v>0.96768070172304144</v>
          </cell>
          <cell r="T218">
            <v>25.152369618774994</v>
          </cell>
        </row>
        <row r="219">
          <cell r="I219">
            <v>10.944489506995499</v>
          </cell>
          <cell r="K219">
            <v>0.96851180291978101</v>
          </cell>
          <cell r="T219">
            <v>25.295602335109727</v>
          </cell>
        </row>
        <row r="220">
          <cell r="I220">
            <v>10.961637120238258</v>
          </cell>
          <cell r="K220">
            <v>0.96935333213624431</v>
          </cell>
          <cell r="T220">
            <v>25.441214667155272</v>
          </cell>
        </row>
        <row r="221">
          <cell r="I221">
            <v>10.979028081613723</v>
          </cell>
          <cell r="K221">
            <v>0.9702047762863053</v>
          </cell>
          <cell r="T221">
            <v>25.589142207004898</v>
          </cell>
        </row>
        <row r="222">
          <cell r="I222">
            <v>10.996655203349142</v>
          </cell>
          <cell r="K222">
            <v>0.97106562223120196</v>
          </cell>
          <cell r="T222">
            <v>25.7393199599484</v>
          </cell>
        </row>
        <row r="223">
          <cell r="I223">
            <v>11.014511389611176</v>
          </cell>
          <cell r="K223">
            <v>0.97193535726175861</v>
          </cell>
          <cell r="T223">
            <v>25.891682389298744</v>
          </cell>
        </row>
        <row r="224">
          <cell r="I224">
            <v>11.032589642507965</v>
          </cell>
          <cell r="K224">
            <v>0.97281346956618042</v>
          </cell>
          <cell r="T224">
            <v>26.046163460798493</v>
          </cell>
        </row>
        <row r="225">
          <cell r="I225">
            <v>11.050883067555807</v>
          </cell>
          <cell r="K225">
            <v>0.97369944868287672</v>
          </cell>
          <cell r="T225">
            <v>26.202696686531851</v>
          </cell>
        </row>
        <row r="226">
          <cell r="I226">
            <v>11.069384878614876</v>
          </cell>
          <cell r="K226">
            <v>0.97459278593784082</v>
          </cell>
          <cell r="T226">
            <v>26.361215168271393</v>
          </cell>
        </row>
        <row r="227">
          <cell r="I227">
            <v>11.088088402300205</v>
          </cell>
          <cell r="K227">
            <v>0.97549297486618836</v>
          </cell>
          <cell r="T227">
            <v>26.521651640191784</v>
          </cell>
        </row>
        <row r="228">
          <cell r="I228">
            <v>11.106987081875399</v>
          </cell>
          <cell r="K228">
            <v>0.97639951161751659</v>
          </cell>
          <cell r="T228">
            <v>26.683938510886904</v>
          </cell>
        </row>
        <row r="229">
          <cell r="I229">
            <v>11.126074480638078</v>
          </cell>
          <cell r="K229">
            <v>0.97731189534482377</v>
          </cell>
          <cell r="T229">
            <v>26.848007904630741</v>
          </cell>
        </row>
        <row r="230">
          <cell r="I230">
            <v>11.145344284807122</v>
          </cell>
          <cell r="K230">
            <v>0.97822962857678464</v>
          </cell>
          <cell r="T230">
            <v>27.01379170182711</v>
          </cell>
        </row>
        <row r="231">
          <cell r="I231">
            <v>11.16479030592296</v>
          </cell>
          <cell r="K231">
            <v>0.97915221757325832</v>
          </cell>
          <cell r="T231">
            <v>27.181221578598191</v>
          </cell>
        </row>
        <row r="232">
          <cell r="I232">
            <v>11.184406482772879</v>
          </cell>
          <cell r="K232">
            <v>0.98007917266395439</v>
          </cell>
          <cell r="T232">
            <v>27.350229045466691</v>
          </cell>
        </row>
        <row r="233">
          <cell r="I233">
            <v>11.204186882854412</v>
          </cell>
          <cell r="K233">
            <v>0.98101000857026255</v>
          </cell>
          <cell r="T233">
            <v>27.520745485092121</v>
          </cell>
        </row>
        <row r="234">
          <cell r="I234">
            <v>11.224125703390222</v>
          </cell>
          <cell r="K234">
            <v>0.98194424471029895</v>
          </cell>
          <cell r="T234">
            <v>27.692702189027393</v>
          </cell>
        </row>
        <row r="235">
          <cell r="I235">
            <v>11.244217271908742</v>
          </cell>
          <cell r="K235">
            <v>0.98288140548729619</v>
          </cell>
          <cell r="T235">
            <v>27.866030393466986</v>
          </cell>
        </row>
        <row r="236">
          <cell r="I236">
            <v>11.264456046405073</v>
          </cell>
          <cell r="K236">
            <v>0.98382102056150911</v>
          </cell>
          <cell r="T236">
            <v>28.040661313965174</v>
          </cell>
        </row>
        <row r="237">
          <cell r="I237">
            <v>11.284836615097095</v>
          </cell>
          <cell r="K237">
            <v>0.98476262510587231</v>
          </cell>
          <cell r="T237">
            <v>28.216526179107174</v>
          </cell>
        </row>
        <row r="238">
          <cell r="I238">
            <v>11.30535369579199</v>
          </cell>
          <cell r="K238">
            <v>0.98570576004569876</v>
          </cell>
          <cell r="T238">
            <v>28.393556263123799</v>
          </cell>
        </row>
        <row r="239">
          <cell r="I239">
            <v>11.326002134878424</v>
          </cell>
          <cell r="K239">
            <v>0.98664997228275131</v>
          </cell>
          <cell r="T239">
            <v>28.571682917445187</v>
          </cell>
        </row>
        <row r="240">
          <cell r="I240">
            <v>11.346776905959914</v>
          </cell>
          <cell r="K240">
            <v>0.98759481490407497</v>
          </cell>
          <cell r="T240">
            <v>28.750837601195709</v>
          </cell>
        </row>
        <row r="241">
          <cell r="I241">
            <v>11.367673108144633</v>
          </cell>
          <cell r="K241">
            <v>0.98853984737601885</v>
          </cell>
          <cell r="T241">
            <v>28.930951910638235</v>
          </cell>
        </row>
        <row r="242">
          <cell r="I242">
            <v>11.388685964007152</v>
          </cell>
          <cell r="K242">
            <v>0.98948463572391299</v>
          </cell>
          <cell r="T242">
            <v>29.111957607581996</v>
          </cell>
        </row>
        <row r="243">
          <cell r="I243">
            <v>11.409810817237096</v>
          </cell>
          <cell r="K243">
            <v>0.99042875269791231</v>
          </cell>
          <cell r="T243">
            <v>29.29378664677364</v>
          </cell>
        </row>
        <row r="244">
          <cell r="I244">
            <v>11.431043129989952</v>
          </cell>
          <cell r="K244">
            <v>0.99137177792554487</v>
          </cell>
          <cell r="T244">
            <v>29.476371202297315</v>
          </cell>
        </row>
        <row r="245">
          <cell r="I245">
            <v>11.452378479954556</v>
          </cell>
          <cell r="K245">
            <v>0.9923132980515369</v>
          </cell>
          <cell r="T245">
            <v>29.659643693014726</v>
          </cell>
        </row>
        <row r="246">
          <cell r="I246">
            <v>11.473812557151932</v>
          </cell>
          <cell r="K246">
            <v>0.99325290686551726</v>
          </cell>
          <cell r="T246">
            <v>29.843536807081268</v>
          </cell>
        </row>
        <row r="247">
          <cell r="I247">
            <v>11.495341160479503</v>
          </cell>
          <cell r="K247">
            <v>0.99419020541821523</v>
          </cell>
          <cell r="T247">
            <v>30.02798352557965</v>
          </cell>
        </row>
        <row r="248">
          <cell r="I248">
            <v>11.516960194014535</v>
          </cell>
          <cell r="K248">
            <v>0.99512480212680143</v>
          </cell>
          <cell r="T248">
            <v>30.21291714531624</v>
          </cell>
        </row>
        <row r="249">
          <cell r="I249">
            <v>11.538665663090258</v>
          </cell>
          <cell r="K249">
            <v>0.99605631287002294</v>
          </cell>
          <cell r="T249">
            <v>30.398271300830679</v>
          </cell>
        </row>
        <row r="250">
          <cell r="I250">
            <v>11.560453670157653</v>
          </cell>
          <cell r="K250">
            <v>0.99698436107380495</v>
          </cell>
          <cell r="T250">
            <v>30.583979985672055</v>
          </cell>
        </row>
        <row r="251">
          <cell r="I251">
            <v>11.582320410445583</v>
          </cell>
          <cell r="K251">
            <v>0.99790857778799535</v>
          </cell>
          <cell r="T251">
            <v>30.769977572999139</v>
          </cell>
        </row>
        <row r="252">
          <cell r="I252">
            <v>11.604262167431463</v>
          </cell>
          <cell r="K252">
            <v>0.99882860175493227</v>
          </cell>
          <cell r="T252">
            <v>30.956198835564976</v>
          </cell>
        </row>
        <row r="253">
          <cell r="I253">
            <v>11.626275308134208</v>
          </cell>
          <cell r="K253">
            <v>0.99974407947051991</v>
          </cell>
          <cell r="T253">
            <v>31.142578965148473</v>
          </cell>
        </row>
        <row r="254">
          <cell r="I254">
            <v>11.648356278240907</v>
          </cell>
          <cell r="K254">
            <v>1.0006546652384873</v>
          </cell>
          <cell r="T254">
            <v>31.329053591497956</v>
          </cell>
        </row>
        <row r="255">
          <cell r="I255">
            <v>11.670501597078111</v>
          </cell>
          <cell r="K255">
            <v>1.0015600212185085</v>
          </cell>
          <cell r="T255">
            <v>31.515558800853107</v>
          </cell>
        </row>
        <row r="256">
          <cell r="I256">
            <v>11.692707852438252</v>
          </cell>
          <cell r="K256">
            <v>1.0024598174688395</v>
          </cell>
          <cell r="T256">
            <v>31.702031154112685</v>
          </cell>
        </row>
        <row r="257">
          <cell r="I257">
            <v>11.714971695271378</v>
          </cell>
          <cell r="K257">
            <v>1.0033537319841259</v>
          </cell>
          <cell r="T257">
            <v>31.888407704716052</v>
          </cell>
        </row>
        <row r="258">
          <cell r="I258">
            <v>11.737289834251907</v>
          </cell>
          <cell r="K258">
            <v>1.0042414507290078</v>
          </cell>
          <cell r="T258">
            <v>32.074626016306389</v>
          </cell>
        </row>
        <row r="259">
          <cell r="I259">
            <v>11.759659030229781</v>
          </cell>
          <cell r="K259">
            <v>1.0051226676681373</v>
          </cell>
          <cell r="T259">
            <v>32.260624180242964</v>
          </cell>
        </row>
        <row r="260">
          <cell r="I260">
            <v>11.782076090575021</v>
          </cell>
          <cell r="K260">
            <v>1.0059970847931912</v>
          </cell>
          <cell r="T260">
            <v>32.446340833028621</v>
          </cell>
        </row>
        <row r="261">
          <cell r="I261">
            <v>11.804537863424434</v>
          </cell>
          <cell r="K261">
            <v>1.0068644121474433</v>
          </cell>
          <cell r="T261">
            <v>32.63171517371709</v>
          </cell>
        </row>
        <row r="262">
          <cell r="I262">
            <v>11.827041231838793</v>
          </cell>
          <cell r="K262">
            <v>1.0077243678484233</v>
          </cell>
          <cell r="T262">
            <v>32.816686981362338</v>
          </cell>
        </row>
        <row r="263">
          <cell r="I263">
            <v>11.849583107878678</v>
          </cell>
          <cell r="K263">
            <v>1.0085766781091658</v>
          </cell>
          <cell r="T263">
            <v>33.001196632569247</v>
          </cell>
        </row>
        <row r="264">
          <cell r="I264">
            <v>11.872160426606762</v>
          </cell>
          <cell r="K264">
            <v>1.0094210772585084</v>
          </cell>
          <cell r="T264">
            <v>33.185185119202401</v>
          </cell>
        </row>
        <row r="265">
          <cell r="I265">
            <v>11.894770140024326</v>
          </cell>
          <cell r="K265">
            <v>1.0102573077608699</v>
          </cell>
          <cell r="T265">
            <v>33.368594066304397</v>
          </cell>
        </row>
        <row r="266">
          <cell r="I266">
            <v>11.917409210949348</v>
          </cell>
          <cell r="K266">
            <v>1.0110851202358924</v>
          </cell>
          <cell r="T266">
            <v>33.551365750272652</v>
          </cell>
        </row>
        <row r="267">
          <cell r="I267">
            <v>11.940074606843586</v>
          </cell>
          <cell r="K267">
            <v>1.0119042734782999</v>
          </cell>
          <cell r="T267">
            <v>33.733443117336968</v>
          </cell>
        </row>
        <row r="268">
          <cell r="I268">
            <v>11.962763293595893</v>
          </cell>
          <cell r="K268">
            <v>1.0127145344782673</v>
          </cell>
          <cell r="T268">
            <v>33.914769802376469</v>
          </cell>
        </row>
        <row r="269">
          <cell r="I269">
            <v>11.985472229268808</v>
          </cell>
          <cell r="K269">
            <v>1.0135156784425661</v>
          </cell>
          <cell r="T269">
            <v>34.095290148107495</v>
          </cell>
        </row>
        <row r="270">
          <cell r="I270">
            <v>12.008198357815731</v>
          </cell>
          <cell r="K270">
            <v>1.0143074888166961</v>
          </cell>
          <cell r="T270">
            <v>34.274949224668816</v>
          </cell>
        </row>
        <row r="271">
          <cell r="I271">
            <v>12.030938602775587</v>
          </cell>
          <cell r="K271">
            <v>1.0150897573081683</v>
          </cell>
          <cell r="T271">
            <v>34.453692849623536</v>
          </cell>
        </row>
        <row r="272">
          <cell r="I272">
            <v>12.053689860952399</v>
          </cell>
          <cell r="K272">
            <v>1.0158622839110589</v>
          </cell>
          <cell r="T272">
            <v>34.631467608390317</v>
          </cell>
        </row>
        <row r="273">
          <cell r="I273">
            <v>12.076448996086873</v>
          </cell>
          <cell r="K273">
            <v>1.0166248769318984</v>
          </cell>
          <cell r="T273">
            <v>34.808220875109512</v>
          </cell>
        </row>
        <row r="274">
          <cell r="I274">
            <v>12.099212832527423</v>
          </cell>
          <cell r="K274">
            <v>1.0173773530169188</v>
          </cell>
          <cell r="T274">
            <v>34.983900833942378</v>
          </cell>
        </row>
        <row r="275">
          <cell r="I275">
            <v>12.121978148908402</v>
          </cell>
          <cell r="K275">
            <v>1.0181195371806306</v>
          </cell>
          <cell r="T275">
            <v>35.158456500793754</v>
          </cell>
        </row>
        <row r="276">
          <cell r="I276">
            <v>12.144741671843036</v>
          </cell>
          <cell r="K276">
            <v>1.018851262835645</v>
          </cell>
          <cell r="T276">
            <v>35.331837745441064</v>
          </cell>
        </row>
        <row r="277">
          <cell r="I277">
            <v>12.167500069639472</v>
          </cell>
          <cell r="K277">
            <v>1.01957237182362</v>
          </cell>
          <cell r="T277">
            <v>35.503995314044545</v>
          </cell>
        </row>
        <row r="278">
          <cell r="I278">
            <v>12.190249946048064</v>
          </cell>
          <cell r="K278">
            <v>1.020282714447148</v>
          </cell>
          <cell r="T278">
            <v>35.67488085200516</v>
          </cell>
        </row>
        <row r="279">
          <cell r="I279">
            <v>12.212987834048798</v>
          </cell>
          <cell r="K279">
            <v>1.0209821495023679</v>
          </cell>
          <cell r="T279">
            <v>35.84444692712988</v>
          </cell>
        </row>
        <row r="280">
          <cell r="I280">
            <v>12.235710189687937</v>
          </cell>
          <cell r="K280">
            <v>1.0216705443120255</v>
          </cell>
          <cell r="T280">
            <v>36.012647053054536</v>
          </cell>
        </row>
        <row r="281">
          <cell r="I281">
            <v>12.25841338597343</v>
          </cell>
          <cell r="K281">
            <v>1.0223477747586711</v>
          </cell>
          <cell r="T281">
            <v>36.179435712867594</v>
          </cell>
        </row>
        <row r="282">
          <cell r="I282">
            <v>12.281093706839203</v>
          </cell>
          <cell r="K282">
            <v>1.0230137253176346</v>
          </cell>
          <cell r="T282">
            <v>36.344768382870527</v>
          </cell>
        </row>
        <row r="283">
          <cell r="I283">
            <v>12.303747341188917</v>
          </cell>
          <cell r="K283">
            <v>1.0236682890893776</v>
          </cell>
          <cell r="T283">
            <v>36.508601556402283</v>
          </cell>
        </row>
        <row r="284">
          <cell r="I284">
            <v>12.326370377030226</v>
          </cell>
          <cell r="K284">
            <v>1.0243113678307814</v>
          </cell>
          <cell r="T284">
            <v>36.670892767648695</v>
          </cell>
        </row>
        <row r="285">
          <cell r="I285">
            <v>12.348958795711455</v>
          </cell>
          <cell r="K285">
            <v>1.0249428719848979</v>
          </cell>
          <cell r="T285">
            <v>36.831600615350567</v>
          </cell>
        </row>
        <row r="286">
          <cell r="I286">
            <v>12.371508466272868</v>
          </cell>
          <cell r="K286">
            <v>1.025562720708646</v>
          </cell>
          <cell r="T286">
            <v>36.990684786317473</v>
          </cell>
        </row>
        <row r="287">
          <cell r="I287">
            <v>12.394015139925731</v>
          </cell>
          <cell r="K287">
            <v>1.0261708418979132</v>
          </cell>
          <cell r="T287">
            <v>37.148106078648368</v>
          </cell>
        </row>
        <row r="288">
          <cell r="I288">
            <v>12.416474444672822</v>
          </cell>
          <cell r="K288">
            <v>1.0267671722094867</v>
          </cell>
          <cell r="T288">
            <v>37.303826424554515</v>
          </cell>
        </row>
        <row r="289">
          <cell r="I289">
            <v>12.438881880084809</v>
          </cell>
          <cell r="K289">
            <v>1.0273516570792156</v>
          </cell>
          <cell r="T289">
            <v>37.457808912674437</v>
          </cell>
        </row>
        <row r="290">
          <cell r="I290">
            <v>12.461232812247786</v>
          </cell>
          <cell r="K290">
            <v>1.0279242507357855</v>
          </cell>
          <cell r="T290">
            <v>37.610017809767371</v>
          </cell>
        </row>
        <row r="291">
          <cell r="I291">
            <v>12.483522468897803</v>
          </cell>
          <cell r="K291">
            <v>1.0284849162094551</v>
          </cell>
          <cell r="T291">
            <v>37.760418581666087</v>
          </cell>
        </row>
        <row r="292">
          <cell r="I292">
            <v>12.505745934759188</v>
          </cell>
          <cell r="K292">
            <v>1.0290336253351089</v>
          </cell>
          <cell r="T292">
            <v>37.908977913368176</v>
          </cell>
        </row>
        <row r="293">
          <cell r="I293">
            <v>12.527898147104127</v>
          </cell>
          <cell r="K293">
            <v>1.0295703587489491</v>
          </cell>
          <cell r="T293">
            <v>38.055663728141198</v>
          </cell>
        </row>
        <row r="294">
          <cell r="I294">
            <v>12.549973891551732</v>
          </cell>
          <cell r="K294">
            <v>1.0300951058781556</v>
          </cell>
          <cell r="T294">
            <v>38.200445205516317</v>
          </cell>
        </row>
        <row r="295">
          <cell r="I295">
            <v>12.571967798125707</v>
          </cell>
          <cell r="K295">
            <v>1.0306078649228301</v>
          </cell>
          <cell r="T295">
            <v>38.34329279804254</v>
          </cell>
        </row>
        <row r="296">
          <cell r="I296">
            <v>12.593874337590313</v>
          </cell>
          <cell r="K296">
            <v>1.0311086428295455</v>
          </cell>
          <cell r="T296">
            <v>38.484178246675384</v>
          </cell>
        </row>
        <row r="297">
          <cell r="I297">
            <v>12.615687818085217</v>
          </cell>
          <cell r="K297">
            <v>1.0315974552558274</v>
          </cell>
          <cell r="T297">
            <v>38.623074594672374</v>
          </cell>
        </row>
        <row r="298">
          <cell r="I298">
            <v>12.637402382080378</v>
          </cell>
          <cell r="K298">
            <v>1.0320743265248982</v>
          </cell>
          <cell r="T298">
            <v>38.759956199870359</v>
          </cell>
        </row>
        <row r="299">
          <cell r="I299">
            <v>12.65901200367289</v>
          </cell>
          <cell r="K299">
            <v>1.032539289570032</v>
          </cell>
          <cell r="T299">
            <v>38.894798745221976</v>
          </cell>
        </row>
        <row r="300">
          <cell r="I300">
            <v>12.680510486248172</v>
          </cell>
          <cell r="K300">
            <v>1.0329923858678827</v>
          </cell>
          <cell r="T300">
            <v>39.027579247470733</v>
          </cell>
        </row>
        <row r="301">
          <cell r="I301">
            <v>12.701891460528639</v>
          </cell>
          <cell r="K301">
            <v>1.0334336653601741</v>
          </cell>
          <cell r="T301">
            <v>39.158276063849144</v>
          </cell>
        </row>
        <row r="302">
          <cell r="I302">
            <v>12.723148383033188</v>
          </cell>
          <cell r="K302">
            <v>1.03386318636316</v>
          </cell>
          <cell r="T302">
            <v>39.286868896688745</v>
          </cell>
        </row>
        <row r="303">
          <cell r="I303">
            <v>12.744274534971474</v>
          </cell>
          <cell r="K303">
            <v>1.0342810154643007</v>
          </cell>
          <cell r="T303">
            <v>39.413338795836367</v>
          </cell>
        </row>
        <row r="304">
          <cell r="I304">
            <v>12.765263021597068</v>
          </cell>
          <cell r="K304">
            <v>1.034687227405628</v>
          </cell>
          <cell r="T304">
            <v>39.537668158777905</v>
          </cell>
        </row>
        <row r="305">
          <cell r="I305">
            <v>12.786106772043812</v>
          </cell>
          <cell r="K305">
            <v>1.0350819049533166</v>
          </cell>
          <cell r="T305">
            <v>39.659840728377716</v>
          </cell>
        </row>
        <row r="306">
          <cell r="I306">
            <v>12.806798539669806</v>
          </cell>
          <cell r="K306">
            <v>1.0354651387530205</v>
          </cell>
          <cell r="T306">
            <v>39.779841588149978</v>
          </cell>
        </row>
        <row r="307">
          <cell r="I307">
            <v>12.82733090293323</v>
          </cell>
          <cell r="K307">
            <v>1.0358370271705748</v>
          </cell>
          <cell r="T307">
            <v>39.897657154987527</v>
          </cell>
        </row>
        <row r="308">
          <cell r="I308">
            <v>12.847696266824101</v>
          </cell>
          <cell r="K308">
            <v>1.0361976761177196</v>
          </cell>
          <cell r="T308">
            <v>40.013275169282224</v>
          </cell>
        </row>
        <row r="309">
          <cell r="I309">
            <v>12.867886864875677</v>
          </cell>
          <cell r="K309">
            <v>1.0365471988625521</v>
          </cell>
          <cell r="T309">
            <v>40.126684682382106</v>
          </cell>
        </row>
        <row r="310">
          <cell r="I310">
            <v>12.887894761778501</v>
          </cell>
          <cell r="K310">
            <v>1.0368857158244706</v>
          </cell>
          <cell r="T310">
            <v>40.237876041340378</v>
          </cell>
        </row>
        <row r="311">
          <cell r="I311">
            <v>12.907711856619468</v>
          </cell>
          <cell r="K311">
            <v>1.0372133543534348</v>
          </cell>
          <cell r="T311">
            <v>40.346840870923295</v>
          </cell>
        </row>
        <row r="312">
          <cell r="I312">
            <v>12.927329886767305</v>
          </cell>
          <cell r="K312">
            <v>1.0375302484934286</v>
          </cell>
          <cell r="T312">
            <v>40.453572052854859</v>
          </cell>
        </row>
        <row r="313">
          <cell r="I313">
            <v>12.946740432424651</v>
          </cell>
          <cell r="K313">
            <v>1.0378365387300734</v>
          </cell>
          <cell r="T313">
            <v>40.558063702289274</v>
          </cell>
        </row>
        <row r="314">
          <cell r="I314">
            <v>12.965934921865541</v>
          </cell>
          <cell r="K314">
            <v>1.0381323717224153</v>
          </cell>
          <cell r="T314">
            <v>40.660311141513574</v>
          </cell>
        </row>
        <row r="315">
          <cell r="I315">
            <v>12.984904637375484</v>
          </cell>
          <cell r="K315">
            <v>1.0384179000189673</v>
          </cell>
          <cell r="T315">
            <v>40.76031087089649</v>
          </cell>
        </row>
        <row r="316">
          <cell r="I316">
            <v>13.003640721909486</v>
          </cell>
          <cell r="K316">
            <v>1.0386932817581682</v>
          </cell>
          <cell r="T316">
            <v>40.858060537111371</v>
          </cell>
        </row>
        <row r="317">
          <cell r="I317">
            <v>13.022134186481196</v>
          </cell>
          <cell r="K317">
            <v>1.0389586803534896</v>
          </cell>
          <cell r="T317">
            <v>40.95355889867507</v>
          </cell>
        </row>
        <row r="318">
          <cell r="I318">
            <v>13.040375918294128</v>
          </cell>
          <cell r="K318">
            <v>1.0392142641634872</v>
          </cell>
          <cell r="T318">
            <v>41.046805788856631</v>
          </cell>
        </row>
        <row r="319">
          <cell r="I319">
            <v>13.058356689623087</v>
          </cell>
          <cell r="K319">
            <v>1.0394602061471769</v>
          </cell>
          <cell r="T319">
            <v>41.137802076023092</v>
          </cell>
        </row>
        <row r="320">
          <cell r="I320">
            <v>13.076067167451267</v>
          </cell>
          <cell r="K320">
            <v>1.0396966835051891</v>
          </cell>
          <cell r="T320">
            <v>41.226549621502578</v>
          </cell>
        </row>
        <row r="321">
          <cell r="I321">
            <v>13.093497923865337</v>
          </cell>
          <cell r="K321">
            <v>1.0399238773072104</v>
          </cell>
          <cell r="T321">
            <v>41.31305123505652</v>
          </cell>
        </row>
        <row r="322">
          <cell r="I322">
            <v>13.110639447207307</v>
          </cell>
          <cell r="K322">
            <v>1.0401419721063272</v>
          </cell>
          <cell r="T322">
            <v>41.397310628066037</v>
          </cell>
        </row>
        <row r="323">
          <cell r="I323">
            <v>13.127482153978651</v>
          </cell>
          <cell r="K323">
            <v>1.0403511555409204</v>
          </cell>
          <cell r="T323">
            <v>41.479332364548611</v>
          </cell>
        </row>
        <row r="324">
          <cell r="I324">
            <v>13.144016401488095</v>
          </cell>
          <cell r="K324">
            <v>1.0405516179248628</v>
          </cell>
          <cell r="T324">
            <v>41.559121810132794</v>
          </cell>
        </row>
        <row r="325">
          <cell r="I325">
            <v>13.160232501230519</v>
          </cell>
          <cell r="K325">
            <v>1.0407435518268184</v>
          </cell>
          <cell r="T325">
            <v>41.636685079129691</v>
          </cell>
        </row>
        <row r="326">
          <cell r="I326">
            <v>13.176120732980356</v>
          </cell>
          <cell r="K326">
            <v>1.0409271516395178</v>
          </cell>
          <cell r="T326">
            <v>41.712028979849315</v>
          </cell>
        </row>
        <row r="327">
          <cell r="I327">
            <v>13.191671359578162</v>
          </cell>
          <cell r="K327">
            <v>1.0411026131399503</v>
          </cell>
          <cell r="T327">
            <v>41.785160958320809</v>
          </cell>
        </row>
        <row r="328">
          <cell r="I328">
            <v>13.206874642384781</v>
          </cell>
          <cell r="K328">
            <v>1.0412701330414673</v>
          </cell>
          <cell r="T328">
            <v>41.856089040582916</v>
          </cell>
        </row>
        <row r="329">
          <cell r="I329">
            <v>13.221720857372709</v>
          </cell>
          <cell r="K329">
            <v>1.0414299085388574</v>
          </cell>
          <cell r="T329">
            <v>41.924821773720296</v>
          </cell>
        </row>
        <row r="330">
          <cell r="I330">
            <v>13.236200311819495</v>
          </cell>
          <cell r="K330">
            <v>1.0415821368474991</v>
          </cell>
          <cell r="T330">
            <v>41.991368165827453</v>
          </cell>
        </row>
        <row r="331">
          <cell r="I331">
            <v>13.250303361563352</v>
          </cell>
          <cell r="K331">
            <v>1.0417270147377604</v>
          </cell>
          <cell r="T331">
            <v>42.055737625089591</v>
          </cell>
        </row>
        <row r="332">
          <cell r="I332">
            <v>13.264020428776165</v>
          </cell>
          <cell r="K332">
            <v>1.0418647380658455</v>
          </cell>
          <cell r="T332">
            <v>42.117939898174072</v>
          </cell>
        </row>
        <row r="333">
          <cell r="I333">
            <v>13.277342020204403</v>
          </cell>
          <cell r="K333">
            <v>1.0419955013023439</v>
          </cell>
          <cell r="T333">
            <v>42.17798500813155</v>
          </cell>
        </row>
        <row r="334">
          <cell r="I334">
            <v>13.290258745823692</v>
          </cell>
          <cell r="K334">
            <v>1.0421194970597658</v>
          </cell>
          <cell r="T334">
            <v>42.235883192008956</v>
          </cell>
        </row>
        <row r="335">
          <cell r="I335">
            <v>13.302761337848288</v>
          </cell>
          <cell r="K335">
            <v>1.0422369156203868</v>
          </cell>
          <cell r="T335">
            <v>42.291644838379867</v>
          </cell>
        </row>
        <row r="336">
          <cell r="I336">
            <v>13.314840670031995</v>
          </cell>
          <cell r="K336">
            <v>1.0423479444657391</v>
          </cell>
          <cell r="T336">
            <v>42.345280424998855</v>
          </cell>
        </row>
        <row r="337">
          <cell r="I337">
            <v>13.326487777193289</v>
          </cell>
          <cell r="K337">
            <v>1.0424527678091269</v>
          </cell>
          <cell r="T337">
            <v>42.396800456787844</v>
          </cell>
        </row>
        <row r="338">
          <cell r="I338">
            <v>13.33769387489302</v>
          </cell>
          <cell r="K338">
            <v>1.0425515661325413</v>
          </cell>
          <cell r="T338">
            <v>42.446215404362263</v>
          </cell>
        </row>
        <row r="339">
          <cell r="I339">
            <v>13.348450379189718</v>
          </cell>
          <cell r="K339">
            <v>1.0426445157293678</v>
          </cell>
          <cell r="T339">
            <v>42.493535643303574</v>
          </cell>
        </row>
        <row r="340">
          <cell r="I340">
            <v>13.358748926394169</v>
          </cell>
          <cell r="K340">
            <v>1.0427317882542817</v>
          </cell>
          <cell r="T340">
            <v>42.538771394383659</v>
          </cell>
        </row>
        <row r="341">
          <cell r="I341">
            <v>13.368581392741991</v>
          </cell>
          <cell r="K341">
            <v>1.0428135502817324</v>
          </cell>
          <cell r="T341">
            <v>42.581932664942727</v>
          </cell>
        </row>
        <row r="342">
          <cell r="I342">
            <v>13.37793991390074</v>
          </cell>
          <cell r="K342">
            <v>1.042889962874388</v>
          </cell>
          <cell r="T342">
            <v>42.623029191619999</v>
          </cell>
        </row>
        <row r="343">
          <cell r="I343">
            <v>13.386816904225913</v>
          </cell>
          <cell r="K343">
            <v>1.042961181162926</v>
          </cell>
          <cell r="T343">
            <v>42.66207038463164</v>
          </cell>
        </row>
        <row r="344">
          <cell r="I344">
            <v>13.395205075679121</v>
          </cell>
          <cell r="K344">
            <v>1.0430273539385098</v>
          </cell>
          <cell r="T344">
            <v>42.699065273785024</v>
          </cell>
        </row>
        <row r="345">
          <cell r="I345">
            <v>13.40309745632074</v>
          </cell>
          <cell r="K345">
            <v>1.0430886232592806</v>
          </cell>
          <cell r="T345">
            <v>42.734022456413641</v>
          </cell>
        </row>
        <row r="346">
          <cell r="I346">
            <v>13.410487408289292</v>
          </cell>
          <cell r="K346">
            <v>1.0431451240721528</v>
          </cell>
          <cell r="T346">
            <v>42.766950047409651</v>
          </cell>
        </row>
        <row r="347">
          <cell r="I347">
            <v>13.417368645180208</v>
          </cell>
          <cell r="K347">
            <v>1.0431969838511672</v>
          </cell>
          <cell r="T347">
            <v>42.797855631524406</v>
          </cell>
        </row>
        <row r="348">
          <cell r="I348">
            <v>13.423735248737781</v>
          </cell>
          <cell r="K348">
            <v>1.0432443222536116</v>
          </cell>
          <cell r="T348">
            <v>42.826746218100261</v>
          </cell>
        </row>
        <row r="349">
          <cell r="I349">
            <v>13.429581684775858</v>
          </cell>
          <cell r="K349">
            <v>1.043287250795065</v>
          </cell>
          <cell r="T349">
            <v>42.853628198387739</v>
          </cell>
        </row>
        <row r="350">
          <cell r="I350">
            <v>13.434902818245344</v>
          </cell>
          <cell r="K350">
            <v>1.043325872544469</v>
          </cell>
          <cell r="T350">
            <v>42.878507305594937</v>
          </cell>
        </row>
        <row r="351">
          <cell r="I351">
            <v>13.439693927369586</v>
          </cell>
          <cell r="K351">
            <v>1.0433602818402716</v>
          </cell>
          <cell r="T351">
            <v>42.901388577805832</v>
          </cell>
        </row>
        <row r="352">
          <cell r="I352">
            <v>13.443950716772623</v>
          </cell>
          <cell r="K352">
            <v>1.043390564028623</v>
          </cell>
          <cell r="T352">
            <v>42.922276323896114</v>
          </cell>
        </row>
        <row r="353">
          <cell r="I353">
            <v>13.447669329529568</v>
          </cell>
          <cell r="K353">
            <v>1.0434167952245224</v>
          </cell>
          <cell r="T353">
            <v>42.941174092563962</v>
          </cell>
        </row>
        <row r="354">
          <cell r="I354">
            <v>13.450846358073472</v>
          </cell>
          <cell r="K354">
            <v>1.0434390420967636</v>
          </cell>
          <cell r="T354">
            <v>42.958084644584673</v>
          </cell>
        </row>
        <row r="355">
          <cell r="I355">
            <v>13.453478853898625</v>
          </cell>
          <cell r="K355">
            <v>1.0434573616774252</v>
          </cell>
          <cell r="T355">
            <v>42.973009928386787</v>
          </cell>
        </row>
        <row r="356">
          <cell r="I356">
            <v>13.455564336006312</v>
          </cell>
          <cell r="K356">
            <v>1.0434718011965771</v>
          </cell>
          <cell r="T356">
            <v>42.985951059037113</v>
          </cell>
        </row>
        <row r="357">
          <cell r="I357">
            <v>13.457100798045776</v>
          </cell>
          <cell r="K357">
            <v>1.0434823979428147</v>
          </cell>
          <cell r="T357">
            <v>42.996908300711738</v>
          </cell>
        </row>
        <row r="358">
          <cell r="I358">
            <v>13.458086714110046</v>
          </cell>
          <cell r="K358">
            <v>1.0434891791500842</v>
          </cell>
          <cell r="T358">
            <v>43.005881052718408</v>
          </cell>
        </row>
        <row r="359">
          <cell r="I359">
            <v>13.458521043153825</v>
          </cell>
          <cell r="K359">
            <v>1.0434921619112543</v>
          </cell>
          <cell r="T359">
            <v>43.012867839125683</v>
          </cell>
        </row>
        <row r="360">
          <cell r="I360">
            <v>13.458403232008276</v>
          </cell>
          <cell r="K360">
            <v>1.0434913531187173</v>
          </cell>
          <cell r="T360">
            <v>43.017866302041909</v>
          </cell>
        </row>
        <row r="361">
          <cell r="I361">
            <v>13.457733216975646</v>
          </cell>
          <cell r="K361">
            <v>1.0434867494322762</v>
          </cell>
          <cell r="T361">
            <v>43.020873198576822</v>
          </cell>
        </row>
        <row r="362">
          <cell r="I362">
            <v>13.456511423994518</v>
          </cell>
          <cell r="K362">
            <v>1.0434783372744176</v>
          </cell>
          <cell r="T362">
            <v>43.021884401506568</v>
          </cell>
        </row>
        <row r="363">
          <cell r="I363">
            <v>13.454738767374977</v>
          </cell>
          <cell r="K363">
            <v>1.0434660928530486</v>
          </cell>
          <cell r="T363">
            <v>43.020894903651737</v>
          </cell>
        </row>
        <row r="364">
          <cell r="I364">
            <v>13.45241664711107</v>
          </cell>
          <cell r="K364">
            <v>1.0434499822115912</v>
          </cell>
          <cell r="T364">
            <v>43.017898825966327</v>
          </cell>
        </row>
        <row r="365">
          <cell r="I365">
            <v>13.449546944786</v>
          </cell>
          <cell r="K365">
            <v>1.0434299613063189</v>
          </cell>
          <cell r="T365">
            <v>43.012889429324311</v>
          </cell>
        </row>
        <row r="366">
          <cell r="I366">
            <v>13.446132018093639</v>
          </cell>
          <cell r="K366">
            <v>1.0434059761106758</v>
          </cell>
          <cell r="T366">
            <v>43.005859129978646</v>
          </cell>
        </row>
        <row r="367">
          <cell r="I367">
            <v>13.44217469400769</v>
          </cell>
          <cell r="K367">
            <v>1.0433779627462227</v>
          </cell>
          <cell r="T367">
            <v>42.996799518656061</v>
          </cell>
        </row>
        <row r="368">
          <cell r="I368">
            <v>13.437678260637247</v>
          </cell>
          <cell r="K368">
            <v>1.0433458476398019</v>
          </cell>
          <cell r="T368">
            <v>42.985701383239665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0"/>
  <sheetViews>
    <sheetView tabSelected="1"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0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9" t="s">
        <v>4</v>
      </c>
      <c r="V2" s="3"/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" t="s">
        <v>7</v>
      </c>
      <c r="V3" s="10"/>
      <c r="W3" s="6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0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32" t="s">
        <v>48</v>
      </c>
      <c r="X8" s="52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56">
        <v>1</v>
      </c>
      <c r="B9" s="57">
        <v>20.5</v>
      </c>
      <c r="C9" s="58">
        <f>'[1]cálculos teóricos'!K3</f>
        <v>1.0433095476903587</v>
      </c>
      <c r="D9" s="59">
        <f>IF(B9&gt;0,B9*C9*14.25*1.022,-999)</f>
        <v>311.48189125466502</v>
      </c>
      <c r="E9" s="60">
        <f>IF(B9&gt;0,D9*4.1868/100,-999)</f>
        <v>13.041123823050313</v>
      </c>
      <c r="F9" s="61">
        <f>IF(B9&gt;0,(7.86+1.25*D9)*4.1868/100,-999)</f>
        <v>16.630487258812892</v>
      </c>
      <c r="G9" s="62">
        <f>'[1]cálculos teóricos'!T3</f>
        <v>42.972554729067994</v>
      </c>
      <c r="H9" s="63">
        <f>IF(B9&gt;0,100*F9/G9,-999)</f>
        <v>38.700252669789499</v>
      </c>
      <c r="I9" s="64"/>
      <c r="J9" s="64"/>
      <c r="K9" s="64"/>
      <c r="L9" s="64"/>
      <c r="M9" s="64"/>
      <c r="N9" s="64"/>
      <c r="O9" s="65"/>
      <c r="P9" s="66"/>
      <c r="Q9" s="67"/>
      <c r="R9" s="67">
        <v>0.3</v>
      </c>
      <c r="S9" s="67"/>
      <c r="T9" s="67"/>
      <c r="U9" s="67"/>
      <c r="V9" s="65"/>
      <c r="W9" s="68">
        <f t="shared" ref="W9:W40" si="0">SUM(I9:O9)</f>
        <v>0</v>
      </c>
      <c r="X9" s="69">
        <f>SUM(P9:V9)</f>
        <v>0.3</v>
      </c>
      <c r="Y9" s="70">
        <f>W9+X9</f>
        <v>0.3</v>
      </c>
      <c r="Z9" s="71">
        <f>'[1]cálculos teóricos'!I3</f>
        <v>13.432646455605028</v>
      </c>
      <c r="AA9" s="72">
        <f>100*Y9/Z9</f>
        <v>2.2333648175100991</v>
      </c>
      <c r="AB9" s="3"/>
    </row>
    <row r="10" spans="1:28" ht="18" customHeight="1">
      <c r="A10" s="73">
        <v>2</v>
      </c>
      <c r="B10" s="57">
        <v>29</v>
      </c>
      <c r="C10" s="74">
        <f>'[1]cálculos teóricos'!K4</f>
        <v>1.0432689705391567</v>
      </c>
      <c r="D10" s="59">
        <f>IF(B10&gt;0,B10*C10*14.25*1.022,-999)</f>
        <v>440.61578192096323</v>
      </c>
      <c r="E10" s="60">
        <f>IF(B10&gt;0,D10*4.1868/100,-999)</f>
        <v>18.447701557466885</v>
      </c>
      <c r="F10" s="61">
        <f>IF(B10&gt;0,(7.86+1.25*D10)*4.1868/100,-999)</f>
        <v>23.388709426833611</v>
      </c>
      <c r="G10" s="62">
        <f>'[1]cálculos teóricos'!T4</f>
        <v>42.957348831388643</v>
      </c>
      <c r="H10" s="75">
        <f>IF(B10&gt;0,100*F10/G10,-999)</f>
        <v>54.446352168138553</v>
      </c>
      <c r="I10" s="57"/>
      <c r="J10" s="76"/>
      <c r="K10" s="76">
        <v>0.4</v>
      </c>
      <c r="L10" s="76">
        <v>0.7</v>
      </c>
      <c r="M10" s="76">
        <v>0.9</v>
      </c>
      <c r="N10" s="76">
        <v>0.9</v>
      </c>
      <c r="O10" s="77">
        <v>1</v>
      </c>
      <c r="P10" s="66">
        <v>0.5</v>
      </c>
      <c r="Q10" s="67">
        <v>1</v>
      </c>
      <c r="R10" s="67"/>
      <c r="S10" s="67"/>
      <c r="T10" s="67"/>
      <c r="U10" s="67"/>
      <c r="V10" s="78"/>
      <c r="W10" s="68">
        <f t="shared" si="0"/>
        <v>3.9</v>
      </c>
      <c r="X10" s="69">
        <f t="shared" ref="X10:X39" si="1">SUM(P10:V10)</f>
        <v>1.5</v>
      </c>
      <c r="Y10" s="70">
        <f t="shared" ref="Y10:Y39" si="2">W10+X10</f>
        <v>5.4</v>
      </c>
      <c r="Z10" s="71">
        <f>'[1]cálculos teóricos'!I4</f>
        <v>13.427083464038553</v>
      </c>
      <c r="AA10" s="72">
        <f t="shared" ref="AA10:AA39" si="3">100*Y10/Z10</f>
        <v>40.217222261727166</v>
      </c>
      <c r="AB10" s="3"/>
    </row>
    <row r="11" spans="1:28" ht="18" customHeight="1">
      <c r="A11" s="73">
        <v>3</v>
      </c>
      <c r="B11" s="57">
        <v>24.4</v>
      </c>
      <c r="C11" s="74">
        <f>'[1]cálculos teóricos'!K5</f>
        <v>1.0432240147113081</v>
      </c>
      <c r="D11" s="59">
        <f t="shared" ref="D11:D39" si="4">IF(B11&gt;0,B11*C11*14.25*1.022,-999)</f>
        <v>370.70902769325448</v>
      </c>
      <c r="E11" s="60">
        <f t="shared" ref="E11:E39" si="5">IF(B11&gt;0,D11*4.1868/100,-999)</f>
        <v>15.520845571461177</v>
      </c>
      <c r="F11" s="61">
        <f t="shared" ref="F11:F39" si="6">IF(B11&gt;0,(7.86+1.25*D11)*4.1868/100,-999)</f>
        <v>19.730139444326472</v>
      </c>
      <c r="G11" s="62">
        <f>'[1]cálculos teóricos'!T5</f>
        <v>42.94007223550922</v>
      </c>
      <c r="H11" s="75">
        <f t="shared" ref="H11:H39" si="7">IF(B11&gt;0,100*F11/G11,-999)</f>
        <v>45.948081633664941</v>
      </c>
      <c r="I11" s="57"/>
      <c r="J11" s="76">
        <v>0.1</v>
      </c>
      <c r="K11" s="76">
        <v>0.4</v>
      </c>
      <c r="L11" s="76">
        <v>0.8</v>
      </c>
      <c r="M11" s="76">
        <v>1</v>
      </c>
      <c r="N11" s="76">
        <v>0.9</v>
      </c>
      <c r="O11" s="77">
        <v>1</v>
      </c>
      <c r="P11" s="66">
        <v>1</v>
      </c>
      <c r="Q11" s="67">
        <v>0.2</v>
      </c>
      <c r="R11" s="67"/>
      <c r="S11" s="67"/>
      <c r="T11" s="67"/>
      <c r="U11" s="67"/>
      <c r="V11" s="78"/>
      <c r="W11" s="68">
        <f t="shared" si="0"/>
        <v>4.1999999999999993</v>
      </c>
      <c r="X11" s="69">
        <f t="shared" si="1"/>
        <v>1.2</v>
      </c>
      <c r="Y11" s="70">
        <f t="shared" si="2"/>
        <v>5.3999999999999995</v>
      </c>
      <c r="Z11" s="71">
        <f>'[1]cálculos teóricos'!I5</f>
        <v>13.420993894192648</v>
      </c>
      <c r="AA11" s="72">
        <f t="shared" si="3"/>
        <v>40.235470208630488</v>
      </c>
      <c r="AB11" s="3"/>
    </row>
    <row r="12" spans="1:28" ht="18" customHeight="1">
      <c r="A12" s="73">
        <v>4</v>
      </c>
      <c r="B12" s="57">
        <v>20.2</v>
      </c>
      <c r="C12" s="74">
        <f>'[1]cálculos teóricos'!K6</f>
        <v>1.0431745699304664</v>
      </c>
      <c r="D12" s="59">
        <f t="shared" si="4"/>
        <v>306.88391155348341</v>
      </c>
      <c r="E12" s="60">
        <f t="shared" si="5"/>
        <v>12.848615608921243</v>
      </c>
      <c r="F12" s="61">
        <f t="shared" si="6"/>
        <v>16.389851991151556</v>
      </c>
      <c r="G12" s="62">
        <f>'[1]cálculos teóricos'!T6</f>
        <v>42.920712814194886</v>
      </c>
      <c r="H12" s="75">
        <f t="shared" si="7"/>
        <v>38.186346210287191</v>
      </c>
      <c r="I12" s="57"/>
      <c r="J12" s="76"/>
      <c r="K12" s="76"/>
      <c r="L12" s="76"/>
      <c r="M12" s="76">
        <v>0.1</v>
      </c>
      <c r="N12" s="76">
        <v>0.3</v>
      </c>
      <c r="O12" s="77">
        <v>0.3</v>
      </c>
      <c r="P12" s="79"/>
      <c r="Q12" s="76"/>
      <c r="R12" s="76">
        <v>0.2</v>
      </c>
      <c r="S12" s="76">
        <v>0.1</v>
      </c>
      <c r="T12" s="76"/>
      <c r="U12" s="67"/>
      <c r="V12" s="78"/>
      <c r="W12" s="68">
        <f t="shared" si="0"/>
        <v>0.7</v>
      </c>
      <c r="X12" s="69">
        <f t="shared" si="1"/>
        <v>0.30000000000000004</v>
      </c>
      <c r="Y12" s="70">
        <f t="shared" si="2"/>
        <v>1</v>
      </c>
      <c r="Z12" s="71">
        <f>'[1]cálculos teóricos'!I6</f>
        <v>13.414382772748056</v>
      </c>
      <c r="AA12" s="72">
        <f t="shared" si="3"/>
        <v>7.4546851460921975</v>
      </c>
      <c r="AB12" s="3"/>
    </row>
    <row r="13" spans="1:28" ht="18" customHeight="1">
      <c r="A13" s="73">
        <v>5</v>
      </c>
      <c r="B13" s="57">
        <v>27.2</v>
      </c>
      <c r="C13" s="74">
        <f>'[1]cálculos teóricos'!K7</f>
        <v>1.0431205173832472</v>
      </c>
      <c r="D13" s="59">
        <f t="shared" si="4"/>
        <v>413.20840981357702</v>
      </c>
      <c r="E13" s="60">
        <f t="shared" si="5"/>
        <v>17.300209702074842</v>
      </c>
      <c r="F13" s="61">
        <f t="shared" si="6"/>
        <v>21.954344607593558</v>
      </c>
      <c r="G13" s="62">
        <f>'[1]cálculos teóricos'!T7</f>
        <v>42.899257802114548</v>
      </c>
      <c r="H13" s="75">
        <f t="shared" si="7"/>
        <v>51.176513842883793</v>
      </c>
      <c r="I13" s="57"/>
      <c r="J13" s="76">
        <v>0.1</v>
      </c>
      <c r="K13" s="76">
        <v>0.2</v>
      </c>
      <c r="L13" s="76">
        <v>0.4</v>
      </c>
      <c r="M13" s="76"/>
      <c r="N13" s="76">
        <v>0.8</v>
      </c>
      <c r="O13" s="77">
        <v>0.9</v>
      </c>
      <c r="P13" s="66">
        <v>1</v>
      </c>
      <c r="Q13" s="66">
        <v>1</v>
      </c>
      <c r="R13" s="67">
        <v>1</v>
      </c>
      <c r="S13" s="67">
        <v>0.5</v>
      </c>
      <c r="T13" s="67">
        <v>0.4</v>
      </c>
      <c r="U13" s="67"/>
      <c r="V13" s="78"/>
      <c r="W13" s="68">
        <f t="shared" si="0"/>
        <v>2.4</v>
      </c>
      <c r="X13" s="69">
        <f t="shared" si="1"/>
        <v>3.9</v>
      </c>
      <c r="Y13" s="70">
        <f t="shared" si="2"/>
        <v>6.3</v>
      </c>
      <c r="Z13" s="71">
        <f>'[1]cálculos teóricos'!I7</f>
        <v>13.40725552892793</v>
      </c>
      <c r="AA13" s="72">
        <f t="shared" si="3"/>
        <v>46.989482570887944</v>
      </c>
      <c r="AB13" s="3"/>
    </row>
    <row r="14" spans="1:28" ht="18" customHeight="1">
      <c r="A14" s="73">
        <v>6</v>
      </c>
      <c r="B14" s="57">
        <v>30.1</v>
      </c>
      <c r="C14" s="74">
        <f>'[1]cálculos teóricos'!K8</f>
        <v>1.0430617300197544</v>
      </c>
      <c r="D14" s="59">
        <f t="shared" si="4"/>
        <v>457.23794810479512</v>
      </c>
      <c r="E14" s="60">
        <f t="shared" si="5"/>
        <v>19.143638411251562</v>
      </c>
      <c r="F14" s="61">
        <f t="shared" si="6"/>
        <v>24.258630494064452</v>
      </c>
      <c r="G14" s="62">
        <f>'[1]cálculos teóricos'!T8</f>
        <v>42.875693838404729</v>
      </c>
      <c r="H14" s="75">
        <f t="shared" si="7"/>
        <v>56.578980588613696</v>
      </c>
      <c r="I14" s="57"/>
      <c r="J14" s="76"/>
      <c r="K14" s="76"/>
      <c r="L14" s="76"/>
      <c r="M14" s="76">
        <v>0.9</v>
      </c>
      <c r="N14" s="76">
        <v>1</v>
      </c>
      <c r="O14" s="77">
        <v>0.8</v>
      </c>
      <c r="P14" s="66">
        <v>0.9</v>
      </c>
      <c r="Q14" s="66">
        <v>1</v>
      </c>
      <c r="R14" s="67">
        <v>1</v>
      </c>
      <c r="S14" s="67">
        <v>1</v>
      </c>
      <c r="T14" s="67">
        <v>0.8</v>
      </c>
      <c r="U14" s="67"/>
      <c r="V14" s="78"/>
      <c r="W14" s="68">
        <f t="shared" si="0"/>
        <v>2.7</v>
      </c>
      <c r="X14" s="69">
        <f t="shared" si="1"/>
        <v>4.7</v>
      </c>
      <c r="Y14" s="70">
        <f t="shared" si="2"/>
        <v>7.4</v>
      </c>
      <c r="Z14" s="71">
        <f>'[1]cálculos teóricos'!I8</f>
        <v>13.399617979654318</v>
      </c>
      <c r="AA14" s="72">
        <f t="shared" si="3"/>
        <v>55.225455018463926</v>
      </c>
      <c r="AB14" s="3"/>
    </row>
    <row r="15" spans="1:28" ht="18" customHeight="1">
      <c r="A15" s="73">
        <v>7</v>
      </c>
      <c r="B15" s="57">
        <v>32.299999999999997</v>
      </c>
      <c r="C15" s="74">
        <f>'[1]cálculos teóricos'!K9</f>
        <v>1.0429980728749551</v>
      </c>
      <c r="D15" s="59">
        <f t="shared" si="4"/>
        <v>490.62738862835533</v>
      </c>
      <c r="E15" s="60">
        <f t="shared" si="5"/>
        <v>20.541587507091982</v>
      </c>
      <c r="F15" s="61">
        <f t="shared" si="6"/>
        <v>26.006066863864977</v>
      </c>
      <c r="G15" s="62">
        <f>'[1]cálculos teóricos'!T9</f>
        <v>42.850007012169783</v>
      </c>
      <c r="H15" s="75">
        <f t="shared" si="7"/>
        <v>60.69092790691731</v>
      </c>
      <c r="I15" s="57"/>
      <c r="J15" s="57">
        <v>0.6</v>
      </c>
      <c r="K15" s="76">
        <v>1</v>
      </c>
      <c r="L15" s="76">
        <v>1</v>
      </c>
      <c r="M15" s="76">
        <v>1</v>
      </c>
      <c r="N15" s="76">
        <v>1</v>
      </c>
      <c r="O15" s="77">
        <v>1</v>
      </c>
      <c r="P15" s="79">
        <v>0.7</v>
      </c>
      <c r="Q15" s="76">
        <v>0.5</v>
      </c>
      <c r="R15" s="76">
        <v>0.8</v>
      </c>
      <c r="S15" s="76">
        <v>0.8</v>
      </c>
      <c r="T15" s="67">
        <v>1</v>
      </c>
      <c r="U15" s="67">
        <v>0.4</v>
      </c>
      <c r="V15" s="78"/>
      <c r="W15" s="68">
        <f t="shared" si="0"/>
        <v>5.6</v>
      </c>
      <c r="X15" s="69">
        <f t="shared" si="1"/>
        <v>4.2</v>
      </c>
      <c r="Y15" s="70">
        <f t="shared" si="2"/>
        <v>9.8000000000000007</v>
      </c>
      <c r="Z15" s="71">
        <f>'[1]cálculos teóricos'!I9</f>
        <v>13.391476313835456</v>
      </c>
      <c r="AA15" s="72">
        <f t="shared" si="3"/>
        <v>73.18087842096314</v>
      </c>
      <c r="AB15" s="3"/>
    </row>
    <row r="16" spans="1:28" ht="18" customHeight="1">
      <c r="A16" s="80">
        <v>8</v>
      </c>
      <c r="B16" s="76">
        <v>26.2</v>
      </c>
      <c r="C16" s="74">
        <f>'[1]cálculos teóricos'!K10</f>
        <v>1.0429294034098502</v>
      </c>
      <c r="D16" s="59">
        <f t="shared" si="4"/>
        <v>397.94400200385508</v>
      </c>
      <c r="E16" s="60">
        <f t="shared" si="5"/>
        <v>16.661119475897404</v>
      </c>
      <c r="F16" s="61">
        <f t="shared" si="6"/>
        <v>21.155481824871753</v>
      </c>
      <c r="G16" s="62">
        <f>'[1]cálculos teóricos'!T10</f>
        <v>42.822182910782871</v>
      </c>
      <c r="H16" s="75">
        <f t="shared" si="7"/>
        <v>49.403090610648626</v>
      </c>
      <c r="I16" s="79">
        <v>0.2</v>
      </c>
      <c r="J16" s="57">
        <v>1</v>
      </c>
      <c r="K16" s="76">
        <v>1</v>
      </c>
      <c r="L16" s="76">
        <v>1</v>
      </c>
      <c r="M16" s="76">
        <v>0.9</v>
      </c>
      <c r="N16" s="76">
        <v>1</v>
      </c>
      <c r="O16" s="77">
        <v>1</v>
      </c>
      <c r="P16" s="79">
        <v>0.3</v>
      </c>
      <c r="Q16" s="66">
        <v>0.8</v>
      </c>
      <c r="R16" s="67"/>
      <c r="S16" s="67"/>
      <c r="T16" s="67"/>
      <c r="U16" s="67"/>
      <c r="V16" s="78"/>
      <c r="W16" s="68">
        <f t="shared" si="0"/>
        <v>6.1000000000000005</v>
      </c>
      <c r="X16" s="69">
        <f t="shared" si="1"/>
        <v>1.1000000000000001</v>
      </c>
      <c r="Y16" s="70">
        <f t="shared" si="2"/>
        <v>7.2000000000000011</v>
      </c>
      <c r="Z16" s="71">
        <f>'[1]cálculos teóricos'!I10</f>
        <v>13.382837075865469</v>
      </c>
      <c r="AA16" s="72">
        <f t="shared" si="3"/>
        <v>53.800251465247527</v>
      </c>
      <c r="AB16" s="3"/>
    </row>
    <row r="17" spans="1:28" ht="18" customHeight="1">
      <c r="A17" s="80">
        <v>9</v>
      </c>
      <c r="B17" s="76">
        <v>29.9</v>
      </c>
      <c r="C17" s="74">
        <f>'[1]cálculos teóricos'!K11</f>
        <v>1.0428555718713279</v>
      </c>
      <c r="D17" s="59">
        <f t="shared" si="4"/>
        <v>454.11005091634769</v>
      </c>
      <c r="E17" s="60">
        <f t="shared" si="5"/>
        <v>19.012679611765645</v>
      </c>
      <c r="F17" s="61">
        <f t="shared" si="6"/>
        <v>24.094931994707057</v>
      </c>
      <c r="G17" s="62">
        <f>'[1]cálculos teóricos'!T11</f>
        <v>42.792206670842504</v>
      </c>
      <c r="H17" s="75">
        <f t="shared" si="7"/>
        <v>56.306822828851026</v>
      </c>
      <c r="I17" s="79"/>
      <c r="J17" s="81">
        <v>1</v>
      </c>
      <c r="K17" s="81">
        <v>1</v>
      </c>
      <c r="L17" s="81">
        <v>1</v>
      </c>
      <c r="M17" s="81">
        <v>0.9</v>
      </c>
      <c r="N17" s="81">
        <v>1</v>
      </c>
      <c r="O17" s="78">
        <v>1</v>
      </c>
      <c r="P17" s="82">
        <v>1</v>
      </c>
      <c r="Q17" s="81">
        <v>1</v>
      </c>
      <c r="R17" s="81">
        <v>1</v>
      </c>
      <c r="S17" s="81"/>
      <c r="T17" s="81"/>
      <c r="U17" s="67"/>
      <c r="V17" s="78"/>
      <c r="W17" s="68">
        <f t="shared" si="0"/>
        <v>5.9</v>
      </c>
      <c r="X17" s="69">
        <f t="shared" si="1"/>
        <v>3</v>
      </c>
      <c r="Y17" s="70">
        <f t="shared" si="2"/>
        <v>8.9</v>
      </c>
      <c r="Z17" s="71">
        <f>'[1]cálculos teóricos'!I11</f>
        <v>13.373707148420571</v>
      </c>
      <c r="AA17" s="72">
        <f t="shared" si="3"/>
        <v>66.548488771500317</v>
      </c>
      <c r="AB17" s="3"/>
    </row>
    <row r="18" spans="1:28" ht="18" customHeight="1">
      <c r="A18" s="83">
        <v>10</v>
      </c>
      <c r="B18" s="76">
        <v>33</v>
      </c>
      <c r="C18" s="74">
        <f>'[1]cálculos teóricos'!K12</f>
        <v>1.0427764216695341</v>
      </c>
      <c r="D18" s="59">
        <f t="shared" si="4"/>
        <v>501.1536557604806</v>
      </c>
      <c r="E18" s="60">
        <f t="shared" si="5"/>
        <v>20.982301259379803</v>
      </c>
      <c r="F18" s="61">
        <f t="shared" si="6"/>
        <v>26.556959054224752</v>
      </c>
      <c r="G18" s="62">
        <f>'[1]cálculos teóricos'!T12</f>
        <v>42.760063031628945</v>
      </c>
      <c r="H18" s="75">
        <f t="shared" si="7"/>
        <v>62.106922140364922</v>
      </c>
      <c r="I18" s="79"/>
      <c r="J18" s="81">
        <v>0.6</v>
      </c>
      <c r="K18" s="81">
        <v>1</v>
      </c>
      <c r="L18" s="81">
        <v>1</v>
      </c>
      <c r="M18" s="81">
        <v>0.8</v>
      </c>
      <c r="N18" s="81">
        <v>1</v>
      </c>
      <c r="O18" s="78">
        <v>1</v>
      </c>
      <c r="P18" s="82">
        <v>1</v>
      </c>
      <c r="Q18" s="81">
        <v>1</v>
      </c>
      <c r="R18" s="81">
        <v>0.8</v>
      </c>
      <c r="S18" s="81">
        <v>0.7</v>
      </c>
      <c r="T18" s="67"/>
      <c r="U18" s="67"/>
      <c r="V18" s="78"/>
      <c r="W18" s="68">
        <f t="shared" si="0"/>
        <v>5.4</v>
      </c>
      <c r="X18" s="69">
        <f t="shared" si="1"/>
        <v>3.5</v>
      </c>
      <c r="Y18" s="70">
        <f t="shared" si="2"/>
        <v>8.9</v>
      </c>
      <c r="Z18" s="71">
        <f>'[1]cálculos teóricos'!I12</f>
        <v>13.364093734637674</v>
      </c>
      <c r="AA18" s="72">
        <f t="shared" si="3"/>
        <v>66.596360192629973</v>
      </c>
      <c r="AB18" s="3"/>
    </row>
    <row r="19" spans="1:28" ht="18" customHeight="1">
      <c r="A19" s="84">
        <v>11</v>
      </c>
      <c r="B19" s="76">
        <v>31.7</v>
      </c>
      <c r="C19" s="74">
        <f>'[1]cálculos teóricos'!K13</f>
        <v>1.0426917897715424</v>
      </c>
      <c r="D19" s="59">
        <f t="shared" si="4"/>
        <v>481.37216760671004</v>
      </c>
      <c r="E19" s="60">
        <f t="shared" si="5"/>
        <v>20.154089913357733</v>
      </c>
      <c r="F19" s="61">
        <f t="shared" si="6"/>
        <v>25.521694871697168</v>
      </c>
      <c r="G19" s="62">
        <f>'[1]cálculos teóricos'!T13</f>
        <v>42.72573639089709</v>
      </c>
      <c r="H19" s="75">
        <f t="shared" si="7"/>
        <v>59.733774131356292</v>
      </c>
      <c r="I19" s="79"/>
      <c r="J19" s="81">
        <v>0.3</v>
      </c>
      <c r="K19" s="81">
        <v>0.5</v>
      </c>
      <c r="L19" s="81">
        <v>0.9</v>
      </c>
      <c r="M19" s="81">
        <v>1</v>
      </c>
      <c r="N19" s="81">
        <v>1</v>
      </c>
      <c r="O19" s="77">
        <v>1</v>
      </c>
      <c r="P19" s="66">
        <v>1</v>
      </c>
      <c r="Q19" s="67">
        <v>1</v>
      </c>
      <c r="R19" s="67">
        <v>1</v>
      </c>
      <c r="S19" s="67">
        <v>1</v>
      </c>
      <c r="T19" s="67">
        <v>0.2</v>
      </c>
      <c r="U19" s="67"/>
      <c r="V19" s="78"/>
      <c r="W19" s="68">
        <f t="shared" si="0"/>
        <v>4.7</v>
      </c>
      <c r="X19" s="69">
        <f t="shared" si="1"/>
        <v>4.2</v>
      </c>
      <c r="Y19" s="70">
        <f t="shared" si="2"/>
        <v>8.9</v>
      </c>
      <c r="Z19" s="71">
        <f>'[1]cálculos teóricos'!I13</f>
        <v>13.354004339762858</v>
      </c>
      <c r="AA19" s="72">
        <f t="shared" si="3"/>
        <v>66.646675959954408</v>
      </c>
      <c r="AB19" s="3"/>
    </row>
    <row r="20" spans="1:28" ht="18" customHeight="1">
      <c r="A20" s="85">
        <v>12</v>
      </c>
      <c r="B20" s="76">
        <v>17.600000000000001</v>
      </c>
      <c r="C20" s="74">
        <f>'[1]cálculos teóricos'!K14</f>
        <v>1.0426015071100707</v>
      </c>
      <c r="D20" s="59">
        <f t="shared" si="4"/>
        <v>267.23711605883631</v>
      </c>
      <c r="E20" s="60">
        <f t="shared" si="5"/>
        <v>11.188683575151359</v>
      </c>
      <c r="F20" s="61">
        <f t="shared" si="6"/>
        <v>14.314936948939199</v>
      </c>
      <c r="G20" s="62">
        <f>'[1]cálculos teóricos'!T14</f>
        <v>42.689210862833292</v>
      </c>
      <c r="H20" s="75">
        <f t="shared" si="7"/>
        <v>33.532915365747087</v>
      </c>
      <c r="I20" s="79"/>
      <c r="J20" s="81"/>
      <c r="K20" s="81"/>
      <c r="L20" s="81"/>
      <c r="M20" s="81"/>
      <c r="N20" s="81">
        <v>0.1</v>
      </c>
      <c r="O20" s="78">
        <v>0.8</v>
      </c>
      <c r="P20" s="66">
        <v>0.4</v>
      </c>
      <c r="Q20" s="67">
        <v>0.1</v>
      </c>
      <c r="R20" s="67"/>
      <c r="S20" s="67"/>
      <c r="T20" s="67"/>
      <c r="U20" s="67"/>
      <c r="V20" s="78"/>
      <c r="W20" s="68">
        <f t="shared" si="0"/>
        <v>0.9</v>
      </c>
      <c r="X20" s="69">
        <f t="shared" si="1"/>
        <v>0.5</v>
      </c>
      <c r="Y20" s="70">
        <f t="shared" si="2"/>
        <v>1.4</v>
      </c>
      <c r="Z20" s="71">
        <f>'[1]cálculos teóricos'!I14</f>
        <v>13.343446752357368</v>
      </c>
      <c r="AA20" s="72">
        <f t="shared" si="3"/>
        <v>10.492041718925915</v>
      </c>
      <c r="AB20" s="3"/>
    </row>
    <row r="21" spans="1:28" ht="18" customHeight="1">
      <c r="A21" s="85">
        <v>13</v>
      </c>
      <c r="B21" s="76">
        <v>13.3</v>
      </c>
      <c r="C21" s="74">
        <f>'[1]cálculos teóricos'!K15</f>
        <v>1.0425053990059436</v>
      </c>
      <c r="D21" s="59">
        <f t="shared" si="4"/>
        <v>201.92761413302671</v>
      </c>
      <c r="E21" s="60">
        <f t="shared" si="5"/>
        <v>8.4543053485215616</v>
      </c>
      <c r="F21" s="61">
        <f t="shared" si="6"/>
        <v>10.896964165651953</v>
      </c>
      <c r="G21" s="62">
        <f>'[1]cálculos teóricos'!T15</f>
        <v>42.6504703379955</v>
      </c>
      <c r="H21" s="75">
        <f t="shared" si="7"/>
        <v>25.549458374775078</v>
      </c>
      <c r="I21" s="79"/>
      <c r="J21" s="81"/>
      <c r="K21" s="81"/>
      <c r="L21" s="81"/>
      <c r="M21" s="81"/>
      <c r="N21" s="81">
        <v>0.4</v>
      </c>
      <c r="O21" s="78"/>
      <c r="P21" s="66"/>
      <c r="Q21" s="67"/>
      <c r="R21" s="67"/>
      <c r="S21" s="67"/>
      <c r="T21" s="67"/>
      <c r="U21" s="67"/>
      <c r="V21" s="78"/>
      <c r="W21" s="68">
        <f t="shared" si="0"/>
        <v>0.4</v>
      </c>
      <c r="X21" s="69">
        <f t="shared" si="1"/>
        <v>0</v>
      </c>
      <c r="Y21" s="70">
        <f t="shared" si="2"/>
        <v>0.4</v>
      </c>
      <c r="Z21" s="71">
        <f>'[1]cálculos teóricos'!I15</f>
        <v>13.332429025149247</v>
      </c>
      <c r="AA21" s="72">
        <f t="shared" si="3"/>
        <v>3.0002034831422795</v>
      </c>
      <c r="AB21" s="3"/>
    </row>
    <row r="22" spans="1:28" ht="18" customHeight="1">
      <c r="A22" s="85">
        <v>14</v>
      </c>
      <c r="B22" s="76">
        <v>31.2</v>
      </c>
      <c r="C22" s="74">
        <f>'[1]cálculos teóricos'!K16</f>
        <v>1.0424032856029817</v>
      </c>
      <c r="D22" s="59">
        <f t="shared" si="4"/>
        <v>473.64845579622556</v>
      </c>
      <c r="E22" s="60">
        <f t="shared" si="5"/>
        <v>19.830713547276371</v>
      </c>
      <c r="F22" s="61">
        <f t="shared" si="6"/>
        <v>25.117474414095469</v>
      </c>
      <c r="G22" s="62">
        <f>'[1]cálculos teóricos'!T16</f>
        <v>42.609498545049341</v>
      </c>
      <c r="H22" s="75">
        <f t="shared" si="7"/>
        <v>58.948063863130784</v>
      </c>
      <c r="I22" s="79"/>
      <c r="J22" s="81"/>
      <c r="K22" s="81">
        <v>0.9</v>
      </c>
      <c r="L22" s="81">
        <v>1</v>
      </c>
      <c r="M22" s="81">
        <v>0.8</v>
      </c>
      <c r="N22" s="81">
        <v>1</v>
      </c>
      <c r="O22" s="78">
        <v>1</v>
      </c>
      <c r="P22" s="66">
        <v>1</v>
      </c>
      <c r="Q22" s="67">
        <v>1</v>
      </c>
      <c r="R22" s="67">
        <v>0.2</v>
      </c>
      <c r="S22" s="67">
        <v>0.8</v>
      </c>
      <c r="T22" s="67">
        <v>1</v>
      </c>
      <c r="U22" s="67">
        <v>0.7</v>
      </c>
      <c r="V22" s="78"/>
      <c r="W22" s="68">
        <f t="shared" si="0"/>
        <v>4.7</v>
      </c>
      <c r="X22" s="69">
        <f t="shared" si="1"/>
        <v>4.7</v>
      </c>
      <c r="Y22" s="70">
        <f t="shared" si="2"/>
        <v>9.4</v>
      </c>
      <c r="Z22" s="71">
        <f>'[1]cálculos teóricos'!I16</f>
        <v>13.32095945561748</v>
      </c>
      <c r="AA22" s="72">
        <f t="shared" si="3"/>
        <v>70.565487653638925</v>
      </c>
      <c r="AB22" s="3"/>
    </row>
    <row r="23" spans="1:28" ht="18" customHeight="1">
      <c r="A23" s="85">
        <v>15</v>
      </c>
      <c r="B23" s="76">
        <v>33.9</v>
      </c>
      <c r="C23" s="74">
        <f>'[1]cálculos teóricos'!K17</f>
        <v>1.0422949823139649</v>
      </c>
      <c r="D23" s="59">
        <f t="shared" si="4"/>
        <v>514.58379485010755</v>
      </c>
      <c r="E23" s="60">
        <f t="shared" si="5"/>
        <v>21.544594322784302</v>
      </c>
      <c r="F23" s="61">
        <f t="shared" si="6"/>
        <v>27.259825383480379</v>
      </c>
      <c r="G23" s="62">
        <f>'[1]cálculos teóricos'!T17</f>
        <v>42.566279114105868</v>
      </c>
      <c r="H23" s="75">
        <f t="shared" si="7"/>
        <v>64.040893286457958</v>
      </c>
      <c r="I23" s="79"/>
      <c r="J23" s="81">
        <v>0.4</v>
      </c>
      <c r="K23" s="81">
        <v>0.6</v>
      </c>
      <c r="L23" s="81">
        <v>0.8</v>
      </c>
      <c r="M23" s="81">
        <v>1</v>
      </c>
      <c r="N23" s="81">
        <v>1</v>
      </c>
      <c r="O23" s="78">
        <v>1</v>
      </c>
      <c r="P23" s="66">
        <v>1</v>
      </c>
      <c r="Q23" s="67">
        <v>1</v>
      </c>
      <c r="R23" s="67">
        <v>0.9</v>
      </c>
      <c r="S23" s="67">
        <v>0.9</v>
      </c>
      <c r="T23" s="67">
        <v>0.6</v>
      </c>
      <c r="U23" s="67"/>
      <c r="V23" s="78"/>
      <c r="W23" s="68">
        <f t="shared" si="0"/>
        <v>4.8</v>
      </c>
      <c r="X23" s="69">
        <f t="shared" si="1"/>
        <v>4.3999999999999995</v>
      </c>
      <c r="Y23" s="70">
        <f t="shared" si="2"/>
        <v>9.1999999999999993</v>
      </c>
      <c r="Z23" s="71">
        <f>'[1]cálculos teóricos'!I17</f>
        <v>13.309046566394962</v>
      </c>
      <c r="AA23" s="72">
        <f t="shared" si="3"/>
        <v>69.12591337105836</v>
      </c>
      <c r="AB23" s="3"/>
    </row>
    <row r="24" spans="1:28" ht="18" customHeight="1">
      <c r="A24" s="85">
        <v>16</v>
      </c>
      <c r="B24" s="76">
        <v>34.5</v>
      </c>
      <c r="C24" s="74">
        <f>'[1]cálculos teóricos'!K18</f>
        <v>1.0421803002763004</v>
      </c>
      <c r="D24" s="59">
        <f t="shared" si="4"/>
        <v>523.63385170604954</v>
      </c>
      <c r="E24" s="60">
        <f t="shared" si="5"/>
        <v>21.923502103228881</v>
      </c>
      <c r="F24" s="61">
        <f t="shared" si="6"/>
        <v>27.733460109036102</v>
      </c>
      <c r="G24" s="62">
        <f>'[1]cálculos teóricos'!T18</f>
        <v>42.520795641460737</v>
      </c>
      <c r="H24" s="75">
        <f t="shared" si="7"/>
        <v>65.223285902002374</v>
      </c>
      <c r="I24" s="79">
        <v>0.1</v>
      </c>
      <c r="J24" s="81">
        <v>1</v>
      </c>
      <c r="K24" s="81">
        <v>1</v>
      </c>
      <c r="L24" s="81">
        <v>1</v>
      </c>
      <c r="M24" s="81">
        <v>1</v>
      </c>
      <c r="N24" s="81">
        <v>1</v>
      </c>
      <c r="O24" s="78">
        <v>0.9</v>
      </c>
      <c r="P24" s="66">
        <v>0.9</v>
      </c>
      <c r="Q24" s="67">
        <v>0.9</v>
      </c>
      <c r="R24" s="67">
        <v>1</v>
      </c>
      <c r="S24" s="67">
        <v>1</v>
      </c>
      <c r="T24" s="67">
        <v>0.9</v>
      </c>
      <c r="U24" s="67">
        <v>0.1</v>
      </c>
      <c r="V24" s="78"/>
      <c r="W24" s="68">
        <f t="shared" si="0"/>
        <v>6</v>
      </c>
      <c r="X24" s="69">
        <f t="shared" si="1"/>
        <v>4.8</v>
      </c>
      <c r="Y24" s="70">
        <f t="shared" si="2"/>
        <v>10.8</v>
      </c>
      <c r="Z24" s="71">
        <f>'[1]cálculos teóricos'!I18</f>
        <v>13.296699085574138</v>
      </c>
      <c r="AA24" s="72">
        <f t="shared" si="3"/>
        <v>81.223166219630713</v>
      </c>
      <c r="AB24" s="3"/>
    </row>
    <row r="25" spans="1:28" ht="18" customHeight="1">
      <c r="A25" s="85">
        <v>17</v>
      </c>
      <c r="B25" s="76">
        <v>25.6</v>
      </c>
      <c r="C25" s="74">
        <f>'[1]cálculos teóricos'!K19</f>
        <v>1.0420590468160129</v>
      </c>
      <c r="D25" s="59">
        <f t="shared" si="4"/>
        <v>388.50628936460811</v>
      </c>
      <c r="E25" s="60">
        <f t="shared" si="5"/>
        <v>16.265981323117412</v>
      </c>
      <c r="F25" s="61">
        <f t="shared" si="6"/>
        <v>20.661559133896766</v>
      </c>
      <c r="G25" s="62">
        <f>'[1]cálculos teóricos'!T19</f>
        <v>42.473031755529334</v>
      </c>
      <c r="H25" s="75">
        <f t="shared" si="7"/>
        <v>48.646301617512741</v>
      </c>
      <c r="I25" s="79"/>
      <c r="J25" s="81">
        <v>0.6</v>
      </c>
      <c r="K25" s="81">
        <v>1</v>
      </c>
      <c r="L25" s="81">
        <v>0.8</v>
      </c>
      <c r="M25" s="81">
        <v>0.9</v>
      </c>
      <c r="N25" s="81">
        <v>1</v>
      </c>
      <c r="O25" s="78">
        <v>1</v>
      </c>
      <c r="P25" s="66">
        <v>0.8</v>
      </c>
      <c r="Q25" s="67">
        <v>1</v>
      </c>
      <c r="R25" s="67"/>
      <c r="S25" s="67"/>
      <c r="T25" s="67"/>
      <c r="U25" s="67"/>
      <c r="V25" s="78"/>
      <c r="W25" s="68">
        <f t="shared" si="0"/>
        <v>5.3000000000000007</v>
      </c>
      <c r="X25" s="69">
        <f t="shared" si="1"/>
        <v>1.8</v>
      </c>
      <c r="Y25" s="70">
        <f t="shared" si="2"/>
        <v>7.1000000000000005</v>
      </c>
      <c r="Z25" s="71">
        <f>'[1]cálculos teóricos'!I19</f>
        <v>13.283925926997437</v>
      </c>
      <c r="AA25" s="72">
        <f t="shared" si="3"/>
        <v>53.448054731849979</v>
      </c>
      <c r="AB25" s="3"/>
    </row>
    <row r="26" spans="1:28" ht="18" customHeight="1">
      <c r="A26" s="85">
        <v>18</v>
      </c>
      <c r="B26" s="76">
        <v>30.6</v>
      </c>
      <c r="C26" s="74">
        <f>'[1]cálculos teóricos'!K20</f>
        <v>1.0419310259186705</v>
      </c>
      <c r="D26" s="59">
        <f t="shared" si="4"/>
        <v>464.32937237657671</v>
      </c>
      <c r="E26" s="60">
        <f t="shared" si="5"/>
        <v>19.440542162662513</v>
      </c>
      <c r="F26" s="61">
        <f t="shared" si="6"/>
        <v>24.629760183328141</v>
      </c>
      <c r="G26" s="62">
        <f>'[1]cálculos teóricos'!T20</f>
        <v>42.422971183768496</v>
      </c>
      <c r="H26" s="75">
        <f t="shared" si="7"/>
        <v>58.057602982677842</v>
      </c>
      <c r="I26" s="79"/>
      <c r="J26" s="81">
        <v>0.8</v>
      </c>
      <c r="K26" s="81">
        <v>1</v>
      </c>
      <c r="L26" s="81">
        <v>1</v>
      </c>
      <c r="M26" s="81">
        <v>1</v>
      </c>
      <c r="N26" s="81">
        <v>1</v>
      </c>
      <c r="O26" s="78">
        <v>1</v>
      </c>
      <c r="P26" s="82">
        <v>0.8</v>
      </c>
      <c r="Q26" s="67">
        <v>1</v>
      </c>
      <c r="R26" s="67">
        <v>0.5</v>
      </c>
      <c r="S26" s="67">
        <v>0.2</v>
      </c>
      <c r="T26" s="67"/>
      <c r="U26" s="67"/>
      <c r="V26" s="78"/>
      <c r="W26" s="68">
        <f t="shared" si="0"/>
        <v>5.8</v>
      </c>
      <c r="X26" s="69">
        <f t="shared" si="1"/>
        <v>2.5</v>
      </c>
      <c r="Y26" s="70">
        <f t="shared" si="2"/>
        <v>8.3000000000000007</v>
      </c>
      <c r="Z26" s="71">
        <f>'[1]cálculos teóricos'!I20</f>
        <v>13.270736170611478</v>
      </c>
      <c r="AA26" s="72">
        <f t="shared" si="3"/>
        <v>62.543629029267038</v>
      </c>
      <c r="AB26" s="3"/>
    </row>
    <row r="27" spans="1:28" ht="18" customHeight="1">
      <c r="A27" s="85">
        <v>19</v>
      </c>
      <c r="B27" s="76">
        <v>25.2</v>
      </c>
      <c r="C27" s="74">
        <f>'[1]cálculos teóricos'!K21</f>
        <v>1.0417960387058549</v>
      </c>
      <c r="D27" s="59">
        <f t="shared" si="4"/>
        <v>382.3393545642565</v>
      </c>
      <c r="E27" s="60">
        <f t="shared" si="5"/>
        <v>16.007784096896291</v>
      </c>
      <c r="F27" s="61">
        <f t="shared" si="6"/>
        <v>20.338812601120363</v>
      </c>
      <c r="G27" s="62">
        <f>'[1]cálculos teóricos'!T21</f>
        <v>42.370597820371522</v>
      </c>
      <c r="H27" s="75">
        <f t="shared" si="7"/>
        <v>48.002184645460886</v>
      </c>
      <c r="I27" s="79"/>
      <c r="J27" s="81"/>
      <c r="K27" s="81"/>
      <c r="L27" s="81">
        <v>0.4</v>
      </c>
      <c r="M27" s="81">
        <v>0.4</v>
      </c>
      <c r="N27" s="81"/>
      <c r="O27" s="78"/>
      <c r="P27" s="66">
        <v>0.5</v>
      </c>
      <c r="Q27" s="67">
        <v>0.7</v>
      </c>
      <c r="R27" s="67">
        <v>1</v>
      </c>
      <c r="S27" s="67">
        <v>0.9</v>
      </c>
      <c r="T27" s="67">
        <v>0.8</v>
      </c>
      <c r="U27" s="67"/>
      <c r="V27" s="78"/>
      <c r="W27" s="68">
        <f t="shared" si="0"/>
        <v>0.8</v>
      </c>
      <c r="X27" s="69">
        <f t="shared" si="1"/>
        <v>3.9000000000000004</v>
      </c>
      <c r="Y27" s="70">
        <f t="shared" si="2"/>
        <v>4.7</v>
      </c>
      <c r="Z27" s="71">
        <f>'[1]cálculos teóricos'!I21</f>
        <v>13.257139042960983</v>
      </c>
      <c r="AA27" s="72">
        <f t="shared" si="3"/>
        <v>35.452596406880971</v>
      </c>
      <c r="AB27" s="3"/>
    </row>
    <row r="28" spans="1:28" ht="18" customHeight="1">
      <c r="A28" s="85">
        <v>20</v>
      </c>
      <c r="B28" s="76">
        <v>19.100000000000001</v>
      </c>
      <c r="C28" s="74">
        <f>'[1]cálculos teóricos'!K22</f>
        <v>1.0416538839157914</v>
      </c>
      <c r="D28" s="59">
        <f t="shared" si="4"/>
        <v>289.74941306358573</v>
      </c>
      <c r="E28" s="60">
        <f t="shared" si="5"/>
        <v>12.131228426146208</v>
      </c>
      <c r="F28" s="61">
        <f t="shared" si="6"/>
        <v>15.493118012682761</v>
      </c>
      <c r="G28" s="62">
        <f>'[1]cálculos teóricos'!T22</f>
        <v>42.315895794520593</v>
      </c>
      <c r="H28" s="75">
        <f t="shared" si="7"/>
        <v>36.612997838719828</v>
      </c>
      <c r="I28" s="79"/>
      <c r="J28" s="81"/>
      <c r="K28" s="81"/>
      <c r="L28" s="81">
        <v>0.2</v>
      </c>
      <c r="M28" s="81">
        <v>0.2</v>
      </c>
      <c r="N28" s="81">
        <v>0.8</v>
      </c>
      <c r="O28" s="77">
        <v>0.2</v>
      </c>
      <c r="P28" s="66"/>
      <c r="Q28" s="67">
        <v>0.1</v>
      </c>
      <c r="R28" s="67"/>
      <c r="S28" s="67"/>
      <c r="T28" s="67"/>
      <c r="U28" s="67"/>
      <c r="V28" s="78"/>
      <c r="W28" s="68">
        <f t="shared" si="0"/>
        <v>1.4000000000000001</v>
      </c>
      <c r="X28" s="69">
        <f t="shared" si="1"/>
        <v>0.1</v>
      </c>
      <c r="Y28" s="70">
        <f t="shared" si="2"/>
        <v>1.5000000000000002</v>
      </c>
      <c r="Z28" s="71">
        <f>'[1]cálculos teóricos'!I22</f>
        <v>13.243143897894775</v>
      </c>
      <c r="AA28" s="72">
        <f t="shared" si="3"/>
        <v>11.326615579843175</v>
      </c>
      <c r="AB28" s="3"/>
    </row>
    <row r="29" spans="1:28" ht="18" customHeight="1">
      <c r="A29" s="84">
        <v>21</v>
      </c>
      <c r="B29" s="76">
        <v>19.8</v>
      </c>
      <c r="C29" s="74">
        <f>'[1]cálculos teóricos'!K23</f>
        <v>1.0415043583867623</v>
      </c>
      <c r="D29" s="59">
        <f t="shared" si="4"/>
        <v>300.32538472263917</v>
      </c>
      <c r="E29" s="60">
        <f t="shared" si="5"/>
        <v>12.574023207567457</v>
      </c>
      <c r="F29" s="61">
        <f t="shared" si="6"/>
        <v>16.046611489459323</v>
      </c>
      <c r="G29" s="62">
        <f>'[1]cálculos teóricos'!T23</f>
        <v>42.258849538979433</v>
      </c>
      <c r="H29" s="75">
        <f t="shared" si="7"/>
        <v>37.972192013078775</v>
      </c>
      <c r="I29" s="79"/>
      <c r="J29" s="81">
        <v>0.1</v>
      </c>
      <c r="K29" s="81"/>
      <c r="L29" s="81">
        <v>0.3</v>
      </c>
      <c r="M29" s="81">
        <v>0.4</v>
      </c>
      <c r="N29" s="81">
        <v>0.6</v>
      </c>
      <c r="O29" s="78">
        <v>0.9</v>
      </c>
      <c r="P29" s="66">
        <v>0.2</v>
      </c>
      <c r="Q29" s="67"/>
      <c r="R29" s="67"/>
      <c r="S29" s="67"/>
      <c r="T29" s="67"/>
      <c r="U29" s="67"/>
      <c r="V29" s="78"/>
      <c r="W29" s="68">
        <f t="shared" si="0"/>
        <v>2.2999999999999998</v>
      </c>
      <c r="X29" s="69">
        <f t="shared" si="1"/>
        <v>0.2</v>
      </c>
      <c r="Y29" s="70">
        <f t="shared" si="2"/>
        <v>2.5</v>
      </c>
      <c r="Z29" s="71">
        <f>'[1]cálculos teóricos'!I23</f>
        <v>13.228760197552258</v>
      </c>
      <c r="AA29" s="72">
        <f t="shared" si="3"/>
        <v>18.898218447278072</v>
      </c>
      <c r="AB29" s="3"/>
    </row>
    <row r="30" spans="1:28" ht="18" customHeight="1">
      <c r="A30" s="85">
        <v>22</v>
      </c>
      <c r="B30" s="76">
        <v>26.8</v>
      </c>
      <c r="C30" s="74">
        <f>'[1]cálculos teóricos'!K24</f>
        <v>1.0413472575419567</v>
      </c>
      <c r="D30" s="59">
        <f t="shared" si="4"/>
        <v>406.43970904368928</v>
      </c>
      <c r="E30" s="60">
        <f t="shared" si="5"/>
        <v>17.016817738241183</v>
      </c>
      <c r="F30" s="61">
        <f t="shared" si="6"/>
        <v>21.600104652801477</v>
      </c>
      <c r="G30" s="62">
        <f>'[1]cálculos teóricos'!T24</f>
        <v>42.199443858808038</v>
      </c>
      <c r="H30" s="75">
        <f t="shared" si="7"/>
        <v>51.185756677437865</v>
      </c>
      <c r="I30" s="79"/>
      <c r="J30" s="81"/>
      <c r="K30" s="81">
        <v>0.2</v>
      </c>
      <c r="L30" s="81">
        <v>0.6</v>
      </c>
      <c r="M30" s="81">
        <v>0.8</v>
      </c>
      <c r="N30" s="81">
        <v>0.9</v>
      </c>
      <c r="O30" s="78">
        <v>0.8</v>
      </c>
      <c r="P30" s="66">
        <v>0.9</v>
      </c>
      <c r="Q30" s="67">
        <v>0.1</v>
      </c>
      <c r="R30" s="67">
        <v>0.3</v>
      </c>
      <c r="S30" s="67">
        <v>0.2</v>
      </c>
      <c r="T30" s="67"/>
      <c r="U30" s="67"/>
      <c r="V30" s="78"/>
      <c r="W30" s="68">
        <f t="shared" si="0"/>
        <v>3.3</v>
      </c>
      <c r="X30" s="69">
        <f t="shared" si="1"/>
        <v>1.5</v>
      </c>
      <c r="Y30" s="70">
        <f t="shared" si="2"/>
        <v>4.8</v>
      </c>
      <c r="Z30" s="71">
        <f>'[1]cálculos teóricos'!I24</f>
        <v>13.213997493694729</v>
      </c>
      <c r="AA30" s="72">
        <f t="shared" si="3"/>
        <v>36.325116621903383</v>
      </c>
      <c r="AB30" s="3"/>
    </row>
    <row r="31" spans="1:28" ht="18" customHeight="1">
      <c r="A31" s="85">
        <v>23</v>
      </c>
      <c r="B31" s="76">
        <v>8.5</v>
      </c>
      <c r="C31" s="74">
        <f>'[1]cálculos teóricos'!K25</f>
        <v>1.041182375874407</v>
      </c>
      <c r="D31" s="59">
        <f t="shared" si="4"/>
        <v>128.88770601389888</v>
      </c>
      <c r="E31" s="60">
        <f t="shared" si="5"/>
        <v>5.3962704753899189</v>
      </c>
      <c r="F31" s="61">
        <f t="shared" si="6"/>
        <v>7.074420574237398</v>
      </c>
      <c r="G31" s="62">
        <f>'[1]cálculos teóricos'!T25</f>
        <v>42.137663999981427</v>
      </c>
      <c r="H31" s="75">
        <f t="shared" si="7"/>
        <v>16.788829523726129</v>
      </c>
      <c r="I31" s="79"/>
      <c r="J31" s="81"/>
      <c r="K31" s="81"/>
      <c r="L31" s="81"/>
      <c r="M31" s="81"/>
      <c r="N31" s="81"/>
      <c r="O31" s="78"/>
      <c r="P31" s="66"/>
      <c r="Q31" s="67"/>
      <c r="R31" s="67"/>
      <c r="S31" s="67"/>
      <c r="T31" s="67"/>
      <c r="U31" s="67"/>
      <c r="V31" s="78"/>
      <c r="W31" s="68">
        <f t="shared" si="0"/>
        <v>0</v>
      </c>
      <c r="X31" s="69">
        <f t="shared" si="1"/>
        <v>0</v>
      </c>
      <c r="Y31" s="70">
        <f t="shared" si="2"/>
        <v>0</v>
      </c>
      <c r="Z31" s="71">
        <f>'[1]cálculos teóricos'!I25</f>
        <v>13.198865409441321</v>
      </c>
      <c r="AA31" s="72">
        <f t="shared" si="3"/>
        <v>0</v>
      </c>
      <c r="AB31" s="3"/>
    </row>
    <row r="32" spans="1:28" ht="18" customHeight="1">
      <c r="A32" s="85">
        <v>24</v>
      </c>
      <c r="B32" s="76">
        <v>22.7</v>
      </c>
      <c r="C32" s="74">
        <f>'[1]cálculos teóricos'!K26</f>
        <v>1.0410095074307182</v>
      </c>
      <c r="D32" s="59">
        <f t="shared" si="4"/>
        <v>344.14884252530692</v>
      </c>
      <c r="E32" s="60">
        <f t="shared" si="5"/>
        <v>14.408823738849549</v>
      </c>
      <c r="F32" s="61">
        <f t="shared" si="6"/>
        <v>18.34011215356194</v>
      </c>
      <c r="G32" s="62">
        <f>'[1]cálculos teóricos'!T26</f>
        <v>42.073495717695977</v>
      </c>
      <c r="H32" s="75">
        <f t="shared" si="7"/>
        <v>43.590654498071927</v>
      </c>
      <c r="I32" s="79"/>
      <c r="J32" s="81">
        <v>0.9</v>
      </c>
      <c r="K32" s="81">
        <v>0.8</v>
      </c>
      <c r="L32" s="81">
        <v>0.7</v>
      </c>
      <c r="M32" s="81">
        <v>0.1</v>
      </c>
      <c r="N32" s="81"/>
      <c r="O32" s="78">
        <v>0.3</v>
      </c>
      <c r="P32" s="66">
        <v>0.1</v>
      </c>
      <c r="Q32" s="67">
        <v>0.6</v>
      </c>
      <c r="R32" s="67">
        <v>0.2</v>
      </c>
      <c r="S32" s="67">
        <v>0.5</v>
      </c>
      <c r="T32" s="67"/>
      <c r="U32" s="67"/>
      <c r="V32" s="78"/>
      <c r="W32" s="68">
        <f t="shared" si="0"/>
        <v>2.8000000000000003</v>
      </c>
      <c r="X32" s="69">
        <f t="shared" si="1"/>
        <v>1.4</v>
      </c>
      <c r="Y32" s="70">
        <f t="shared" si="2"/>
        <v>4.2</v>
      </c>
      <c r="Z32" s="71">
        <f>'[1]cálculos teóricos'!I26</f>
        <v>13.183373621464895</v>
      </c>
      <c r="AA32" s="72">
        <f t="shared" si="3"/>
        <v>31.858309720977999</v>
      </c>
      <c r="AB32" s="3"/>
    </row>
    <row r="33" spans="1:28" ht="18" customHeight="1">
      <c r="A33" s="85">
        <v>25</v>
      </c>
      <c r="B33" s="76">
        <v>20.399999999999999</v>
      </c>
      <c r="C33" s="74">
        <f>'[1]cálculos teóricos'!K27</f>
        <v>1.0408284462923059</v>
      </c>
      <c r="D33" s="59">
        <f t="shared" si="4"/>
        <v>309.22534358259117</v>
      </c>
      <c r="E33" s="60">
        <f t="shared" si="5"/>
        <v>12.946646685115928</v>
      </c>
      <c r="F33" s="61">
        <f t="shared" si="6"/>
        <v>16.512390836394911</v>
      </c>
      <c r="G33" s="62">
        <f>'[1]cálculos teóricos'!T27</f>
        <v>42.006925344148755</v>
      </c>
      <c r="H33" s="75">
        <f t="shared" si="7"/>
        <v>39.308734693421123</v>
      </c>
      <c r="I33" s="79"/>
      <c r="J33" s="81"/>
      <c r="K33" s="81"/>
      <c r="L33" s="81"/>
      <c r="M33" s="81">
        <v>0.1</v>
      </c>
      <c r="N33" s="81">
        <v>0.1</v>
      </c>
      <c r="O33" s="78">
        <v>0.2</v>
      </c>
      <c r="P33" s="66">
        <v>0.5</v>
      </c>
      <c r="Q33" s="67">
        <v>0.2</v>
      </c>
      <c r="R33" s="67">
        <v>0.2</v>
      </c>
      <c r="S33" s="67"/>
      <c r="T33" s="67"/>
      <c r="U33" s="67"/>
      <c r="V33" s="78"/>
      <c r="W33" s="68">
        <f t="shared" si="0"/>
        <v>0.4</v>
      </c>
      <c r="X33" s="69">
        <f t="shared" si="1"/>
        <v>0.89999999999999991</v>
      </c>
      <c r="Y33" s="70">
        <f t="shared" si="2"/>
        <v>1.2999999999999998</v>
      </c>
      <c r="Z33" s="71">
        <f>'[1]cálculos teóricos'!I27</f>
        <v>13.16753184269853</v>
      </c>
      <c r="AA33" s="72">
        <f t="shared" si="3"/>
        <v>9.8727689860940568</v>
      </c>
      <c r="AB33" s="3"/>
    </row>
    <row r="34" spans="1:28" ht="18" customHeight="1">
      <c r="A34" s="84">
        <v>26</v>
      </c>
      <c r="B34" s="76">
        <v>20.399999999999999</v>
      </c>
      <c r="C34" s="74">
        <f>'[1]cálculos teóricos'!K28</f>
        <v>1.0406389870529105</v>
      </c>
      <c r="D34" s="59">
        <f t="shared" si="4"/>
        <v>309.16905611407924</v>
      </c>
      <c r="E34" s="60">
        <f t="shared" si="5"/>
        <v>12.944290041384271</v>
      </c>
      <c r="F34" s="61">
        <f t="shared" si="6"/>
        <v>16.509445031730337</v>
      </c>
      <c r="G34" s="62">
        <f>'[1]cálculos teóricos'!T28</f>
        <v>41.937939855578989</v>
      </c>
      <c r="H34" s="75">
        <f t="shared" si="7"/>
        <v>39.366371091626462</v>
      </c>
      <c r="I34" s="79"/>
      <c r="J34" s="81"/>
      <c r="K34" s="81"/>
      <c r="L34" s="81"/>
      <c r="M34" s="81">
        <v>0.1</v>
      </c>
      <c r="N34" s="81">
        <v>0.1</v>
      </c>
      <c r="O34" s="78">
        <v>0.3</v>
      </c>
      <c r="P34" s="66">
        <v>0.9</v>
      </c>
      <c r="Q34" s="67">
        <v>0.8</v>
      </c>
      <c r="R34" s="67"/>
      <c r="S34" s="67"/>
      <c r="T34" s="67">
        <v>0.1</v>
      </c>
      <c r="U34" s="67"/>
      <c r="V34" s="78"/>
      <c r="W34" s="68">
        <f t="shared" si="0"/>
        <v>0.5</v>
      </c>
      <c r="X34" s="69">
        <f t="shared" si="1"/>
        <v>1.8000000000000003</v>
      </c>
      <c r="Y34" s="70">
        <f t="shared" si="2"/>
        <v>2.3000000000000003</v>
      </c>
      <c r="Z34" s="71">
        <f>'[1]cálculos teóricos'!I28</f>
        <v>13.151349805598334</v>
      </c>
      <c r="AA34" s="72">
        <f t="shared" si="3"/>
        <v>17.488699137338166</v>
      </c>
      <c r="AB34" s="3"/>
    </row>
    <row r="35" spans="1:28" ht="18" customHeight="1">
      <c r="A35" s="84">
        <v>27</v>
      </c>
      <c r="B35" s="76">
        <v>21.7</v>
      </c>
      <c r="C35" s="74">
        <f>'[1]cálculos teóricos'!K29</f>
        <v>1.040440925291195</v>
      </c>
      <c r="D35" s="59">
        <f t="shared" si="4"/>
        <v>328.80841271587951</v>
      </c>
      <c r="E35" s="60">
        <f t="shared" si="5"/>
        <v>13.766550623588444</v>
      </c>
      <c r="F35" s="61">
        <f t="shared" si="6"/>
        <v>17.537270759485555</v>
      </c>
      <c r="G35" s="62">
        <f>'[1]cálculos teóricos'!T29</f>
        <v>41.866526938364217</v>
      </c>
      <c r="H35" s="75">
        <f t="shared" si="7"/>
        <v>41.888525373274632</v>
      </c>
      <c r="I35" s="79"/>
      <c r="J35" s="81"/>
      <c r="K35" s="81"/>
      <c r="L35" s="81"/>
      <c r="M35" s="81"/>
      <c r="N35" s="81">
        <v>0.1</v>
      </c>
      <c r="O35" s="78">
        <v>0.7</v>
      </c>
      <c r="P35" s="66">
        <v>0.8</v>
      </c>
      <c r="Q35" s="67">
        <v>0.9</v>
      </c>
      <c r="R35" s="67">
        <v>0.6</v>
      </c>
      <c r="S35" s="67"/>
      <c r="T35" s="67"/>
      <c r="U35" s="67"/>
      <c r="V35" s="78"/>
      <c r="W35" s="68">
        <f t="shared" si="0"/>
        <v>0.79999999999999993</v>
      </c>
      <c r="X35" s="69">
        <f t="shared" si="1"/>
        <v>2.3000000000000003</v>
      </c>
      <c r="Y35" s="70">
        <f t="shared" si="2"/>
        <v>3.1</v>
      </c>
      <c r="Z35" s="71">
        <f>'[1]cálculos teóricos'!I29</f>
        <v>13.134837246003574</v>
      </c>
      <c r="AA35" s="72">
        <f t="shared" si="3"/>
        <v>23.601358295803863</v>
      </c>
      <c r="AB35" s="3"/>
    </row>
    <row r="36" spans="1:28" ht="18" customHeight="1">
      <c r="A36" s="85">
        <v>28</v>
      </c>
      <c r="B36" s="76">
        <v>17.2</v>
      </c>
      <c r="C36" s="74">
        <f>'[1]cálculos teóricos'!K30</f>
        <v>1.0402340580372698</v>
      </c>
      <c r="D36" s="59">
        <f t="shared" si="4"/>
        <v>260.5705177126834</v>
      </c>
      <c r="E36" s="60">
        <f t="shared" si="5"/>
        <v>10.909566435594629</v>
      </c>
      <c r="F36" s="61">
        <f t="shared" si="6"/>
        <v>13.966040524493286</v>
      </c>
      <c r="G36" s="62">
        <f>'[1]cálculos teóricos'!T30</f>
        <v>41.792675053969653</v>
      </c>
      <c r="H36" s="75">
        <f t="shared" si="7"/>
        <v>33.417436204928279</v>
      </c>
      <c r="I36" s="79"/>
      <c r="J36" s="81"/>
      <c r="K36" s="81"/>
      <c r="L36" s="81"/>
      <c r="M36" s="81"/>
      <c r="N36" s="81"/>
      <c r="O36" s="78"/>
      <c r="P36" s="66"/>
      <c r="Q36" s="67">
        <v>0.2</v>
      </c>
      <c r="R36" s="67">
        <v>0.3</v>
      </c>
      <c r="S36" s="67">
        <v>0.8</v>
      </c>
      <c r="T36" s="67">
        <v>1</v>
      </c>
      <c r="U36" s="67">
        <v>0.2</v>
      </c>
      <c r="V36" s="78"/>
      <c r="W36" s="68">
        <f t="shared" si="0"/>
        <v>0</v>
      </c>
      <c r="X36" s="69">
        <f t="shared" si="1"/>
        <v>2.5</v>
      </c>
      <c r="Y36" s="70">
        <f t="shared" si="2"/>
        <v>2.5</v>
      </c>
      <c r="Z36" s="71">
        <f>'[1]cálculos teóricos'!I30</f>
        <v>13.118003887630318</v>
      </c>
      <c r="AA36" s="72">
        <f t="shared" si="3"/>
        <v>19.057777550724669</v>
      </c>
      <c r="AB36" s="3"/>
    </row>
    <row r="37" spans="1:28" ht="18" customHeight="1">
      <c r="A37" s="85">
        <v>29</v>
      </c>
      <c r="B37" s="76">
        <v>34.9</v>
      </c>
      <c r="C37" s="74">
        <f>'[1]cálculos teóricos'!K31</f>
        <v>1.0400181842320544</v>
      </c>
      <c r="D37" s="59">
        <f t="shared" si="4"/>
        <v>528.606038429617</v>
      </c>
      <c r="E37" s="60">
        <f t="shared" si="5"/>
        <v>22.131677616971206</v>
      </c>
      <c r="F37" s="61">
        <f t="shared" si="6"/>
        <v>27.993679501214004</v>
      </c>
      <c r="G37" s="62">
        <f>'[1]cálculos teóricos'!T31</f>
        <v>41.716373502555001</v>
      </c>
      <c r="H37" s="75">
        <f t="shared" si="7"/>
        <v>67.104777215352811</v>
      </c>
      <c r="I37" s="79"/>
      <c r="J37" s="81">
        <v>0.5</v>
      </c>
      <c r="K37" s="81">
        <v>1</v>
      </c>
      <c r="L37" s="81">
        <v>1</v>
      </c>
      <c r="M37" s="81">
        <v>0.7</v>
      </c>
      <c r="N37" s="81">
        <v>1</v>
      </c>
      <c r="O37" s="78">
        <v>0.8</v>
      </c>
      <c r="P37" s="66">
        <v>0.3</v>
      </c>
      <c r="Q37" s="67">
        <v>0.9</v>
      </c>
      <c r="R37" s="67">
        <v>0.6</v>
      </c>
      <c r="S37" s="67">
        <v>0.6</v>
      </c>
      <c r="T37" s="67">
        <v>0.6</v>
      </c>
      <c r="U37" s="67">
        <v>0.6</v>
      </c>
      <c r="V37" s="78"/>
      <c r="W37" s="68">
        <f t="shared" si="0"/>
        <v>5</v>
      </c>
      <c r="X37" s="69">
        <f t="shared" si="1"/>
        <v>3.6</v>
      </c>
      <c r="Y37" s="70">
        <f t="shared" si="2"/>
        <v>8.6</v>
      </c>
      <c r="Z37" s="71">
        <f>'[1]cálculos teóricos'!I31</f>
        <v>13.100859427229913</v>
      </c>
      <c r="AA37" s="72">
        <f t="shared" si="3"/>
        <v>65.644548342569394</v>
      </c>
      <c r="AB37" s="3"/>
    </row>
    <row r="38" spans="1:28" ht="18" customHeight="1">
      <c r="A38" s="80">
        <v>30</v>
      </c>
      <c r="B38" s="76">
        <v>36.299999999999997</v>
      </c>
      <c r="C38" s="74">
        <f>'[1]cálculos teóricos'!K32</f>
        <v>1.0397931051784299</v>
      </c>
      <c r="D38" s="59">
        <f t="shared" si="4"/>
        <v>549.6918760077582</v>
      </c>
      <c r="E38" s="60">
        <f t="shared" si="5"/>
        <v>23.014499464692818</v>
      </c>
      <c r="F38" s="61">
        <f t="shared" si="6"/>
        <v>29.097206810866027</v>
      </c>
      <c r="G38" s="62">
        <f>'[1]cálculos teóricos'!T32</f>
        <v>41.637612485050042</v>
      </c>
      <c r="H38" s="75">
        <f t="shared" si="7"/>
        <v>69.882025107259366</v>
      </c>
      <c r="I38" s="79"/>
      <c r="J38" s="81">
        <v>0.7</v>
      </c>
      <c r="K38" s="81">
        <v>1</v>
      </c>
      <c r="L38" s="81">
        <v>1</v>
      </c>
      <c r="M38" s="81">
        <v>1</v>
      </c>
      <c r="N38" s="81">
        <v>1</v>
      </c>
      <c r="O38" s="78">
        <v>1</v>
      </c>
      <c r="P38" s="66">
        <v>1</v>
      </c>
      <c r="Q38" s="67">
        <v>1</v>
      </c>
      <c r="R38" s="67">
        <v>1</v>
      </c>
      <c r="S38" s="67">
        <v>0.9</v>
      </c>
      <c r="T38" s="67">
        <v>0.7</v>
      </c>
      <c r="U38" s="67">
        <v>0.2</v>
      </c>
      <c r="V38" s="78"/>
      <c r="W38" s="68">
        <f t="shared" si="0"/>
        <v>5.7</v>
      </c>
      <c r="X38" s="69">
        <f t="shared" si="1"/>
        <v>4.8</v>
      </c>
      <c r="Y38" s="70">
        <f t="shared" si="2"/>
        <v>10.5</v>
      </c>
      <c r="Z38" s="71">
        <f>'[1]cálculos teóricos'!I32</f>
        <v>13.083413520438963</v>
      </c>
      <c r="AA38" s="72">
        <f t="shared" si="3"/>
        <v>80.254285195502348</v>
      </c>
      <c r="AB38" s="3"/>
    </row>
    <row r="39" spans="1:28" ht="18" customHeight="1" thickBot="1">
      <c r="A39" s="86">
        <v>31</v>
      </c>
      <c r="B39" s="87">
        <v>15.8</v>
      </c>
      <c r="C39" s="88">
        <f>'[1]cálculos teóricos'!K33</f>
        <v>1.0395586249831952</v>
      </c>
      <c r="D39" s="89">
        <f t="shared" si="4"/>
        <v>239.20587015209568</v>
      </c>
      <c r="E39" s="90">
        <f t="shared" si="5"/>
        <v>10.015071371527942</v>
      </c>
      <c r="F39" s="91">
        <f t="shared" si="6"/>
        <v>12.847921694409926</v>
      </c>
      <c r="G39" s="92">
        <f>'[1]cálculos teóricos'!T33</f>
        <v>41.556383163518021</v>
      </c>
      <c r="H39" s="93">
        <f t="shared" si="7"/>
        <v>30.916842892354989</v>
      </c>
      <c r="I39" s="94"/>
      <c r="J39" s="87"/>
      <c r="K39" s="87">
        <v>0.8</v>
      </c>
      <c r="L39" s="87">
        <v>0.2</v>
      </c>
      <c r="M39" s="87">
        <v>0.6</v>
      </c>
      <c r="N39" s="87"/>
      <c r="O39" s="95"/>
      <c r="P39" s="96">
        <v>0.1</v>
      </c>
      <c r="Q39" s="97">
        <v>0.3</v>
      </c>
      <c r="R39" s="97"/>
      <c r="S39" s="97"/>
      <c r="T39" s="97"/>
      <c r="U39" s="97"/>
      <c r="V39" s="78"/>
      <c r="W39" s="98">
        <f t="shared" si="0"/>
        <v>1.6</v>
      </c>
      <c r="X39" s="89">
        <f t="shared" si="1"/>
        <v>0.4</v>
      </c>
      <c r="Y39" s="99">
        <f t="shared" si="2"/>
        <v>2</v>
      </c>
      <c r="Z39" s="100">
        <f>'[1]cálculos teóricos'!I33</f>
        <v>13.065675768342954</v>
      </c>
      <c r="AA39" s="101">
        <f t="shared" si="3"/>
        <v>15.307283262346321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0.30000000000000004</v>
      </c>
      <c r="J40" s="103">
        <f t="shared" ref="J40:V40" si="8">SUM(J9:J39)</f>
        <v>8.6999999999999993</v>
      </c>
      <c r="K40" s="103">
        <f t="shared" si="8"/>
        <v>13.8</v>
      </c>
      <c r="L40" s="103">
        <f t="shared" si="8"/>
        <v>15.8</v>
      </c>
      <c r="M40" s="103">
        <f t="shared" si="8"/>
        <v>16.600000000000001</v>
      </c>
      <c r="N40" s="103">
        <f t="shared" si="8"/>
        <v>19.000000000000004</v>
      </c>
      <c r="O40" s="103">
        <f t="shared" si="8"/>
        <v>19.900000000000002</v>
      </c>
      <c r="P40" s="103">
        <f t="shared" si="8"/>
        <v>17.600000000000005</v>
      </c>
      <c r="Q40" s="103">
        <f t="shared" si="8"/>
        <v>18.299999999999997</v>
      </c>
      <c r="R40" s="103">
        <f t="shared" si="8"/>
        <v>12.899999999999999</v>
      </c>
      <c r="S40" s="103">
        <f t="shared" si="8"/>
        <v>10.900000000000002</v>
      </c>
      <c r="T40" s="103">
        <f t="shared" si="8"/>
        <v>8.1</v>
      </c>
      <c r="U40" s="103">
        <f t="shared" si="8"/>
        <v>2.2000000000000002</v>
      </c>
      <c r="V40" s="104">
        <f t="shared" si="8"/>
        <v>0</v>
      </c>
      <c r="W40" s="105">
        <f t="shared" si="0"/>
        <v>94.100000000000009</v>
      </c>
      <c r="X40" s="104">
        <f>SUM(P40:V40)</f>
        <v>70</v>
      </c>
      <c r="Y40" s="104">
        <f>W40+X40</f>
        <v>164.10000000000002</v>
      </c>
      <c r="Z40" s="104">
        <f>SUM(Z9:Z39)</f>
        <v>411.67229285134226</v>
      </c>
      <c r="AA40" s="104">
        <f>SUM(AA9:AA39)</f>
        <v>1234.6144085883827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  <row r="58" spans="1:28" ht="15.75">
      <c r="A58" s="107"/>
      <c r="B58" s="107"/>
      <c r="C58" s="107"/>
      <c r="D58" s="107"/>
      <c r="E58" s="107"/>
      <c r="F58" s="107"/>
      <c r="G58" s="107"/>
      <c r="H58" s="107"/>
      <c r="I58" s="107"/>
      <c r="J58" s="106"/>
      <c r="K58" s="106"/>
    </row>
    <row r="59" spans="1:28" ht="15.75">
      <c r="A59" s="107"/>
      <c r="B59" s="107"/>
      <c r="C59" s="107"/>
      <c r="D59" s="107"/>
      <c r="E59" s="107"/>
      <c r="F59" s="107"/>
      <c r="G59" s="107"/>
      <c r="H59" s="107"/>
      <c r="I59" s="107"/>
      <c r="J59" s="106"/>
      <c r="K59" s="106"/>
    </row>
    <row r="60" spans="1:28" ht="15.75">
      <c r="A60" s="107"/>
      <c r="B60" s="107"/>
      <c r="C60" s="107"/>
      <c r="D60" s="107"/>
      <c r="E60" s="107"/>
      <c r="F60" s="107"/>
      <c r="G60" s="107"/>
      <c r="H60" s="107"/>
      <c r="I60" s="107"/>
      <c r="J60" s="106"/>
      <c r="K60" s="106"/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4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59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08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61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10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35" t="s">
        <v>29</v>
      </c>
      <c r="C8" s="40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112">
        <v>-99</v>
      </c>
      <c r="C9" s="58">
        <f>'[1]cálculos teóricos'!K34</f>
        <v>1.0393145509889044</v>
      </c>
      <c r="D9" s="59">
        <f>IF(B9&gt;0,B9*C9*14.25*1.022,-999)</f>
        <v>-999</v>
      </c>
      <c r="E9" s="60">
        <f>IF(B9&gt;0,D9*4.1868/100,-999)</f>
        <v>-999</v>
      </c>
      <c r="F9" s="61">
        <f>IF(B9&gt;0,(7.86+1.25*D9)*4.1868/100,-999)</f>
        <v>-999</v>
      </c>
      <c r="G9" s="62">
        <f>'[1]cálculos teóricos'!T34</f>
        <v>41.472677719635314</v>
      </c>
      <c r="H9" s="63">
        <f>IF(B9&gt;0,100*F9/G9,-999)</f>
        <v>-999</v>
      </c>
      <c r="I9" s="113"/>
      <c r="J9" s="113">
        <v>0.3</v>
      </c>
      <c r="K9" s="113">
        <v>1</v>
      </c>
      <c r="L9" s="113">
        <v>0.3</v>
      </c>
      <c r="M9" s="113">
        <v>0.3</v>
      </c>
      <c r="N9" s="113">
        <v>0.2</v>
      </c>
      <c r="O9" s="114">
        <v>0.9</v>
      </c>
      <c r="P9" s="115">
        <v>0.8</v>
      </c>
      <c r="Q9" s="113">
        <v>0.1</v>
      </c>
      <c r="R9" s="113"/>
      <c r="S9" s="113"/>
      <c r="T9" s="113"/>
      <c r="U9" s="113">
        <v>0.1</v>
      </c>
      <c r="V9" s="114"/>
      <c r="W9" s="116">
        <f t="shared" ref="W9:W37" si="0">SUM(I9:O9)</f>
        <v>3</v>
      </c>
      <c r="X9" s="117">
        <f>SUM(P9:V9)</f>
        <v>1</v>
      </c>
      <c r="Y9" s="118">
        <f>W9+X9</f>
        <v>4</v>
      </c>
      <c r="Z9" s="71">
        <f>'[1]cálculos teóricos'!I34</f>
        <v>13.047655704771071</v>
      </c>
      <c r="AA9" s="72">
        <f t="shared" ref="AA9:AA37" si="1">100*Y9/Z9</f>
        <v>30.656848176468515</v>
      </c>
      <c r="AB9" s="3"/>
    </row>
    <row r="10" spans="1:28" ht="18" customHeight="1">
      <c r="A10" s="111">
        <v>2</v>
      </c>
      <c r="B10" s="57">
        <v>11.1</v>
      </c>
      <c r="C10" s="119">
        <f>'[1]cálculos teóricos'!K35</f>
        <v>1.03906069419472</v>
      </c>
      <c r="D10" s="59">
        <f>IF(B10&gt;0,B10*C10*14.25*1.022,-999)</f>
        <v>167.9692006609433</v>
      </c>
      <c r="E10" s="60">
        <f>IF(B10&gt;0,D10*4.1868/100,-999)</f>
        <v>7.0325344932723741</v>
      </c>
      <c r="F10" s="61">
        <f>IF(B10&gt;0,(7.86+1.25*D10)*4.1868/100,-999)</f>
        <v>9.1197505965904675</v>
      </c>
      <c r="G10" s="62">
        <f>'[1]cálculos teóricos'!T35</f>
        <v>41.386489411124131</v>
      </c>
      <c r="H10" s="75">
        <f>IF(B10&gt;0,100*F10/G10,-999)</f>
        <v>22.035574232926365</v>
      </c>
      <c r="I10" s="113"/>
      <c r="J10" s="113">
        <v>0.2</v>
      </c>
      <c r="K10" s="113">
        <v>0.6</v>
      </c>
      <c r="L10" s="113">
        <v>0.2</v>
      </c>
      <c r="M10" s="113">
        <v>0.3</v>
      </c>
      <c r="N10" s="113"/>
      <c r="O10" s="120"/>
      <c r="P10" s="115"/>
      <c r="Q10" s="113"/>
      <c r="R10" s="113"/>
      <c r="S10" s="113"/>
      <c r="T10" s="113"/>
      <c r="U10" s="113"/>
      <c r="V10" s="120"/>
      <c r="W10" s="116">
        <f t="shared" si="0"/>
        <v>1.3</v>
      </c>
      <c r="X10" s="117">
        <f t="shared" ref="X10:X39" si="2">SUM(P10:V10)</f>
        <v>0</v>
      </c>
      <c r="Y10" s="70">
        <f t="shared" ref="Y10:Y39" si="3">W10+X10</f>
        <v>1.3</v>
      </c>
      <c r="Z10" s="71">
        <f>'[1]cálculos teóricos'!I35</f>
        <v>13.029362784335678</v>
      </c>
      <c r="AA10" s="72">
        <f t="shared" si="1"/>
        <v>9.9774641440094225</v>
      </c>
      <c r="AB10" s="3"/>
    </row>
    <row r="11" spans="1:28" ht="18" customHeight="1">
      <c r="A11" s="73">
        <v>3</v>
      </c>
      <c r="B11" s="57">
        <v>19.3</v>
      </c>
      <c r="C11" s="119">
        <f>'[1]cálculos teóricos'!K36</f>
        <v>1.038796869665491</v>
      </c>
      <c r="D11" s="59">
        <f t="shared" ref="D11:D37" si="4">IF(B11&gt;0,B11*C11*14.25*1.022,-999)</f>
        <v>291.98040147950621</v>
      </c>
      <c r="E11" s="60">
        <f t="shared" ref="E11:E37" si="5">IF(B11&gt;0,D11*4.1868/100,-999)</f>
        <v>12.224635449143966</v>
      </c>
      <c r="F11" s="61">
        <f t="shared" ref="F11:F37" si="6">IF(B11&gt;0,(7.86+1.25*D11)*4.1868/100,-999)</f>
        <v>15.609876791429958</v>
      </c>
      <c r="G11" s="62">
        <f>'[1]cálculos teóricos'!T36</f>
        <v>41.297812625986587</v>
      </c>
      <c r="H11" s="75">
        <f t="shared" ref="H11:H37" si="7">IF(B11&gt;0,100*F11/G11,-999)</f>
        <v>37.798313757681846</v>
      </c>
      <c r="I11" s="113"/>
      <c r="J11" s="113"/>
      <c r="K11" s="113">
        <v>0.2</v>
      </c>
      <c r="L11" s="113">
        <v>0.2</v>
      </c>
      <c r="M11" s="113"/>
      <c r="N11" s="113"/>
      <c r="O11" s="120">
        <v>0.5</v>
      </c>
      <c r="P11" s="115">
        <v>0.1</v>
      </c>
      <c r="Q11" s="113"/>
      <c r="R11" s="113"/>
      <c r="S11" s="113"/>
      <c r="T11" s="113"/>
      <c r="U11" s="113"/>
      <c r="V11" s="120"/>
      <c r="W11" s="116">
        <f t="shared" si="0"/>
        <v>0.9</v>
      </c>
      <c r="X11" s="117">
        <f t="shared" si="2"/>
        <v>0.1</v>
      </c>
      <c r="Y11" s="70">
        <f t="shared" si="3"/>
        <v>1</v>
      </c>
      <c r="Z11" s="71">
        <f>'[1]cálculos teóricos'!I36</f>
        <v>13.010806371225611</v>
      </c>
      <c r="AA11" s="72">
        <f t="shared" si="1"/>
        <v>7.6859187007161687</v>
      </c>
      <c r="AB11" s="3"/>
    </row>
    <row r="12" spans="1:28" ht="18" customHeight="1">
      <c r="A12" s="73">
        <v>4</v>
      </c>
      <c r="B12" s="57">
        <v>17.8</v>
      </c>
      <c r="C12" s="119">
        <f>'[1]cálculos teóricos'!K37</f>
        <v>1.0385228969283236</v>
      </c>
      <c r="D12" s="59">
        <f t="shared" si="4"/>
        <v>269.21660212759838</v>
      </c>
      <c r="E12" s="60">
        <f t="shared" si="5"/>
        <v>11.271560697878288</v>
      </c>
      <c r="F12" s="61">
        <f t="shared" si="6"/>
        <v>14.418533352347861</v>
      </c>
      <c r="G12" s="62">
        <f>'[1]cálculos teóricos'!T37</f>
        <v>41.206642934398403</v>
      </c>
      <c r="H12" s="75">
        <f t="shared" si="7"/>
        <v>34.990798389721732</v>
      </c>
      <c r="I12" s="113"/>
      <c r="J12" s="113"/>
      <c r="K12" s="113">
        <v>0.1</v>
      </c>
      <c r="L12" s="113">
        <v>0.8</v>
      </c>
      <c r="M12" s="113">
        <v>1</v>
      </c>
      <c r="N12" s="113">
        <v>1</v>
      </c>
      <c r="O12" s="120">
        <v>0.1</v>
      </c>
      <c r="P12" s="115"/>
      <c r="Q12" s="113"/>
      <c r="R12" s="113"/>
      <c r="S12" s="113"/>
      <c r="T12" s="113"/>
      <c r="U12" s="113"/>
      <c r="V12" s="120"/>
      <c r="W12" s="116">
        <f t="shared" si="0"/>
        <v>3</v>
      </c>
      <c r="X12" s="117">
        <f t="shared" si="2"/>
        <v>0</v>
      </c>
      <c r="Y12" s="70">
        <f t="shared" si="3"/>
        <v>3</v>
      </c>
      <c r="Z12" s="71">
        <f>'[1]cálculos teóricos'!I37</f>
        <v>12.991995728758745</v>
      </c>
      <c r="AA12" s="72">
        <f t="shared" si="1"/>
        <v>23.091140596354091</v>
      </c>
      <c r="AB12" s="3"/>
    </row>
    <row r="13" spans="1:28" ht="18" customHeight="1">
      <c r="A13" s="73">
        <v>5</v>
      </c>
      <c r="B13" s="57">
        <v>36.4</v>
      </c>
      <c r="C13" s="119">
        <f>'[1]cálculos teóricos'!K38</f>
        <v>1.0382386003559865</v>
      </c>
      <c r="D13" s="59">
        <f t="shared" si="4"/>
        <v>550.3821179687526</v>
      </c>
      <c r="E13" s="60">
        <f t="shared" si="5"/>
        <v>23.043398515115733</v>
      </c>
      <c r="F13" s="61">
        <f t="shared" si="6"/>
        <v>29.133330623894668</v>
      </c>
      <c r="G13" s="62">
        <f>'[1]cálculos teóricos'!T38</f>
        <v>41.112977138132415</v>
      </c>
      <c r="H13" s="75">
        <f t="shared" si="7"/>
        <v>70.861641875293458</v>
      </c>
      <c r="I13" s="113"/>
      <c r="J13" s="113">
        <v>0.4</v>
      </c>
      <c r="K13" s="113">
        <v>1</v>
      </c>
      <c r="L13" s="113">
        <v>1</v>
      </c>
      <c r="M13" s="113">
        <v>1</v>
      </c>
      <c r="N13" s="113">
        <v>1</v>
      </c>
      <c r="O13" s="120">
        <v>1</v>
      </c>
      <c r="P13" s="115">
        <v>1</v>
      </c>
      <c r="Q13" s="113">
        <v>1</v>
      </c>
      <c r="R13" s="113">
        <v>1</v>
      </c>
      <c r="S13" s="113">
        <v>1</v>
      </c>
      <c r="T13" s="113">
        <v>1</v>
      </c>
      <c r="U13" s="113">
        <v>0.5</v>
      </c>
      <c r="V13" s="120"/>
      <c r="W13" s="116">
        <f t="shared" si="0"/>
        <v>5.4</v>
      </c>
      <c r="X13" s="117">
        <f t="shared" si="2"/>
        <v>5.5</v>
      </c>
      <c r="Y13" s="70">
        <f t="shared" si="3"/>
        <v>10.9</v>
      </c>
      <c r="Z13" s="71">
        <f>'[1]cálculos teóricos'!I38</f>
        <v>12.972940009695547</v>
      </c>
      <c r="AA13" s="72">
        <f t="shared" si="1"/>
        <v>84.02104682403295</v>
      </c>
      <c r="AB13" s="3"/>
    </row>
    <row r="14" spans="1:28" ht="18" customHeight="1">
      <c r="A14" s="73">
        <v>6</v>
      </c>
      <c r="B14" s="57">
        <v>31.3</v>
      </c>
      <c r="C14" s="119">
        <f>'[1]cálculos teóricos'!K39</f>
        <v>1.0379438095365645</v>
      </c>
      <c r="D14" s="59">
        <f t="shared" si="4"/>
        <v>473.13376317681423</v>
      </c>
      <c r="E14" s="60">
        <f t="shared" si="5"/>
        <v>19.809164396686857</v>
      </c>
      <c r="F14" s="61">
        <f t="shared" si="6"/>
        <v>25.090537975858574</v>
      </c>
      <c r="G14" s="62">
        <f>'[1]cálculos teóricos'!T39</f>
        <v>41.016813317393655</v>
      </c>
      <c r="H14" s="75">
        <f t="shared" si="7"/>
        <v>61.171348884918473</v>
      </c>
      <c r="I14" s="113"/>
      <c r="J14" s="113">
        <v>0.4</v>
      </c>
      <c r="K14" s="113">
        <v>1</v>
      </c>
      <c r="L14" s="113">
        <v>1</v>
      </c>
      <c r="M14" s="113">
        <v>1</v>
      </c>
      <c r="N14" s="113">
        <v>1</v>
      </c>
      <c r="O14" s="120">
        <v>0.9</v>
      </c>
      <c r="P14" s="115">
        <v>0.8</v>
      </c>
      <c r="Q14" s="115">
        <v>0.9</v>
      </c>
      <c r="R14" s="113">
        <v>1</v>
      </c>
      <c r="S14" s="113">
        <v>1</v>
      </c>
      <c r="T14" s="113">
        <v>1</v>
      </c>
      <c r="U14" s="113">
        <v>0.4</v>
      </c>
      <c r="V14" s="120"/>
      <c r="W14" s="116">
        <f t="shared" si="0"/>
        <v>5.3000000000000007</v>
      </c>
      <c r="X14" s="117">
        <f t="shared" si="2"/>
        <v>5.1000000000000005</v>
      </c>
      <c r="Y14" s="70">
        <f t="shared" si="3"/>
        <v>10.400000000000002</v>
      </c>
      <c r="Z14" s="71">
        <f>'[1]cálculos teóricos'!I39</f>
        <v>12.953648247311923</v>
      </c>
      <c r="AA14" s="72">
        <f t="shared" si="1"/>
        <v>80.286262228543677</v>
      </c>
      <c r="AB14" s="3"/>
    </row>
    <row r="15" spans="1:28" ht="18" customHeight="1">
      <c r="A15" s="73">
        <v>7</v>
      </c>
      <c r="B15" s="76">
        <v>28.5</v>
      </c>
      <c r="C15" s="119">
        <f>'[1]cálculos teóricos'!K40</f>
        <v>1.037638359628839</v>
      </c>
      <c r="D15" s="59">
        <f t="shared" si="4"/>
        <v>430.68191813795596</v>
      </c>
      <c r="E15" s="60">
        <f t="shared" si="5"/>
        <v>18.03179054859994</v>
      </c>
      <c r="F15" s="61">
        <f t="shared" si="6"/>
        <v>22.868820665749922</v>
      </c>
      <c r="G15" s="62">
        <f>'[1]cálculos teóricos'!T40</f>
        <v>40.9181508749611</v>
      </c>
      <c r="H15" s="75">
        <f t="shared" si="7"/>
        <v>55.889184082714642</v>
      </c>
      <c r="I15" s="113"/>
      <c r="J15" s="113"/>
      <c r="K15" s="113">
        <v>0.7</v>
      </c>
      <c r="L15" s="113">
        <v>1</v>
      </c>
      <c r="M15" s="113">
        <v>1</v>
      </c>
      <c r="N15" s="113">
        <v>1</v>
      </c>
      <c r="O15" s="120">
        <v>1</v>
      </c>
      <c r="P15" s="115">
        <v>1</v>
      </c>
      <c r="Q15" s="115">
        <v>0.1</v>
      </c>
      <c r="R15" s="113">
        <v>0.5</v>
      </c>
      <c r="S15" s="113">
        <v>0.3</v>
      </c>
      <c r="T15" s="113"/>
      <c r="U15" s="113"/>
      <c r="V15" s="120"/>
      <c r="W15" s="116">
        <f t="shared" si="0"/>
        <v>4.7</v>
      </c>
      <c r="X15" s="117">
        <f t="shared" si="2"/>
        <v>1.9000000000000001</v>
      </c>
      <c r="Y15" s="70">
        <f t="shared" si="3"/>
        <v>6.6000000000000005</v>
      </c>
      <c r="Z15" s="71">
        <f>'[1]cálculos teóricos'!I40</f>
        <v>12.934129347226488</v>
      </c>
      <c r="AA15" s="72">
        <f t="shared" si="1"/>
        <v>51.027787204055308</v>
      </c>
      <c r="AB15" s="3"/>
    </row>
    <row r="16" spans="1:28" ht="18" customHeight="1">
      <c r="A16" s="80">
        <v>8</v>
      </c>
      <c r="B16" s="76">
        <v>31</v>
      </c>
      <c r="C16" s="119">
        <f>'[1]cálculos teóricos'!K41</f>
        <v>1.0373220917029544</v>
      </c>
      <c r="D16" s="59">
        <f t="shared" si="4"/>
        <v>468.31824875799532</v>
      </c>
      <c r="E16" s="60">
        <f t="shared" si="5"/>
        <v>19.607548438999746</v>
      </c>
      <c r="F16" s="61">
        <f t="shared" si="6"/>
        <v>24.838518028749682</v>
      </c>
      <c r="G16" s="62">
        <f>'[1]cálculos teóricos'!T41</f>
        <v>40.816990577542512</v>
      </c>
      <c r="H16" s="75">
        <f t="shared" si="7"/>
        <v>60.853379137696209</v>
      </c>
      <c r="I16" s="113"/>
      <c r="J16" s="113">
        <v>0.7</v>
      </c>
      <c r="K16" s="113">
        <v>1</v>
      </c>
      <c r="L16" s="113">
        <v>1</v>
      </c>
      <c r="M16" s="113">
        <v>1</v>
      </c>
      <c r="N16" s="113">
        <v>1</v>
      </c>
      <c r="O16" s="120">
        <v>1</v>
      </c>
      <c r="P16" s="115">
        <v>1</v>
      </c>
      <c r="Q16" s="113">
        <v>0.6</v>
      </c>
      <c r="R16" s="113">
        <v>1</v>
      </c>
      <c r="S16" s="113">
        <v>0.7</v>
      </c>
      <c r="T16" s="113"/>
      <c r="U16" s="113"/>
      <c r="V16" s="120"/>
      <c r="W16" s="116">
        <f t="shared" si="0"/>
        <v>5.7</v>
      </c>
      <c r="X16" s="117">
        <f t="shared" si="2"/>
        <v>3.3</v>
      </c>
      <c r="Y16" s="70">
        <f t="shared" si="3"/>
        <v>9</v>
      </c>
      <c r="Z16" s="71">
        <f>'[1]cálculos teóricos'!I41</f>
        <v>12.914392079974427</v>
      </c>
      <c r="AA16" s="72">
        <f t="shared" si="1"/>
        <v>69.689691502829319</v>
      </c>
      <c r="AB16" s="3"/>
    </row>
    <row r="17" spans="1:28" ht="18" customHeight="1">
      <c r="A17" s="80">
        <v>9</v>
      </c>
      <c r="B17" s="76">
        <v>33.299999999999997</v>
      </c>
      <c r="C17" s="119">
        <f>'[1]cálculos teóricos'!K42</f>
        <v>1.0369948530659916</v>
      </c>
      <c r="D17" s="59">
        <f t="shared" si="4"/>
        <v>502.90574226946472</v>
      </c>
      <c r="E17" s="60">
        <f t="shared" si="5"/>
        <v>21.055657617337946</v>
      </c>
      <c r="F17" s="61">
        <f t="shared" si="6"/>
        <v>26.648654501672436</v>
      </c>
      <c r="G17" s="62">
        <f>'[1]cálculos teóricos'!T42</f>
        <v>40.713334594263301</v>
      </c>
      <c r="H17" s="75">
        <f t="shared" si="7"/>
        <v>65.45436468725741</v>
      </c>
      <c r="I17" s="113"/>
      <c r="J17" s="113">
        <v>0.7</v>
      </c>
      <c r="K17" s="113">
        <v>1</v>
      </c>
      <c r="L17" s="113">
        <v>1</v>
      </c>
      <c r="M17" s="113">
        <v>1</v>
      </c>
      <c r="N17" s="113">
        <v>1</v>
      </c>
      <c r="O17" s="120">
        <v>1</v>
      </c>
      <c r="P17" s="115">
        <v>1</v>
      </c>
      <c r="Q17" s="113">
        <v>1</v>
      </c>
      <c r="R17" s="113">
        <v>1</v>
      </c>
      <c r="S17" s="113">
        <v>0.6</v>
      </c>
      <c r="T17" s="113"/>
      <c r="U17" s="113"/>
      <c r="V17" s="120"/>
      <c r="W17" s="116">
        <f t="shared" si="0"/>
        <v>5.7</v>
      </c>
      <c r="X17" s="117">
        <f t="shared" si="2"/>
        <v>3.6</v>
      </c>
      <c r="Y17" s="70">
        <f t="shared" si="3"/>
        <v>9.3000000000000007</v>
      </c>
      <c r="Z17" s="71">
        <f>'[1]cálculos teóricos'!I42</f>
        <v>12.894445074317558</v>
      </c>
      <c r="AA17" s="72">
        <f t="shared" si="1"/>
        <v>72.124080923212631</v>
      </c>
      <c r="AB17" s="3"/>
    </row>
    <row r="18" spans="1:28" ht="18" customHeight="1">
      <c r="A18" s="80">
        <v>10</v>
      </c>
      <c r="B18" s="76">
        <v>33.6</v>
      </c>
      <c r="C18" s="119">
        <f>'[1]cálculos teóricos'!K43</f>
        <v>1.0366564975721508</v>
      </c>
      <c r="D18" s="59">
        <f t="shared" si="4"/>
        <v>507.27085592037184</v>
      </c>
      <c r="E18" s="60">
        <f t="shared" si="5"/>
        <v>21.238416195674127</v>
      </c>
      <c r="F18" s="61">
        <f t="shared" si="6"/>
        <v>26.87710272459266</v>
      </c>
      <c r="G18" s="62">
        <f>'[1]cálculos teóricos'!T43</f>
        <v>40.607186532222627</v>
      </c>
      <c r="H18" s="75">
        <f t="shared" si="7"/>
        <v>66.188044579904926</v>
      </c>
      <c r="I18" s="113"/>
      <c r="J18" s="113">
        <v>0.7</v>
      </c>
      <c r="K18" s="113">
        <v>1</v>
      </c>
      <c r="L18" s="113">
        <v>1</v>
      </c>
      <c r="M18" s="113">
        <v>1</v>
      </c>
      <c r="N18" s="113">
        <v>1</v>
      </c>
      <c r="O18" s="120">
        <v>1</v>
      </c>
      <c r="P18" s="115">
        <v>1</v>
      </c>
      <c r="Q18" s="113">
        <v>0.9</v>
      </c>
      <c r="R18" s="113">
        <v>1</v>
      </c>
      <c r="S18" s="113">
        <v>1</v>
      </c>
      <c r="T18" s="113">
        <v>0.8</v>
      </c>
      <c r="U18" s="113">
        <v>0.3</v>
      </c>
      <c r="V18" s="120"/>
      <c r="W18" s="116">
        <f t="shared" si="0"/>
        <v>5.7</v>
      </c>
      <c r="X18" s="117">
        <f t="shared" si="2"/>
        <v>5</v>
      </c>
      <c r="Y18" s="70">
        <f t="shared" si="3"/>
        <v>10.7</v>
      </c>
      <c r="Z18" s="71">
        <f>'[1]cálculos teóricos'!I43</f>
        <v>12.874296811277606</v>
      </c>
      <c r="AA18" s="72">
        <f t="shared" si="1"/>
        <v>83.111335375047673</v>
      </c>
      <c r="AB18" s="3"/>
    </row>
    <row r="19" spans="1:28" ht="18" customHeight="1">
      <c r="A19" s="80">
        <v>11</v>
      </c>
      <c r="B19" s="76">
        <v>31</v>
      </c>
      <c r="C19" s="119">
        <f>'[1]cálculos teóricos'!K44</f>
        <v>1.0363068859173084</v>
      </c>
      <c r="D19" s="59">
        <f t="shared" si="4"/>
        <v>467.85991532475839</v>
      </c>
      <c r="E19" s="60">
        <f t="shared" si="5"/>
        <v>19.588358934816984</v>
      </c>
      <c r="F19" s="61">
        <f t="shared" si="6"/>
        <v>24.814531148521226</v>
      </c>
      <c r="G19" s="62">
        <f>'[1]cálculos teóricos'!T44</f>
        <v>40.49855146906372</v>
      </c>
      <c r="H19" s="75">
        <f t="shared" si="7"/>
        <v>61.27263876950439</v>
      </c>
      <c r="I19" s="113"/>
      <c r="J19" s="113">
        <v>0.7</v>
      </c>
      <c r="K19" s="113">
        <v>1</v>
      </c>
      <c r="L19" s="113">
        <v>1</v>
      </c>
      <c r="M19" s="113">
        <v>1</v>
      </c>
      <c r="N19" s="113">
        <v>1</v>
      </c>
      <c r="O19" s="120">
        <v>1</v>
      </c>
      <c r="P19" s="115">
        <v>1</v>
      </c>
      <c r="Q19" s="113">
        <v>1</v>
      </c>
      <c r="R19" s="113">
        <v>0.2</v>
      </c>
      <c r="S19" s="113">
        <v>0.9</v>
      </c>
      <c r="T19" s="113">
        <v>0.3</v>
      </c>
      <c r="U19" s="113"/>
      <c r="V19" s="120"/>
      <c r="W19" s="116">
        <f t="shared" si="0"/>
        <v>5.7</v>
      </c>
      <c r="X19" s="117">
        <f t="shared" si="2"/>
        <v>3.4</v>
      </c>
      <c r="Y19" s="70">
        <f t="shared" si="3"/>
        <v>9.1</v>
      </c>
      <c r="Z19" s="71">
        <f>'[1]cálculos teóricos'!I44</f>
        <v>12.853955618877693</v>
      </c>
      <c r="AA19" s="72">
        <f t="shared" si="1"/>
        <v>70.795327678239957</v>
      </c>
      <c r="AB19" s="3"/>
    </row>
    <row r="20" spans="1:28" ht="18" customHeight="1">
      <c r="A20" s="80">
        <v>12</v>
      </c>
      <c r="B20" s="76">
        <v>35.4</v>
      </c>
      <c r="C20" s="119">
        <f>'[1]cálculos teóricos'!K45</f>
        <v>1.0359458859177855</v>
      </c>
      <c r="D20" s="59">
        <f t="shared" si="4"/>
        <v>534.07972599855384</v>
      </c>
      <c r="E20" s="60">
        <f t="shared" si="5"/>
        <v>22.360849968107448</v>
      </c>
      <c r="F20" s="61">
        <f t="shared" si="6"/>
        <v>28.280144940134313</v>
      </c>
      <c r="G20" s="62">
        <f>'[1]cálculos teóricos'!T45</f>
        <v>40.387435982518646</v>
      </c>
      <c r="H20" s="75">
        <f t="shared" si="7"/>
        <v>70.022134983699218</v>
      </c>
      <c r="I20" s="113"/>
      <c r="J20" s="113">
        <v>1</v>
      </c>
      <c r="K20" s="113">
        <v>1</v>
      </c>
      <c r="L20" s="113">
        <v>1</v>
      </c>
      <c r="M20" s="113">
        <v>1</v>
      </c>
      <c r="N20" s="113">
        <v>1</v>
      </c>
      <c r="O20" s="120">
        <v>1</v>
      </c>
      <c r="P20" s="115">
        <v>1</v>
      </c>
      <c r="Q20" s="113">
        <v>1</v>
      </c>
      <c r="R20" s="113">
        <v>1</v>
      </c>
      <c r="S20" s="113">
        <v>1</v>
      </c>
      <c r="T20" s="113">
        <v>1</v>
      </c>
      <c r="U20" s="113">
        <v>0.7</v>
      </c>
      <c r="V20" s="120"/>
      <c r="W20" s="116">
        <f t="shared" si="0"/>
        <v>6</v>
      </c>
      <c r="X20" s="117">
        <f t="shared" si="2"/>
        <v>5.7</v>
      </c>
      <c r="Y20" s="70">
        <f t="shared" si="3"/>
        <v>11.7</v>
      </c>
      <c r="Z20" s="71">
        <f>'[1]cálculos teóricos'!I45</f>
        <v>12.833429667575025</v>
      </c>
      <c r="AA20" s="72">
        <f t="shared" si="1"/>
        <v>91.168146809276152</v>
      </c>
      <c r="AB20" s="3"/>
    </row>
    <row r="21" spans="1:28" ht="18" customHeight="1">
      <c r="A21" s="80">
        <v>13</v>
      </c>
      <c r="B21" s="76">
        <v>33.299999999999997</v>
      </c>
      <c r="C21" s="119">
        <f>'[1]cálculos teóricos'!K46</f>
        <v>1.0355733727732386</v>
      </c>
      <c r="D21" s="59">
        <f t="shared" si="4"/>
        <v>502.21637471895582</v>
      </c>
      <c r="E21" s="60">
        <f t="shared" si="5"/>
        <v>21.026795176733241</v>
      </c>
      <c r="F21" s="61">
        <f t="shared" si="6"/>
        <v>26.612576450916553</v>
      </c>
      <c r="G21" s="62">
        <f>'[1]cálculos teóricos'!T46</f>
        <v>40.273848176901005</v>
      </c>
      <c r="H21" s="75">
        <f t="shared" si="7"/>
        <v>66.079050439933255</v>
      </c>
      <c r="I21" s="113"/>
      <c r="J21" s="113">
        <v>0.3</v>
      </c>
      <c r="K21" s="113"/>
      <c r="L21" s="113">
        <v>0.7</v>
      </c>
      <c r="M21" s="113">
        <v>1</v>
      </c>
      <c r="N21" s="113">
        <v>1</v>
      </c>
      <c r="O21" s="120">
        <v>1</v>
      </c>
      <c r="P21" s="115">
        <v>1</v>
      </c>
      <c r="Q21" s="113">
        <v>0.7</v>
      </c>
      <c r="R21" s="113">
        <v>1</v>
      </c>
      <c r="S21" s="113">
        <v>1</v>
      </c>
      <c r="T21" s="113">
        <v>1</v>
      </c>
      <c r="U21" s="113">
        <v>0.3</v>
      </c>
      <c r="V21" s="120"/>
      <c r="W21" s="116">
        <f t="shared" si="0"/>
        <v>4</v>
      </c>
      <c r="X21" s="117">
        <f t="shared" si="2"/>
        <v>5</v>
      </c>
      <c r="Y21" s="70">
        <f t="shared" si="3"/>
        <v>9</v>
      </c>
      <c r="Z21" s="71">
        <f>'[1]cálculos teóricos'!I46</f>
        <v>12.812726966366139</v>
      </c>
      <c r="AA21" s="72">
        <f t="shared" si="1"/>
        <v>70.242658129103333</v>
      </c>
      <c r="AB21" s="3"/>
    </row>
    <row r="22" spans="1:28" ht="18" customHeight="1">
      <c r="A22" s="80">
        <v>14</v>
      </c>
      <c r="B22" s="76">
        <v>11.7</v>
      </c>
      <c r="C22" s="119">
        <f>'[1]cálculos teóricos'!K47</f>
        <v>1.0351892293136391</v>
      </c>
      <c r="D22" s="59">
        <f t="shared" si="4"/>
        <v>176.38894659097744</v>
      </c>
      <c r="E22" s="60">
        <f t="shared" si="5"/>
        <v>7.3850524158710433</v>
      </c>
      <c r="F22" s="61">
        <f t="shared" si="6"/>
        <v>9.5603979998388056</v>
      </c>
      <c r="G22" s="62">
        <f>'[1]cálculos teóricos'!T47</f>
        <v>40.157797706533401</v>
      </c>
      <c r="H22" s="75">
        <f t="shared" si="7"/>
        <v>23.807077444098468</v>
      </c>
      <c r="I22" s="113"/>
      <c r="J22" s="113"/>
      <c r="K22" s="113"/>
      <c r="L22" s="113"/>
      <c r="M22" s="113"/>
      <c r="N22" s="113"/>
      <c r="O22" s="120"/>
      <c r="P22" s="115"/>
      <c r="Q22" s="113"/>
      <c r="R22" s="113"/>
      <c r="S22" s="113"/>
      <c r="T22" s="113"/>
      <c r="U22" s="113"/>
      <c r="V22" s="120"/>
      <c r="W22" s="116">
        <f t="shared" si="0"/>
        <v>0</v>
      </c>
      <c r="X22" s="117">
        <f t="shared" si="2"/>
        <v>0</v>
      </c>
      <c r="Y22" s="70">
        <f t="shared" si="3"/>
        <v>0</v>
      </c>
      <c r="Z22" s="71">
        <f>'[1]cálculos teóricos'!I47</f>
        <v>12.791855359544524</v>
      </c>
      <c r="AA22" s="72">
        <f t="shared" si="1"/>
        <v>0</v>
      </c>
      <c r="AB22" s="3"/>
    </row>
    <row r="23" spans="1:28" ht="18" customHeight="1">
      <c r="A23" s="80">
        <v>15</v>
      </c>
      <c r="B23" s="76">
        <v>15.6</v>
      </c>
      <c r="C23" s="119">
        <f>'[1]cálculos teóricos'!K48</f>
        <v>1.0347933462303829</v>
      </c>
      <c r="D23" s="59">
        <f t="shared" si="4"/>
        <v>235.09532120608839</v>
      </c>
      <c r="E23" s="60">
        <f t="shared" si="5"/>
        <v>9.8429709082565076</v>
      </c>
      <c r="F23" s="61">
        <f t="shared" si="6"/>
        <v>12.632796115320634</v>
      </c>
      <c r="G23" s="62">
        <f>'[1]cálculos teóricos'!T48</f>
        <v>40.03929579610913</v>
      </c>
      <c r="H23" s="75">
        <f t="shared" si="7"/>
        <v>31.550994751881333</v>
      </c>
      <c r="I23" s="113"/>
      <c r="J23" s="113"/>
      <c r="K23" s="113"/>
      <c r="L23" s="113"/>
      <c r="M23" s="113"/>
      <c r="N23" s="113"/>
      <c r="O23" s="120"/>
      <c r="P23" s="115"/>
      <c r="Q23" s="113"/>
      <c r="R23" s="113"/>
      <c r="S23" s="113"/>
      <c r="T23" s="113"/>
      <c r="U23" s="113"/>
      <c r="V23" s="120"/>
      <c r="W23" s="116">
        <f t="shared" si="0"/>
        <v>0</v>
      </c>
      <c r="X23" s="117">
        <f t="shared" si="2"/>
        <v>0</v>
      </c>
      <c r="Y23" s="70">
        <f t="shared" si="3"/>
        <v>0</v>
      </c>
      <c r="Z23" s="71">
        <f>'[1]cálculos teóricos'!I48</f>
        <v>12.770822524089397</v>
      </c>
      <c r="AA23" s="72">
        <f t="shared" si="1"/>
        <v>0</v>
      </c>
      <c r="AB23" s="3"/>
    </row>
    <row r="24" spans="1:28" ht="18" customHeight="1">
      <c r="A24" s="80">
        <v>16</v>
      </c>
      <c r="B24" s="76">
        <v>21.9</v>
      </c>
      <c r="C24" s="119">
        <f>'[1]cálculos teóricos'!K49</f>
        <v>1.0343856222916303</v>
      </c>
      <c r="D24" s="59">
        <f t="shared" si="4"/>
        <v>329.90762272434705</v>
      </c>
      <c r="E24" s="60">
        <f t="shared" si="5"/>
        <v>13.812572348222961</v>
      </c>
      <c r="F24" s="61">
        <f t="shared" si="6"/>
        <v>17.594797915278704</v>
      </c>
      <c r="G24" s="62">
        <f>'[1]cálculos teóricos'!T49</f>
        <v>39.918355258000474</v>
      </c>
      <c r="H24" s="75">
        <f t="shared" si="7"/>
        <v>44.076961091106924</v>
      </c>
      <c r="I24" s="113"/>
      <c r="J24" s="113"/>
      <c r="K24" s="113"/>
      <c r="L24" s="113">
        <v>0.2</v>
      </c>
      <c r="M24" s="113">
        <v>0.1</v>
      </c>
      <c r="N24" s="113">
        <v>0.3</v>
      </c>
      <c r="O24" s="120"/>
      <c r="P24" s="115"/>
      <c r="Q24" s="113">
        <v>0.3</v>
      </c>
      <c r="R24" s="113">
        <v>0.7</v>
      </c>
      <c r="S24" s="113">
        <v>0.7</v>
      </c>
      <c r="T24" s="113">
        <v>0.3</v>
      </c>
      <c r="U24" s="113"/>
      <c r="V24" s="120"/>
      <c r="W24" s="116">
        <f t="shared" si="0"/>
        <v>0.60000000000000009</v>
      </c>
      <c r="X24" s="117">
        <f t="shared" si="2"/>
        <v>2</v>
      </c>
      <c r="Y24" s="70">
        <f t="shared" si="3"/>
        <v>2.6</v>
      </c>
      <c r="Z24" s="71">
        <f>'[1]cálculos teóricos'!I49</f>
        <v>12.749635967663192</v>
      </c>
      <c r="AA24" s="72">
        <f t="shared" si="1"/>
        <v>20.392739107174204</v>
      </c>
      <c r="AB24" s="3"/>
    </row>
    <row r="25" spans="1:28" ht="18" customHeight="1">
      <c r="A25" s="80">
        <v>17</v>
      </c>
      <c r="B25" s="76">
        <v>24.4</v>
      </c>
      <c r="C25" s="119">
        <f>'[1]cálculos teóricos'!K50</f>
        <v>1.0339659645420316</v>
      </c>
      <c r="D25" s="59">
        <f t="shared" si="4"/>
        <v>367.41918512043225</v>
      </c>
      <c r="E25" s="60">
        <f t="shared" si="5"/>
        <v>15.383106442622257</v>
      </c>
      <c r="F25" s="61">
        <f t="shared" si="6"/>
        <v>19.557965533277823</v>
      </c>
      <c r="G25" s="62">
        <f>'[1]cálculos teóricos'!T50</f>
        <v>39.794990506538213</v>
      </c>
      <c r="H25" s="75">
        <f t="shared" si="7"/>
        <v>49.146802862195685</v>
      </c>
      <c r="I25" s="113"/>
      <c r="J25" s="113">
        <v>0.4</v>
      </c>
      <c r="K25" s="113">
        <v>0.3</v>
      </c>
      <c r="L25" s="113"/>
      <c r="M25" s="113"/>
      <c r="N25" s="113"/>
      <c r="O25" s="120"/>
      <c r="P25" s="115">
        <v>0.4</v>
      </c>
      <c r="Q25" s="113">
        <v>0.4</v>
      </c>
      <c r="R25" s="113">
        <v>0.4</v>
      </c>
      <c r="S25" s="113">
        <v>0.5</v>
      </c>
      <c r="T25" s="113"/>
      <c r="U25" s="113"/>
      <c r="V25" s="120"/>
      <c r="W25" s="116">
        <f t="shared" si="0"/>
        <v>0.7</v>
      </c>
      <c r="X25" s="117">
        <f t="shared" si="2"/>
        <v>1.7000000000000002</v>
      </c>
      <c r="Y25" s="70">
        <f t="shared" si="3"/>
        <v>2.4000000000000004</v>
      </c>
      <c r="Z25" s="71">
        <f>'[1]cálculos teóricos'!I50</f>
        <v>12.728303027194645</v>
      </c>
      <c r="AA25" s="72">
        <f t="shared" si="1"/>
        <v>18.855616454701639</v>
      </c>
      <c r="AB25" s="3"/>
    </row>
    <row r="26" spans="1:28" ht="18" customHeight="1">
      <c r="A26" s="80">
        <v>18</v>
      </c>
      <c r="B26" s="76">
        <v>21.8</v>
      </c>
      <c r="C26" s="119">
        <f>'[1]cálculos teóricos'!K51</f>
        <v>1.0335342884870602</v>
      </c>
      <c r="D26" s="59">
        <f t="shared" si="4"/>
        <v>328.1309101063124</v>
      </c>
      <c r="E26" s="60">
        <f t="shared" si="5"/>
        <v>13.738184944331088</v>
      </c>
      <c r="F26" s="61">
        <f t="shared" si="6"/>
        <v>17.501813660413863</v>
      </c>
      <c r="G26" s="62">
        <f>'[1]cálculos teóricos'!T51</f>
        <v>39.669217569298148</v>
      </c>
      <c r="H26" s="75">
        <f t="shared" si="7"/>
        <v>44.119382062023149</v>
      </c>
      <c r="I26" s="113"/>
      <c r="J26" s="113"/>
      <c r="K26" s="113"/>
      <c r="L26" s="113">
        <v>0.1</v>
      </c>
      <c r="M26" s="113">
        <v>0.5</v>
      </c>
      <c r="N26" s="113">
        <v>1</v>
      </c>
      <c r="O26" s="120">
        <v>0.6</v>
      </c>
      <c r="P26" s="115">
        <v>0.6</v>
      </c>
      <c r="Q26" s="113">
        <v>0.8</v>
      </c>
      <c r="R26" s="113">
        <v>0.1</v>
      </c>
      <c r="S26" s="113"/>
      <c r="T26" s="113"/>
      <c r="U26" s="113"/>
      <c r="V26" s="120"/>
      <c r="W26" s="116">
        <f t="shared" si="0"/>
        <v>2.2000000000000002</v>
      </c>
      <c r="X26" s="117">
        <f t="shared" si="2"/>
        <v>1.5</v>
      </c>
      <c r="Y26" s="70">
        <f t="shared" si="3"/>
        <v>3.7</v>
      </c>
      <c r="Z26" s="71">
        <f>'[1]cálculos teóricos'!I51</f>
        <v>12.706830868023706</v>
      </c>
      <c r="AA26" s="72">
        <f t="shared" si="1"/>
        <v>29.118196648945098</v>
      </c>
      <c r="AB26" s="3"/>
    </row>
    <row r="27" spans="1:28" ht="18" customHeight="1">
      <c r="A27" s="80">
        <v>19</v>
      </c>
      <c r="B27" s="76">
        <v>22.8</v>
      </c>
      <c r="C27" s="119">
        <f>'[1]cálculos teóricos'!K52</f>
        <v>1.033090518262219</v>
      </c>
      <c r="D27" s="59">
        <f t="shared" si="4"/>
        <v>343.03543378982965</v>
      </c>
      <c r="E27" s="60">
        <f t="shared" si="5"/>
        <v>14.362207541912587</v>
      </c>
      <c r="F27" s="61">
        <f t="shared" si="6"/>
        <v>18.281841907390735</v>
      </c>
      <c r="G27" s="62">
        <f>'[1]cálculos teóricos'!T52</f>
        <v>39.54105409544276</v>
      </c>
      <c r="H27" s="75">
        <f t="shared" si="7"/>
        <v>46.23508989735754</v>
      </c>
      <c r="I27" s="113"/>
      <c r="J27" s="113"/>
      <c r="K27" s="113">
        <v>0.7</v>
      </c>
      <c r="L27" s="113">
        <v>1</v>
      </c>
      <c r="M27" s="113">
        <v>1</v>
      </c>
      <c r="N27" s="113">
        <v>1</v>
      </c>
      <c r="O27" s="120">
        <v>1</v>
      </c>
      <c r="P27" s="115">
        <v>0.8</v>
      </c>
      <c r="Q27" s="113">
        <v>0.1</v>
      </c>
      <c r="R27" s="113"/>
      <c r="S27" s="113"/>
      <c r="T27" s="113"/>
      <c r="U27" s="113"/>
      <c r="V27" s="120"/>
      <c r="W27" s="116">
        <f t="shared" si="0"/>
        <v>4.7</v>
      </c>
      <c r="X27" s="117">
        <f t="shared" si="2"/>
        <v>0.9</v>
      </c>
      <c r="Y27" s="70">
        <f t="shared" si="3"/>
        <v>5.6000000000000005</v>
      </c>
      <c r="Z27" s="71">
        <f>'[1]cálculos teóricos'!I52</f>
        <v>12.685226483584112</v>
      </c>
      <c r="AA27" s="72">
        <f t="shared" si="1"/>
        <v>44.145841678482697</v>
      </c>
      <c r="AB27" s="3"/>
    </row>
    <row r="28" spans="1:28" ht="18" customHeight="1">
      <c r="A28" s="80">
        <v>20</v>
      </c>
      <c r="B28" s="76">
        <v>13.7</v>
      </c>
      <c r="C28" s="119">
        <f>'[1]cálculos teóricos'!K53</f>
        <v>1.0326345867874447</v>
      </c>
      <c r="D28" s="59">
        <f t="shared" si="4"/>
        <v>206.03120112410164</v>
      </c>
      <c r="E28" s="60">
        <f t="shared" si="5"/>
        <v>8.6261143286638884</v>
      </c>
      <c r="F28" s="61">
        <f t="shared" si="6"/>
        <v>11.111725390829861</v>
      </c>
      <c r="G28" s="62">
        <f>'[1]cálculos teóricos'!T53</f>
        <v>39.410519361176185</v>
      </c>
      <c r="H28" s="75">
        <f t="shared" si="7"/>
        <v>28.194821004506139</v>
      </c>
      <c r="I28" s="113"/>
      <c r="J28" s="113"/>
      <c r="K28" s="113"/>
      <c r="L28" s="113"/>
      <c r="M28" s="113">
        <v>0.1</v>
      </c>
      <c r="N28" s="113">
        <v>0.1</v>
      </c>
      <c r="O28" s="120">
        <v>0.1</v>
      </c>
      <c r="P28" s="115">
        <v>0.1</v>
      </c>
      <c r="Q28" s="113"/>
      <c r="R28" s="113"/>
      <c r="S28" s="113"/>
      <c r="T28" s="113"/>
      <c r="U28" s="113"/>
      <c r="V28" s="120"/>
      <c r="W28" s="116">
        <f t="shared" si="0"/>
        <v>0.30000000000000004</v>
      </c>
      <c r="X28" s="117">
        <f t="shared" si="2"/>
        <v>0.1</v>
      </c>
      <c r="Y28" s="70">
        <f t="shared" si="3"/>
        <v>0.4</v>
      </c>
      <c r="Z28" s="71">
        <f>'[1]cálculos teóricos'!I53</f>
        <v>12.663496695599086</v>
      </c>
      <c r="AA28" s="72">
        <f t="shared" si="1"/>
        <v>3.1586852321682288</v>
      </c>
      <c r="AB28" s="3"/>
    </row>
    <row r="29" spans="1:28" ht="18" customHeight="1">
      <c r="A29" s="80">
        <v>21</v>
      </c>
      <c r="B29" s="76">
        <v>18.399999999999999</v>
      </c>
      <c r="C29" s="119">
        <f>'[1]cálculos teóricos'!K54</f>
        <v>1.032166435907075</v>
      </c>
      <c r="D29" s="59">
        <f t="shared" si="4"/>
        <v>276.58798836372142</v>
      </c>
      <c r="E29" s="60">
        <f t="shared" si="5"/>
        <v>11.580185896812289</v>
      </c>
      <c r="F29" s="61">
        <f t="shared" si="6"/>
        <v>14.804314851015361</v>
      </c>
      <c r="G29" s="62">
        <f>'[1]cálculos teóricos'!T54</f>
        <v>39.277634272380226</v>
      </c>
      <c r="H29" s="75">
        <f t="shared" si="7"/>
        <v>37.691462648568063</v>
      </c>
      <c r="I29" s="113"/>
      <c r="J29" s="113"/>
      <c r="K29" s="113"/>
      <c r="L29" s="113">
        <v>0.3</v>
      </c>
      <c r="M29" s="113">
        <v>1</v>
      </c>
      <c r="N29" s="113">
        <v>0.8</v>
      </c>
      <c r="O29" s="120">
        <v>0.4</v>
      </c>
      <c r="P29" s="115">
        <v>0.7</v>
      </c>
      <c r="Q29" s="113"/>
      <c r="R29" s="113"/>
      <c r="S29" s="113"/>
      <c r="T29" s="113"/>
      <c r="U29" s="113"/>
      <c r="V29" s="120"/>
      <c r="W29" s="116">
        <f t="shared" si="0"/>
        <v>2.5</v>
      </c>
      <c r="X29" s="117">
        <f t="shared" si="2"/>
        <v>0.7</v>
      </c>
      <c r="Y29" s="70">
        <f t="shared" si="3"/>
        <v>3.2</v>
      </c>
      <c r="Z29" s="71">
        <f>'[1]cálculos teóricos'!I54</f>
        <v>12.641648154765646</v>
      </c>
      <c r="AA29" s="72">
        <f t="shared" si="1"/>
        <v>25.313155063516497</v>
      </c>
      <c r="AB29" s="3"/>
    </row>
    <row r="30" spans="1:28" ht="18" customHeight="1">
      <c r="A30" s="80">
        <v>22</v>
      </c>
      <c r="B30" s="76">
        <v>31.1</v>
      </c>
      <c r="C30" s="119">
        <f>'[1]cálculos teóricos'!K55</f>
        <v>1.0316860165157933</v>
      </c>
      <c r="D30" s="59">
        <f t="shared" si="4"/>
        <v>467.27623427751331</v>
      </c>
      <c r="E30" s="60">
        <f t="shared" si="5"/>
        <v>19.563921376730928</v>
      </c>
      <c r="F30" s="61">
        <f t="shared" si="6"/>
        <v>24.783984200913661</v>
      </c>
      <c r="G30" s="62">
        <f>'[1]cálculos teóricos'!T55</f>
        <v>39.142421364509971</v>
      </c>
      <c r="H30" s="75">
        <f t="shared" si="7"/>
        <v>63.31745287322731</v>
      </c>
      <c r="I30" s="113"/>
      <c r="J30" s="113"/>
      <c r="K30" s="113">
        <v>0.5</v>
      </c>
      <c r="L30" s="113">
        <v>1</v>
      </c>
      <c r="M30" s="113">
        <v>1</v>
      </c>
      <c r="N30" s="113">
        <v>1</v>
      </c>
      <c r="O30" s="120">
        <v>1</v>
      </c>
      <c r="P30" s="115">
        <v>1</v>
      </c>
      <c r="Q30" s="113">
        <v>1</v>
      </c>
      <c r="R30" s="113">
        <v>0.9</v>
      </c>
      <c r="S30" s="113">
        <v>0.5</v>
      </c>
      <c r="T30" s="113"/>
      <c r="U30" s="113"/>
      <c r="V30" s="120"/>
      <c r="W30" s="116">
        <f t="shared" si="0"/>
        <v>4.5</v>
      </c>
      <c r="X30" s="117">
        <f t="shared" si="2"/>
        <v>3.4</v>
      </c>
      <c r="Y30" s="70">
        <f t="shared" si="3"/>
        <v>7.9</v>
      </c>
      <c r="Z30" s="71">
        <f>'[1]cálculos teóricos'!I55</f>
        <v>12.619687341902916</v>
      </c>
      <c r="AA30" s="72">
        <f t="shared" si="1"/>
        <v>62.600600046314327</v>
      </c>
      <c r="AB30" s="3"/>
    </row>
    <row r="31" spans="1:28" ht="18" customHeight="1">
      <c r="A31" s="80">
        <v>23</v>
      </c>
      <c r="B31" s="76">
        <v>26.5</v>
      </c>
      <c r="C31" s="119">
        <f>'[1]cálculos teóricos'!K56</f>
        <v>1.0311932886709996</v>
      </c>
      <c r="D31" s="59">
        <f t="shared" si="4"/>
        <v>397.97126167834273</v>
      </c>
      <c r="E31" s="60">
        <f t="shared" si="5"/>
        <v>16.662260783948852</v>
      </c>
      <c r="F31" s="61">
        <f t="shared" si="6"/>
        <v>21.156908459936066</v>
      </c>
      <c r="G31" s="62">
        <f>'[1]cálculos teóricos'!T56</f>
        <v>39.004904799834748</v>
      </c>
      <c r="H31" s="75">
        <f t="shared" si="7"/>
        <v>54.241661576945326</v>
      </c>
      <c r="I31" s="113"/>
      <c r="J31" s="113">
        <v>0.4</v>
      </c>
      <c r="K31" s="113">
        <v>0.5</v>
      </c>
      <c r="L31" s="113">
        <v>1</v>
      </c>
      <c r="M31" s="113">
        <v>1</v>
      </c>
      <c r="N31" s="113">
        <v>1</v>
      </c>
      <c r="O31" s="120">
        <v>0.9</v>
      </c>
      <c r="P31" s="115">
        <v>0.9</v>
      </c>
      <c r="Q31" s="113">
        <v>1</v>
      </c>
      <c r="R31" s="113">
        <v>0.8</v>
      </c>
      <c r="S31" s="113">
        <v>0.2</v>
      </c>
      <c r="T31" s="113"/>
      <c r="U31" s="113"/>
      <c r="V31" s="120"/>
      <c r="W31" s="116">
        <f t="shared" si="0"/>
        <v>4.8</v>
      </c>
      <c r="X31" s="117">
        <f t="shared" si="2"/>
        <v>2.9000000000000004</v>
      </c>
      <c r="Y31" s="70">
        <f t="shared" si="3"/>
        <v>7.7</v>
      </c>
      <c r="Z31" s="71">
        <f>'[1]cálculos teóricos'!I56</f>
        <v>12.597620569540034</v>
      </c>
      <c r="AA31" s="72">
        <f t="shared" si="1"/>
        <v>61.122653738420567</v>
      </c>
      <c r="AB31" s="3"/>
    </row>
    <row r="32" spans="1:28" ht="18" customHeight="1">
      <c r="A32" s="80">
        <v>24</v>
      </c>
      <c r="B32" s="76">
        <v>19.100000000000001</v>
      </c>
      <c r="C32" s="119">
        <f>'[1]cálculos teóricos'!K57</f>
        <v>1.0306882216920989</v>
      </c>
      <c r="D32" s="59">
        <f t="shared" si="4"/>
        <v>286.6991732073061</v>
      </c>
      <c r="E32" s="60">
        <f t="shared" si="5"/>
        <v>12.003520983843492</v>
      </c>
      <c r="F32" s="61">
        <f t="shared" si="6"/>
        <v>15.333483709804366</v>
      </c>
      <c r="G32" s="62">
        <f>'[1]cálculos teóricos'!T57</f>
        <v>38.865110362118791</v>
      </c>
      <c r="H32" s="75">
        <f t="shared" si="7"/>
        <v>39.453081612112619</v>
      </c>
      <c r="I32" s="113"/>
      <c r="J32" s="113"/>
      <c r="K32" s="113"/>
      <c r="L32" s="113">
        <v>0.5</v>
      </c>
      <c r="M32" s="113">
        <v>0.9</v>
      </c>
      <c r="N32" s="113">
        <v>1</v>
      </c>
      <c r="O32" s="120">
        <v>0.8</v>
      </c>
      <c r="P32" s="115">
        <v>0.5</v>
      </c>
      <c r="Q32" s="113"/>
      <c r="R32" s="113"/>
      <c r="S32" s="113"/>
      <c r="T32" s="113"/>
      <c r="U32" s="113"/>
      <c r="V32" s="120"/>
      <c r="W32" s="116">
        <f t="shared" si="0"/>
        <v>3.2</v>
      </c>
      <c r="X32" s="117">
        <f t="shared" si="2"/>
        <v>0.5</v>
      </c>
      <c r="Y32" s="70">
        <f t="shared" si="3"/>
        <v>3.7</v>
      </c>
      <c r="Z32" s="71">
        <f>'[1]cálculos teóricos'!I57</f>
        <v>12.575453983919491</v>
      </c>
      <c r="AA32" s="72">
        <f t="shared" si="1"/>
        <v>29.42239703418478</v>
      </c>
      <c r="AB32" s="3"/>
    </row>
    <row r="33" spans="1:28" ht="18" customHeight="1">
      <c r="A33" s="80">
        <v>25</v>
      </c>
      <c r="B33" s="76">
        <v>28.6</v>
      </c>
      <c r="C33" s="119">
        <f>'[1]cálculos teóricos'!K58</f>
        <v>1.0301707942472205</v>
      </c>
      <c r="D33" s="59">
        <f t="shared" si="4"/>
        <v>429.08272155375477</v>
      </c>
      <c r="E33" s="60">
        <f t="shared" si="5"/>
        <v>17.964835386012602</v>
      </c>
      <c r="F33" s="61">
        <f t="shared" si="6"/>
        <v>22.785126712515758</v>
      </c>
      <c r="G33" s="62">
        <f>'[1]cálculos teóricos'!T58</f>
        <v>38.723065448843045</v>
      </c>
      <c r="H33" s="75">
        <f t="shared" si="7"/>
        <v>58.841226665324669</v>
      </c>
      <c r="I33" s="113"/>
      <c r="J33" s="113"/>
      <c r="K33" s="113">
        <v>0.1</v>
      </c>
      <c r="L33" s="113">
        <v>0.4</v>
      </c>
      <c r="M33" s="113">
        <v>0.1</v>
      </c>
      <c r="N33" s="113">
        <v>0.3</v>
      </c>
      <c r="O33" s="120">
        <v>1</v>
      </c>
      <c r="P33" s="115">
        <v>1</v>
      </c>
      <c r="Q33" s="113">
        <v>1</v>
      </c>
      <c r="R33" s="113">
        <v>1</v>
      </c>
      <c r="S33" s="113">
        <v>1</v>
      </c>
      <c r="T33" s="113">
        <v>0.9</v>
      </c>
      <c r="U33" s="113"/>
      <c r="V33" s="120"/>
      <c r="W33" s="116">
        <f t="shared" si="0"/>
        <v>1.9</v>
      </c>
      <c r="X33" s="117">
        <f t="shared" si="2"/>
        <v>4.9000000000000004</v>
      </c>
      <c r="Y33" s="70">
        <f t="shared" si="3"/>
        <v>6.8000000000000007</v>
      </c>
      <c r="Z33" s="71">
        <f>'[1]cálculos teóricos'!I58</f>
        <v>12.553193567392162</v>
      </c>
      <c r="AA33" s="72">
        <f t="shared" si="1"/>
        <v>54.169482558314868</v>
      </c>
      <c r="AB33" s="3"/>
    </row>
    <row r="34" spans="1:28" ht="18" customHeight="1">
      <c r="A34" s="80">
        <v>26</v>
      </c>
      <c r="B34" s="76">
        <v>25.7</v>
      </c>
      <c r="C34" s="119">
        <f>'[1]cálculos teóricos'!K59</f>
        <v>1.0296409944279203</v>
      </c>
      <c r="D34" s="59">
        <f t="shared" si="4"/>
        <v>385.37603919442114</v>
      </c>
      <c r="E34" s="60">
        <f t="shared" si="5"/>
        <v>16.134924008992023</v>
      </c>
      <c r="F34" s="61">
        <f t="shared" si="6"/>
        <v>20.497737491240027</v>
      </c>
      <c r="G34" s="62">
        <f>'[1]cálculos teóricos'!T59</f>
        <v>38.578799061075529</v>
      </c>
      <c r="H34" s="75">
        <f t="shared" si="7"/>
        <v>53.132129537752846</v>
      </c>
      <c r="I34" s="113"/>
      <c r="J34" s="113"/>
      <c r="K34" s="113">
        <v>0.1</v>
      </c>
      <c r="L34" s="113">
        <v>0.9</v>
      </c>
      <c r="M34" s="113">
        <v>0.7</v>
      </c>
      <c r="N34" s="113">
        <v>0.6</v>
      </c>
      <c r="O34" s="120">
        <v>1</v>
      </c>
      <c r="P34" s="115">
        <v>0.7</v>
      </c>
      <c r="Q34" s="113">
        <v>0.9</v>
      </c>
      <c r="R34" s="113">
        <v>0.7</v>
      </c>
      <c r="S34" s="113"/>
      <c r="T34" s="113"/>
      <c r="U34" s="113"/>
      <c r="V34" s="120"/>
      <c r="W34" s="116">
        <f t="shared" si="0"/>
        <v>3.3</v>
      </c>
      <c r="X34" s="117">
        <f t="shared" si="2"/>
        <v>2.2999999999999998</v>
      </c>
      <c r="Y34" s="70">
        <f t="shared" si="3"/>
        <v>5.6</v>
      </c>
      <c r="Z34" s="71">
        <f>'[1]cálculos teóricos'!I59</f>
        <v>12.530845141180563</v>
      </c>
      <c r="AA34" s="72">
        <f t="shared" si="1"/>
        <v>44.68972313444781</v>
      </c>
      <c r="AB34" s="3"/>
    </row>
    <row r="35" spans="1:28" ht="18" customHeight="1">
      <c r="A35" s="80">
        <v>27</v>
      </c>
      <c r="B35" s="76">
        <v>29.3</v>
      </c>
      <c r="C35" s="119">
        <f>'[1]cálculos teóricos'!K60</f>
        <v>1.0290988198124356</v>
      </c>
      <c r="D35" s="59">
        <f t="shared" si="4"/>
        <v>439.12732340651525</v>
      </c>
      <c r="E35" s="60">
        <f t="shared" si="5"/>
        <v>18.385382776383977</v>
      </c>
      <c r="F35" s="61">
        <f t="shared" si="6"/>
        <v>23.310810950479976</v>
      </c>
      <c r="G35" s="62">
        <f>'[1]cálculos teóricos'!T60</f>
        <v>38.432341791103383</v>
      </c>
      <c r="H35" s="75">
        <f t="shared" si="7"/>
        <v>60.654151852584079</v>
      </c>
      <c r="I35" s="113"/>
      <c r="J35" s="113"/>
      <c r="K35" s="113">
        <v>0.8</v>
      </c>
      <c r="L35" s="113">
        <v>1</v>
      </c>
      <c r="M35" s="113">
        <v>1</v>
      </c>
      <c r="N35" s="113">
        <v>1</v>
      </c>
      <c r="O35" s="120">
        <v>0.9</v>
      </c>
      <c r="P35" s="115">
        <v>1</v>
      </c>
      <c r="Q35" s="113">
        <v>1</v>
      </c>
      <c r="R35" s="113">
        <v>0.8</v>
      </c>
      <c r="S35" s="113"/>
      <c r="T35" s="113"/>
      <c r="U35" s="113"/>
      <c r="V35" s="120"/>
      <c r="W35" s="116">
        <f t="shared" si="0"/>
        <v>4.7</v>
      </c>
      <c r="X35" s="117">
        <f t="shared" si="2"/>
        <v>2.8</v>
      </c>
      <c r="Y35" s="70">
        <f t="shared" si="3"/>
        <v>7.5</v>
      </c>
      <c r="Z35" s="71">
        <f>'[1]cálculos teóricos'!I60</f>
        <v>12.508414368487685</v>
      </c>
      <c r="AA35" s="72">
        <f t="shared" si="1"/>
        <v>59.959638200783225</v>
      </c>
      <c r="AB35" s="3"/>
    </row>
    <row r="36" spans="1:28" ht="18" customHeight="1">
      <c r="A36" s="80">
        <v>28</v>
      </c>
      <c r="B36" s="76">
        <v>18.3</v>
      </c>
      <c r="C36" s="119">
        <f>'[1]cálculos teóricos'!K61</f>
        <v>1.0285442775180771</v>
      </c>
      <c r="D36" s="59">
        <f t="shared" si="4"/>
        <v>274.1194439171116</v>
      </c>
      <c r="E36" s="60">
        <f t="shared" si="5"/>
        <v>11.476832877921629</v>
      </c>
      <c r="F36" s="61">
        <f t="shared" si="6"/>
        <v>14.675123577402035</v>
      </c>
      <c r="G36" s="62">
        <f>'[1]cálculos teóricos'!T61</f>
        <v>38.283725807943732</v>
      </c>
      <c r="H36" s="75">
        <f t="shared" si="7"/>
        <v>38.332537567064598</v>
      </c>
      <c r="I36" s="113"/>
      <c r="J36" s="113">
        <v>0.1</v>
      </c>
      <c r="K36" s="113">
        <v>0.6</v>
      </c>
      <c r="L36" s="113">
        <v>0.5</v>
      </c>
      <c r="M36" s="113">
        <v>0.6</v>
      </c>
      <c r="N36" s="113">
        <v>0.5</v>
      </c>
      <c r="O36" s="120">
        <v>0.9</v>
      </c>
      <c r="P36" s="115">
        <v>0.8</v>
      </c>
      <c r="Q36" s="113">
        <v>0.8</v>
      </c>
      <c r="R36" s="113">
        <v>0.2</v>
      </c>
      <c r="S36" s="113"/>
      <c r="T36" s="113"/>
      <c r="U36" s="113"/>
      <c r="V36" s="120"/>
      <c r="W36" s="116">
        <f t="shared" si="0"/>
        <v>3.1999999999999997</v>
      </c>
      <c r="X36" s="117">
        <f t="shared" si="2"/>
        <v>1.8</v>
      </c>
      <c r="Y36" s="70">
        <f t="shared" si="3"/>
        <v>5</v>
      </c>
      <c r="Z36" s="71">
        <f>'[1]cálculos teóricos'!I61</f>
        <v>12.485906757928969</v>
      </c>
      <c r="AA36" s="72">
        <f t="shared" si="1"/>
        <v>40.045149278604313</v>
      </c>
      <c r="AB36" s="3"/>
    </row>
    <row r="37" spans="1:28" ht="18" customHeight="1">
      <c r="A37" s="121">
        <v>29</v>
      </c>
      <c r="B37" s="76">
        <v>29</v>
      </c>
      <c r="C37" s="119">
        <f>'[1]cálculos teóricos'!K62</f>
        <v>1.0285442775180771</v>
      </c>
      <c r="D37" s="59">
        <f t="shared" si="4"/>
        <v>434.39693298340092</v>
      </c>
      <c r="E37" s="60">
        <f t="shared" si="5"/>
        <v>18.18733079014903</v>
      </c>
      <c r="F37" s="61">
        <f t="shared" si="6"/>
        <v>23.063245967686285</v>
      </c>
      <c r="G37" s="62">
        <f>'[1]cálculos teóricos'!T62</f>
        <v>38.283725807943732</v>
      </c>
      <c r="H37" s="75">
        <f t="shared" si="7"/>
        <v>60.242950446846912</v>
      </c>
      <c r="I37" s="79"/>
      <c r="J37" s="81"/>
      <c r="K37" s="81">
        <v>0.4</v>
      </c>
      <c r="L37" s="81">
        <v>0.2</v>
      </c>
      <c r="M37" s="81">
        <v>0.5</v>
      </c>
      <c r="N37" s="81">
        <v>0.5</v>
      </c>
      <c r="O37" s="77">
        <v>1</v>
      </c>
      <c r="P37" s="82">
        <v>1</v>
      </c>
      <c r="Q37" s="81">
        <v>1</v>
      </c>
      <c r="R37" s="81">
        <v>1</v>
      </c>
      <c r="S37" s="81">
        <v>1</v>
      </c>
      <c r="T37" s="81">
        <v>0.7</v>
      </c>
      <c r="U37" s="81"/>
      <c r="V37" s="78"/>
      <c r="W37" s="116">
        <f t="shared" si="0"/>
        <v>2.6</v>
      </c>
      <c r="X37" s="117">
        <f t="shared" si="2"/>
        <v>4.7</v>
      </c>
      <c r="Y37" s="70">
        <f t="shared" si="3"/>
        <v>7.3000000000000007</v>
      </c>
      <c r="Z37" s="71">
        <f>'[1]cálculos teóricos'!I62</f>
        <v>12.485906757928969</v>
      </c>
      <c r="AA37" s="72">
        <f t="shared" si="1"/>
        <v>58.46591794676231</v>
      </c>
      <c r="AB37" s="3"/>
    </row>
    <row r="38" spans="1:28" ht="18" customHeight="1" thickBot="1">
      <c r="A38" s="122"/>
      <c r="B38" s="87"/>
      <c r="C38" s="88"/>
      <c r="D38" s="89"/>
      <c r="E38" s="123"/>
      <c r="F38" s="91"/>
      <c r="G38" s="92"/>
      <c r="H38" s="93"/>
      <c r="I38" s="94"/>
      <c r="J38" s="87"/>
      <c r="K38" s="87"/>
      <c r="L38" s="87"/>
      <c r="M38" s="87"/>
      <c r="N38" s="87"/>
      <c r="O38" s="95"/>
      <c r="P38" s="94"/>
      <c r="Q38" s="87"/>
      <c r="R38" s="87"/>
      <c r="S38" s="87"/>
      <c r="T38" s="87"/>
      <c r="U38" s="87"/>
      <c r="V38" s="95"/>
      <c r="W38" s="124"/>
      <c r="X38" s="125"/>
      <c r="Y38" s="126"/>
      <c r="Z38" s="127"/>
      <c r="AA38" s="128"/>
      <c r="AB38" s="3"/>
    </row>
    <row r="39" spans="1:28" s="106" customFormat="1" ht="15.75" thickTop="1">
      <c r="A39" s="102"/>
      <c r="B39" s="102"/>
      <c r="C39" s="102"/>
      <c r="D39" s="102"/>
      <c r="E39" s="102"/>
      <c r="F39" s="102"/>
      <c r="G39" s="102"/>
      <c r="H39" s="102"/>
      <c r="I39" s="103">
        <f>SUM(I9:I38)</f>
        <v>0</v>
      </c>
      <c r="J39" s="103">
        <f t="shared" ref="J39:O39" si="8">SUM(J9:J38)</f>
        <v>6.3000000000000007</v>
      </c>
      <c r="K39" s="103">
        <f t="shared" si="8"/>
        <v>13.600000000000001</v>
      </c>
      <c r="L39" s="103">
        <f t="shared" si="8"/>
        <v>17.3</v>
      </c>
      <c r="M39" s="103">
        <f t="shared" si="8"/>
        <v>19.100000000000001</v>
      </c>
      <c r="N39" s="103">
        <f t="shared" si="8"/>
        <v>19.3</v>
      </c>
      <c r="O39" s="103">
        <f t="shared" si="8"/>
        <v>20</v>
      </c>
      <c r="P39" s="103">
        <f>SUM(P9:P38)</f>
        <v>19.2</v>
      </c>
      <c r="Q39" s="103">
        <f t="shared" ref="Q39:V39" si="9">SUM(Q9:Q38)</f>
        <v>15.600000000000001</v>
      </c>
      <c r="R39" s="103">
        <f t="shared" si="9"/>
        <v>14.3</v>
      </c>
      <c r="S39" s="103">
        <f t="shared" si="9"/>
        <v>11.399999999999999</v>
      </c>
      <c r="T39" s="103">
        <f t="shared" si="9"/>
        <v>7</v>
      </c>
      <c r="U39" s="103">
        <f t="shared" si="9"/>
        <v>2.2999999999999998</v>
      </c>
      <c r="V39" s="103">
        <f t="shared" si="9"/>
        <v>0</v>
      </c>
      <c r="W39" s="129">
        <f>SUM(I39:O39)</f>
        <v>95.600000000000009</v>
      </c>
      <c r="X39" s="130">
        <f t="shared" si="2"/>
        <v>69.8</v>
      </c>
      <c r="Y39" s="130">
        <f t="shared" si="3"/>
        <v>165.4</v>
      </c>
      <c r="Z39" s="130">
        <f>SUM(Z9:Z38)</f>
        <v>370.21863198045855</v>
      </c>
      <c r="AA39" s="130">
        <f>SUM(AA9:AA38)</f>
        <v>1295.3375044147099</v>
      </c>
      <c r="AB39" s="102"/>
    </row>
    <row r="40" spans="1:28" s="106" customFormat="1" ht="15">
      <c r="A40" s="102"/>
      <c r="B40" s="102" t="s">
        <v>51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</row>
    <row r="41" spans="1:28" s="106" customFormat="1" ht="1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 t="s">
        <v>52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 t="s">
        <v>53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 t="s">
        <v>54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 t="s">
        <v>55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>
      <c r="A50" s="3"/>
      <c r="B50" s="102" t="s">
        <v>56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2" t="s">
        <v>57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B54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62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08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63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1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57">
        <v>26.3</v>
      </c>
      <c r="C9" s="74">
        <f>'[1]cálculos teóricos'!K63</f>
        <v>1.0279773842433713</v>
      </c>
      <c r="D9" s="59">
        <f>IF(B9&gt;0,B9*C9*14.25*1.022,-999)</f>
        <v>393.73594911176525</v>
      </c>
      <c r="E9" s="60">
        <f>IF(B9&gt;0,D9*4.1868/100,-999)</f>
        <v>16.484936717411387</v>
      </c>
      <c r="F9" s="61">
        <f>IF(B9&gt;0,(7.86+1.25*D9)*4.1868/100,-999)</f>
        <v>20.935253376764237</v>
      </c>
      <c r="G9" s="62">
        <f>'[1]cálculos teóricos'!T63</f>
        <v>38.132984840855237</v>
      </c>
      <c r="H9" s="63">
        <f>IF(B9&gt;0,100*F9/G9,-999)</f>
        <v>54.900641699399436</v>
      </c>
      <c r="I9" s="132"/>
      <c r="J9" s="132">
        <v>0.2</v>
      </c>
      <c r="K9" s="132">
        <v>1</v>
      </c>
      <c r="L9" s="132">
        <v>1</v>
      </c>
      <c r="M9" s="132">
        <v>0.5</v>
      </c>
      <c r="N9" s="132">
        <v>0.6</v>
      </c>
      <c r="O9" s="133">
        <v>1</v>
      </c>
      <c r="P9" s="134">
        <v>0.9</v>
      </c>
      <c r="Q9" s="132">
        <v>0.8</v>
      </c>
      <c r="R9" s="132">
        <v>0.3</v>
      </c>
      <c r="S9" s="132">
        <v>0.6</v>
      </c>
      <c r="T9" s="132">
        <v>0.7</v>
      </c>
      <c r="U9" s="132"/>
      <c r="V9" s="65"/>
      <c r="W9" s="116">
        <f t="shared" ref="W9:W40" si="0">SUM(I9:O9)</f>
        <v>4.3000000000000007</v>
      </c>
      <c r="X9" s="117">
        <f>SUM(P9:V9)</f>
        <v>3.3</v>
      </c>
      <c r="Y9" s="118">
        <f>W9+X9</f>
        <v>7.6000000000000005</v>
      </c>
      <c r="Z9" s="71">
        <f>'[1]cálculos teóricos'!I63</f>
        <v>12.463327667266025</v>
      </c>
      <c r="AA9" s="72">
        <f>100*Y9/Z9</f>
        <v>60.978899078139598</v>
      </c>
      <c r="AB9" s="3"/>
    </row>
    <row r="10" spans="1:28" ht="18" customHeight="1">
      <c r="A10" s="73">
        <v>2</v>
      </c>
      <c r="B10" s="57">
        <v>33.799999999999997</v>
      </c>
      <c r="C10" s="119">
        <f>'[1]cálculos teóricos'!K64</f>
        <v>1.027398166300562</v>
      </c>
      <c r="D10" s="59">
        <f>IF(B10&gt;0,B10*C10*14.25*1.022,-999)</f>
        <v>505.73294598823634</v>
      </c>
      <c r="E10" s="60">
        <f>IF(B10&gt;0,D10*4.1868/100,-999)</f>
        <v>21.174026982635478</v>
      </c>
      <c r="F10" s="61">
        <f>IF(B10&gt;0,(7.86+1.25*D10)*4.1868/100,-999)</f>
        <v>26.796616208294349</v>
      </c>
      <c r="G10" s="62">
        <f>'[1]cálculos teóricos'!T64</f>
        <v>37.980154160973754</v>
      </c>
      <c r="H10" s="75">
        <f>IF(B10&gt;0,100*F10/G10,-999)</f>
        <v>70.554258665513871</v>
      </c>
      <c r="I10" s="135"/>
      <c r="J10" s="134">
        <v>0.7</v>
      </c>
      <c r="K10" s="132">
        <v>0.8</v>
      </c>
      <c r="L10" s="132">
        <v>1</v>
      </c>
      <c r="M10" s="132">
        <v>0.9</v>
      </c>
      <c r="N10" s="132">
        <v>1</v>
      </c>
      <c r="O10" s="136">
        <v>1</v>
      </c>
      <c r="P10" s="134">
        <v>1</v>
      </c>
      <c r="Q10" s="132">
        <v>1</v>
      </c>
      <c r="R10" s="132">
        <v>1</v>
      </c>
      <c r="S10" s="132">
        <v>1</v>
      </c>
      <c r="T10" s="132">
        <v>1</v>
      </c>
      <c r="U10" s="132">
        <v>0.2</v>
      </c>
      <c r="V10" s="78"/>
      <c r="W10" s="116">
        <f t="shared" si="0"/>
        <v>5.4</v>
      </c>
      <c r="X10" s="117">
        <f t="shared" ref="X10:X39" si="1">SUM(P10:V10)</f>
        <v>5.2</v>
      </c>
      <c r="Y10" s="70">
        <f t="shared" ref="Y10:Y39" si="2">W10+X10</f>
        <v>10.600000000000001</v>
      </c>
      <c r="Z10" s="71">
        <f>'[1]cálculos teóricos'!I64</f>
        <v>12.440682307421085</v>
      </c>
      <c r="AA10" s="72">
        <f t="shared" ref="AA10:AA39" si="3">100*Y10/Z10</f>
        <v>85.204329939981804</v>
      </c>
      <c r="AB10" s="3"/>
    </row>
    <row r="11" spans="1:28" ht="18" customHeight="1">
      <c r="A11" s="73">
        <v>3</v>
      </c>
      <c r="B11" s="57">
        <v>30.9</v>
      </c>
      <c r="C11" s="119">
        <f>'[1]cálculos teóricos'!K65</f>
        <v>1.0268066596390977</v>
      </c>
      <c r="D11" s="59">
        <f t="shared" ref="D11:D39" si="4">IF(B11&gt;0,B11*C11*14.25*1.022,-999)</f>
        <v>462.07547253850856</v>
      </c>
      <c r="E11" s="60">
        <f t="shared" ref="E11:E39" si="5">IF(B11&gt;0,D11*4.1868/100,-999)</f>
        <v>19.346175884242275</v>
      </c>
      <c r="F11" s="61">
        <f t="shared" ref="F11:F39" si="6">IF(B11&gt;0,(7.86+1.25*D11)*4.1868/100,-999)</f>
        <v>24.511802335302846</v>
      </c>
      <c r="G11" s="62">
        <f>'[1]cálculos teóricos'!T65</f>
        <v>37.825270561198415</v>
      </c>
      <c r="H11" s="75">
        <f t="shared" ref="H11:H39" si="7">IF(B11&gt;0,100*F11/G11,-999)</f>
        <v>64.802715146860905</v>
      </c>
      <c r="I11" s="135"/>
      <c r="J11" s="134">
        <v>1</v>
      </c>
      <c r="K11" s="132">
        <v>1</v>
      </c>
      <c r="L11" s="132">
        <v>1</v>
      </c>
      <c r="M11" s="132">
        <v>1</v>
      </c>
      <c r="N11" s="134">
        <v>1</v>
      </c>
      <c r="O11" s="136">
        <v>1</v>
      </c>
      <c r="P11" s="134">
        <v>1</v>
      </c>
      <c r="Q11" s="132">
        <v>0.6</v>
      </c>
      <c r="R11" s="132">
        <v>0.9</v>
      </c>
      <c r="S11" s="132">
        <v>1</v>
      </c>
      <c r="T11" s="132">
        <v>0.6</v>
      </c>
      <c r="U11" s="132"/>
      <c r="V11" s="78"/>
      <c r="W11" s="116">
        <f t="shared" si="0"/>
        <v>6</v>
      </c>
      <c r="X11" s="117">
        <f t="shared" si="1"/>
        <v>4.0999999999999996</v>
      </c>
      <c r="Y11" s="70">
        <f t="shared" si="2"/>
        <v>10.1</v>
      </c>
      <c r="Z11" s="71">
        <f>'[1]cálculos teóricos'!I65</f>
        <v>12.417975746751987</v>
      </c>
      <c r="AA11" s="72">
        <f t="shared" si="3"/>
        <v>81.333706925959575</v>
      </c>
      <c r="AB11" s="3"/>
    </row>
    <row r="12" spans="1:28" ht="18" customHeight="1">
      <c r="A12" s="73">
        <v>4</v>
      </c>
      <c r="B12" s="57">
        <v>30.2</v>
      </c>
      <c r="C12" s="119">
        <f>'[1]cálculos teóricos'!K66</f>
        <v>1.0262029098607273</v>
      </c>
      <c r="D12" s="59">
        <f t="shared" si="4"/>
        <v>451.34220354825243</v>
      </c>
      <c r="E12" s="60">
        <f t="shared" si="5"/>
        <v>18.896795378158231</v>
      </c>
      <c r="F12" s="61">
        <f t="shared" si="6"/>
        <v>23.950076702697793</v>
      </c>
      <c r="G12" s="62">
        <f>'[1]cálculos teóricos'!T66</f>
        <v>37.668372334455164</v>
      </c>
      <c r="H12" s="75">
        <f t="shared" si="7"/>
        <v>63.581395261909734</v>
      </c>
      <c r="I12" s="135"/>
      <c r="J12" s="134">
        <v>0.9</v>
      </c>
      <c r="K12" s="132">
        <v>1</v>
      </c>
      <c r="L12" s="132">
        <v>1</v>
      </c>
      <c r="M12" s="132">
        <v>1</v>
      </c>
      <c r="N12" s="134">
        <v>1</v>
      </c>
      <c r="O12" s="136">
        <v>1</v>
      </c>
      <c r="P12" s="134">
        <v>1</v>
      </c>
      <c r="Q12" s="132">
        <v>1</v>
      </c>
      <c r="R12" s="132">
        <v>1</v>
      </c>
      <c r="S12" s="132">
        <v>1</v>
      </c>
      <c r="T12" s="132">
        <v>0.1</v>
      </c>
      <c r="U12" s="132"/>
      <c r="V12" s="78"/>
      <c r="W12" s="116">
        <f t="shared" si="0"/>
        <v>5.9</v>
      </c>
      <c r="X12" s="117">
        <f t="shared" si="1"/>
        <v>4.0999999999999996</v>
      </c>
      <c r="Y12" s="70">
        <f t="shared" si="2"/>
        <v>10</v>
      </c>
      <c r="Z12" s="71">
        <f>'[1]cálculos teóricos'!I66</f>
        <v>12.395212915568337</v>
      </c>
      <c r="AA12" s="72">
        <f t="shared" si="3"/>
        <v>80.67630679776417</v>
      </c>
      <c r="AB12" s="3"/>
    </row>
    <row r="13" spans="1:28" ht="18" customHeight="1">
      <c r="A13" s="73">
        <v>5</v>
      </c>
      <c r="B13" s="57">
        <v>24.2</v>
      </c>
      <c r="C13" s="119">
        <f>'[1]cálculos teóricos'!K67</f>
        <v>1.0255869722268318</v>
      </c>
      <c r="D13" s="59">
        <f t="shared" si="4"/>
        <v>361.45448805461626</v>
      </c>
      <c r="E13" s="60">
        <f t="shared" si="5"/>
        <v>15.133376505870674</v>
      </c>
      <c r="F13" s="61">
        <f t="shared" si="6"/>
        <v>19.245803112338344</v>
      </c>
      <c r="G13" s="62">
        <f>'[1]cálculos teóricos'!T67</f>
        <v>37.509499250465367</v>
      </c>
      <c r="H13" s="75">
        <f t="shared" si="7"/>
        <v>51.30914434188179</v>
      </c>
      <c r="I13" s="135"/>
      <c r="J13" s="134">
        <v>0.3</v>
      </c>
      <c r="K13" s="132">
        <v>1</v>
      </c>
      <c r="L13" s="132">
        <v>1</v>
      </c>
      <c r="M13" s="132">
        <v>1</v>
      </c>
      <c r="N13" s="134">
        <v>1</v>
      </c>
      <c r="O13" s="136">
        <v>1</v>
      </c>
      <c r="P13" s="134">
        <v>1</v>
      </c>
      <c r="Q13" s="132">
        <v>1</v>
      </c>
      <c r="R13" s="132">
        <v>0.3</v>
      </c>
      <c r="S13" s="132"/>
      <c r="T13" s="132"/>
      <c r="U13" s="132"/>
      <c r="V13" s="78"/>
      <c r="W13" s="116">
        <f t="shared" si="0"/>
        <v>5.3</v>
      </c>
      <c r="X13" s="117">
        <f t="shared" si="1"/>
        <v>2.2999999999999998</v>
      </c>
      <c r="Y13" s="70">
        <f t="shared" si="2"/>
        <v>7.6</v>
      </c>
      <c r="Z13" s="71">
        <f>'[1]cálculos teóricos'!I67</f>
        <v>12.372398610870075</v>
      </c>
      <c r="AA13" s="72">
        <f t="shared" si="3"/>
        <v>61.427054195641844</v>
      </c>
      <c r="AB13" s="3"/>
    </row>
    <row r="14" spans="1:28" ht="18" customHeight="1">
      <c r="A14" s="73">
        <v>6</v>
      </c>
      <c r="B14" s="57">
        <v>24.1</v>
      </c>
      <c r="C14" s="119">
        <f>'[1]cálculos teóricos'!K68</f>
        <v>1.0249589116586053</v>
      </c>
      <c r="D14" s="59">
        <f t="shared" si="4"/>
        <v>359.74043754955642</v>
      </c>
      <c r="E14" s="60">
        <f t="shared" si="5"/>
        <v>15.061612639324828</v>
      </c>
      <c r="F14" s="61">
        <f t="shared" si="6"/>
        <v>19.156098279156037</v>
      </c>
      <c r="G14" s="62">
        <f>'[1]cálculos teóricos'!T68</f>
        <v>37.348692531146071</v>
      </c>
      <c r="H14" s="75">
        <f t="shared" si="7"/>
        <v>51.289876514904122</v>
      </c>
      <c r="I14" s="135"/>
      <c r="J14" s="134"/>
      <c r="K14" s="132">
        <v>0.2</v>
      </c>
      <c r="L14" s="132">
        <v>0.1</v>
      </c>
      <c r="M14" s="132">
        <v>1</v>
      </c>
      <c r="N14" s="134">
        <v>0.8</v>
      </c>
      <c r="O14" s="136">
        <v>0.2</v>
      </c>
      <c r="P14" s="134">
        <v>0.8</v>
      </c>
      <c r="Q14" s="132">
        <v>1</v>
      </c>
      <c r="R14" s="132">
        <v>0.8</v>
      </c>
      <c r="S14" s="132">
        <v>0.5</v>
      </c>
      <c r="T14" s="132"/>
      <c r="U14" s="132"/>
      <c r="V14" s="78"/>
      <c r="W14" s="116">
        <f t="shared" si="0"/>
        <v>2.3000000000000003</v>
      </c>
      <c r="X14" s="117">
        <f t="shared" si="1"/>
        <v>3.1</v>
      </c>
      <c r="Y14" s="70">
        <f t="shared" si="2"/>
        <v>5.4</v>
      </c>
      <c r="Z14" s="71">
        <f>'[1]cálculos teóricos'!I68</f>
        <v>12.349537501290623</v>
      </c>
      <c r="AA14" s="72">
        <f t="shared" si="3"/>
        <v>43.72633387635495</v>
      </c>
      <c r="AB14" s="3"/>
    </row>
    <row r="15" spans="1:28" ht="18" customHeight="1">
      <c r="A15" s="73">
        <v>7</v>
      </c>
      <c r="B15" s="76">
        <v>20.6</v>
      </c>
      <c r="C15" s="119">
        <f>'[1]cálculos teóricos'!K69</f>
        <v>1.0243188027306998</v>
      </c>
      <c r="D15" s="59">
        <f t="shared" si="4"/>
        <v>307.30393780151206</v>
      </c>
      <c r="E15" s="60">
        <f t="shared" si="5"/>
        <v>12.866201267873707</v>
      </c>
      <c r="F15" s="61">
        <f t="shared" si="6"/>
        <v>16.411834064842136</v>
      </c>
      <c r="G15" s="62">
        <f>'[1]cálculos teóricos'!T69</f>
        <v>37.185994824767818</v>
      </c>
      <c r="H15" s="75">
        <f t="shared" si="7"/>
        <v>44.134449386603464</v>
      </c>
      <c r="I15" s="135"/>
      <c r="J15" s="134"/>
      <c r="K15" s="132"/>
      <c r="L15" s="132"/>
      <c r="M15" s="132">
        <v>0.7</v>
      </c>
      <c r="N15" s="134">
        <v>0.4</v>
      </c>
      <c r="O15" s="136">
        <v>0.7</v>
      </c>
      <c r="P15" s="134">
        <v>1</v>
      </c>
      <c r="Q15" s="132">
        <v>1</v>
      </c>
      <c r="R15" s="132">
        <v>0.6</v>
      </c>
      <c r="S15" s="132"/>
      <c r="T15" s="132"/>
      <c r="U15" s="132"/>
      <c r="V15" s="78"/>
      <c r="W15" s="116">
        <f t="shared" si="0"/>
        <v>1.8</v>
      </c>
      <c r="X15" s="117">
        <f t="shared" si="1"/>
        <v>2.6</v>
      </c>
      <c r="Y15" s="70">
        <f t="shared" si="2"/>
        <v>4.4000000000000004</v>
      </c>
      <c r="Z15" s="71">
        <f>'[1]cálculos teóricos'!I69</f>
        <v>12.326634132227381</v>
      </c>
      <c r="AA15" s="72">
        <f t="shared" si="3"/>
        <v>35.695064466109336</v>
      </c>
      <c r="AB15" s="3"/>
    </row>
    <row r="16" spans="1:28" ht="18" customHeight="1">
      <c r="A16" s="80">
        <v>8</v>
      </c>
      <c r="B16" s="76">
        <v>19.100000000000001</v>
      </c>
      <c r="C16" s="119">
        <f>'[1]cálculos teóricos'!K70</f>
        <v>1.023666729658925</v>
      </c>
      <c r="D16" s="59">
        <f t="shared" si="4"/>
        <v>284.74605497210609</v>
      </c>
      <c r="E16" s="60">
        <f t="shared" si="5"/>
        <v>11.921747829572137</v>
      </c>
      <c r="F16" s="61">
        <f t="shared" si="6"/>
        <v>15.231267266965171</v>
      </c>
      <c r="G16" s="62">
        <f>'[1]cálculos teóricos'!T70</f>
        <v>37.021450178993661</v>
      </c>
      <c r="H16" s="75">
        <f t="shared" si="7"/>
        <v>41.141735921537574</v>
      </c>
      <c r="I16" s="135"/>
      <c r="J16" s="134"/>
      <c r="K16" s="132">
        <v>0.1</v>
      </c>
      <c r="L16" s="132">
        <v>0.3</v>
      </c>
      <c r="M16" s="132">
        <v>0.6</v>
      </c>
      <c r="N16" s="134">
        <v>1</v>
      </c>
      <c r="O16" s="136">
        <v>1</v>
      </c>
      <c r="P16" s="134">
        <v>1</v>
      </c>
      <c r="Q16" s="132">
        <v>0.5</v>
      </c>
      <c r="R16" s="132"/>
      <c r="S16" s="132"/>
      <c r="T16" s="132"/>
      <c r="U16" s="132"/>
      <c r="V16" s="78"/>
      <c r="W16" s="116">
        <f t="shared" si="0"/>
        <v>3</v>
      </c>
      <c r="X16" s="117">
        <f t="shared" si="1"/>
        <v>1.5</v>
      </c>
      <c r="Y16" s="70">
        <f t="shared" si="2"/>
        <v>4.5</v>
      </c>
      <c r="Z16" s="71">
        <f>'[1]cálculos teóricos'!I70</f>
        <v>12.303692931143221</v>
      </c>
      <c r="AA16" s="72">
        <f t="shared" si="3"/>
        <v>36.574384822377667</v>
      </c>
      <c r="AB16" s="3"/>
    </row>
    <row r="17" spans="1:28" ht="18" customHeight="1">
      <c r="A17" s="80">
        <v>9</v>
      </c>
      <c r="B17" s="76">
        <v>22.6</v>
      </c>
      <c r="C17" s="119">
        <f>'[1]cálculos teóricos'!K71</f>
        <v>1.0230027862825883</v>
      </c>
      <c r="D17" s="59">
        <f t="shared" si="4"/>
        <v>336.70612436339837</v>
      </c>
      <c r="E17" s="60">
        <f t="shared" si="5"/>
        <v>14.097212014846761</v>
      </c>
      <c r="F17" s="61">
        <f t="shared" si="6"/>
        <v>17.950597498558455</v>
      </c>
      <c r="G17" s="62">
        <f>'[1]cálculos teóricos'!T71</f>
        <v>36.855104012919824</v>
      </c>
      <c r="H17" s="75">
        <f t="shared" si="7"/>
        <v>48.705865793421019</v>
      </c>
      <c r="I17" s="135"/>
      <c r="J17" s="134"/>
      <c r="K17" s="132">
        <v>0.5</v>
      </c>
      <c r="L17" s="132">
        <v>0.5</v>
      </c>
      <c r="M17" s="132">
        <v>0.9</v>
      </c>
      <c r="N17" s="134">
        <v>0.5</v>
      </c>
      <c r="O17" s="136">
        <v>1</v>
      </c>
      <c r="P17" s="134">
        <v>1</v>
      </c>
      <c r="Q17" s="132">
        <v>1</v>
      </c>
      <c r="R17" s="132">
        <v>0.7</v>
      </c>
      <c r="S17" s="132"/>
      <c r="T17" s="132"/>
      <c r="U17" s="132"/>
      <c r="V17" s="78"/>
      <c r="W17" s="116">
        <f t="shared" si="0"/>
        <v>3.4</v>
      </c>
      <c r="X17" s="117">
        <f t="shared" si="1"/>
        <v>2.7</v>
      </c>
      <c r="Y17" s="70">
        <f t="shared" si="2"/>
        <v>6.1</v>
      </c>
      <c r="Z17" s="71">
        <f>'[1]cálculos teóricos'!I71</f>
        <v>12.280718213023388</v>
      </c>
      <c r="AA17" s="72">
        <f t="shared" si="3"/>
        <v>49.671362001703663</v>
      </c>
      <c r="AB17" s="3"/>
    </row>
    <row r="18" spans="1:28" ht="18" customHeight="1">
      <c r="A18" s="80">
        <v>10</v>
      </c>
      <c r="B18" s="76">
        <v>25</v>
      </c>
      <c r="C18" s="119">
        <f>'[1]cálculos teóricos'!K72</f>
        <v>1.0223270760420269</v>
      </c>
      <c r="D18" s="59">
        <f t="shared" si="4"/>
        <v>372.21650929845146</v>
      </c>
      <c r="E18" s="60">
        <f t="shared" si="5"/>
        <v>15.583960811307566</v>
      </c>
      <c r="F18" s="61">
        <f t="shared" si="6"/>
        <v>19.809033494134457</v>
      </c>
      <c r="G18" s="62">
        <f>'[1]cálculos teóricos'!T72</f>
        <v>36.687003088236096</v>
      </c>
      <c r="H18" s="75">
        <f t="shared" si="7"/>
        <v>53.994689744735084</v>
      </c>
      <c r="I18" s="135"/>
      <c r="J18" s="134"/>
      <c r="K18" s="132"/>
      <c r="L18" s="132">
        <v>0.6</v>
      </c>
      <c r="M18" s="132">
        <v>0.9</v>
      </c>
      <c r="N18" s="132">
        <v>0.7</v>
      </c>
      <c r="O18" s="136">
        <v>0.6</v>
      </c>
      <c r="P18" s="134">
        <v>1</v>
      </c>
      <c r="Q18" s="132">
        <v>0.8</v>
      </c>
      <c r="R18" s="132">
        <v>1</v>
      </c>
      <c r="S18" s="132">
        <v>1</v>
      </c>
      <c r="T18" s="132">
        <v>0.5</v>
      </c>
      <c r="U18" s="132"/>
      <c r="V18" s="78"/>
      <c r="W18" s="116">
        <f t="shared" si="0"/>
        <v>2.8000000000000003</v>
      </c>
      <c r="X18" s="117">
        <f t="shared" si="1"/>
        <v>4.3</v>
      </c>
      <c r="Y18" s="70">
        <f t="shared" si="2"/>
        <v>7.1</v>
      </c>
      <c r="Z18" s="71">
        <f>'[1]cálculos teóricos'!I72</f>
        <v>12.25771418597288</v>
      </c>
      <c r="AA18" s="72">
        <f t="shared" si="3"/>
        <v>57.92270803739973</v>
      </c>
      <c r="AB18" s="3"/>
    </row>
    <row r="19" spans="1:28" ht="18" customHeight="1">
      <c r="A19" s="80">
        <v>11</v>
      </c>
      <c r="B19" s="76">
        <v>27.4</v>
      </c>
      <c r="C19" s="119">
        <f>'[1]cálculos teóricos'!K73</f>
        <v>1.0216397119518779</v>
      </c>
      <c r="D19" s="59">
        <f t="shared" si="4"/>
        <v>407.67500849330611</v>
      </c>
      <c r="E19" s="60">
        <f t="shared" si="5"/>
        <v>17.068537255597739</v>
      </c>
      <c r="F19" s="61">
        <f t="shared" si="6"/>
        <v>21.664754049497173</v>
      </c>
      <c r="G19" s="62">
        <f>'[1]cálculos teóricos'!T73</f>
        <v>36.517195479618834</v>
      </c>
      <c r="H19" s="75">
        <f t="shared" si="7"/>
        <v>59.327540806327306</v>
      </c>
      <c r="I19" s="135"/>
      <c r="J19" s="134">
        <v>0.5</v>
      </c>
      <c r="K19" s="132">
        <v>1</v>
      </c>
      <c r="L19" s="132">
        <v>1</v>
      </c>
      <c r="M19" s="132">
        <v>0.9</v>
      </c>
      <c r="N19" s="132">
        <v>1</v>
      </c>
      <c r="O19" s="136">
        <v>1</v>
      </c>
      <c r="P19" s="134">
        <v>1</v>
      </c>
      <c r="Q19" s="132">
        <v>0.3</v>
      </c>
      <c r="R19" s="132">
        <v>0.2</v>
      </c>
      <c r="S19" s="132">
        <v>0.4</v>
      </c>
      <c r="T19" s="132">
        <v>0.3</v>
      </c>
      <c r="U19" s="132">
        <v>0.2</v>
      </c>
      <c r="V19" s="78"/>
      <c r="W19" s="116">
        <f t="shared" si="0"/>
        <v>5.4</v>
      </c>
      <c r="X19" s="117">
        <f t="shared" si="1"/>
        <v>2.4</v>
      </c>
      <c r="Y19" s="70">
        <f t="shared" si="2"/>
        <v>7.8000000000000007</v>
      </c>
      <c r="Z19" s="71">
        <f>'[1]cálculos teóricos'!I73</f>
        <v>12.234684956940034</v>
      </c>
      <c r="AA19" s="72">
        <f t="shared" si="3"/>
        <v>63.753174090318595</v>
      </c>
      <c r="AB19" s="3"/>
    </row>
    <row r="20" spans="1:28" ht="18" customHeight="1">
      <c r="A20" s="80">
        <v>12</v>
      </c>
      <c r="B20" s="76">
        <v>28.4</v>
      </c>
      <c r="C20" s="119">
        <f>'[1]cálculos teóricos'!K74</f>
        <v>1.0209408165705878</v>
      </c>
      <c r="D20" s="59">
        <f t="shared" si="4"/>
        <v>422.26459293237144</v>
      </c>
      <c r="E20" s="60">
        <f t="shared" si="5"/>
        <v>17.679373976892528</v>
      </c>
      <c r="F20" s="61">
        <f t="shared" si="6"/>
        <v>22.428299951115658</v>
      </c>
      <c r="G20" s="62">
        <f>'[1]cálculos teóricos'!T74</f>
        <v>36.345730544465582</v>
      </c>
      <c r="H20" s="75">
        <f t="shared" si="7"/>
        <v>61.708210607231415</v>
      </c>
      <c r="I20" s="135"/>
      <c r="J20" s="134">
        <v>0.4</v>
      </c>
      <c r="K20" s="132">
        <v>1</v>
      </c>
      <c r="L20" s="132">
        <v>1</v>
      </c>
      <c r="M20" s="132">
        <v>1</v>
      </c>
      <c r="N20" s="132">
        <v>1</v>
      </c>
      <c r="O20" s="136">
        <v>1</v>
      </c>
      <c r="P20" s="134">
        <v>0.9</v>
      </c>
      <c r="Q20" s="132">
        <v>0.7</v>
      </c>
      <c r="R20" s="132">
        <v>0.3</v>
      </c>
      <c r="S20" s="132"/>
      <c r="T20" s="132"/>
      <c r="U20" s="132"/>
      <c r="V20" s="78"/>
      <c r="W20" s="116">
        <f t="shared" si="0"/>
        <v>5.4</v>
      </c>
      <c r="X20" s="117">
        <f t="shared" si="1"/>
        <v>1.9000000000000001</v>
      </c>
      <c r="Y20" s="70">
        <f t="shared" si="2"/>
        <v>7.3000000000000007</v>
      </c>
      <c r="Z20" s="71">
        <f>'[1]cálculos teóricos'!I74</f>
        <v>12.211634537553067</v>
      </c>
      <c r="AA20" s="72">
        <f t="shared" si="3"/>
        <v>59.779057238825253</v>
      </c>
      <c r="AB20" s="3"/>
    </row>
    <row r="21" spans="1:28" ht="18" customHeight="1">
      <c r="A21" s="80">
        <v>13</v>
      </c>
      <c r="B21" s="76">
        <v>27.8</v>
      </c>
      <c r="C21" s="119">
        <f>'[1]cálculos teóricos'!K75</f>
        <v>1.0202305219666468</v>
      </c>
      <c r="D21" s="59">
        <f t="shared" si="4"/>
        <v>413.055936345183</v>
      </c>
      <c r="E21" s="60">
        <f t="shared" si="5"/>
        <v>17.293825942900121</v>
      </c>
      <c r="F21" s="61">
        <f t="shared" si="6"/>
        <v>21.946364908625149</v>
      </c>
      <c r="G21" s="62">
        <f>'[1]cálculos teóricos'!T75</f>
        <v>36.172658892075304</v>
      </c>
      <c r="H21" s="75">
        <f t="shared" si="7"/>
        <v>60.671141079521675</v>
      </c>
      <c r="I21" s="135"/>
      <c r="J21" s="134">
        <v>0.2</v>
      </c>
      <c r="K21" s="132">
        <v>1</v>
      </c>
      <c r="L21" s="132">
        <v>1</v>
      </c>
      <c r="M21" s="132">
        <v>1</v>
      </c>
      <c r="N21" s="132">
        <v>1</v>
      </c>
      <c r="O21" s="136">
        <v>1</v>
      </c>
      <c r="P21" s="134">
        <v>1</v>
      </c>
      <c r="Q21" s="132">
        <v>1</v>
      </c>
      <c r="R21" s="132">
        <v>0.2</v>
      </c>
      <c r="S21" s="132"/>
      <c r="T21" s="132"/>
      <c r="U21" s="132"/>
      <c r="V21" s="78"/>
      <c r="W21" s="116">
        <f t="shared" si="0"/>
        <v>5.2</v>
      </c>
      <c r="X21" s="117">
        <f t="shared" si="1"/>
        <v>2.2000000000000002</v>
      </c>
      <c r="Y21" s="70">
        <f t="shared" si="2"/>
        <v>7.4</v>
      </c>
      <c r="Z21" s="71">
        <f>'[1]cálculos teóricos'!I75</f>
        <v>12.1885668500564</v>
      </c>
      <c r="AA21" s="72">
        <f t="shared" si="3"/>
        <v>60.712634151616918</v>
      </c>
      <c r="AB21" s="3"/>
    </row>
    <row r="22" spans="1:28" ht="18" customHeight="1">
      <c r="A22" s="80">
        <v>14</v>
      </c>
      <c r="B22" s="76">
        <v>29.2</v>
      </c>
      <c r="C22" s="119">
        <f>'[1]cálculos teóricos'!K76</f>
        <v>1.0195089696819948</v>
      </c>
      <c r="D22" s="59">
        <f t="shared" si="4"/>
        <v>433.55047129494096</v>
      </c>
      <c r="E22" s="60">
        <f t="shared" si="5"/>
        <v>18.151891132176587</v>
      </c>
      <c r="F22" s="61">
        <f t="shared" si="6"/>
        <v>23.018946395220738</v>
      </c>
      <c r="G22" s="62">
        <f>'[1]cálculos teóricos'!T76</f>
        <v>35.998032352371688</v>
      </c>
      <c r="H22" s="75">
        <f t="shared" si="7"/>
        <v>63.945012799301409</v>
      </c>
      <c r="I22" s="135"/>
      <c r="J22" s="134"/>
      <c r="K22" s="132">
        <v>0.9</v>
      </c>
      <c r="L22" s="132">
        <v>1</v>
      </c>
      <c r="M22" s="132">
        <v>1</v>
      </c>
      <c r="N22" s="132">
        <v>1</v>
      </c>
      <c r="O22" s="136">
        <v>1</v>
      </c>
      <c r="P22" s="134">
        <v>1</v>
      </c>
      <c r="Q22" s="132">
        <v>1</v>
      </c>
      <c r="R22" s="132">
        <v>1</v>
      </c>
      <c r="S22" s="132">
        <v>1</v>
      </c>
      <c r="T22" s="132">
        <v>1</v>
      </c>
      <c r="U22" s="132">
        <v>0.4</v>
      </c>
      <c r="V22" s="78"/>
      <c r="W22" s="116">
        <f t="shared" si="0"/>
        <v>4.9000000000000004</v>
      </c>
      <c r="X22" s="117">
        <f t="shared" si="1"/>
        <v>5.4</v>
      </c>
      <c r="Y22" s="70">
        <f t="shared" si="2"/>
        <v>10.3</v>
      </c>
      <c r="Z22" s="71">
        <f>'[1]cálculos teóricos'!I76</f>
        <v>12.165485733334812</v>
      </c>
      <c r="AA22" s="72">
        <f t="shared" si="3"/>
        <v>84.665752159626734</v>
      </c>
      <c r="AB22" s="3"/>
    </row>
    <row r="23" spans="1:28" ht="18" customHeight="1">
      <c r="A23" s="137">
        <v>15</v>
      </c>
      <c r="B23" s="76">
        <v>31</v>
      </c>
      <c r="C23" s="119">
        <f>'[1]cálculos teóricos'!K77</f>
        <v>1.0187763106930137</v>
      </c>
      <c r="D23" s="59">
        <f t="shared" si="4"/>
        <v>459.94541282410881</v>
      </c>
      <c r="E23" s="60">
        <f t="shared" si="5"/>
        <v>19.256994544119788</v>
      </c>
      <c r="F23" s="61">
        <f t="shared" si="6"/>
        <v>24.400325660149733</v>
      </c>
      <c r="G23" s="62">
        <f>'[1]cálculos teóricos'!T77</f>
        <v>35.82190394426226</v>
      </c>
      <c r="H23" s="75">
        <f t="shared" si="7"/>
        <v>68.115658224408904</v>
      </c>
      <c r="I23" s="135"/>
      <c r="J23" s="134">
        <v>0.6</v>
      </c>
      <c r="K23" s="132">
        <v>1</v>
      </c>
      <c r="L23" s="132">
        <v>1</v>
      </c>
      <c r="M23" s="132">
        <v>1</v>
      </c>
      <c r="N23" s="132">
        <v>1</v>
      </c>
      <c r="O23" s="136">
        <v>1</v>
      </c>
      <c r="P23" s="134">
        <v>1</v>
      </c>
      <c r="Q23" s="132">
        <v>0.9</v>
      </c>
      <c r="R23" s="132">
        <v>1</v>
      </c>
      <c r="S23" s="132">
        <v>1</v>
      </c>
      <c r="T23" s="132">
        <v>0.7</v>
      </c>
      <c r="U23" s="132"/>
      <c r="V23" s="78"/>
      <c r="W23" s="116">
        <f t="shared" si="0"/>
        <v>5.6</v>
      </c>
      <c r="X23" s="117">
        <f t="shared" si="1"/>
        <v>4.5999999999999996</v>
      </c>
      <c r="Y23" s="70">
        <f t="shared" si="2"/>
        <v>10.199999999999999</v>
      </c>
      <c r="Z23" s="71">
        <f>'[1]cálculos teóricos'!I77</f>
        <v>12.142394949013712</v>
      </c>
      <c r="AA23" s="72">
        <f t="shared" si="3"/>
        <v>84.003197415584907</v>
      </c>
      <c r="AB23" s="3"/>
    </row>
    <row r="24" spans="1:28" ht="18" customHeight="1">
      <c r="A24" s="80">
        <v>16</v>
      </c>
      <c r="B24" s="76">
        <v>28.4</v>
      </c>
      <c r="C24" s="119">
        <f>'[1]cálculos teóricos'!K78</f>
        <v>1.018032705369482</v>
      </c>
      <c r="D24" s="59">
        <f t="shared" si="4"/>
        <v>421.06178825201602</v>
      </c>
      <c r="E24" s="60">
        <f t="shared" si="5"/>
        <v>17.629014950535407</v>
      </c>
      <c r="F24" s="61">
        <f t="shared" si="6"/>
        <v>22.365351168169259</v>
      </c>
      <c r="G24" s="62">
        <f>'[1]cálculos teóricos'!T78</f>
        <v>35.644327843718507</v>
      </c>
      <c r="H24" s="75">
        <f t="shared" si="7"/>
        <v>62.745891201061426</v>
      </c>
      <c r="I24" s="135"/>
      <c r="J24" s="138"/>
      <c r="K24" s="139">
        <v>0.4</v>
      </c>
      <c r="L24" s="139">
        <v>1</v>
      </c>
      <c r="M24" s="139">
        <v>1</v>
      </c>
      <c r="N24" s="139">
        <v>1</v>
      </c>
      <c r="O24" s="140">
        <v>1</v>
      </c>
      <c r="P24" s="138">
        <v>1</v>
      </c>
      <c r="Q24" s="139">
        <v>1</v>
      </c>
      <c r="R24" s="139">
        <v>1</v>
      </c>
      <c r="S24" s="139">
        <v>1</v>
      </c>
      <c r="T24" s="139">
        <v>1</v>
      </c>
      <c r="U24" s="132"/>
      <c r="V24" s="78"/>
      <c r="W24" s="116">
        <f t="shared" si="0"/>
        <v>4.4000000000000004</v>
      </c>
      <c r="X24" s="117">
        <f t="shared" si="1"/>
        <v>5</v>
      </c>
      <c r="Y24" s="70">
        <f t="shared" si="2"/>
        <v>9.4</v>
      </c>
      <c r="Z24" s="71">
        <f>'[1]cálculos teóricos'!I78</f>
        <v>12.119298187624363</v>
      </c>
      <c r="AA24" s="72">
        <f t="shared" si="3"/>
        <v>77.562247041654786</v>
      </c>
      <c r="AB24" s="3"/>
    </row>
    <row r="25" spans="1:28" ht="18" customHeight="1">
      <c r="A25" s="80">
        <v>17</v>
      </c>
      <c r="B25" s="76">
        <v>28.3</v>
      </c>
      <c r="C25" s="119">
        <f>'[1]cálculos teóricos'!K79</f>
        <v>1.0172783234318352</v>
      </c>
      <c r="D25" s="59">
        <f t="shared" si="4"/>
        <v>419.26826003137677</v>
      </c>
      <c r="E25" s="60">
        <f t="shared" si="5"/>
        <v>17.55392351099368</v>
      </c>
      <c r="F25" s="61">
        <f t="shared" si="6"/>
        <v>22.271486868742105</v>
      </c>
      <c r="G25" s="62">
        <f>'[1]cálculos teóricos'!T79</f>
        <v>35.465359351656311</v>
      </c>
      <c r="H25" s="75">
        <f t="shared" si="7"/>
        <v>62.797860435895956</v>
      </c>
      <c r="I25" s="135"/>
      <c r="J25" s="134">
        <v>0.4</v>
      </c>
      <c r="K25" s="132">
        <v>1</v>
      </c>
      <c r="L25" s="132">
        <v>1</v>
      </c>
      <c r="M25" s="132">
        <v>1</v>
      </c>
      <c r="N25" s="132">
        <v>1</v>
      </c>
      <c r="O25" s="136">
        <v>1</v>
      </c>
      <c r="P25" s="134">
        <v>1</v>
      </c>
      <c r="Q25" s="132">
        <v>1</v>
      </c>
      <c r="R25" s="132">
        <v>0.9</v>
      </c>
      <c r="S25" s="132">
        <v>0.4</v>
      </c>
      <c r="T25" s="132"/>
      <c r="U25" s="132"/>
      <c r="V25" s="78"/>
      <c r="W25" s="116">
        <f t="shared" si="0"/>
        <v>5.4</v>
      </c>
      <c r="X25" s="117">
        <f t="shared" si="1"/>
        <v>3.3</v>
      </c>
      <c r="Y25" s="70">
        <f t="shared" si="2"/>
        <v>8.6999999999999993</v>
      </c>
      <c r="Z25" s="71">
        <f>'[1]cálculos teóricos'!I79</f>
        <v>12.096199074823641</v>
      </c>
      <c r="AA25" s="72">
        <f t="shared" si="3"/>
        <v>71.92341946577001</v>
      </c>
      <c r="AB25" s="3"/>
    </row>
    <row r="26" spans="1:28" ht="18" customHeight="1">
      <c r="A26" s="80">
        <v>18</v>
      </c>
      <c r="B26" s="76">
        <v>18</v>
      </c>
      <c r="C26" s="119">
        <f>'[1]cálculos teóricos'!K80</f>
        <v>1.016513343907022</v>
      </c>
      <c r="D26" s="59">
        <f t="shared" si="4"/>
        <v>266.47185751181848</v>
      </c>
      <c r="E26" s="60">
        <f t="shared" si="5"/>
        <v>11.156643730304815</v>
      </c>
      <c r="F26" s="61">
        <f t="shared" si="6"/>
        <v>14.27488714288102</v>
      </c>
      <c r="G26" s="62">
        <f>'[1]cálculos teóricos'!T80</f>
        <v>35.285054861688451</v>
      </c>
      <c r="H26" s="75">
        <f t="shared" si="7"/>
        <v>40.455901794219123</v>
      </c>
      <c r="I26" s="135"/>
      <c r="J26" s="134">
        <v>0.1</v>
      </c>
      <c r="K26" s="132">
        <v>1</v>
      </c>
      <c r="L26" s="132">
        <v>1</v>
      </c>
      <c r="M26" s="132">
        <v>0.8</v>
      </c>
      <c r="N26" s="132">
        <v>0.7</v>
      </c>
      <c r="O26" s="136"/>
      <c r="P26" s="134"/>
      <c r="Q26" s="132">
        <v>0.1</v>
      </c>
      <c r="R26" s="132">
        <v>0.1</v>
      </c>
      <c r="S26" s="132"/>
      <c r="T26" s="132"/>
      <c r="U26" s="132"/>
      <c r="V26" s="78"/>
      <c r="W26" s="116">
        <f t="shared" si="0"/>
        <v>3.6000000000000005</v>
      </c>
      <c r="X26" s="117">
        <f t="shared" si="1"/>
        <v>0.2</v>
      </c>
      <c r="Y26" s="70">
        <f t="shared" si="2"/>
        <v>3.8000000000000007</v>
      </c>
      <c r="Z26" s="71">
        <f>'[1]cálculos teóricos'!I80</f>
        <v>12.073101177658092</v>
      </c>
      <c r="AA26" s="72">
        <f t="shared" si="3"/>
        <v>31.474928803148774</v>
      </c>
      <c r="AB26" s="3"/>
    </row>
    <row r="27" spans="1:28" ht="18" customHeight="1">
      <c r="A27" s="80">
        <v>19</v>
      </c>
      <c r="B27" s="76">
        <v>23.6</v>
      </c>
      <c r="C27" s="119">
        <f>'[1]cálculos teóricos'!K81</f>
        <v>1.0157379550832217</v>
      </c>
      <c r="D27" s="59">
        <f t="shared" si="4"/>
        <v>349.10771312896622</v>
      </c>
      <c r="E27" s="60">
        <f t="shared" si="5"/>
        <v>14.616441733283557</v>
      </c>
      <c r="F27" s="61">
        <f t="shared" si="6"/>
        <v>18.599634646604446</v>
      </c>
      <c r="G27" s="62">
        <f>'[1]cálculos teóricos'!T81</f>
        <v>35.103471827814516</v>
      </c>
      <c r="H27" s="75">
        <f t="shared" si="7"/>
        <v>52.985171204253589</v>
      </c>
      <c r="I27" s="135"/>
      <c r="J27" s="134"/>
      <c r="K27" s="132">
        <v>0.4</v>
      </c>
      <c r="L27" s="132">
        <v>1</v>
      </c>
      <c r="M27" s="132">
        <v>1</v>
      </c>
      <c r="N27" s="141">
        <v>1</v>
      </c>
      <c r="O27" s="136">
        <v>1</v>
      </c>
      <c r="P27" s="134">
        <v>1</v>
      </c>
      <c r="Q27" s="132">
        <v>1</v>
      </c>
      <c r="R27" s="132">
        <v>0.4</v>
      </c>
      <c r="S27" s="132"/>
      <c r="T27" s="132"/>
      <c r="U27" s="132"/>
      <c r="V27" s="78"/>
      <c r="W27" s="116">
        <f t="shared" si="0"/>
        <v>4.4000000000000004</v>
      </c>
      <c r="X27" s="117">
        <f t="shared" si="1"/>
        <v>2.4</v>
      </c>
      <c r="Y27" s="70">
        <f t="shared" si="2"/>
        <v>6.8000000000000007</v>
      </c>
      <c r="Z27" s="71">
        <f>'[1]cálculos teóricos'!I81</f>
        <v>12.050008010862662</v>
      </c>
      <c r="AA27" s="72">
        <f t="shared" si="3"/>
        <v>56.431497753943717</v>
      </c>
      <c r="AB27" s="3"/>
    </row>
    <row r="28" spans="1:28" ht="18" customHeight="1">
      <c r="A28" s="80">
        <v>20</v>
      </c>
      <c r="B28" s="76">
        <v>25.6</v>
      </c>
      <c r="C28" s="119">
        <f>'[1]cálculos teóricos'!K82</f>
        <v>1.0149523544636272</v>
      </c>
      <c r="D28" s="59">
        <f t="shared" si="4"/>
        <v>378.40022052431453</v>
      </c>
      <c r="E28" s="60">
        <f t="shared" si="5"/>
        <v>15.842860432912</v>
      </c>
      <c r="F28" s="61">
        <f t="shared" si="6"/>
        <v>20.132658021139999</v>
      </c>
      <c r="G28" s="62">
        <f>'[1]cálculos teóricos'!T82</f>
        <v>34.920668732105412</v>
      </c>
      <c r="H28" s="75">
        <f t="shared" si="7"/>
        <v>57.65255578462164</v>
      </c>
      <c r="I28" s="135"/>
      <c r="J28" s="134"/>
      <c r="K28" s="132">
        <v>0.5</v>
      </c>
      <c r="L28" s="132">
        <v>1</v>
      </c>
      <c r="M28" s="132">
        <v>1</v>
      </c>
      <c r="N28" s="132">
        <v>1</v>
      </c>
      <c r="O28" s="136">
        <v>1</v>
      </c>
      <c r="P28" s="134">
        <v>1</v>
      </c>
      <c r="Q28" s="132">
        <v>0.8</v>
      </c>
      <c r="R28" s="132">
        <v>0.8</v>
      </c>
      <c r="S28" s="132">
        <v>0.2</v>
      </c>
      <c r="T28" s="132"/>
      <c r="U28" s="132"/>
      <c r="V28" s="78"/>
      <c r="W28" s="116">
        <f t="shared" si="0"/>
        <v>4.5</v>
      </c>
      <c r="X28" s="117">
        <f t="shared" si="1"/>
        <v>2.8000000000000003</v>
      </c>
      <c r="Y28" s="70">
        <f t="shared" si="2"/>
        <v>7.3000000000000007</v>
      </c>
      <c r="Z28" s="71">
        <f>'[1]cálculos teóricos'!I82</f>
        <v>12.026923043184821</v>
      </c>
      <c r="AA28" s="72">
        <f t="shared" si="3"/>
        <v>60.697153991823541</v>
      </c>
      <c r="AB28" s="3"/>
    </row>
    <row r="29" spans="1:28" ht="18" customHeight="1">
      <c r="A29" s="80">
        <v>21</v>
      </c>
      <c r="B29" s="76">
        <v>26.9</v>
      </c>
      <c r="C29" s="119">
        <f>'[1]cálculos teóricos'!K83</f>
        <v>1.0141567487194687</v>
      </c>
      <c r="D29" s="59">
        <f t="shared" si="4"/>
        <v>397.3041716883539</v>
      </c>
      <c r="E29" s="60">
        <f t="shared" si="5"/>
        <v>16.634331060248002</v>
      </c>
      <c r="F29" s="61">
        <f t="shared" si="6"/>
        <v>21.121996305310002</v>
      </c>
      <c r="G29" s="62">
        <f>'[1]cálculos teóricos'!T83</f>
        <v>34.736705052432924</v>
      </c>
      <c r="H29" s="75">
        <f t="shared" si="7"/>
        <v>60.805986847133738</v>
      </c>
      <c r="I29" s="135"/>
      <c r="J29" s="134"/>
      <c r="K29" s="132">
        <v>1</v>
      </c>
      <c r="L29" s="132">
        <v>1</v>
      </c>
      <c r="M29" s="132">
        <v>1</v>
      </c>
      <c r="N29" s="132">
        <v>1</v>
      </c>
      <c r="O29" s="136">
        <v>1</v>
      </c>
      <c r="P29" s="134">
        <v>1</v>
      </c>
      <c r="Q29" s="132">
        <v>1</v>
      </c>
      <c r="R29" s="132">
        <v>1</v>
      </c>
      <c r="S29" s="132">
        <v>1</v>
      </c>
      <c r="T29" s="132">
        <v>0.7</v>
      </c>
      <c r="U29" s="132"/>
      <c r="V29" s="78"/>
      <c r="W29" s="116">
        <f t="shared" si="0"/>
        <v>5</v>
      </c>
      <c r="X29" s="117">
        <f t="shared" si="1"/>
        <v>4.7</v>
      </c>
      <c r="Y29" s="70">
        <f t="shared" si="2"/>
        <v>9.6999999999999993</v>
      </c>
      <c r="Z29" s="71">
        <f>'[1]cálculos teóricos'!I83</f>
        <v>12.003849703725068</v>
      </c>
      <c r="AA29" s="72">
        <f t="shared" si="3"/>
        <v>80.807409617848407</v>
      </c>
      <c r="AB29" s="3"/>
    </row>
    <row r="30" spans="1:28" ht="18" customHeight="1">
      <c r="A30" s="85">
        <v>22</v>
      </c>
      <c r="B30" s="76">
        <v>8.5</v>
      </c>
      <c r="C30" s="119">
        <f>'[1]cálculos teóricos'!K84</f>
        <v>1.0133513536423984</v>
      </c>
      <c r="D30" s="59">
        <f t="shared" si="4"/>
        <v>125.44251072955409</v>
      </c>
      <c r="E30" s="60">
        <f t="shared" si="5"/>
        <v>5.2520270392249699</v>
      </c>
      <c r="F30" s="61">
        <f t="shared" si="6"/>
        <v>6.8941162790312127</v>
      </c>
      <c r="G30" s="62">
        <f>'[1]cálculos teóricos'!T84</f>
        <v>34.551641230287451</v>
      </c>
      <c r="H30" s="75">
        <f t="shared" si="7"/>
        <v>19.953079024761156</v>
      </c>
      <c r="I30" s="135"/>
      <c r="J30" s="134"/>
      <c r="K30" s="132"/>
      <c r="L30" s="132"/>
      <c r="M30" s="132"/>
      <c r="N30" s="132"/>
      <c r="O30" s="136"/>
      <c r="P30" s="134"/>
      <c r="Q30" s="132"/>
      <c r="R30" s="132"/>
      <c r="S30" s="132"/>
      <c r="T30" s="132"/>
      <c r="U30" s="132"/>
      <c r="V30" s="78"/>
      <c r="W30" s="116">
        <f t="shared" si="0"/>
        <v>0</v>
      </c>
      <c r="X30" s="117">
        <f t="shared" si="1"/>
        <v>0</v>
      </c>
      <c r="Y30" s="70">
        <f t="shared" si="2"/>
        <v>0</v>
      </c>
      <c r="Z30" s="71">
        <f>'[1]cálculos teóricos'!I84</f>
        <v>11.980791388285134</v>
      </c>
      <c r="AA30" s="72">
        <f t="shared" si="3"/>
        <v>0</v>
      </c>
      <c r="AB30" s="3"/>
    </row>
    <row r="31" spans="1:28" ht="18" customHeight="1">
      <c r="A31" s="85">
        <v>23</v>
      </c>
      <c r="B31" s="76">
        <v>8.5</v>
      </c>
      <c r="C31" s="119">
        <f>'[1]cálculos teóricos'!K85</f>
        <v>1.0125363940963121</v>
      </c>
      <c r="D31" s="59">
        <f t="shared" si="4"/>
        <v>125.34162709108396</v>
      </c>
      <c r="E31" s="60">
        <f t="shared" si="5"/>
        <v>5.2478032430495034</v>
      </c>
      <c r="F31" s="61">
        <f t="shared" si="6"/>
        <v>6.8888365338118795</v>
      </c>
      <c r="G31" s="62">
        <f>'[1]cálculos teóricos'!T85</f>
        <v>34.36553863871918</v>
      </c>
      <c r="H31" s="75">
        <f t="shared" si="7"/>
        <v>20.045769124218882</v>
      </c>
      <c r="I31" s="135"/>
      <c r="J31" s="134"/>
      <c r="K31" s="132"/>
      <c r="L31" s="132"/>
      <c r="M31" s="132"/>
      <c r="N31" s="132"/>
      <c r="O31" s="136"/>
      <c r="P31" s="134"/>
      <c r="Q31" s="132"/>
      <c r="R31" s="132"/>
      <c r="S31" s="132"/>
      <c r="T31" s="132"/>
      <c r="U31" s="142"/>
      <c r="V31" s="78"/>
      <c r="W31" s="116">
        <f t="shared" si="0"/>
        <v>0</v>
      </c>
      <c r="X31" s="117">
        <f t="shared" si="1"/>
        <v>0</v>
      </c>
      <c r="Y31" s="70">
        <f t="shared" si="2"/>
        <v>0</v>
      </c>
      <c r="Z31" s="71">
        <f>'[1]cálculos teóricos'!I85</f>
        <v>11.957751465715512</v>
      </c>
      <c r="AA31" s="72">
        <f t="shared" si="3"/>
        <v>0</v>
      </c>
      <c r="AB31" s="3"/>
    </row>
    <row r="32" spans="1:28" ht="18" customHeight="1">
      <c r="A32" s="85">
        <v>24</v>
      </c>
      <c r="B32" s="76">
        <v>14</v>
      </c>
      <c r="C32" s="119">
        <f>'[1]cálculos teóricos'!K86</f>
        <v>1.011712103968645</v>
      </c>
      <c r="D32" s="59">
        <f t="shared" si="4"/>
        <v>206.27696916606308</v>
      </c>
      <c r="E32" s="60">
        <f t="shared" si="5"/>
        <v>8.6364041450447289</v>
      </c>
      <c r="F32" s="61">
        <f t="shared" si="6"/>
        <v>11.124587661305913</v>
      </c>
      <c r="G32" s="62">
        <f>'[1]cálculos teóricos'!T86</f>
        <v>34.1784595504311</v>
      </c>
      <c r="H32" s="75">
        <f t="shared" si="7"/>
        <v>32.548534391643166</v>
      </c>
      <c r="I32" s="135"/>
      <c r="J32" s="134"/>
      <c r="K32" s="132"/>
      <c r="L32" s="132">
        <v>0.4</v>
      </c>
      <c r="M32" s="132">
        <v>0.6</v>
      </c>
      <c r="N32" s="132"/>
      <c r="O32" s="136"/>
      <c r="P32" s="134">
        <v>0.2</v>
      </c>
      <c r="Q32" s="132"/>
      <c r="R32" s="132"/>
      <c r="S32" s="132"/>
      <c r="T32" s="132"/>
      <c r="U32" s="132"/>
      <c r="V32" s="78"/>
      <c r="W32" s="116">
        <f t="shared" si="0"/>
        <v>1</v>
      </c>
      <c r="X32" s="117">
        <f t="shared" si="1"/>
        <v>0.2</v>
      </c>
      <c r="Y32" s="70">
        <f t="shared" si="2"/>
        <v>1.2</v>
      </c>
      <c r="Z32" s="71">
        <f>'[1]cálculos teóricos'!I86</f>
        <v>11.934733284254012</v>
      </c>
      <c r="AA32" s="72">
        <f t="shared" si="3"/>
        <v>10.054686363064432</v>
      </c>
      <c r="AB32" s="3"/>
    </row>
    <row r="33" spans="1:28" ht="18" customHeight="1">
      <c r="A33" s="85">
        <v>25</v>
      </c>
      <c r="B33" s="76">
        <v>22.9</v>
      </c>
      <c r="C33" s="119">
        <f>'[1]cálculos teóricos'!K87</f>
        <v>1.0108787261211196</v>
      </c>
      <c r="D33" s="59">
        <f t="shared" si="4"/>
        <v>337.13225030810679</v>
      </c>
      <c r="E33" s="60">
        <f t="shared" si="5"/>
        <v>14.115053055899814</v>
      </c>
      <c r="F33" s="61">
        <f t="shared" si="6"/>
        <v>17.97289879987477</v>
      </c>
      <c r="G33" s="62">
        <f>'[1]cálculos teóricos'!T87</f>
        <v>33.990467106044939</v>
      </c>
      <c r="H33" s="75">
        <f t="shared" si="7"/>
        <v>52.876292472834038</v>
      </c>
      <c r="I33" s="135"/>
      <c r="J33" s="134"/>
      <c r="K33" s="132">
        <v>1</v>
      </c>
      <c r="L33" s="132">
        <v>1</v>
      </c>
      <c r="M33" s="132">
        <v>0.8</v>
      </c>
      <c r="N33" s="132">
        <v>0.4</v>
      </c>
      <c r="O33" s="136">
        <v>0.7</v>
      </c>
      <c r="P33" s="134">
        <v>0.5</v>
      </c>
      <c r="Q33" s="132">
        <v>0.9</v>
      </c>
      <c r="R33" s="132">
        <v>0.8</v>
      </c>
      <c r="S33" s="132">
        <v>0.9</v>
      </c>
      <c r="T33" s="132"/>
      <c r="U33" s="132"/>
      <c r="V33" s="78"/>
      <c r="W33" s="116">
        <f t="shared" si="0"/>
        <v>3.8999999999999995</v>
      </c>
      <c r="X33" s="117">
        <f t="shared" si="1"/>
        <v>3.1</v>
      </c>
      <c r="Y33" s="70">
        <f t="shared" si="2"/>
        <v>7</v>
      </c>
      <c r="Z33" s="71">
        <f>'[1]cálculos teóricos'!I87</f>
        <v>11.911740177847248</v>
      </c>
      <c r="AA33" s="72">
        <f t="shared" si="3"/>
        <v>58.765553105483171</v>
      </c>
      <c r="AB33" s="3"/>
    </row>
    <row r="34" spans="1:28" ht="18" customHeight="1">
      <c r="A34" s="85">
        <v>26</v>
      </c>
      <c r="B34" s="76">
        <v>19.5</v>
      </c>
      <c r="C34" s="119">
        <f>'[1]cálculos teóricos'!K88</f>
        <v>1.010036512339894</v>
      </c>
      <c r="D34" s="59">
        <f t="shared" si="4"/>
        <v>286.83850157550989</v>
      </c>
      <c r="E34" s="60">
        <f t="shared" si="5"/>
        <v>12.009354383963448</v>
      </c>
      <c r="F34" s="61">
        <f t="shared" si="6"/>
        <v>15.340775459954308</v>
      </c>
      <c r="G34" s="62">
        <f>'[1]cálculos teóricos'!T88</f>
        <v>33.801625282554461</v>
      </c>
      <c r="H34" s="75">
        <f t="shared" si="7"/>
        <v>45.384727307393469</v>
      </c>
      <c r="I34" s="135"/>
      <c r="J34" s="134">
        <v>0.1</v>
      </c>
      <c r="K34" s="132">
        <v>0.6</v>
      </c>
      <c r="L34" s="132">
        <v>1</v>
      </c>
      <c r="M34" s="132">
        <v>1</v>
      </c>
      <c r="N34" s="132">
        <v>0.9</v>
      </c>
      <c r="O34" s="136">
        <v>0.8</v>
      </c>
      <c r="P34" s="134"/>
      <c r="Q34" s="132"/>
      <c r="R34" s="132"/>
      <c r="S34" s="132"/>
      <c r="T34" s="132"/>
      <c r="U34" s="132"/>
      <c r="V34" s="78"/>
      <c r="W34" s="116">
        <f t="shared" si="0"/>
        <v>4.4000000000000004</v>
      </c>
      <c r="X34" s="117">
        <f t="shared" si="1"/>
        <v>0</v>
      </c>
      <c r="Y34" s="70">
        <f t="shared" si="2"/>
        <v>4.4000000000000004</v>
      </c>
      <c r="Z34" s="71">
        <f>'[1]cálculos teóricos'!I88</f>
        <v>11.888775472447131</v>
      </c>
      <c r="AA34" s="72">
        <f t="shared" si="3"/>
        <v>37.009698855842927</v>
      </c>
      <c r="AB34" s="3"/>
    </row>
    <row r="35" spans="1:28" ht="18" customHeight="1">
      <c r="A35" s="85">
        <v>27</v>
      </c>
      <c r="B35" s="76">
        <v>7.8</v>
      </c>
      <c r="C35" s="119">
        <f>'[1]cálculos teóricos'!K89</f>
        <v>1.0091857232849979</v>
      </c>
      <c r="D35" s="59">
        <f t="shared" si="4"/>
        <v>114.63875499227632</v>
      </c>
      <c r="E35" s="60">
        <f t="shared" si="5"/>
        <v>4.7996953940166245</v>
      </c>
      <c r="F35" s="61">
        <f t="shared" si="6"/>
        <v>6.3287017225207807</v>
      </c>
      <c r="G35" s="62">
        <f>'[1]cálculos teóricos'!T89</f>
        <v>33.61199886197312</v>
      </c>
      <c r="H35" s="75">
        <f t="shared" si="7"/>
        <v>18.828697895978888</v>
      </c>
      <c r="I35" s="135"/>
      <c r="J35" s="134"/>
      <c r="K35" s="132"/>
      <c r="L35" s="132"/>
      <c r="M35" s="132"/>
      <c r="N35" s="132"/>
      <c r="O35" s="136"/>
      <c r="P35" s="134"/>
      <c r="Q35" s="132"/>
      <c r="R35" s="132"/>
      <c r="S35" s="132"/>
      <c r="T35" s="132"/>
      <c r="U35" s="132"/>
      <c r="V35" s="78"/>
      <c r="W35" s="116">
        <f t="shared" si="0"/>
        <v>0</v>
      </c>
      <c r="X35" s="117">
        <f t="shared" si="1"/>
        <v>0</v>
      </c>
      <c r="Y35" s="70">
        <f t="shared" si="2"/>
        <v>0</v>
      </c>
      <c r="Z35" s="71">
        <f>'[1]cálculos teóricos'!I89</f>
        <v>11.865842492274421</v>
      </c>
      <c r="AA35" s="72">
        <f t="shared" si="3"/>
        <v>0</v>
      </c>
      <c r="AB35" s="3"/>
    </row>
    <row r="36" spans="1:28" ht="18" customHeight="1">
      <c r="A36" s="85">
        <v>28</v>
      </c>
      <c r="B36" s="76">
        <v>7.8</v>
      </c>
      <c r="C36" s="119">
        <f>'[1]cálculos teóricos'!K90</f>
        <v>1.0083266284389116</v>
      </c>
      <c r="D36" s="59">
        <f t="shared" si="4"/>
        <v>114.54116585550669</v>
      </c>
      <c r="E36" s="60">
        <f t="shared" si="5"/>
        <v>4.7956095320383536</v>
      </c>
      <c r="F36" s="61">
        <f t="shared" si="6"/>
        <v>6.3235943950479427</v>
      </c>
      <c r="G36" s="62">
        <f>'[1]cálculos teóricos'!T90</f>
        <v>33.421653400177576</v>
      </c>
      <c r="H36" s="75">
        <f t="shared" si="7"/>
        <v>18.920650990337734</v>
      </c>
      <c r="I36" s="135"/>
      <c r="J36" s="134"/>
      <c r="K36" s="132"/>
      <c r="L36" s="132"/>
      <c r="M36" s="132"/>
      <c r="N36" s="132"/>
      <c r="O36" s="136"/>
      <c r="P36" s="134"/>
      <c r="Q36" s="132"/>
      <c r="R36" s="132"/>
      <c r="S36" s="132"/>
      <c r="T36" s="132"/>
      <c r="U36" s="132"/>
      <c r="V36" s="78"/>
      <c r="W36" s="116">
        <f t="shared" si="0"/>
        <v>0</v>
      </c>
      <c r="X36" s="117">
        <f t="shared" si="1"/>
        <v>0</v>
      </c>
      <c r="Y36" s="70">
        <f t="shared" si="2"/>
        <v>0</v>
      </c>
      <c r="Z36" s="71">
        <f>'[1]cálculos teóricos'!I90</f>
        <v>11.842944566041432</v>
      </c>
      <c r="AA36" s="72">
        <f t="shared" si="3"/>
        <v>0</v>
      </c>
      <c r="AB36" s="3"/>
    </row>
    <row r="37" spans="1:28" ht="18" customHeight="1">
      <c r="A37" s="85">
        <v>29</v>
      </c>
      <c r="B37" s="76">
        <v>14.2</v>
      </c>
      <c r="C37" s="119">
        <f>'[1]cálculos teóricos'!K91</f>
        <v>1.0074595060540923</v>
      </c>
      <c r="D37" s="59">
        <f t="shared" si="4"/>
        <v>208.34433853314658</v>
      </c>
      <c r="E37" s="60">
        <f t="shared" si="5"/>
        <v>8.7229607657057802</v>
      </c>
      <c r="F37" s="61">
        <f t="shared" si="6"/>
        <v>11.232783437132227</v>
      </c>
      <c r="G37" s="62">
        <f>'[1]cálculos teóricos'!T91</f>
        <v>33.230655195941289</v>
      </c>
      <c r="H37" s="75">
        <f t="shared" si="7"/>
        <v>33.8024735621348</v>
      </c>
      <c r="I37" s="135"/>
      <c r="J37" s="134"/>
      <c r="K37" s="132"/>
      <c r="L37" s="132"/>
      <c r="M37" s="132">
        <v>0.2</v>
      </c>
      <c r="N37" s="132"/>
      <c r="O37" s="136"/>
      <c r="P37" s="134"/>
      <c r="Q37" s="132">
        <v>0.1</v>
      </c>
      <c r="R37" s="132"/>
      <c r="S37" s="132">
        <v>0.2</v>
      </c>
      <c r="T37" s="132">
        <v>0.2</v>
      </c>
      <c r="U37" s="132"/>
      <c r="V37" s="78"/>
      <c r="W37" s="116">
        <f t="shared" si="0"/>
        <v>0.2</v>
      </c>
      <c r="X37" s="117">
        <f t="shared" si="1"/>
        <v>0.5</v>
      </c>
      <c r="Y37" s="70">
        <f t="shared" si="2"/>
        <v>0.7</v>
      </c>
      <c r="Z37" s="71">
        <f>'[1]cálculos teóricos'!I91</f>
        <v>11.820085033125993</v>
      </c>
      <c r="AA37" s="72">
        <f t="shared" si="3"/>
        <v>5.9221232168655122</v>
      </c>
      <c r="AB37" s="3"/>
    </row>
    <row r="38" spans="1:28" ht="18" customHeight="1">
      <c r="A38" s="80">
        <v>30</v>
      </c>
      <c r="B38" s="76">
        <v>23.9</v>
      </c>
      <c r="C38" s="119">
        <f>'[1]cálculos teóricos'!K92</f>
        <v>1.0065846430992109</v>
      </c>
      <c r="D38" s="59">
        <f t="shared" si="4"/>
        <v>350.35955124963107</v>
      </c>
      <c r="E38" s="60">
        <f t="shared" si="5"/>
        <v>14.668853691719553</v>
      </c>
      <c r="F38" s="61">
        <f t="shared" si="6"/>
        <v>18.665149594649442</v>
      </c>
      <c r="G38" s="62">
        <f>'[1]cálculos teóricos'!T92</f>
        <v>33.03907126014785</v>
      </c>
      <c r="H38" s="75">
        <f t="shared" si="7"/>
        <v>56.494171545201951</v>
      </c>
      <c r="I38" s="135"/>
      <c r="J38" s="143"/>
      <c r="K38" s="144"/>
      <c r="L38" s="144"/>
      <c r="M38" s="144"/>
      <c r="N38" s="144">
        <v>1</v>
      </c>
      <c r="O38" s="145">
        <v>1</v>
      </c>
      <c r="P38" s="143">
        <v>0.9</v>
      </c>
      <c r="Q38" s="144">
        <v>0.9</v>
      </c>
      <c r="R38" s="144">
        <v>0.6</v>
      </c>
      <c r="S38" s="144">
        <v>1</v>
      </c>
      <c r="T38" s="144">
        <v>0.8</v>
      </c>
      <c r="U38" s="144">
        <v>0.4</v>
      </c>
      <c r="V38" s="78"/>
      <c r="W38" s="116">
        <f t="shared" si="0"/>
        <v>2</v>
      </c>
      <c r="X38" s="117">
        <f t="shared" si="1"/>
        <v>4.6000000000000005</v>
      </c>
      <c r="Y38" s="126">
        <f t="shared" si="2"/>
        <v>6.6000000000000005</v>
      </c>
      <c r="Z38" s="71">
        <f>'[1]cálculos teóricos'!I92</f>
        <v>11.797267249688634</v>
      </c>
      <c r="AA38" s="72">
        <f t="shared" si="3"/>
        <v>55.945159673942236</v>
      </c>
      <c r="AB38" s="3"/>
    </row>
    <row r="39" spans="1:28" ht="18" customHeight="1" thickBot="1">
      <c r="A39" s="86">
        <v>31</v>
      </c>
      <c r="B39" s="87">
        <v>27.7</v>
      </c>
      <c r="C39" s="88">
        <f>'[1]cálculos teóricos'!K93</f>
        <v>1.0057023352038255</v>
      </c>
      <c r="D39" s="89">
        <f t="shared" si="4"/>
        <v>405.7093230571233</v>
      </c>
      <c r="E39" s="90">
        <f t="shared" si="5"/>
        <v>16.986237937755639</v>
      </c>
      <c r="F39" s="91">
        <f t="shared" si="6"/>
        <v>21.561879902194548</v>
      </c>
      <c r="G39" s="92">
        <f>'[1]cálculos teóricos'!T93</f>
        <v>32.846969285166935</v>
      </c>
      <c r="H39" s="93">
        <f t="shared" si="7"/>
        <v>65.643437953137067</v>
      </c>
      <c r="I39" s="146"/>
      <c r="J39" s="147">
        <v>0.3</v>
      </c>
      <c r="K39" s="148">
        <v>1</v>
      </c>
      <c r="L39" s="148">
        <v>1</v>
      </c>
      <c r="M39" s="148">
        <v>1</v>
      </c>
      <c r="N39" s="148">
        <v>1</v>
      </c>
      <c r="O39" s="149">
        <v>1</v>
      </c>
      <c r="P39" s="147">
        <v>1</v>
      </c>
      <c r="Q39" s="148">
        <v>1</v>
      </c>
      <c r="R39" s="148">
        <v>1</v>
      </c>
      <c r="S39" s="148">
        <v>1</v>
      </c>
      <c r="T39" s="148">
        <v>0.9</v>
      </c>
      <c r="U39" s="148"/>
      <c r="V39" s="95"/>
      <c r="W39" s="116">
        <f t="shared" si="0"/>
        <v>5.3</v>
      </c>
      <c r="X39" s="117">
        <f t="shared" si="1"/>
        <v>4.9000000000000004</v>
      </c>
      <c r="Y39" s="99">
        <f t="shared" si="2"/>
        <v>10.199999999999999</v>
      </c>
      <c r="Z39" s="100">
        <f>'[1]cálculos teóricos'!I93</f>
        <v>11.774494594725017</v>
      </c>
      <c r="AA39" s="101">
        <f t="shared" si="3"/>
        <v>86.627922055946314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</v>
      </c>
      <c r="J40" s="103">
        <f t="shared" ref="J40:V40" si="8">SUM(J9:J39)</f>
        <v>5.6999999999999984</v>
      </c>
      <c r="K40" s="103">
        <f t="shared" si="8"/>
        <v>17.400000000000002</v>
      </c>
      <c r="L40" s="103">
        <f t="shared" si="8"/>
        <v>20.9</v>
      </c>
      <c r="M40" s="103">
        <f t="shared" si="8"/>
        <v>22.8</v>
      </c>
      <c r="N40" s="103">
        <f t="shared" si="8"/>
        <v>21.999999999999996</v>
      </c>
      <c r="O40" s="103">
        <f t="shared" si="8"/>
        <v>22</v>
      </c>
      <c r="P40" s="103">
        <f t="shared" si="8"/>
        <v>22.2</v>
      </c>
      <c r="Q40" s="103">
        <f t="shared" si="8"/>
        <v>20.399999999999999</v>
      </c>
      <c r="R40" s="103">
        <f t="shared" si="8"/>
        <v>15.900000000000002</v>
      </c>
      <c r="S40" s="103">
        <f t="shared" si="8"/>
        <v>13.2</v>
      </c>
      <c r="T40" s="103">
        <f t="shared" si="8"/>
        <v>8.5</v>
      </c>
      <c r="U40" s="103">
        <f t="shared" si="8"/>
        <v>1.2000000000000002</v>
      </c>
      <c r="V40" s="103">
        <f t="shared" si="8"/>
        <v>0</v>
      </c>
      <c r="W40" s="104">
        <f t="shared" si="0"/>
        <v>110.8</v>
      </c>
      <c r="X40" s="104">
        <f>SUM(P40:V40)</f>
        <v>81.400000000000006</v>
      </c>
      <c r="Y40" s="104">
        <f>W40+X40</f>
        <v>192.2</v>
      </c>
      <c r="Z40" s="104">
        <f>SUM(Z9:Z39)</f>
        <v>375.69446616071616</v>
      </c>
      <c r="AA40" s="104">
        <f>SUM(AA9:AA39)</f>
        <v>1579.3457651427384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 t="s">
        <v>64</v>
      </c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6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65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50"/>
      <c r="E3" s="151"/>
      <c r="F3" s="150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63</v>
      </c>
      <c r="W3" s="3"/>
      <c r="X3" s="152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0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57">
        <v>27.7</v>
      </c>
      <c r="C9" s="74">
        <f>'[1]cálculos teóricos'!K94</f>
        <v>1.0048128866011701</v>
      </c>
      <c r="D9" s="59">
        <f>IF(B9&gt;0,B9*C9*14.25*1.022,-999)</f>
        <v>405.3505115302471</v>
      </c>
      <c r="E9" s="60">
        <f>IF(B9&gt;0,D9*4.1868/100,-999)</f>
        <v>16.971215216748384</v>
      </c>
      <c r="F9" s="61">
        <f>IF(B9&gt;0,(7.86+1.25*D9)*4.1868/100,-999)</f>
        <v>21.543101500935482</v>
      </c>
      <c r="G9" s="62">
        <f>'[1]cálculos teóricos'!T94</f>
        <v>32.65441761437198</v>
      </c>
      <c r="H9" s="63">
        <f>IF(B9&gt;0,100*F9/G9,-999)</f>
        <v>65.973007864803733</v>
      </c>
      <c r="I9" s="64"/>
      <c r="J9" s="64">
        <v>0.2</v>
      </c>
      <c r="K9" s="64">
        <v>0.3</v>
      </c>
      <c r="L9" s="64"/>
      <c r="M9" s="64">
        <v>0.9</v>
      </c>
      <c r="N9" s="153">
        <v>1</v>
      </c>
      <c r="O9" s="65">
        <v>1</v>
      </c>
      <c r="P9" s="64">
        <v>1</v>
      </c>
      <c r="Q9" s="64">
        <v>1</v>
      </c>
      <c r="R9" s="64">
        <v>1</v>
      </c>
      <c r="S9" s="64">
        <v>0.5</v>
      </c>
      <c r="T9" s="64">
        <v>0.2</v>
      </c>
      <c r="U9" s="64"/>
      <c r="V9" s="65"/>
      <c r="W9" s="116">
        <f t="shared" ref="W9:W38" si="0">SUM(I9:O9)</f>
        <v>3.4</v>
      </c>
      <c r="X9" s="117">
        <f>SUM(P9:V9)</f>
        <v>3.7</v>
      </c>
      <c r="Y9" s="118">
        <f>W9+X9</f>
        <v>7.1</v>
      </c>
      <c r="Z9" s="71">
        <f>'[1]cálculos teóricos'!I94</f>
        <v>11.751770476045246</v>
      </c>
      <c r="AA9" s="72">
        <f>100*Y9/Z9</f>
        <v>60.416428439209277</v>
      </c>
      <c r="AB9" s="3"/>
    </row>
    <row r="10" spans="1:28" ht="18" customHeight="1">
      <c r="A10" s="111">
        <v>2</v>
      </c>
      <c r="B10" s="57">
        <v>15.9</v>
      </c>
      <c r="C10" s="74">
        <f>'[1]cálculos teóricos'!K95</f>
        <v>1.0039166100687127</v>
      </c>
      <c r="D10" s="59">
        <f>IF(B10&gt;0,B10*C10*14.25*1.022,-999)</f>
        <v>232.46657885669759</v>
      </c>
      <c r="E10" s="60">
        <f>IF(B10&gt;0,D10*4.1868/100,-999)</f>
        <v>9.7329107235722141</v>
      </c>
      <c r="F10" s="61">
        <f>IF(B10&gt;0,(7.86+1.25*D10)*4.1868/100,-999)</f>
        <v>12.495220884465269</v>
      </c>
      <c r="G10" s="62">
        <f>'[1]cálculos teóricos'!T95</f>
        <v>32.461485211773081</v>
      </c>
      <c r="H10" s="75">
        <f>IF(B10&gt;0,100*F10/G10,-999)</f>
        <v>38.492449753757789</v>
      </c>
      <c r="I10" s="57"/>
      <c r="J10" s="82"/>
      <c r="K10" s="82"/>
      <c r="L10" s="82">
        <v>0.4</v>
      </c>
      <c r="M10" s="82">
        <v>0.9</v>
      </c>
      <c r="N10" s="82">
        <v>0.1</v>
      </c>
      <c r="O10" s="77">
        <v>0.9</v>
      </c>
      <c r="P10" s="79">
        <v>0.4</v>
      </c>
      <c r="Q10" s="79"/>
      <c r="R10" s="76"/>
      <c r="S10" s="76"/>
      <c r="T10" s="76">
        <v>0.3</v>
      </c>
      <c r="U10" s="76"/>
      <c r="V10" s="78"/>
      <c r="W10" s="116">
        <f t="shared" si="0"/>
        <v>2.3000000000000003</v>
      </c>
      <c r="X10" s="117">
        <f t="shared" ref="X10:X38" si="1">SUM(P10:V10)</f>
        <v>0.7</v>
      </c>
      <c r="Y10" s="70">
        <f t="shared" ref="Y10:Y38" si="2">W10+X10</f>
        <v>3</v>
      </c>
      <c r="Z10" s="71">
        <f>'[1]cálculos teóricos'!I95</f>
        <v>11.729098336171763</v>
      </c>
      <c r="AA10" s="72">
        <f t="shared" ref="AA10:AA38" si="3">100*Y10/Z10</f>
        <v>25.577413659737157</v>
      </c>
      <c r="AB10" s="3"/>
    </row>
    <row r="11" spans="1:28" ht="18" customHeight="1">
      <c r="A11" s="111">
        <v>3</v>
      </c>
      <c r="B11" s="57">
        <v>27.2</v>
      </c>
      <c r="C11" s="74">
        <f>'[1]cálculos teóricos'!K96</f>
        <v>1.003013826866084</v>
      </c>
      <c r="D11" s="59">
        <f t="shared" ref="D11:D38" si="4">IF(B11&gt;0,B11*C11*14.25*1.022,-999)</f>
        <v>397.32105879774656</v>
      </c>
      <c r="E11" s="60">
        <f t="shared" ref="E11:E38" si="5">IF(B11&gt;0,D11*4.1868/100,-999)</f>
        <v>16.635038089744054</v>
      </c>
      <c r="F11" s="61">
        <f t="shared" ref="F11:F38" si="6">IF(B11&gt;0,(7.86+1.25*D11)*4.1868/100,-999)</f>
        <v>21.122880092180068</v>
      </c>
      <c r="G11" s="62">
        <f>'[1]cálculos teóricos'!T96</f>
        <v>32.268241631734995</v>
      </c>
      <c r="H11" s="75">
        <f t="shared" ref="H11:H38" si="7">IF(B11&gt;0,100*F11/G11,-999)</f>
        <v>65.460276185009874</v>
      </c>
      <c r="I11" s="57"/>
      <c r="J11" s="82"/>
      <c r="K11" s="82">
        <v>0.5</v>
      </c>
      <c r="L11" s="82">
        <v>0.7</v>
      </c>
      <c r="M11" s="82">
        <v>0.9</v>
      </c>
      <c r="N11" s="82">
        <v>1</v>
      </c>
      <c r="O11" s="77">
        <v>1</v>
      </c>
      <c r="P11" s="79">
        <v>1</v>
      </c>
      <c r="Q11" s="79">
        <v>1</v>
      </c>
      <c r="R11" s="76">
        <v>1</v>
      </c>
      <c r="S11" s="76">
        <v>1</v>
      </c>
      <c r="T11" s="76">
        <v>0.8</v>
      </c>
      <c r="U11" s="76"/>
      <c r="V11" s="78"/>
      <c r="W11" s="116">
        <f t="shared" si="0"/>
        <v>4.0999999999999996</v>
      </c>
      <c r="X11" s="117">
        <f t="shared" si="1"/>
        <v>4.8</v>
      </c>
      <c r="Y11" s="70">
        <f t="shared" si="2"/>
        <v>8.8999999999999986</v>
      </c>
      <c r="Z11" s="71">
        <f>'[1]cálculos teóricos'!I96</f>
        <v>11.706481658147139</v>
      </c>
      <c r="AA11" s="72">
        <f t="shared" si="3"/>
        <v>76.026258442954415</v>
      </c>
      <c r="AB11" s="3"/>
    </row>
    <row r="12" spans="1:28" ht="18" customHeight="1">
      <c r="A12" s="111">
        <v>4</v>
      </c>
      <c r="B12" s="57">
        <v>25.2</v>
      </c>
      <c r="C12" s="74">
        <f>'[1]cálculos teóricos'!K97</f>
        <v>1.0021048666699626</v>
      </c>
      <c r="D12" s="59">
        <f t="shared" si="4"/>
        <v>367.77268648884956</v>
      </c>
      <c r="E12" s="60">
        <f t="shared" si="5"/>
        <v>15.397906837915151</v>
      </c>
      <c r="F12" s="61">
        <f t="shared" si="6"/>
        <v>19.576466027393941</v>
      </c>
      <c r="G12" s="62">
        <f>'[1]cálculos teóricos'!T97</f>
        <v>32.074756988746543</v>
      </c>
      <c r="H12" s="75">
        <f t="shared" si="7"/>
        <v>61.033871696245001</v>
      </c>
      <c r="I12" s="57"/>
      <c r="J12" s="82"/>
      <c r="K12" s="82">
        <v>1</v>
      </c>
      <c r="L12" s="82">
        <v>1</v>
      </c>
      <c r="M12" s="82">
        <v>1</v>
      </c>
      <c r="N12" s="82">
        <v>1</v>
      </c>
      <c r="O12" s="77">
        <v>1</v>
      </c>
      <c r="P12" s="79">
        <v>1</v>
      </c>
      <c r="Q12" s="79">
        <v>1</v>
      </c>
      <c r="R12" s="76">
        <v>0.7</v>
      </c>
      <c r="S12" s="76">
        <v>0.5</v>
      </c>
      <c r="T12" s="76">
        <v>0.9</v>
      </c>
      <c r="U12" s="76"/>
      <c r="V12" s="78"/>
      <c r="W12" s="116">
        <f t="shared" si="0"/>
        <v>5</v>
      </c>
      <c r="X12" s="117">
        <f t="shared" si="1"/>
        <v>4.1000000000000005</v>
      </c>
      <c r="Y12" s="70">
        <f t="shared" si="2"/>
        <v>9.1000000000000014</v>
      </c>
      <c r="Z12" s="71">
        <f>'[1]cálculos teóricos'!I97</f>
        <v>11.683923971242983</v>
      </c>
      <c r="AA12" s="72">
        <f t="shared" si="3"/>
        <v>77.884793006162525</v>
      </c>
      <c r="AB12" s="3"/>
    </row>
    <row r="13" spans="1:28" ht="18" customHeight="1">
      <c r="A13" s="73">
        <v>5</v>
      </c>
      <c r="B13" s="57">
        <v>27.8</v>
      </c>
      <c r="C13" s="74">
        <f>'[1]cálculos teóricos'!K98</f>
        <v>1.0011900675054584</v>
      </c>
      <c r="D13" s="59">
        <f t="shared" si="4"/>
        <v>405.34711703761769</v>
      </c>
      <c r="E13" s="60">
        <f t="shared" si="5"/>
        <v>16.971073096130976</v>
      </c>
      <c r="F13" s="61">
        <f t="shared" si="6"/>
        <v>21.542923850163721</v>
      </c>
      <c r="G13" s="62">
        <f>'[1]cálculos teóricos'!T98</f>
        <v>31.881101927204124</v>
      </c>
      <c r="H13" s="75">
        <f t="shared" si="7"/>
        <v>67.572707804623136</v>
      </c>
      <c r="I13" s="57"/>
      <c r="J13" s="82"/>
      <c r="K13" s="82">
        <v>0.2</v>
      </c>
      <c r="L13" s="82">
        <v>1</v>
      </c>
      <c r="M13" s="82">
        <v>1</v>
      </c>
      <c r="N13" s="82">
        <v>1</v>
      </c>
      <c r="O13" s="77">
        <v>1</v>
      </c>
      <c r="P13" s="79">
        <v>1</v>
      </c>
      <c r="Q13" s="79">
        <v>1</v>
      </c>
      <c r="R13" s="76">
        <v>1</v>
      </c>
      <c r="S13" s="76">
        <v>1</v>
      </c>
      <c r="T13" s="76">
        <v>1</v>
      </c>
      <c r="U13" s="76">
        <v>0.2</v>
      </c>
      <c r="V13" s="78"/>
      <c r="W13" s="116">
        <f t="shared" si="0"/>
        <v>4.2</v>
      </c>
      <c r="X13" s="117">
        <f t="shared" si="1"/>
        <v>5.2</v>
      </c>
      <c r="Y13" s="70">
        <f t="shared" si="2"/>
        <v>9.4</v>
      </c>
      <c r="Z13" s="71">
        <f>'[1]cálculos teóricos'!I98</f>
        <v>11.661428856560702</v>
      </c>
      <c r="AA13" s="72">
        <f t="shared" si="3"/>
        <v>80.607617776715017</v>
      </c>
      <c r="AB13" s="3"/>
    </row>
    <row r="14" spans="1:28" ht="18" customHeight="1">
      <c r="A14" s="73">
        <v>6</v>
      </c>
      <c r="B14" s="57">
        <v>19.7</v>
      </c>
      <c r="C14" s="74">
        <f>'[1]cálculos teóricos'!K99</f>
        <v>1.0002697756735133</v>
      </c>
      <c r="D14" s="59">
        <f t="shared" si="4"/>
        <v>286.97834889701784</v>
      </c>
      <c r="E14" s="60">
        <f t="shared" si="5"/>
        <v>12.015209511620341</v>
      </c>
      <c r="F14" s="61">
        <f t="shared" si="6"/>
        <v>15.348094369525429</v>
      </c>
      <c r="G14" s="62">
        <f>'[1]cálculos teóricos'!T99</f>
        <v>31.687347591169619</v>
      </c>
      <c r="H14" s="75">
        <f t="shared" si="7"/>
        <v>48.436033736703529</v>
      </c>
      <c r="I14" s="57"/>
      <c r="J14" s="82">
        <v>0.4</v>
      </c>
      <c r="K14" s="82">
        <v>0.4</v>
      </c>
      <c r="L14" s="82">
        <v>0.5</v>
      </c>
      <c r="M14" s="82">
        <v>0.8</v>
      </c>
      <c r="N14" s="82"/>
      <c r="O14" s="77">
        <v>0.9</v>
      </c>
      <c r="P14" s="79">
        <v>1</v>
      </c>
      <c r="Q14" s="79">
        <v>1</v>
      </c>
      <c r="R14" s="76">
        <v>0.5</v>
      </c>
      <c r="S14" s="76"/>
      <c r="T14" s="76"/>
      <c r="U14" s="76"/>
      <c r="V14" s="78"/>
      <c r="W14" s="116">
        <f t="shared" si="0"/>
        <v>3</v>
      </c>
      <c r="X14" s="117">
        <f t="shared" si="1"/>
        <v>2.5</v>
      </c>
      <c r="Y14" s="70">
        <f t="shared" si="2"/>
        <v>5.5</v>
      </c>
      <c r="Z14" s="71">
        <f>'[1]cálculos teóricos'!I99</f>
        <v>11.638999952514853</v>
      </c>
      <c r="AA14" s="72">
        <f t="shared" si="3"/>
        <v>47.254919000249743</v>
      </c>
      <c r="AB14" s="3"/>
    </row>
    <row r="15" spans="1:28" ht="18" customHeight="1">
      <c r="A15" s="73">
        <v>7</v>
      </c>
      <c r="B15" s="57">
        <v>20.9</v>
      </c>
      <c r="C15" s="74">
        <f>'[1]cálculos teóricos'!K100</f>
        <v>0.99934434567381758</v>
      </c>
      <c r="D15" s="59">
        <f t="shared" si="4"/>
        <v>304.17758380481143</v>
      </c>
      <c r="E15" s="60">
        <f t="shared" si="5"/>
        <v>12.735307078739845</v>
      </c>
      <c r="F15" s="61">
        <f t="shared" si="6"/>
        <v>16.248216328424807</v>
      </c>
      <c r="G15" s="62">
        <f>'[1]cálculos teóricos'!T100</f>
        <v>31.493565594061103</v>
      </c>
      <c r="H15" s="75">
        <f t="shared" si="7"/>
        <v>51.592177709750381</v>
      </c>
      <c r="I15" s="57"/>
      <c r="J15" s="82"/>
      <c r="K15" s="82"/>
      <c r="L15" s="82"/>
      <c r="M15" s="82">
        <v>0.4</v>
      </c>
      <c r="N15" s="82">
        <v>1</v>
      </c>
      <c r="O15" s="77">
        <v>1</v>
      </c>
      <c r="P15" s="79">
        <v>1</v>
      </c>
      <c r="Q15" s="79">
        <v>0.4</v>
      </c>
      <c r="R15" s="76">
        <v>1</v>
      </c>
      <c r="S15" s="76">
        <v>0.4</v>
      </c>
      <c r="T15" s="76"/>
      <c r="U15" s="76"/>
      <c r="V15" s="78"/>
      <c r="W15" s="116">
        <f t="shared" si="0"/>
        <v>2.4</v>
      </c>
      <c r="X15" s="117">
        <f t="shared" si="1"/>
        <v>2.8</v>
      </c>
      <c r="Y15" s="70">
        <f t="shared" si="2"/>
        <v>5.1999999999999993</v>
      </c>
      <c r="Z15" s="71">
        <f>'[1]cálculos teóricos'!I100</f>
        <v>11.616640960189132</v>
      </c>
      <c r="AA15" s="72">
        <f t="shared" si="3"/>
        <v>44.763370218815275</v>
      </c>
      <c r="AB15" s="3"/>
    </row>
    <row r="16" spans="1:28" ht="18" customHeight="1">
      <c r="A16" s="80">
        <v>8</v>
      </c>
      <c r="B16" s="76">
        <v>12.7</v>
      </c>
      <c r="C16" s="74">
        <f>'[1]cálculos teóricos'!K101</f>
        <v>0.99841414012270413</v>
      </c>
      <c r="D16" s="59">
        <f t="shared" si="4"/>
        <v>184.66313498689789</v>
      </c>
      <c r="E16" s="60">
        <f t="shared" si="5"/>
        <v>7.731476135631441</v>
      </c>
      <c r="F16" s="61">
        <f t="shared" si="6"/>
        <v>9.9934276495393011</v>
      </c>
      <c r="G16" s="62">
        <f>'[1]cálculos teóricos'!T101</f>
        <v>31.299827988232465</v>
      </c>
      <c r="H16" s="75">
        <f t="shared" si="7"/>
        <v>31.928059327662908</v>
      </c>
      <c r="I16" s="79"/>
      <c r="J16" s="81"/>
      <c r="K16" s="81"/>
      <c r="L16" s="81"/>
      <c r="M16" s="81">
        <v>0.3</v>
      </c>
      <c r="N16" s="82">
        <v>0.6</v>
      </c>
      <c r="O16" s="78">
        <v>0.1</v>
      </c>
      <c r="P16" s="82"/>
      <c r="Q16" s="82"/>
      <c r="R16" s="81"/>
      <c r="S16" s="81"/>
      <c r="T16" s="81"/>
      <c r="U16" s="81"/>
      <c r="V16" s="78"/>
      <c r="W16" s="116">
        <f t="shared" si="0"/>
        <v>0.99999999999999989</v>
      </c>
      <c r="X16" s="117">
        <f t="shared" si="1"/>
        <v>0</v>
      </c>
      <c r="Y16" s="70">
        <f t="shared" si="2"/>
        <v>0.99999999999999989</v>
      </c>
      <c r="Z16" s="71">
        <f>'[1]cálculos teóricos'!I101</f>
        <v>11.594355648555021</v>
      </c>
      <c r="AA16" s="72">
        <f t="shared" si="3"/>
        <v>8.6248863698141562</v>
      </c>
      <c r="AB16" s="3"/>
    </row>
    <row r="17" spans="1:28" ht="18" customHeight="1">
      <c r="A17" s="80">
        <v>9</v>
      </c>
      <c r="B17" s="76">
        <v>19</v>
      </c>
      <c r="C17" s="74">
        <f>'[1]cálculos teóricos'!K102</f>
        <v>0.99747952966548015</v>
      </c>
      <c r="D17" s="59">
        <f t="shared" si="4"/>
        <v>276.00906947538118</v>
      </c>
      <c r="E17" s="60">
        <f t="shared" si="5"/>
        <v>11.55594772079526</v>
      </c>
      <c r="F17" s="61">
        <f t="shared" si="6"/>
        <v>14.774017130994075</v>
      </c>
      <c r="G17" s="62">
        <f>'[1]cálculos teóricos'!T102</f>
        <v>31.106207234397623</v>
      </c>
      <c r="H17" s="75">
        <f t="shared" si="7"/>
        <v>47.495398650391515</v>
      </c>
      <c r="I17" s="79"/>
      <c r="J17" s="81"/>
      <c r="K17" s="81">
        <v>0.5</v>
      </c>
      <c r="L17" s="81">
        <v>0.6</v>
      </c>
      <c r="M17" s="81">
        <v>0.5</v>
      </c>
      <c r="N17" s="82">
        <v>0.3</v>
      </c>
      <c r="O17" s="78">
        <v>0.5</v>
      </c>
      <c r="P17" s="82">
        <v>0.7</v>
      </c>
      <c r="Q17" s="82">
        <v>1</v>
      </c>
      <c r="R17" s="81">
        <v>1</v>
      </c>
      <c r="S17" s="81">
        <v>0.7</v>
      </c>
      <c r="T17" s="81">
        <v>0.1</v>
      </c>
      <c r="U17" s="81"/>
      <c r="V17" s="78"/>
      <c r="W17" s="116">
        <f t="shared" si="0"/>
        <v>2.4000000000000004</v>
      </c>
      <c r="X17" s="117">
        <f t="shared" si="1"/>
        <v>3.5000000000000004</v>
      </c>
      <c r="Y17" s="70">
        <f t="shared" si="2"/>
        <v>5.9</v>
      </c>
      <c r="Z17" s="71">
        <f>'[1]cálculos teóricos'!I102</f>
        <v>11.5721478595426</v>
      </c>
      <c r="AA17" s="72">
        <f t="shared" si="3"/>
        <v>50.984485089643535</v>
      </c>
      <c r="AB17" s="3"/>
    </row>
    <row r="18" spans="1:28" ht="18" customHeight="1">
      <c r="A18" s="80">
        <v>10</v>
      </c>
      <c r="B18" s="76">
        <v>18.399999999999999</v>
      </c>
      <c r="C18" s="74">
        <f>'[1]cálculos teóricos'!K103</f>
        <v>0.99654089288262615</v>
      </c>
      <c r="D18" s="59">
        <f t="shared" si="4"/>
        <v>267.0414686003287</v>
      </c>
      <c r="E18" s="60">
        <f t="shared" si="5"/>
        <v>11.180492207358562</v>
      </c>
      <c r="F18" s="61">
        <f t="shared" si="6"/>
        <v>14.304697739198202</v>
      </c>
      <c r="G18" s="62">
        <f>'[1]cálculos teóricos'!T103</f>
        <v>30.912776170854091</v>
      </c>
      <c r="H18" s="75">
        <f t="shared" si="7"/>
        <v>46.27438719879612</v>
      </c>
      <c r="I18" s="79"/>
      <c r="J18" s="81"/>
      <c r="K18" s="81">
        <v>1</v>
      </c>
      <c r="L18" s="81">
        <v>1</v>
      </c>
      <c r="M18" s="81">
        <v>1</v>
      </c>
      <c r="N18" s="82">
        <v>1</v>
      </c>
      <c r="O18" s="77">
        <v>1</v>
      </c>
      <c r="P18" s="82">
        <v>1</v>
      </c>
      <c r="Q18" s="82">
        <v>0.5</v>
      </c>
      <c r="R18" s="81">
        <v>0.4</v>
      </c>
      <c r="S18" s="81">
        <v>0.2</v>
      </c>
      <c r="T18" s="81"/>
      <c r="U18" s="81"/>
      <c r="V18" s="78"/>
      <c r="W18" s="116">
        <f t="shared" si="0"/>
        <v>5</v>
      </c>
      <c r="X18" s="117">
        <f t="shared" si="1"/>
        <v>2.1</v>
      </c>
      <c r="Y18" s="70">
        <f t="shared" si="2"/>
        <v>7.1</v>
      </c>
      <c r="Z18" s="71">
        <f>'[1]cálculos teóricos'!I103</f>
        <v>11.55002151295256</v>
      </c>
      <c r="AA18" s="72">
        <f t="shared" si="3"/>
        <v>61.471746974997714</v>
      </c>
      <c r="AB18" s="3"/>
    </row>
    <row r="19" spans="1:28" ht="18" customHeight="1">
      <c r="A19" s="80">
        <v>11</v>
      </c>
      <c r="B19" s="76">
        <v>13.4</v>
      </c>
      <c r="C19" s="74">
        <f>'[1]cálculos teóricos'!K104</f>
        <v>0.99559861618928736</v>
      </c>
      <c r="D19" s="59">
        <f t="shared" si="4"/>
        <v>194.29196598809401</v>
      </c>
      <c r="E19" s="60">
        <f t="shared" si="5"/>
        <v>8.1346160319895198</v>
      </c>
      <c r="F19" s="61">
        <f t="shared" si="6"/>
        <v>10.497352519986901</v>
      </c>
      <c r="G19" s="62">
        <f>'[1]cálculos teóricos'!T104</f>
        <v>30.719607982460538</v>
      </c>
      <c r="H19" s="75">
        <f t="shared" si="7"/>
        <v>34.171505463156947</v>
      </c>
      <c r="I19" s="79"/>
      <c r="J19" s="81"/>
      <c r="K19" s="81"/>
      <c r="L19" s="81"/>
      <c r="M19" s="81"/>
      <c r="N19" s="81">
        <v>0.4</v>
      </c>
      <c r="O19" s="78">
        <v>0.7</v>
      </c>
      <c r="P19" s="82">
        <v>0.5</v>
      </c>
      <c r="Q19" s="82">
        <v>0.3</v>
      </c>
      <c r="R19" s="81"/>
      <c r="S19" s="81"/>
      <c r="T19" s="81"/>
      <c r="U19" s="81"/>
      <c r="V19" s="78"/>
      <c r="W19" s="116">
        <f t="shared" si="0"/>
        <v>1.1000000000000001</v>
      </c>
      <c r="X19" s="117">
        <f t="shared" si="1"/>
        <v>0.8</v>
      </c>
      <c r="Y19" s="70">
        <f t="shared" si="2"/>
        <v>1.9000000000000001</v>
      </c>
      <c r="Z19" s="71">
        <f>'[1]cálculos teóricos'!I104</f>
        <v>11.527980611198263</v>
      </c>
      <c r="AA19" s="72">
        <f t="shared" si="3"/>
        <v>16.481637713324595</v>
      </c>
      <c r="AB19" s="3"/>
    </row>
    <row r="20" spans="1:28" ht="18" customHeight="1">
      <c r="A20" s="80">
        <v>12</v>
      </c>
      <c r="B20" s="76">
        <v>23.3</v>
      </c>
      <c r="C20" s="74">
        <f>'[1]cálculos teóricos'!K105</f>
        <v>0.99465309372746913</v>
      </c>
      <c r="D20" s="59">
        <f t="shared" si="4"/>
        <v>337.51518670064991</v>
      </c>
      <c r="E20" s="60">
        <f t="shared" si="5"/>
        <v>14.131085836782809</v>
      </c>
      <c r="F20" s="61">
        <f t="shared" si="6"/>
        <v>17.992939775978513</v>
      </c>
      <c r="G20" s="62">
        <f>'[1]cálculos teóricos'!T105</f>
        <v>30.526776169323703</v>
      </c>
      <c r="H20" s="75">
        <f t="shared" si="7"/>
        <v>58.941500000447419</v>
      </c>
      <c r="I20" s="79"/>
      <c r="J20" s="81"/>
      <c r="K20" s="81">
        <v>0.3</v>
      </c>
      <c r="L20" s="81">
        <v>0.8</v>
      </c>
      <c r="M20" s="81">
        <v>1</v>
      </c>
      <c r="N20" s="81">
        <v>1</v>
      </c>
      <c r="O20" s="78">
        <v>1</v>
      </c>
      <c r="P20" s="82">
        <v>1</v>
      </c>
      <c r="Q20" s="82">
        <v>1</v>
      </c>
      <c r="R20" s="81">
        <v>1</v>
      </c>
      <c r="S20" s="81">
        <v>1</v>
      </c>
      <c r="T20" s="81">
        <v>0.3</v>
      </c>
      <c r="U20" s="81"/>
      <c r="V20" s="78"/>
      <c r="W20" s="116">
        <f t="shared" si="0"/>
        <v>4.0999999999999996</v>
      </c>
      <c r="X20" s="117">
        <f t="shared" si="1"/>
        <v>4.3</v>
      </c>
      <c r="Y20" s="70">
        <f t="shared" si="2"/>
        <v>8.3999999999999986</v>
      </c>
      <c r="Z20" s="71">
        <f>'[1]cálculos teóricos'!I105</f>
        <v>11.506029243866161</v>
      </c>
      <c r="AA20" s="72">
        <f t="shared" si="3"/>
        <v>73.005202941562317</v>
      </c>
      <c r="AB20" s="3"/>
    </row>
    <row r="21" spans="1:28" ht="18" customHeight="1">
      <c r="A21" s="80">
        <v>13</v>
      </c>
      <c r="B21" s="76">
        <v>25.5</v>
      </c>
      <c r="C21" s="74">
        <f>'[1]cálculos teóricos'!K106</f>
        <v>0.9937047272503452</v>
      </c>
      <c r="D21" s="59">
        <f t="shared" si="4"/>
        <v>369.03137928041531</v>
      </c>
      <c r="E21" s="60">
        <f t="shared" si="5"/>
        <v>15.450605787712426</v>
      </c>
      <c r="F21" s="61">
        <f t="shared" si="6"/>
        <v>19.642339714640535</v>
      </c>
      <c r="G21" s="62">
        <f>'[1]cálculos teóricos'!T106</f>
        <v>30.334354515150523</v>
      </c>
      <c r="H21" s="75">
        <f t="shared" si="7"/>
        <v>64.752786168006807</v>
      </c>
      <c r="I21" s="79"/>
      <c r="J21" s="81">
        <v>0.1</v>
      </c>
      <c r="K21" s="81">
        <v>1</v>
      </c>
      <c r="L21" s="81">
        <v>1</v>
      </c>
      <c r="M21" s="81">
        <v>1</v>
      </c>
      <c r="N21" s="81">
        <v>1</v>
      </c>
      <c r="O21" s="78">
        <v>1</v>
      </c>
      <c r="P21" s="82">
        <v>1</v>
      </c>
      <c r="Q21" s="82">
        <v>0.9</v>
      </c>
      <c r="R21" s="81">
        <v>0.9</v>
      </c>
      <c r="S21" s="81">
        <v>0.5</v>
      </c>
      <c r="T21" s="81"/>
      <c r="U21" s="81"/>
      <c r="V21" s="78"/>
      <c r="W21" s="116">
        <f t="shared" si="0"/>
        <v>5.0999999999999996</v>
      </c>
      <c r="X21" s="117">
        <f t="shared" si="1"/>
        <v>3.3</v>
      </c>
      <c r="Y21" s="70">
        <f t="shared" si="2"/>
        <v>8.3999999999999986</v>
      </c>
      <c r="Z21" s="71">
        <f>'[1]cálculos teóricos'!I106</f>
        <v>11.484171592082447</v>
      </c>
      <c r="AA21" s="72">
        <f t="shared" si="3"/>
        <v>73.144152650864484</v>
      </c>
      <c r="AB21" s="3"/>
    </row>
    <row r="22" spans="1:28" ht="18" customHeight="1">
      <c r="A22" s="80">
        <v>14</v>
      </c>
      <c r="B22" s="76">
        <v>13.9</v>
      </c>
      <c r="C22" s="74">
        <f>'[1]cálculos teóricos'!K107</f>
        <v>0.99275392599807921</v>
      </c>
      <c r="D22" s="59">
        <f t="shared" si="4"/>
        <v>200.96580803769507</v>
      </c>
      <c r="E22" s="60">
        <f t="shared" si="5"/>
        <v>8.4140364509222181</v>
      </c>
      <c r="F22" s="61">
        <f t="shared" si="6"/>
        <v>10.846628043652773</v>
      </c>
      <c r="G22" s="62">
        <f>'[1]cálculos teóricos'!T107</f>
        <v>30.142417055223362</v>
      </c>
      <c r="H22" s="75">
        <f t="shared" si="7"/>
        <v>35.984599455912466</v>
      </c>
      <c r="I22" s="79"/>
      <c r="J22" s="81"/>
      <c r="K22" s="81">
        <v>0.1</v>
      </c>
      <c r="L22" s="81">
        <v>0.3</v>
      </c>
      <c r="M22" s="81">
        <v>0.7</v>
      </c>
      <c r="N22" s="81">
        <v>0.4</v>
      </c>
      <c r="O22" s="78"/>
      <c r="P22" s="82"/>
      <c r="Q22" s="82"/>
      <c r="R22" s="81"/>
      <c r="S22" s="81"/>
      <c r="T22" s="81"/>
      <c r="U22" s="81"/>
      <c r="V22" s="78"/>
      <c r="W22" s="116">
        <f t="shared" si="0"/>
        <v>1.5</v>
      </c>
      <c r="X22" s="117">
        <f t="shared" si="1"/>
        <v>0</v>
      </c>
      <c r="Y22" s="70">
        <f t="shared" si="2"/>
        <v>1.5</v>
      </c>
      <c r="Z22" s="71">
        <f>'[1]cálculos teóricos'!I107</f>
        <v>11.462411932673533</v>
      </c>
      <c r="AA22" s="72">
        <f t="shared" si="3"/>
        <v>13.086251033469313</v>
      </c>
      <c r="AB22" s="3"/>
    </row>
    <row r="23" spans="1:28" ht="18" customHeight="1">
      <c r="A23" s="80">
        <v>15</v>
      </c>
      <c r="B23" s="76">
        <v>17</v>
      </c>
      <c r="C23" s="74">
        <f>'[1]cálculos teóricos'!K108</f>
        <v>0.99180110656457066</v>
      </c>
      <c r="D23" s="59">
        <f t="shared" si="4"/>
        <v>245.54962206270312</v>
      </c>
      <c r="E23" s="60">
        <f t="shared" si="5"/>
        <v>10.280671576521254</v>
      </c>
      <c r="F23" s="61">
        <f t="shared" si="6"/>
        <v>13.179921950651567</v>
      </c>
      <c r="G23" s="62">
        <f>'[1]cálculos teóricos'!T108</f>
        <v>29.951038043957332</v>
      </c>
      <c r="H23" s="75">
        <f t="shared" si="7"/>
        <v>44.004892021799677</v>
      </c>
      <c r="I23" s="79"/>
      <c r="J23" s="81"/>
      <c r="K23" s="81"/>
      <c r="L23" s="81"/>
      <c r="M23" s="81"/>
      <c r="N23" s="81">
        <v>0.4</v>
      </c>
      <c r="O23" s="78">
        <v>0.6</v>
      </c>
      <c r="P23" s="82">
        <v>1</v>
      </c>
      <c r="Q23" s="82">
        <v>0.9</v>
      </c>
      <c r="R23" s="81">
        <v>0.1</v>
      </c>
      <c r="S23" s="81"/>
      <c r="T23" s="81"/>
      <c r="U23" s="81"/>
      <c r="V23" s="78"/>
      <c r="W23" s="116">
        <f t="shared" si="0"/>
        <v>1</v>
      </c>
      <c r="X23" s="117">
        <f t="shared" si="1"/>
        <v>2</v>
      </c>
      <c r="Y23" s="70">
        <f t="shared" si="2"/>
        <v>3</v>
      </c>
      <c r="Z23" s="71">
        <f>'[1]cálculos teóricos'!I108</f>
        <v>11.440754642107416</v>
      </c>
      <c r="AA23" s="72">
        <f t="shared" si="3"/>
        <v>26.222046480732782</v>
      </c>
      <c r="AB23" s="3"/>
    </row>
    <row r="24" spans="1:28" ht="18" customHeight="1">
      <c r="A24" s="80">
        <v>16</v>
      </c>
      <c r="B24" s="76">
        <v>22.7</v>
      </c>
      <c r="C24" s="74">
        <f>'[1]cálculos teóricos'!K109</f>
        <v>0.99084669275453241</v>
      </c>
      <c r="D24" s="59">
        <f t="shared" si="4"/>
        <v>327.56544488542539</v>
      </c>
      <c r="E24" s="60">
        <f t="shared" si="5"/>
        <v>13.714510046462991</v>
      </c>
      <c r="F24" s="61">
        <f t="shared" si="6"/>
        <v>17.472220038078738</v>
      </c>
      <c r="G24" s="62">
        <f>'[1]cálculos teóricos'!T109</f>
        <v>29.760291922001649</v>
      </c>
      <c r="H24" s="75">
        <f t="shared" si="7"/>
        <v>58.709840897634493</v>
      </c>
      <c r="I24" s="154"/>
      <c r="J24" s="155"/>
      <c r="K24" s="81">
        <v>0.7</v>
      </c>
      <c r="L24" s="81">
        <v>1</v>
      </c>
      <c r="M24" s="81">
        <v>0.9</v>
      </c>
      <c r="N24" s="81">
        <v>1</v>
      </c>
      <c r="O24" s="78">
        <v>1</v>
      </c>
      <c r="P24" s="82">
        <v>1</v>
      </c>
      <c r="Q24" s="82">
        <v>0.8</v>
      </c>
      <c r="R24" s="81"/>
      <c r="S24" s="81">
        <v>0.1</v>
      </c>
      <c r="T24" s="155"/>
      <c r="U24" s="155"/>
      <c r="V24" s="156"/>
      <c r="W24" s="116">
        <f t="shared" si="0"/>
        <v>4.5999999999999996</v>
      </c>
      <c r="X24" s="117">
        <f t="shared" si="1"/>
        <v>1.9000000000000001</v>
      </c>
      <c r="Y24" s="70">
        <f t="shared" si="2"/>
        <v>6.5</v>
      </c>
      <c r="Z24" s="71">
        <f>'[1]cálculos teóricos'!I109</f>
        <v>11.419204200202659</v>
      </c>
      <c r="AA24" s="72">
        <f t="shared" si="3"/>
        <v>56.921654837249022</v>
      </c>
      <c r="AB24" s="3"/>
    </row>
    <row r="25" spans="1:28" ht="18" customHeight="1">
      <c r="A25" s="85">
        <v>17</v>
      </c>
      <c r="B25" s="76">
        <v>17</v>
      </c>
      <c r="C25" s="74">
        <f>'[1]cálculos teóricos'!K110</f>
        <v>0.9898911154303186</v>
      </c>
      <c r="D25" s="59">
        <f t="shared" si="4"/>
        <v>245.07674741268059</v>
      </c>
      <c r="E25" s="60">
        <f t="shared" si="5"/>
        <v>10.260873260674112</v>
      </c>
      <c r="F25" s="61">
        <f t="shared" si="6"/>
        <v>13.15517405584264</v>
      </c>
      <c r="G25" s="62">
        <f>'[1]cálculos teóricos'!T110</f>
        <v>29.570253282849443</v>
      </c>
      <c r="H25" s="75">
        <f t="shared" si="7"/>
        <v>44.487863969269945</v>
      </c>
      <c r="I25" s="79"/>
      <c r="J25" s="81"/>
      <c r="K25" s="81"/>
      <c r="L25" s="81"/>
      <c r="M25" s="81">
        <v>0.6</v>
      </c>
      <c r="N25" s="81">
        <v>0.8</v>
      </c>
      <c r="O25" s="78">
        <v>1</v>
      </c>
      <c r="P25" s="82">
        <v>0.7</v>
      </c>
      <c r="Q25" s="82">
        <v>0.3</v>
      </c>
      <c r="R25" s="81">
        <v>0.2</v>
      </c>
      <c r="S25" s="81"/>
      <c r="T25" s="81"/>
      <c r="U25" s="81"/>
      <c r="V25" s="78"/>
      <c r="W25" s="116">
        <f t="shared" si="0"/>
        <v>2.4</v>
      </c>
      <c r="X25" s="117">
        <f t="shared" si="1"/>
        <v>1.2</v>
      </c>
      <c r="Y25" s="70">
        <f t="shared" si="2"/>
        <v>3.5999999999999996</v>
      </c>
      <c r="Z25" s="71">
        <f>'[1]cálculos teóricos'!I110</f>
        <v>11.397765193591368</v>
      </c>
      <c r="AA25" s="72">
        <f t="shared" si="3"/>
        <v>31.585139181707081</v>
      </c>
      <c r="AB25" s="3"/>
    </row>
    <row r="26" spans="1:28" ht="18" customHeight="1">
      <c r="A26" s="85">
        <v>18</v>
      </c>
      <c r="B26" s="76">
        <v>7.9</v>
      </c>
      <c r="C26" s="74">
        <f>'[1]cálculos teóricos'!K111</f>
        <v>0.98893481234793812</v>
      </c>
      <c r="D26" s="59">
        <f t="shared" si="4"/>
        <v>113.77858190307066</v>
      </c>
      <c r="E26" s="60">
        <f t="shared" si="5"/>
        <v>4.763681667117762</v>
      </c>
      <c r="F26" s="61">
        <f t="shared" si="6"/>
        <v>6.2836845638972036</v>
      </c>
      <c r="G26" s="62">
        <f>'[1]cálculos teóricos'!T111</f>
        <v>29.380996838923444</v>
      </c>
      <c r="H26" s="75">
        <f t="shared" si="7"/>
        <v>21.386900513779317</v>
      </c>
      <c r="I26" s="79"/>
      <c r="J26" s="81"/>
      <c r="K26" s="81"/>
      <c r="L26" s="81"/>
      <c r="M26" s="81"/>
      <c r="N26" s="81"/>
      <c r="O26" s="78"/>
      <c r="P26" s="82"/>
      <c r="Q26" s="82"/>
      <c r="R26" s="81"/>
      <c r="S26" s="81"/>
      <c r="T26" s="81"/>
      <c r="U26" s="81"/>
      <c r="V26" s="78"/>
      <c r="W26" s="116">
        <f t="shared" si="0"/>
        <v>0</v>
      </c>
      <c r="X26" s="117">
        <f t="shared" si="1"/>
        <v>0</v>
      </c>
      <c r="Y26" s="70">
        <f t="shared" si="2"/>
        <v>0</v>
      </c>
      <c r="Z26" s="71">
        <f>'[1]cálculos teóricos'!I111</f>
        <v>11.376442318922143</v>
      </c>
      <c r="AA26" s="72">
        <f t="shared" si="3"/>
        <v>0</v>
      </c>
      <c r="AB26" s="3"/>
    </row>
    <row r="27" spans="1:28" ht="18" customHeight="1">
      <c r="A27" s="85">
        <v>19</v>
      </c>
      <c r="B27" s="76">
        <v>28.4</v>
      </c>
      <c r="C27" s="74">
        <f>'[1]cálculos teóricos'!K112</f>
        <v>0.9879782279816971</v>
      </c>
      <c r="D27" s="59">
        <f t="shared" si="4"/>
        <v>408.63115421920503</v>
      </c>
      <c r="E27" s="60">
        <f t="shared" si="5"/>
        <v>17.108569164849676</v>
      </c>
      <c r="F27" s="61">
        <f t="shared" si="6"/>
        <v>21.714793936062097</v>
      </c>
      <c r="G27" s="62">
        <f>'[1]cálculos teóricos'!T112</f>
        <v>29.192597387108517</v>
      </c>
      <c r="H27" s="75">
        <f t="shared" si="7"/>
        <v>74.38459020317039</v>
      </c>
      <c r="I27" s="79"/>
      <c r="J27" s="81">
        <v>0.3</v>
      </c>
      <c r="K27" s="81">
        <v>1</v>
      </c>
      <c r="L27" s="81">
        <v>1</v>
      </c>
      <c r="M27" s="81">
        <v>1</v>
      </c>
      <c r="N27" s="81">
        <v>1</v>
      </c>
      <c r="O27" s="78">
        <v>1</v>
      </c>
      <c r="P27" s="82">
        <v>1</v>
      </c>
      <c r="Q27" s="82">
        <v>1</v>
      </c>
      <c r="R27" s="81">
        <v>1</v>
      </c>
      <c r="S27" s="81">
        <v>1</v>
      </c>
      <c r="T27" s="81">
        <v>1</v>
      </c>
      <c r="U27" s="81">
        <v>0.3</v>
      </c>
      <c r="V27" s="78"/>
      <c r="W27" s="116">
        <f t="shared" si="0"/>
        <v>5.3</v>
      </c>
      <c r="X27" s="117">
        <f t="shared" si="1"/>
        <v>5.3</v>
      </c>
      <c r="Y27" s="70">
        <f t="shared" si="2"/>
        <v>10.6</v>
      </c>
      <c r="Z27" s="71">
        <f>'[1]cálculos teóricos'!I112</f>
        <v>11.355240385788584</v>
      </c>
      <c r="AA27" s="72">
        <f t="shared" si="3"/>
        <v>93.348970518195372</v>
      </c>
      <c r="AB27" s="3"/>
    </row>
    <row r="28" spans="1:28" ht="18" customHeight="1">
      <c r="A28" s="85">
        <v>20</v>
      </c>
      <c r="B28" s="76">
        <v>25.1</v>
      </c>
      <c r="C28" s="74">
        <f>'[1]cálculos teóricos'!K113</f>
        <v>0.98702181333694017</v>
      </c>
      <c r="D28" s="59">
        <f t="shared" si="4"/>
        <v>360.79975368116646</v>
      </c>
      <c r="E28" s="60">
        <f t="shared" si="5"/>
        <v>15.105964087123077</v>
      </c>
      <c r="F28" s="61">
        <f t="shared" si="6"/>
        <v>19.211537588903848</v>
      </c>
      <c r="G28" s="62">
        <f>'[1]cálculos teóricos'!T113</f>
        <v>29.005129773706106</v>
      </c>
      <c r="H28" s="75">
        <f t="shared" si="7"/>
        <v>66.234965120961462</v>
      </c>
      <c r="I28" s="79"/>
      <c r="J28" s="81"/>
      <c r="K28" s="81"/>
      <c r="L28" s="81">
        <v>0.5</v>
      </c>
      <c r="M28" s="81">
        <v>1</v>
      </c>
      <c r="N28" s="81">
        <v>1</v>
      </c>
      <c r="O28" s="78">
        <v>1</v>
      </c>
      <c r="P28" s="82">
        <v>1</v>
      </c>
      <c r="Q28" s="82">
        <v>1</v>
      </c>
      <c r="R28" s="81">
        <v>1</v>
      </c>
      <c r="S28" s="81">
        <v>1</v>
      </c>
      <c r="T28" s="81">
        <v>0.7</v>
      </c>
      <c r="U28" s="81"/>
      <c r="V28" s="78"/>
      <c r="W28" s="116">
        <f t="shared" si="0"/>
        <v>3.5</v>
      </c>
      <c r="X28" s="117">
        <f t="shared" si="1"/>
        <v>4.7</v>
      </c>
      <c r="Y28" s="70">
        <f t="shared" si="2"/>
        <v>8.1999999999999993</v>
      </c>
      <c r="Z28" s="71">
        <f>'[1]cálculos teóricos'!I113</f>
        <v>11.334164319368824</v>
      </c>
      <c r="AA28" s="72">
        <f t="shared" si="3"/>
        <v>72.3476364815632</v>
      </c>
      <c r="AB28" s="3"/>
    </row>
    <row r="29" spans="1:28" ht="18" customHeight="1">
      <c r="A29" s="85">
        <v>21</v>
      </c>
      <c r="B29" s="76">
        <v>26.4</v>
      </c>
      <c r="C29" s="74">
        <f>'[1]cálculos teóricos'!K114</f>
        <v>0.98606602575038249</v>
      </c>
      <c r="D29" s="59">
        <f t="shared" si="4"/>
        <v>379.11911574281436</v>
      </c>
      <c r="E29" s="60">
        <f t="shared" si="5"/>
        <v>15.872959137920152</v>
      </c>
      <c r="F29" s="61">
        <f t="shared" si="6"/>
        <v>20.170281402400189</v>
      </c>
      <c r="G29" s="62">
        <f>'[1]cálculos teóricos'!T114</f>
        <v>28.818668858789103</v>
      </c>
      <c r="H29" s="75">
        <f t="shared" si="7"/>
        <v>69.990329883847735</v>
      </c>
      <c r="I29" s="79"/>
      <c r="J29" s="81"/>
      <c r="K29" s="81"/>
      <c r="L29" s="81">
        <v>0.3</v>
      </c>
      <c r="M29" s="81">
        <v>1</v>
      </c>
      <c r="N29" s="81">
        <v>1</v>
      </c>
      <c r="O29" s="78">
        <v>1</v>
      </c>
      <c r="P29" s="82">
        <v>1</v>
      </c>
      <c r="Q29" s="82">
        <v>1</v>
      </c>
      <c r="R29" s="81">
        <v>1</v>
      </c>
      <c r="S29" s="81">
        <v>1</v>
      </c>
      <c r="T29" s="81">
        <v>1</v>
      </c>
      <c r="U29" s="81"/>
      <c r="V29" s="78"/>
      <c r="W29" s="116">
        <f t="shared" si="0"/>
        <v>3.3</v>
      </c>
      <c r="X29" s="117">
        <f t="shared" si="1"/>
        <v>5</v>
      </c>
      <c r="Y29" s="70">
        <f t="shared" si="2"/>
        <v>8.3000000000000007</v>
      </c>
      <c r="Z29" s="71">
        <f>'[1]cálculos teóricos'!I114</f>
        <v>11.313219162761063</v>
      </c>
      <c r="AA29" s="72">
        <f t="shared" si="3"/>
        <v>73.365501724924883</v>
      </c>
      <c r="AB29" s="3"/>
    </row>
    <row r="30" spans="1:28" ht="18" customHeight="1">
      <c r="A30" s="85">
        <v>22</v>
      </c>
      <c r="B30" s="76">
        <v>26.5</v>
      </c>
      <c r="C30" s="74">
        <f>'[1]cálculos teóricos'!K115</f>
        <v>0.98511132867754536</v>
      </c>
      <c r="D30" s="59">
        <f t="shared" si="4"/>
        <v>380.18672413267893</v>
      </c>
      <c r="E30" s="60">
        <f t="shared" si="5"/>
        <v>15.917657765987</v>
      </c>
      <c r="F30" s="61">
        <f t="shared" si="6"/>
        <v>20.226154687483753</v>
      </c>
      <c r="G30" s="62">
        <f>'[1]cálculos teóricos'!T115</f>
        <v>28.633289479940686</v>
      </c>
      <c r="H30" s="75">
        <f t="shared" si="7"/>
        <v>70.638599528193822</v>
      </c>
      <c r="I30" s="79"/>
      <c r="J30" s="81">
        <v>0.2</v>
      </c>
      <c r="K30" s="81">
        <v>1</v>
      </c>
      <c r="L30" s="81">
        <v>1</v>
      </c>
      <c r="M30" s="81">
        <v>1</v>
      </c>
      <c r="N30" s="81">
        <v>1</v>
      </c>
      <c r="O30" s="78">
        <v>1</v>
      </c>
      <c r="P30" s="82">
        <v>1</v>
      </c>
      <c r="Q30" s="82">
        <v>1</v>
      </c>
      <c r="R30" s="81">
        <v>1</v>
      </c>
      <c r="S30" s="81">
        <v>1</v>
      </c>
      <c r="T30" s="81">
        <v>1</v>
      </c>
      <c r="U30" s="157">
        <v>0.1</v>
      </c>
      <c r="V30" s="78"/>
      <c r="W30" s="116">
        <f t="shared" si="0"/>
        <v>5.2</v>
      </c>
      <c r="X30" s="117">
        <f t="shared" si="1"/>
        <v>5.0999999999999996</v>
      </c>
      <c r="Y30" s="70">
        <f t="shared" si="2"/>
        <v>10.3</v>
      </c>
      <c r="Z30" s="71">
        <f>'[1]cálculos teóricos'!I115</f>
        <v>11.292410079000071</v>
      </c>
      <c r="AA30" s="72">
        <f t="shared" si="3"/>
        <v>91.211707048740593</v>
      </c>
      <c r="AB30" s="3"/>
    </row>
    <row r="31" spans="1:28" ht="18" customHeight="1">
      <c r="A31" s="85">
        <v>23</v>
      </c>
      <c r="B31" s="76">
        <v>25.1</v>
      </c>
      <c r="C31" s="74">
        <f>'[1]cálculos teóricos'!K116</f>
        <v>0.98415819146685024</v>
      </c>
      <c r="D31" s="59">
        <f t="shared" si="4"/>
        <v>359.75297431782963</v>
      </c>
      <c r="E31" s="60">
        <f t="shared" si="5"/>
        <v>15.062137528738891</v>
      </c>
      <c r="F31" s="61">
        <f t="shared" si="6"/>
        <v>19.156754390923616</v>
      </c>
      <c r="G31" s="62">
        <f>'[1]cálculos teóricos'!T116</f>
        <v>28.449066415364875</v>
      </c>
      <c r="H31" s="75">
        <f t="shared" si="7"/>
        <v>67.337022984266952</v>
      </c>
      <c r="I31" s="79"/>
      <c r="J31" s="81">
        <v>0.2</v>
      </c>
      <c r="K31" s="81">
        <v>0.8</v>
      </c>
      <c r="L31" s="81">
        <v>0.5</v>
      </c>
      <c r="M31" s="81">
        <v>1</v>
      </c>
      <c r="N31" s="81">
        <v>1</v>
      </c>
      <c r="O31" s="78">
        <v>1</v>
      </c>
      <c r="P31" s="82">
        <v>1</v>
      </c>
      <c r="Q31" s="82">
        <v>1</v>
      </c>
      <c r="R31" s="81">
        <v>1</v>
      </c>
      <c r="S31" s="81">
        <v>1</v>
      </c>
      <c r="T31" s="81">
        <v>0.6</v>
      </c>
      <c r="U31" s="81"/>
      <c r="V31" s="78"/>
      <c r="W31" s="116">
        <f t="shared" si="0"/>
        <v>4.5</v>
      </c>
      <c r="X31" s="117">
        <f t="shared" si="1"/>
        <v>4.5999999999999996</v>
      </c>
      <c r="Y31" s="70">
        <f t="shared" si="2"/>
        <v>9.1</v>
      </c>
      <c r="Z31" s="71">
        <f>'[1]cálculos teóricos'!I116</f>
        <v>11.27174235273929</v>
      </c>
      <c r="AA31" s="72">
        <f t="shared" si="3"/>
        <v>80.732860237782958</v>
      </c>
      <c r="AB31" s="3"/>
    </row>
    <row r="32" spans="1:28" ht="18" customHeight="1">
      <c r="A32" s="85">
        <v>24</v>
      </c>
      <c r="B32" s="76">
        <v>22</v>
      </c>
      <c r="C32" s="74">
        <f>'[1]cálculos teóricos'!K117</f>
        <v>0.98320708911994803</v>
      </c>
      <c r="D32" s="59">
        <f t="shared" si="4"/>
        <v>315.016601732764</v>
      </c>
      <c r="E32" s="60">
        <f t="shared" si="5"/>
        <v>13.189115081347364</v>
      </c>
      <c r="F32" s="61">
        <f t="shared" si="6"/>
        <v>16.815476331684202</v>
      </c>
      <c r="G32" s="62">
        <f>'[1]cálculos teóricos'!T117</f>
        <v>28.266074346361314</v>
      </c>
      <c r="H32" s="75">
        <f t="shared" si="7"/>
        <v>59.489960033480394</v>
      </c>
      <c r="I32" s="79"/>
      <c r="J32" s="81">
        <v>0.2</v>
      </c>
      <c r="K32" s="81">
        <v>1</v>
      </c>
      <c r="L32" s="81">
        <v>1</v>
      </c>
      <c r="M32" s="81">
        <v>1</v>
      </c>
      <c r="N32" s="81">
        <v>1</v>
      </c>
      <c r="O32" s="78">
        <v>1</v>
      </c>
      <c r="P32" s="82">
        <v>1</v>
      </c>
      <c r="Q32" s="82">
        <v>0.7</v>
      </c>
      <c r="R32" s="81">
        <v>1</v>
      </c>
      <c r="S32" s="81">
        <v>0.1</v>
      </c>
      <c r="T32" s="81"/>
      <c r="U32" s="81"/>
      <c r="V32" s="78"/>
      <c r="W32" s="116">
        <f t="shared" si="0"/>
        <v>5.2</v>
      </c>
      <c r="X32" s="117">
        <f t="shared" si="1"/>
        <v>2.8000000000000003</v>
      </c>
      <c r="Y32" s="70">
        <f t="shared" si="2"/>
        <v>8</v>
      </c>
      <c r="Z32" s="71">
        <f>'[1]cálculos teóricos'!I117</f>
        <v>11.251221391583176</v>
      </c>
      <c r="AA32" s="72">
        <f t="shared" si="3"/>
        <v>71.103391548091366</v>
      </c>
      <c r="AB32" s="3"/>
    </row>
    <row r="33" spans="1:28" ht="18" customHeight="1">
      <c r="A33" s="85">
        <v>25</v>
      </c>
      <c r="B33" s="76">
        <v>15.6</v>
      </c>
      <c r="C33" s="74">
        <f>'[1]cálculos teóricos'!K118</f>
        <v>0.98225850203790688</v>
      </c>
      <c r="D33" s="59">
        <f t="shared" si="4"/>
        <v>223.15989843309328</v>
      </c>
      <c r="E33" s="60">
        <f t="shared" si="5"/>
        <v>9.3432586275967484</v>
      </c>
      <c r="F33" s="61">
        <f t="shared" si="6"/>
        <v>12.008155764495937</v>
      </c>
      <c r="G33" s="62">
        <f>'[1]cálculos teóricos'!T118</f>
        <v>28.08438781916194</v>
      </c>
      <c r="H33" s="75">
        <f t="shared" si="7"/>
        <v>42.757406149699968</v>
      </c>
      <c r="I33" s="79"/>
      <c r="J33" s="81"/>
      <c r="K33" s="81">
        <v>0.7</v>
      </c>
      <c r="L33" s="81">
        <v>0.5</v>
      </c>
      <c r="M33" s="81">
        <v>0.2</v>
      </c>
      <c r="N33" s="81"/>
      <c r="O33" s="78">
        <v>0.8</v>
      </c>
      <c r="P33" s="79">
        <v>0.7</v>
      </c>
      <c r="Q33" s="82">
        <v>0.9</v>
      </c>
      <c r="R33" s="81">
        <v>0.3</v>
      </c>
      <c r="S33" s="81"/>
      <c r="T33" s="81"/>
      <c r="U33" s="81"/>
      <c r="V33" s="78"/>
      <c r="W33" s="116">
        <f t="shared" si="0"/>
        <v>2.2000000000000002</v>
      </c>
      <c r="X33" s="117">
        <f t="shared" si="1"/>
        <v>1.9000000000000001</v>
      </c>
      <c r="Y33" s="70">
        <f t="shared" si="2"/>
        <v>4.1000000000000005</v>
      </c>
      <c r="Z33" s="71">
        <f>'[1]cálculos teóricos'!I118</f>
        <v>11.230852727054316</v>
      </c>
      <c r="AA33" s="72">
        <f t="shared" si="3"/>
        <v>36.50657790323789</v>
      </c>
      <c r="AB33" s="3"/>
    </row>
    <row r="34" spans="1:28" ht="18" customHeight="1">
      <c r="A34" s="85">
        <v>26</v>
      </c>
      <c r="B34" s="76">
        <v>19.3</v>
      </c>
      <c r="C34" s="74">
        <f>'[1]cálculos teóricos'!K119</f>
        <v>0.98131291575291579</v>
      </c>
      <c r="D34" s="59">
        <f t="shared" si="4"/>
        <v>275.82306751735445</v>
      </c>
      <c r="E34" s="60">
        <f t="shared" si="5"/>
        <v>11.548160190816596</v>
      </c>
      <c r="F34" s="61">
        <f t="shared" si="6"/>
        <v>14.764282718520747</v>
      </c>
      <c r="G34" s="62">
        <f>'[1]cálculos teóricos'!T119</f>
        <v>27.904081206131991</v>
      </c>
      <c r="H34" s="75">
        <f t="shared" si="7"/>
        <v>52.910836266045052</v>
      </c>
      <c r="I34" s="79"/>
      <c r="J34" s="81"/>
      <c r="K34" s="81">
        <v>0.3</v>
      </c>
      <c r="L34" s="81">
        <v>0.2</v>
      </c>
      <c r="M34" s="81">
        <v>0.7</v>
      </c>
      <c r="N34" s="81">
        <v>0.8</v>
      </c>
      <c r="O34" s="78">
        <v>1</v>
      </c>
      <c r="P34" s="82">
        <v>0.8</v>
      </c>
      <c r="Q34" s="81">
        <v>0.8</v>
      </c>
      <c r="R34" s="81">
        <v>0.8</v>
      </c>
      <c r="S34" s="81">
        <v>1</v>
      </c>
      <c r="T34" s="81">
        <v>0.4</v>
      </c>
      <c r="U34" s="81"/>
      <c r="V34" s="78"/>
      <c r="W34" s="116">
        <f t="shared" si="0"/>
        <v>3</v>
      </c>
      <c r="X34" s="117">
        <f t="shared" si="1"/>
        <v>3.8000000000000003</v>
      </c>
      <c r="Y34" s="70">
        <f t="shared" si="2"/>
        <v>6.8000000000000007</v>
      </c>
      <c r="Z34" s="71">
        <f>'[1]cálculos teóricos'!I119</f>
        <v>11.210642015179907</v>
      </c>
      <c r="AA34" s="72">
        <f t="shared" si="3"/>
        <v>60.656650982096991</v>
      </c>
      <c r="AB34" s="3"/>
    </row>
    <row r="35" spans="1:28" ht="18" customHeight="1">
      <c r="A35" s="85">
        <v>27</v>
      </c>
      <c r="B35" s="76">
        <v>24.9</v>
      </c>
      <c r="C35" s="74">
        <f>'[1]cálculos teóricos'!K120</f>
        <v>0.98037082064520997</v>
      </c>
      <c r="D35" s="59">
        <f t="shared" si="4"/>
        <v>355.5129981170162</v>
      </c>
      <c r="E35" s="60">
        <f t="shared" si="5"/>
        <v>14.884618205163234</v>
      </c>
      <c r="F35" s="61">
        <f t="shared" si="6"/>
        <v>18.934855236454045</v>
      </c>
      <c r="G35" s="62">
        <f>'[1]cálculos teóricos'!T120</f>
        <v>27.725228666343192</v>
      </c>
      <c r="H35" s="75">
        <f t="shared" si="7"/>
        <v>68.294676535670391</v>
      </c>
      <c r="I35" s="79"/>
      <c r="J35" s="81"/>
      <c r="K35" s="81">
        <v>0.9</v>
      </c>
      <c r="L35" s="81">
        <v>1</v>
      </c>
      <c r="M35" s="81">
        <v>1</v>
      </c>
      <c r="N35" s="81">
        <v>1</v>
      </c>
      <c r="O35" s="78">
        <v>1</v>
      </c>
      <c r="P35" s="82">
        <v>1</v>
      </c>
      <c r="Q35" s="81">
        <v>1</v>
      </c>
      <c r="R35" s="81">
        <v>1</v>
      </c>
      <c r="S35" s="81">
        <v>1</v>
      </c>
      <c r="T35" s="81">
        <v>1</v>
      </c>
      <c r="U35" s="81"/>
      <c r="V35" s="78"/>
      <c r="W35" s="116">
        <f t="shared" si="0"/>
        <v>4.9000000000000004</v>
      </c>
      <c r="X35" s="117">
        <f t="shared" si="1"/>
        <v>5</v>
      </c>
      <c r="Y35" s="70">
        <f t="shared" si="2"/>
        <v>9.9</v>
      </c>
      <c r="Z35" s="71">
        <f>'[1]cálculos teóricos'!I120</f>
        <v>11.190595036682291</v>
      </c>
      <c r="AA35" s="72">
        <f t="shared" si="3"/>
        <v>88.467145558821713</v>
      </c>
      <c r="AB35" s="3"/>
    </row>
    <row r="36" spans="1:28" ht="18" customHeight="1">
      <c r="A36" s="85">
        <v>28</v>
      </c>
      <c r="B36" s="76">
        <v>22.9</v>
      </c>
      <c r="C36" s="74">
        <f>'[1]cálculos teóricos'!K121</f>
        <v>0.97943271164497014</v>
      </c>
      <c r="D36" s="59">
        <f t="shared" si="4"/>
        <v>326.64487397935085</v>
      </c>
      <c r="E36" s="60">
        <f t="shared" si="5"/>
        <v>13.675967583767461</v>
      </c>
      <c r="F36" s="61">
        <f t="shared" si="6"/>
        <v>17.424041959709328</v>
      </c>
      <c r="G36" s="62">
        <f>'[1]cálculos teóricos'!T121</f>
        <v>27.547904105531607</v>
      </c>
      <c r="H36" s="75">
        <f t="shared" si="7"/>
        <v>63.249973184749784</v>
      </c>
      <c r="I36" s="79"/>
      <c r="J36" s="81">
        <v>0.2</v>
      </c>
      <c r="K36" s="81">
        <v>1</v>
      </c>
      <c r="L36" s="81">
        <v>1</v>
      </c>
      <c r="M36" s="81">
        <v>1</v>
      </c>
      <c r="N36" s="81">
        <v>1</v>
      </c>
      <c r="O36" s="78">
        <v>1</v>
      </c>
      <c r="P36" s="82">
        <v>1</v>
      </c>
      <c r="Q36" s="81">
        <v>1</v>
      </c>
      <c r="R36" s="81">
        <v>0.6</v>
      </c>
      <c r="S36" s="81">
        <v>0.9</v>
      </c>
      <c r="T36" s="81">
        <v>1</v>
      </c>
      <c r="U36" s="81">
        <v>0.1</v>
      </c>
      <c r="V36" s="78"/>
      <c r="W36" s="116">
        <f t="shared" si="0"/>
        <v>5.2</v>
      </c>
      <c r="X36" s="117">
        <f t="shared" si="1"/>
        <v>4.5999999999999996</v>
      </c>
      <c r="Y36" s="70">
        <f t="shared" si="2"/>
        <v>9.8000000000000007</v>
      </c>
      <c r="Z36" s="71">
        <f>'[1]cálculos teóricos'!I121</f>
        <v>11.170717696758381</v>
      </c>
      <c r="AA36" s="72">
        <f t="shared" si="3"/>
        <v>87.729367673876979</v>
      </c>
      <c r="AB36" s="3"/>
    </row>
    <row r="37" spans="1:28" ht="18" customHeight="1">
      <c r="A37" s="85">
        <v>29</v>
      </c>
      <c r="B37" s="76">
        <v>22.2</v>
      </c>
      <c r="C37" s="74">
        <f>'[1]cálculos teóricos'!K122</f>
        <v>0.97849908791898976</v>
      </c>
      <c r="D37" s="59">
        <f t="shared" si="4"/>
        <v>316.35824656536221</v>
      </c>
      <c r="E37" s="60">
        <f t="shared" si="5"/>
        <v>13.245287067198586</v>
      </c>
      <c r="F37" s="61">
        <f t="shared" si="6"/>
        <v>16.885691313998233</v>
      </c>
      <c r="G37" s="62">
        <f>'[1]cálculos teóricos'!T122</f>
        <v>27.372181135458487</v>
      </c>
      <c r="H37" s="75">
        <f t="shared" si="7"/>
        <v>61.689242923079163</v>
      </c>
      <c r="I37" s="79"/>
      <c r="J37" s="81"/>
      <c r="K37" s="81"/>
      <c r="L37" s="81">
        <v>0.1</v>
      </c>
      <c r="M37" s="81">
        <v>0.8</v>
      </c>
      <c r="N37" s="81">
        <v>1</v>
      </c>
      <c r="O37" s="78">
        <v>1</v>
      </c>
      <c r="P37" s="82">
        <v>1</v>
      </c>
      <c r="Q37" s="81">
        <v>1</v>
      </c>
      <c r="R37" s="81">
        <v>1</v>
      </c>
      <c r="S37" s="81">
        <v>1</v>
      </c>
      <c r="T37" s="81">
        <v>0.8</v>
      </c>
      <c r="U37" s="81"/>
      <c r="V37" s="78"/>
      <c r="W37" s="116">
        <f t="shared" si="0"/>
        <v>2.9</v>
      </c>
      <c r="X37" s="117">
        <f t="shared" si="1"/>
        <v>4.8</v>
      </c>
      <c r="Y37" s="70">
        <f t="shared" si="2"/>
        <v>7.6999999999999993</v>
      </c>
      <c r="Z37" s="71">
        <f>'[1]cálculos teóricos'!I122</f>
        <v>11.15101602443325</v>
      </c>
      <c r="AA37" s="72">
        <f t="shared" si="3"/>
        <v>69.052003719915291</v>
      </c>
      <c r="AB37" s="3"/>
    </row>
    <row r="38" spans="1:28" ht="18" customHeight="1">
      <c r="A38" s="80">
        <v>30</v>
      </c>
      <c r="B38" s="76">
        <v>24.2</v>
      </c>
      <c r="C38" s="74">
        <f>'[1]cálculos teóricos'!K123</f>
        <v>0.97757045254197084</v>
      </c>
      <c r="D38" s="59">
        <f t="shared" si="4"/>
        <v>344.53170431139881</v>
      </c>
      <c r="E38" s="60">
        <f t="shared" si="5"/>
        <v>14.424853396109645</v>
      </c>
      <c r="F38" s="61">
        <f t="shared" si="6"/>
        <v>18.360149225137057</v>
      </c>
      <c r="G38" s="62">
        <f>'[1]cálculos teóricos'!T123</f>
        <v>27.198133032696809</v>
      </c>
      <c r="H38" s="75">
        <f t="shared" si="7"/>
        <v>67.505182076523468</v>
      </c>
      <c r="I38" s="79"/>
      <c r="J38" s="81">
        <v>0.2</v>
      </c>
      <c r="K38" s="81">
        <v>1</v>
      </c>
      <c r="L38" s="81">
        <v>1</v>
      </c>
      <c r="M38" s="81">
        <v>1</v>
      </c>
      <c r="N38" s="81">
        <v>1</v>
      </c>
      <c r="O38" s="78">
        <v>1</v>
      </c>
      <c r="P38" s="82">
        <v>1</v>
      </c>
      <c r="Q38" s="81">
        <v>1</v>
      </c>
      <c r="R38" s="81">
        <v>1</v>
      </c>
      <c r="S38" s="81">
        <v>0.7</v>
      </c>
      <c r="T38" s="81">
        <v>0.5</v>
      </c>
      <c r="U38" s="81"/>
      <c r="V38" s="78"/>
      <c r="W38" s="116">
        <f t="shared" si="0"/>
        <v>5.2</v>
      </c>
      <c r="X38" s="117">
        <f t="shared" si="1"/>
        <v>4.2</v>
      </c>
      <c r="Y38" s="126">
        <f t="shared" si="2"/>
        <v>9.4</v>
      </c>
      <c r="Z38" s="71">
        <f>'[1]cálculos teóricos'!I123</f>
        <v>11.131496171473273</v>
      </c>
      <c r="AA38" s="72">
        <f t="shared" si="3"/>
        <v>84.445072389185341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94"/>
      <c r="K39" s="94"/>
      <c r="L39" s="94"/>
      <c r="M39" s="94"/>
      <c r="N39" s="94"/>
      <c r="O39" s="95"/>
      <c r="P39" s="94"/>
      <c r="Q39" s="94"/>
      <c r="R39" s="94"/>
      <c r="S39" s="94"/>
      <c r="T39" s="94"/>
      <c r="U39" s="94"/>
      <c r="V39" s="95"/>
      <c r="W39" s="116"/>
      <c r="X39" s="117"/>
      <c r="Y39" s="99"/>
      <c r="Z39" s="158"/>
      <c r="AA39" s="159"/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</v>
      </c>
      <c r="J40" s="103">
        <f t="shared" ref="J40:V40" si="8">SUM(J9:J39)</f>
        <v>1.9999999999999998</v>
      </c>
      <c r="K40" s="103">
        <f t="shared" si="8"/>
        <v>13.700000000000001</v>
      </c>
      <c r="L40" s="103">
        <f t="shared" si="8"/>
        <v>16.399999999999999</v>
      </c>
      <c r="M40" s="103">
        <f t="shared" si="8"/>
        <v>22.599999999999998</v>
      </c>
      <c r="N40" s="103">
        <f t="shared" si="8"/>
        <v>22.8</v>
      </c>
      <c r="O40" s="103">
        <f t="shared" si="8"/>
        <v>25.5</v>
      </c>
      <c r="P40" s="103">
        <f t="shared" si="8"/>
        <v>24.8</v>
      </c>
      <c r="Q40" s="103">
        <f t="shared" si="8"/>
        <v>22.5</v>
      </c>
      <c r="R40" s="103">
        <f t="shared" si="8"/>
        <v>19.5</v>
      </c>
      <c r="S40" s="103">
        <f t="shared" si="8"/>
        <v>15.599999999999998</v>
      </c>
      <c r="T40" s="103">
        <f t="shared" si="8"/>
        <v>11.6</v>
      </c>
      <c r="U40" s="103">
        <f t="shared" si="8"/>
        <v>0.7</v>
      </c>
      <c r="V40" s="103">
        <f t="shared" si="8"/>
        <v>0</v>
      </c>
      <c r="W40" s="104">
        <f>SUM(I40:O40)</f>
        <v>103</v>
      </c>
      <c r="X40" s="104">
        <f>SUM(P40:V40)</f>
        <v>94.699999999999989</v>
      </c>
      <c r="Y40" s="104">
        <f>W40+X40</f>
        <v>197.7</v>
      </c>
      <c r="Z40" s="104">
        <f>SUM(Z9:Z39)</f>
        <v>343.02294632938839</v>
      </c>
      <c r="AA40" s="104">
        <f>SUM(AA9:AA39)</f>
        <v>1733.0248896036412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  <row r="56" spans="1:28" ht="15">
      <c r="B56" s="106" t="s">
        <v>66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9" ht="18" customHeight="1">
      <c r="A1" s="1" t="s">
        <v>67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9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160"/>
      <c r="X2" s="3"/>
      <c r="Y2" s="3"/>
      <c r="Z2" s="3"/>
      <c r="AA2" s="3"/>
      <c r="AB2" s="3"/>
    </row>
    <row r="3" spans="1:29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68</v>
      </c>
      <c r="W3" s="3"/>
      <c r="X3" s="6"/>
      <c r="Y3" s="6"/>
      <c r="Z3" s="6"/>
      <c r="AA3" s="6"/>
      <c r="AB3" s="3"/>
    </row>
    <row r="4" spans="1:29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9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9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9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9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161"/>
    </row>
    <row r="9" spans="1:29" ht="18" customHeight="1">
      <c r="A9" s="111">
        <v>1</v>
      </c>
      <c r="B9" s="57">
        <v>23.4</v>
      </c>
      <c r="C9" s="74">
        <f>'[1]cálculos teóricos'!K124</f>
        <v>0.97664731215234668</v>
      </c>
      <c r="D9" s="59">
        <f>IF(B9&gt;0,B9*C9*14.25*1.022,-999)</f>
        <v>332.8276332544184</v>
      </c>
      <c r="E9" s="60">
        <f>IF(B9&gt;0,D9*4.1868/100,-999)</f>
        <v>13.93482734909599</v>
      </c>
      <c r="F9" s="61">
        <f>IF(B9&gt;0,(7.86+1.25*D9)*4.1868/100,-999)</f>
        <v>17.747616666369986</v>
      </c>
      <c r="G9" s="62">
        <f>'[1]cálculos teóricos'!T124</f>
        <v>27.025832696871763</v>
      </c>
      <c r="H9" s="63">
        <f>IF(B9&gt;0,100*F9/G9,-999)</f>
        <v>65.669083596540844</v>
      </c>
      <c r="I9" s="64"/>
      <c r="J9" s="64">
        <v>0.2</v>
      </c>
      <c r="K9" s="64">
        <v>1</v>
      </c>
      <c r="L9" s="64">
        <v>1</v>
      </c>
      <c r="M9" s="64">
        <v>1</v>
      </c>
      <c r="N9" s="153">
        <v>1</v>
      </c>
      <c r="O9" s="65">
        <v>1</v>
      </c>
      <c r="P9" s="64">
        <v>1</v>
      </c>
      <c r="Q9" s="64">
        <v>1</v>
      </c>
      <c r="R9" s="64">
        <v>1</v>
      </c>
      <c r="S9" s="64">
        <v>1</v>
      </c>
      <c r="T9" s="64">
        <v>0.1</v>
      </c>
      <c r="U9" s="64"/>
      <c r="V9" s="65"/>
      <c r="W9" s="116">
        <f t="shared" ref="W9:W40" si="0">SUM(I9:O9)</f>
        <v>5.2</v>
      </c>
      <c r="X9" s="117">
        <f>SUM(P9:V9)</f>
        <v>4.0999999999999996</v>
      </c>
      <c r="Y9" s="118">
        <f>W9+X9</f>
        <v>9.3000000000000007</v>
      </c>
      <c r="Z9" s="71">
        <f>'[1]cálculos teóricos'!I124</f>
        <v>11.112164410845079</v>
      </c>
      <c r="AA9" s="72">
        <f>100*Y9/Z9</f>
        <v>83.692066245199996</v>
      </c>
      <c r="AB9" s="162"/>
      <c r="AC9" s="163"/>
    </row>
    <row r="10" spans="1:29" ht="18" customHeight="1">
      <c r="A10" s="111">
        <v>2</v>
      </c>
      <c r="B10" s="57">
        <v>25.9</v>
      </c>
      <c r="C10" s="74">
        <f>'[1]cálculos teóricos'!K125</f>
        <v>0.97573017659260319</v>
      </c>
      <c r="D10" s="59">
        <f>IF(B10&gt;0,B10*C10*14.25*1.022,-999)</f>
        <v>368.04020245428512</v>
      </c>
      <c r="E10" s="60">
        <f>IF(B10&gt;0,D10*4.1868/100,-999)</f>
        <v>15.409107196356008</v>
      </c>
      <c r="F10" s="61">
        <f>IF(B10&gt;0,(7.86+1.25*D10)*4.1868/100,-999)</f>
        <v>19.590466475445009</v>
      </c>
      <c r="G10" s="62">
        <f>'[1]cálculos teóricos'!T125</f>
        <v>26.855352608387982</v>
      </c>
      <c r="H10" s="75">
        <f>IF(B10&gt;0,100*F10/G10,-999)</f>
        <v>72.948088826531134</v>
      </c>
      <c r="I10" s="57"/>
      <c r="J10" s="82">
        <v>0.3</v>
      </c>
      <c r="K10" s="82">
        <v>1</v>
      </c>
      <c r="L10" s="82">
        <v>1</v>
      </c>
      <c r="M10" s="82">
        <v>1</v>
      </c>
      <c r="N10" s="82">
        <v>1</v>
      </c>
      <c r="O10" s="77">
        <v>1</v>
      </c>
      <c r="P10" s="79">
        <v>1</v>
      </c>
      <c r="Q10" s="79">
        <v>1</v>
      </c>
      <c r="R10" s="76">
        <v>1</v>
      </c>
      <c r="S10" s="76">
        <v>1</v>
      </c>
      <c r="T10" s="76">
        <v>0.8</v>
      </c>
      <c r="U10" s="76"/>
      <c r="V10" s="78"/>
      <c r="W10" s="116">
        <f t="shared" si="0"/>
        <v>5.3</v>
      </c>
      <c r="X10" s="117">
        <f t="shared" ref="X10:X39" si="1">SUM(P10:V10)</f>
        <v>4.8</v>
      </c>
      <c r="Y10" s="70">
        <f t="shared" ref="Y10:Y39" si="2">W10+X10</f>
        <v>10.1</v>
      </c>
      <c r="Z10" s="71">
        <f>'[1]cálculos teóricos'!I125</f>
        <v>11.093027134706757</v>
      </c>
      <c r="AA10" s="72">
        <f t="shared" ref="AA10:AA39" si="3">100*Y10/Z10</f>
        <v>91.048186192568906</v>
      </c>
      <c r="AB10" s="162"/>
      <c r="AC10" s="163"/>
    </row>
    <row r="11" spans="1:29" ht="18" customHeight="1">
      <c r="A11" s="111">
        <v>3</v>
      </c>
      <c r="B11" s="57">
        <v>19</v>
      </c>
      <c r="C11" s="74">
        <f>'[1]cálculos teóricos'!K126</f>
        <v>0.97481955853411284</v>
      </c>
      <c r="D11" s="59">
        <f t="shared" ref="D11:D39" si="4">IF(B11&gt;0,B11*C11*14.25*1.022,-999)</f>
        <v>269.73890817351952</v>
      </c>
      <c r="E11" s="60">
        <f t="shared" ref="E11:E39" si="5">IF(B11&gt;0,D11*4.1868/100,-999)</f>
        <v>11.293428607408915</v>
      </c>
      <c r="F11" s="61">
        <f t="shared" ref="F11:F39" si="6">IF(B11&gt;0,(7.86+1.25*D11)*4.1868/100,-999)</f>
        <v>14.445868239261145</v>
      </c>
      <c r="G11" s="62">
        <f>'[1]cálculos teóricos'!T126</f>
        <v>26.686764785681291</v>
      </c>
      <c r="H11" s="75">
        <f t="shared" ref="H11:H39" si="7">IF(B11&gt;0,100*F11/G11,-999)</f>
        <v>54.131208317210614</v>
      </c>
      <c r="I11" s="57"/>
      <c r="J11" s="82"/>
      <c r="K11" s="82">
        <v>0.7</v>
      </c>
      <c r="L11" s="82">
        <v>0.9</v>
      </c>
      <c r="M11" s="82">
        <v>1</v>
      </c>
      <c r="N11" s="82">
        <v>1</v>
      </c>
      <c r="O11" s="77">
        <v>0.8</v>
      </c>
      <c r="P11" s="79">
        <v>1</v>
      </c>
      <c r="Q11" s="79">
        <v>1</v>
      </c>
      <c r="R11" s="76">
        <v>1</v>
      </c>
      <c r="S11" s="76">
        <v>1</v>
      </c>
      <c r="T11" s="76">
        <v>0.8</v>
      </c>
      <c r="U11" s="76"/>
      <c r="V11" s="78"/>
      <c r="W11" s="116">
        <f t="shared" si="0"/>
        <v>4.4000000000000004</v>
      </c>
      <c r="X11" s="117">
        <f t="shared" si="1"/>
        <v>4.8</v>
      </c>
      <c r="Y11" s="70">
        <f t="shared" si="2"/>
        <v>9.1999999999999993</v>
      </c>
      <c r="Z11" s="71">
        <f>'[1]cálculos teóricos'!I126</f>
        <v>11.074090851918852</v>
      </c>
      <c r="AA11" s="72">
        <f t="shared" si="3"/>
        <v>83.076797210904928</v>
      </c>
      <c r="AB11" s="162"/>
      <c r="AC11" s="163"/>
    </row>
    <row r="12" spans="1:29" ht="18" customHeight="1">
      <c r="A12" s="111">
        <v>4</v>
      </c>
      <c r="B12" s="57">
        <v>23.8</v>
      </c>
      <c r="C12" s="74">
        <f>'[1]cálculos teóricos'!K127</f>
        <v>0.97391597308657185</v>
      </c>
      <c r="D12" s="59">
        <f t="shared" si="4"/>
        <v>337.57028152230168</v>
      </c>
      <c r="E12" s="60">
        <f t="shared" si="5"/>
        <v>14.133392546775726</v>
      </c>
      <c r="F12" s="61">
        <f t="shared" si="6"/>
        <v>17.995823163469659</v>
      </c>
      <c r="G12" s="62">
        <f>'[1]cálculos teóricos'!T127</f>
        <v>26.520140742037025</v>
      </c>
      <c r="H12" s="75">
        <f t="shared" si="7"/>
        <v>67.857193287607686</v>
      </c>
      <c r="I12" s="57"/>
      <c r="J12" s="82">
        <v>0.2</v>
      </c>
      <c r="K12" s="82">
        <v>1</v>
      </c>
      <c r="L12" s="82">
        <v>1</v>
      </c>
      <c r="M12" s="82">
        <v>1</v>
      </c>
      <c r="N12" s="82">
        <v>1</v>
      </c>
      <c r="O12" s="77">
        <v>1</v>
      </c>
      <c r="P12" s="79">
        <v>1</v>
      </c>
      <c r="Q12" s="79">
        <v>1</v>
      </c>
      <c r="R12" s="76">
        <v>1</v>
      </c>
      <c r="S12" s="76">
        <v>1</v>
      </c>
      <c r="T12" s="76">
        <v>0.8</v>
      </c>
      <c r="U12" s="76"/>
      <c r="V12" s="78"/>
      <c r="W12" s="116">
        <f t="shared" si="0"/>
        <v>5.2</v>
      </c>
      <c r="X12" s="117">
        <f t="shared" si="1"/>
        <v>4.8</v>
      </c>
      <c r="Y12" s="70">
        <f t="shared" si="2"/>
        <v>10</v>
      </c>
      <c r="Z12" s="71">
        <f>'[1]cálculos teóricos'!I127</f>
        <v>11.055362185063325</v>
      </c>
      <c r="AA12" s="72">
        <f t="shared" si="3"/>
        <v>90.453843416462618</v>
      </c>
      <c r="AB12" s="162"/>
      <c r="AC12" s="163"/>
    </row>
    <row r="13" spans="1:29" ht="18" customHeight="1">
      <c r="A13" s="73">
        <v>5</v>
      </c>
      <c r="B13" s="57">
        <v>24.1</v>
      </c>
      <c r="C13" s="74">
        <f>'[1]cálculos teóricos'!K128</f>
        <v>0.97301993739218018</v>
      </c>
      <c r="D13" s="59">
        <f t="shared" si="4"/>
        <v>341.51087818288551</v>
      </c>
      <c r="E13" s="60">
        <f t="shared" si="5"/>
        <v>14.29837744776105</v>
      </c>
      <c r="F13" s="61">
        <f t="shared" si="6"/>
        <v>18.202054289701312</v>
      </c>
      <c r="G13" s="62">
        <f>'[1]cálculos teóricos'!T128</f>
        <v>26.355551442021564</v>
      </c>
      <c r="H13" s="75">
        <f t="shared" si="7"/>
        <v>69.063454542938416</v>
      </c>
      <c r="I13" s="57"/>
      <c r="J13" s="82">
        <v>0.1</v>
      </c>
      <c r="K13" s="82">
        <v>1</v>
      </c>
      <c r="L13" s="82">
        <v>1</v>
      </c>
      <c r="M13" s="82">
        <v>1</v>
      </c>
      <c r="N13" s="82">
        <v>1</v>
      </c>
      <c r="O13" s="77">
        <v>1</v>
      </c>
      <c r="P13" s="79">
        <v>1</v>
      </c>
      <c r="Q13" s="79">
        <v>1</v>
      </c>
      <c r="R13" s="76">
        <v>1</v>
      </c>
      <c r="S13" s="76">
        <v>1</v>
      </c>
      <c r="T13" s="76">
        <v>1</v>
      </c>
      <c r="U13" s="76"/>
      <c r="V13" s="78"/>
      <c r="W13" s="116">
        <f t="shared" si="0"/>
        <v>5.0999999999999996</v>
      </c>
      <c r="X13" s="117">
        <f t="shared" si="1"/>
        <v>5</v>
      </c>
      <c r="Y13" s="70">
        <f t="shared" si="2"/>
        <v>10.1</v>
      </c>
      <c r="Z13" s="71">
        <f>'[1]cálculos teóricos'!I128</f>
        <v>11.036847866959667</v>
      </c>
      <c r="AA13" s="72">
        <f t="shared" si="3"/>
        <v>91.511635584248197</v>
      </c>
      <c r="AB13" s="162"/>
      <c r="AC13" s="163"/>
    </row>
    <row r="14" spans="1:29" ht="18" customHeight="1">
      <c r="A14" s="111">
        <v>6</v>
      </c>
      <c r="B14" s="57">
        <v>24.6</v>
      </c>
      <c r="C14" s="74">
        <f>'[1]cálculos teóricos'!K129</f>
        <v>0.97213197020477449</v>
      </c>
      <c r="D14" s="59">
        <f t="shared" si="4"/>
        <v>348.27804112269996</v>
      </c>
      <c r="E14" s="60">
        <f t="shared" si="5"/>
        <v>14.581705025725201</v>
      </c>
      <c r="F14" s="61">
        <f t="shared" si="6"/>
        <v>18.556213762156503</v>
      </c>
      <c r="G14" s="62">
        <f>'[1]cálculos teóricos'!T129</f>
        <v>26.193067257577663</v>
      </c>
      <c r="H14" s="75">
        <f t="shared" si="7"/>
        <v>70.843989287998269</v>
      </c>
      <c r="I14" s="57"/>
      <c r="J14" s="82">
        <v>0.3</v>
      </c>
      <c r="K14" s="82">
        <v>1</v>
      </c>
      <c r="L14" s="82">
        <v>1</v>
      </c>
      <c r="M14" s="82">
        <v>1</v>
      </c>
      <c r="N14" s="82">
        <v>1</v>
      </c>
      <c r="O14" s="77">
        <v>1</v>
      </c>
      <c r="P14" s="79">
        <v>1</v>
      </c>
      <c r="Q14" s="79">
        <v>1</v>
      </c>
      <c r="R14" s="76">
        <v>1</v>
      </c>
      <c r="S14" s="76">
        <v>1</v>
      </c>
      <c r="T14" s="76">
        <v>1</v>
      </c>
      <c r="U14" s="76">
        <v>0.1</v>
      </c>
      <c r="V14" s="78"/>
      <c r="W14" s="116">
        <f t="shared" si="0"/>
        <v>5.3</v>
      </c>
      <c r="X14" s="117">
        <f t="shared" si="1"/>
        <v>5.0999999999999996</v>
      </c>
      <c r="Y14" s="70">
        <f t="shared" si="2"/>
        <v>10.399999999999999</v>
      </c>
      <c r="Z14" s="71">
        <f>'[1]cálculos teóricos'!I129</f>
        <v>11.018554736668527</v>
      </c>
      <c r="AA14" s="72">
        <f t="shared" si="3"/>
        <v>94.386244371868045</v>
      </c>
      <c r="AB14" s="162"/>
      <c r="AC14" s="163"/>
    </row>
    <row r="15" spans="1:29" ht="18" customHeight="1">
      <c r="A15" s="73">
        <v>7</v>
      </c>
      <c r="B15" s="57">
        <v>22.4</v>
      </c>
      <c r="C15" s="74">
        <f>'[1]cálculos teóricos'!K130</f>
        <v>0.97125259145418985</v>
      </c>
      <c r="D15" s="59">
        <f t="shared" si="4"/>
        <v>316.84435139040534</v>
      </c>
      <c r="E15" s="60">
        <f t="shared" si="5"/>
        <v>13.265639304013492</v>
      </c>
      <c r="F15" s="61">
        <f t="shared" si="6"/>
        <v>16.911131610016863</v>
      </c>
      <c r="G15" s="62">
        <f>'[1]cálculos teóricos'!T130</f>
        <v>26.032757923837824</v>
      </c>
      <c r="H15" s="75">
        <f t="shared" si="7"/>
        <v>64.960968251971408</v>
      </c>
      <c r="I15" s="57"/>
      <c r="J15" s="82">
        <v>0.2</v>
      </c>
      <c r="K15" s="82">
        <v>1</v>
      </c>
      <c r="L15" s="82">
        <v>1</v>
      </c>
      <c r="M15" s="82">
        <v>1</v>
      </c>
      <c r="N15" s="82">
        <v>1</v>
      </c>
      <c r="O15" s="77">
        <v>1</v>
      </c>
      <c r="P15" s="79">
        <v>1</v>
      </c>
      <c r="Q15" s="79">
        <v>1</v>
      </c>
      <c r="R15" s="76">
        <v>1</v>
      </c>
      <c r="S15" s="76">
        <v>1</v>
      </c>
      <c r="T15" s="76">
        <v>0.9</v>
      </c>
      <c r="U15" s="76"/>
      <c r="V15" s="78"/>
      <c r="W15" s="116">
        <f t="shared" si="0"/>
        <v>5.2</v>
      </c>
      <c r="X15" s="117">
        <f t="shared" si="1"/>
        <v>4.9000000000000004</v>
      </c>
      <c r="Y15" s="70">
        <f t="shared" si="2"/>
        <v>10.100000000000001</v>
      </c>
      <c r="Z15" s="71">
        <f>'[1]cálculos teóricos'!I130</f>
        <v>11.000489734974462</v>
      </c>
      <c r="AA15" s="72">
        <f t="shared" si="3"/>
        <v>91.814094129723301</v>
      </c>
      <c r="AB15" s="162"/>
      <c r="AC15" s="163"/>
    </row>
    <row r="16" spans="1:29" ht="18" customHeight="1">
      <c r="A16" s="80">
        <v>8</v>
      </c>
      <c r="B16" s="76">
        <v>25</v>
      </c>
      <c r="C16" s="74">
        <f>'[1]cálculos teóricos'!K131</f>
        <v>0.97038232179618111</v>
      </c>
      <c r="D16" s="59">
        <f t="shared" si="4"/>
        <v>353.30407358696709</v>
      </c>
      <c r="E16" s="60">
        <f t="shared" si="5"/>
        <v>14.792134952939138</v>
      </c>
      <c r="F16" s="61">
        <f t="shared" si="6"/>
        <v>18.819251171173924</v>
      </c>
      <c r="G16" s="62">
        <f>'[1]cálculos teóricos'!T131</f>
        <v>25.874692494713734</v>
      </c>
      <c r="H16" s="75">
        <f t="shared" si="7"/>
        <v>72.732269861830218</v>
      </c>
      <c r="I16" s="79"/>
      <c r="J16" s="81">
        <v>0.3</v>
      </c>
      <c r="K16" s="81">
        <v>1</v>
      </c>
      <c r="L16" s="81">
        <v>1</v>
      </c>
      <c r="M16" s="81">
        <v>1</v>
      </c>
      <c r="N16" s="82">
        <v>1</v>
      </c>
      <c r="O16" s="78">
        <v>1</v>
      </c>
      <c r="P16" s="82">
        <v>1</v>
      </c>
      <c r="Q16" s="82">
        <v>1</v>
      </c>
      <c r="R16" s="81">
        <v>1</v>
      </c>
      <c r="S16" s="81">
        <v>1</v>
      </c>
      <c r="T16" s="81">
        <v>0.8</v>
      </c>
      <c r="U16" s="81"/>
      <c r="V16" s="78"/>
      <c r="W16" s="116">
        <f t="shared" si="0"/>
        <v>5.3</v>
      </c>
      <c r="X16" s="117">
        <f t="shared" si="1"/>
        <v>4.8</v>
      </c>
      <c r="Y16" s="70">
        <f t="shared" si="2"/>
        <v>10.1</v>
      </c>
      <c r="Z16" s="71">
        <f>'[1]cálculos teóricos'!I131</f>
        <v>10.982659899340732</v>
      </c>
      <c r="AA16" s="72">
        <f t="shared" si="3"/>
        <v>91.963150025307471</v>
      </c>
      <c r="AB16" s="162"/>
      <c r="AC16" s="163"/>
    </row>
    <row r="17" spans="1:29" ht="18" customHeight="1">
      <c r="A17" s="80">
        <v>9</v>
      </c>
      <c r="B17" s="76">
        <v>19</v>
      </c>
      <c r="C17" s="74">
        <f>'[1]cálculos teóricos'!K132</f>
        <v>0.96952168214831635</v>
      </c>
      <c r="D17" s="59">
        <f t="shared" si="4"/>
        <v>268.27295134137313</v>
      </c>
      <c r="E17" s="60">
        <f t="shared" si="5"/>
        <v>11.23205192676061</v>
      </c>
      <c r="F17" s="61">
        <f t="shared" si="6"/>
        <v>14.369147388450763</v>
      </c>
      <c r="G17" s="62">
        <f>'[1]cálculos teóricos'!T132</f>
        <v>25.718939298322645</v>
      </c>
      <c r="H17" s="75">
        <f t="shared" si="7"/>
        <v>55.869906693188931</v>
      </c>
      <c r="I17" s="79"/>
      <c r="J17" s="81"/>
      <c r="K17" s="81">
        <v>0.8</v>
      </c>
      <c r="L17" s="81">
        <v>1</v>
      </c>
      <c r="M17" s="81">
        <v>1</v>
      </c>
      <c r="N17" s="82">
        <v>0.6</v>
      </c>
      <c r="O17" s="78">
        <v>1</v>
      </c>
      <c r="P17" s="82">
        <v>0.8</v>
      </c>
      <c r="Q17" s="82">
        <v>0.5</v>
      </c>
      <c r="R17" s="81">
        <v>0.9</v>
      </c>
      <c r="S17" s="81">
        <v>0.2</v>
      </c>
      <c r="T17" s="81"/>
      <c r="U17" s="81"/>
      <c r="V17" s="78"/>
      <c r="W17" s="116">
        <f t="shared" si="0"/>
        <v>4.4000000000000004</v>
      </c>
      <c r="X17" s="117">
        <f t="shared" si="1"/>
        <v>2.4000000000000004</v>
      </c>
      <c r="Y17" s="70">
        <f t="shared" si="2"/>
        <v>6.8000000000000007</v>
      </c>
      <c r="Z17" s="71">
        <f>'[1]cálculos teóricos'!I132</f>
        <v>10.965072358330648</v>
      </c>
      <c r="AA17" s="72">
        <f t="shared" si="3"/>
        <v>62.015094636687387</v>
      </c>
      <c r="AB17" s="162"/>
      <c r="AC17" s="163"/>
    </row>
    <row r="18" spans="1:29" ht="18" customHeight="1">
      <c r="A18" s="80">
        <v>10</v>
      </c>
      <c r="B18" s="76">
        <v>20.2</v>
      </c>
      <c r="C18" s="74">
        <f>'[1]cálculos teóricos'!K133</f>
        <v>0.96867119321230488</v>
      </c>
      <c r="D18" s="59">
        <f t="shared" si="4"/>
        <v>284.9663070314175</v>
      </c>
      <c r="E18" s="60">
        <f t="shared" si="5"/>
        <v>11.930969342791389</v>
      </c>
      <c r="F18" s="61">
        <f t="shared" si="6"/>
        <v>15.242794158489234</v>
      </c>
      <c r="G18" s="62">
        <f>'[1]cálculos teóricos'!T133</f>
        <v>25.565565892314495</v>
      </c>
      <c r="H18" s="75">
        <f t="shared" si="7"/>
        <v>59.622361666836852</v>
      </c>
      <c r="I18" s="79"/>
      <c r="J18" s="81"/>
      <c r="K18" s="81"/>
      <c r="L18" s="81">
        <v>0.7</v>
      </c>
      <c r="M18" s="81">
        <v>1</v>
      </c>
      <c r="N18" s="82">
        <v>1</v>
      </c>
      <c r="O18" s="77">
        <v>1</v>
      </c>
      <c r="P18" s="82">
        <v>1</v>
      </c>
      <c r="Q18" s="82">
        <v>0.8</v>
      </c>
      <c r="R18" s="81">
        <v>0.7</v>
      </c>
      <c r="S18" s="81">
        <v>0.9</v>
      </c>
      <c r="T18" s="81">
        <v>0.5</v>
      </c>
      <c r="U18" s="81"/>
      <c r="V18" s="78"/>
      <c r="W18" s="116">
        <f t="shared" si="0"/>
        <v>3.7</v>
      </c>
      <c r="X18" s="117">
        <f t="shared" si="1"/>
        <v>3.9</v>
      </c>
      <c r="Y18" s="70">
        <f t="shared" si="2"/>
        <v>7.6</v>
      </c>
      <c r="Z18" s="71">
        <f>'[1]cálculos teóricos'!I133</f>
        <v>10.947734325491757</v>
      </c>
      <c r="AA18" s="72">
        <f t="shared" si="3"/>
        <v>69.420756606263538</v>
      </c>
      <c r="AB18" s="162"/>
      <c r="AC18" s="163"/>
    </row>
    <row r="19" spans="1:29" ht="18" customHeight="1">
      <c r="A19" s="85">
        <v>11</v>
      </c>
      <c r="B19" s="76">
        <v>21.9</v>
      </c>
      <c r="C19" s="74">
        <f>'[1]cálculos teóricos'!K134</f>
        <v>0.9678313749832993</v>
      </c>
      <c r="D19" s="59">
        <f t="shared" si="4"/>
        <v>308.68076782756719</v>
      </c>
      <c r="E19" s="60">
        <f t="shared" si="5"/>
        <v>12.923846387404582</v>
      </c>
      <c r="F19" s="61">
        <f t="shared" si="6"/>
        <v>16.48389046425573</v>
      </c>
      <c r="G19" s="62">
        <f>'[1]cálculos teóricos'!T134</f>
        <v>25.414639019166131</v>
      </c>
      <c r="H19" s="75">
        <f t="shared" si="7"/>
        <v>64.859825283469931</v>
      </c>
      <c r="I19" s="79"/>
      <c r="J19" s="81"/>
      <c r="K19" s="81">
        <v>0.6</v>
      </c>
      <c r="L19" s="81">
        <v>1</v>
      </c>
      <c r="M19" s="81">
        <v>1</v>
      </c>
      <c r="N19" s="81">
        <v>1</v>
      </c>
      <c r="O19" s="78">
        <v>1</v>
      </c>
      <c r="P19" s="82">
        <v>1</v>
      </c>
      <c r="Q19" s="82">
        <v>1</v>
      </c>
      <c r="R19" s="81">
        <v>1</v>
      </c>
      <c r="S19" s="81">
        <v>1</v>
      </c>
      <c r="T19" s="81">
        <v>0.7</v>
      </c>
      <c r="U19" s="81"/>
      <c r="V19" s="78"/>
      <c r="W19" s="116">
        <f t="shared" si="0"/>
        <v>4.5999999999999996</v>
      </c>
      <c r="X19" s="117">
        <f t="shared" si="1"/>
        <v>4.7</v>
      </c>
      <c r="Y19" s="70">
        <f t="shared" si="2"/>
        <v>9.3000000000000007</v>
      </c>
      <c r="Z19" s="71">
        <f>'[1]cálculos teóricos'!I134</f>
        <v>10.930653092700721</v>
      </c>
      <c r="AA19" s="72">
        <f t="shared" si="3"/>
        <v>85.081832907224552</v>
      </c>
      <c r="AB19" s="162"/>
      <c r="AC19" s="163"/>
    </row>
    <row r="20" spans="1:29" ht="18" customHeight="1">
      <c r="A20" s="85">
        <v>12</v>
      </c>
      <c r="B20" s="76">
        <v>21.9</v>
      </c>
      <c r="C20" s="74">
        <f>'[1]cálculos teóricos'!K135</f>
        <v>0.96700274624676985</v>
      </c>
      <c r="D20" s="59">
        <f t="shared" si="4"/>
        <v>308.4164844397298</v>
      </c>
      <c r="E20" s="60">
        <f t="shared" si="5"/>
        <v>12.912781370522607</v>
      </c>
      <c r="F20" s="61">
        <f t="shared" si="6"/>
        <v>16.470059193153258</v>
      </c>
      <c r="G20" s="62">
        <f>'[1]cálculos teóricos'!T135</f>
        <v>25.26622456151059</v>
      </c>
      <c r="H20" s="75">
        <f t="shared" si="7"/>
        <v>65.186071441172075</v>
      </c>
      <c r="I20" s="79"/>
      <c r="J20" s="81"/>
      <c r="K20" s="81">
        <v>1</v>
      </c>
      <c r="L20" s="81">
        <v>1</v>
      </c>
      <c r="M20" s="81">
        <v>1</v>
      </c>
      <c r="N20" s="81">
        <v>1</v>
      </c>
      <c r="O20" s="78">
        <v>1</v>
      </c>
      <c r="P20" s="82">
        <v>1</v>
      </c>
      <c r="Q20" s="82">
        <v>1</v>
      </c>
      <c r="R20" s="81">
        <v>1</v>
      </c>
      <c r="S20" s="81">
        <v>0.8</v>
      </c>
      <c r="T20" s="81">
        <v>0.2</v>
      </c>
      <c r="U20" s="81"/>
      <c r="V20" s="78"/>
      <c r="W20" s="116">
        <f t="shared" si="0"/>
        <v>5</v>
      </c>
      <c r="X20" s="117">
        <f t="shared" si="1"/>
        <v>4</v>
      </c>
      <c r="Y20" s="70">
        <f t="shared" si="2"/>
        <v>9</v>
      </c>
      <c r="Z20" s="71">
        <f>'[1]cálculos teóricos'!I135</f>
        <v>10.913836022969011</v>
      </c>
      <c r="AA20" s="72">
        <f t="shared" si="3"/>
        <v>82.464130678331657</v>
      </c>
      <c r="AB20" s="162"/>
      <c r="AC20" s="163"/>
    </row>
    <row r="21" spans="1:29" ht="18" customHeight="1">
      <c r="A21" s="85">
        <v>13</v>
      </c>
      <c r="B21" s="76">
        <v>24.1</v>
      </c>
      <c r="C21" s="74">
        <f>'[1]cálculos teóricos'!K136</f>
        <v>0.96618582406361775</v>
      </c>
      <c r="D21" s="59">
        <f t="shared" si="4"/>
        <v>339.11223869488697</v>
      </c>
      <c r="E21" s="60">
        <f t="shared" si="5"/>
        <v>14.197951209677527</v>
      </c>
      <c r="F21" s="61">
        <f t="shared" si="6"/>
        <v>18.076521492096909</v>
      </c>
      <c r="G21" s="62">
        <f>'[1]cálculos teóricos'!T136</f>
        <v>25.120387497571706</v>
      </c>
      <c r="H21" s="75">
        <f t="shared" si="7"/>
        <v>71.959564691604768</v>
      </c>
      <c r="I21" s="79"/>
      <c r="J21" s="81">
        <v>0.1</v>
      </c>
      <c r="K21" s="81">
        <v>1</v>
      </c>
      <c r="L21" s="81">
        <v>1</v>
      </c>
      <c r="M21" s="81">
        <v>1</v>
      </c>
      <c r="N21" s="81">
        <v>1</v>
      </c>
      <c r="O21" s="78">
        <v>1</v>
      </c>
      <c r="P21" s="82">
        <v>1</v>
      </c>
      <c r="Q21" s="82">
        <v>0.9</v>
      </c>
      <c r="R21" s="81">
        <v>1</v>
      </c>
      <c r="S21" s="81">
        <v>1</v>
      </c>
      <c r="T21" s="81">
        <v>0.2</v>
      </c>
      <c r="U21" s="81"/>
      <c r="V21" s="78"/>
      <c r="W21" s="116">
        <f t="shared" si="0"/>
        <v>5.0999999999999996</v>
      </c>
      <c r="X21" s="117">
        <f t="shared" si="1"/>
        <v>4.0999999999999996</v>
      </c>
      <c r="Y21" s="70">
        <f t="shared" si="2"/>
        <v>9.1999999999999993</v>
      </c>
      <c r="Z21" s="71">
        <f>'[1]cálculos teóricos'!I136</f>
        <v>10.897290542711382</v>
      </c>
      <c r="AA21" s="72">
        <f t="shared" si="3"/>
        <v>84.424655504421594</v>
      </c>
      <c r="AB21" s="162"/>
      <c r="AC21" s="163"/>
    </row>
    <row r="22" spans="1:29" ht="18" customHeight="1">
      <c r="A22" s="85">
        <v>14</v>
      </c>
      <c r="B22" s="76">
        <v>7.6</v>
      </c>
      <c r="C22" s="74">
        <f>'[1]cálculos teóricos'!K137</f>
        <v>0.96538112324425585</v>
      </c>
      <c r="D22" s="59">
        <f t="shared" si="4"/>
        <v>106.85089271159465</v>
      </c>
      <c r="E22" s="60">
        <f t="shared" si="5"/>
        <v>4.4736331760490451</v>
      </c>
      <c r="F22" s="61">
        <f t="shared" si="6"/>
        <v>5.9211239500613067</v>
      </c>
      <c r="G22" s="62">
        <f>'[1]cálculos teóricos'!T137</f>
        <v>24.977191856775008</v>
      </c>
      <c r="H22" s="75">
        <f t="shared" si="7"/>
        <v>23.706123506655192</v>
      </c>
      <c r="I22" s="79"/>
      <c r="J22" s="81"/>
      <c r="K22" s="81"/>
      <c r="L22" s="81"/>
      <c r="M22" s="81"/>
      <c r="N22" s="81"/>
      <c r="O22" s="78"/>
      <c r="P22" s="82"/>
      <c r="Q22" s="82"/>
      <c r="R22" s="81"/>
      <c r="S22" s="81">
        <v>0.1</v>
      </c>
      <c r="T22" s="81"/>
      <c r="U22" s="81"/>
      <c r="V22" s="78"/>
      <c r="W22" s="116">
        <f t="shared" si="0"/>
        <v>0</v>
      </c>
      <c r="X22" s="117">
        <f t="shared" si="1"/>
        <v>0.1</v>
      </c>
      <c r="Y22" s="70">
        <f t="shared" si="2"/>
        <v>0.1</v>
      </c>
      <c r="Z22" s="71">
        <f>'[1]cálculos teóricos'!I137</f>
        <v>10.881024133481446</v>
      </c>
      <c r="AA22" s="72">
        <f t="shared" si="3"/>
        <v>0.91903113873532438</v>
      </c>
      <c r="AB22" s="162"/>
      <c r="AC22" s="163"/>
    </row>
    <row r="23" spans="1:29" ht="18" customHeight="1">
      <c r="A23" s="85">
        <v>15</v>
      </c>
      <c r="B23" s="76">
        <v>5.0999999999999996</v>
      </c>
      <c r="C23" s="74">
        <f>'[1]cálculos teóricos'!K138</f>
        <v>0.96458915581244764</v>
      </c>
      <c r="D23" s="59">
        <f t="shared" si="4"/>
        <v>71.643750270440364</v>
      </c>
      <c r="E23" s="60">
        <f t="shared" si="5"/>
        <v>2.9995805363227972</v>
      </c>
      <c r="F23" s="61">
        <f t="shared" si="6"/>
        <v>4.078558150403496</v>
      </c>
      <c r="G23" s="62">
        <f>'[1]cálculos teóricos'!T138</f>
        <v>24.836700675606831</v>
      </c>
      <c r="H23" s="75">
        <f t="shared" si="7"/>
        <v>16.421497378712704</v>
      </c>
      <c r="I23" s="79"/>
      <c r="J23" s="81"/>
      <c r="K23" s="81"/>
      <c r="L23" s="81"/>
      <c r="M23" s="81"/>
      <c r="N23" s="81"/>
      <c r="O23" s="78"/>
      <c r="P23" s="82"/>
      <c r="Q23" s="82"/>
      <c r="R23" s="81"/>
      <c r="S23" s="81"/>
      <c r="T23" s="81"/>
      <c r="U23" s="81"/>
      <c r="V23" s="78"/>
      <c r="W23" s="116">
        <f t="shared" si="0"/>
        <v>0</v>
      </c>
      <c r="X23" s="117">
        <f t="shared" si="1"/>
        <v>0</v>
      </c>
      <c r="Y23" s="70">
        <f t="shared" si="2"/>
        <v>0</v>
      </c>
      <c r="Z23" s="71">
        <f>'[1]cálculos teóricos'!I138</f>
        <v>10.865044323181046</v>
      </c>
      <c r="AA23" s="72">
        <f t="shared" si="3"/>
        <v>0</v>
      </c>
      <c r="AB23" s="162"/>
      <c r="AC23" s="163"/>
    </row>
    <row r="24" spans="1:29" ht="18" customHeight="1">
      <c r="A24" s="85">
        <v>16</v>
      </c>
      <c r="B24" s="76">
        <v>18.3</v>
      </c>
      <c r="C24" s="74">
        <f>'[1]cálculos teóricos'!K139</f>
        <v>0.96381043045975534</v>
      </c>
      <c r="D24" s="59">
        <f t="shared" si="4"/>
        <v>256.86709363321188</v>
      </c>
      <c r="E24" s="60">
        <f t="shared" si="5"/>
        <v>10.754511476235313</v>
      </c>
      <c r="F24" s="61">
        <f t="shared" si="6"/>
        <v>13.772221825294144</v>
      </c>
      <c r="G24" s="62">
        <f>'[1]cálculos teóricos'!T139</f>
        <v>24.698975953794339</v>
      </c>
      <c r="H24" s="75">
        <f t="shared" si="7"/>
        <v>55.760294884527021</v>
      </c>
      <c r="I24" s="79"/>
      <c r="J24" s="81"/>
      <c r="K24" s="81"/>
      <c r="L24" s="81"/>
      <c r="M24" s="81">
        <v>0.2</v>
      </c>
      <c r="N24" s="81">
        <v>0.4</v>
      </c>
      <c r="O24" s="78">
        <v>0.8</v>
      </c>
      <c r="P24" s="82">
        <v>1</v>
      </c>
      <c r="Q24" s="82">
        <v>1</v>
      </c>
      <c r="R24" s="81">
        <v>1</v>
      </c>
      <c r="S24" s="81">
        <v>1</v>
      </c>
      <c r="T24" s="81">
        <v>0.6</v>
      </c>
      <c r="U24" s="81"/>
      <c r="V24" s="78"/>
      <c r="W24" s="116">
        <f t="shared" si="0"/>
        <v>1.4000000000000001</v>
      </c>
      <c r="X24" s="117">
        <f t="shared" si="1"/>
        <v>4.5999999999999996</v>
      </c>
      <c r="Y24" s="70">
        <f t="shared" si="2"/>
        <v>6</v>
      </c>
      <c r="Z24" s="71">
        <f>'[1]cálculos teóricos'!I139</f>
        <v>10.849358676752436</v>
      </c>
      <c r="AA24" s="72">
        <f t="shared" si="3"/>
        <v>55.302808016261416</v>
      </c>
      <c r="AB24" s="162"/>
      <c r="AC24" s="163"/>
    </row>
    <row r="25" spans="1:29" ht="18" customHeight="1">
      <c r="A25" s="85">
        <v>17</v>
      </c>
      <c r="B25" s="76">
        <v>22.8</v>
      </c>
      <c r="C25" s="74">
        <f>'[1]cálculos teóricos'!K140</f>
        <v>0.96304545199151148</v>
      </c>
      <c r="D25" s="59">
        <f t="shared" si="4"/>
        <v>319.77712363378708</v>
      </c>
      <c r="E25" s="60">
        <f t="shared" si="5"/>
        <v>13.388428612299396</v>
      </c>
      <c r="F25" s="61">
        <f t="shared" si="6"/>
        <v>17.064618245374248</v>
      </c>
      <c r="G25" s="62">
        <f>'[1]cálculos teóricos'!T140</f>
        <v>24.564078610878632</v>
      </c>
      <c r="H25" s="75">
        <f t="shared" si="7"/>
        <v>69.469807989528604</v>
      </c>
      <c r="I25" s="79"/>
      <c r="J25" s="81">
        <v>0.1</v>
      </c>
      <c r="K25" s="81">
        <v>1</v>
      </c>
      <c r="L25" s="81">
        <v>1</v>
      </c>
      <c r="M25" s="81">
        <v>1</v>
      </c>
      <c r="N25" s="81">
        <v>1</v>
      </c>
      <c r="O25" s="78">
        <v>1</v>
      </c>
      <c r="P25" s="82">
        <v>1</v>
      </c>
      <c r="Q25" s="82">
        <v>1</v>
      </c>
      <c r="R25" s="81">
        <v>1</v>
      </c>
      <c r="S25" s="81">
        <v>1</v>
      </c>
      <c r="T25" s="81">
        <v>0.6</v>
      </c>
      <c r="U25" s="81"/>
      <c r="V25" s="78"/>
      <c r="W25" s="116">
        <f t="shared" si="0"/>
        <v>5.0999999999999996</v>
      </c>
      <c r="X25" s="117">
        <f t="shared" si="1"/>
        <v>4.5999999999999996</v>
      </c>
      <c r="Y25" s="70">
        <f t="shared" si="2"/>
        <v>9.6999999999999993</v>
      </c>
      <c r="Z25" s="71">
        <f>'[1]cálculos teóricos'!I140</f>
        <v>10.833974786365069</v>
      </c>
      <c r="AA25" s="72">
        <f t="shared" si="3"/>
        <v>89.533160186119176</v>
      </c>
      <c r="AB25" s="162"/>
      <c r="AC25" s="163"/>
    </row>
    <row r="26" spans="1:29" ht="18" customHeight="1">
      <c r="A26" s="85">
        <v>18</v>
      </c>
      <c r="B26" s="76">
        <v>20.5</v>
      </c>
      <c r="C26" s="74">
        <f>'[1]cálculos teóricos'!K141</f>
        <v>0.96229472076527511</v>
      </c>
      <c r="D26" s="59">
        <f t="shared" si="4"/>
        <v>287.29477290023419</v>
      </c>
      <c r="E26" s="60">
        <f t="shared" si="5"/>
        <v>12.028457551787005</v>
      </c>
      <c r="F26" s="61">
        <f t="shared" si="6"/>
        <v>15.364654419733757</v>
      </c>
      <c r="G26" s="62">
        <f>'[1]cálculos teóricos'!T141</f>
        <v>24.432068443253335</v>
      </c>
      <c r="H26" s="75">
        <f t="shared" si="7"/>
        <v>62.887243687206301</v>
      </c>
      <c r="I26" s="79"/>
      <c r="J26" s="81"/>
      <c r="K26" s="81">
        <v>0.3</v>
      </c>
      <c r="L26" s="81">
        <v>1</v>
      </c>
      <c r="M26" s="81">
        <v>1</v>
      </c>
      <c r="N26" s="81">
        <v>1</v>
      </c>
      <c r="O26" s="78">
        <v>1</v>
      </c>
      <c r="P26" s="82">
        <v>1</v>
      </c>
      <c r="Q26" s="82">
        <v>1</v>
      </c>
      <c r="R26" s="81">
        <v>1</v>
      </c>
      <c r="S26" s="81">
        <v>1</v>
      </c>
      <c r="T26" s="81"/>
      <c r="U26" s="81"/>
      <c r="V26" s="78"/>
      <c r="W26" s="116">
        <f t="shared" si="0"/>
        <v>4.3</v>
      </c>
      <c r="X26" s="117">
        <f t="shared" si="1"/>
        <v>4</v>
      </c>
      <c r="Y26" s="70">
        <f t="shared" si="2"/>
        <v>8.3000000000000007</v>
      </c>
      <c r="Z26" s="71">
        <f>'[1]cálculos teóricos'!I141</f>
        <v>10.818900261111278</v>
      </c>
      <c r="AA26" s="72">
        <f t="shared" si="3"/>
        <v>76.717594207190288</v>
      </c>
      <c r="AB26" s="162"/>
      <c r="AC26" s="163"/>
    </row>
    <row r="27" spans="1:29" ht="18" customHeight="1">
      <c r="A27" s="85">
        <v>19</v>
      </c>
      <c r="B27" s="76">
        <v>16.2</v>
      </c>
      <c r="C27" s="74">
        <f>'[1]cálculos teóricos'!K142</f>
        <v>0.96155873212279996</v>
      </c>
      <c r="D27" s="59">
        <f t="shared" si="4"/>
        <v>226.85930164338043</v>
      </c>
      <c r="E27" s="60">
        <f t="shared" si="5"/>
        <v>9.4981452412050515</v>
      </c>
      <c r="F27" s="61">
        <f t="shared" si="6"/>
        <v>12.201764031506313</v>
      </c>
      <c r="G27" s="62">
        <f>'[1]cálculos teóricos'!T142</f>
        <v>24.3030040817398</v>
      </c>
      <c r="H27" s="75">
        <f t="shared" si="7"/>
        <v>50.206813900320157</v>
      </c>
      <c r="I27" s="79"/>
      <c r="J27" s="81"/>
      <c r="K27" s="81"/>
      <c r="L27" s="81"/>
      <c r="M27" s="81">
        <v>0.3</v>
      </c>
      <c r="N27" s="81">
        <v>0.1</v>
      </c>
      <c r="O27" s="78">
        <v>0.4</v>
      </c>
      <c r="P27" s="82">
        <v>0.7</v>
      </c>
      <c r="Q27" s="82">
        <v>0.5</v>
      </c>
      <c r="R27" s="81">
        <v>0.8</v>
      </c>
      <c r="S27" s="81">
        <v>1</v>
      </c>
      <c r="T27" s="81">
        <v>0.3</v>
      </c>
      <c r="U27" s="81"/>
      <c r="V27" s="78"/>
      <c r="W27" s="116">
        <f t="shared" si="0"/>
        <v>0.8</v>
      </c>
      <c r="X27" s="117">
        <f t="shared" si="1"/>
        <v>3.3</v>
      </c>
      <c r="Y27" s="70">
        <f t="shared" si="2"/>
        <v>4.0999999999999996</v>
      </c>
      <c r="Z27" s="71">
        <f>'[1]cálculos teóricos'!I142</f>
        <v>10.804142716228</v>
      </c>
      <c r="AA27" s="72">
        <f t="shared" si="3"/>
        <v>37.948406529670621</v>
      </c>
      <c r="AB27" s="162"/>
      <c r="AC27" s="163"/>
    </row>
    <row r="28" spans="1:29" ht="18" customHeight="1">
      <c r="A28" s="85">
        <v>20</v>
      </c>
      <c r="B28" s="76">
        <v>12.1</v>
      </c>
      <c r="C28" s="74">
        <f>'[1]cálculos teóricos'!K143</f>
        <v>0.9608379758165817</v>
      </c>
      <c r="D28" s="59">
        <f t="shared" si="4"/>
        <v>169.31728271573795</v>
      </c>
      <c r="E28" s="60">
        <f t="shared" si="5"/>
        <v>7.0889759927425162</v>
      </c>
      <c r="F28" s="61">
        <f t="shared" si="6"/>
        <v>9.1903024709281471</v>
      </c>
      <c r="G28" s="62">
        <f>'[1]cálculos teóricos'!T143</f>
        <v>24.176942949769266</v>
      </c>
      <c r="H28" s="75">
        <f t="shared" si="7"/>
        <v>38.012673852199562</v>
      </c>
      <c r="I28" s="79"/>
      <c r="J28" s="81"/>
      <c r="K28" s="81"/>
      <c r="L28" s="81">
        <v>0.5</v>
      </c>
      <c r="M28" s="81">
        <v>0.6</v>
      </c>
      <c r="N28" s="81">
        <v>0.4</v>
      </c>
      <c r="O28" s="78">
        <v>0.8</v>
      </c>
      <c r="P28" s="82">
        <v>0.6</v>
      </c>
      <c r="Q28" s="82"/>
      <c r="R28" s="81"/>
      <c r="S28" s="81"/>
      <c r="T28" s="81"/>
      <c r="U28" s="81"/>
      <c r="V28" s="78"/>
      <c r="W28" s="116">
        <f t="shared" si="0"/>
        <v>2.2999999999999998</v>
      </c>
      <c r="X28" s="117">
        <f t="shared" si="1"/>
        <v>0.6</v>
      </c>
      <c r="Y28" s="70">
        <f t="shared" si="2"/>
        <v>2.9</v>
      </c>
      <c r="Z28" s="71">
        <f>'[1]cálculos teóricos'!I143</f>
        <v>10.78970976186449</v>
      </c>
      <c r="AA28" s="72">
        <f t="shared" si="3"/>
        <v>26.877460691758891</v>
      </c>
      <c r="AB28" s="162"/>
      <c r="AC28" s="163"/>
    </row>
    <row r="29" spans="1:29" ht="18" customHeight="1">
      <c r="A29" s="85">
        <v>21</v>
      </c>
      <c r="B29" s="76">
        <v>14.4</v>
      </c>
      <c r="C29" s="74">
        <f>'[1]cálculos teóricos'!K144</f>
        <v>0.96013293543210909</v>
      </c>
      <c r="D29" s="59">
        <f t="shared" si="4"/>
        <v>201.35370247438351</v>
      </c>
      <c r="E29" s="60">
        <f t="shared" si="5"/>
        <v>8.4302768151974892</v>
      </c>
      <c r="F29" s="61">
        <f t="shared" si="6"/>
        <v>10.866928498996861</v>
      </c>
      <c r="G29" s="62">
        <f>'[1]cálculos teóricos'!T144</f>
        <v>24.053941222240866</v>
      </c>
      <c r="H29" s="75">
        <f t="shared" si="7"/>
        <v>45.17733039502496</v>
      </c>
      <c r="I29" s="79"/>
      <c r="J29" s="81"/>
      <c r="K29" s="81"/>
      <c r="L29" s="81"/>
      <c r="M29" s="81"/>
      <c r="N29" s="81"/>
      <c r="O29" s="78"/>
      <c r="P29" s="82">
        <v>0.4</v>
      </c>
      <c r="Q29" s="82">
        <v>1</v>
      </c>
      <c r="R29" s="81">
        <v>1</v>
      </c>
      <c r="S29" s="81">
        <v>1</v>
      </c>
      <c r="T29" s="81">
        <v>0.6</v>
      </c>
      <c r="U29" s="81"/>
      <c r="V29" s="78"/>
      <c r="W29" s="116">
        <f t="shared" si="0"/>
        <v>0</v>
      </c>
      <c r="X29" s="117">
        <f t="shared" si="1"/>
        <v>4</v>
      </c>
      <c r="Y29" s="70">
        <f t="shared" si="2"/>
        <v>4</v>
      </c>
      <c r="Z29" s="71">
        <f>'[1]cálculos teóricos'!I144</f>
        <v>10.775608991418745</v>
      </c>
      <c r="AA29" s="72">
        <f t="shared" si="3"/>
        <v>37.120871805811042</v>
      </c>
      <c r="AB29" s="162"/>
      <c r="AC29" s="163"/>
    </row>
    <row r="30" spans="1:29" ht="18" customHeight="1">
      <c r="A30" s="85">
        <v>22</v>
      </c>
      <c r="B30" s="76">
        <v>20.399999999999999</v>
      </c>
      <c r="C30" s="74">
        <f>'[1]cálculos teóricos'!K145</f>
        <v>0.95944408780698176</v>
      </c>
      <c r="D30" s="59">
        <f t="shared" si="4"/>
        <v>285.04642504465033</v>
      </c>
      <c r="E30" s="60">
        <f t="shared" si="5"/>
        <v>11.934323723769419</v>
      </c>
      <c r="F30" s="61">
        <f t="shared" si="6"/>
        <v>15.246987134711773</v>
      </c>
      <c r="G30" s="62">
        <f>'[1]cálculos teóricos'!T145</f>
        <v>23.934053785122181</v>
      </c>
      <c r="H30" s="75">
        <f t="shared" si="7"/>
        <v>63.704156728308028</v>
      </c>
      <c r="I30" s="79"/>
      <c r="J30" s="81"/>
      <c r="K30" s="81"/>
      <c r="L30" s="81">
        <v>0.7</v>
      </c>
      <c r="M30" s="81">
        <v>1</v>
      </c>
      <c r="N30" s="81">
        <v>1</v>
      </c>
      <c r="O30" s="78">
        <v>1</v>
      </c>
      <c r="P30" s="82">
        <v>1</v>
      </c>
      <c r="Q30" s="82">
        <v>1</v>
      </c>
      <c r="R30" s="81">
        <v>1</v>
      </c>
      <c r="S30" s="81">
        <v>0.8</v>
      </c>
      <c r="T30" s="81"/>
      <c r="U30" s="157"/>
      <c r="V30" s="78"/>
      <c r="W30" s="116">
        <f t="shared" si="0"/>
        <v>3.7</v>
      </c>
      <c r="X30" s="117">
        <f t="shared" si="1"/>
        <v>3.8</v>
      </c>
      <c r="Y30" s="70">
        <f t="shared" si="2"/>
        <v>7.5</v>
      </c>
      <c r="Z30" s="71">
        <f>'[1]cálculos teóricos'!I145</f>
        <v>10.761847969468413</v>
      </c>
      <c r="AA30" s="72">
        <f t="shared" si="3"/>
        <v>69.690633256273983</v>
      </c>
      <c r="AB30" s="162"/>
      <c r="AC30" s="163"/>
    </row>
    <row r="31" spans="1:29" ht="18" customHeight="1">
      <c r="A31" s="85">
        <v>23</v>
      </c>
      <c r="B31" s="76">
        <v>24.1</v>
      </c>
      <c r="C31" s="74">
        <f>'[1]cálculos teóricos'!K146</f>
        <v>0.95877190244810251</v>
      </c>
      <c r="D31" s="59">
        <f t="shared" si="4"/>
        <v>336.5100978914009</v>
      </c>
      <c r="E31" s="60">
        <f t="shared" si="5"/>
        <v>14.089004778517172</v>
      </c>
      <c r="F31" s="61">
        <f t="shared" si="6"/>
        <v>17.940338453146467</v>
      </c>
      <c r="G31" s="62">
        <f>'[1]cálculos teóricos'!T146</f>
        <v>23.81733419585737</v>
      </c>
      <c r="H31" s="75">
        <f t="shared" si="7"/>
        <v>75.324712268877221</v>
      </c>
      <c r="I31" s="79"/>
      <c r="J31" s="81"/>
      <c r="K31" s="81">
        <v>0.7</v>
      </c>
      <c r="L31" s="81">
        <v>1</v>
      </c>
      <c r="M31" s="81">
        <v>1</v>
      </c>
      <c r="N31" s="81">
        <v>1</v>
      </c>
      <c r="O31" s="78">
        <v>1</v>
      </c>
      <c r="P31" s="82">
        <v>1</v>
      </c>
      <c r="Q31" s="82">
        <v>1</v>
      </c>
      <c r="R31" s="81">
        <v>1</v>
      </c>
      <c r="S31" s="81">
        <v>1</v>
      </c>
      <c r="T31" s="81">
        <v>0.5</v>
      </c>
      <c r="U31" s="81"/>
      <c r="V31" s="78"/>
      <c r="W31" s="116">
        <f t="shared" si="0"/>
        <v>4.7</v>
      </c>
      <c r="X31" s="117">
        <f t="shared" si="1"/>
        <v>4.5</v>
      </c>
      <c r="Y31" s="70">
        <f t="shared" si="2"/>
        <v>9.1999999999999993</v>
      </c>
      <c r="Z31" s="71">
        <f>'[1]cálculos teóricos'!I146</f>
        <v>10.748434219324782</v>
      </c>
      <c r="AA31" s="72">
        <f t="shared" si="3"/>
        <v>85.593862438671962</v>
      </c>
      <c r="AB31" s="162"/>
      <c r="AC31" s="163"/>
    </row>
    <row r="32" spans="1:29" ht="18" customHeight="1">
      <c r="A32" s="85">
        <v>24</v>
      </c>
      <c r="B32" s="76">
        <v>9.6999999999999993</v>
      </c>
      <c r="C32" s="74">
        <f>'[1]cálculos teóricos'!K147</f>
        <v>0.95811684094818839</v>
      </c>
      <c r="D32" s="59">
        <f t="shared" si="4"/>
        <v>135.34928574754474</v>
      </c>
      <c r="E32" s="60">
        <f t="shared" si="5"/>
        <v>5.6668038956782025</v>
      </c>
      <c r="F32" s="61">
        <f t="shared" si="6"/>
        <v>7.4125873495977546</v>
      </c>
      <c r="G32" s="62">
        <f>'[1]cálculos teóricos'!T147</f>
        <v>23.703834644645326</v>
      </c>
      <c r="H32" s="75">
        <f t="shared" si="7"/>
        <v>31.271680134134968</v>
      </c>
      <c r="I32" s="79"/>
      <c r="J32" s="81"/>
      <c r="K32" s="81">
        <v>0.6</v>
      </c>
      <c r="L32" s="81">
        <v>1</v>
      </c>
      <c r="M32" s="81">
        <v>0.7</v>
      </c>
      <c r="N32" s="81">
        <v>0.9</v>
      </c>
      <c r="O32" s="78">
        <v>0.4</v>
      </c>
      <c r="P32" s="82">
        <v>0.1</v>
      </c>
      <c r="Q32" s="82"/>
      <c r="R32" s="81"/>
      <c r="S32" s="81"/>
      <c r="T32" s="81"/>
      <c r="U32" s="81"/>
      <c r="V32" s="78"/>
      <c r="W32" s="116">
        <f t="shared" si="0"/>
        <v>3.5999999999999996</v>
      </c>
      <c r="X32" s="117">
        <f t="shared" si="1"/>
        <v>0.1</v>
      </c>
      <c r="Y32" s="70">
        <f t="shared" si="2"/>
        <v>3.6999999999999997</v>
      </c>
      <c r="Z32" s="71">
        <f>'[1]cálculos teóricos'!I147</f>
        <v>10.735375210241287</v>
      </c>
      <c r="AA32" s="72">
        <f t="shared" si="3"/>
        <v>34.465493078157998</v>
      </c>
      <c r="AB32" s="162"/>
      <c r="AC32" s="163"/>
    </row>
    <row r="33" spans="1:29" ht="18" customHeight="1">
      <c r="A33" s="164">
        <v>25</v>
      </c>
      <c r="B33" s="76">
        <v>9.6</v>
      </c>
      <c r="C33" s="74">
        <f>'[1]cálculos teóricos'!K148</f>
        <v>0.95747935640287785</v>
      </c>
      <c r="D33" s="59">
        <f t="shared" si="4"/>
        <v>133.86480582694378</v>
      </c>
      <c r="E33" s="60">
        <f t="shared" si="5"/>
        <v>5.6046516903624823</v>
      </c>
      <c r="F33" s="61">
        <f t="shared" si="6"/>
        <v>7.3348970929531028</v>
      </c>
      <c r="G33" s="62">
        <f>'[1]cálculos teóricos'!T148</f>
        <v>23.593605916647533</v>
      </c>
      <c r="H33" s="75">
        <f t="shared" si="7"/>
        <v>31.088495412130431</v>
      </c>
      <c r="I33" s="79"/>
      <c r="J33" s="81"/>
      <c r="K33" s="81"/>
      <c r="L33" s="81"/>
      <c r="M33" s="81"/>
      <c r="N33" s="81">
        <v>0.3</v>
      </c>
      <c r="O33" s="78"/>
      <c r="P33" s="82"/>
      <c r="Q33" s="82"/>
      <c r="R33" s="81"/>
      <c r="S33" s="81"/>
      <c r="T33" s="81"/>
      <c r="U33" s="81"/>
      <c r="V33" s="78"/>
      <c r="W33" s="116">
        <f t="shared" si="0"/>
        <v>0.3</v>
      </c>
      <c r="X33" s="117">
        <f t="shared" si="1"/>
        <v>0</v>
      </c>
      <c r="Y33" s="70">
        <f t="shared" si="2"/>
        <v>0.3</v>
      </c>
      <c r="Z33" s="71">
        <f>'[1]cálculos teóricos'!I148</f>
        <v>10.722678344310896</v>
      </c>
      <c r="AA33" s="72">
        <f t="shared" si="3"/>
        <v>2.7978084426935199</v>
      </c>
      <c r="AB33" s="162"/>
      <c r="AC33" s="163"/>
    </row>
    <row r="34" spans="1:29" ht="18" customHeight="1">
      <c r="A34" s="85">
        <v>26</v>
      </c>
      <c r="B34" s="76">
        <v>5.4</v>
      </c>
      <c r="C34" s="74">
        <f>'[1]cálculos teóricos'!K149</f>
        <v>0.95685989282974016</v>
      </c>
      <c r="D34" s="59">
        <f t="shared" si="4"/>
        <v>75.250236865819986</v>
      </c>
      <c r="E34" s="60">
        <f t="shared" si="5"/>
        <v>3.1505769170981512</v>
      </c>
      <c r="F34" s="61">
        <f t="shared" si="6"/>
        <v>4.2673036263726889</v>
      </c>
      <c r="G34" s="62">
        <f>'[1]cálculos teóricos'!T149</f>
        <v>23.486697355182486</v>
      </c>
      <c r="H34" s="75">
        <f t="shared" si="7"/>
        <v>18.169023774775564</v>
      </c>
      <c r="I34" s="79"/>
      <c r="J34" s="81"/>
      <c r="K34" s="81"/>
      <c r="L34" s="81"/>
      <c r="M34" s="81"/>
      <c r="N34" s="81"/>
      <c r="O34" s="78"/>
      <c r="P34" s="82"/>
      <c r="Q34" s="82"/>
      <c r="R34" s="81"/>
      <c r="S34" s="81"/>
      <c r="T34" s="81"/>
      <c r="U34" s="81"/>
      <c r="V34" s="78"/>
      <c r="W34" s="116">
        <f t="shared" si="0"/>
        <v>0</v>
      </c>
      <c r="X34" s="117">
        <f t="shared" si="1"/>
        <v>0</v>
      </c>
      <c r="Y34" s="70">
        <f t="shared" si="2"/>
        <v>0</v>
      </c>
      <c r="Z34" s="71">
        <f>'[1]cálculos teóricos'!I149</f>
        <v>10.710350943089647</v>
      </c>
      <c r="AA34" s="72">
        <f t="shared" si="3"/>
        <v>0</v>
      </c>
      <c r="AB34" s="162"/>
      <c r="AC34" s="163"/>
    </row>
    <row r="35" spans="1:29" ht="18" customHeight="1">
      <c r="A35" s="85">
        <v>27</v>
      </c>
      <c r="B35" s="76">
        <v>7.6</v>
      </c>
      <c r="C35" s="74">
        <f>'[1]cálculos teóricos'!K150</f>
        <v>0.95625888459052066</v>
      </c>
      <c r="D35" s="59">
        <f t="shared" si="4"/>
        <v>105.84121961957877</v>
      </c>
      <c r="E35" s="60">
        <f t="shared" si="5"/>
        <v>4.4313601830325231</v>
      </c>
      <c r="F35" s="61">
        <f t="shared" si="6"/>
        <v>5.8682827087906553</v>
      </c>
      <c r="G35" s="62">
        <f>'[1]cálculos teóricos'!T150</f>
        <v>23.38315682596054</v>
      </c>
      <c r="H35" s="75">
        <f t="shared" si="7"/>
        <v>25.096195318997932</v>
      </c>
      <c r="I35" s="79"/>
      <c r="J35" s="81"/>
      <c r="K35" s="81"/>
      <c r="L35" s="81"/>
      <c r="M35" s="81"/>
      <c r="N35" s="81"/>
      <c r="O35" s="78"/>
      <c r="P35" s="82"/>
      <c r="Q35" s="82"/>
      <c r="R35" s="81">
        <v>0.3</v>
      </c>
      <c r="S35" s="81"/>
      <c r="T35" s="81"/>
      <c r="U35" s="81"/>
      <c r="V35" s="78"/>
      <c r="W35" s="116">
        <f t="shared" si="0"/>
        <v>0</v>
      </c>
      <c r="X35" s="117">
        <f t="shared" si="1"/>
        <v>0.3</v>
      </c>
      <c r="Y35" s="70">
        <f t="shared" si="2"/>
        <v>0.3</v>
      </c>
      <c r="Z35" s="71">
        <f>'[1]cálculos teóricos'!I150</f>
        <v>10.698400233986028</v>
      </c>
      <c r="AA35" s="72">
        <f t="shared" si="3"/>
        <v>2.8041575697175567</v>
      </c>
      <c r="AB35" s="162"/>
      <c r="AC35" s="163"/>
    </row>
    <row r="36" spans="1:29" ht="18" customHeight="1">
      <c r="A36" s="85">
        <v>28</v>
      </c>
      <c r="B36" s="76">
        <v>10</v>
      </c>
      <c r="C36" s="74">
        <f>'[1]cálculos teóricos'!K151</f>
        <v>0.95567675581796974</v>
      </c>
      <c r="D36" s="59">
        <f t="shared" si="4"/>
        <v>139.17998433355001</v>
      </c>
      <c r="E36" s="60">
        <f t="shared" si="5"/>
        <v>5.8271875840770715</v>
      </c>
      <c r="F36" s="61">
        <f t="shared" si="6"/>
        <v>7.6130669600963401</v>
      </c>
      <c r="G36" s="62">
        <f>'[1]cálculos teóricos'!T151</f>
        <v>23.283030682409645</v>
      </c>
      <c r="H36" s="75">
        <f t="shared" si="7"/>
        <v>32.697920919066696</v>
      </c>
      <c r="I36" s="79"/>
      <c r="J36" s="81"/>
      <c r="K36" s="81"/>
      <c r="L36" s="81">
        <v>0.3</v>
      </c>
      <c r="M36" s="81">
        <v>0.5</v>
      </c>
      <c r="N36" s="81"/>
      <c r="O36" s="78">
        <v>0.2</v>
      </c>
      <c r="P36" s="82">
        <v>0.5</v>
      </c>
      <c r="Q36" s="82">
        <v>0.5</v>
      </c>
      <c r="R36" s="81">
        <v>0.7</v>
      </c>
      <c r="S36" s="81">
        <v>0.4</v>
      </c>
      <c r="T36" s="81"/>
      <c r="U36" s="81"/>
      <c r="V36" s="78"/>
      <c r="W36" s="116">
        <f t="shared" si="0"/>
        <v>1</v>
      </c>
      <c r="X36" s="117">
        <f t="shared" si="1"/>
        <v>2.1</v>
      </c>
      <c r="Y36" s="70">
        <f t="shared" si="2"/>
        <v>3.1</v>
      </c>
      <c r="Z36" s="71">
        <f>'[1]cálculos teóricos'!I151</f>
        <v>10.686833336458804</v>
      </c>
      <c r="AA36" s="72">
        <f t="shared" si="3"/>
        <v>29.007657389248834</v>
      </c>
      <c r="AB36" s="162"/>
      <c r="AC36" s="163"/>
    </row>
    <row r="37" spans="1:29" ht="18" customHeight="1">
      <c r="A37" s="85">
        <v>29</v>
      </c>
      <c r="B37" s="76">
        <v>22.7</v>
      </c>
      <c r="C37" s="74">
        <f>'[1]cálculos teóricos'!K152</f>
        <v>0.95511391984862659</v>
      </c>
      <c r="D37" s="59">
        <f t="shared" si="4"/>
        <v>315.75249567794123</v>
      </c>
      <c r="E37" s="60">
        <f t="shared" si="5"/>
        <v>13.219925489044043</v>
      </c>
      <c r="F37" s="61">
        <f t="shared" si="6"/>
        <v>16.853989341305052</v>
      </c>
      <c r="G37" s="62">
        <f>'[1]cálculos teóricos'!T152</f>
        <v>23.186363732139114</v>
      </c>
      <c r="H37" s="75">
        <f t="shared" si="7"/>
        <v>72.689230342502469</v>
      </c>
      <c r="I37" s="79"/>
      <c r="J37" s="81"/>
      <c r="K37" s="81">
        <v>1</v>
      </c>
      <c r="L37" s="81">
        <v>1</v>
      </c>
      <c r="M37" s="81">
        <v>1</v>
      </c>
      <c r="N37" s="81">
        <v>1</v>
      </c>
      <c r="O37" s="78">
        <v>1</v>
      </c>
      <c r="P37" s="82">
        <v>1</v>
      </c>
      <c r="Q37" s="82">
        <v>1</v>
      </c>
      <c r="R37" s="81">
        <v>1</v>
      </c>
      <c r="S37" s="81">
        <v>1</v>
      </c>
      <c r="T37" s="81">
        <v>0.9</v>
      </c>
      <c r="U37" s="81"/>
      <c r="V37" s="78"/>
      <c r="W37" s="116">
        <f t="shared" si="0"/>
        <v>5</v>
      </c>
      <c r="X37" s="117">
        <f t="shared" si="1"/>
        <v>4.9000000000000004</v>
      </c>
      <c r="Y37" s="70">
        <f t="shared" si="2"/>
        <v>9.9</v>
      </c>
      <c r="Z37" s="71">
        <f>'[1]cálculos teóricos'!I152</f>
        <v>10.675657248068191</v>
      </c>
      <c r="AA37" s="72">
        <f t="shared" si="3"/>
        <v>92.734337286741294</v>
      </c>
      <c r="AB37" s="162"/>
      <c r="AC37" s="163"/>
    </row>
    <row r="38" spans="1:29" ht="18" customHeight="1">
      <c r="A38" s="80">
        <v>30</v>
      </c>
      <c r="B38" s="76">
        <v>16.600000000000001</v>
      </c>
      <c r="C38" s="74">
        <f>'[1]cálculos teóricos'!K153</f>
        <v>0.95457077866293116</v>
      </c>
      <c r="D38" s="59">
        <f t="shared" si="4"/>
        <v>230.77139948195617</v>
      </c>
      <c r="E38" s="60">
        <f t="shared" si="5"/>
        <v>9.6619369535105406</v>
      </c>
      <c r="F38" s="61">
        <f t="shared" si="6"/>
        <v>12.406503671888176</v>
      </c>
      <c r="G38" s="62">
        <f>'[1]cálculos teóricos'!T153</f>
        <v>23.093199204585154</v>
      </c>
      <c r="H38" s="75">
        <f t="shared" si="7"/>
        <v>53.723624699971694</v>
      </c>
      <c r="I38" s="79"/>
      <c r="J38" s="81"/>
      <c r="K38" s="81"/>
      <c r="L38" s="81">
        <v>0.7</v>
      </c>
      <c r="M38" s="81">
        <v>0.8</v>
      </c>
      <c r="N38" s="81">
        <v>0.4</v>
      </c>
      <c r="O38" s="78">
        <v>0.9</v>
      </c>
      <c r="P38" s="82">
        <v>1</v>
      </c>
      <c r="Q38" s="82">
        <v>1</v>
      </c>
      <c r="R38" s="81">
        <v>0.9</v>
      </c>
      <c r="S38" s="81">
        <v>0.5</v>
      </c>
      <c r="T38" s="81">
        <v>0.3</v>
      </c>
      <c r="U38" s="81"/>
      <c r="V38" s="78"/>
      <c r="W38" s="116">
        <f t="shared" si="0"/>
        <v>2.8</v>
      </c>
      <c r="X38" s="117">
        <f t="shared" si="1"/>
        <v>3.6999999999999997</v>
      </c>
      <c r="Y38" s="126">
        <f t="shared" si="2"/>
        <v>6.5</v>
      </c>
      <c r="Z38" s="71">
        <f>'[1]cálculos teóricos'!I153</f>
        <v>10.66487883042762</v>
      </c>
      <c r="AA38" s="72">
        <f t="shared" si="3"/>
        <v>60.947715425092881</v>
      </c>
      <c r="AB38" s="162"/>
      <c r="AC38" s="163"/>
    </row>
    <row r="39" spans="1:29" ht="18" customHeight="1" thickBot="1">
      <c r="A39" s="86">
        <v>31</v>
      </c>
      <c r="B39" s="87">
        <v>19</v>
      </c>
      <c r="C39" s="88">
        <f>'[1]cálculos teóricos'!K154</f>
        <v>0.95404772233404822</v>
      </c>
      <c r="D39" s="89">
        <f t="shared" si="4"/>
        <v>263.99120608002636</v>
      </c>
      <c r="E39" s="90">
        <f t="shared" si="5"/>
        <v>11.052783816158545</v>
      </c>
      <c r="F39" s="91">
        <f t="shared" si="6"/>
        <v>14.14506225019818</v>
      </c>
      <c r="G39" s="92">
        <f>'[1]cálculos teóricos'!T154</f>
        <v>23.003578719878121</v>
      </c>
      <c r="H39" s="93">
        <f t="shared" si="7"/>
        <v>61.490702913868716</v>
      </c>
      <c r="I39" s="94"/>
      <c r="J39" s="87"/>
      <c r="K39" s="87"/>
      <c r="L39" s="87">
        <v>0.9</v>
      </c>
      <c r="M39" s="87">
        <v>0.9</v>
      </c>
      <c r="N39" s="87">
        <v>1</v>
      </c>
      <c r="O39" s="95">
        <v>0.8</v>
      </c>
      <c r="P39" s="94">
        <v>1</v>
      </c>
      <c r="Q39" s="94">
        <v>0.9</v>
      </c>
      <c r="R39" s="87">
        <v>1</v>
      </c>
      <c r="S39" s="87">
        <v>1</v>
      </c>
      <c r="T39" s="87">
        <v>0.4</v>
      </c>
      <c r="U39" s="87"/>
      <c r="V39" s="95"/>
      <c r="W39" s="116">
        <f t="shared" si="0"/>
        <v>3.5999999999999996</v>
      </c>
      <c r="X39" s="117">
        <f t="shared" si="1"/>
        <v>4.3</v>
      </c>
      <c r="Y39" s="99">
        <f t="shared" si="2"/>
        <v>7.8999999999999995</v>
      </c>
      <c r="Z39" s="100">
        <f>'[1]cálculos teóricos'!I154</f>
        <v>10.654504795105451</v>
      </c>
      <c r="AA39" s="101">
        <f t="shared" si="3"/>
        <v>74.147040636080646</v>
      </c>
      <c r="AB39" s="162"/>
      <c r="AC39" s="163"/>
    </row>
    <row r="40" spans="1:29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</v>
      </c>
      <c r="J40" s="103">
        <f t="shared" ref="J40:V40" si="8">SUM(J9:J39)</f>
        <v>1.8</v>
      </c>
      <c r="K40" s="103">
        <f t="shared" si="8"/>
        <v>14.7</v>
      </c>
      <c r="L40" s="103">
        <f t="shared" si="8"/>
        <v>20.699999999999996</v>
      </c>
      <c r="M40" s="103">
        <f t="shared" si="8"/>
        <v>22</v>
      </c>
      <c r="N40" s="103">
        <f t="shared" si="8"/>
        <v>21.099999999999998</v>
      </c>
      <c r="O40" s="103">
        <f t="shared" si="8"/>
        <v>22.099999999999998</v>
      </c>
      <c r="P40" s="103">
        <f t="shared" si="8"/>
        <v>23.1</v>
      </c>
      <c r="Q40" s="103">
        <f t="shared" si="8"/>
        <v>22.1</v>
      </c>
      <c r="R40" s="103">
        <f t="shared" si="8"/>
        <v>23.299999999999997</v>
      </c>
      <c r="S40" s="103">
        <f t="shared" si="8"/>
        <v>21.7</v>
      </c>
      <c r="T40" s="103">
        <f t="shared" si="8"/>
        <v>12.000000000000002</v>
      </c>
      <c r="U40" s="103">
        <f t="shared" si="8"/>
        <v>0.1</v>
      </c>
      <c r="V40" s="103">
        <f t="shared" si="8"/>
        <v>0</v>
      </c>
      <c r="W40" s="104">
        <f t="shared" si="0"/>
        <v>102.39999999999999</v>
      </c>
      <c r="X40" s="104">
        <f>SUM(P40:V40)</f>
        <v>102.3</v>
      </c>
      <c r="Y40" s="104">
        <f>W40+X40</f>
        <v>204.7</v>
      </c>
      <c r="Z40" s="104">
        <f>SUM(Z9:Z39)</f>
        <v>336.70450794356452</v>
      </c>
      <c r="AA40" s="104">
        <f>SUM(AA9:AA39)</f>
        <v>1877.9605256074378</v>
      </c>
      <c r="AB40" s="102"/>
    </row>
    <row r="41" spans="1:29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9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9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9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9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9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9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9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69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5</v>
      </c>
      <c r="W3" s="3"/>
      <c r="X3" s="3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1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165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57">
        <v>22.5</v>
      </c>
      <c r="C9" s="74">
        <f>'[1]cálculos teóricos'!K155</f>
        <v>0.95354512848678641</v>
      </c>
      <c r="D9" s="59">
        <f>IF(B9&gt;0,B9*C9*14.25*1.022,-999)</f>
        <v>312.45647577113959</v>
      </c>
      <c r="E9" s="60">
        <f>IF(B9&gt;0,D9*4.1868/100,-999)</f>
        <v>13.081927727586072</v>
      </c>
      <c r="F9" s="61">
        <f>IF(B9&gt;0,(7.86+1.25*D9)*4.1868/100,-999)</f>
        <v>16.681492139482589</v>
      </c>
      <c r="G9" s="62">
        <f>'[1]cálculos teóricos'!T155</f>
        <v>22.917542258968254</v>
      </c>
      <c r="H9" s="63">
        <f>IF(B9&gt;0,100*F9/G9,-999)</f>
        <v>72.789184594847512</v>
      </c>
      <c r="I9" s="166"/>
      <c r="J9" s="64"/>
      <c r="K9" s="64">
        <v>0.4</v>
      </c>
      <c r="L9" s="167">
        <v>1</v>
      </c>
      <c r="M9" s="167">
        <v>1</v>
      </c>
      <c r="N9" s="167">
        <v>1</v>
      </c>
      <c r="O9" s="168">
        <v>1</v>
      </c>
      <c r="P9" s="167">
        <v>1</v>
      </c>
      <c r="Q9" s="167">
        <v>1</v>
      </c>
      <c r="R9" s="167">
        <v>1</v>
      </c>
      <c r="S9" s="64">
        <v>1</v>
      </c>
      <c r="T9" s="64">
        <v>0.8</v>
      </c>
      <c r="U9" s="64"/>
      <c r="V9" s="65"/>
      <c r="W9" s="117">
        <f t="shared" ref="W9:W38" si="0">SUM(I9:O9)</f>
        <v>4.4000000000000004</v>
      </c>
      <c r="X9" s="117">
        <f>SUM(P9:V9)</f>
        <v>4.8</v>
      </c>
      <c r="Y9" s="118">
        <f>W9+X9</f>
        <v>9.1999999999999993</v>
      </c>
      <c r="Z9" s="71">
        <f>'[1]cálculos teóricos'!I155</f>
        <v>10.64454168952793</v>
      </c>
      <c r="AA9" s="72">
        <f>100*Y9/Z9</f>
        <v>86.429273033435834</v>
      </c>
      <c r="AB9" s="3"/>
    </row>
    <row r="10" spans="1:28" ht="18" customHeight="1">
      <c r="A10" s="73">
        <v>2</v>
      </c>
      <c r="B10" s="57">
        <v>21.1</v>
      </c>
      <c r="C10" s="74">
        <f>'[1]cálculos teóricos'!K156</f>
        <v>0.95306336176798911</v>
      </c>
      <c r="D10" s="59">
        <f>IF(B10&gt;0,B10*C10*14.25*1.022,-999)</f>
        <v>292.86669747818115</v>
      </c>
      <c r="E10" s="60">
        <f>IF(B10&gt;0,D10*4.1868/100,-999)</f>
        <v>12.261742890016487</v>
      </c>
      <c r="F10" s="61">
        <f>IF(B10&gt;0,(7.86+1.25*D10)*4.1868/100,-999)</f>
        <v>15.65626109252061</v>
      </c>
      <c r="G10" s="62">
        <f>'[1]cálculos teóricos'!T156</f>
        <v>22.835128135042794</v>
      </c>
      <c r="H10" s="75">
        <f>IF(B10&gt;0,100*F10/G10,-999)</f>
        <v>68.562177535997748</v>
      </c>
      <c r="I10" s="169"/>
      <c r="J10" s="79"/>
      <c r="K10" s="76">
        <v>0.4</v>
      </c>
      <c r="L10" s="76">
        <v>1</v>
      </c>
      <c r="M10" s="79">
        <v>1</v>
      </c>
      <c r="N10" s="79">
        <v>1</v>
      </c>
      <c r="O10" s="77">
        <v>1</v>
      </c>
      <c r="P10" s="79">
        <v>1</v>
      </c>
      <c r="Q10" s="79">
        <v>1</v>
      </c>
      <c r="R10" s="79">
        <v>1</v>
      </c>
      <c r="S10" s="76">
        <v>1</v>
      </c>
      <c r="T10" s="82">
        <v>0.1</v>
      </c>
      <c r="U10" s="82"/>
      <c r="V10" s="78"/>
      <c r="W10" s="117">
        <f t="shared" si="0"/>
        <v>4.4000000000000004</v>
      </c>
      <c r="X10" s="117">
        <f t="shared" ref="X10:X38" si="1">SUM(P10:V10)</f>
        <v>4.0999999999999996</v>
      </c>
      <c r="Y10" s="126">
        <f t="shared" ref="Y10:Y19" si="2">W10+X10</f>
        <v>8.5</v>
      </c>
      <c r="Z10" s="71">
        <f>'[1]cálculos teóricos'!I156</f>
        <v>10.634995882936208</v>
      </c>
      <c r="AA10" s="72">
        <f t="shared" ref="AA10:AA38" si="3">100*Y10/Z10</f>
        <v>79.924807621582659</v>
      </c>
      <c r="AB10" s="3"/>
    </row>
    <row r="11" spans="1:28" ht="18" customHeight="1">
      <c r="A11" s="73">
        <v>3</v>
      </c>
      <c r="B11" s="57">
        <v>17.600000000000001</v>
      </c>
      <c r="C11" s="74">
        <f>'[1]cálculos teóricos'!K157</f>
        <v>0.95260277332976384</v>
      </c>
      <c r="D11" s="59">
        <f t="shared" ref="D11:D38" si="4">IF(B11&gt;0,B11*C11*14.25*1.022,-999)</f>
        <v>244.16885661322908</v>
      </c>
      <c r="E11" s="60">
        <f t="shared" ref="E11:E38" si="5">IF(B11&gt;0,D11*4.1868/100,-999)</f>
        <v>10.222861688682675</v>
      </c>
      <c r="F11" s="61">
        <f t="shared" ref="F11:F38" si="6">IF(B11&gt;0,(7.86+1.25*D11)*4.1868/100,-999)</f>
        <v>13.107659590853343</v>
      </c>
      <c r="G11" s="62">
        <f>'[1]cálculos teóricos'!T157</f>
        <v>22.756372966264053</v>
      </c>
      <c r="H11" s="75">
        <f t="shared" ref="H11:H38" si="7">IF(B11&gt;0,100*F11/G11,-999)</f>
        <v>57.599950617285245</v>
      </c>
      <c r="I11" s="169"/>
      <c r="J11" s="79"/>
      <c r="K11" s="76">
        <v>0.3</v>
      </c>
      <c r="L11" s="76">
        <v>0.4</v>
      </c>
      <c r="M11" s="79">
        <v>1</v>
      </c>
      <c r="N11" s="79">
        <v>1</v>
      </c>
      <c r="O11" s="77">
        <v>1</v>
      </c>
      <c r="P11" s="79">
        <v>1</v>
      </c>
      <c r="Q11" s="79">
        <v>1</v>
      </c>
      <c r="R11" s="79">
        <v>0.2</v>
      </c>
      <c r="S11" s="76"/>
      <c r="T11" s="82"/>
      <c r="U11" s="82"/>
      <c r="V11" s="78"/>
      <c r="W11" s="117">
        <f t="shared" si="0"/>
        <v>3.7</v>
      </c>
      <c r="X11" s="117">
        <f t="shared" si="1"/>
        <v>2.2000000000000002</v>
      </c>
      <c r="Y11" s="70">
        <f t="shared" si="2"/>
        <v>5.9</v>
      </c>
      <c r="Z11" s="71">
        <f>'[1]cálculos teóricos'!I157</f>
        <v>10.625873552451839</v>
      </c>
      <c r="AA11" s="72">
        <f t="shared" si="3"/>
        <v>55.524846694967678</v>
      </c>
      <c r="AB11" s="3"/>
    </row>
    <row r="12" spans="1:28" ht="18" customHeight="1">
      <c r="A12" s="73">
        <v>4</v>
      </c>
      <c r="B12" s="57">
        <v>10.8</v>
      </c>
      <c r="C12" s="74">
        <f>'[1]cálculos teóricos'!K158</f>
        <v>0.95216370032690345</v>
      </c>
      <c r="D12" s="59">
        <f t="shared" si="4"/>
        <v>149.7618293368773</v>
      </c>
      <c r="E12" s="60">
        <f t="shared" si="5"/>
        <v>6.2702282706763786</v>
      </c>
      <c r="F12" s="61">
        <f t="shared" si="6"/>
        <v>8.1668678183454748</v>
      </c>
      <c r="G12" s="62">
        <f>'[1]cálculos teóricos'!T158</f>
        <v>22.681311649854528</v>
      </c>
      <c r="H12" s="75">
        <f t="shared" si="7"/>
        <v>36.007034974090018</v>
      </c>
      <c r="I12" s="169"/>
      <c r="J12" s="79"/>
      <c r="K12" s="76"/>
      <c r="L12" s="76"/>
      <c r="M12" s="79"/>
      <c r="N12" s="79"/>
      <c r="O12" s="77"/>
      <c r="P12" s="79">
        <v>0.2</v>
      </c>
      <c r="Q12" s="79">
        <v>0.8</v>
      </c>
      <c r="R12" s="79">
        <v>0.2</v>
      </c>
      <c r="S12" s="76">
        <v>0.1</v>
      </c>
      <c r="T12" s="82"/>
      <c r="U12" s="82"/>
      <c r="V12" s="78"/>
      <c r="W12" s="117">
        <f t="shared" si="0"/>
        <v>0</v>
      </c>
      <c r="X12" s="117">
        <f t="shared" si="1"/>
        <v>1.3</v>
      </c>
      <c r="Y12" s="70">
        <f t="shared" si="2"/>
        <v>1.3</v>
      </c>
      <c r="Z12" s="71">
        <f>'[1]cálculos teóricos'!I158</f>
        <v>10.617180669306048</v>
      </c>
      <c r="AA12" s="72">
        <f t="shared" si="3"/>
        <v>12.244305154929322</v>
      </c>
      <c r="AB12" s="3"/>
    </row>
    <row r="13" spans="1:28" ht="18" customHeight="1">
      <c r="A13" s="73">
        <v>5</v>
      </c>
      <c r="B13" s="57">
        <v>14.8</v>
      </c>
      <c r="C13" s="74">
        <f>'[1]cálculos teóricos'!K159</f>
        <v>0.95174646542982722</v>
      </c>
      <c r="D13" s="59">
        <f t="shared" si="4"/>
        <v>205.1392428094519</v>
      </c>
      <c r="E13" s="60">
        <f t="shared" si="5"/>
        <v>8.5887698179461331</v>
      </c>
      <c r="F13" s="61">
        <f t="shared" si="6"/>
        <v>11.065044752432664</v>
      </c>
      <c r="G13" s="62">
        <f>'[1]cálculos teóricos'!T159</f>
        <v>22.609977337551737</v>
      </c>
      <c r="H13" s="75">
        <f t="shared" si="7"/>
        <v>48.93876976185777</v>
      </c>
      <c r="I13" s="169"/>
      <c r="J13" s="79"/>
      <c r="K13" s="76"/>
      <c r="L13" s="76"/>
      <c r="M13" s="79"/>
      <c r="N13" s="79">
        <v>0.4</v>
      </c>
      <c r="O13" s="77">
        <v>0.6</v>
      </c>
      <c r="P13" s="79">
        <v>1</v>
      </c>
      <c r="Q13" s="79">
        <v>1</v>
      </c>
      <c r="R13" s="79">
        <v>1</v>
      </c>
      <c r="S13" s="76">
        <v>1</v>
      </c>
      <c r="T13" s="82">
        <v>0.2</v>
      </c>
      <c r="U13" s="82"/>
      <c r="V13" s="78"/>
      <c r="W13" s="117">
        <f t="shared" si="0"/>
        <v>1</v>
      </c>
      <c r="X13" s="117">
        <f t="shared" si="1"/>
        <v>4.2</v>
      </c>
      <c r="Y13" s="70">
        <f t="shared" si="2"/>
        <v>5.2</v>
      </c>
      <c r="Z13" s="71">
        <f>'[1]cálculos teóricos'!I159</f>
        <v>10.608922985289027</v>
      </c>
      <c r="AA13" s="72">
        <f t="shared" si="3"/>
        <v>49.015343095718897</v>
      </c>
      <c r="AB13" s="3"/>
    </row>
    <row r="14" spans="1:28" ht="18" customHeight="1">
      <c r="A14" s="73">
        <v>6</v>
      </c>
      <c r="B14" s="57">
        <v>19.2</v>
      </c>
      <c r="C14" s="74">
        <f>'[1]cálculos teóricos'!K160</f>
        <v>0.95135137635435019</v>
      </c>
      <c r="D14" s="59">
        <f t="shared" si="4"/>
        <v>266.01611077510228</v>
      </c>
      <c r="E14" s="60">
        <f t="shared" si="5"/>
        <v>11.137562525931983</v>
      </c>
      <c r="F14" s="61">
        <f t="shared" si="6"/>
        <v>14.251035637414978</v>
      </c>
      <c r="G14" s="62">
        <f>'[1]cálculos teóricos'!T160</f>
        <v>22.542401412452758</v>
      </c>
      <c r="H14" s="75">
        <f t="shared" si="7"/>
        <v>63.218799881464683</v>
      </c>
      <c r="I14" s="169"/>
      <c r="J14" s="79"/>
      <c r="K14" s="76"/>
      <c r="L14" s="76"/>
      <c r="M14" s="76">
        <v>0.6</v>
      </c>
      <c r="N14" s="76">
        <v>1</v>
      </c>
      <c r="O14" s="77">
        <v>1</v>
      </c>
      <c r="P14" s="79">
        <v>1</v>
      </c>
      <c r="Q14" s="79">
        <v>1</v>
      </c>
      <c r="R14" s="76">
        <v>1</v>
      </c>
      <c r="S14" s="76">
        <v>1</v>
      </c>
      <c r="T14" s="82">
        <v>0.2</v>
      </c>
      <c r="U14" s="82"/>
      <c r="V14" s="78"/>
      <c r="W14" s="117">
        <f t="shared" si="0"/>
        <v>2.6</v>
      </c>
      <c r="X14" s="117">
        <f t="shared" si="1"/>
        <v>4.2</v>
      </c>
      <c r="Y14" s="70">
        <f t="shared" si="2"/>
        <v>6.8000000000000007</v>
      </c>
      <c r="Z14" s="71">
        <f>'[1]cálculos teóricos'!I160</f>
        <v>10.601106019475857</v>
      </c>
      <c r="AA14" s="72">
        <f t="shared" si="3"/>
        <v>64.144250491480406</v>
      </c>
      <c r="AB14" s="3"/>
    </row>
    <row r="15" spans="1:28" ht="18" customHeight="1">
      <c r="A15" s="73">
        <v>7</v>
      </c>
      <c r="B15" s="57">
        <v>20.2</v>
      </c>
      <c r="C15" s="74">
        <f>'[1]cálculos teóricos'!K161</f>
        <v>0.9509787254095502</v>
      </c>
      <c r="D15" s="59">
        <f t="shared" si="4"/>
        <v>279.76148908354014</v>
      </c>
      <c r="E15" s="60">
        <f t="shared" si="5"/>
        <v>11.713054024949658</v>
      </c>
      <c r="F15" s="61">
        <f t="shared" si="6"/>
        <v>14.970400011187076</v>
      </c>
      <c r="G15" s="62">
        <f>'[1]cálculos teóricos'!T161</f>
        <v>22.478613467264381</v>
      </c>
      <c r="H15" s="75">
        <f t="shared" si="7"/>
        <v>66.598413790016352</v>
      </c>
      <c r="I15" s="169"/>
      <c r="J15" s="79"/>
      <c r="K15" s="76"/>
      <c r="L15" s="76">
        <v>0.7</v>
      </c>
      <c r="M15" s="76">
        <v>1</v>
      </c>
      <c r="N15" s="76">
        <v>1</v>
      </c>
      <c r="O15" s="77">
        <v>1</v>
      </c>
      <c r="P15" s="79">
        <v>1</v>
      </c>
      <c r="Q15" s="79">
        <v>1</v>
      </c>
      <c r="R15" s="76">
        <v>1</v>
      </c>
      <c r="S15" s="82">
        <v>1</v>
      </c>
      <c r="T15" s="82">
        <v>0.3</v>
      </c>
      <c r="U15" s="82"/>
      <c r="V15" s="78"/>
      <c r="W15" s="117">
        <f t="shared" si="0"/>
        <v>3.7</v>
      </c>
      <c r="X15" s="117">
        <f t="shared" si="1"/>
        <v>4.3</v>
      </c>
      <c r="Y15" s="70">
        <f t="shared" si="2"/>
        <v>8</v>
      </c>
      <c r="Z15" s="71">
        <f>'[1]cálculos teóricos'!I161</f>
        <v>10.593735045285838</v>
      </c>
      <c r="AA15" s="72">
        <f t="shared" si="3"/>
        <v>75.516330791753774</v>
      </c>
      <c r="AB15" s="3"/>
    </row>
    <row r="16" spans="1:28" ht="18" customHeight="1">
      <c r="A16" s="80">
        <v>8</v>
      </c>
      <c r="B16" s="76">
        <v>20.399999999999999</v>
      </c>
      <c r="C16" s="74">
        <f>'[1]cálculos teóricos'!K162</f>
        <v>0.95062878906497217</v>
      </c>
      <c r="D16" s="59">
        <f t="shared" si="4"/>
        <v>282.42744033877352</v>
      </c>
      <c r="E16" s="60">
        <f t="shared" si="5"/>
        <v>11.82467207210377</v>
      </c>
      <c r="F16" s="61">
        <f t="shared" si="6"/>
        <v>15.109922570129713</v>
      </c>
      <c r="G16" s="62">
        <f>'[1]cálculos teóricos'!T162</f>
        <v>22.418641283973457</v>
      </c>
      <c r="H16" s="75">
        <f t="shared" si="7"/>
        <v>67.398922078883658</v>
      </c>
      <c r="I16" s="170"/>
      <c r="J16" s="82"/>
      <c r="K16" s="81">
        <v>0.3</v>
      </c>
      <c r="L16" s="76">
        <v>1</v>
      </c>
      <c r="M16" s="76">
        <v>1</v>
      </c>
      <c r="N16" s="76">
        <v>1</v>
      </c>
      <c r="O16" s="77">
        <v>1</v>
      </c>
      <c r="P16" s="79">
        <v>1</v>
      </c>
      <c r="Q16" s="79">
        <v>1</v>
      </c>
      <c r="R16" s="81">
        <v>1</v>
      </c>
      <c r="S16" s="81">
        <v>1</v>
      </c>
      <c r="T16" s="81"/>
      <c r="U16" s="81"/>
      <c r="V16" s="78"/>
      <c r="W16" s="117">
        <f t="shared" si="0"/>
        <v>4.3</v>
      </c>
      <c r="X16" s="117">
        <f t="shared" si="1"/>
        <v>4</v>
      </c>
      <c r="Y16" s="70">
        <f t="shared" si="2"/>
        <v>8.3000000000000007</v>
      </c>
      <c r="Z16" s="71">
        <f>'[1]cálculos teóricos'!I162</f>
        <v>10.586815077931689</v>
      </c>
      <c r="AA16" s="72">
        <f t="shared" si="3"/>
        <v>78.399404720891226</v>
      </c>
      <c r="AB16" s="3"/>
    </row>
    <row r="17" spans="1:28" ht="18" customHeight="1">
      <c r="A17" s="80">
        <v>9</v>
      </c>
      <c r="B17" s="76">
        <v>21.3</v>
      </c>
      <c r="C17" s="74">
        <f>'[1]cálculos teóricos'!K163</f>
        <v>0.95030182753836612</v>
      </c>
      <c r="D17" s="59">
        <f t="shared" si="4"/>
        <v>294.78605017206144</v>
      </c>
      <c r="E17" s="60">
        <f t="shared" si="5"/>
        <v>12.342102348603868</v>
      </c>
      <c r="F17" s="61">
        <f t="shared" si="6"/>
        <v>15.756710415754837</v>
      </c>
      <c r="G17" s="62">
        <f>'[1]cálculos teóricos'!T163</f>
        <v>22.362510814947974</v>
      </c>
      <c r="H17" s="75">
        <f t="shared" si="7"/>
        <v>70.460381422029045</v>
      </c>
      <c r="I17" s="170"/>
      <c r="J17" s="82"/>
      <c r="K17" s="81">
        <v>0.8</v>
      </c>
      <c r="L17" s="81">
        <v>1</v>
      </c>
      <c r="M17" s="81">
        <v>1</v>
      </c>
      <c r="N17" s="81">
        <v>1</v>
      </c>
      <c r="O17" s="78">
        <v>1</v>
      </c>
      <c r="P17" s="82">
        <v>1</v>
      </c>
      <c r="Q17" s="82">
        <v>1</v>
      </c>
      <c r="R17" s="81">
        <v>1</v>
      </c>
      <c r="S17" s="81">
        <v>1</v>
      </c>
      <c r="T17" s="81">
        <v>0.4</v>
      </c>
      <c r="U17" s="81"/>
      <c r="V17" s="78"/>
      <c r="W17" s="117">
        <f t="shared" si="0"/>
        <v>4.8</v>
      </c>
      <c r="X17" s="117">
        <f t="shared" si="1"/>
        <v>4.4000000000000004</v>
      </c>
      <c r="Y17" s="70">
        <f t="shared" si="2"/>
        <v>9.1999999999999993</v>
      </c>
      <c r="Z17" s="71">
        <f>'[1]cálculos teóricos'!I163</f>
        <v>10.580350862314617</v>
      </c>
      <c r="AA17" s="72">
        <f t="shared" si="3"/>
        <v>86.953638113919368</v>
      </c>
      <c r="AB17" s="3"/>
    </row>
    <row r="18" spans="1:28" ht="18" customHeight="1">
      <c r="A18" s="80">
        <v>10</v>
      </c>
      <c r="B18" s="76">
        <v>21.1</v>
      </c>
      <c r="C18" s="74">
        <f>'[1]cálculos teóricos'!K164</f>
        <v>0.94999808440510503</v>
      </c>
      <c r="D18" s="59">
        <f t="shared" si="4"/>
        <v>291.92476885713211</v>
      </c>
      <c r="E18" s="60">
        <f t="shared" si="5"/>
        <v>12.222306222510406</v>
      </c>
      <c r="F18" s="61">
        <f t="shared" si="6"/>
        <v>15.606965258138009</v>
      </c>
      <c r="G18" s="62">
        <f>'[1]cálculos teóricos'!T164</f>
        <v>22.310246165477785</v>
      </c>
      <c r="H18" s="75">
        <f t="shared" si="7"/>
        <v>69.954249461791079</v>
      </c>
      <c r="I18" s="170"/>
      <c r="J18" s="82"/>
      <c r="K18" s="81">
        <v>0.9</v>
      </c>
      <c r="L18" s="81">
        <v>1</v>
      </c>
      <c r="M18" s="81">
        <v>1</v>
      </c>
      <c r="N18" s="81">
        <v>1</v>
      </c>
      <c r="O18" s="78">
        <v>1</v>
      </c>
      <c r="P18" s="79">
        <v>1</v>
      </c>
      <c r="Q18" s="82">
        <v>1</v>
      </c>
      <c r="R18" s="81">
        <v>1</v>
      </c>
      <c r="S18" s="81">
        <v>1</v>
      </c>
      <c r="T18" s="81">
        <v>0.3</v>
      </c>
      <c r="U18" s="81"/>
      <c r="V18" s="78"/>
      <c r="W18" s="117">
        <f t="shared" si="0"/>
        <v>4.9000000000000004</v>
      </c>
      <c r="X18" s="117">
        <f t="shared" si="1"/>
        <v>4.3</v>
      </c>
      <c r="Y18" s="70">
        <f t="shared" si="2"/>
        <v>9.1999999999999993</v>
      </c>
      <c r="Z18" s="71">
        <f>'[1]cálculos teóricos'!I164</f>
        <v>10.57434686142002</v>
      </c>
      <c r="AA18" s="72">
        <f t="shared" si="3"/>
        <v>87.003009458350022</v>
      </c>
      <c r="AB18" s="3"/>
    </row>
    <row r="19" spans="1:28" ht="18" customHeight="1">
      <c r="A19" s="80">
        <v>11</v>
      </c>
      <c r="B19" s="76">
        <v>19.8</v>
      </c>
      <c r="C19" s="74">
        <f>'[1]cálculos teóricos'!K165</f>
        <v>0.94971778623038505</v>
      </c>
      <c r="D19" s="59">
        <f t="shared" si="4"/>
        <v>273.85805659937103</v>
      </c>
      <c r="E19" s="60">
        <f t="shared" si="5"/>
        <v>11.465889113702465</v>
      </c>
      <c r="F19" s="61">
        <f t="shared" si="6"/>
        <v>14.661443872128084</v>
      </c>
      <c r="G19" s="62">
        <f>'[1]cálculos teóricos'!T165</f>
        <v>22.261869577761775</v>
      </c>
      <c r="H19" s="75">
        <f t="shared" si="7"/>
        <v>65.858996347611139</v>
      </c>
      <c r="I19" s="170"/>
      <c r="J19" s="82"/>
      <c r="K19" s="81">
        <v>0.3</v>
      </c>
      <c r="L19" s="81">
        <v>1</v>
      </c>
      <c r="M19" s="81">
        <v>1</v>
      </c>
      <c r="N19" s="81">
        <v>1</v>
      </c>
      <c r="O19" s="78">
        <v>1</v>
      </c>
      <c r="P19" s="79">
        <v>1</v>
      </c>
      <c r="Q19" s="82">
        <v>1</v>
      </c>
      <c r="R19" s="81">
        <v>1</v>
      </c>
      <c r="S19" s="81">
        <v>1</v>
      </c>
      <c r="T19" s="81">
        <v>0.1</v>
      </c>
      <c r="U19" s="81"/>
      <c r="V19" s="78"/>
      <c r="W19" s="117">
        <f t="shared" si="0"/>
        <v>4.3</v>
      </c>
      <c r="X19" s="117">
        <f t="shared" si="1"/>
        <v>4.0999999999999996</v>
      </c>
      <c r="Y19" s="70">
        <f t="shared" si="2"/>
        <v>8.3999999999999986</v>
      </c>
      <c r="Z19" s="71">
        <f>'[1]cálculos teóricos'!I165</f>
        <v>10.568807245267474</v>
      </c>
      <c r="AA19" s="72">
        <f t="shared" si="3"/>
        <v>79.479167374931279</v>
      </c>
      <c r="AB19" s="3"/>
    </row>
    <row r="20" spans="1:28" ht="18" customHeight="1">
      <c r="A20" s="80">
        <v>12</v>
      </c>
      <c r="B20" s="76">
        <v>21.6</v>
      </c>
      <c r="C20" s="74">
        <f>'[1]cálculos teóricos'!K166</f>
        <v>0.94946114222524891</v>
      </c>
      <c r="D20" s="59">
        <f t="shared" si="4"/>
        <v>298.6735106476242</v>
      </c>
      <c r="E20" s="60">
        <f t="shared" si="5"/>
        <v>12.504862543794729</v>
      </c>
      <c r="F20" s="61">
        <f t="shared" si="6"/>
        <v>15.960160659743412</v>
      </c>
      <c r="G20" s="62">
        <f>'[1]cálculos teóricos'!T166</f>
        <v>22.217401416345737</v>
      </c>
      <c r="H20" s="75">
        <f t="shared" si="7"/>
        <v>71.836306868908792</v>
      </c>
      <c r="I20" s="170"/>
      <c r="J20" s="82"/>
      <c r="K20" s="81">
        <v>0.9</v>
      </c>
      <c r="L20" s="81">
        <v>1</v>
      </c>
      <c r="M20" s="81">
        <v>1</v>
      </c>
      <c r="N20" s="81">
        <v>1</v>
      </c>
      <c r="O20" s="78">
        <v>1</v>
      </c>
      <c r="P20" s="79">
        <v>1</v>
      </c>
      <c r="Q20" s="82">
        <v>1</v>
      </c>
      <c r="R20" s="81">
        <v>1</v>
      </c>
      <c r="S20" s="81">
        <v>1</v>
      </c>
      <c r="T20" s="81">
        <v>0.3</v>
      </c>
      <c r="U20" s="81"/>
      <c r="V20" s="78"/>
      <c r="W20" s="117">
        <f t="shared" si="0"/>
        <v>4.9000000000000004</v>
      </c>
      <c r="X20" s="117">
        <f t="shared" si="1"/>
        <v>4.3</v>
      </c>
      <c r="Y20" s="70">
        <f>W20+X20</f>
        <v>9.1999999999999993</v>
      </c>
      <c r="Z20" s="71">
        <f>'[1]cálculos teóricos'!I166</f>
        <v>10.563735880466673</v>
      </c>
      <c r="AA20" s="72">
        <f t="shared" si="3"/>
        <v>87.090401578589749</v>
      </c>
      <c r="AB20" s="3"/>
    </row>
    <row r="21" spans="1:28" ht="18" customHeight="1">
      <c r="A21" s="80">
        <v>13</v>
      </c>
      <c r="B21" s="171">
        <v>21.4</v>
      </c>
      <c r="C21" s="74">
        <f>'[1]cálculos teóricos'!K167</f>
        <v>0.9492283439274154</v>
      </c>
      <c r="D21" s="59">
        <f t="shared" si="4"/>
        <v>295.83546151723993</v>
      </c>
      <c r="E21" s="60">
        <f t="shared" si="5"/>
        <v>12.386039102803801</v>
      </c>
      <c r="F21" s="61">
        <f t="shared" si="6"/>
        <v>15.811631358504753</v>
      </c>
      <c r="G21" s="62">
        <f>'[1]cálculos teóricos'!T167</f>
        <v>22.176860155014239</v>
      </c>
      <c r="H21" s="75">
        <f t="shared" si="7"/>
        <v>71.297880980368205</v>
      </c>
      <c r="I21" s="170"/>
      <c r="J21" s="82"/>
      <c r="K21" s="81">
        <v>1</v>
      </c>
      <c r="L21" s="81">
        <v>1</v>
      </c>
      <c r="M21" s="81">
        <v>1</v>
      </c>
      <c r="N21" s="81">
        <v>1</v>
      </c>
      <c r="O21" s="78">
        <v>1</v>
      </c>
      <c r="P21" s="79">
        <v>1</v>
      </c>
      <c r="Q21" s="82">
        <v>1</v>
      </c>
      <c r="R21" s="81">
        <v>1</v>
      </c>
      <c r="S21" s="81">
        <v>1</v>
      </c>
      <c r="T21" s="81">
        <v>0.2</v>
      </c>
      <c r="U21" s="81"/>
      <c r="V21" s="78"/>
      <c r="W21" s="117">
        <f t="shared" si="0"/>
        <v>5</v>
      </c>
      <c r="X21" s="117">
        <f t="shared" si="1"/>
        <v>4.2</v>
      </c>
      <c r="Y21" s="70">
        <f>W21+X21</f>
        <v>9.1999999999999993</v>
      </c>
      <c r="Z21" s="71">
        <f>'[1]cálculos teóricos'!I167</f>
        <v>10.559136320429129</v>
      </c>
      <c r="AA21" s="72">
        <f t="shared" si="3"/>
        <v>87.128338159631852</v>
      </c>
      <c r="AB21" s="3"/>
    </row>
    <row r="22" spans="1:28" ht="18" customHeight="1">
      <c r="A22" s="80">
        <v>14</v>
      </c>
      <c r="B22" s="76">
        <v>21.8</v>
      </c>
      <c r="C22" s="74">
        <f>'[1]cálculos teóricos'!K168</f>
        <v>0.94901956490783757</v>
      </c>
      <c r="D22" s="59">
        <f t="shared" si="4"/>
        <v>301.29881225106936</v>
      </c>
      <c r="E22" s="60">
        <f t="shared" si="5"/>
        <v>12.614778671327771</v>
      </c>
      <c r="F22" s="61">
        <f t="shared" si="6"/>
        <v>16.097555819159716</v>
      </c>
      <c r="G22" s="62">
        <f>'[1]cálculos teóricos'!T168</f>
        <v>22.140262365137801</v>
      </c>
      <c r="H22" s="75">
        <f t="shared" si="7"/>
        <v>72.707159263419712</v>
      </c>
      <c r="I22" s="170"/>
      <c r="J22" s="82"/>
      <c r="K22" s="81">
        <v>1</v>
      </c>
      <c r="L22" s="81">
        <v>1</v>
      </c>
      <c r="M22" s="81">
        <v>1</v>
      </c>
      <c r="N22" s="81">
        <v>1</v>
      </c>
      <c r="O22" s="78">
        <v>1</v>
      </c>
      <c r="P22" s="79">
        <v>1</v>
      </c>
      <c r="Q22" s="82">
        <v>1</v>
      </c>
      <c r="R22" s="81">
        <v>1</v>
      </c>
      <c r="S22" s="81">
        <v>1</v>
      </c>
      <c r="T22" s="81">
        <v>0.2</v>
      </c>
      <c r="U22" s="81"/>
      <c r="V22" s="78"/>
      <c r="W22" s="117">
        <f t="shared" si="0"/>
        <v>5</v>
      </c>
      <c r="X22" s="117">
        <f t="shared" si="1"/>
        <v>4.2</v>
      </c>
      <c r="Y22" s="70">
        <f>W22+X22</f>
        <v>9.1999999999999993</v>
      </c>
      <c r="Z22" s="71">
        <f>'[1]cálculos teóricos'!I168</f>
        <v>10.555011796282567</v>
      </c>
      <c r="AA22" s="72">
        <f t="shared" si="3"/>
        <v>87.162384823105569</v>
      </c>
      <c r="AB22" s="3"/>
    </row>
    <row r="23" spans="1:28" ht="18" customHeight="1">
      <c r="A23" s="80">
        <v>15</v>
      </c>
      <c r="B23" s="76">
        <v>21.6</v>
      </c>
      <c r="C23" s="74">
        <f>'[1]cálculos teóricos'!K169</f>
        <v>0.94883496050383698</v>
      </c>
      <c r="D23" s="59">
        <f t="shared" si="4"/>
        <v>298.47653166162888</v>
      </c>
      <c r="E23" s="60">
        <f t="shared" si="5"/>
        <v>12.496615427609077</v>
      </c>
      <c r="F23" s="61">
        <f t="shared" si="6"/>
        <v>15.949851764511349</v>
      </c>
      <c r="G23" s="62">
        <f>'[1]cálculos teóricos'!T169</f>
        <v>22.107622705475894</v>
      </c>
      <c r="H23" s="75">
        <f t="shared" si="7"/>
        <v>72.146390306184713</v>
      </c>
      <c r="I23" s="170"/>
      <c r="J23" s="82"/>
      <c r="K23" s="81">
        <v>1</v>
      </c>
      <c r="L23" s="81">
        <v>1</v>
      </c>
      <c r="M23" s="81">
        <v>1</v>
      </c>
      <c r="N23" s="81">
        <v>1</v>
      </c>
      <c r="O23" s="78">
        <v>1</v>
      </c>
      <c r="P23" s="79">
        <v>1</v>
      </c>
      <c r="Q23" s="82">
        <v>1</v>
      </c>
      <c r="R23" s="81">
        <v>1</v>
      </c>
      <c r="S23" s="81">
        <v>1</v>
      </c>
      <c r="T23" s="81">
        <v>0.2</v>
      </c>
      <c r="U23" s="81"/>
      <c r="V23" s="78"/>
      <c r="W23" s="117">
        <f t="shared" si="0"/>
        <v>5</v>
      </c>
      <c r="X23" s="117">
        <f t="shared" si="1"/>
        <v>4.2</v>
      </c>
      <c r="Y23" s="70">
        <f>W23+X23</f>
        <v>9.1999999999999993</v>
      </c>
      <c r="Z23" s="71">
        <f>'[1]cálculos teóricos'!I169</f>
        <v>10.551365208532534</v>
      </c>
      <c r="AA23" s="72">
        <f t="shared" si="3"/>
        <v>87.192508440142589</v>
      </c>
      <c r="AB23" s="3"/>
    </row>
    <row r="24" spans="1:28" ht="18" customHeight="1">
      <c r="A24" s="80">
        <v>16</v>
      </c>
      <c r="B24" s="76">
        <v>19.399999999999999</v>
      </c>
      <c r="C24" s="74">
        <f>'[1]cálculos teóricos'!K170</f>
        <v>0.9486746675795964</v>
      </c>
      <c r="D24" s="59">
        <f t="shared" si="4"/>
        <v>268.03085631313172</v>
      </c>
      <c r="E24" s="60">
        <f t="shared" si="5"/>
        <v>11.221915892118197</v>
      </c>
      <c r="F24" s="61">
        <f t="shared" si="6"/>
        <v>14.356477345147749</v>
      </c>
      <c r="G24" s="62">
        <f>'[1]cálculos teóricos'!T170</f>
        <v>22.078953913434933</v>
      </c>
      <c r="H24" s="75">
        <f t="shared" si="7"/>
        <v>65.02335845002105</v>
      </c>
      <c r="I24" s="170"/>
      <c r="J24" s="82"/>
      <c r="K24" s="81">
        <v>0.8</v>
      </c>
      <c r="L24" s="81">
        <v>1</v>
      </c>
      <c r="M24" s="81">
        <v>1</v>
      </c>
      <c r="N24" s="81">
        <v>1</v>
      </c>
      <c r="O24" s="78">
        <v>1</v>
      </c>
      <c r="P24" s="82">
        <v>1</v>
      </c>
      <c r="Q24" s="81">
        <v>1</v>
      </c>
      <c r="R24" s="81">
        <v>0.9</v>
      </c>
      <c r="S24" s="81">
        <v>0.8</v>
      </c>
      <c r="T24" s="81">
        <v>0.1</v>
      </c>
      <c r="U24" s="81"/>
      <c r="V24" s="78"/>
      <c r="W24" s="117">
        <f t="shared" si="0"/>
        <v>4.8</v>
      </c>
      <c r="X24" s="117">
        <f t="shared" si="1"/>
        <v>3.8000000000000003</v>
      </c>
      <c r="Y24" s="70">
        <f>W24+X24</f>
        <v>8.6</v>
      </c>
      <c r="Z24" s="71">
        <f>'[1]cálculos teóricos'!I170</f>
        <v>10.54819911951218</v>
      </c>
      <c r="AA24" s="72">
        <f t="shared" si="3"/>
        <v>81.530504900041379</v>
      </c>
      <c r="AB24" s="3"/>
    </row>
    <row r="25" spans="1:28" ht="18" customHeight="1">
      <c r="A25" s="85">
        <v>17</v>
      </c>
      <c r="B25" s="76">
        <v>22.2</v>
      </c>
      <c r="C25" s="74">
        <f>'[1]cálculos teóricos'!K171</f>
        <v>0.94853880431471793</v>
      </c>
      <c r="D25" s="59">
        <f t="shared" si="4"/>
        <v>306.67179626135015</v>
      </c>
      <c r="E25" s="60">
        <f t="shared" si="5"/>
        <v>12.839734765870208</v>
      </c>
      <c r="F25" s="61">
        <f t="shared" si="6"/>
        <v>16.37875093733776</v>
      </c>
      <c r="G25" s="62">
        <f>'[1]cálculos teóricos'!T171</f>
        <v>22.054266797780116</v>
      </c>
      <c r="H25" s="75">
        <f t="shared" si="7"/>
        <v>74.26567878006432</v>
      </c>
      <c r="I25" s="170"/>
      <c r="J25" s="82"/>
      <c r="K25" s="81">
        <v>1</v>
      </c>
      <c r="L25" s="81">
        <v>1</v>
      </c>
      <c r="M25" s="81">
        <v>1</v>
      </c>
      <c r="N25" s="81">
        <v>1</v>
      </c>
      <c r="O25" s="78">
        <v>1</v>
      </c>
      <c r="P25" s="82">
        <v>1</v>
      </c>
      <c r="Q25" s="81">
        <v>1</v>
      </c>
      <c r="R25" s="81">
        <v>1</v>
      </c>
      <c r="S25" s="81">
        <v>1</v>
      </c>
      <c r="T25" s="81">
        <v>0.1</v>
      </c>
      <c r="U25" s="81"/>
      <c r="V25" s="78"/>
      <c r="W25" s="117">
        <f t="shared" si="0"/>
        <v>5</v>
      </c>
      <c r="X25" s="117">
        <f t="shared" si="1"/>
        <v>4.0999999999999996</v>
      </c>
      <c r="Y25" s="70">
        <f t="shared" ref="Y25:Y33" si="8">W25+X25</f>
        <v>9.1</v>
      </c>
      <c r="Z25" s="71">
        <f>'[1]cálculos teóricos'!I171</f>
        <v>10.545515746657909</v>
      </c>
      <c r="AA25" s="72">
        <f t="shared" si="3"/>
        <v>86.29260264377281</v>
      </c>
      <c r="AB25" s="3"/>
    </row>
    <row r="26" spans="1:28" ht="18" customHeight="1">
      <c r="A26" s="85">
        <v>18</v>
      </c>
      <c r="B26" s="76">
        <v>23.2</v>
      </c>
      <c r="C26" s="74">
        <f>'[1]cálculos teóricos'!K172</f>
        <v>0.94842747002147099</v>
      </c>
      <c r="D26" s="59">
        <f t="shared" si="4"/>
        <v>320.44822426405847</v>
      </c>
      <c r="E26" s="60">
        <f t="shared" si="5"/>
        <v>13.4165262534876</v>
      </c>
      <c r="F26" s="61">
        <f t="shared" si="6"/>
        <v>17.099740296859501</v>
      </c>
      <c r="G26" s="62">
        <f>'[1]cálculos teóricos'!T172</f>
        <v>22.033570232799129</v>
      </c>
      <c r="H26" s="75">
        <f t="shared" si="7"/>
        <v>77.60766918928492</v>
      </c>
      <c r="I26" s="170"/>
      <c r="J26" s="82"/>
      <c r="K26" s="81">
        <v>1</v>
      </c>
      <c r="L26" s="81">
        <v>1</v>
      </c>
      <c r="M26" s="81">
        <v>1</v>
      </c>
      <c r="N26" s="81">
        <v>1</v>
      </c>
      <c r="O26" s="78">
        <v>1</v>
      </c>
      <c r="P26" s="82">
        <v>1</v>
      </c>
      <c r="Q26" s="81">
        <v>1</v>
      </c>
      <c r="R26" s="81">
        <v>1</v>
      </c>
      <c r="S26" s="81">
        <v>1</v>
      </c>
      <c r="T26" s="81">
        <v>0.3</v>
      </c>
      <c r="U26" s="81"/>
      <c r="V26" s="78"/>
      <c r="W26" s="117">
        <f t="shared" si="0"/>
        <v>5</v>
      </c>
      <c r="X26" s="117">
        <f t="shared" si="1"/>
        <v>4.3</v>
      </c>
      <c r="Y26" s="70">
        <f t="shared" si="8"/>
        <v>9.3000000000000007</v>
      </c>
      <c r="Z26" s="71">
        <f>'[1]cálculos teóricos'!I172</f>
        <v>10.543316956644638</v>
      </c>
      <c r="AA26" s="72">
        <f t="shared" si="3"/>
        <v>88.207535050332808</v>
      </c>
      <c r="AB26" s="3"/>
    </row>
    <row r="27" spans="1:28" ht="18" customHeight="1">
      <c r="A27" s="85">
        <v>19</v>
      </c>
      <c r="B27" s="76">
        <v>22.7</v>
      </c>
      <c r="C27" s="74">
        <f>'[1]cálculos teóricos'!K173</f>
        <v>0.94834074499127929</v>
      </c>
      <c r="D27" s="59">
        <f t="shared" si="4"/>
        <v>313.51334198074721</v>
      </c>
      <c r="E27" s="60">
        <f t="shared" si="5"/>
        <v>13.126176602049926</v>
      </c>
      <c r="F27" s="61">
        <f t="shared" si="6"/>
        <v>16.736803232562405</v>
      </c>
      <c r="G27" s="62">
        <f>'[1]cálculos teóricos'!T173</f>
        <v>22.016871153915464</v>
      </c>
      <c r="H27" s="75">
        <f t="shared" si="7"/>
        <v>76.018082294976523</v>
      </c>
      <c r="I27" s="170"/>
      <c r="J27" s="82"/>
      <c r="K27" s="81">
        <v>0.9</v>
      </c>
      <c r="L27" s="81">
        <v>1</v>
      </c>
      <c r="M27" s="81">
        <v>1</v>
      </c>
      <c r="N27" s="81">
        <v>1</v>
      </c>
      <c r="O27" s="78">
        <v>1</v>
      </c>
      <c r="P27" s="82">
        <v>1</v>
      </c>
      <c r="Q27" s="81">
        <v>1</v>
      </c>
      <c r="R27" s="81">
        <v>1</v>
      </c>
      <c r="S27" s="81">
        <v>1</v>
      </c>
      <c r="T27" s="81">
        <v>0.3</v>
      </c>
      <c r="U27" s="81"/>
      <c r="V27" s="78"/>
      <c r="W27" s="117">
        <f t="shared" si="0"/>
        <v>4.9000000000000004</v>
      </c>
      <c r="X27" s="117">
        <f t="shared" si="1"/>
        <v>4.3</v>
      </c>
      <c r="Y27" s="70">
        <f t="shared" si="8"/>
        <v>9.1999999999999993</v>
      </c>
      <c r="Z27" s="71">
        <f>'[1]cálculos teóricos'!I173</f>
        <v>10.541604260410397</v>
      </c>
      <c r="AA27" s="72">
        <f t="shared" si="3"/>
        <v>87.273243926933688</v>
      </c>
      <c r="AB27" s="3"/>
    </row>
    <row r="28" spans="1:28" ht="18" customHeight="1">
      <c r="A28" s="85">
        <v>20</v>
      </c>
      <c r="B28" s="76">
        <v>20.3</v>
      </c>
      <c r="C28" s="74">
        <f>'[1]cálculos teóricos'!K174</f>
        <v>0.94827869037091239</v>
      </c>
      <c r="D28" s="59">
        <f t="shared" si="4"/>
        <v>280.34821115650067</v>
      </c>
      <c r="E28" s="60">
        <f t="shared" si="5"/>
        <v>11.737618904700369</v>
      </c>
      <c r="F28" s="61">
        <f t="shared" si="6"/>
        <v>15.001106110875462</v>
      </c>
      <c r="G28" s="62">
        <f>'[1]cálculos teóricos'!T174</f>
        <v>22.004174554749007</v>
      </c>
      <c r="H28" s="75">
        <f t="shared" si="7"/>
        <v>68.173909789485279</v>
      </c>
      <c r="I28" s="170"/>
      <c r="J28" s="82"/>
      <c r="K28" s="81">
        <v>0.9</v>
      </c>
      <c r="L28" s="81">
        <v>1</v>
      </c>
      <c r="M28" s="81">
        <v>1</v>
      </c>
      <c r="N28" s="81">
        <v>1</v>
      </c>
      <c r="O28" s="78">
        <v>1</v>
      </c>
      <c r="P28" s="82">
        <v>1</v>
      </c>
      <c r="Q28" s="81">
        <v>1</v>
      </c>
      <c r="R28" s="81">
        <v>1</v>
      </c>
      <c r="S28" s="81">
        <v>1</v>
      </c>
      <c r="T28" s="81"/>
      <c r="U28" s="81"/>
      <c r="V28" s="78"/>
      <c r="W28" s="117">
        <f t="shared" si="0"/>
        <v>4.9000000000000004</v>
      </c>
      <c r="X28" s="117">
        <f t="shared" si="1"/>
        <v>4</v>
      </c>
      <c r="Y28" s="70">
        <f t="shared" si="8"/>
        <v>8.9</v>
      </c>
      <c r="Z28" s="71">
        <f>'[1]cálculos teóricos'!I174</f>
        <v>10.540378809095687</v>
      </c>
      <c r="AA28" s="72">
        <f t="shared" si="3"/>
        <v>84.437193019285587</v>
      </c>
      <c r="AB28" s="3"/>
    </row>
    <row r="29" spans="1:28" ht="18" customHeight="1">
      <c r="A29" s="85">
        <v>21</v>
      </c>
      <c r="B29" s="76">
        <v>20.8</v>
      </c>
      <c r="C29" s="74">
        <f>'[1]cálculos teóricos'!K175</f>
        <v>0.94824134806875726</v>
      </c>
      <c r="D29" s="59">
        <f t="shared" si="4"/>
        <v>287.24202775006643</v>
      </c>
      <c r="E29" s="60">
        <f t="shared" si="5"/>
        <v>12.026249217839782</v>
      </c>
      <c r="F29" s="61">
        <f t="shared" si="6"/>
        <v>15.361894002299728</v>
      </c>
      <c r="G29" s="62">
        <f>'[1]cálculos teóricos'!T175</f>
        <v>21.995483485621605</v>
      </c>
      <c r="H29" s="75">
        <f t="shared" si="7"/>
        <v>69.84112903152031</v>
      </c>
      <c r="I29" s="170"/>
      <c r="J29" s="82"/>
      <c r="K29" s="81">
        <v>0.9</v>
      </c>
      <c r="L29" s="81">
        <v>1</v>
      </c>
      <c r="M29" s="81">
        <v>1</v>
      </c>
      <c r="N29" s="81">
        <v>1</v>
      </c>
      <c r="O29" s="78">
        <v>1</v>
      </c>
      <c r="P29" s="82">
        <v>1</v>
      </c>
      <c r="Q29" s="81">
        <v>1</v>
      </c>
      <c r="R29" s="81">
        <v>1</v>
      </c>
      <c r="S29" s="81">
        <v>1</v>
      </c>
      <c r="T29" s="81">
        <v>0.1</v>
      </c>
      <c r="U29" s="81"/>
      <c r="V29" s="78"/>
      <c r="W29" s="117">
        <f t="shared" si="0"/>
        <v>4.9000000000000004</v>
      </c>
      <c r="X29" s="117">
        <f t="shared" si="1"/>
        <v>4.0999999999999996</v>
      </c>
      <c r="Y29" s="70">
        <f t="shared" si="8"/>
        <v>9</v>
      </c>
      <c r="Z29" s="71">
        <f>'[1]cálculos teóricos'!I175</f>
        <v>10.539641390918483</v>
      </c>
      <c r="AA29" s="72">
        <f t="shared" si="3"/>
        <v>85.391899649971776</v>
      </c>
      <c r="AB29" s="3"/>
    </row>
    <row r="30" spans="1:28" ht="18" customHeight="1">
      <c r="A30" s="85">
        <v>22</v>
      </c>
      <c r="B30" s="76">
        <v>21</v>
      </c>
      <c r="C30" s="74">
        <f>'[1]cálculos teóricos'!K176</f>
        <v>0.94822874069146967</v>
      </c>
      <c r="D30" s="59">
        <f t="shared" si="4"/>
        <v>290.00011456626459</v>
      </c>
      <c r="E30" s="60">
        <f t="shared" si="5"/>
        <v>12.141724796660364</v>
      </c>
      <c r="F30" s="61">
        <f t="shared" si="6"/>
        <v>15.506238475825457</v>
      </c>
      <c r="G30" s="62">
        <f>'[1]cálculos teóricos'!T176</f>
        <v>21.990799053505</v>
      </c>
      <c r="H30" s="75">
        <f t="shared" si="7"/>
        <v>70.512392196835606</v>
      </c>
      <c r="I30" s="170"/>
      <c r="J30" s="82"/>
      <c r="K30" s="81">
        <v>0.4</v>
      </c>
      <c r="L30" s="81">
        <v>0.9</v>
      </c>
      <c r="M30" s="81">
        <v>1</v>
      </c>
      <c r="N30" s="81">
        <v>1</v>
      </c>
      <c r="O30" s="78">
        <v>1</v>
      </c>
      <c r="P30" s="82">
        <v>1</v>
      </c>
      <c r="Q30" s="81">
        <v>1</v>
      </c>
      <c r="R30" s="81">
        <v>1</v>
      </c>
      <c r="S30" s="81">
        <v>1</v>
      </c>
      <c r="T30" s="81">
        <v>0.1</v>
      </c>
      <c r="U30" s="81"/>
      <c r="V30" s="78"/>
      <c r="W30" s="117">
        <f t="shared" si="0"/>
        <v>4.3</v>
      </c>
      <c r="X30" s="117">
        <f t="shared" si="1"/>
        <v>4.0999999999999996</v>
      </c>
      <c r="Y30" s="70">
        <f t="shared" si="8"/>
        <v>8.3999999999999986</v>
      </c>
      <c r="Z30" s="71">
        <f>'[1]cálculos teóricos'!I176</f>
        <v>10.539392429001008</v>
      </c>
      <c r="AA30" s="72">
        <f t="shared" si="3"/>
        <v>79.700988995209144</v>
      </c>
      <c r="AB30" s="3"/>
    </row>
    <row r="31" spans="1:28" ht="18" customHeight="1">
      <c r="A31" s="85">
        <v>23</v>
      </c>
      <c r="B31" s="76">
        <v>21.4</v>
      </c>
      <c r="C31" s="74">
        <f>'[1]cálculos teóricos'!K177</f>
        <v>0.9482408715112014</v>
      </c>
      <c r="D31" s="59">
        <f t="shared" si="4"/>
        <v>295.52770695022235</v>
      </c>
      <c r="E31" s="60">
        <f t="shared" si="5"/>
        <v>12.373154034591909</v>
      </c>
      <c r="F31" s="61">
        <f t="shared" si="6"/>
        <v>15.795525023239888</v>
      </c>
      <c r="G31" s="62">
        <f>'[1]cálculos teóricos'!T177</f>
        <v>21.990120423409326</v>
      </c>
      <c r="H31" s="75">
        <f t="shared" si="7"/>
        <v>71.830097876248772</v>
      </c>
      <c r="I31" s="170"/>
      <c r="J31" s="82"/>
      <c r="K31" s="81">
        <v>0.6</v>
      </c>
      <c r="L31" s="81">
        <v>1</v>
      </c>
      <c r="M31" s="81">
        <v>1</v>
      </c>
      <c r="N31" s="81">
        <v>1</v>
      </c>
      <c r="O31" s="78">
        <v>1</v>
      </c>
      <c r="P31" s="82">
        <v>1</v>
      </c>
      <c r="Q31" s="81">
        <v>1</v>
      </c>
      <c r="R31" s="81">
        <v>1</v>
      </c>
      <c r="S31" s="81">
        <v>1</v>
      </c>
      <c r="T31" s="81">
        <v>0.3</v>
      </c>
      <c r="U31" s="81"/>
      <c r="V31" s="78"/>
      <c r="W31" s="117">
        <f t="shared" si="0"/>
        <v>4.5999999999999996</v>
      </c>
      <c r="X31" s="117">
        <f t="shared" si="1"/>
        <v>4.3</v>
      </c>
      <c r="Y31" s="70">
        <f t="shared" si="8"/>
        <v>8.8999999999999986</v>
      </c>
      <c r="Z31" s="71">
        <f>'[1]cálculos teóricos'!I177</f>
        <v>10.539631980159754</v>
      </c>
      <c r="AA31" s="72">
        <f t="shared" si="3"/>
        <v>84.443176163586472</v>
      </c>
      <c r="AB31" s="3"/>
    </row>
    <row r="32" spans="1:28" ht="18" customHeight="1">
      <c r="A32" s="85">
        <v>24</v>
      </c>
      <c r="B32" s="76">
        <v>20.100000000000001</v>
      </c>
      <c r="C32" s="74">
        <f>'[1]cálculos teóricos'!K178</f>
        <v>0.94827772446352887</v>
      </c>
      <c r="D32" s="59">
        <f t="shared" si="4"/>
        <v>277.58587706851455</v>
      </c>
      <c r="E32" s="60">
        <f t="shared" si="5"/>
        <v>11.621965501104567</v>
      </c>
      <c r="F32" s="61">
        <f t="shared" si="6"/>
        <v>14.856539356380708</v>
      </c>
      <c r="G32" s="62">
        <f>'[1]cálculos teóricos'!T178</f>
        <v>21.993444821210002</v>
      </c>
      <c r="H32" s="75">
        <f t="shared" si="7"/>
        <v>67.549851681503682</v>
      </c>
      <c r="I32" s="170"/>
      <c r="J32" s="82"/>
      <c r="K32" s="81">
        <v>0.8</v>
      </c>
      <c r="L32" s="81">
        <v>1</v>
      </c>
      <c r="M32" s="81">
        <v>1</v>
      </c>
      <c r="N32" s="81">
        <v>1</v>
      </c>
      <c r="O32" s="78">
        <v>1</v>
      </c>
      <c r="P32" s="82">
        <v>1</v>
      </c>
      <c r="Q32" s="81">
        <v>1</v>
      </c>
      <c r="R32" s="81">
        <v>1</v>
      </c>
      <c r="S32" s="81">
        <v>1</v>
      </c>
      <c r="T32" s="81"/>
      <c r="U32" s="81"/>
      <c r="V32" s="78"/>
      <c r="W32" s="117">
        <f t="shared" si="0"/>
        <v>4.8</v>
      </c>
      <c r="X32" s="117">
        <f t="shared" si="1"/>
        <v>4</v>
      </c>
      <c r="Y32" s="70">
        <f t="shared" si="8"/>
        <v>8.8000000000000007</v>
      </c>
      <c r="Z32" s="71">
        <f>'[1]cálculos teóricos'!I178</f>
        <v>10.540359734665067</v>
      </c>
      <c r="AA32" s="72">
        <f t="shared" si="3"/>
        <v>83.488611598887061</v>
      </c>
      <c r="AB32" s="3"/>
    </row>
    <row r="33" spans="1:28" ht="18" customHeight="1">
      <c r="A33" s="85">
        <v>25</v>
      </c>
      <c r="B33" s="76">
        <v>6.3</v>
      </c>
      <c r="C33" s="74">
        <f>'[1]cálculos teóricos'!K179</f>
        <v>0.94833926417610326</v>
      </c>
      <c r="D33" s="59">
        <f t="shared" si="4"/>
        <v>87.010174905120664</v>
      </c>
      <c r="E33" s="60">
        <f t="shared" si="5"/>
        <v>3.6429420029275916</v>
      </c>
      <c r="F33" s="61">
        <f t="shared" si="6"/>
        <v>4.8827599836594899</v>
      </c>
      <c r="G33" s="62">
        <f>'[1]cálculos teóricos'!T179</f>
        <v>22.000767537911535</v>
      </c>
      <c r="H33" s="75">
        <f t="shared" si="7"/>
        <v>22.193589270217778</v>
      </c>
      <c r="I33" s="170"/>
      <c r="J33" s="82"/>
      <c r="K33" s="81"/>
      <c r="L33" s="81"/>
      <c r="M33" s="81"/>
      <c r="N33" s="81"/>
      <c r="O33" s="78"/>
      <c r="P33" s="82"/>
      <c r="Q33" s="81"/>
      <c r="R33" s="81"/>
      <c r="S33" s="81"/>
      <c r="T33" s="81"/>
      <c r="U33" s="81"/>
      <c r="V33" s="78"/>
      <c r="W33" s="117">
        <f t="shared" si="0"/>
        <v>0</v>
      </c>
      <c r="X33" s="117">
        <f t="shared" si="1"/>
        <v>0</v>
      </c>
      <c r="Y33" s="70">
        <f t="shared" si="8"/>
        <v>0</v>
      </c>
      <c r="Z33" s="71">
        <f>'[1]cálculos teóricos'!I179</f>
        <v>10.541575016971914</v>
      </c>
      <c r="AA33" s="72">
        <f t="shared" si="3"/>
        <v>0</v>
      </c>
      <c r="AB33" s="3"/>
    </row>
    <row r="34" spans="1:28" ht="18" customHeight="1">
      <c r="A34" s="85">
        <v>26</v>
      </c>
      <c r="B34" s="76">
        <v>19.399999999999999</v>
      </c>
      <c r="C34" s="74">
        <f>'[1]cálculos teóricos'!K180</f>
        <v>0.94842543602796126</v>
      </c>
      <c r="D34" s="59">
        <f t="shared" si="4"/>
        <v>267.96044044930829</v>
      </c>
      <c r="E34" s="60">
        <f t="shared" si="5"/>
        <v>11.218967720731639</v>
      </c>
      <c r="F34" s="61">
        <f t="shared" si="6"/>
        <v>14.352792130914551</v>
      </c>
      <c r="G34" s="62">
        <f>'[1]cálculos teóricos'!T180</f>
        <v>22.012081935346771</v>
      </c>
      <c r="H34" s="75">
        <f t="shared" si="7"/>
        <v>65.204155486387634</v>
      </c>
      <c r="I34" s="170"/>
      <c r="J34" s="82"/>
      <c r="K34" s="81"/>
      <c r="L34" s="81">
        <v>1</v>
      </c>
      <c r="M34" s="81">
        <v>1</v>
      </c>
      <c r="N34" s="81">
        <v>1</v>
      </c>
      <c r="O34" s="78">
        <v>1</v>
      </c>
      <c r="P34" s="82">
        <v>1</v>
      </c>
      <c r="Q34" s="81">
        <v>1</v>
      </c>
      <c r="R34" s="81">
        <v>0.9</v>
      </c>
      <c r="S34" s="81">
        <v>0.8</v>
      </c>
      <c r="T34" s="81">
        <v>0.3</v>
      </c>
      <c r="U34" s="81"/>
      <c r="V34" s="78"/>
      <c r="W34" s="117">
        <f t="shared" si="0"/>
        <v>4</v>
      </c>
      <c r="X34" s="117">
        <f t="shared" si="1"/>
        <v>4</v>
      </c>
      <c r="Y34" s="70">
        <f>W34+X34</f>
        <v>8</v>
      </c>
      <c r="Z34" s="71">
        <f>'[1]cálculos teóricos'!I180</f>
        <v>10.543276787418177</v>
      </c>
      <c r="AA34" s="72">
        <f t="shared" si="3"/>
        <v>75.877738594009045</v>
      </c>
      <c r="AB34" s="3"/>
    </row>
    <row r="35" spans="1:28" ht="18" customHeight="1">
      <c r="A35" s="85">
        <v>27</v>
      </c>
      <c r="B35" s="76">
        <v>13.4</v>
      </c>
      <c r="C35" s="74">
        <f>'[1]cálculos teóricos'!K181</f>
        <v>0.94853616623934689</v>
      </c>
      <c r="D35" s="59">
        <f t="shared" si="4"/>
        <v>185.10768652415817</v>
      </c>
      <c r="E35" s="60">
        <f t="shared" si="5"/>
        <v>7.7500886193934537</v>
      </c>
      <c r="F35" s="61">
        <f t="shared" si="6"/>
        <v>10.016693254241819</v>
      </c>
      <c r="G35" s="62">
        <f>'[1]cálculos teóricos'!T181</f>
        <v>22.027379453310431</v>
      </c>
      <c r="H35" s="75">
        <f t="shared" si="7"/>
        <v>45.473830763542956</v>
      </c>
      <c r="I35" s="170"/>
      <c r="J35" s="82"/>
      <c r="K35" s="81">
        <v>0.1</v>
      </c>
      <c r="L35" s="81">
        <v>0.2</v>
      </c>
      <c r="M35" s="81"/>
      <c r="N35" s="81">
        <v>0.1</v>
      </c>
      <c r="O35" s="78">
        <v>0.1</v>
      </c>
      <c r="P35" s="82">
        <v>0.9</v>
      </c>
      <c r="Q35" s="81">
        <v>1</v>
      </c>
      <c r="R35" s="81">
        <v>0.9</v>
      </c>
      <c r="S35" s="81">
        <v>0.6</v>
      </c>
      <c r="T35" s="81">
        <v>0.2</v>
      </c>
      <c r="U35" s="81"/>
      <c r="V35" s="78"/>
      <c r="W35" s="117">
        <f t="shared" si="0"/>
        <v>0.5</v>
      </c>
      <c r="X35" s="117">
        <f t="shared" si="1"/>
        <v>3.6</v>
      </c>
      <c r="Y35" s="70">
        <f>W35+X35</f>
        <v>4.0999999999999996</v>
      </c>
      <c r="Z35" s="71">
        <f>'[1]cálculos teóricos'!I181</f>
        <v>10.545463644882119</v>
      </c>
      <c r="AA35" s="72">
        <f t="shared" si="3"/>
        <v>38.879276796803474</v>
      </c>
      <c r="AB35" s="3"/>
    </row>
    <row r="36" spans="1:28" ht="18" customHeight="1">
      <c r="A36" s="85">
        <v>28</v>
      </c>
      <c r="B36" s="76">
        <v>16.5</v>
      </c>
      <c r="C36" s="74">
        <f>'[1]cálculos teóricos'!K182</f>
        <v>0.94867136199179813</v>
      </c>
      <c r="D36" s="59">
        <f t="shared" si="4"/>
        <v>227.96359377606461</v>
      </c>
      <c r="E36" s="60">
        <f t="shared" si="5"/>
        <v>9.5443797442162719</v>
      </c>
      <c r="F36" s="61">
        <f t="shared" si="6"/>
        <v>12.25955716027034</v>
      </c>
      <c r="G36" s="62">
        <f>'[1]cálculos teóricos'!T182</f>
        <v>22.046649618125883</v>
      </c>
      <c r="H36" s="75">
        <f t="shared" si="7"/>
        <v>55.607347930957353</v>
      </c>
      <c r="I36" s="170"/>
      <c r="J36" s="82"/>
      <c r="K36" s="81"/>
      <c r="L36" s="81">
        <v>0.6</v>
      </c>
      <c r="M36" s="81">
        <v>0.9</v>
      </c>
      <c r="N36" s="81">
        <v>0.9</v>
      </c>
      <c r="O36" s="78">
        <v>1</v>
      </c>
      <c r="P36" s="82">
        <v>1</v>
      </c>
      <c r="Q36" s="81">
        <v>0.9</v>
      </c>
      <c r="R36" s="81">
        <v>0.5</v>
      </c>
      <c r="S36" s="81"/>
      <c r="T36" s="81"/>
      <c r="U36" s="81"/>
      <c r="V36" s="78"/>
      <c r="W36" s="117">
        <f t="shared" si="0"/>
        <v>3.4</v>
      </c>
      <c r="X36" s="117">
        <f t="shared" si="1"/>
        <v>2.4</v>
      </c>
      <c r="Y36" s="70">
        <f>W36+X36</f>
        <v>5.8</v>
      </c>
      <c r="Z36" s="71">
        <f>'[1]cálculos teóricos'!I182</f>
        <v>10.548133830385645</v>
      </c>
      <c r="AA36" s="72">
        <f t="shared" si="3"/>
        <v>54.98602969268498</v>
      </c>
      <c r="AB36" s="3"/>
    </row>
    <row r="37" spans="1:28" ht="18" customHeight="1">
      <c r="A37" s="85">
        <v>29</v>
      </c>
      <c r="B37" s="76">
        <v>14.8</v>
      </c>
      <c r="C37" s="74">
        <f>'[1]cálculos teóricos'!K183</f>
        <v>0.94883091157817412</v>
      </c>
      <c r="D37" s="59">
        <f t="shared" si="4"/>
        <v>204.51082491537736</v>
      </c>
      <c r="E37" s="60">
        <f t="shared" si="5"/>
        <v>8.5624592175570182</v>
      </c>
      <c r="F37" s="61">
        <f t="shared" si="6"/>
        <v>11.032156501946274</v>
      </c>
      <c r="G37" s="62">
        <f>'[1]cálculos teóricos'!T183</f>
        <v>22.069880052644166</v>
      </c>
      <c r="H37" s="75">
        <f t="shared" si="7"/>
        <v>49.987387677825303</v>
      </c>
      <c r="I37" s="170"/>
      <c r="J37" s="82"/>
      <c r="K37" s="81">
        <v>0.5</v>
      </c>
      <c r="L37" s="81">
        <v>1</v>
      </c>
      <c r="M37" s="81">
        <v>1</v>
      </c>
      <c r="N37" s="81">
        <v>1</v>
      </c>
      <c r="O37" s="78">
        <v>0.8</v>
      </c>
      <c r="P37" s="82">
        <v>1</v>
      </c>
      <c r="Q37" s="81">
        <v>1</v>
      </c>
      <c r="R37" s="81">
        <v>0.5</v>
      </c>
      <c r="S37" s="81"/>
      <c r="T37" s="81"/>
      <c r="U37" s="81"/>
      <c r="V37" s="78"/>
      <c r="W37" s="117">
        <f t="shared" si="0"/>
        <v>4.3</v>
      </c>
      <c r="X37" s="117">
        <f t="shared" si="1"/>
        <v>2.5</v>
      </c>
      <c r="Y37" s="70">
        <f>W37+X37</f>
        <v>6.8</v>
      </c>
      <c r="Z37" s="71">
        <f>'[1]cálculos teóricos'!I183</f>
        <v>10.551285231625181</v>
      </c>
      <c r="AA37" s="72">
        <f t="shared" si="3"/>
        <v>64.447125167448604</v>
      </c>
      <c r="AB37" s="3"/>
    </row>
    <row r="38" spans="1:28" ht="18" customHeight="1">
      <c r="A38" s="80">
        <v>30</v>
      </c>
      <c r="B38" s="76">
        <v>2.7</v>
      </c>
      <c r="C38" s="74">
        <f>'[1]cálculos teóricos'!K184</f>
        <v>0.94901468458220362</v>
      </c>
      <c r="D38" s="59">
        <f t="shared" si="4"/>
        <v>37.316633469064897</v>
      </c>
      <c r="E38" s="60">
        <f t="shared" si="5"/>
        <v>1.5623728100828091</v>
      </c>
      <c r="F38" s="61">
        <f t="shared" si="6"/>
        <v>2.2820484926035114</v>
      </c>
      <c r="G38" s="62">
        <f>'[1]cálculos teóricos'!T184</f>
        <v>22.097056487674202</v>
      </c>
      <c r="H38" s="75">
        <f t="shared" si="7"/>
        <v>10.32738678962261</v>
      </c>
      <c r="I38" s="170"/>
      <c r="J38" s="82"/>
      <c r="K38" s="81"/>
      <c r="L38" s="81"/>
      <c r="M38" s="81"/>
      <c r="N38" s="81"/>
      <c r="O38" s="78"/>
      <c r="P38" s="82"/>
      <c r="Q38" s="81"/>
      <c r="R38" s="81"/>
      <c r="S38" s="81"/>
      <c r="T38" s="81"/>
      <c r="U38" s="81"/>
      <c r="V38" s="78"/>
      <c r="W38" s="117">
        <f t="shared" si="0"/>
        <v>0</v>
      </c>
      <c r="X38" s="117">
        <f t="shared" si="1"/>
        <v>0</v>
      </c>
      <c r="Y38" s="70">
        <f>W38+X38</f>
        <v>0</v>
      </c>
      <c r="Z38" s="71">
        <f>'[1]cálculos teóricos'!I184</f>
        <v>10.554915388407521</v>
      </c>
      <c r="AA38" s="72">
        <f t="shared" si="3"/>
        <v>0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172"/>
      <c r="W39" s="117"/>
      <c r="X39" s="173"/>
      <c r="Y39" s="99"/>
      <c r="Z39" s="174"/>
      <c r="AA39" s="128"/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4">
        <f>SUM(I9:I39)</f>
        <v>0</v>
      </c>
      <c r="J40" s="104">
        <f t="shared" ref="J40:AA40" si="9">SUM(J9:J39)</f>
        <v>0</v>
      </c>
      <c r="K40" s="104">
        <f t="shared" si="9"/>
        <v>15.200000000000001</v>
      </c>
      <c r="L40" s="104">
        <f t="shared" si="9"/>
        <v>22.8</v>
      </c>
      <c r="M40" s="104">
        <f t="shared" si="9"/>
        <v>24.5</v>
      </c>
      <c r="N40" s="104">
        <f t="shared" si="9"/>
        <v>25.4</v>
      </c>
      <c r="O40" s="104">
        <f t="shared" si="9"/>
        <v>25.500000000000004</v>
      </c>
      <c r="P40" s="104">
        <f t="shared" si="9"/>
        <v>27.099999999999998</v>
      </c>
      <c r="Q40" s="104">
        <f t="shared" si="9"/>
        <v>27.7</v>
      </c>
      <c r="R40" s="104">
        <f t="shared" si="9"/>
        <v>25.099999999999998</v>
      </c>
      <c r="S40" s="104">
        <f t="shared" si="9"/>
        <v>23.3</v>
      </c>
      <c r="T40" s="104">
        <f t="shared" si="9"/>
        <v>5.0999999999999996</v>
      </c>
      <c r="U40" s="104">
        <f t="shared" si="9"/>
        <v>0</v>
      </c>
      <c r="V40" s="104">
        <f t="shared" si="9"/>
        <v>0</v>
      </c>
      <c r="W40" s="104">
        <f>SUM(I40:O40)</f>
        <v>113.4</v>
      </c>
      <c r="X40" s="104">
        <f>SUM(P40:V40)</f>
        <v>108.29999999999998</v>
      </c>
      <c r="Y40" s="104">
        <f>W40+X40</f>
        <v>221.7</v>
      </c>
      <c r="Z40" s="104">
        <f t="shared" si="9"/>
        <v>317.02861542367316</v>
      </c>
      <c r="AA40" s="104">
        <f t="shared" si="9"/>
        <v>2098.1639357523973</v>
      </c>
      <c r="AB40" s="102"/>
    </row>
    <row r="41" spans="1:28" s="106" customFormat="1" ht="1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 t="s">
        <v>51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 t="s">
        <v>52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 t="s">
        <v>53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 t="s">
        <v>54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 ht="15">
      <c r="A50" s="3"/>
      <c r="B50" s="102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2" t="s">
        <v>56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A54" s="3"/>
      <c r="B54" s="102" t="s">
        <v>57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scale="50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70</v>
      </c>
      <c r="B1" s="2"/>
      <c r="C1" s="3"/>
      <c r="D1" s="175"/>
      <c r="E1" s="176"/>
      <c r="F1" s="150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177"/>
      <c r="S1" s="177"/>
      <c r="T1" s="177"/>
      <c r="U1" s="177"/>
      <c r="V1" s="7"/>
      <c r="W1" s="7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175"/>
      <c r="F2" s="176"/>
      <c r="G2" s="150"/>
      <c r="H2" s="3"/>
      <c r="I2" s="3"/>
      <c r="J2" s="3"/>
      <c r="K2" s="3"/>
      <c r="L2" s="3"/>
      <c r="M2" s="3"/>
      <c r="N2" s="3"/>
      <c r="O2" s="3"/>
      <c r="P2" s="177"/>
      <c r="Q2" s="177"/>
      <c r="R2" s="177"/>
      <c r="S2" s="177"/>
      <c r="T2" s="177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63</v>
      </c>
      <c r="W3" s="3"/>
      <c r="X3" s="152"/>
      <c r="Y3" s="6"/>
      <c r="Z3" s="6"/>
      <c r="AA3" s="6"/>
      <c r="AB3" s="3"/>
    </row>
    <row r="4" spans="1:28" ht="18" customHeight="1" thickBot="1">
      <c r="A4" s="3"/>
      <c r="B4" s="3"/>
      <c r="C4" s="3"/>
      <c r="D4" s="175"/>
      <c r="E4" s="176"/>
      <c r="F4" s="15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110" t="s">
        <v>39</v>
      </c>
      <c r="O8" s="178" t="s">
        <v>40</v>
      </c>
      <c r="P8" s="17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165" t="s">
        <v>50</v>
      </c>
      <c r="Z8" s="54" t="s">
        <v>50</v>
      </c>
      <c r="AA8" s="55" t="s">
        <v>50</v>
      </c>
      <c r="AB8" s="177"/>
    </row>
    <row r="9" spans="1:28" ht="18" customHeight="1">
      <c r="A9" s="111">
        <v>1</v>
      </c>
      <c r="B9" s="57">
        <v>7.1</v>
      </c>
      <c r="C9" s="74">
        <f>'[1]cálculos teóricos'!K185</f>
        <v>0.94922253208705598</v>
      </c>
      <c r="D9" s="59">
        <f>IF(B9&gt;0,B9*C9*14.25*1.022,-999)</f>
        <v>98.150416656953851</v>
      </c>
      <c r="E9" s="60">
        <f>IF(B9&gt;0,D9*4.1868/100,-999)</f>
        <v>4.1093616445933439</v>
      </c>
      <c r="F9" s="61">
        <f>IF(B9&gt;0,(7.86+1.25*D9)*4.1868/100,-999)</f>
        <v>5.4657845357416797</v>
      </c>
      <c r="G9" s="62">
        <f>'[1]cálculos teóricos'!T185</f>
        <v>22.12816277484286</v>
      </c>
      <c r="H9" s="63">
        <f>IF(B9&gt;0,100*F9/G9,-999)</f>
        <v>24.700579941302848</v>
      </c>
      <c r="I9" s="166"/>
      <c r="J9" s="64"/>
      <c r="K9" s="167"/>
      <c r="L9" s="167"/>
      <c r="M9" s="167"/>
      <c r="N9" s="180"/>
      <c r="O9" s="181"/>
      <c r="P9" s="182"/>
      <c r="Q9" s="167"/>
      <c r="R9" s="167">
        <v>0.4</v>
      </c>
      <c r="S9" s="167">
        <v>0.1</v>
      </c>
      <c r="T9" s="167">
        <v>0.2</v>
      </c>
      <c r="U9" s="64"/>
      <c r="V9" s="65"/>
      <c r="W9" s="59">
        <f t="shared" ref="W9:W40" si="0">SUM(I9:O9)</f>
        <v>0</v>
      </c>
      <c r="X9" s="117">
        <f>SUM(P9:V9)</f>
        <v>0.7</v>
      </c>
      <c r="Y9" s="118">
        <f>W9+X9</f>
        <v>0.7</v>
      </c>
      <c r="Z9" s="71">
        <f>'[1]cálculos teóricos'!I185</f>
        <v>10.559021498963354</v>
      </c>
      <c r="AA9" s="72">
        <f>100*Y9/Z9</f>
        <v>6.6294021663723619</v>
      </c>
      <c r="AB9" s="3"/>
    </row>
    <row r="10" spans="1:28" ht="18" customHeight="1">
      <c r="A10" s="111">
        <v>2</v>
      </c>
      <c r="B10" s="183">
        <v>20.5</v>
      </c>
      <c r="C10" s="74">
        <f>'[1]cálculos teóricos'!K186</f>
        <v>0.94945428691235023</v>
      </c>
      <c r="D10" s="59">
        <f>IF(B10&gt;0,B10*C10*14.25*1.022,-999)</f>
        <v>283.46123890268427</v>
      </c>
      <c r="E10" s="60">
        <f>IF(B10&gt;0,D10*4.1868/100,-999)</f>
        <v>11.867955150377584</v>
      </c>
      <c r="F10" s="61">
        <f>IF(B10&gt;0,(7.86+1.25*D10)*4.1868/100,-999)</f>
        <v>15.164026417971982</v>
      </c>
      <c r="G10" s="62">
        <f>'[1]cálculos teóricos'!T186</f>
        <v>22.16318090088307</v>
      </c>
      <c r="H10" s="75">
        <f>IF(B10&gt;0,100*F10/G10,-999)</f>
        <v>68.419900941961743</v>
      </c>
      <c r="I10" s="169"/>
      <c r="J10" s="79"/>
      <c r="K10" s="171"/>
      <c r="L10" s="171">
        <v>0.5</v>
      </c>
      <c r="M10" s="184">
        <v>1</v>
      </c>
      <c r="N10" s="171">
        <v>1</v>
      </c>
      <c r="O10" s="185">
        <v>1</v>
      </c>
      <c r="P10" s="186">
        <v>1</v>
      </c>
      <c r="Q10" s="184">
        <v>1</v>
      </c>
      <c r="R10" s="184">
        <v>1</v>
      </c>
      <c r="S10" s="184">
        <v>1</v>
      </c>
      <c r="T10" s="184">
        <v>0.5</v>
      </c>
      <c r="U10" s="82"/>
      <c r="V10" s="78"/>
      <c r="W10" s="59">
        <f t="shared" si="0"/>
        <v>3.5</v>
      </c>
      <c r="X10" s="117">
        <f>SUM(P10:V10)</f>
        <v>4.5</v>
      </c>
      <c r="Y10" s="70">
        <f>W10+X10</f>
        <v>8</v>
      </c>
      <c r="Z10" s="71">
        <f>'[1]cálculos teóricos'!I186</f>
        <v>10.563600427107158</v>
      </c>
      <c r="AA10" s="72">
        <f t="shared" ref="AA10:AA39" si="1">100*Y10/Z10</f>
        <v>75.731755050780549</v>
      </c>
      <c r="AB10" s="177"/>
    </row>
    <row r="11" spans="1:28" ht="18" customHeight="1">
      <c r="A11" s="111">
        <v>3</v>
      </c>
      <c r="B11" s="183">
        <v>14.7</v>
      </c>
      <c r="C11" s="74">
        <f>'[1]cálculos teóricos'!K187</f>
        <v>0.94970976387893824</v>
      </c>
      <c r="D11" s="59">
        <f t="shared" ref="D11:D39" si="2">IF(B11&gt;0,B11*C11*14.25*1.022,-999)</f>
        <v>203.31714274988846</v>
      </c>
      <c r="E11" s="60">
        <f t="shared" ref="E11:E39" si="3">IF(B11&gt;0,D11*4.1868/100,-999)</f>
        <v>8.5124821326523303</v>
      </c>
      <c r="F11" s="61">
        <f t="shared" ref="F11:F39" si="4">IF(B11&gt;0,(7.86+1.25*D11)*4.1868/100,-999)</f>
        <v>10.969685145815413</v>
      </c>
      <c r="G11" s="62">
        <f>'[1]cálculos teóricos'!T187</f>
        <v>22.20209100334764</v>
      </c>
      <c r="H11" s="75">
        <f t="shared" ref="H11:H39" si="5">IF(B11&gt;0,100*F11/G11,-999)</f>
        <v>49.408342413160092</v>
      </c>
      <c r="I11" s="169"/>
      <c r="J11" s="79"/>
      <c r="K11" s="171"/>
      <c r="L11" s="184">
        <v>0.9</v>
      </c>
      <c r="M11" s="184">
        <v>1</v>
      </c>
      <c r="N11" s="171">
        <v>1</v>
      </c>
      <c r="O11" s="185">
        <v>1</v>
      </c>
      <c r="P11" s="186">
        <v>1</v>
      </c>
      <c r="Q11" s="184">
        <v>1</v>
      </c>
      <c r="R11" s="184">
        <v>1</v>
      </c>
      <c r="S11" s="184">
        <v>1</v>
      </c>
      <c r="T11" s="187">
        <v>0.2</v>
      </c>
      <c r="U11" s="82"/>
      <c r="V11" s="78"/>
      <c r="W11" s="59">
        <f t="shared" si="0"/>
        <v>3.9</v>
      </c>
      <c r="X11" s="117">
        <f t="shared" ref="X11:X16" si="6">SUM(P11:V11)</f>
        <v>4.2</v>
      </c>
      <c r="Y11" s="70">
        <f t="shared" ref="Y11:Y16" si="7">W11+X11</f>
        <v>8.1</v>
      </c>
      <c r="Z11" s="71">
        <f>'[1]cálculos teóricos'!I187</f>
        <v>10.568648710207977</v>
      </c>
      <c r="AA11" s="72">
        <f t="shared" si="1"/>
        <v>76.641775330997845</v>
      </c>
      <c r="AB11" s="177"/>
    </row>
    <row r="12" spans="1:28" ht="18" customHeight="1">
      <c r="A12" s="73">
        <v>4</v>
      </c>
      <c r="B12" s="57">
        <v>13</v>
      </c>
      <c r="C12" s="74">
        <f>'[1]cálculos teóricos'!K188</f>
        <v>0.9499887601007182</v>
      </c>
      <c r="D12" s="59">
        <f t="shared" si="2"/>
        <v>179.85709700044853</v>
      </c>
      <c r="E12" s="60">
        <f t="shared" si="3"/>
        <v>7.5302569372147783</v>
      </c>
      <c r="F12" s="61">
        <f t="shared" si="4"/>
        <v>9.7419036515184754</v>
      </c>
      <c r="G12" s="62">
        <f>'[1]cálculos teóricos'!T188</f>
        <v>22.244871387745548</v>
      </c>
      <c r="H12" s="75">
        <f t="shared" si="5"/>
        <v>43.793931112072791</v>
      </c>
      <c r="I12" s="169"/>
      <c r="J12" s="79"/>
      <c r="K12" s="171"/>
      <c r="L12" s="171"/>
      <c r="M12" s="184"/>
      <c r="N12" s="171"/>
      <c r="O12" s="185">
        <v>0.2</v>
      </c>
      <c r="P12" s="186">
        <v>0.1</v>
      </c>
      <c r="Q12" s="184">
        <v>0.6</v>
      </c>
      <c r="R12" s="184">
        <v>0.2</v>
      </c>
      <c r="S12" s="171">
        <v>0.6</v>
      </c>
      <c r="T12" s="187"/>
      <c r="U12" s="82"/>
      <c r="V12" s="78"/>
      <c r="W12" s="59">
        <f t="shared" si="0"/>
        <v>0.2</v>
      </c>
      <c r="X12" s="117">
        <f t="shared" si="6"/>
        <v>1.5</v>
      </c>
      <c r="Y12" s="70">
        <f t="shared" si="7"/>
        <v>1.7</v>
      </c>
      <c r="Z12" s="71">
        <f>'[1]cálculos teóricos'!I188</f>
        <v>10.57416256793211</v>
      </c>
      <c r="AA12" s="72">
        <f t="shared" si="1"/>
        <v>16.076923246437786</v>
      </c>
      <c r="AB12" s="177"/>
    </row>
    <row r="13" spans="1:28" ht="18" customHeight="1">
      <c r="A13" s="73">
        <v>5</v>
      </c>
      <c r="B13" s="57">
        <v>19.899999999999999</v>
      </c>
      <c r="C13" s="74">
        <f>'[1]cálculos teóricos'!K189</f>
        <v>0.95029105530266378</v>
      </c>
      <c r="D13" s="59">
        <f t="shared" si="2"/>
        <v>275.40731929961686</v>
      </c>
      <c r="E13" s="60">
        <f t="shared" si="3"/>
        <v>11.530753644436359</v>
      </c>
      <c r="F13" s="61">
        <f t="shared" si="4"/>
        <v>14.742524535545448</v>
      </c>
      <c r="G13" s="62">
        <f>'[1]cálculos teóricos'!T189</f>
        <v>22.291498546096314</v>
      </c>
      <c r="H13" s="75">
        <f t="shared" si="5"/>
        <v>66.135188287407246</v>
      </c>
      <c r="I13" s="169"/>
      <c r="J13" s="79"/>
      <c r="K13" s="171">
        <v>0.7</v>
      </c>
      <c r="L13" s="171">
        <v>1</v>
      </c>
      <c r="M13" s="184">
        <v>1</v>
      </c>
      <c r="N13" s="171">
        <v>1</v>
      </c>
      <c r="O13" s="185">
        <v>1</v>
      </c>
      <c r="P13" s="186">
        <v>1</v>
      </c>
      <c r="Q13" s="184">
        <v>1</v>
      </c>
      <c r="R13" s="184">
        <v>0.8</v>
      </c>
      <c r="S13" s="171">
        <v>0.8</v>
      </c>
      <c r="T13" s="188"/>
      <c r="U13" s="82"/>
      <c r="V13" s="78"/>
      <c r="W13" s="59">
        <f t="shared" si="0"/>
        <v>4.7</v>
      </c>
      <c r="X13" s="117">
        <f t="shared" si="6"/>
        <v>3.5999999999999996</v>
      </c>
      <c r="Y13" s="70">
        <f t="shared" si="7"/>
        <v>8.3000000000000007</v>
      </c>
      <c r="Z13" s="71">
        <f>'[1]cálculos teóricos'!I189</f>
        <v>10.580137911715219</v>
      </c>
      <c r="AA13" s="72">
        <f t="shared" si="1"/>
        <v>78.448882890359513</v>
      </c>
      <c r="AB13" s="177"/>
    </row>
    <row r="14" spans="1:28" ht="18" customHeight="1">
      <c r="A14" s="73">
        <v>6</v>
      </c>
      <c r="B14" s="57">
        <v>12.8</v>
      </c>
      <c r="C14" s="74">
        <f>'[1]cálculos teóricos'!K190</f>
        <v>0.95061641216417903</v>
      </c>
      <c r="D14" s="59">
        <f t="shared" si="2"/>
        <v>177.20706711747869</v>
      </c>
      <c r="E14" s="60">
        <f t="shared" si="3"/>
        <v>7.4193054860745971</v>
      </c>
      <c r="F14" s="61">
        <f t="shared" si="4"/>
        <v>9.6032143375932471</v>
      </c>
      <c r="G14" s="62">
        <f>'[1]cálculos teóricos'!T190</f>
        <v>22.341947176896817</v>
      </c>
      <c r="H14" s="75">
        <f t="shared" si="5"/>
        <v>42.982888919922175</v>
      </c>
      <c r="I14" s="169"/>
      <c r="J14" s="79"/>
      <c r="K14" s="171"/>
      <c r="L14" s="171"/>
      <c r="M14" s="184"/>
      <c r="N14" s="171">
        <v>0.7</v>
      </c>
      <c r="O14" s="185"/>
      <c r="P14" s="186">
        <v>0.2</v>
      </c>
      <c r="Q14" s="184">
        <v>0.5</v>
      </c>
      <c r="R14" s="184">
        <v>0.5</v>
      </c>
      <c r="S14" s="171">
        <v>0.1</v>
      </c>
      <c r="T14" s="188"/>
      <c r="U14" s="82"/>
      <c r="V14" s="78"/>
      <c r="W14" s="59">
        <f t="shared" si="0"/>
        <v>0.7</v>
      </c>
      <c r="X14" s="117">
        <f t="shared" si="6"/>
        <v>1.3</v>
      </c>
      <c r="Y14" s="70">
        <f t="shared" si="7"/>
        <v>2</v>
      </c>
      <c r="Z14" s="71">
        <f>'[1]cálculos teóricos'!I190</f>
        <v>10.586570354918337</v>
      </c>
      <c r="AA14" s="72">
        <f t="shared" si="1"/>
        <v>18.891859525316761</v>
      </c>
      <c r="AB14" s="177"/>
    </row>
    <row r="15" spans="1:28" ht="18" customHeight="1">
      <c r="A15" s="73">
        <v>7</v>
      </c>
      <c r="B15" s="57">
        <v>19</v>
      </c>
      <c r="C15" s="74">
        <f>'[1]cálculos teóricos'!K191</f>
        <v>0.95096457668682222</v>
      </c>
      <c r="D15" s="59">
        <f t="shared" si="2"/>
        <v>263.13807963899217</v>
      </c>
      <c r="E15" s="60">
        <f t="shared" si="3"/>
        <v>11.017065118325325</v>
      </c>
      <c r="F15" s="61">
        <f t="shared" si="4"/>
        <v>14.100413877906655</v>
      </c>
      <c r="G15" s="62">
        <f>'[1]cálculos teóricos'!T191</f>
        <v>22.396190206493252</v>
      </c>
      <c r="H15" s="75">
        <f t="shared" si="5"/>
        <v>62.958984308940948</v>
      </c>
      <c r="I15" s="169"/>
      <c r="J15" s="79"/>
      <c r="K15" s="171"/>
      <c r="L15" s="171">
        <v>0.1</v>
      </c>
      <c r="M15" s="171">
        <v>1</v>
      </c>
      <c r="N15" s="171">
        <v>1</v>
      </c>
      <c r="O15" s="185">
        <v>1</v>
      </c>
      <c r="P15" s="186">
        <v>1</v>
      </c>
      <c r="Q15" s="184">
        <v>1</v>
      </c>
      <c r="R15" s="171">
        <v>1</v>
      </c>
      <c r="S15" s="187">
        <v>1</v>
      </c>
      <c r="T15" s="187">
        <v>0.2</v>
      </c>
      <c r="U15" s="82"/>
      <c r="V15" s="78"/>
      <c r="W15" s="59">
        <f t="shared" si="0"/>
        <v>3.1</v>
      </c>
      <c r="X15" s="117">
        <f t="shared" si="6"/>
        <v>4.2</v>
      </c>
      <c r="Y15" s="70">
        <f t="shared" si="7"/>
        <v>7.3000000000000007</v>
      </c>
      <c r="Z15" s="71">
        <f>'[1]cálculos teóricos'!I191</f>
        <v>10.593455223619625</v>
      </c>
      <c r="AA15" s="72">
        <f t="shared" si="1"/>
        <v>68.910472040544491</v>
      </c>
      <c r="AB15" s="177"/>
    </row>
    <row r="16" spans="1:28" ht="18" customHeight="1">
      <c r="A16" s="80">
        <v>8</v>
      </c>
      <c r="B16" s="76">
        <v>5.7</v>
      </c>
      <c r="C16" s="74">
        <f>'[1]cálculos teóricos'!K192</f>
        <v>0.95133527858537681</v>
      </c>
      <c r="D16" s="59">
        <f t="shared" si="2"/>
        <v>78.97219657916537</v>
      </c>
      <c r="E16" s="60">
        <f t="shared" si="3"/>
        <v>3.3064079263764956</v>
      </c>
      <c r="F16" s="61">
        <f t="shared" si="4"/>
        <v>4.4620923879706194</v>
      </c>
      <c r="G16" s="62">
        <f>'[1]cálculos teóricos'!T192</f>
        <v>22.454198811849096</v>
      </c>
      <c r="H16" s="75">
        <f t="shared" si="5"/>
        <v>19.871973279295851</v>
      </c>
      <c r="I16" s="170"/>
      <c r="J16" s="188"/>
      <c r="K16" s="189"/>
      <c r="L16" s="76"/>
      <c r="M16" s="79"/>
      <c r="N16" s="76"/>
      <c r="O16" s="190">
        <v>0.1</v>
      </c>
      <c r="P16" s="191">
        <v>0.1</v>
      </c>
      <c r="Q16" s="79"/>
      <c r="R16" s="79"/>
      <c r="S16" s="76"/>
      <c r="T16" s="81"/>
      <c r="U16" s="81"/>
      <c r="V16" s="78"/>
      <c r="W16" s="59">
        <f t="shared" si="0"/>
        <v>0.1</v>
      </c>
      <c r="X16" s="117">
        <f t="shared" si="6"/>
        <v>0.1</v>
      </c>
      <c r="Y16" s="70">
        <f t="shared" si="7"/>
        <v>0.2</v>
      </c>
      <c r="Z16" s="71">
        <f>'[1]cálculos teóricos'!I192</f>
        <v>10.600787567991276</v>
      </c>
      <c r="AA16" s="72">
        <f t="shared" si="1"/>
        <v>1.8866522767034151</v>
      </c>
      <c r="AB16" s="177"/>
    </row>
    <row r="17" spans="1:28" ht="18" customHeight="1">
      <c r="A17" s="80">
        <v>9</v>
      </c>
      <c r="B17" s="76">
        <v>3.7</v>
      </c>
      <c r="C17" s="74">
        <f>'[1]cálculos teóricos'!K193</f>
        <v>0.95172823170119347</v>
      </c>
      <c r="D17" s="59">
        <f t="shared" si="2"/>
        <v>51.283828178807227</v>
      </c>
      <c r="E17" s="60">
        <f t="shared" si="3"/>
        <v>2.1471513181903008</v>
      </c>
      <c r="F17" s="61">
        <f t="shared" si="4"/>
        <v>3.0130216277378761</v>
      </c>
      <c r="G17" s="62">
        <f>'[1]cálculos teóricos'!T193</f>
        <v>22.515942444697764</v>
      </c>
      <c r="H17" s="75">
        <f t="shared" si="5"/>
        <v>13.381725571284743</v>
      </c>
      <c r="I17" s="170"/>
      <c r="J17" s="188"/>
      <c r="K17" s="155"/>
      <c r="L17" s="189"/>
      <c r="M17" s="184"/>
      <c r="N17" s="171"/>
      <c r="O17" s="185"/>
      <c r="P17" s="186"/>
      <c r="Q17" s="184"/>
      <c r="R17" s="184"/>
      <c r="S17" s="171"/>
      <c r="T17" s="192"/>
      <c r="U17" s="81"/>
      <c r="V17" s="78"/>
      <c r="W17" s="59">
        <f t="shared" si="0"/>
        <v>0</v>
      </c>
      <c r="X17" s="117">
        <f>SUM(P17:V17)</f>
        <v>0</v>
      </c>
      <c r="Y17" s="70">
        <f>W17+X17</f>
        <v>0</v>
      </c>
      <c r="Z17" s="71">
        <f>'[1]cálculos teóricos'!I193</f>
        <v>10.608562174209084</v>
      </c>
      <c r="AA17" s="72">
        <f t="shared" si="1"/>
        <v>0</v>
      </c>
      <c r="AB17" s="177"/>
    </row>
    <row r="18" spans="1:28" ht="18" customHeight="1">
      <c r="A18" s="80">
        <v>10</v>
      </c>
      <c r="B18" s="76">
        <v>15.1</v>
      </c>
      <c r="C18" s="74">
        <f>'[1]cálculos teóricos'!K194</f>
        <v>0.95214313443666077</v>
      </c>
      <c r="D18" s="59">
        <f t="shared" si="2"/>
        <v>209.3847017293615</v>
      </c>
      <c r="E18" s="60">
        <f t="shared" si="3"/>
        <v>8.7665186920049063</v>
      </c>
      <c r="F18" s="61">
        <f t="shared" si="4"/>
        <v>11.287230845006134</v>
      </c>
      <c r="G18" s="62">
        <f>'[1]cálculos teóricos'!T194</f>
        <v>22.581388857066401</v>
      </c>
      <c r="H18" s="75">
        <f t="shared" si="5"/>
        <v>49.984661778117413</v>
      </c>
      <c r="I18" s="170"/>
      <c r="J18" s="188"/>
      <c r="K18" s="155"/>
      <c r="L18" s="192">
        <v>0.2</v>
      </c>
      <c r="M18" s="192">
        <v>1</v>
      </c>
      <c r="N18" s="192">
        <v>1</v>
      </c>
      <c r="O18" s="193">
        <v>0.4</v>
      </c>
      <c r="P18" s="194">
        <v>0.4</v>
      </c>
      <c r="Q18" s="187">
        <v>0.5</v>
      </c>
      <c r="R18" s="192">
        <v>0.9</v>
      </c>
      <c r="S18" s="192">
        <v>0.6</v>
      </c>
      <c r="T18" s="192">
        <v>0.1</v>
      </c>
      <c r="U18" s="81"/>
      <c r="V18" s="78"/>
      <c r="W18" s="59">
        <f t="shared" si="0"/>
        <v>2.6</v>
      </c>
      <c r="X18" s="117">
        <f>SUM(P18:V18)</f>
        <v>2.5</v>
      </c>
      <c r="Y18" s="70">
        <f>W18+X18</f>
        <v>5.0999999999999996</v>
      </c>
      <c r="Z18" s="71">
        <f>'[1]cálculos teóricos'!I194</f>
        <v>10.616773576840487</v>
      </c>
      <c r="AA18" s="72">
        <f t="shared" si="1"/>
        <v>48.037192873032346</v>
      </c>
      <c r="AB18" s="177"/>
    </row>
    <row r="19" spans="1:28" ht="18" customHeight="1">
      <c r="A19" s="80">
        <v>11</v>
      </c>
      <c r="B19" s="76">
        <v>10.9</v>
      </c>
      <c r="C19" s="74">
        <f>'[1]cálculos teóricos'!K195</f>
        <v>0.95257967020962231</v>
      </c>
      <c r="D19" s="59">
        <f t="shared" si="2"/>
        <v>151.2145448953664</v>
      </c>
      <c r="E19" s="60">
        <f t="shared" si="3"/>
        <v>6.3310505656791998</v>
      </c>
      <c r="F19" s="61">
        <f t="shared" si="4"/>
        <v>8.2428956870990007</v>
      </c>
      <c r="G19" s="62">
        <f>'[1]cálculos teóricos'!T195</f>
        <v>22.650504128154459</v>
      </c>
      <c r="H19" s="75">
        <f t="shared" si="5"/>
        <v>36.391665459017858</v>
      </c>
      <c r="I19" s="170"/>
      <c r="J19" s="187"/>
      <c r="K19" s="192"/>
      <c r="L19" s="192"/>
      <c r="M19" s="192"/>
      <c r="N19" s="192"/>
      <c r="O19" s="193">
        <v>0.3</v>
      </c>
      <c r="P19" s="194">
        <v>0.9</v>
      </c>
      <c r="Q19" s="192">
        <v>0.6</v>
      </c>
      <c r="R19" s="192">
        <v>0.2</v>
      </c>
      <c r="S19" s="192">
        <v>0.2</v>
      </c>
      <c r="T19" s="192"/>
      <c r="U19" s="81"/>
      <c r="V19" s="78"/>
      <c r="W19" s="59">
        <f t="shared" si="0"/>
        <v>0.3</v>
      </c>
      <c r="X19" s="117">
        <f>SUM(P19:V19)</f>
        <v>1.9</v>
      </c>
      <c r="Y19" s="70">
        <f>W19+X19</f>
        <v>2.1999999999999997</v>
      </c>
      <c r="Z19" s="71">
        <f>'[1]cálculos teóricos'!I195</f>
        <v>10.625416071655851</v>
      </c>
      <c r="AA19" s="72">
        <f t="shared" si="1"/>
        <v>20.705071548856107</v>
      </c>
      <c r="AB19" s="177"/>
    </row>
    <row r="20" spans="1:28" ht="18" customHeight="1">
      <c r="A20" s="80">
        <v>12</v>
      </c>
      <c r="B20" s="76">
        <v>11.7</v>
      </c>
      <c r="C20" s="74">
        <f>'[1]cálculos teóricos'!K196</f>
        <v>0.95303750792650499</v>
      </c>
      <c r="D20" s="59">
        <f t="shared" si="2"/>
        <v>162.39087243624556</v>
      </c>
      <c r="E20" s="60">
        <f t="shared" si="3"/>
        <v>6.798981047160729</v>
      </c>
      <c r="F20" s="61">
        <f t="shared" si="4"/>
        <v>8.8278087889509109</v>
      </c>
      <c r="G20" s="62">
        <f>'[1]cálculos teóricos'!T196</f>
        <v>22.723252692547995</v>
      </c>
      <c r="H20" s="75">
        <f t="shared" si="5"/>
        <v>38.849230382611367</v>
      </c>
      <c r="I20" s="170"/>
      <c r="J20" s="188"/>
      <c r="K20" s="192"/>
      <c r="L20" s="192"/>
      <c r="M20" s="192"/>
      <c r="N20" s="192"/>
      <c r="O20" s="193">
        <v>0.5</v>
      </c>
      <c r="P20" s="194">
        <v>1</v>
      </c>
      <c r="Q20" s="192">
        <v>0.8</v>
      </c>
      <c r="R20" s="192">
        <v>0.7</v>
      </c>
      <c r="S20" s="192">
        <v>0.2</v>
      </c>
      <c r="T20" s="192"/>
      <c r="U20" s="81"/>
      <c r="V20" s="78"/>
      <c r="W20" s="59">
        <f t="shared" si="0"/>
        <v>0.5</v>
      </c>
      <c r="X20" s="117">
        <f>SUM(P20:V20)</f>
        <v>2.7</v>
      </c>
      <c r="Y20" s="70">
        <f>W20+X20</f>
        <v>3.2</v>
      </c>
      <c r="Z20" s="71">
        <f>'[1]cálculos teóricos'!I196</f>
        <v>10.634483728806718</v>
      </c>
      <c r="AA20" s="72">
        <f t="shared" si="1"/>
        <v>30.090788435096588</v>
      </c>
      <c r="AB20" s="177"/>
    </row>
    <row r="21" spans="1:28" ht="18" customHeight="1">
      <c r="A21" s="80">
        <v>13</v>
      </c>
      <c r="B21" s="76">
        <v>6.7</v>
      </c>
      <c r="C21" s="74">
        <f>'[1]cálculos teóricos'!K197</f>
        <v>0.95351630247288299</v>
      </c>
      <c r="D21" s="59">
        <f t="shared" si="2"/>
        <v>93.039782296127683</v>
      </c>
      <c r="E21" s="60">
        <f t="shared" si="3"/>
        <v>3.8953896051742736</v>
      </c>
      <c r="F21" s="61">
        <f t="shared" si="4"/>
        <v>5.1983194864678417</v>
      </c>
      <c r="G21" s="62">
        <f>'[1]cálculos teóricos'!T197</f>
        <v>22.79959736974741</v>
      </c>
      <c r="H21" s="75">
        <f t="shared" si="5"/>
        <v>22.800049501599741</v>
      </c>
      <c r="I21" s="170"/>
      <c r="J21" s="82"/>
      <c r="K21" s="192"/>
      <c r="L21" s="192"/>
      <c r="M21" s="192"/>
      <c r="N21" s="192"/>
      <c r="O21" s="193"/>
      <c r="P21" s="194"/>
      <c r="Q21" s="192"/>
      <c r="R21" s="192"/>
      <c r="S21" s="192"/>
      <c r="T21" s="192"/>
      <c r="U21" s="81"/>
      <c r="V21" s="78"/>
      <c r="W21" s="59">
        <f t="shared" si="0"/>
        <v>0</v>
      </c>
      <c r="X21" s="117">
        <f>SUM(P21:V21)</f>
        <v>0</v>
      </c>
      <c r="Y21" s="70">
        <f>W21+X21</f>
        <v>0</v>
      </c>
      <c r="Z21" s="71">
        <f>'[1]cálculos teóricos'!I197</f>
        <v>10.643970406314452</v>
      </c>
      <c r="AA21" s="72">
        <f t="shared" si="1"/>
        <v>0</v>
      </c>
      <c r="AB21" s="177"/>
    </row>
    <row r="22" spans="1:28" ht="18" customHeight="1">
      <c r="A22" s="80">
        <v>14</v>
      </c>
      <c r="B22" s="76">
        <v>19.7</v>
      </c>
      <c r="C22" s="74">
        <f>'[1]cálculos teóricos'!K198</f>
        <v>0.95401569522016727</v>
      </c>
      <c r="D22" s="59">
        <f t="shared" si="2"/>
        <v>273.70800927357641</v>
      </c>
      <c r="E22" s="60">
        <f t="shared" si="3"/>
        <v>11.459606932266096</v>
      </c>
      <c r="F22" s="61">
        <f t="shared" si="4"/>
        <v>14.653591145332621</v>
      </c>
      <c r="G22" s="62">
        <f>'[1]cálculos teóricos'!T198</f>
        <v>22.879499394983263</v>
      </c>
      <c r="H22" s="75">
        <f t="shared" si="5"/>
        <v>64.046817163078671</v>
      </c>
      <c r="I22" s="170"/>
      <c r="J22" s="82"/>
      <c r="K22" s="81">
        <v>0.2</v>
      </c>
      <c r="L22" s="81">
        <v>0.5</v>
      </c>
      <c r="M22" s="81">
        <v>1</v>
      </c>
      <c r="N22" s="81">
        <v>1</v>
      </c>
      <c r="O22" s="195">
        <v>1</v>
      </c>
      <c r="P22" s="196">
        <v>1</v>
      </c>
      <c r="Q22" s="81">
        <v>1</v>
      </c>
      <c r="R22" s="81">
        <v>1</v>
      </c>
      <c r="S22" s="81">
        <v>1</v>
      </c>
      <c r="T22" s="81">
        <v>0.5</v>
      </c>
      <c r="U22" s="81"/>
      <c r="V22" s="78"/>
      <c r="W22" s="59">
        <f t="shared" si="0"/>
        <v>3.7</v>
      </c>
      <c r="X22" s="117">
        <f t="shared" ref="X22:X36" si="8">SUM(P22:V22)</f>
        <v>4.5</v>
      </c>
      <c r="Y22" s="70">
        <f t="shared" ref="Y22:Y36" si="9">W22+X22</f>
        <v>8.1999999999999993</v>
      </c>
      <c r="Z22" s="71">
        <f>'[1]cálculos teóricos'!I198</f>
        <v>10.653869763812521</v>
      </c>
      <c r="AA22" s="72">
        <f t="shared" si="1"/>
        <v>76.967338458111612</v>
      </c>
      <c r="AB22" s="177"/>
    </row>
    <row r="23" spans="1:28" ht="18" customHeight="1">
      <c r="A23" s="80">
        <v>15</v>
      </c>
      <c r="B23" s="76">
        <v>15</v>
      </c>
      <c r="C23" s="74">
        <f>'[1]cálculos teóricos'!K199</f>
        <v>0.95453531454708007</v>
      </c>
      <c r="D23" s="59">
        <f t="shared" si="2"/>
        <v>208.52062580109603</v>
      </c>
      <c r="E23" s="60">
        <f t="shared" si="3"/>
        <v>8.730341561040289</v>
      </c>
      <c r="F23" s="61">
        <f t="shared" si="4"/>
        <v>11.242009431300362</v>
      </c>
      <c r="G23" s="62">
        <f>'[1]cálculos teóricos'!T199</f>
        <v>22.962918451291131</v>
      </c>
      <c r="H23" s="75">
        <f t="shared" si="5"/>
        <v>48.957232745249158</v>
      </c>
      <c r="I23" s="170"/>
      <c r="J23" s="82"/>
      <c r="K23" s="81"/>
      <c r="L23" s="81"/>
      <c r="M23" s="81">
        <v>0.1</v>
      </c>
      <c r="N23" s="81">
        <v>0.3</v>
      </c>
      <c r="O23" s="195">
        <v>0.8</v>
      </c>
      <c r="P23" s="196">
        <v>0.7</v>
      </c>
      <c r="Q23" s="81">
        <v>0.8</v>
      </c>
      <c r="R23" s="81">
        <v>0.4</v>
      </c>
      <c r="S23" s="81">
        <v>0.4</v>
      </c>
      <c r="T23" s="81"/>
      <c r="U23" s="81"/>
      <c r="V23" s="78"/>
      <c r="W23" s="59">
        <f t="shared" si="0"/>
        <v>1.2000000000000002</v>
      </c>
      <c r="X23" s="117">
        <f t="shared" si="8"/>
        <v>2.2999999999999998</v>
      </c>
      <c r="Y23" s="70">
        <f t="shared" si="9"/>
        <v>3.5</v>
      </c>
      <c r="Z23" s="71">
        <f>'[1]cálculos teóricos'!I199</f>
        <v>10.664175276485974</v>
      </c>
      <c r="AA23" s="72">
        <f t="shared" si="1"/>
        <v>32.820165734872553</v>
      </c>
      <c r="AB23" s="177"/>
    </row>
    <row r="24" spans="1:28" ht="18" customHeight="1">
      <c r="A24" s="80">
        <v>16</v>
      </c>
      <c r="B24" s="76">
        <v>15.6</v>
      </c>
      <c r="C24" s="74">
        <f>'[1]cálculos teóricos'!K200</f>
        <v>0.95507477637454152</v>
      </c>
      <c r="D24" s="59">
        <f t="shared" si="2"/>
        <v>216.98401148939791</v>
      </c>
      <c r="E24" s="60">
        <f t="shared" si="3"/>
        <v>9.0846865930381107</v>
      </c>
      <c r="F24" s="61">
        <f t="shared" si="4"/>
        <v>11.684940721297641</v>
      </c>
      <c r="G24" s="62">
        <f>'[1]cálculos teóricos'!T200</f>
        <v>23.049812702813032</v>
      </c>
      <c r="H24" s="75">
        <f t="shared" si="5"/>
        <v>50.694297918835559</v>
      </c>
      <c r="I24" s="170"/>
      <c r="J24" s="82"/>
      <c r="K24" s="81"/>
      <c r="L24" s="81"/>
      <c r="M24" s="155"/>
      <c r="N24" s="81">
        <v>0.6</v>
      </c>
      <c r="O24" s="195">
        <v>1</v>
      </c>
      <c r="P24" s="196">
        <v>1</v>
      </c>
      <c r="Q24" s="81">
        <v>1</v>
      </c>
      <c r="R24" s="81">
        <v>1</v>
      </c>
      <c r="S24" s="81">
        <v>0.2</v>
      </c>
      <c r="T24" s="81"/>
      <c r="U24" s="81"/>
      <c r="V24" s="78"/>
      <c r="W24" s="59">
        <f t="shared" si="0"/>
        <v>1.6</v>
      </c>
      <c r="X24" s="117">
        <f t="shared" si="8"/>
        <v>3.2</v>
      </c>
      <c r="Y24" s="70">
        <f t="shared" si="9"/>
        <v>4.8000000000000007</v>
      </c>
      <c r="Z24" s="71">
        <f>'[1]cálculos teóricos'!I200</f>
        <v>10.674880249152137</v>
      </c>
      <c r="AA24" s="72">
        <f t="shared" si="1"/>
        <v>44.965375610478112</v>
      </c>
      <c r="AB24" s="177"/>
    </row>
    <row r="25" spans="1:28" ht="18" customHeight="1">
      <c r="A25" s="80">
        <v>17</v>
      </c>
      <c r="B25" s="76">
        <v>19.399999999999999</v>
      </c>
      <c r="C25" s="74">
        <f>'[1]cálculos teóricos'!K201</f>
        <v>0.9556336847125847</v>
      </c>
      <c r="D25" s="59">
        <f t="shared" si="2"/>
        <v>269.99700064584749</v>
      </c>
      <c r="E25" s="60">
        <f t="shared" si="3"/>
        <v>11.304234423040343</v>
      </c>
      <c r="F25" s="61">
        <f t="shared" si="4"/>
        <v>14.459375508800429</v>
      </c>
      <c r="G25" s="62">
        <f>'[1]cálculos teóricos'!T201</f>
        <v>23.140138829289349</v>
      </c>
      <c r="H25" s="75">
        <f t="shared" si="5"/>
        <v>62.486122557305706</v>
      </c>
      <c r="I25" s="170"/>
      <c r="J25" s="82"/>
      <c r="K25" s="81"/>
      <c r="L25" s="81">
        <v>0.4</v>
      </c>
      <c r="M25" s="81">
        <v>1</v>
      </c>
      <c r="N25" s="81">
        <v>1</v>
      </c>
      <c r="O25" s="195">
        <v>1</v>
      </c>
      <c r="P25" s="196">
        <v>1</v>
      </c>
      <c r="Q25" s="81">
        <v>1</v>
      </c>
      <c r="R25" s="81">
        <v>1</v>
      </c>
      <c r="S25" s="81">
        <v>0.9</v>
      </c>
      <c r="T25" s="81">
        <v>0.1</v>
      </c>
      <c r="U25" s="81"/>
      <c r="V25" s="78"/>
      <c r="W25" s="59">
        <f t="shared" si="0"/>
        <v>3.4</v>
      </c>
      <c r="X25" s="117">
        <f t="shared" si="8"/>
        <v>4</v>
      </c>
      <c r="Y25" s="70">
        <f t="shared" si="9"/>
        <v>7.4</v>
      </c>
      <c r="Z25" s="71">
        <f>'[1]cálculos teóricos'!I201</f>
        <v>10.685977830427753</v>
      </c>
      <c r="AA25" s="72">
        <f t="shared" si="1"/>
        <v>69.249628975730175</v>
      </c>
      <c r="AB25" s="177"/>
    </row>
    <row r="26" spans="1:28" ht="18" customHeight="1">
      <c r="A26" s="85">
        <v>18</v>
      </c>
      <c r="B26" s="76">
        <v>20.3</v>
      </c>
      <c r="C26" s="74">
        <f>'[1]cálculos teóricos'!K202</f>
        <v>0.95621163221789329</v>
      </c>
      <c r="D26" s="59">
        <f t="shared" si="2"/>
        <v>282.69349854784735</v>
      </c>
      <c r="E26" s="60">
        <f t="shared" si="3"/>
        <v>11.835811397201274</v>
      </c>
      <c r="F26" s="61">
        <f t="shared" si="4"/>
        <v>15.123846726501592</v>
      </c>
      <c r="G26" s="62">
        <f>'[1]cálculos teóricos'!T202</f>
        <v>23.233852061700922</v>
      </c>
      <c r="H26" s="75">
        <f t="shared" si="5"/>
        <v>65.094013193929214</v>
      </c>
      <c r="I26" s="170"/>
      <c r="J26" s="82"/>
      <c r="K26" s="81">
        <v>0.6</v>
      </c>
      <c r="L26" s="81">
        <v>1</v>
      </c>
      <c r="M26" s="81">
        <v>1</v>
      </c>
      <c r="N26" s="81">
        <v>1</v>
      </c>
      <c r="O26" s="195">
        <v>0.9</v>
      </c>
      <c r="P26" s="196">
        <v>1</v>
      </c>
      <c r="Q26" s="81">
        <v>1</v>
      </c>
      <c r="R26" s="81">
        <v>1</v>
      </c>
      <c r="S26" s="81">
        <v>0.6</v>
      </c>
      <c r="T26" s="81"/>
      <c r="U26" s="81"/>
      <c r="V26" s="78"/>
      <c r="W26" s="59">
        <f t="shared" si="0"/>
        <v>4.5</v>
      </c>
      <c r="X26" s="117">
        <f t="shared" si="8"/>
        <v>3.6</v>
      </c>
      <c r="Y26" s="70">
        <f t="shared" si="9"/>
        <v>8.1</v>
      </c>
      <c r="Z26" s="71">
        <f>'[1]cálculos teóricos'!I202</f>
        <v>10.69746102692859</v>
      </c>
      <c r="AA26" s="72">
        <f t="shared" si="1"/>
        <v>75.718901705834384</v>
      </c>
      <c r="AB26" s="177"/>
    </row>
    <row r="27" spans="1:28" ht="18" customHeight="1">
      <c r="A27" s="85">
        <v>19</v>
      </c>
      <c r="B27" s="76">
        <v>20.9</v>
      </c>
      <c r="C27" s="74">
        <f>'[1]cálculos teóricos'!K203</f>
        <v>0.95680820076054496</v>
      </c>
      <c r="D27" s="59">
        <f t="shared" si="2"/>
        <v>291.23055324412252</v>
      </c>
      <c r="E27" s="60">
        <f t="shared" si="3"/>
        <v>12.193240803224921</v>
      </c>
      <c r="F27" s="61">
        <f t="shared" si="4"/>
        <v>15.570633484031152</v>
      </c>
      <c r="G27" s="62">
        <f>'[1]cálculos teóricos'!T203</f>
        <v>23.330906219017812</v>
      </c>
      <c r="H27" s="75">
        <f t="shared" si="5"/>
        <v>66.738228416258437</v>
      </c>
      <c r="I27" s="170"/>
      <c r="J27" s="82"/>
      <c r="K27" s="81"/>
      <c r="L27" s="81"/>
      <c r="M27" s="81">
        <v>0.4</v>
      </c>
      <c r="N27" s="81">
        <v>1</v>
      </c>
      <c r="O27" s="195">
        <v>1</v>
      </c>
      <c r="P27" s="196">
        <v>1</v>
      </c>
      <c r="Q27" s="81">
        <v>1</v>
      </c>
      <c r="R27" s="81">
        <v>1</v>
      </c>
      <c r="S27" s="81">
        <v>1</v>
      </c>
      <c r="T27" s="81">
        <v>0.6</v>
      </c>
      <c r="U27" s="81"/>
      <c r="V27" s="78"/>
      <c r="W27" s="59">
        <f t="shared" si="0"/>
        <v>2.4</v>
      </c>
      <c r="X27" s="117">
        <f t="shared" si="8"/>
        <v>4.5999999999999996</v>
      </c>
      <c r="Y27" s="70">
        <f t="shared" si="9"/>
        <v>7</v>
      </c>
      <c r="Z27" s="71">
        <f>'[1]cálculos teóricos'!I203</f>
        <v>10.709322717449501</v>
      </c>
      <c r="AA27" s="72">
        <f t="shared" si="1"/>
        <v>65.363610609981677</v>
      </c>
      <c r="AB27" s="177"/>
    </row>
    <row r="28" spans="1:28" ht="18" customHeight="1">
      <c r="A28" s="85">
        <v>20</v>
      </c>
      <c r="B28" s="76">
        <v>21.1</v>
      </c>
      <c r="C28" s="74">
        <f>'[1]cálculos teóricos'!K204</f>
        <v>0.95742296199854815</v>
      </c>
      <c r="D28" s="59">
        <f t="shared" si="2"/>
        <v>294.20635837908958</v>
      </c>
      <c r="E28" s="60">
        <f t="shared" si="3"/>
        <v>12.317831812615722</v>
      </c>
      <c r="F28" s="61">
        <f t="shared" si="4"/>
        <v>15.726372245769653</v>
      </c>
      <c r="G28" s="62">
        <f>'[1]cálculos teóricos'!T204</f>
        <v>23.431253746006767</v>
      </c>
      <c r="H28" s="75">
        <f t="shared" si="5"/>
        <v>67.117075408095886</v>
      </c>
      <c r="I28" s="170"/>
      <c r="J28" s="82"/>
      <c r="K28" s="81"/>
      <c r="L28" s="81"/>
      <c r="M28" s="81">
        <v>0.6</v>
      </c>
      <c r="N28" s="81">
        <v>1</v>
      </c>
      <c r="O28" s="195">
        <v>1</v>
      </c>
      <c r="P28" s="196">
        <v>1</v>
      </c>
      <c r="Q28" s="81">
        <v>1</v>
      </c>
      <c r="R28" s="81">
        <v>1</v>
      </c>
      <c r="S28" s="81">
        <v>1</v>
      </c>
      <c r="T28" s="81">
        <v>0.4</v>
      </c>
      <c r="U28" s="81"/>
      <c r="V28" s="78"/>
      <c r="W28" s="59">
        <f t="shared" si="0"/>
        <v>2.6</v>
      </c>
      <c r="X28" s="117">
        <f t="shared" si="8"/>
        <v>4.4000000000000004</v>
      </c>
      <c r="Y28" s="70">
        <f t="shared" si="9"/>
        <v>7</v>
      </c>
      <c r="Z28" s="71">
        <f>'[1]cálculos teóricos'!I204</f>
        <v>10.721555667074277</v>
      </c>
      <c r="AA28" s="72">
        <f t="shared" si="1"/>
        <v>65.289032835942692</v>
      </c>
      <c r="AB28" s="177"/>
    </row>
    <row r="29" spans="1:28" ht="18" customHeight="1">
      <c r="A29" s="85">
        <v>21</v>
      </c>
      <c r="B29" s="76">
        <v>21.6</v>
      </c>
      <c r="C29" s="74">
        <f>'[1]cálculos teóricos'!K205</f>
        <v>0.95805547795874668</v>
      </c>
      <c r="D29" s="59">
        <f t="shared" si="2"/>
        <v>301.37704459024769</v>
      </c>
      <c r="E29" s="60">
        <f t="shared" si="3"/>
        <v>12.618054102904489</v>
      </c>
      <c r="F29" s="61">
        <f t="shared" si="4"/>
        <v>16.101650108630615</v>
      </c>
      <c r="G29" s="62">
        <f>'[1]cálculos teóricos'!T205</f>
        <v>23.534845752045989</v>
      </c>
      <c r="H29" s="75">
        <f t="shared" si="5"/>
        <v>68.416212616268481</v>
      </c>
      <c r="I29" s="170"/>
      <c r="J29" s="82"/>
      <c r="K29" s="81"/>
      <c r="L29" s="81"/>
      <c r="M29" s="81">
        <v>0.8</v>
      </c>
      <c r="N29" s="81">
        <v>1</v>
      </c>
      <c r="O29" s="195">
        <v>1</v>
      </c>
      <c r="P29" s="196">
        <v>1</v>
      </c>
      <c r="Q29" s="81">
        <v>1</v>
      </c>
      <c r="R29" s="81">
        <v>1</v>
      </c>
      <c r="S29" s="81">
        <v>1</v>
      </c>
      <c r="T29" s="81">
        <v>0.6</v>
      </c>
      <c r="U29" s="81"/>
      <c r="V29" s="78"/>
      <c r="W29" s="59">
        <f t="shared" si="0"/>
        <v>2.8</v>
      </c>
      <c r="X29" s="117">
        <f t="shared" si="8"/>
        <v>4.5999999999999996</v>
      </c>
      <c r="Y29" s="70">
        <f t="shared" si="9"/>
        <v>7.3999999999999995</v>
      </c>
      <c r="Z29" s="71">
        <f>'[1]cálculos teóricos'!I205</f>
        <v>10.734152541166916</v>
      </c>
      <c r="AA29" s="72">
        <f t="shared" si="1"/>
        <v>68.93883771094184</v>
      </c>
      <c r="AB29" s="3"/>
    </row>
    <row r="30" spans="1:28" ht="18" customHeight="1">
      <c r="A30" s="85">
        <v>22</v>
      </c>
      <c r="B30" s="76">
        <v>22</v>
      </c>
      <c r="C30" s="74">
        <f>'[1]cálculos teóricos'!K206</f>
        <v>0.9587053016226873</v>
      </c>
      <c r="D30" s="59">
        <f t="shared" si="2"/>
        <v>307.16630252400415</v>
      </c>
      <c r="E30" s="60">
        <f t="shared" si="3"/>
        <v>12.860438754075005</v>
      </c>
      <c r="F30" s="61">
        <f t="shared" si="4"/>
        <v>16.404630922593757</v>
      </c>
      <c r="G30" s="62">
        <f>'[1]cálculos teóricos'!T206</f>
        <v>23.641632050891843</v>
      </c>
      <c r="H30" s="75">
        <f t="shared" si="5"/>
        <v>69.388741383338299</v>
      </c>
      <c r="I30" s="170"/>
      <c r="J30" s="82"/>
      <c r="K30" s="81">
        <v>0.5</v>
      </c>
      <c r="L30" s="81">
        <v>1</v>
      </c>
      <c r="M30" s="81">
        <v>1</v>
      </c>
      <c r="N30" s="81">
        <v>1</v>
      </c>
      <c r="O30" s="195">
        <v>1</v>
      </c>
      <c r="P30" s="196">
        <v>1</v>
      </c>
      <c r="Q30" s="81">
        <v>1</v>
      </c>
      <c r="R30" s="81">
        <v>1</v>
      </c>
      <c r="S30" s="81">
        <v>1</v>
      </c>
      <c r="T30" s="81">
        <v>0.8</v>
      </c>
      <c r="U30" s="81"/>
      <c r="V30" s="78"/>
      <c r="W30" s="59">
        <f t="shared" si="0"/>
        <v>4.5</v>
      </c>
      <c r="X30" s="117">
        <f t="shared" si="8"/>
        <v>4.8</v>
      </c>
      <c r="Y30" s="70">
        <f t="shared" si="9"/>
        <v>9.3000000000000007</v>
      </c>
      <c r="Z30" s="71">
        <f>'[1]cálculos teóricos'!I206</f>
        <v>10.747105919197939</v>
      </c>
      <c r="AA30" s="72">
        <f t="shared" si="1"/>
        <v>86.534924564082687</v>
      </c>
      <c r="AB30" s="3"/>
    </row>
    <row r="31" spans="1:28" ht="18" customHeight="1">
      <c r="A31" s="85">
        <v>23</v>
      </c>
      <c r="B31" s="76">
        <v>23.5</v>
      </c>
      <c r="C31" s="74">
        <f>'[1]cálculos teóricos'!K207</f>
        <v>0.95937197751604364</v>
      </c>
      <c r="D31" s="59">
        <f t="shared" si="2"/>
        <v>328.33762417204019</v>
      </c>
      <c r="E31" s="60">
        <f t="shared" si="3"/>
        <v>13.746839648834978</v>
      </c>
      <c r="F31" s="61">
        <f t="shared" si="4"/>
        <v>17.512632041043723</v>
      </c>
      <c r="G31" s="62">
        <f>'[1]cálculos teóricos'!T207</f>
        <v>23.751561201338504</v>
      </c>
      <c r="H31" s="75">
        <f t="shared" si="5"/>
        <v>73.732551273542427</v>
      </c>
      <c r="I31" s="170"/>
      <c r="J31" s="82"/>
      <c r="K31" s="81">
        <v>0.8</v>
      </c>
      <c r="L31" s="81">
        <v>1</v>
      </c>
      <c r="M31" s="81">
        <v>1</v>
      </c>
      <c r="N31" s="81">
        <v>1</v>
      </c>
      <c r="O31" s="195">
        <v>1</v>
      </c>
      <c r="P31" s="196">
        <v>1</v>
      </c>
      <c r="Q31" s="81">
        <v>1</v>
      </c>
      <c r="R31" s="81">
        <v>1</v>
      </c>
      <c r="S31" s="81">
        <v>1</v>
      </c>
      <c r="T31" s="81">
        <v>0.8</v>
      </c>
      <c r="U31" s="81"/>
      <c r="V31" s="78"/>
      <c r="W31" s="59">
        <f t="shared" si="0"/>
        <v>4.8</v>
      </c>
      <c r="X31" s="117">
        <f t="shared" si="8"/>
        <v>4.8</v>
      </c>
      <c r="Y31" s="70">
        <f t="shared" si="9"/>
        <v>9.6</v>
      </c>
      <c r="Z31" s="71">
        <f>'[1]cálculos teóricos'!I207</f>
        <v>10.760408308361818</v>
      </c>
      <c r="AA31" s="72">
        <f t="shared" si="1"/>
        <v>89.215945388800208</v>
      </c>
      <c r="AB31" s="3"/>
    </row>
    <row r="32" spans="1:28" ht="18" customHeight="1">
      <c r="A32" s="85">
        <v>24</v>
      </c>
      <c r="B32" s="76">
        <v>22.9</v>
      </c>
      <c r="C32" s="74">
        <f>'[1]cálculos teóricos'!K208</f>
        <v>0.96005504230021532</v>
      </c>
      <c r="D32" s="59">
        <f t="shared" si="2"/>
        <v>320.18234083554739</v>
      </c>
      <c r="E32" s="60">
        <f t="shared" si="3"/>
        <v>13.405394246102698</v>
      </c>
      <c r="F32" s="61">
        <f t="shared" si="4"/>
        <v>17.085825287628371</v>
      </c>
      <c r="G32" s="62">
        <f>'[1]cálculos teóricos'!T208</f>
        <v>23.864580548707934</v>
      </c>
      <c r="H32" s="75">
        <f t="shared" si="5"/>
        <v>71.594911348875243</v>
      </c>
      <c r="I32" s="170"/>
      <c r="J32" s="82"/>
      <c r="K32" s="81">
        <v>1</v>
      </c>
      <c r="L32" s="81">
        <v>1</v>
      </c>
      <c r="M32" s="81">
        <v>1</v>
      </c>
      <c r="N32" s="81">
        <v>1</v>
      </c>
      <c r="O32" s="195">
        <v>1</v>
      </c>
      <c r="P32" s="196">
        <v>1</v>
      </c>
      <c r="Q32" s="81">
        <v>1</v>
      </c>
      <c r="R32" s="81">
        <v>1</v>
      </c>
      <c r="S32" s="81">
        <v>1</v>
      </c>
      <c r="T32" s="81">
        <v>0.5</v>
      </c>
      <c r="U32" s="81"/>
      <c r="V32" s="78"/>
      <c r="W32" s="59">
        <f t="shared" si="0"/>
        <v>5</v>
      </c>
      <c r="X32" s="117">
        <f t="shared" si="8"/>
        <v>4.5</v>
      </c>
      <c r="Y32" s="70">
        <f t="shared" si="9"/>
        <v>9.5</v>
      </c>
      <c r="Z32" s="71">
        <f>'[1]cálculos teóricos'!I208</f>
        <v>10.774052156944194</v>
      </c>
      <c r="AA32" s="72">
        <f t="shared" si="1"/>
        <v>88.174809826560661</v>
      </c>
      <c r="AB32" s="3"/>
    </row>
    <row r="33" spans="1:28" ht="18" customHeight="1">
      <c r="A33" s="85">
        <v>25</v>
      </c>
      <c r="B33" s="76">
        <v>22.7</v>
      </c>
      <c r="C33" s="74">
        <f>'[1]cálculos teóricos'!K209</f>
        <v>0.96075402536473475</v>
      </c>
      <c r="D33" s="59">
        <f t="shared" si="2"/>
        <v>317.61706633866447</v>
      </c>
      <c r="E33" s="60">
        <f t="shared" si="3"/>
        <v>13.297991333467202</v>
      </c>
      <c r="F33" s="61">
        <f t="shared" si="4"/>
        <v>16.951571646834005</v>
      </c>
      <c r="G33" s="62">
        <f>'[1]cálculos teóricos'!T209</f>
        <v>23.980636267104472</v>
      </c>
      <c r="H33" s="75">
        <f t="shared" si="5"/>
        <v>70.688581645714649</v>
      </c>
      <c r="I33" s="170"/>
      <c r="J33" s="82"/>
      <c r="K33" s="81">
        <v>1</v>
      </c>
      <c r="L33" s="81">
        <v>1</v>
      </c>
      <c r="M33" s="81">
        <v>1</v>
      </c>
      <c r="N33" s="81">
        <v>1</v>
      </c>
      <c r="O33" s="195">
        <v>1</v>
      </c>
      <c r="P33" s="196">
        <v>1</v>
      </c>
      <c r="Q33" s="81">
        <v>1</v>
      </c>
      <c r="R33" s="81">
        <v>1</v>
      </c>
      <c r="S33" s="81">
        <v>1</v>
      </c>
      <c r="T33" s="81">
        <v>0.8</v>
      </c>
      <c r="U33" s="81"/>
      <c r="V33" s="78"/>
      <c r="W33" s="59">
        <f t="shared" si="0"/>
        <v>5</v>
      </c>
      <c r="X33" s="117">
        <f t="shared" si="8"/>
        <v>4.8</v>
      </c>
      <c r="Y33" s="70">
        <f t="shared" si="9"/>
        <v>9.8000000000000007</v>
      </c>
      <c r="Z33" s="71">
        <f>'[1]cálculos teóricos'!I209</f>
        <v>10.788029867400006</v>
      </c>
      <c r="AA33" s="72">
        <f t="shared" si="1"/>
        <v>90.841424434820112</v>
      </c>
      <c r="AB33" s="3"/>
    </row>
    <row r="34" spans="1:28" ht="18" customHeight="1">
      <c r="A34" s="85">
        <v>26</v>
      </c>
      <c r="B34" s="76">
        <v>19.7</v>
      </c>
      <c r="C34" s="74">
        <f>'[1]cálculos teóricos'!K210</f>
        <v>0.96146844941914744</v>
      </c>
      <c r="D34" s="59">
        <f t="shared" si="2"/>
        <v>275.84621153338037</v>
      </c>
      <c r="E34" s="60">
        <f t="shared" si="3"/>
        <v>11.549129184479568</v>
      </c>
      <c r="F34" s="61">
        <f t="shared" si="4"/>
        <v>14.765493960599462</v>
      </c>
      <c r="G34" s="62">
        <f>'[1]cálculos teóricos'!T210</f>
        <v>24.099673402364708</v>
      </c>
      <c r="H34" s="75">
        <f t="shared" si="5"/>
        <v>61.268440090771698</v>
      </c>
      <c r="I34" s="170"/>
      <c r="J34" s="187"/>
      <c r="K34" s="192">
        <v>0.2</v>
      </c>
      <c r="L34" s="192">
        <v>1</v>
      </c>
      <c r="M34" s="192">
        <v>1</v>
      </c>
      <c r="N34" s="192">
        <v>1</v>
      </c>
      <c r="O34" s="193">
        <v>1</v>
      </c>
      <c r="P34" s="194">
        <v>0.6</v>
      </c>
      <c r="Q34" s="192">
        <v>1</v>
      </c>
      <c r="R34" s="192">
        <v>1</v>
      </c>
      <c r="S34" s="192">
        <v>0.4</v>
      </c>
      <c r="T34" s="192"/>
      <c r="U34" s="81"/>
      <c r="V34" s="78"/>
      <c r="W34" s="59">
        <f t="shared" si="0"/>
        <v>4.2</v>
      </c>
      <c r="X34" s="117">
        <f t="shared" si="8"/>
        <v>3</v>
      </c>
      <c r="Y34" s="70">
        <f t="shared" si="9"/>
        <v>7.2</v>
      </c>
      <c r="Z34" s="71">
        <f>'[1]cálculos teóricos'!I210</f>
        <v>10.802333809106663</v>
      </c>
      <c r="AA34" s="72">
        <f t="shared" si="1"/>
        <v>66.652263550032146</v>
      </c>
      <c r="AB34" s="7"/>
    </row>
    <row r="35" spans="1:28" ht="18" customHeight="1">
      <c r="A35" s="85">
        <v>27</v>
      </c>
      <c r="B35" s="76">
        <v>19.5</v>
      </c>
      <c r="C35" s="74">
        <f>'[1]cálculos teóricos'!K211</f>
        <v>0.96219783108305346</v>
      </c>
      <c r="D35" s="59">
        <f t="shared" si="2"/>
        <v>273.25287820307199</v>
      </c>
      <c r="E35" s="60">
        <f t="shared" si="3"/>
        <v>11.440551504606217</v>
      </c>
      <c r="F35" s="61">
        <f t="shared" si="4"/>
        <v>14.629771860757774</v>
      </c>
      <c r="G35" s="62">
        <f>'[1]cálculos teóricos'!T211</f>
        <v>24.221635915630831</v>
      </c>
      <c r="H35" s="75">
        <f t="shared" si="5"/>
        <v>60.399602701140488</v>
      </c>
      <c r="I35" s="170"/>
      <c r="J35" s="82"/>
      <c r="K35" s="81">
        <v>0.7</v>
      </c>
      <c r="L35" s="81">
        <v>1</v>
      </c>
      <c r="M35" s="81">
        <v>1</v>
      </c>
      <c r="N35" s="81">
        <v>1</v>
      </c>
      <c r="O35" s="195">
        <v>1</v>
      </c>
      <c r="P35" s="196">
        <v>1</v>
      </c>
      <c r="Q35" s="81">
        <v>0.4</v>
      </c>
      <c r="R35" s="81">
        <v>0.8</v>
      </c>
      <c r="S35" s="81">
        <v>0.2</v>
      </c>
      <c r="T35" s="81"/>
      <c r="U35" s="81"/>
      <c r="V35" s="78"/>
      <c r="W35" s="59">
        <f t="shared" si="0"/>
        <v>4.7</v>
      </c>
      <c r="X35" s="117">
        <f t="shared" si="8"/>
        <v>2.4000000000000004</v>
      </c>
      <c r="Y35" s="70">
        <f t="shared" si="9"/>
        <v>7.1000000000000005</v>
      </c>
      <c r="Z35" s="71">
        <f>'[1]cálculos teóricos'!I211</f>
        <v>10.81695633075898</v>
      </c>
      <c r="AA35" s="72">
        <f t="shared" si="1"/>
        <v>65.637687561061114</v>
      </c>
      <c r="AB35" s="3"/>
    </row>
    <row r="36" spans="1:28" ht="18" customHeight="1">
      <c r="A36" s="85">
        <v>28</v>
      </c>
      <c r="B36" s="76">
        <v>22</v>
      </c>
      <c r="C36" s="74">
        <f>'[1]cálculos teóricos'!K212</f>
        <v>0.96294168147303771</v>
      </c>
      <c r="D36" s="59">
        <f t="shared" si="2"/>
        <v>308.52362591891688</v>
      </c>
      <c r="E36" s="60">
        <f t="shared" si="3"/>
        <v>12.917267169973211</v>
      </c>
      <c r="F36" s="61">
        <f t="shared" si="4"/>
        <v>16.475666442466515</v>
      </c>
      <c r="G36" s="62">
        <f>'[1]cálculos teóricos'!T212</f>
        <v>24.346466727472635</v>
      </c>
      <c r="H36" s="75">
        <f t="shared" si="5"/>
        <v>67.671693913085619</v>
      </c>
      <c r="I36" s="170"/>
      <c r="J36" s="82"/>
      <c r="K36" s="81">
        <v>0.8</v>
      </c>
      <c r="L36" s="81">
        <v>1</v>
      </c>
      <c r="M36" s="81">
        <v>1</v>
      </c>
      <c r="N36" s="81">
        <v>1</v>
      </c>
      <c r="O36" s="195">
        <v>1</v>
      </c>
      <c r="P36" s="196">
        <v>1</v>
      </c>
      <c r="Q36" s="81">
        <v>1</v>
      </c>
      <c r="R36" s="81">
        <v>1</v>
      </c>
      <c r="S36" s="81">
        <v>0.8</v>
      </c>
      <c r="T36" s="81">
        <v>0.3</v>
      </c>
      <c r="U36" s="81"/>
      <c r="V36" s="78"/>
      <c r="W36" s="59">
        <f t="shared" si="0"/>
        <v>4.8</v>
      </c>
      <c r="X36" s="117">
        <f t="shared" si="8"/>
        <v>4.0999999999999996</v>
      </c>
      <c r="Y36" s="70">
        <f t="shared" si="9"/>
        <v>8.8999999999999986</v>
      </c>
      <c r="Z36" s="71">
        <f>'[1]cálculos teóricos'!I212</f>
        <v>10.831889772375648</v>
      </c>
      <c r="AA36" s="72">
        <f t="shared" si="1"/>
        <v>82.164794759059404</v>
      </c>
      <c r="AB36" s="3"/>
    </row>
    <row r="37" spans="1:28" ht="18" customHeight="1">
      <c r="A37" s="85">
        <v>29</v>
      </c>
      <c r="B37" s="76">
        <v>20.9</v>
      </c>
      <c r="C37" s="74">
        <f>'[1]cálculos teóricos'!K213</f>
        <v>0.96369950678525729</v>
      </c>
      <c r="D37" s="59">
        <f t="shared" si="2"/>
        <v>293.32810933170225</v>
      </c>
      <c r="E37" s="60">
        <f t="shared" si="3"/>
        <v>12.28106128149971</v>
      </c>
      <c r="F37" s="61">
        <f t="shared" si="4"/>
        <v>15.680409081874638</v>
      </c>
      <c r="G37" s="62">
        <f>'[1]cálculos teóricos'!T213</f>
        <v>24.474107762481303</v>
      </c>
      <c r="H37" s="75">
        <f t="shared" si="5"/>
        <v>64.069379909786278</v>
      </c>
      <c r="I37" s="170"/>
      <c r="J37" s="82"/>
      <c r="K37" s="81">
        <v>0.2</v>
      </c>
      <c r="L37" s="81">
        <v>0.9</v>
      </c>
      <c r="M37" s="81">
        <v>1</v>
      </c>
      <c r="N37" s="81">
        <v>1</v>
      </c>
      <c r="O37" s="195">
        <v>1</v>
      </c>
      <c r="P37" s="196">
        <v>1</v>
      </c>
      <c r="Q37" s="81">
        <v>1</v>
      </c>
      <c r="R37" s="81">
        <v>0.7</v>
      </c>
      <c r="S37" s="81">
        <v>0.3</v>
      </c>
      <c r="T37" s="81"/>
      <c r="U37" s="81"/>
      <c r="V37" s="78"/>
      <c r="W37" s="59">
        <f t="shared" si="0"/>
        <v>4.0999999999999996</v>
      </c>
      <c r="X37" s="117">
        <f>SUM(P37:V37)</f>
        <v>3</v>
      </c>
      <c r="Y37" s="70">
        <f>W37+X37</f>
        <v>7.1</v>
      </c>
      <c r="Z37" s="71">
        <f>'[1]cálculos teóricos'!I213</f>
        <v>10.84712647688978</v>
      </c>
      <c r="AA37" s="72">
        <f t="shared" si="1"/>
        <v>65.455123208223142</v>
      </c>
      <c r="AB37" s="3"/>
    </row>
    <row r="38" spans="1:28" ht="18" customHeight="1">
      <c r="A38" s="80">
        <v>30</v>
      </c>
      <c r="B38" s="76">
        <v>7.2</v>
      </c>
      <c r="C38" s="74">
        <f>'[1]cálculos teóricos'!K214</f>
        <v>0.96447080887248837</v>
      </c>
      <c r="D38" s="59">
        <f t="shared" si="2"/>
        <v>101.1317085001043</v>
      </c>
      <c r="E38" s="60">
        <f t="shared" si="3"/>
        <v>4.2341823714823663</v>
      </c>
      <c r="F38" s="61">
        <f t="shared" si="4"/>
        <v>5.621810444352958</v>
      </c>
      <c r="G38" s="62">
        <f>'[1]cálculos teóricos'!T214</f>
        <v>24.60449999425596</v>
      </c>
      <c r="H38" s="75">
        <f t="shared" si="5"/>
        <v>22.848708348738633</v>
      </c>
      <c r="I38" s="170"/>
      <c r="J38" s="82"/>
      <c r="K38" s="81"/>
      <c r="L38" s="81"/>
      <c r="M38" s="81"/>
      <c r="N38" s="81"/>
      <c r="O38" s="195"/>
      <c r="P38" s="196"/>
      <c r="Q38" s="81"/>
      <c r="R38" s="81"/>
      <c r="S38" s="81"/>
      <c r="T38" s="81"/>
      <c r="U38" s="81"/>
      <c r="V38" s="78"/>
      <c r="W38" s="59">
        <f t="shared" si="0"/>
        <v>0</v>
      </c>
      <c r="X38" s="117">
        <f>SUM(P38:V38)</f>
        <v>0</v>
      </c>
      <c r="Y38" s="70">
        <f>W38+X38</f>
        <v>0</v>
      </c>
      <c r="Z38" s="71">
        <f>'[1]cálculos teóricos'!I214</f>
        <v>10.86265880129913</v>
      </c>
      <c r="AA38" s="72">
        <f t="shared" si="1"/>
        <v>0</v>
      </c>
      <c r="AB38" s="3"/>
    </row>
    <row r="39" spans="1:28" ht="18" customHeight="1" thickBot="1">
      <c r="A39" s="86">
        <v>31</v>
      </c>
      <c r="B39" s="197">
        <v>-99</v>
      </c>
      <c r="C39" s="88">
        <f>'[1]cálculos teóricos'!K215</f>
        <v>0.96525508581449126</v>
      </c>
      <c r="D39" s="89">
        <f t="shared" si="2"/>
        <v>-999</v>
      </c>
      <c r="E39" s="90">
        <f t="shared" si="3"/>
        <v>-999</v>
      </c>
      <c r="F39" s="91">
        <f t="shared" si="4"/>
        <v>-999</v>
      </c>
      <c r="G39" s="92">
        <f>'[1]cálculos teóricos'!T215</f>
        <v>24.7375834907022</v>
      </c>
      <c r="H39" s="93">
        <f t="shared" si="5"/>
        <v>-999</v>
      </c>
      <c r="I39" s="198"/>
      <c r="J39" s="94"/>
      <c r="K39" s="87">
        <v>1</v>
      </c>
      <c r="L39" s="87">
        <v>1</v>
      </c>
      <c r="M39" s="87">
        <v>1</v>
      </c>
      <c r="N39" s="87">
        <v>1</v>
      </c>
      <c r="O39" s="199">
        <v>1</v>
      </c>
      <c r="P39" s="200">
        <v>1</v>
      </c>
      <c r="Q39" s="87">
        <v>1</v>
      </c>
      <c r="R39" s="87">
        <v>1</v>
      </c>
      <c r="S39" s="87">
        <v>1</v>
      </c>
      <c r="T39" s="87">
        <v>0.8</v>
      </c>
      <c r="U39" s="87"/>
      <c r="V39" s="78"/>
      <c r="W39" s="59">
        <f t="shared" si="0"/>
        <v>5</v>
      </c>
      <c r="X39" s="117">
        <f>SUM(P39:V39)</f>
        <v>4.8</v>
      </c>
      <c r="Y39" s="70">
        <f>W39+X39</f>
        <v>9.8000000000000007</v>
      </c>
      <c r="Z39" s="100">
        <f>'[1]cálculos teóricos'!I215</f>
        <v>10.87847912735425</v>
      </c>
      <c r="AA39" s="101">
        <f t="shared" si="1"/>
        <v>90.08612219843873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4">
        <f>SUM(I9:I39)</f>
        <v>0</v>
      </c>
      <c r="J40" s="104">
        <f t="shared" ref="J40:V40" si="10">SUM(J9:J39)</f>
        <v>0</v>
      </c>
      <c r="K40" s="104">
        <f t="shared" si="10"/>
        <v>7.7</v>
      </c>
      <c r="L40" s="104">
        <f t="shared" si="10"/>
        <v>13.5</v>
      </c>
      <c r="M40" s="104">
        <f t="shared" si="10"/>
        <v>18.899999999999999</v>
      </c>
      <c r="N40" s="104">
        <f t="shared" si="10"/>
        <v>21.6</v>
      </c>
      <c r="O40" s="104">
        <f t="shared" si="10"/>
        <v>22.200000000000003</v>
      </c>
      <c r="P40" s="104">
        <f t="shared" si="10"/>
        <v>23</v>
      </c>
      <c r="Q40" s="104">
        <f t="shared" si="10"/>
        <v>23.199999999999996</v>
      </c>
      <c r="R40" s="104">
        <f t="shared" si="10"/>
        <v>22.6</v>
      </c>
      <c r="S40" s="104">
        <f t="shared" si="10"/>
        <v>18.399999999999999</v>
      </c>
      <c r="T40" s="104">
        <f t="shared" si="10"/>
        <v>7.3999999999999995</v>
      </c>
      <c r="U40" s="104">
        <f t="shared" si="10"/>
        <v>0</v>
      </c>
      <c r="V40" s="130">
        <f t="shared" si="10"/>
        <v>0</v>
      </c>
      <c r="W40" s="130">
        <f t="shared" si="0"/>
        <v>83.9</v>
      </c>
      <c r="X40" s="130">
        <f>SUM(P40:V40)</f>
        <v>94.6</v>
      </c>
      <c r="Y40" s="130">
        <f>W40+X40</f>
        <v>178.5</v>
      </c>
      <c r="Z40" s="130">
        <f>SUM(Z9:Z39)</f>
        <v>331.40602586246763</v>
      </c>
      <c r="AA40" s="130">
        <f>SUM(AA9:AA39)</f>
        <v>1666.1267625174687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201"/>
      <c r="C54" s="20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71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77"/>
      <c r="S2" s="177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63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1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202">
        <v>-99</v>
      </c>
      <c r="C9" s="74">
        <f>'[1]cálculos teóricos'!K216</f>
        <v>0.96605183248059556</v>
      </c>
      <c r="D9" s="59">
        <f>IF(B9&gt;0,B9*C9*14.25*1.022,-999)</f>
        <v>-999</v>
      </c>
      <c r="E9" s="60">
        <f>IF(B9&gt;0,D9*4.1868/100,-999)</f>
        <v>-999</v>
      </c>
      <c r="F9" s="61">
        <f>IF(B9&gt;0,(7.86+1.25*D9)*4.1868/100,-999)</f>
        <v>-999</v>
      </c>
      <c r="G9" s="62">
        <f>'[1]cálculos teóricos'!T216</f>
        <v>24.873297459560863</v>
      </c>
      <c r="H9" s="63">
        <f>IF(B9&gt;0,100*F9/G9,-999)</f>
        <v>-999</v>
      </c>
      <c r="I9" s="57"/>
      <c r="J9" s="64"/>
      <c r="K9" s="64"/>
      <c r="L9" s="64"/>
      <c r="M9" s="64">
        <v>0.1</v>
      </c>
      <c r="N9" s="64">
        <v>1</v>
      </c>
      <c r="O9" s="65">
        <v>1</v>
      </c>
      <c r="P9" s="64">
        <v>1</v>
      </c>
      <c r="Q9" s="64">
        <v>1</v>
      </c>
      <c r="R9" s="64">
        <v>0.7</v>
      </c>
      <c r="S9" s="64">
        <v>1</v>
      </c>
      <c r="T9" s="64">
        <v>0.7</v>
      </c>
      <c r="U9" s="64"/>
      <c r="V9" s="65"/>
      <c r="W9" s="59">
        <f t="shared" ref="W9:W40" si="0">SUM(I9:O9)</f>
        <v>2.1</v>
      </c>
      <c r="X9" s="203">
        <f>SUM(P9:V9)</f>
        <v>4.4000000000000004</v>
      </c>
      <c r="Y9" s="118">
        <f>W9+X9</f>
        <v>6.5</v>
      </c>
      <c r="Z9" s="71">
        <f>'[1]cálculos teóricos'!I216</f>
        <v>10.894579871765924</v>
      </c>
      <c r="AA9" s="72">
        <f>100*Y9/Z9</f>
        <v>59.662695363271517</v>
      </c>
      <c r="AB9" s="3"/>
    </row>
    <row r="10" spans="1:28" ht="18" customHeight="1">
      <c r="A10" s="73">
        <v>2</v>
      </c>
      <c r="B10" s="57">
        <v>24</v>
      </c>
      <c r="C10" s="74">
        <f>'[1]cálculos teóricos'!K217</f>
        <v>0.96686054108346287</v>
      </c>
      <c r="D10" s="59">
        <f>IF(B10&gt;0,B10*C10*14.25*1.022,-999)</f>
        <v>337.94096376165623</v>
      </c>
      <c r="E10" s="60">
        <f>IF(B10&gt;0,D10*4.1868/100,-999)</f>
        <v>14.148912270773023</v>
      </c>
      <c r="F10" s="61">
        <f>IF(B10&gt;0,(7.86+1.25*D10)*4.1868/100,-999)</f>
        <v>18.015222818466281</v>
      </c>
      <c r="G10" s="62">
        <f>'[1]cálculos teóricos'!T217</f>
        <v>25.01158029408397</v>
      </c>
      <c r="H10" s="75">
        <f>IF(B10&gt;0,100*F10/G10,-999)</f>
        <v>72.02752727594526</v>
      </c>
      <c r="I10" s="57"/>
      <c r="J10" s="79"/>
      <c r="K10" s="76">
        <v>0.8</v>
      </c>
      <c r="L10" s="76">
        <v>1</v>
      </c>
      <c r="M10" s="76">
        <v>1</v>
      </c>
      <c r="N10" s="76">
        <v>1</v>
      </c>
      <c r="O10" s="77">
        <v>1</v>
      </c>
      <c r="P10" s="79">
        <v>1</v>
      </c>
      <c r="Q10" s="76">
        <v>1</v>
      </c>
      <c r="R10" s="76">
        <v>1</v>
      </c>
      <c r="S10" s="76">
        <v>1</v>
      </c>
      <c r="T10" s="82">
        <v>0.6</v>
      </c>
      <c r="U10" s="82"/>
      <c r="V10" s="78"/>
      <c r="W10" s="59">
        <f t="shared" si="0"/>
        <v>4.8</v>
      </c>
      <c r="X10" s="117">
        <f t="shared" ref="X10:X36" si="1">SUM(P10:V10)</f>
        <v>4.5999999999999996</v>
      </c>
      <c r="Y10" s="126">
        <f t="shared" ref="Y10:Y36" si="2">W10+X10</f>
        <v>9.3999999999999986</v>
      </c>
      <c r="Z10" s="71">
        <f>'[1]cálculos teóricos'!I217</f>
        <v>10.910953495915864</v>
      </c>
      <c r="AA10" s="72">
        <f t="shared" ref="AA10:AA39" si="3">100*Y10/Z10</f>
        <v>86.15195732910567</v>
      </c>
      <c r="AB10" s="3"/>
    </row>
    <row r="11" spans="1:28" ht="18" customHeight="1">
      <c r="A11" s="73">
        <v>3</v>
      </c>
      <c r="B11" s="57">
        <v>24.3</v>
      </c>
      <c r="C11" s="74">
        <f>'[1]cálculos teóricos'!K218</f>
        <v>0.96768070172304144</v>
      </c>
      <c r="D11" s="59">
        <f t="shared" ref="D11:D39" si="4">IF(B11&gt;0,B11*C11*14.25*1.022,-999)</f>
        <v>342.45547495890742</v>
      </c>
      <c r="E11" s="60">
        <f t="shared" ref="E11:E39" si="5">IF(B11&gt;0,D11*4.1868/100,-999)</f>
        <v>14.337925825579534</v>
      </c>
      <c r="F11" s="61">
        <f t="shared" ref="F11:F39" si="6">IF(B11&gt;0,(7.86+1.25*D11)*4.1868/100,-999)</f>
        <v>18.251489761974419</v>
      </c>
      <c r="G11" s="62">
        <f>'[1]cálculos teóricos'!T218</f>
        <v>25.152369618774994</v>
      </c>
      <c r="H11" s="75">
        <f t="shared" ref="H11:H39" si="7">IF(B11&gt;0,100*F11/G11,-999)</f>
        <v>72.56369892223033</v>
      </c>
      <c r="I11" s="57"/>
      <c r="J11" s="79">
        <v>0.2</v>
      </c>
      <c r="K11" s="76">
        <v>1</v>
      </c>
      <c r="L11" s="76">
        <v>1</v>
      </c>
      <c r="M11" s="76">
        <v>1</v>
      </c>
      <c r="N11" s="76">
        <v>1</v>
      </c>
      <c r="O11" s="77">
        <v>1</v>
      </c>
      <c r="P11" s="79">
        <v>1</v>
      </c>
      <c r="Q11" s="79">
        <v>1</v>
      </c>
      <c r="R11" s="76">
        <v>1</v>
      </c>
      <c r="S11" s="82">
        <v>1</v>
      </c>
      <c r="T11" s="82">
        <v>0.7</v>
      </c>
      <c r="U11" s="82"/>
      <c r="V11" s="78"/>
      <c r="W11" s="59">
        <f t="shared" si="0"/>
        <v>5.2</v>
      </c>
      <c r="X11" s="117">
        <f t="shared" si="1"/>
        <v>4.7</v>
      </c>
      <c r="Y11" s="70">
        <f t="shared" si="2"/>
        <v>9.9</v>
      </c>
      <c r="Z11" s="71">
        <f>'[1]cálculos teóricos'!I218</f>
        <v>10.927592515057382</v>
      </c>
      <c r="AA11" s="72">
        <f t="shared" si="3"/>
        <v>90.596350352180153</v>
      </c>
      <c r="AB11" s="3"/>
    </row>
    <row r="12" spans="1:28" ht="18" customHeight="1">
      <c r="A12" s="73">
        <v>4</v>
      </c>
      <c r="B12" s="57">
        <v>23.9</v>
      </c>
      <c r="C12" s="74">
        <f>'[1]cálculos teóricos'!K219</f>
        <v>0.96851180291978101</v>
      </c>
      <c r="D12" s="59">
        <f t="shared" si="4"/>
        <v>337.10762723955128</v>
      </c>
      <c r="E12" s="60">
        <f t="shared" si="5"/>
        <v>14.114022137265533</v>
      </c>
      <c r="F12" s="61">
        <f t="shared" si="6"/>
        <v>17.971610151581913</v>
      </c>
      <c r="G12" s="62">
        <f>'[1]cálculos teóricos'!T219</f>
        <v>25.295602335109727</v>
      </c>
      <c r="H12" s="75">
        <f t="shared" si="7"/>
        <v>71.046381554780069</v>
      </c>
      <c r="I12" s="57"/>
      <c r="J12" s="79">
        <v>0.1</v>
      </c>
      <c r="K12" s="76">
        <v>1</v>
      </c>
      <c r="L12" s="76">
        <v>1</v>
      </c>
      <c r="M12" s="76">
        <v>1</v>
      </c>
      <c r="N12" s="76">
        <v>1</v>
      </c>
      <c r="O12" s="77">
        <v>1</v>
      </c>
      <c r="P12" s="79">
        <v>1</v>
      </c>
      <c r="Q12" s="79">
        <v>1</v>
      </c>
      <c r="R12" s="76">
        <v>1</v>
      </c>
      <c r="S12" s="76">
        <v>1</v>
      </c>
      <c r="T12" s="82">
        <v>1</v>
      </c>
      <c r="U12" s="82"/>
      <c r="V12" s="78"/>
      <c r="W12" s="59">
        <f t="shared" si="0"/>
        <v>5.0999999999999996</v>
      </c>
      <c r="X12" s="117">
        <f t="shared" si="1"/>
        <v>5</v>
      </c>
      <c r="Y12" s="204">
        <f t="shared" si="2"/>
        <v>10.1</v>
      </c>
      <c r="Z12" s="71">
        <f>'[1]cálculos teóricos'!I219</f>
        <v>10.944489506995499</v>
      </c>
      <c r="AA12" s="72">
        <f t="shared" si="3"/>
        <v>92.283883990608075</v>
      </c>
      <c r="AB12" s="3"/>
    </row>
    <row r="13" spans="1:28" ht="18" customHeight="1">
      <c r="A13" s="73">
        <v>5</v>
      </c>
      <c r="B13" s="57">
        <v>23.2</v>
      </c>
      <c r="C13" s="74">
        <f>'[1]cálculos teóricos'!K220</f>
        <v>0.96935333213624431</v>
      </c>
      <c r="D13" s="59">
        <f t="shared" si="4"/>
        <v>327.51851225953567</v>
      </c>
      <c r="E13" s="60">
        <f t="shared" si="5"/>
        <v>13.712545071282239</v>
      </c>
      <c r="F13" s="61">
        <f t="shared" si="6"/>
        <v>17.469763819102798</v>
      </c>
      <c r="G13" s="62">
        <f>'[1]cálculos teóricos'!T220</f>
        <v>25.441214667155272</v>
      </c>
      <c r="H13" s="75">
        <f t="shared" si="7"/>
        <v>68.66717665668827</v>
      </c>
      <c r="I13" s="57"/>
      <c r="J13" s="79"/>
      <c r="K13" s="76">
        <v>1</v>
      </c>
      <c r="L13" s="76">
        <v>1</v>
      </c>
      <c r="M13" s="76">
        <v>1</v>
      </c>
      <c r="N13" s="76">
        <v>1</v>
      </c>
      <c r="O13" s="77">
        <v>1</v>
      </c>
      <c r="P13" s="79">
        <v>1</v>
      </c>
      <c r="Q13" s="79">
        <v>1</v>
      </c>
      <c r="R13" s="76">
        <v>1</v>
      </c>
      <c r="S13" s="82">
        <v>1</v>
      </c>
      <c r="T13" s="82">
        <v>0.4</v>
      </c>
      <c r="U13" s="82"/>
      <c r="V13" s="78"/>
      <c r="W13" s="59">
        <f t="shared" si="0"/>
        <v>5</v>
      </c>
      <c r="X13" s="117">
        <f t="shared" si="1"/>
        <v>4.4000000000000004</v>
      </c>
      <c r="Y13" s="126">
        <f t="shared" si="2"/>
        <v>9.4</v>
      </c>
      <c r="Z13" s="71">
        <f>'[1]cálculos teóricos'!I220</f>
        <v>10.961637120238258</v>
      </c>
      <c r="AA13" s="72">
        <f t="shared" si="3"/>
        <v>85.753614144414271</v>
      </c>
      <c r="AB13" s="3"/>
    </row>
    <row r="14" spans="1:28" ht="18" customHeight="1">
      <c r="A14" s="73">
        <v>6</v>
      </c>
      <c r="B14" s="57">
        <v>21.6</v>
      </c>
      <c r="C14" s="74">
        <f>'[1]cálculos teóricos'!K221</f>
        <v>0.9702047762863053</v>
      </c>
      <c r="D14" s="59">
        <f t="shared" si="4"/>
        <v>305.19886880402515</v>
      </c>
      <c r="E14" s="60">
        <f t="shared" si="5"/>
        <v>12.778066239086925</v>
      </c>
      <c r="F14" s="61">
        <f t="shared" si="6"/>
        <v>16.301665278858657</v>
      </c>
      <c r="G14" s="62">
        <f>'[1]cálculos teóricos'!T221</f>
        <v>25.589142207004898</v>
      </c>
      <c r="H14" s="75">
        <f t="shared" si="7"/>
        <v>63.705399528383403</v>
      </c>
      <c r="I14" s="57"/>
      <c r="J14" s="79">
        <v>0.2</v>
      </c>
      <c r="K14" s="76">
        <v>1</v>
      </c>
      <c r="L14" s="76">
        <v>1</v>
      </c>
      <c r="M14" s="76">
        <v>1</v>
      </c>
      <c r="N14" s="76">
        <v>1</v>
      </c>
      <c r="O14" s="77">
        <v>1</v>
      </c>
      <c r="P14" s="79">
        <v>1</v>
      </c>
      <c r="Q14" s="79">
        <v>0.8</v>
      </c>
      <c r="R14" s="76">
        <v>0.9</v>
      </c>
      <c r="S14" s="82">
        <v>0.8</v>
      </c>
      <c r="T14" s="82">
        <v>0.5</v>
      </c>
      <c r="U14" s="82"/>
      <c r="V14" s="78"/>
      <c r="W14" s="59">
        <f t="shared" si="0"/>
        <v>5.2</v>
      </c>
      <c r="X14" s="117">
        <f t="shared" si="1"/>
        <v>4</v>
      </c>
      <c r="Y14" s="126">
        <f t="shared" si="2"/>
        <v>9.1999999999999993</v>
      </c>
      <c r="Z14" s="71">
        <f>'[1]cálculos teóricos'!I221</f>
        <v>10.979028081613723</v>
      </c>
      <c r="AA14" s="72">
        <f t="shared" si="3"/>
        <v>83.796124134220818</v>
      </c>
      <c r="AB14" s="3"/>
    </row>
    <row r="15" spans="1:28" ht="18" customHeight="1">
      <c r="A15" s="73">
        <v>7</v>
      </c>
      <c r="B15" s="57">
        <v>24.1</v>
      </c>
      <c r="C15" s="74">
        <f>'[1]cálculos teóricos'!K222</f>
        <v>0.97106562223120196</v>
      </c>
      <c r="D15" s="59">
        <f t="shared" si="4"/>
        <v>340.82495196367512</v>
      </c>
      <c r="E15" s="60">
        <f t="shared" si="5"/>
        <v>14.26965908881515</v>
      </c>
      <c r="F15" s="61">
        <f t="shared" si="6"/>
        <v>18.16615634101894</v>
      </c>
      <c r="G15" s="62">
        <f>'[1]cálculos teóricos'!T222</f>
        <v>25.7393199599484</v>
      </c>
      <c r="H15" s="75">
        <f t="shared" si="7"/>
        <v>70.577452587272475</v>
      </c>
      <c r="I15" s="57"/>
      <c r="J15" s="82">
        <v>0.2</v>
      </c>
      <c r="K15" s="81">
        <v>1</v>
      </c>
      <c r="L15" s="81">
        <v>1</v>
      </c>
      <c r="M15" s="81">
        <v>1</v>
      </c>
      <c r="N15" s="81">
        <v>1</v>
      </c>
      <c r="O15" s="78">
        <v>1</v>
      </c>
      <c r="P15" s="82">
        <v>1</v>
      </c>
      <c r="Q15" s="82">
        <v>1</v>
      </c>
      <c r="R15" s="81">
        <v>1</v>
      </c>
      <c r="S15" s="81">
        <v>1</v>
      </c>
      <c r="T15" s="81">
        <v>0.8</v>
      </c>
      <c r="U15" s="81"/>
      <c r="V15" s="78"/>
      <c r="W15" s="59">
        <f t="shared" si="0"/>
        <v>5.2</v>
      </c>
      <c r="X15" s="117">
        <f t="shared" si="1"/>
        <v>4.8</v>
      </c>
      <c r="Y15" s="126">
        <f t="shared" si="2"/>
        <v>10</v>
      </c>
      <c r="Z15" s="71">
        <f>'[1]cálculos teóricos'!I222</f>
        <v>10.996655203349142</v>
      </c>
      <c r="AA15" s="72">
        <f t="shared" si="3"/>
        <v>90.936742264633324</v>
      </c>
      <c r="AB15" s="3"/>
    </row>
    <row r="16" spans="1:28" ht="18" customHeight="1">
      <c r="A16" s="80">
        <v>8</v>
      </c>
      <c r="B16" s="76">
        <v>22.6</v>
      </c>
      <c r="C16" s="74">
        <f>'[1]cálculos teóricos'!K223</f>
        <v>0.97193535726175861</v>
      </c>
      <c r="D16" s="59">
        <f t="shared" si="4"/>
        <v>319.89804100588469</v>
      </c>
      <c r="E16" s="60">
        <f t="shared" si="5"/>
        <v>13.393491180834381</v>
      </c>
      <c r="F16" s="61">
        <f t="shared" si="6"/>
        <v>17.070946456042979</v>
      </c>
      <c r="G16" s="62">
        <f>'[1]cálculos teóricos'!T223</f>
        <v>25.891682389298744</v>
      </c>
      <c r="H16" s="75">
        <f t="shared" si="7"/>
        <v>65.932163848489623</v>
      </c>
      <c r="I16" s="76"/>
      <c r="J16" s="82"/>
      <c r="K16" s="81">
        <v>0.2</v>
      </c>
      <c r="L16" s="81">
        <v>1</v>
      </c>
      <c r="M16" s="81">
        <v>1</v>
      </c>
      <c r="N16" s="81">
        <v>1</v>
      </c>
      <c r="O16" s="78">
        <v>1</v>
      </c>
      <c r="P16" s="82">
        <v>1</v>
      </c>
      <c r="Q16" s="82">
        <v>0.6</v>
      </c>
      <c r="R16" s="81">
        <v>1</v>
      </c>
      <c r="S16" s="81">
        <v>0.8</v>
      </c>
      <c r="T16" s="81"/>
      <c r="U16" s="81"/>
      <c r="V16" s="78"/>
      <c r="W16" s="59">
        <f t="shared" si="0"/>
        <v>4.2</v>
      </c>
      <c r="X16" s="117">
        <f t="shared" si="1"/>
        <v>3.4000000000000004</v>
      </c>
      <c r="Y16" s="126">
        <f t="shared" si="2"/>
        <v>7.6000000000000005</v>
      </c>
      <c r="Z16" s="71">
        <f>'[1]cálculos teóricos'!I223</f>
        <v>11.014511389611176</v>
      </c>
      <c r="AA16" s="72">
        <f t="shared" si="3"/>
        <v>68.999883255541192</v>
      </c>
      <c r="AB16" s="3"/>
    </row>
    <row r="17" spans="1:28" ht="18" customHeight="1">
      <c r="A17" s="80">
        <v>9</v>
      </c>
      <c r="B17" s="76">
        <v>3.5</v>
      </c>
      <c r="C17" s="74">
        <f>'[1]cálculos teóricos'!K224</f>
        <v>0.97281346956618042</v>
      </c>
      <c r="D17" s="59">
        <f t="shared" si="4"/>
        <v>49.586491374094749</v>
      </c>
      <c r="E17" s="60">
        <f t="shared" si="5"/>
        <v>2.0760872208505989</v>
      </c>
      <c r="F17" s="61">
        <f t="shared" si="6"/>
        <v>2.9241915060632486</v>
      </c>
      <c r="G17" s="62">
        <f>'[1]cálculos teóricos'!T224</f>
        <v>26.046163460798493</v>
      </c>
      <c r="H17" s="75">
        <f t="shared" si="7"/>
        <v>11.226956747255253</v>
      </c>
      <c r="I17" s="76"/>
      <c r="J17" s="82"/>
      <c r="K17" s="81"/>
      <c r="L17" s="81"/>
      <c r="M17" s="81"/>
      <c r="N17" s="81"/>
      <c r="O17" s="78"/>
      <c r="P17" s="79"/>
      <c r="Q17" s="82"/>
      <c r="R17" s="81"/>
      <c r="S17" s="81"/>
      <c r="T17" s="81"/>
      <c r="U17" s="81"/>
      <c r="V17" s="78"/>
      <c r="W17" s="59">
        <f t="shared" si="0"/>
        <v>0</v>
      </c>
      <c r="X17" s="117">
        <f t="shared" si="1"/>
        <v>0</v>
      </c>
      <c r="Y17" s="126">
        <f t="shared" si="2"/>
        <v>0</v>
      </c>
      <c r="Z17" s="71">
        <f>'[1]cálculos teóricos'!I224</f>
        <v>11.032589642507965</v>
      </c>
      <c r="AA17" s="72">
        <f t="shared" si="3"/>
        <v>0</v>
      </c>
      <c r="AB17" s="3"/>
    </row>
    <row r="18" spans="1:28" ht="18" customHeight="1">
      <c r="A18" s="80">
        <v>10</v>
      </c>
      <c r="B18" s="76">
        <v>10.3</v>
      </c>
      <c r="C18" s="74">
        <f>'[1]cálculos teóricos'!K225</f>
        <v>0.97369944868287672</v>
      </c>
      <c r="D18" s="59">
        <f t="shared" si="4"/>
        <v>146.05886078519868</v>
      </c>
      <c r="E18" s="60">
        <f t="shared" si="5"/>
        <v>6.1151923833546986</v>
      </c>
      <c r="F18" s="61">
        <f t="shared" si="6"/>
        <v>7.9730729591933729</v>
      </c>
      <c r="G18" s="62">
        <f>'[1]cálculos teóricos'!T225</f>
        <v>26.202696686531851</v>
      </c>
      <c r="H18" s="75">
        <f t="shared" si="7"/>
        <v>30.428444272651987</v>
      </c>
      <c r="I18" s="76"/>
      <c r="J18" s="82"/>
      <c r="K18" s="81"/>
      <c r="L18" s="81"/>
      <c r="M18" s="81"/>
      <c r="N18" s="81"/>
      <c r="O18" s="78"/>
      <c r="P18" s="82"/>
      <c r="Q18" s="81">
        <v>0.2</v>
      </c>
      <c r="R18" s="81">
        <v>0.5</v>
      </c>
      <c r="S18" s="81">
        <v>0.1</v>
      </c>
      <c r="T18" s="81"/>
      <c r="U18" s="81"/>
      <c r="V18" s="78"/>
      <c r="W18" s="59">
        <f t="shared" si="0"/>
        <v>0</v>
      </c>
      <c r="X18" s="117">
        <f t="shared" si="1"/>
        <v>0.79999999999999993</v>
      </c>
      <c r="Y18" s="126">
        <f t="shared" si="2"/>
        <v>0.79999999999999993</v>
      </c>
      <c r="Z18" s="71">
        <f>'[1]cálculos teóricos'!I225</f>
        <v>11.050883067555807</v>
      </c>
      <c r="AA18" s="72">
        <f t="shared" si="3"/>
        <v>7.2392404761635127</v>
      </c>
      <c r="AB18" s="3"/>
    </row>
    <row r="19" spans="1:28" ht="18" customHeight="1">
      <c r="A19" s="80">
        <v>11</v>
      </c>
      <c r="B19" s="189">
        <v>-99</v>
      </c>
      <c r="C19" s="74">
        <f>'[1]cálculos teóricos'!K226</f>
        <v>0.97459278593784082</v>
      </c>
      <c r="D19" s="59">
        <f t="shared" si="4"/>
        <v>-999</v>
      </c>
      <c r="E19" s="60">
        <f t="shared" si="5"/>
        <v>-999</v>
      </c>
      <c r="F19" s="61">
        <f t="shared" si="6"/>
        <v>-999</v>
      </c>
      <c r="G19" s="62">
        <f>'[1]cálculos teóricos'!T226</f>
        <v>26.361215168271393</v>
      </c>
      <c r="H19" s="75">
        <f t="shared" si="7"/>
        <v>-999</v>
      </c>
      <c r="I19" s="76"/>
      <c r="J19" s="82"/>
      <c r="K19" s="81"/>
      <c r="L19" s="81">
        <v>1</v>
      </c>
      <c r="M19" s="81">
        <v>1</v>
      </c>
      <c r="N19" s="81">
        <v>1</v>
      </c>
      <c r="O19" s="78">
        <v>1</v>
      </c>
      <c r="P19" s="82">
        <v>1</v>
      </c>
      <c r="Q19" s="81">
        <v>1</v>
      </c>
      <c r="R19" s="81">
        <v>0.8</v>
      </c>
      <c r="S19" s="81"/>
      <c r="T19" s="81"/>
      <c r="U19" s="81"/>
      <c r="V19" s="78"/>
      <c r="W19" s="59">
        <f t="shared" si="0"/>
        <v>4</v>
      </c>
      <c r="X19" s="117">
        <f t="shared" si="1"/>
        <v>2.8</v>
      </c>
      <c r="Y19" s="126">
        <f t="shared" si="2"/>
        <v>6.8</v>
      </c>
      <c r="Z19" s="71">
        <f>'[1]cálculos teóricos'!I226</f>
        <v>11.069384878614876</v>
      </c>
      <c r="AA19" s="72">
        <f t="shared" si="3"/>
        <v>61.4306944294351</v>
      </c>
      <c r="AB19" s="3"/>
    </row>
    <row r="20" spans="1:28" ht="18" customHeight="1">
      <c r="A20" s="80">
        <v>12</v>
      </c>
      <c r="B20" s="76">
        <v>27.5</v>
      </c>
      <c r="C20" s="74">
        <f>'[1]cálculos teóricos'!K227</f>
        <v>0.97549297486618836</v>
      </c>
      <c r="D20" s="59">
        <f t="shared" si="4"/>
        <v>390.68127833525273</v>
      </c>
      <c r="E20" s="60">
        <f t="shared" si="5"/>
        <v>16.357043761340361</v>
      </c>
      <c r="F20" s="61">
        <f t="shared" si="6"/>
        <v>20.775387181675452</v>
      </c>
      <c r="G20" s="62">
        <f>'[1]cálculos teóricos'!T227</f>
        <v>26.521651640191784</v>
      </c>
      <c r="H20" s="75">
        <f t="shared" si="7"/>
        <v>78.333685486584642</v>
      </c>
      <c r="I20" s="76"/>
      <c r="J20" s="82">
        <v>0.2</v>
      </c>
      <c r="K20" s="81">
        <v>1</v>
      </c>
      <c r="L20" s="81">
        <v>1</v>
      </c>
      <c r="M20" s="81">
        <v>1</v>
      </c>
      <c r="N20" s="81">
        <v>1</v>
      </c>
      <c r="O20" s="78">
        <v>1</v>
      </c>
      <c r="P20" s="82">
        <v>1</v>
      </c>
      <c r="Q20" s="81">
        <v>1</v>
      </c>
      <c r="R20" s="81">
        <v>1</v>
      </c>
      <c r="S20" s="81">
        <v>1</v>
      </c>
      <c r="T20" s="81">
        <v>1</v>
      </c>
      <c r="U20" s="81"/>
      <c r="V20" s="78"/>
      <c r="W20" s="59">
        <f t="shared" si="0"/>
        <v>5.2</v>
      </c>
      <c r="X20" s="117">
        <f t="shared" si="1"/>
        <v>5</v>
      </c>
      <c r="Y20" s="70">
        <f t="shared" si="2"/>
        <v>10.199999999999999</v>
      </c>
      <c r="Z20" s="71">
        <f>'[1]cálculos teóricos'!I227</f>
        <v>11.088088402300205</v>
      </c>
      <c r="AA20" s="72">
        <f t="shared" si="3"/>
        <v>91.990608569499017</v>
      </c>
      <c r="AB20" s="3"/>
    </row>
    <row r="21" spans="1:28" ht="18" customHeight="1">
      <c r="A21" s="80">
        <v>13</v>
      </c>
      <c r="B21" s="76">
        <v>14.1</v>
      </c>
      <c r="C21" s="74">
        <f>'[1]cálculos teóricos'!K228</f>
        <v>0.97639951161751659</v>
      </c>
      <c r="D21" s="59">
        <f t="shared" si="4"/>
        <v>200.49909945292802</v>
      </c>
      <c r="E21" s="60">
        <f t="shared" si="5"/>
        <v>8.3944962958951894</v>
      </c>
      <c r="F21" s="61">
        <f t="shared" si="6"/>
        <v>10.822202849868988</v>
      </c>
      <c r="G21" s="62">
        <f>'[1]cálculos teóricos'!T228</f>
        <v>26.683938510886904</v>
      </c>
      <c r="H21" s="75">
        <f t="shared" si="7"/>
        <v>40.556992160110049</v>
      </c>
      <c r="I21" s="76"/>
      <c r="J21" s="82"/>
      <c r="K21" s="81"/>
      <c r="L21" s="81"/>
      <c r="M21" s="81"/>
      <c r="N21" s="81">
        <v>0.1</v>
      </c>
      <c r="O21" s="78">
        <v>0.1</v>
      </c>
      <c r="P21" s="82">
        <v>0.4</v>
      </c>
      <c r="Q21" s="81">
        <v>0.8</v>
      </c>
      <c r="R21" s="81"/>
      <c r="S21" s="81">
        <v>0.1</v>
      </c>
      <c r="T21" s="81"/>
      <c r="U21" s="81"/>
      <c r="V21" s="78"/>
      <c r="W21" s="59">
        <f t="shared" si="0"/>
        <v>0.2</v>
      </c>
      <c r="X21" s="117">
        <f t="shared" si="1"/>
        <v>1.3000000000000003</v>
      </c>
      <c r="Y21" s="205">
        <f t="shared" si="2"/>
        <v>1.5000000000000002</v>
      </c>
      <c r="Z21" s="71">
        <f>'[1]cálculos teóricos'!I228</f>
        <v>11.106987081875399</v>
      </c>
      <c r="AA21" s="72">
        <f t="shared" si="3"/>
        <v>13.505012555994865</v>
      </c>
      <c r="AB21" s="3"/>
    </row>
    <row r="22" spans="1:28" ht="18" customHeight="1">
      <c r="A22" s="80">
        <v>14</v>
      </c>
      <c r="B22" s="76">
        <v>24.4</v>
      </c>
      <c r="C22" s="74">
        <f>'[1]cálculos teóricos'!K229</f>
        <v>0.97731189534482377</v>
      </c>
      <c r="D22" s="59">
        <f t="shared" si="4"/>
        <v>347.28719562364591</v>
      </c>
      <c r="E22" s="60">
        <f t="shared" si="5"/>
        <v>14.540220306370806</v>
      </c>
      <c r="F22" s="61">
        <f t="shared" si="6"/>
        <v>18.504357862963509</v>
      </c>
      <c r="G22" s="62">
        <f>'[1]cálculos teóricos'!T229</f>
        <v>26.848007904630741</v>
      </c>
      <c r="H22" s="75">
        <f t="shared" si="7"/>
        <v>68.922647552453526</v>
      </c>
      <c r="I22" s="76"/>
      <c r="J22" s="82"/>
      <c r="K22" s="81">
        <v>0.1</v>
      </c>
      <c r="L22" s="81">
        <v>1</v>
      </c>
      <c r="M22" s="81">
        <v>1</v>
      </c>
      <c r="N22" s="81">
        <v>1</v>
      </c>
      <c r="O22" s="78">
        <v>1</v>
      </c>
      <c r="P22" s="82">
        <v>1</v>
      </c>
      <c r="Q22" s="81">
        <v>1</v>
      </c>
      <c r="R22" s="81">
        <v>1</v>
      </c>
      <c r="S22" s="81">
        <v>1</v>
      </c>
      <c r="T22" s="81">
        <v>0.8</v>
      </c>
      <c r="U22" s="81"/>
      <c r="V22" s="78"/>
      <c r="W22" s="59">
        <f t="shared" si="0"/>
        <v>4.0999999999999996</v>
      </c>
      <c r="X22" s="69">
        <f t="shared" si="1"/>
        <v>4.8</v>
      </c>
      <c r="Y22" s="205">
        <f t="shared" si="2"/>
        <v>8.8999999999999986</v>
      </c>
      <c r="Z22" s="71">
        <f>'[1]cálculos teóricos'!I229</f>
        <v>11.126074480638078</v>
      </c>
      <c r="AA22" s="72">
        <f t="shared" si="3"/>
        <v>79.992274143841485</v>
      </c>
      <c r="AB22" s="3"/>
    </row>
    <row r="23" spans="1:28" ht="18" customHeight="1">
      <c r="A23" s="80">
        <v>15</v>
      </c>
      <c r="B23" s="76">
        <v>26.7</v>
      </c>
      <c r="C23" s="74">
        <f>'[1]cálculos teóricos'!K230</f>
        <v>0.97822962857678464</v>
      </c>
      <c r="D23" s="59">
        <f t="shared" si="4"/>
        <v>380.38014012727268</v>
      </c>
      <c r="E23" s="60">
        <f t="shared" si="5"/>
        <v>15.925755706848651</v>
      </c>
      <c r="F23" s="61">
        <f t="shared" si="6"/>
        <v>20.236277113560817</v>
      </c>
      <c r="G23" s="62">
        <f>'[1]cálculos teóricos'!T230</f>
        <v>27.01379170182711</v>
      </c>
      <c r="H23" s="75">
        <f t="shared" si="7"/>
        <v>74.910909719467909</v>
      </c>
      <c r="I23" s="76"/>
      <c r="J23" s="82"/>
      <c r="K23" s="81">
        <v>0.7</v>
      </c>
      <c r="L23" s="81">
        <v>1</v>
      </c>
      <c r="M23" s="81">
        <v>1</v>
      </c>
      <c r="N23" s="81">
        <v>1</v>
      </c>
      <c r="O23" s="78">
        <v>1</v>
      </c>
      <c r="P23" s="82">
        <v>1</v>
      </c>
      <c r="Q23" s="82">
        <v>1</v>
      </c>
      <c r="R23" s="82">
        <v>1</v>
      </c>
      <c r="S23" s="82">
        <v>1</v>
      </c>
      <c r="T23" s="81">
        <v>0.9</v>
      </c>
      <c r="U23" s="81"/>
      <c r="V23" s="78"/>
      <c r="W23" s="59">
        <f t="shared" si="0"/>
        <v>4.7</v>
      </c>
      <c r="X23" s="117">
        <f t="shared" si="1"/>
        <v>4.9000000000000004</v>
      </c>
      <c r="Y23" s="205">
        <f t="shared" si="2"/>
        <v>9.6000000000000014</v>
      </c>
      <c r="Z23" s="71">
        <f>'[1]cálculos teóricos'!I230</f>
        <v>11.145344284807122</v>
      </c>
      <c r="AA23" s="72">
        <f t="shared" si="3"/>
        <v>86.134620471853253</v>
      </c>
      <c r="AB23" s="3"/>
    </row>
    <row r="24" spans="1:28" ht="18" customHeight="1">
      <c r="A24" s="80">
        <v>16</v>
      </c>
      <c r="B24" s="76">
        <v>24</v>
      </c>
      <c r="C24" s="74">
        <f>'[1]cálculos teóricos'!K231</f>
        <v>0.97915221757325832</v>
      </c>
      <c r="D24" s="59">
        <f t="shared" si="4"/>
        <v>342.23719969507556</v>
      </c>
      <c r="E24" s="60">
        <f t="shared" si="5"/>
        <v>14.328787076833423</v>
      </c>
      <c r="F24" s="61">
        <f t="shared" si="6"/>
        <v>18.240066326041777</v>
      </c>
      <c r="G24" s="62">
        <f>'[1]cálculos teóricos'!T231</f>
        <v>27.181221578598191</v>
      </c>
      <c r="H24" s="75">
        <f t="shared" si="7"/>
        <v>67.105395809007888</v>
      </c>
      <c r="I24" s="76"/>
      <c r="J24" s="82"/>
      <c r="K24" s="81">
        <v>0.6</v>
      </c>
      <c r="L24" s="81">
        <v>1</v>
      </c>
      <c r="M24" s="81">
        <v>1</v>
      </c>
      <c r="N24" s="81">
        <v>1</v>
      </c>
      <c r="O24" s="78">
        <v>1</v>
      </c>
      <c r="P24" s="82">
        <v>1</v>
      </c>
      <c r="Q24" s="81">
        <v>1</v>
      </c>
      <c r="R24" s="81">
        <v>1</v>
      </c>
      <c r="S24" s="81">
        <v>1</v>
      </c>
      <c r="T24" s="81">
        <v>0.6</v>
      </c>
      <c r="U24" s="81"/>
      <c r="V24" s="78"/>
      <c r="W24" s="59">
        <f t="shared" si="0"/>
        <v>4.5999999999999996</v>
      </c>
      <c r="X24" s="117">
        <f t="shared" si="1"/>
        <v>4.5999999999999996</v>
      </c>
      <c r="Y24" s="205">
        <f t="shared" si="2"/>
        <v>9.1999999999999993</v>
      </c>
      <c r="Z24" s="71">
        <f>'[1]cálculos teóricos'!I231</f>
        <v>11.16479030592296</v>
      </c>
      <c r="AA24" s="72">
        <f t="shared" si="3"/>
        <v>82.401905883708068</v>
      </c>
      <c r="AB24" s="3"/>
    </row>
    <row r="25" spans="1:28" ht="18" customHeight="1">
      <c r="A25" s="85">
        <v>17</v>
      </c>
      <c r="B25" s="76">
        <v>23.8</v>
      </c>
      <c r="C25" s="74">
        <f>'[1]cálculos teóricos'!K232</f>
        <v>0.98007917266395439</v>
      </c>
      <c r="D25" s="59">
        <f t="shared" si="4"/>
        <v>339.70651613997774</v>
      </c>
      <c r="E25" s="60">
        <f t="shared" si="5"/>
        <v>14.222832417748586</v>
      </c>
      <c r="F25" s="61">
        <f t="shared" si="6"/>
        <v>18.107623002185736</v>
      </c>
      <c r="G25" s="62">
        <f>'[1]cálculos teóricos'!T232</f>
        <v>27.350229045466691</v>
      </c>
      <c r="H25" s="75">
        <f t="shared" si="7"/>
        <v>66.206476633463808</v>
      </c>
      <c r="I25" s="76"/>
      <c r="J25" s="82"/>
      <c r="K25" s="81">
        <v>1</v>
      </c>
      <c r="L25" s="81">
        <v>1</v>
      </c>
      <c r="M25" s="81">
        <v>1</v>
      </c>
      <c r="N25" s="81">
        <v>1</v>
      </c>
      <c r="O25" s="77">
        <v>1</v>
      </c>
      <c r="P25" s="82">
        <v>1</v>
      </c>
      <c r="Q25" s="81">
        <v>1</v>
      </c>
      <c r="R25" s="81">
        <v>1</v>
      </c>
      <c r="S25" s="81">
        <v>1</v>
      </c>
      <c r="T25" s="81">
        <v>0.7</v>
      </c>
      <c r="U25" s="81"/>
      <c r="V25" s="78"/>
      <c r="W25" s="59">
        <f t="shared" si="0"/>
        <v>5</v>
      </c>
      <c r="X25" s="117">
        <f t="shared" si="1"/>
        <v>4.7</v>
      </c>
      <c r="Y25" s="204">
        <f t="shared" si="2"/>
        <v>9.6999999999999993</v>
      </c>
      <c r="Z25" s="71">
        <f>'[1]cálculos teóricos'!I232</f>
        <v>11.184406482772879</v>
      </c>
      <c r="AA25" s="72">
        <f t="shared" si="3"/>
        <v>86.727892221556132</v>
      </c>
      <c r="AB25" s="3"/>
    </row>
    <row r="26" spans="1:28" ht="18" customHeight="1">
      <c r="A26" s="85">
        <v>18</v>
      </c>
      <c r="B26" s="76">
        <v>24.3</v>
      </c>
      <c r="C26" s="74">
        <f>'[1]cálculos teóricos'!K233</f>
        <v>0.98101000857026255</v>
      </c>
      <c r="D26" s="59">
        <f t="shared" si="4"/>
        <v>347.17262401345641</v>
      </c>
      <c r="E26" s="60">
        <f t="shared" si="5"/>
        <v>14.535423422195393</v>
      </c>
      <c r="F26" s="61">
        <f t="shared" si="6"/>
        <v>18.498361757744242</v>
      </c>
      <c r="G26" s="62">
        <f>'[1]cálculos teóricos'!T233</f>
        <v>27.520745485092121</v>
      </c>
      <c r="H26" s="75">
        <f t="shared" si="7"/>
        <v>67.21606348841361</v>
      </c>
      <c r="I26" s="76"/>
      <c r="J26" s="82">
        <v>0.1</v>
      </c>
      <c r="K26" s="81">
        <v>1</v>
      </c>
      <c r="L26" s="81">
        <v>1</v>
      </c>
      <c r="M26" s="81">
        <v>1</v>
      </c>
      <c r="N26" s="81">
        <v>1</v>
      </c>
      <c r="O26" s="77">
        <v>1</v>
      </c>
      <c r="P26" s="82">
        <v>1</v>
      </c>
      <c r="Q26" s="81">
        <v>1</v>
      </c>
      <c r="R26" s="81">
        <v>1</v>
      </c>
      <c r="S26" s="81">
        <v>1</v>
      </c>
      <c r="T26" s="81">
        <v>0.9</v>
      </c>
      <c r="U26" s="81"/>
      <c r="V26" s="78"/>
      <c r="W26" s="59">
        <f t="shared" si="0"/>
        <v>5.0999999999999996</v>
      </c>
      <c r="X26" s="117">
        <f t="shared" si="1"/>
        <v>4.9000000000000004</v>
      </c>
      <c r="Y26" s="70">
        <f t="shared" si="2"/>
        <v>10</v>
      </c>
      <c r="Z26" s="71">
        <f>'[1]cálculos teóricos'!I233</f>
        <v>11.204186882854412</v>
      </c>
      <c r="AA26" s="72">
        <f t="shared" si="3"/>
        <v>89.252349184775198</v>
      </c>
      <c r="AB26" s="3"/>
    </row>
    <row r="27" spans="1:28" ht="18" customHeight="1">
      <c r="A27" s="85">
        <v>19</v>
      </c>
      <c r="B27" s="76">
        <v>25.4</v>
      </c>
      <c r="C27" s="74">
        <f>'[1]cálculos teóricos'!K234</f>
        <v>0.98194424471029895</v>
      </c>
      <c r="D27" s="59">
        <f t="shared" si="4"/>
        <v>363.23384319909633</v>
      </c>
      <c r="E27" s="60">
        <f t="shared" si="5"/>
        <v>15.207874547059765</v>
      </c>
      <c r="F27" s="61">
        <f t="shared" si="6"/>
        <v>19.338925663824707</v>
      </c>
      <c r="G27" s="62">
        <f>'[1]cálculos teóricos'!T234</f>
        <v>27.692702189027393</v>
      </c>
      <c r="H27" s="75">
        <f t="shared" si="7"/>
        <v>69.834014506129776</v>
      </c>
      <c r="I27" s="76"/>
      <c r="J27" s="82">
        <v>0.1</v>
      </c>
      <c r="K27" s="81">
        <v>1</v>
      </c>
      <c r="L27" s="81">
        <v>1</v>
      </c>
      <c r="M27" s="81">
        <v>1</v>
      </c>
      <c r="N27" s="81">
        <v>1</v>
      </c>
      <c r="O27" s="77">
        <v>1</v>
      </c>
      <c r="P27" s="82">
        <v>1</v>
      </c>
      <c r="Q27" s="81">
        <v>1</v>
      </c>
      <c r="R27" s="81">
        <v>1</v>
      </c>
      <c r="S27" s="81">
        <v>1</v>
      </c>
      <c r="T27" s="81">
        <v>0.6</v>
      </c>
      <c r="U27" s="81"/>
      <c r="V27" s="78"/>
      <c r="W27" s="59">
        <f t="shared" si="0"/>
        <v>5.0999999999999996</v>
      </c>
      <c r="X27" s="117">
        <f t="shared" si="1"/>
        <v>4.5999999999999996</v>
      </c>
      <c r="Y27" s="70">
        <f t="shared" si="2"/>
        <v>9.6999999999999993</v>
      </c>
      <c r="Z27" s="71">
        <f>'[1]cálculos teóricos'!I234</f>
        <v>11.224125703390222</v>
      </c>
      <c r="AA27" s="72">
        <f t="shared" si="3"/>
        <v>86.420985084567761</v>
      </c>
      <c r="AB27" s="3"/>
    </row>
    <row r="28" spans="1:28" ht="18" customHeight="1">
      <c r="A28" s="85">
        <v>20</v>
      </c>
      <c r="B28" s="76">
        <v>24.6</v>
      </c>
      <c r="C28" s="74">
        <f>'[1]cálculos teóricos'!K235</f>
        <v>0.98288140548729619</v>
      </c>
      <c r="D28" s="59">
        <f t="shared" si="4"/>
        <v>352.1291563808303</v>
      </c>
      <c r="E28" s="60">
        <f t="shared" si="5"/>
        <v>14.742943519352602</v>
      </c>
      <c r="F28" s="61">
        <f t="shared" si="6"/>
        <v>18.757761879190756</v>
      </c>
      <c r="G28" s="62">
        <f>'[1]cálculos teóricos'!T235</f>
        <v>27.866030393466986</v>
      </c>
      <c r="H28" s="75">
        <f t="shared" si="7"/>
        <v>67.31407959559391</v>
      </c>
      <c r="I28" s="76"/>
      <c r="J28" s="82">
        <v>0.1</v>
      </c>
      <c r="K28" s="81">
        <v>1</v>
      </c>
      <c r="L28" s="81">
        <v>1</v>
      </c>
      <c r="M28" s="81">
        <v>1</v>
      </c>
      <c r="N28" s="81">
        <v>1</v>
      </c>
      <c r="O28" s="77">
        <v>1</v>
      </c>
      <c r="P28" s="82">
        <v>1</v>
      </c>
      <c r="Q28" s="81">
        <v>1</v>
      </c>
      <c r="R28" s="81">
        <v>1</v>
      </c>
      <c r="S28" s="81">
        <v>1</v>
      </c>
      <c r="T28" s="81">
        <v>0.7</v>
      </c>
      <c r="U28" s="81"/>
      <c r="V28" s="78"/>
      <c r="W28" s="59">
        <f t="shared" si="0"/>
        <v>5.0999999999999996</v>
      </c>
      <c r="X28" s="117">
        <f t="shared" si="1"/>
        <v>4.7</v>
      </c>
      <c r="Y28" s="70">
        <f t="shared" si="2"/>
        <v>9.8000000000000007</v>
      </c>
      <c r="Z28" s="71">
        <f>'[1]cálculos teóricos'!I235</f>
        <v>11.244217271908742</v>
      </c>
      <c r="AA28" s="72">
        <f t="shared" si="3"/>
        <v>87.155911016440371</v>
      </c>
      <c r="AB28" s="3"/>
    </row>
    <row r="29" spans="1:28" ht="18" customHeight="1">
      <c r="A29" s="85">
        <v>21</v>
      </c>
      <c r="B29" s="76">
        <v>26.5</v>
      </c>
      <c r="C29" s="74">
        <f>'[1]cálculos teóricos'!K236</f>
        <v>0.98382102056150911</v>
      </c>
      <c r="D29" s="59">
        <f t="shared" si="4"/>
        <v>379.68875197310979</v>
      </c>
      <c r="E29" s="60">
        <f t="shared" si="5"/>
        <v>15.896808667610159</v>
      </c>
      <c r="F29" s="61">
        <f t="shared" si="6"/>
        <v>20.200093314512699</v>
      </c>
      <c r="G29" s="62">
        <f>'[1]cálculos teóricos'!T236</f>
        <v>28.040661313965174</v>
      </c>
      <c r="H29" s="75">
        <f t="shared" si="7"/>
        <v>72.038576723767875</v>
      </c>
      <c r="I29" s="76"/>
      <c r="J29" s="82"/>
      <c r="K29" s="81">
        <v>0.4</v>
      </c>
      <c r="L29" s="81">
        <v>1</v>
      </c>
      <c r="M29" s="81">
        <v>1</v>
      </c>
      <c r="N29" s="81">
        <v>1</v>
      </c>
      <c r="O29" s="77">
        <v>1</v>
      </c>
      <c r="P29" s="82">
        <v>1</v>
      </c>
      <c r="Q29" s="81">
        <v>1</v>
      </c>
      <c r="R29" s="81">
        <v>1</v>
      </c>
      <c r="S29" s="81">
        <v>1</v>
      </c>
      <c r="T29" s="81">
        <v>0.7</v>
      </c>
      <c r="U29" s="81"/>
      <c r="V29" s="78"/>
      <c r="W29" s="59">
        <f t="shared" si="0"/>
        <v>4.4000000000000004</v>
      </c>
      <c r="X29" s="117">
        <f t="shared" si="1"/>
        <v>4.7</v>
      </c>
      <c r="Y29" s="70">
        <f t="shared" si="2"/>
        <v>9.1000000000000014</v>
      </c>
      <c r="Z29" s="71">
        <f>'[1]cálculos teóricos'!I236</f>
        <v>11.264456046405073</v>
      </c>
      <c r="AA29" s="72">
        <f t="shared" si="3"/>
        <v>80.785081521128276</v>
      </c>
      <c r="AB29" s="3"/>
    </row>
    <row r="30" spans="1:28" ht="18" customHeight="1">
      <c r="A30" s="85">
        <v>22</v>
      </c>
      <c r="B30" s="76">
        <v>26.6</v>
      </c>
      <c r="C30" s="74">
        <f>'[1]cálculos teóricos'!K237</f>
        <v>0.98476262510587231</v>
      </c>
      <c r="D30" s="59">
        <f t="shared" si="4"/>
        <v>381.48630705340133</v>
      </c>
      <c r="E30" s="60">
        <f t="shared" si="5"/>
        <v>15.972068703711807</v>
      </c>
      <c r="F30" s="61">
        <f t="shared" si="6"/>
        <v>20.294168359639759</v>
      </c>
      <c r="G30" s="62">
        <f>'[1]cálculos teóricos'!T237</f>
        <v>28.216526179107174</v>
      </c>
      <c r="H30" s="75">
        <f t="shared" si="7"/>
        <v>71.922986659734548</v>
      </c>
      <c r="I30" s="76"/>
      <c r="J30" s="82"/>
      <c r="K30" s="81">
        <v>1</v>
      </c>
      <c r="L30" s="81">
        <v>1</v>
      </c>
      <c r="M30" s="81">
        <v>1</v>
      </c>
      <c r="N30" s="81">
        <v>1</v>
      </c>
      <c r="O30" s="78">
        <v>1</v>
      </c>
      <c r="P30" s="82">
        <v>1</v>
      </c>
      <c r="Q30" s="81">
        <v>1</v>
      </c>
      <c r="R30" s="81">
        <v>1</v>
      </c>
      <c r="S30" s="81">
        <v>1</v>
      </c>
      <c r="T30" s="81">
        <v>0.9</v>
      </c>
      <c r="U30" s="81"/>
      <c r="V30" s="78"/>
      <c r="W30" s="59">
        <f t="shared" si="0"/>
        <v>5</v>
      </c>
      <c r="X30" s="117">
        <f t="shared" si="1"/>
        <v>4.9000000000000004</v>
      </c>
      <c r="Y30" s="70">
        <f t="shared" si="2"/>
        <v>9.9</v>
      </c>
      <c r="Z30" s="71">
        <f>'[1]cálculos teóricos'!I237</f>
        <v>11.284836615097095</v>
      </c>
      <c r="AA30" s="72">
        <f t="shared" si="3"/>
        <v>87.728341469787594</v>
      </c>
      <c r="AB30" s="3"/>
    </row>
    <row r="31" spans="1:28" ht="18" customHeight="1">
      <c r="A31" s="85">
        <v>23</v>
      </c>
      <c r="B31" s="76">
        <v>25.3</v>
      </c>
      <c r="C31" s="74">
        <f>'[1]cálculos teóricos'!K238</f>
        <v>0.98570576004569876</v>
      </c>
      <c r="D31" s="59">
        <f t="shared" si="4"/>
        <v>363.18974366156607</v>
      </c>
      <c r="E31" s="60">
        <f t="shared" si="5"/>
        <v>15.206028187622449</v>
      </c>
      <c r="F31" s="61">
        <f t="shared" si="6"/>
        <v>19.33661771452806</v>
      </c>
      <c r="G31" s="62">
        <f>'[1]cálculos teóricos'!T238</f>
        <v>28.393556263123799</v>
      </c>
      <c r="H31" s="75">
        <f t="shared" si="7"/>
        <v>68.102133932555475</v>
      </c>
      <c r="I31" s="76"/>
      <c r="J31" s="82"/>
      <c r="K31" s="81">
        <v>0.9</v>
      </c>
      <c r="L31" s="81">
        <v>1</v>
      </c>
      <c r="M31" s="81">
        <v>1</v>
      </c>
      <c r="N31" s="81">
        <v>1</v>
      </c>
      <c r="O31" s="78">
        <v>1</v>
      </c>
      <c r="P31" s="82">
        <v>1</v>
      </c>
      <c r="Q31" s="81">
        <v>1</v>
      </c>
      <c r="R31" s="81">
        <v>1</v>
      </c>
      <c r="S31" s="81">
        <v>0.7</v>
      </c>
      <c r="T31" s="81"/>
      <c r="U31" s="81"/>
      <c r="V31" s="78"/>
      <c r="W31" s="59">
        <f t="shared" si="0"/>
        <v>4.9000000000000004</v>
      </c>
      <c r="X31" s="117">
        <f t="shared" si="1"/>
        <v>3.7</v>
      </c>
      <c r="Y31" s="70">
        <f t="shared" si="2"/>
        <v>8.6000000000000014</v>
      </c>
      <c r="Z31" s="71">
        <f>'[1]cálculos teóricos'!I238</f>
        <v>11.30535369579199</v>
      </c>
      <c r="AA31" s="72">
        <f t="shared" si="3"/>
        <v>76.070154295137542</v>
      </c>
      <c r="AB31" s="3"/>
    </row>
    <row r="32" spans="1:28" ht="18" customHeight="1">
      <c r="A32" s="80">
        <v>24</v>
      </c>
      <c r="B32" s="76">
        <v>6.5</v>
      </c>
      <c r="C32" s="74">
        <f>'[1]cálculos teóricos'!K239</f>
        <v>0.98664997228275131</v>
      </c>
      <c r="D32" s="59">
        <f t="shared" si="4"/>
        <v>93.39899966370902</v>
      </c>
      <c r="E32" s="60">
        <f t="shared" si="5"/>
        <v>3.9104293179201695</v>
      </c>
      <c r="F32" s="61">
        <f t="shared" si="6"/>
        <v>5.2171191274002116</v>
      </c>
      <c r="G32" s="62">
        <f>'[1]cálculos teóricos'!T239</f>
        <v>28.571682917445187</v>
      </c>
      <c r="H32" s="75">
        <f t="shared" si="7"/>
        <v>18.259754395547919</v>
      </c>
      <c r="I32" s="206"/>
      <c r="J32" s="82"/>
      <c r="K32" s="81"/>
      <c r="L32" s="81"/>
      <c r="M32" s="81"/>
      <c r="N32" s="81"/>
      <c r="O32" s="78"/>
      <c r="P32" s="82"/>
      <c r="Q32" s="81"/>
      <c r="R32" s="81"/>
      <c r="S32" s="81"/>
      <c r="T32" s="81"/>
      <c r="U32" s="81"/>
      <c r="V32" s="78"/>
      <c r="W32" s="59">
        <f t="shared" si="0"/>
        <v>0</v>
      </c>
      <c r="X32" s="117">
        <f t="shared" si="1"/>
        <v>0</v>
      </c>
      <c r="Y32" s="70">
        <f t="shared" si="2"/>
        <v>0</v>
      </c>
      <c r="Z32" s="71">
        <f>'[1]cálculos teóricos'!I239</f>
        <v>11.326002134878424</v>
      </c>
      <c r="AA32" s="72">
        <f t="shared" si="3"/>
        <v>0</v>
      </c>
      <c r="AB32" s="3"/>
    </row>
    <row r="33" spans="1:28" ht="18" customHeight="1">
      <c r="A33" s="85">
        <v>25</v>
      </c>
      <c r="B33" s="76">
        <v>2.8</v>
      </c>
      <c r="C33" s="74">
        <f>'[1]cálculos teóricos'!K240</f>
        <v>0.98759481490407497</v>
      </c>
      <c r="D33" s="59">
        <f t="shared" si="4"/>
        <v>40.271943843195388</v>
      </c>
      <c r="E33" s="60">
        <f t="shared" si="5"/>
        <v>1.6861057448269046</v>
      </c>
      <c r="F33" s="61">
        <f t="shared" si="6"/>
        <v>2.4367146610336308</v>
      </c>
      <c r="G33" s="62">
        <f>'[1]cálculos teóricos'!T240</f>
        <v>28.750837601195709</v>
      </c>
      <c r="H33" s="75">
        <f t="shared" si="7"/>
        <v>8.4752823372780313</v>
      </c>
      <c r="I33" s="206"/>
      <c r="J33" s="82"/>
      <c r="K33" s="81"/>
      <c r="L33" s="81"/>
      <c r="M33" s="81"/>
      <c r="N33" s="81"/>
      <c r="O33" s="78"/>
      <c r="P33" s="82"/>
      <c r="Q33" s="81"/>
      <c r="R33" s="81"/>
      <c r="S33" s="81"/>
      <c r="T33" s="81"/>
      <c r="U33" s="81"/>
      <c r="V33" s="78"/>
      <c r="W33" s="59">
        <f t="shared" si="0"/>
        <v>0</v>
      </c>
      <c r="X33" s="117">
        <f t="shared" si="1"/>
        <v>0</v>
      </c>
      <c r="Y33" s="70">
        <f t="shared" si="2"/>
        <v>0</v>
      </c>
      <c r="Z33" s="71">
        <f>'[1]cálculos teóricos'!I240</f>
        <v>11.346776905959914</v>
      </c>
      <c r="AA33" s="72">
        <f t="shared" si="3"/>
        <v>0</v>
      </c>
      <c r="AB33" s="3"/>
    </row>
    <row r="34" spans="1:28" ht="18" customHeight="1">
      <c r="A34" s="80">
        <v>26</v>
      </c>
      <c r="B34" s="76">
        <v>27.8</v>
      </c>
      <c r="C34" s="74">
        <f>'[1]cálculos teóricos'!K241</f>
        <v>0.98853984737601885</v>
      </c>
      <c r="D34" s="59">
        <f t="shared" si="4"/>
        <v>400.22548186984613</v>
      </c>
      <c r="E34" s="60">
        <f t="shared" si="5"/>
        <v>16.756640474926716</v>
      </c>
      <c r="F34" s="61">
        <f t="shared" si="6"/>
        <v>21.274883073658398</v>
      </c>
      <c r="G34" s="62">
        <f>'[1]cálculos teóricos'!T241</f>
        <v>28.930951910638235</v>
      </c>
      <c r="H34" s="75">
        <f t="shared" si="7"/>
        <v>73.536754474488561</v>
      </c>
      <c r="I34" s="206"/>
      <c r="J34" s="82">
        <v>0.3</v>
      </c>
      <c r="K34" s="81">
        <v>0.5</v>
      </c>
      <c r="L34" s="81">
        <v>0.9</v>
      </c>
      <c r="M34" s="81">
        <v>1</v>
      </c>
      <c r="N34" s="81">
        <v>1</v>
      </c>
      <c r="O34" s="78">
        <v>1</v>
      </c>
      <c r="P34" s="82">
        <v>1</v>
      </c>
      <c r="Q34" s="81">
        <v>1</v>
      </c>
      <c r="R34" s="81">
        <v>1</v>
      </c>
      <c r="S34" s="81">
        <v>1</v>
      </c>
      <c r="T34" s="81">
        <v>1</v>
      </c>
      <c r="U34" s="81">
        <v>0.2</v>
      </c>
      <c r="V34" s="78"/>
      <c r="W34" s="59">
        <f t="shared" si="0"/>
        <v>4.7</v>
      </c>
      <c r="X34" s="117">
        <f t="shared" si="1"/>
        <v>5.2</v>
      </c>
      <c r="Y34" s="70">
        <f t="shared" si="2"/>
        <v>9.9</v>
      </c>
      <c r="Z34" s="71">
        <f>'[1]cálculos teóricos'!I241</f>
        <v>11.367673108144633</v>
      </c>
      <c r="AA34" s="72">
        <f t="shared" si="3"/>
        <v>87.0890630458657</v>
      </c>
      <c r="AB34" s="3"/>
    </row>
    <row r="35" spans="1:28" ht="18" customHeight="1">
      <c r="A35" s="85">
        <v>27</v>
      </c>
      <c r="B35" s="76">
        <v>30.2</v>
      </c>
      <c r="C35" s="74">
        <f>'[1]cálculos teóricos'!K242</f>
        <v>0.98948463572391299</v>
      </c>
      <c r="D35" s="59">
        <f t="shared" si="4"/>
        <v>435.19285666942926</v>
      </c>
      <c r="E35" s="60">
        <f t="shared" si="5"/>
        <v>18.220654523035662</v>
      </c>
      <c r="F35" s="61">
        <f t="shared" si="6"/>
        <v>23.104900633794578</v>
      </c>
      <c r="G35" s="62">
        <f>'[1]cálculos teóricos'!T242</f>
        <v>29.111957607581996</v>
      </c>
      <c r="H35" s="75">
        <f t="shared" si="7"/>
        <v>79.365671471632936</v>
      </c>
      <c r="I35" s="206"/>
      <c r="J35" s="82">
        <v>0.2</v>
      </c>
      <c r="K35" s="81">
        <v>1</v>
      </c>
      <c r="L35" s="81">
        <v>1</v>
      </c>
      <c r="M35" s="81">
        <v>1</v>
      </c>
      <c r="N35" s="81">
        <v>1</v>
      </c>
      <c r="O35" s="78">
        <v>1</v>
      </c>
      <c r="P35" s="82">
        <v>1</v>
      </c>
      <c r="Q35" s="81">
        <v>1</v>
      </c>
      <c r="R35" s="81">
        <v>1</v>
      </c>
      <c r="S35" s="81">
        <v>1</v>
      </c>
      <c r="T35" s="81">
        <v>1</v>
      </c>
      <c r="U35" s="81">
        <v>0.3</v>
      </c>
      <c r="V35" s="78"/>
      <c r="W35" s="59">
        <f t="shared" si="0"/>
        <v>5.2</v>
      </c>
      <c r="X35" s="117">
        <f t="shared" si="1"/>
        <v>5.3</v>
      </c>
      <c r="Y35" s="70">
        <f t="shared" si="2"/>
        <v>10.5</v>
      </c>
      <c r="Z35" s="71">
        <f>'[1]cálculos teóricos'!I242</f>
        <v>11.388685964007152</v>
      </c>
      <c r="AA35" s="72">
        <f t="shared" si="3"/>
        <v>92.196764694225848</v>
      </c>
      <c r="AB35" s="3"/>
    </row>
    <row r="36" spans="1:28" ht="18" customHeight="1">
      <c r="A36" s="85">
        <v>28</v>
      </c>
      <c r="B36" s="76">
        <v>25.4</v>
      </c>
      <c r="C36" s="74">
        <f>'[1]cálculos teóricos'!K243</f>
        <v>0.99042875269791231</v>
      </c>
      <c r="D36" s="59">
        <f t="shared" si="4"/>
        <v>366.37237215386756</v>
      </c>
      <c r="E36" s="60">
        <f t="shared" si="5"/>
        <v>15.339278477338125</v>
      </c>
      <c r="F36" s="61">
        <f t="shared" si="6"/>
        <v>19.503180576672658</v>
      </c>
      <c r="G36" s="62">
        <f>'[1]cálculos teóricos'!T243</f>
        <v>29.29378664677364</v>
      </c>
      <c r="H36" s="75">
        <f t="shared" si="7"/>
        <v>66.577874727645352</v>
      </c>
      <c r="I36" s="206"/>
      <c r="J36" s="82"/>
      <c r="K36" s="81"/>
      <c r="L36" s="81"/>
      <c r="M36" s="81">
        <v>0.4</v>
      </c>
      <c r="N36" s="81">
        <v>1</v>
      </c>
      <c r="O36" s="78">
        <v>1</v>
      </c>
      <c r="P36" s="82">
        <v>1</v>
      </c>
      <c r="Q36" s="81">
        <v>1</v>
      </c>
      <c r="R36" s="81">
        <v>1</v>
      </c>
      <c r="S36" s="81">
        <v>1</v>
      </c>
      <c r="T36" s="81">
        <v>0.8</v>
      </c>
      <c r="U36" s="81"/>
      <c r="V36" s="78"/>
      <c r="W36" s="59">
        <f t="shared" si="0"/>
        <v>2.4</v>
      </c>
      <c r="X36" s="117">
        <f t="shared" si="1"/>
        <v>4.8</v>
      </c>
      <c r="Y36" s="70">
        <f t="shared" si="2"/>
        <v>7.1999999999999993</v>
      </c>
      <c r="Z36" s="71">
        <f>'[1]cálculos teóricos'!I243</f>
        <v>11.409810817237096</v>
      </c>
      <c r="AA36" s="72">
        <f t="shared" si="3"/>
        <v>63.103587915084205</v>
      </c>
      <c r="AB36" s="3"/>
    </row>
    <row r="37" spans="1:28" ht="18" customHeight="1">
      <c r="A37" s="85">
        <v>29</v>
      </c>
      <c r="B37" s="76">
        <v>26.3</v>
      </c>
      <c r="C37" s="74">
        <f>'[1]cálculos teóricos'!K244</f>
        <v>0.99137177792554487</v>
      </c>
      <c r="D37" s="59">
        <f t="shared" si="4"/>
        <v>379.71526794963108</v>
      </c>
      <c r="E37" s="60">
        <f t="shared" si="5"/>
        <v>15.897918838515155</v>
      </c>
      <c r="F37" s="61">
        <f t="shared" si="6"/>
        <v>20.201481028143945</v>
      </c>
      <c r="G37" s="62">
        <f>'[1]cálculos teóricos'!T244</f>
        <v>29.476371202297315</v>
      </c>
      <c r="H37" s="75">
        <f t="shared" si="7"/>
        <v>68.534491201445761</v>
      </c>
      <c r="I37" s="206"/>
      <c r="J37" s="82"/>
      <c r="K37" s="81"/>
      <c r="L37" s="81">
        <v>0.4</v>
      </c>
      <c r="M37" s="81">
        <v>1</v>
      </c>
      <c r="N37" s="81">
        <v>1</v>
      </c>
      <c r="O37" s="78">
        <v>1</v>
      </c>
      <c r="P37" s="82">
        <v>1</v>
      </c>
      <c r="Q37" s="81">
        <v>1</v>
      </c>
      <c r="R37" s="81">
        <v>1</v>
      </c>
      <c r="S37" s="81">
        <v>1</v>
      </c>
      <c r="T37" s="81">
        <v>0.9</v>
      </c>
      <c r="U37" s="81"/>
      <c r="V37" s="78"/>
      <c r="W37" s="59">
        <f t="shared" si="0"/>
        <v>3.4</v>
      </c>
      <c r="X37" s="117">
        <f>SUM(P37:V37)</f>
        <v>4.9000000000000004</v>
      </c>
      <c r="Y37" s="70">
        <f>W37+X37</f>
        <v>8.3000000000000007</v>
      </c>
      <c r="Z37" s="71">
        <f>'[1]cálculos teóricos'!I244</f>
        <v>11.431043129989952</v>
      </c>
      <c r="AA37" s="72">
        <f t="shared" si="3"/>
        <v>72.609296506147444</v>
      </c>
      <c r="AB37" s="3"/>
    </row>
    <row r="38" spans="1:28" ht="18" customHeight="1">
      <c r="A38" s="80">
        <v>30</v>
      </c>
      <c r="B38" s="76">
        <v>27.6</v>
      </c>
      <c r="C38" s="74">
        <f>'[1]cálculos teóricos'!K245</f>
        <v>0.9923132980515369</v>
      </c>
      <c r="D38" s="59">
        <f t="shared" si="4"/>
        <v>398.86291016639024</v>
      </c>
      <c r="E38" s="60">
        <f t="shared" si="5"/>
        <v>16.699592322846428</v>
      </c>
      <c r="F38" s="61">
        <f t="shared" si="6"/>
        <v>21.203572883558031</v>
      </c>
      <c r="G38" s="62">
        <f>'[1]cálculos teóricos'!T245</f>
        <v>29.659643693014726</v>
      </c>
      <c r="H38" s="75">
        <f t="shared" si="7"/>
        <v>71.489641288414333</v>
      </c>
      <c r="I38" s="206"/>
      <c r="J38" s="82">
        <v>0.3</v>
      </c>
      <c r="K38" s="81">
        <v>1</v>
      </c>
      <c r="L38" s="81">
        <v>1</v>
      </c>
      <c r="M38" s="81">
        <v>1</v>
      </c>
      <c r="N38" s="81">
        <v>1</v>
      </c>
      <c r="O38" s="78">
        <v>1</v>
      </c>
      <c r="P38" s="82">
        <v>1</v>
      </c>
      <c r="Q38" s="81">
        <v>1</v>
      </c>
      <c r="R38" s="81">
        <v>1</v>
      </c>
      <c r="S38" s="81">
        <v>1</v>
      </c>
      <c r="T38" s="81">
        <v>1</v>
      </c>
      <c r="U38" s="81"/>
      <c r="V38" s="78"/>
      <c r="W38" s="59">
        <f t="shared" si="0"/>
        <v>5.3</v>
      </c>
      <c r="X38" s="117">
        <f>SUM(P38:V38)</f>
        <v>5</v>
      </c>
      <c r="Y38" s="70">
        <f>W38+X38</f>
        <v>10.3</v>
      </c>
      <c r="Z38" s="71">
        <f>'[1]cálculos teóricos'!I245</f>
        <v>11.452378479954556</v>
      </c>
      <c r="AA38" s="72">
        <f t="shared" si="3"/>
        <v>89.937649354048176</v>
      </c>
      <c r="AB38" s="3"/>
    </row>
    <row r="39" spans="1:28" ht="18" customHeight="1" thickBot="1">
      <c r="A39" s="86">
        <v>31</v>
      </c>
      <c r="B39" s="87">
        <v>28.2</v>
      </c>
      <c r="C39" s="88">
        <f>'[1]cálculos teóricos'!K246</f>
        <v>0.99325290686551726</v>
      </c>
      <c r="D39" s="89">
        <f t="shared" si="4"/>
        <v>407.9197315976341</v>
      </c>
      <c r="E39" s="90">
        <f t="shared" si="5"/>
        <v>17.078783322529745</v>
      </c>
      <c r="F39" s="91">
        <f t="shared" si="6"/>
        <v>21.677561633162181</v>
      </c>
      <c r="G39" s="92">
        <f>'[1]cálculos teóricos'!T246</f>
        <v>29.843536807081268</v>
      </c>
      <c r="H39" s="93">
        <f t="shared" si="7"/>
        <v>72.637374629197879</v>
      </c>
      <c r="I39" s="207"/>
      <c r="J39" s="82"/>
      <c r="K39" s="81">
        <v>0.4</v>
      </c>
      <c r="L39" s="81">
        <v>1</v>
      </c>
      <c r="M39" s="81">
        <v>1</v>
      </c>
      <c r="N39" s="81">
        <v>1</v>
      </c>
      <c r="O39" s="208">
        <v>1</v>
      </c>
      <c r="P39" s="82">
        <v>1</v>
      </c>
      <c r="Q39" s="81">
        <v>1</v>
      </c>
      <c r="R39" s="81">
        <v>1</v>
      </c>
      <c r="S39" s="81">
        <v>1</v>
      </c>
      <c r="T39" s="81">
        <v>1</v>
      </c>
      <c r="U39" s="81">
        <v>0.2</v>
      </c>
      <c r="V39" s="78"/>
      <c r="W39" s="209">
        <f t="shared" si="0"/>
        <v>4.4000000000000004</v>
      </c>
      <c r="X39" s="125">
        <f>SUM(P39:V39)</f>
        <v>5.2</v>
      </c>
      <c r="Y39" s="126">
        <f>W39+X39</f>
        <v>9.6000000000000014</v>
      </c>
      <c r="Z39" s="100">
        <f>'[1]cálculos teóricos'!I246</f>
        <v>11.473812557151932</v>
      </c>
      <c r="AA39" s="101">
        <f t="shared" si="3"/>
        <v>83.668788837029297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30">
        <f>SUM(I9:I39)</f>
        <v>0</v>
      </c>
      <c r="J40" s="130">
        <f t="shared" ref="J40:AA40" si="8">SUM(J9:J39)</f>
        <v>2</v>
      </c>
      <c r="K40" s="130">
        <f t="shared" si="8"/>
        <v>17.600000000000001</v>
      </c>
      <c r="L40" s="130">
        <f t="shared" si="8"/>
        <v>23.299999999999997</v>
      </c>
      <c r="M40" s="130">
        <f t="shared" si="8"/>
        <v>24.5</v>
      </c>
      <c r="N40" s="130">
        <f t="shared" si="8"/>
        <v>26.1</v>
      </c>
      <c r="O40" s="130">
        <f t="shared" si="8"/>
        <v>26.1</v>
      </c>
      <c r="P40" s="130">
        <f t="shared" si="8"/>
        <v>26.4</v>
      </c>
      <c r="Q40" s="130">
        <f t="shared" si="8"/>
        <v>26.4</v>
      </c>
      <c r="R40" s="130">
        <f t="shared" si="8"/>
        <v>25.900000000000002</v>
      </c>
      <c r="S40" s="130">
        <f t="shared" si="8"/>
        <v>24.499999999999996</v>
      </c>
      <c r="T40" s="130">
        <f t="shared" si="8"/>
        <v>18.2</v>
      </c>
      <c r="U40" s="130">
        <f t="shared" si="8"/>
        <v>0.7</v>
      </c>
      <c r="V40" s="130">
        <f t="shared" si="8"/>
        <v>0</v>
      </c>
      <c r="W40" s="104">
        <f t="shared" si="0"/>
        <v>119.6</v>
      </c>
      <c r="X40" s="104">
        <f>SUM(P40:V40)</f>
        <v>122.10000000000001</v>
      </c>
      <c r="Y40" s="104">
        <f>W40+X40</f>
        <v>241.7</v>
      </c>
      <c r="Z40" s="104">
        <f t="shared" si="8"/>
        <v>346.32135512431353</v>
      </c>
      <c r="AA40" s="104">
        <f t="shared" si="8"/>
        <v>2163.6214725102641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210"/>
      <c r="X41" s="210"/>
      <c r="Y41" s="210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2" width="12.7109375" style="8" customWidth="1"/>
    <col min="3" max="3" width="13.42578125" style="8" customWidth="1"/>
    <col min="4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50"/>
      <c r="S2" s="150"/>
      <c r="T2" s="150"/>
      <c r="U2" s="3"/>
      <c r="V2" s="9" t="s">
        <v>60</v>
      </c>
      <c r="W2" s="3"/>
      <c r="X2" s="109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50"/>
      <c r="E3" s="151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150"/>
      <c r="S3" s="150"/>
      <c r="T3" s="177"/>
      <c r="U3" s="3"/>
      <c r="V3" s="9" t="s">
        <v>63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165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57">
        <v>27.1</v>
      </c>
      <c r="C9" s="74">
        <f>'[1]cálculos teóricos'!K247</f>
        <v>0.99419020541821523</v>
      </c>
      <c r="D9" s="59">
        <f>IF(B9&gt;0,B9*C9*14.25*1.022,-999)</f>
        <v>392.37789343408161</v>
      </c>
      <c r="E9" s="60">
        <f>IF(B9&gt;0,D9*4.1868/100,-999)</f>
        <v>16.428077642298128</v>
      </c>
      <c r="F9" s="61">
        <f>IF(B9&gt;0,(7.86+1.25*D9)*4.1868/100,-999)</f>
        <v>20.864179532872662</v>
      </c>
      <c r="G9" s="62">
        <f>'[1]cálculos teóricos'!T247</f>
        <v>30.02798352557965</v>
      </c>
      <c r="H9" s="63">
        <f>IF(B9&gt;0,100*F9/G9,-999)</f>
        <v>69.482452976235635</v>
      </c>
      <c r="I9" s="64"/>
      <c r="J9" s="64"/>
      <c r="K9" s="167">
        <v>0.9</v>
      </c>
      <c r="L9" s="167">
        <v>1</v>
      </c>
      <c r="M9" s="167">
        <v>1</v>
      </c>
      <c r="N9" s="167">
        <v>1</v>
      </c>
      <c r="O9" s="168">
        <v>1</v>
      </c>
      <c r="P9" s="167">
        <v>1</v>
      </c>
      <c r="Q9" s="167">
        <v>1</v>
      </c>
      <c r="R9" s="167">
        <v>1</v>
      </c>
      <c r="S9" s="167">
        <v>1</v>
      </c>
      <c r="T9" s="64"/>
      <c r="U9" s="64"/>
      <c r="V9" s="211"/>
      <c r="W9" s="59">
        <f t="shared" ref="W9:W38" si="0">SUM(I9:O9)</f>
        <v>4.9000000000000004</v>
      </c>
      <c r="X9" s="117">
        <f>SUM(P9:V9)</f>
        <v>4</v>
      </c>
      <c r="Y9" s="118">
        <f t="shared" ref="Y9:Y16" si="1">W9+X9</f>
        <v>8.9</v>
      </c>
      <c r="Z9" s="71">
        <f>'[1]cálculos teóricos'!I247</f>
        <v>11.495341160479503</v>
      </c>
      <c r="AA9" s="72">
        <f>100*Y9/Z9</f>
        <v>77.42266954718859</v>
      </c>
      <c r="AB9" s="3"/>
    </row>
    <row r="10" spans="1:28" ht="18" customHeight="1">
      <c r="A10" s="111">
        <v>2</v>
      </c>
      <c r="B10" s="57">
        <v>21.2</v>
      </c>
      <c r="C10" s="74">
        <f>'[1]cálculos teóricos'!K248</f>
        <v>0.99512480212680143</v>
      </c>
      <c r="D10" s="59">
        <f>IF(B10&gt;0,B10*C10*14.25*1.022,-999)</f>
        <v>307.24100118240187</v>
      </c>
      <c r="E10" s="60">
        <f>IF(B10&gt;0,D10*4.1868/100,-999)</f>
        <v>12.863566237504802</v>
      </c>
      <c r="F10" s="61">
        <f>IF(B10&gt;0,(7.86+1.25*D10)*4.1868/100,-999)</f>
        <v>16.408540276881002</v>
      </c>
      <c r="G10" s="62">
        <f>'[1]cálculos teóricos'!T248</f>
        <v>30.21291714531624</v>
      </c>
      <c r="H10" s="75">
        <f>IF(B10&gt;0,100*F10/G10,-999)</f>
        <v>54.309685483067419</v>
      </c>
      <c r="I10" s="57"/>
      <c r="J10" s="76"/>
      <c r="K10" s="76"/>
      <c r="L10" s="79"/>
      <c r="M10" s="79">
        <v>0.6</v>
      </c>
      <c r="N10" s="79">
        <v>1</v>
      </c>
      <c r="O10" s="77">
        <v>1</v>
      </c>
      <c r="P10" s="79">
        <v>1</v>
      </c>
      <c r="Q10" s="79">
        <v>1</v>
      </c>
      <c r="R10" s="79"/>
      <c r="S10" s="79"/>
      <c r="T10" s="82"/>
      <c r="U10" s="82"/>
      <c r="V10" s="212"/>
      <c r="W10" s="59">
        <f t="shared" si="0"/>
        <v>2.6</v>
      </c>
      <c r="X10" s="117">
        <f t="shared" ref="X10:X38" si="2">SUM(P10:V10)</f>
        <v>2</v>
      </c>
      <c r="Y10" s="70">
        <f t="shared" si="1"/>
        <v>4.5999999999999996</v>
      </c>
      <c r="Z10" s="71">
        <f>'[1]cálculos teóricos'!I248</f>
        <v>11.516960194014535</v>
      </c>
      <c r="AA10" s="72">
        <f t="shared" ref="AA10:AA38" si="3">100*Y10/Z10</f>
        <v>39.941094894038613</v>
      </c>
      <c r="AB10" s="3"/>
    </row>
    <row r="11" spans="1:28" ht="18" customHeight="1">
      <c r="A11" s="111">
        <v>3</v>
      </c>
      <c r="B11" s="57">
        <v>24.2</v>
      </c>
      <c r="C11" s="74">
        <f>'[1]cálculos teóricos'!K249</f>
        <v>0.99605631287002294</v>
      </c>
      <c r="D11" s="59">
        <f t="shared" ref="D11:D38" si="4">IF(B11&gt;0,B11*C11*14.25*1.022,-999)</f>
        <v>351.04679992207843</v>
      </c>
      <c r="E11" s="60">
        <f t="shared" ref="E11:E38" si="5">IF(B11&gt;0,D11*4.1868/100,-999)</f>
        <v>14.69762741913758</v>
      </c>
      <c r="F11" s="61">
        <f t="shared" ref="F11:F38" si="6">IF(B11&gt;0,(7.86+1.25*D11)*4.1868/100,-999)</f>
        <v>18.701116753921973</v>
      </c>
      <c r="G11" s="62">
        <f>'[1]cálculos teóricos'!T249</f>
        <v>30.398271300830679</v>
      </c>
      <c r="H11" s="75">
        <f t="shared" ref="H11:H38" si="7">IF(B11&gt;0,100*F11/G11,-999)</f>
        <v>61.520329787342007</v>
      </c>
      <c r="I11" s="57"/>
      <c r="J11" s="76"/>
      <c r="K11" s="76"/>
      <c r="L11" s="79">
        <v>0.5</v>
      </c>
      <c r="M11" s="79">
        <v>1</v>
      </c>
      <c r="N11" s="79">
        <v>1</v>
      </c>
      <c r="O11" s="77">
        <v>1</v>
      </c>
      <c r="P11" s="79">
        <v>1</v>
      </c>
      <c r="Q11" s="79">
        <v>1</v>
      </c>
      <c r="R11" s="79">
        <v>1</v>
      </c>
      <c r="S11" s="79">
        <v>1</v>
      </c>
      <c r="T11" s="82">
        <v>0.4</v>
      </c>
      <c r="U11" s="82"/>
      <c r="V11" s="212"/>
      <c r="W11" s="59">
        <f t="shared" si="0"/>
        <v>3.5</v>
      </c>
      <c r="X11" s="117">
        <f t="shared" si="2"/>
        <v>4.4000000000000004</v>
      </c>
      <c r="Y11" s="70">
        <f t="shared" si="1"/>
        <v>7.9</v>
      </c>
      <c r="Z11" s="71">
        <f>'[1]cálculos teóricos'!I249</f>
        <v>11.538665663090258</v>
      </c>
      <c r="AA11" s="72">
        <f t="shared" si="3"/>
        <v>68.465455457908121</v>
      </c>
      <c r="AB11" s="3"/>
    </row>
    <row r="12" spans="1:28" ht="18" customHeight="1">
      <c r="A12" s="111">
        <v>4</v>
      </c>
      <c r="B12" s="57">
        <v>27.1</v>
      </c>
      <c r="C12" s="74">
        <f>'[1]cálculos teóricos'!K250</f>
        <v>0.99698436107380495</v>
      </c>
      <c r="D12" s="59">
        <f t="shared" si="4"/>
        <v>393.48066522170558</v>
      </c>
      <c r="E12" s="60">
        <f t="shared" si="5"/>
        <v>16.474248491502369</v>
      </c>
      <c r="F12" s="61">
        <f t="shared" si="6"/>
        <v>20.92189309437796</v>
      </c>
      <c r="G12" s="62">
        <f>'[1]cálculos teóricos'!T250</f>
        <v>30.583979985672055</v>
      </c>
      <c r="H12" s="75">
        <f t="shared" si="7"/>
        <v>68.408013293820559</v>
      </c>
      <c r="I12" s="57"/>
      <c r="J12" s="76">
        <v>0.3</v>
      </c>
      <c r="K12" s="76">
        <v>1</v>
      </c>
      <c r="L12" s="79">
        <v>1</v>
      </c>
      <c r="M12" s="79">
        <v>1</v>
      </c>
      <c r="N12" s="79">
        <v>1</v>
      </c>
      <c r="O12" s="77">
        <v>1</v>
      </c>
      <c r="P12" s="79">
        <v>1</v>
      </c>
      <c r="Q12" s="79">
        <v>1</v>
      </c>
      <c r="R12" s="79">
        <v>1</v>
      </c>
      <c r="S12" s="79">
        <v>1</v>
      </c>
      <c r="T12" s="82">
        <v>0.4</v>
      </c>
      <c r="U12" s="82"/>
      <c r="V12" s="212"/>
      <c r="W12" s="59">
        <f t="shared" si="0"/>
        <v>5.3</v>
      </c>
      <c r="X12" s="117">
        <f t="shared" si="2"/>
        <v>4.4000000000000004</v>
      </c>
      <c r="Y12" s="70">
        <f t="shared" si="1"/>
        <v>9.6999999999999993</v>
      </c>
      <c r="Z12" s="71">
        <f>'[1]cálculos teóricos'!I250</f>
        <v>11.560453670157653</v>
      </c>
      <c r="AA12" s="72">
        <f t="shared" si="3"/>
        <v>83.906741696822337</v>
      </c>
      <c r="AB12" s="3"/>
    </row>
    <row r="13" spans="1:28" ht="18" customHeight="1">
      <c r="A13" s="73">
        <v>5</v>
      </c>
      <c r="B13" s="57">
        <v>21</v>
      </c>
      <c r="C13" s="74">
        <f>'[1]cálculos teóricos'!K251</f>
        <v>0.99790857778799535</v>
      </c>
      <c r="D13" s="59">
        <f t="shared" si="4"/>
        <v>305.19387302492493</v>
      </c>
      <c r="E13" s="60">
        <f t="shared" si="5"/>
        <v>12.777857075807555</v>
      </c>
      <c r="F13" s="61">
        <f t="shared" si="6"/>
        <v>16.301403824759447</v>
      </c>
      <c r="G13" s="62">
        <f>'[1]cálculos teóricos'!T251</f>
        <v>30.769977572999139</v>
      </c>
      <c r="H13" s="75">
        <f t="shared" si="7"/>
        <v>52.978276588228773</v>
      </c>
      <c r="I13" s="57"/>
      <c r="J13" s="76"/>
      <c r="K13" s="76">
        <v>0.4</v>
      </c>
      <c r="L13" s="76">
        <v>0.5</v>
      </c>
      <c r="M13" s="76"/>
      <c r="N13" s="76">
        <v>0.5</v>
      </c>
      <c r="O13" s="77">
        <v>0.7</v>
      </c>
      <c r="P13" s="79">
        <v>1</v>
      </c>
      <c r="Q13" s="79">
        <v>1</v>
      </c>
      <c r="R13" s="76">
        <v>1</v>
      </c>
      <c r="S13" s="76">
        <v>0.8</v>
      </c>
      <c r="T13" s="76"/>
      <c r="U13" s="82"/>
      <c r="V13" s="212"/>
      <c r="W13" s="59">
        <f t="shared" si="0"/>
        <v>2.0999999999999996</v>
      </c>
      <c r="X13" s="117">
        <f t="shared" si="2"/>
        <v>3.8</v>
      </c>
      <c r="Y13" s="70">
        <f t="shared" si="1"/>
        <v>5.8999999999999995</v>
      </c>
      <c r="Z13" s="71">
        <f>'[1]cálculos teóricos'!I251</f>
        <v>11.582320410445583</v>
      </c>
      <c r="AA13" s="72">
        <f t="shared" si="3"/>
        <v>50.939706301675535</v>
      </c>
      <c r="AB13" s="3"/>
    </row>
    <row r="14" spans="1:28" ht="18" customHeight="1">
      <c r="A14" s="111">
        <v>6</v>
      </c>
      <c r="B14" s="57">
        <v>12.9</v>
      </c>
      <c r="C14" s="74">
        <f>'[1]cálculos teóricos'!K252</f>
        <v>0.99882860175493227</v>
      </c>
      <c r="D14" s="59">
        <f t="shared" si="4"/>
        <v>187.64908040738763</v>
      </c>
      <c r="E14" s="60">
        <f t="shared" si="5"/>
        <v>7.8564916984965052</v>
      </c>
      <c r="F14" s="61">
        <f t="shared" si="6"/>
        <v>10.149697103120632</v>
      </c>
      <c r="G14" s="62">
        <f>'[1]cálculos teóricos'!T252</f>
        <v>30.956198835564976</v>
      </c>
      <c r="H14" s="75">
        <f t="shared" si="7"/>
        <v>32.787284889318649</v>
      </c>
      <c r="I14" s="57"/>
      <c r="J14" s="76"/>
      <c r="K14" s="76"/>
      <c r="L14" s="76"/>
      <c r="M14" s="76"/>
      <c r="N14" s="76"/>
      <c r="O14" s="77"/>
      <c r="P14" s="79"/>
      <c r="Q14" s="79">
        <v>0.5</v>
      </c>
      <c r="R14" s="76"/>
      <c r="S14" s="76"/>
      <c r="T14" s="76"/>
      <c r="U14" s="82"/>
      <c r="V14" s="212"/>
      <c r="W14" s="59">
        <f t="shared" si="0"/>
        <v>0</v>
      </c>
      <c r="X14" s="117">
        <f t="shared" si="2"/>
        <v>0.5</v>
      </c>
      <c r="Y14" s="70">
        <f t="shared" si="1"/>
        <v>0.5</v>
      </c>
      <c r="Z14" s="71">
        <f>'[1]cálculos teóricos'!I252</f>
        <v>11.604262167431463</v>
      </c>
      <c r="AA14" s="72">
        <f t="shared" si="3"/>
        <v>4.3087616669270075</v>
      </c>
      <c r="AB14" s="3"/>
    </row>
    <row r="15" spans="1:28" ht="18" customHeight="1">
      <c r="A15" s="73">
        <v>7</v>
      </c>
      <c r="B15" s="57">
        <v>22.5</v>
      </c>
      <c r="C15" s="74">
        <f>'[1]cálculos teóricos'!K253</f>
        <v>0.99974407947051991</v>
      </c>
      <c r="D15" s="59">
        <f t="shared" si="4"/>
        <v>327.5948902808006</v>
      </c>
      <c r="E15" s="60">
        <f t="shared" si="5"/>
        <v>13.71574286627656</v>
      </c>
      <c r="F15" s="61">
        <f t="shared" si="6"/>
        <v>17.4737610628457</v>
      </c>
      <c r="G15" s="62">
        <f>'[1]cálculos teóricos'!T253</f>
        <v>31.142578965148473</v>
      </c>
      <c r="H15" s="75">
        <f t="shared" si="7"/>
        <v>56.108908264792426</v>
      </c>
      <c r="I15" s="57"/>
      <c r="J15" s="76"/>
      <c r="K15" s="76"/>
      <c r="L15" s="76">
        <v>0.4</v>
      </c>
      <c r="M15" s="76">
        <v>1</v>
      </c>
      <c r="N15" s="76">
        <v>1</v>
      </c>
      <c r="O15" s="77">
        <v>1</v>
      </c>
      <c r="P15" s="79">
        <v>1</v>
      </c>
      <c r="Q15" s="79">
        <v>1</v>
      </c>
      <c r="R15" s="76">
        <v>1</v>
      </c>
      <c r="S15" s="76">
        <v>0.9</v>
      </c>
      <c r="T15" s="82"/>
      <c r="U15" s="82"/>
      <c r="V15" s="212"/>
      <c r="W15" s="59">
        <f t="shared" si="0"/>
        <v>3.4</v>
      </c>
      <c r="X15" s="117">
        <f t="shared" si="2"/>
        <v>3.9</v>
      </c>
      <c r="Y15" s="70">
        <f t="shared" si="1"/>
        <v>7.3</v>
      </c>
      <c r="Z15" s="71">
        <f>'[1]cálculos teóricos'!I253</f>
        <v>11.626275308134208</v>
      </c>
      <c r="AA15" s="72">
        <f t="shared" si="3"/>
        <v>62.788810745713441</v>
      </c>
      <c r="AB15" s="3"/>
    </row>
    <row r="16" spans="1:28" ht="18" customHeight="1">
      <c r="A16" s="80">
        <v>8</v>
      </c>
      <c r="B16" s="76">
        <v>22.4</v>
      </c>
      <c r="C16" s="74">
        <f>'[1]cálculos teóricos'!K254</f>
        <v>1.0006546652384873</v>
      </c>
      <c r="D16" s="59">
        <f t="shared" si="4"/>
        <v>326.43596646529591</v>
      </c>
      <c r="E16" s="60">
        <f t="shared" si="5"/>
        <v>13.667221043969009</v>
      </c>
      <c r="F16" s="61">
        <f t="shared" si="6"/>
        <v>17.413108784961263</v>
      </c>
      <c r="G16" s="62">
        <f>'[1]cálculos teóricos'!T254</f>
        <v>31.329053591497956</v>
      </c>
      <c r="H16" s="75">
        <f t="shared" si="7"/>
        <v>55.581343158373649</v>
      </c>
      <c r="I16" s="79"/>
      <c r="J16" s="81"/>
      <c r="K16" s="81">
        <v>0.5</v>
      </c>
      <c r="L16" s="81">
        <v>1</v>
      </c>
      <c r="M16" s="81">
        <v>1</v>
      </c>
      <c r="N16" s="81">
        <v>1</v>
      </c>
      <c r="O16" s="78">
        <v>1</v>
      </c>
      <c r="P16" s="82">
        <v>1</v>
      </c>
      <c r="Q16" s="82">
        <v>1</v>
      </c>
      <c r="R16" s="81">
        <v>1</v>
      </c>
      <c r="S16" s="81">
        <v>0.5</v>
      </c>
      <c r="T16" s="81"/>
      <c r="U16" s="81"/>
      <c r="V16" s="212"/>
      <c r="W16" s="59">
        <f t="shared" si="0"/>
        <v>4.5</v>
      </c>
      <c r="X16" s="117">
        <f t="shared" si="2"/>
        <v>3.5</v>
      </c>
      <c r="Y16" s="70">
        <f t="shared" si="1"/>
        <v>8</v>
      </c>
      <c r="Z16" s="71">
        <f>'[1]cálculos teóricos'!I254</f>
        <v>11.648356278240907</v>
      </c>
      <c r="AA16" s="72">
        <f t="shared" si="3"/>
        <v>68.679217984978493</v>
      </c>
      <c r="AB16" s="3"/>
    </row>
    <row r="17" spans="1:28" ht="18" customHeight="1">
      <c r="A17" s="80">
        <v>9</v>
      </c>
      <c r="B17" s="76">
        <v>23.4</v>
      </c>
      <c r="C17" s="74">
        <f>'[1]cálculos teóricos'!K255</f>
        <v>1.0015600212185085</v>
      </c>
      <c r="D17" s="59">
        <f t="shared" si="4"/>
        <v>341.31753323496855</v>
      </c>
      <c r="E17" s="60">
        <f t="shared" si="5"/>
        <v>14.290282481481663</v>
      </c>
      <c r="F17" s="61">
        <f t="shared" si="6"/>
        <v>18.191935581852078</v>
      </c>
      <c r="G17" s="62">
        <f>'[1]cálculos teóricos'!T255</f>
        <v>31.515558800853107</v>
      </c>
      <c r="H17" s="75">
        <f t="shared" si="7"/>
        <v>57.723664989749871</v>
      </c>
      <c r="I17" s="79"/>
      <c r="J17" s="81"/>
      <c r="K17" s="81">
        <v>0.7</v>
      </c>
      <c r="L17" s="81">
        <v>1</v>
      </c>
      <c r="M17" s="81">
        <v>1</v>
      </c>
      <c r="N17" s="81">
        <v>1</v>
      </c>
      <c r="O17" s="78">
        <v>1</v>
      </c>
      <c r="P17" s="82">
        <v>1</v>
      </c>
      <c r="Q17" s="82">
        <v>1</v>
      </c>
      <c r="R17" s="81">
        <v>1</v>
      </c>
      <c r="S17" s="81">
        <v>1</v>
      </c>
      <c r="T17" s="81">
        <v>0.5</v>
      </c>
      <c r="U17" s="81"/>
      <c r="V17" s="212"/>
      <c r="W17" s="59">
        <f t="shared" si="0"/>
        <v>4.7</v>
      </c>
      <c r="X17" s="117">
        <f t="shared" si="2"/>
        <v>4.5</v>
      </c>
      <c r="Y17" s="70">
        <f>W17+X17</f>
        <v>9.1999999999999993</v>
      </c>
      <c r="Z17" s="71">
        <f>'[1]cálculos teóricos'!I255</f>
        <v>11.670501597078111</v>
      </c>
      <c r="AA17" s="72">
        <f t="shared" si="3"/>
        <v>78.831230375765173</v>
      </c>
      <c r="AB17" s="3"/>
    </row>
    <row r="18" spans="1:28" ht="18" customHeight="1">
      <c r="A18" s="80">
        <v>10</v>
      </c>
      <c r="B18" s="76">
        <v>25.2</v>
      </c>
      <c r="C18" s="74">
        <f>'[1]cálculos teóricos'!K256</f>
        <v>1.0024598174688395</v>
      </c>
      <c r="D18" s="59">
        <f t="shared" si="4"/>
        <v>367.90295350302756</v>
      </c>
      <c r="E18" s="60">
        <f t="shared" si="5"/>
        <v>15.403360857264756</v>
      </c>
      <c r="F18" s="61">
        <f t="shared" si="6"/>
        <v>19.583283551580948</v>
      </c>
      <c r="G18" s="62">
        <f>'[1]cálculos teóricos'!T256</f>
        <v>31.702031154112685</v>
      </c>
      <c r="H18" s="75">
        <f t="shared" si="7"/>
        <v>61.772961664131167</v>
      </c>
      <c r="I18" s="79"/>
      <c r="J18" s="81"/>
      <c r="K18" s="81">
        <v>0.7</v>
      </c>
      <c r="L18" s="81">
        <v>1</v>
      </c>
      <c r="M18" s="81">
        <v>1</v>
      </c>
      <c r="N18" s="81">
        <v>1</v>
      </c>
      <c r="O18" s="78">
        <v>1</v>
      </c>
      <c r="P18" s="82">
        <v>1</v>
      </c>
      <c r="Q18" s="82">
        <v>1</v>
      </c>
      <c r="R18" s="81">
        <v>0.9</v>
      </c>
      <c r="S18" s="81">
        <v>0.4</v>
      </c>
      <c r="T18" s="81"/>
      <c r="U18" s="81"/>
      <c r="V18" s="212"/>
      <c r="W18" s="59">
        <f t="shared" si="0"/>
        <v>4.7</v>
      </c>
      <c r="X18" s="117">
        <f t="shared" si="2"/>
        <v>3.3</v>
      </c>
      <c r="Y18" s="70">
        <f>W18+X18</f>
        <v>8</v>
      </c>
      <c r="Z18" s="71">
        <f>'[1]cálculos teóricos'!I256</f>
        <v>11.692707852438252</v>
      </c>
      <c r="AA18" s="72">
        <f t="shared" si="3"/>
        <v>68.418711054443904</v>
      </c>
      <c r="AB18" s="3"/>
    </row>
    <row r="19" spans="1:28" ht="18" customHeight="1">
      <c r="A19" s="85">
        <v>11</v>
      </c>
      <c r="B19" s="76">
        <v>25.3</v>
      </c>
      <c r="C19" s="74">
        <f>'[1]cálculos teóricos'!K257</f>
        <v>1.0033537319841259</v>
      </c>
      <c r="D19" s="59">
        <f t="shared" si="4"/>
        <v>369.69225451649567</v>
      </c>
      <c r="E19" s="60">
        <f t="shared" si="5"/>
        <v>15.478275312096638</v>
      </c>
      <c r="F19" s="61">
        <f t="shared" si="6"/>
        <v>19.676926620120799</v>
      </c>
      <c r="G19" s="62">
        <f>'[1]cálculos teóricos'!T257</f>
        <v>31.888407704716052</v>
      </c>
      <c r="H19" s="75">
        <f t="shared" si="7"/>
        <v>61.705579037772814</v>
      </c>
      <c r="I19" s="79"/>
      <c r="J19" s="81">
        <v>0.3</v>
      </c>
      <c r="K19" s="81">
        <v>1</v>
      </c>
      <c r="L19" s="81">
        <v>1</v>
      </c>
      <c r="M19" s="81">
        <v>1</v>
      </c>
      <c r="N19" s="81">
        <v>1</v>
      </c>
      <c r="O19" s="78">
        <v>1</v>
      </c>
      <c r="P19" s="82">
        <v>1</v>
      </c>
      <c r="Q19" s="82">
        <v>0.9</v>
      </c>
      <c r="R19" s="81">
        <v>0.3</v>
      </c>
      <c r="S19" s="81">
        <v>0.5</v>
      </c>
      <c r="T19" s="81">
        <v>0.9</v>
      </c>
      <c r="U19" s="81"/>
      <c r="V19" s="212"/>
      <c r="W19" s="59">
        <f t="shared" si="0"/>
        <v>5.3</v>
      </c>
      <c r="X19" s="117">
        <f t="shared" si="2"/>
        <v>3.5999999999999996</v>
      </c>
      <c r="Y19" s="70">
        <f t="shared" ref="Y19:Y38" si="8">W19+X19</f>
        <v>8.8999999999999986</v>
      </c>
      <c r="Z19" s="71">
        <f>'[1]cálculos teóricos'!I257</f>
        <v>11.714971695271378</v>
      </c>
      <c r="AA19" s="72">
        <f t="shared" si="3"/>
        <v>75.971160934109534</v>
      </c>
      <c r="AB19" s="3"/>
    </row>
    <row r="20" spans="1:28" ht="18" customHeight="1">
      <c r="A20" s="80">
        <v>12</v>
      </c>
      <c r="B20" s="76">
        <v>28.4</v>
      </c>
      <c r="C20" s="74">
        <f>'[1]cálculos teóricos'!K258</f>
        <v>1.0042414507290078</v>
      </c>
      <c r="D20" s="59">
        <f t="shared" si="4"/>
        <v>415.35767844245009</v>
      </c>
      <c r="E20" s="60">
        <f t="shared" si="5"/>
        <v>17.3901952810285</v>
      </c>
      <c r="F20" s="61">
        <f t="shared" si="6"/>
        <v>22.066826581285628</v>
      </c>
      <c r="G20" s="62">
        <f>'[1]cálculos teóricos'!T258</f>
        <v>32.074626016306389</v>
      </c>
      <c r="H20" s="75">
        <f t="shared" si="7"/>
        <v>68.798390884018701</v>
      </c>
      <c r="I20" s="79"/>
      <c r="J20" s="81">
        <v>0.3</v>
      </c>
      <c r="K20" s="81">
        <v>1</v>
      </c>
      <c r="L20" s="81">
        <v>1</v>
      </c>
      <c r="M20" s="81">
        <v>1</v>
      </c>
      <c r="N20" s="81">
        <v>1</v>
      </c>
      <c r="O20" s="78">
        <v>1</v>
      </c>
      <c r="P20" s="82">
        <v>1</v>
      </c>
      <c r="Q20" s="82">
        <v>1</v>
      </c>
      <c r="R20" s="81">
        <v>1</v>
      </c>
      <c r="S20" s="81">
        <v>1</v>
      </c>
      <c r="T20" s="81">
        <v>1</v>
      </c>
      <c r="U20" s="81">
        <v>0.1</v>
      </c>
      <c r="V20" s="212"/>
      <c r="W20" s="59">
        <f t="shared" si="0"/>
        <v>5.3</v>
      </c>
      <c r="X20" s="117">
        <f t="shared" si="2"/>
        <v>5.0999999999999996</v>
      </c>
      <c r="Y20" s="70">
        <f t="shared" si="8"/>
        <v>10.399999999999999</v>
      </c>
      <c r="Z20" s="71">
        <f>'[1]cálculos teóricos'!I258</f>
        <v>11.737289834251907</v>
      </c>
      <c r="AA20" s="72">
        <f t="shared" si="3"/>
        <v>88.606485371525778</v>
      </c>
      <c r="AB20" s="3"/>
    </row>
    <row r="21" spans="1:28" ht="18" customHeight="1">
      <c r="A21" s="80">
        <v>13</v>
      </c>
      <c r="B21" s="76">
        <v>25.5</v>
      </c>
      <c r="C21" s="74">
        <f>'[1]cálculos teóricos'!K259</f>
        <v>1.0051226676681373</v>
      </c>
      <c r="D21" s="59">
        <f t="shared" si="4"/>
        <v>373.27165124991541</v>
      </c>
      <c r="E21" s="60">
        <f t="shared" si="5"/>
        <v>15.628137494531458</v>
      </c>
      <c r="F21" s="61">
        <f t="shared" si="6"/>
        <v>19.864254348164323</v>
      </c>
      <c r="G21" s="62">
        <f>'[1]cálculos teóricos'!T259</f>
        <v>32.260624180242964</v>
      </c>
      <c r="H21" s="75">
        <f t="shared" si="7"/>
        <v>61.574302583796815</v>
      </c>
      <c r="I21" s="79"/>
      <c r="J21" s="81">
        <v>0.1</v>
      </c>
      <c r="K21" s="81">
        <v>0.9</v>
      </c>
      <c r="L21" s="81">
        <v>1</v>
      </c>
      <c r="M21" s="81">
        <v>1</v>
      </c>
      <c r="N21" s="81">
        <v>1</v>
      </c>
      <c r="O21" s="78">
        <v>1</v>
      </c>
      <c r="P21" s="82">
        <v>1</v>
      </c>
      <c r="Q21" s="82">
        <v>1</v>
      </c>
      <c r="R21" s="81">
        <v>1</v>
      </c>
      <c r="S21" s="81">
        <v>1</v>
      </c>
      <c r="T21" s="81">
        <v>0.4</v>
      </c>
      <c r="U21" s="81"/>
      <c r="V21" s="212"/>
      <c r="W21" s="59">
        <f t="shared" si="0"/>
        <v>5</v>
      </c>
      <c r="X21" s="117">
        <f t="shared" si="2"/>
        <v>4.4000000000000004</v>
      </c>
      <c r="Y21" s="70">
        <f t="shared" si="8"/>
        <v>9.4</v>
      </c>
      <c r="Z21" s="71">
        <f>'[1]cálculos teóricos'!I259</f>
        <v>11.759659030229781</v>
      </c>
      <c r="AA21" s="72">
        <f t="shared" si="3"/>
        <v>79.934290406176231</v>
      </c>
      <c r="AB21" s="3"/>
    </row>
    <row r="22" spans="1:28" ht="18" customHeight="1">
      <c r="A22" s="80">
        <v>14</v>
      </c>
      <c r="B22" s="76">
        <v>22.6</v>
      </c>
      <c r="C22" s="74">
        <f>'[1]cálculos teóricos'!K260</f>
        <v>1.0059970847931912</v>
      </c>
      <c r="D22" s="59">
        <f t="shared" si="4"/>
        <v>331.10895110311549</v>
      </c>
      <c r="E22" s="60">
        <f t="shared" si="5"/>
        <v>13.862869564785239</v>
      </c>
      <c r="F22" s="61">
        <f t="shared" si="6"/>
        <v>17.65766943598155</v>
      </c>
      <c r="G22" s="62">
        <f>'[1]cálculos teóricos'!T260</f>
        <v>32.446340833028621</v>
      </c>
      <c r="H22" s="75">
        <f t="shared" si="7"/>
        <v>54.421142670137385</v>
      </c>
      <c r="I22" s="79"/>
      <c r="J22" s="81"/>
      <c r="K22" s="81">
        <v>0.8</v>
      </c>
      <c r="L22" s="81">
        <v>0.9</v>
      </c>
      <c r="M22" s="81">
        <v>1</v>
      </c>
      <c r="N22" s="81">
        <v>1</v>
      </c>
      <c r="O22" s="78">
        <v>1</v>
      </c>
      <c r="P22" s="82">
        <v>1</v>
      </c>
      <c r="Q22" s="81">
        <v>0.7</v>
      </c>
      <c r="R22" s="81">
        <v>0.1</v>
      </c>
      <c r="S22" s="81"/>
      <c r="T22" s="81"/>
      <c r="U22" s="81"/>
      <c r="V22" s="212"/>
      <c r="W22" s="59">
        <f t="shared" si="0"/>
        <v>4.7</v>
      </c>
      <c r="X22" s="117">
        <f t="shared" si="2"/>
        <v>1.8</v>
      </c>
      <c r="Y22" s="70">
        <f t="shared" si="8"/>
        <v>6.5</v>
      </c>
      <c r="Z22" s="71">
        <f>'[1]cálculos teóricos'!I260</f>
        <v>11.782076090575021</v>
      </c>
      <c r="AA22" s="72">
        <f t="shared" si="3"/>
        <v>55.168545424686435</v>
      </c>
      <c r="AB22" s="3"/>
    </row>
    <row r="23" spans="1:28" ht="18" customHeight="1">
      <c r="A23" s="80">
        <v>15</v>
      </c>
      <c r="B23" s="76">
        <v>8.3000000000000007</v>
      </c>
      <c r="C23" s="74">
        <f>'[1]cálculos teóricos'!K261</f>
        <v>1.0068644121474433</v>
      </c>
      <c r="D23" s="59">
        <f t="shared" si="4"/>
        <v>121.70679989036712</v>
      </c>
      <c r="E23" s="60">
        <f t="shared" si="5"/>
        <v>5.0956202978098908</v>
      </c>
      <c r="F23" s="61">
        <f t="shared" si="6"/>
        <v>6.6986078522623629</v>
      </c>
      <c r="G23" s="62">
        <f>'[1]cálculos teóricos'!T261</f>
        <v>32.63171517371709</v>
      </c>
      <c r="H23" s="75">
        <f t="shared" si="7"/>
        <v>20.527906107913367</v>
      </c>
      <c r="I23" s="79"/>
      <c r="J23" s="81"/>
      <c r="K23" s="81"/>
      <c r="L23" s="81"/>
      <c r="M23" s="81"/>
      <c r="N23" s="81"/>
      <c r="O23" s="78">
        <v>0.1</v>
      </c>
      <c r="P23" s="82">
        <v>0.1</v>
      </c>
      <c r="Q23" s="81"/>
      <c r="R23" s="81"/>
      <c r="S23" s="81"/>
      <c r="T23" s="81"/>
      <c r="U23" s="81"/>
      <c r="V23" s="212"/>
      <c r="W23" s="59">
        <f t="shared" si="0"/>
        <v>0.1</v>
      </c>
      <c r="X23" s="117">
        <f t="shared" si="2"/>
        <v>0.1</v>
      </c>
      <c r="Y23" s="70">
        <f t="shared" si="8"/>
        <v>0.2</v>
      </c>
      <c r="Z23" s="71">
        <f>'[1]cálculos teóricos'!I261</f>
        <v>11.804537863424434</v>
      </c>
      <c r="AA23" s="72">
        <f t="shared" si="3"/>
        <v>1.6942637002307945</v>
      </c>
      <c r="AB23" s="3"/>
    </row>
    <row r="24" spans="1:28" ht="18" customHeight="1">
      <c r="A24" s="80">
        <v>16</v>
      </c>
      <c r="B24" s="189">
        <v>-99</v>
      </c>
      <c r="C24" s="74">
        <f>'[1]cálculos teóricos'!K262</f>
        <v>1.0077243678484233</v>
      </c>
      <c r="D24" s="59">
        <f t="shared" si="4"/>
        <v>-999</v>
      </c>
      <c r="E24" s="60">
        <f t="shared" si="5"/>
        <v>-999</v>
      </c>
      <c r="F24" s="61">
        <f t="shared" si="6"/>
        <v>-999</v>
      </c>
      <c r="G24" s="62">
        <f>'[1]cálculos teóricos'!T262</f>
        <v>32.816686981362338</v>
      </c>
      <c r="H24" s="75">
        <f t="shared" si="7"/>
        <v>-999</v>
      </c>
      <c r="I24" s="79"/>
      <c r="J24" s="81"/>
      <c r="K24" s="81"/>
      <c r="L24" s="81"/>
      <c r="M24" s="81"/>
      <c r="N24" s="81"/>
      <c r="O24" s="78"/>
      <c r="P24" s="82"/>
      <c r="Q24" s="81"/>
      <c r="R24" s="81"/>
      <c r="S24" s="81"/>
      <c r="T24" s="81"/>
      <c r="U24" s="81"/>
      <c r="V24" s="212"/>
      <c r="W24" s="59">
        <f t="shared" si="0"/>
        <v>0</v>
      </c>
      <c r="X24" s="117">
        <f t="shared" si="2"/>
        <v>0</v>
      </c>
      <c r="Y24" s="70">
        <f t="shared" si="8"/>
        <v>0</v>
      </c>
      <c r="Z24" s="71">
        <f>'[1]cálculos teóricos'!I262</f>
        <v>11.827041231838793</v>
      </c>
      <c r="AA24" s="72">
        <f t="shared" si="3"/>
        <v>0</v>
      </c>
      <c r="AB24" s="3"/>
    </row>
    <row r="25" spans="1:28" ht="18" customHeight="1">
      <c r="A25" s="80">
        <v>17</v>
      </c>
      <c r="B25" s="76">
        <v>10.8</v>
      </c>
      <c r="C25" s="74">
        <f>'[1]cálculos teóricos'!K263</f>
        <v>1.0085766781091658</v>
      </c>
      <c r="D25" s="59">
        <f t="shared" si="4"/>
        <v>158.63478967774265</v>
      </c>
      <c r="E25" s="60">
        <f t="shared" si="5"/>
        <v>6.6417213742277283</v>
      </c>
      <c r="F25" s="61">
        <f t="shared" si="6"/>
        <v>8.6312341977846625</v>
      </c>
      <c r="G25" s="62">
        <f>'[1]cálculos teóricos'!T263</f>
        <v>33.001196632569247</v>
      </c>
      <c r="H25" s="75">
        <f t="shared" si="7"/>
        <v>26.154306747975319</v>
      </c>
      <c r="I25" s="79"/>
      <c r="J25" s="81"/>
      <c r="K25" s="81"/>
      <c r="L25" s="81"/>
      <c r="M25" s="81"/>
      <c r="N25" s="81"/>
      <c r="O25" s="78"/>
      <c r="P25" s="82">
        <v>0.4</v>
      </c>
      <c r="Q25" s="81"/>
      <c r="R25" s="81"/>
      <c r="S25" s="81"/>
      <c r="T25" s="81"/>
      <c r="U25" s="81"/>
      <c r="V25" s="212"/>
      <c r="W25" s="59">
        <f t="shared" si="0"/>
        <v>0</v>
      </c>
      <c r="X25" s="117">
        <f t="shared" si="2"/>
        <v>0.4</v>
      </c>
      <c r="Y25" s="70">
        <f t="shared" si="8"/>
        <v>0.4</v>
      </c>
      <c r="Z25" s="71">
        <f>'[1]cálculos teóricos'!I263</f>
        <v>11.849583107878678</v>
      </c>
      <c r="AA25" s="72">
        <f t="shared" si="3"/>
        <v>3.3756461839914329</v>
      </c>
      <c r="AB25" s="3"/>
    </row>
    <row r="26" spans="1:28" ht="18" customHeight="1">
      <c r="A26" s="80">
        <v>18</v>
      </c>
      <c r="B26" s="76">
        <v>14</v>
      </c>
      <c r="C26" s="74">
        <f>'[1]cálculos teóricos'!K264</f>
        <v>1.0094210772585084</v>
      </c>
      <c r="D26" s="59">
        <f t="shared" si="4"/>
        <v>205.80985402116002</v>
      </c>
      <c r="E26" s="60">
        <f t="shared" si="5"/>
        <v>8.6168469681579278</v>
      </c>
      <c r="F26" s="61">
        <f t="shared" si="6"/>
        <v>11.100141190197411</v>
      </c>
      <c r="G26" s="62">
        <f>'[1]cálculos teóricos'!T264</f>
        <v>33.185185119202401</v>
      </c>
      <c r="H26" s="75">
        <f t="shared" si="7"/>
        <v>33.449086242325592</v>
      </c>
      <c r="I26" s="79"/>
      <c r="J26" s="81"/>
      <c r="K26" s="81"/>
      <c r="L26" s="81">
        <v>0.7</v>
      </c>
      <c r="M26" s="81"/>
      <c r="N26" s="81"/>
      <c r="O26" s="78">
        <v>0.2</v>
      </c>
      <c r="P26" s="82">
        <v>0.3</v>
      </c>
      <c r="Q26" s="81"/>
      <c r="R26" s="81">
        <v>0.1</v>
      </c>
      <c r="S26" s="81">
        <v>0.3</v>
      </c>
      <c r="T26" s="81"/>
      <c r="U26" s="81"/>
      <c r="V26" s="212"/>
      <c r="W26" s="59">
        <f t="shared" si="0"/>
        <v>0.89999999999999991</v>
      </c>
      <c r="X26" s="117">
        <f t="shared" si="2"/>
        <v>0.7</v>
      </c>
      <c r="Y26" s="70">
        <f t="shared" si="8"/>
        <v>1.5999999999999999</v>
      </c>
      <c r="Z26" s="71">
        <f>'[1]cálculos teóricos'!I264</f>
        <v>11.872160426606762</v>
      </c>
      <c r="AA26" s="72">
        <f t="shared" si="3"/>
        <v>13.476906835037635</v>
      </c>
      <c r="AB26" s="3"/>
    </row>
    <row r="27" spans="1:28" ht="18" customHeight="1">
      <c r="A27" s="80">
        <v>19</v>
      </c>
      <c r="B27" s="76">
        <v>16.899999999999999</v>
      </c>
      <c r="C27" s="74">
        <f>'[1]cálculos teóricos'!K265</f>
        <v>1.0102573077608699</v>
      </c>
      <c r="D27" s="59">
        <f t="shared" si="4"/>
        <v>248.64771089662472</v>
      </c>
      <c r="E27" s="60">
        <f t="shared" si="5"/>
        <v>10.410382359819883</v>
      </c>
      <c r="F27" s="61">
        <f t="shared" si="6"/>
        <v>13.342060429774856</v>
      </c>
      <c r="G27" s="62">
        <f>'[1]cálculos teóricos'!T265</f>
        <v>33.368594066304397</v>
      </c>
      <c r="H27" s="75">
        <f t="shared" si="7"/>
        <v>39.983885456078198</v>
      </c>
      <c r="I27" s="79"/>
      <c r="J27" s="81"/>
      <c r="K27" s="81"/>
      <c r="L27" s="81">
        <v>0.5</v>
      </c>
      <c r="M27" s="81">
        <v>0.5</v>
      </c>
      <c r="N27" s="81">
        <v>0.1</v>
      </c>
      <c r="O27" s="78">
        <v>0.7</v>
      </c>
      <c r="P27" s="82">
        <v>0.1</v>
      </c>
      <c r="Q27" s="81">
        <v>0.5</v>
      </c>
      <c r="R27" s="81"/>
      <c r="S27" s="81"/>
      <c r="T27" s="81"/>
      <c r="U27" s="81"/>
      <c r="V27" s="212"/>
      <c r="W27" s="59">
        <f t="shared" si="0"/>
        <v>1.8</v>
      </c>
      <c r="X27" s="117">
        <f t="shared" si="2"/>
        <v>0.6</v>
      </c>
      <c r="Y27" s="70">
        <f t="shared" si="8"/>
        <v>2.4</v>
      </c>
      <c r="Z27" s="71">
        <f>'[1]cálculos teóricos'!I265</f>
        <v>11.894770140024326</v>
      </c>
      <c r="AA27" s="72">
        <f t="shared" si="3"/>
        <v>20.176934667483131</v>
      </c>
      <c r="AB27" s="3"/>
    </row>
    <row r="28" spans="1:28" ht="18" customHeight="1">
      <c r="A28" s="80">
        <v>20</v>
      </c>
      <c r="B28" s="76">
        <v>27.3</v>
      </c>
      <c r="C28" s="74">
        <f>'[1]cálculos teóricos'!K266</f>
        <v>1.0110851202358924</v>
      </c>
      <c r="D28" s="59">
        <f t="shared" si="4"/>
        <v>401.99081145556295</v>
      </c>
      <c r="E28" s="60">
        <f t="shared" si="5"/>
        <v>16.830551294021507</v>
      </c>
      <c r="F28" s="61">
        <f t="shared" si="6"/>
        <v>21.367271597526887</v>
      </c>
      <c r="G28" s="62">
        <f>'[1]cálculos teóricos'!T266</f>
        <v>33.551365750272652</v>
      </c>
      <c r="H28" s="75">
        <f t="shared" si="7"/>
        <v>63.68525131455565</v>
      </c>
      <c r="I28" s="79"/>
      <c r="J28" s="81"/>
      <c r="K28" s="81">
        <v>1</v>
      </c>
      <c r="L28" s="81">
        <v>1</v>
      </c>
      <c r="M28" s="81">
        <v>1</v>
      </c>
      <c r="N28" s="81">
        <v>1</v>
      </c>
      <c r="O28" s="78">
        <v>1</v>
      </c>
      <c r="P28" s="82">
        <v>1</v>
      </c>
      <c r="Q28" s="81">
        <v>1</v>
      </c>
      <c r="R28" s="81">
        <v>1</v>
      </c>
      <c r="S28" s="81">
        <v>1</v>
      </c>
      <c r="T28" s="81"/>
      <c r="U28" s="81"/>
      <c r="V28" s="212"/>
      <c r="W28" s="59">
        <f t="shared" si="0"/>
        <v>5</v>
      </c>
      <c r="X28" s="117">
        <f t="shared" si="2"/>
        <v>4</v>
      </c>
      <c r="Y28" s="70">
        <f t="shared" si="8"/>
        <v>9</v>
      </c>
      <c r="Z28" s="71">
        <f>'[1]cálculos teóricos'!I266</f>
        <v>11.917409210949348</v>
      </c>
      <c r="AA28" s="72">
        <f t="shared" si="3"/>
        <v>75.519769781263179</v>
      </c>
      <c r="AB28" s="3"/>
    </row>
    <row r="29" spans="1:28" ht="18" customHeight="1">
      <c r="A29" s="80">
        <v>21</v>
      </c>
      <c r="B29" s="76">
        <v>17.5</v>
      </c>
      <c r="C29" s="74">
        <f>'[1]cálculos teóricos'!K267</f>
        <v>1.0119042734782999</v>
      </c>
      <c r="D29" s="59">
        <f t="shared" si="4"/>
        <v>257.89518801902136</v>
      </c>
      <c r="E29" s="60">
        <f t="shared" si="5"/>
        <v>10.797555731980385</v>
      </c>
      <c r="F29" s="61">
        <f t="shared" si="6"/>
        <v>13.826027144975482</v>
      </c>
      <c r="G29" s="62">
        <f>'[1]cálculos teóricos'!T267</f>
        <v>33.733443117336968</v>
      </c>
      <c r="H29" s="75">
        <f t="shared" si="7"/>
        <v>40.986113089267583</v>
      </c>
      <c r="I29" s="79"/>
      <c r="J29" s="81"/>
      <c r="K29" s="81">
        <v>0.1</v>
      </c>
      <c r="L29" s="81">
        <v>0.7</v>
      </c>
      <c r="M29" s="81">
        <v>1</v>
      </c>
      <c r="N29" s="81">
        <v>0.3</v>
      </c>
      <c r="O29" s="78"/>
      <c r="P29" s="82"/>
      <c r="Q29" s="82"/>
      <c r="R29" s="82"/>
      <c r="S29" s="82"/>
      <c r="T29" s="81"/>
      <c r="U29" s="81"/>
      <c r="V29" s="212"/>
      <c r="W29" s="59">
        <f t="shared" si="0"/>
        <v>2.0999999999999996</v>
      </c>
      <c r="X29" s="117">
        <f t="shared" si="2"/>
        <v>0</v>
      </c>
      <c r="Y29" s="70">
        <f t="shared" si="8"/>
        <v>2.0999999999999996</v>
      </c>
      <c r="Z29" s="71">
        <f>'[1]cálculos teóricos'!I267</f>
        <v>11.940074606843586</v>
      </c>
      <c r="AA29" s="72">
        <f t="shared" si="3"/>
        <v>17.58782980130092</v>
      </c>
      <c r="AB29" s="3"/>
    </row>
    <row r="30" spans="1:28" ht="18" customHeight="1">
      <c r="A30" s="80">
        <v>22</v>
      </c>
      <c r="B30" s="76">
        <v>29.2</v>
      </c>
      <c r="C30" s="74">
        <f>'[1]cálculos teóricos'!K268</f>
        <v>1.0127145344782673</v>
      </c>
      <c r="D30" s="59">
        <f t="shared" si="4"/>
        <v>430.66110918792799</v>
      </c>
      <c r="E30" s="60">
        <f t="shared" si="5"/>
        <v>18.030919319480169</v>
      </c>
      <c r="F30" s="61">
        <f t="shared" si="6"/>
        <v>22.867731629350214</v>
      </c>
      <c r="G30" s="62">
        <f>'[1]cálculos teóricos'!T268</f>
        <v>33.914769802376469</v>
      </c>
      <c r="H30" s="75">
        <f t="shared" si="7"/>
        <v>67.427058366021498</v>
      </c>
      <c r="I30" s="79"/>
      <c r="J30" s="81">
        <v>0.3</v>
      </c>
      <c r="K30" s="81">
        <v>1</v>
      </c>
      <c r="L30" s="81">
        <v>1</v>
      </c>
      <c r="M30" s="81">
        <v>1</v>
      </c>
      <c r="N30" s="81">
        <v>1</v>
      </c>
      <c r="O30" s="78">
        <v>1</v>
      </c>
      <c r="P30" s="82">
        <v>1</v>
      </c>
      <c r="Q30" s="81">
        <v>1</v>
      </c>
      <c r="R30" s="81">
        <v>1</v>
      </c>
      <c r="S30" s="81">
        <v>0.8</v>
      </c>
      <c r="T30" s="81">
        <v>1</v>
      </c>
      <c r="U30" s="81"/>
      <c r="V30" s="212"/>
      <c r="W30" s="59">
        <f t="shared" si="0"/>
        <v>5.3</v>
      </c>
      <c r="X30" s="117">
        <f t="shared" si="2"/>
        <v>4.8</v>
      </c>
      <c r="Y30" s="70">
        <f t="shared" si="8"/>
        <v>10.1</v>
      </c>
      <c r="Z30" s="71">
        <f>'[1]cálculos teóricos'!I268</f>
        <v>11.962763293595893</v>
      </c>
      <c r="AA30" s="72">
        <f t="shared" si="3"/>
        <v>84.428653749313099</v>
      </c>
      <c r="AB30" s="3"/>
    </row>
    <row r="31" spans="1:28" ht="18" customHeight="1">
      <c r="A31" s="80">
        <v>23</v>
      </c>
      <c r="B31" s="76">
        <v>30</v>
      </c>
      <c r="C31" s="74">
        <f>'[1]cálculos teóricos'!K269</f>
        <v>1.0135156784425661</v>
      </c>
      <c r="D31" s="59">
        <f t="shared" si="4"/>
        <v>442.81006748994929</v>
      </c>
      <c r="E31" s="60">
        <f t="shared" si="5"/>
        <v>18.539571905669199</v>
      </c>
      <c r="F31" s="61">
        <f t="shared" si="6"/>
        <v>23.503547362086497</v>
      </c>
      <c r="G31" s="62">
        <f>'[1]cálculos teóricos'!T269</f>
        <v>34.095290148107495</v>
      </c>
      <c r="H31" s="75">
        <f t="shared" si="7"/>
        <v>68.934880037649691</v>
      </c>
      <c r="I31" s="79"/>
      <c r="J31" s="81">
        <v>0.1</v>
      </c>
      <c r="K31" s="81">
        <v>1</v>
      </c>
      <c r="L31" s="81">
        <v>1</v>
      </c>
      <c r="M31" s="81">
        <v>1</v>
      </c>
      <c r="N31" s="81">
        <v>1</v>
      </c>
      <c r="O31" s="78">
        <v>1</v>
      </c>
      <c r="P31" s="82">
        <v>1</v>
      </c>
      <c r="Q31" s="81">
        <v>1</v>
      </c>
      <c r="R31" s="81">
        <v>1</v>
      </c>
      <c r="S31" s="81">
        <v>1</v>
      </c>
      <c r="T31" s="81">
        <v>1</v>
      </c>
      <c r="U31" s="81">
        <v>0.5</v>
      </c>
      <c r="V31" s="212"/>
      <c r="W31" s="59">
        <f t="shared" si="0"/>
        <v>5.0999999999999996</v>
      </c>
      <c r="X31" s="117">
        <f t="shared" si="2"/>
        <v>5.5</v>
      </c>
      <c r="Y31" s="70">
        <f t="shared" si="8"/>
        <v>10.6</v>
      </c>
      <c r="Z31" s="71">
        <f>'[1]cálculos teóricos'!I269</f>
        <v>11.985472229268808</v>
      </c>
      <c r="AA31" s="72">
        <f t="shared" si="3"/>
        <v>88.440403492108956</v>
      </c>
      <c r="AB31" s="3"/>
    </row>
    <row r="32" spans="1:28" ht="18" customHeight="1">
      <c r="A32" s="80">
        <v>24</v>
      </c>
      <c r="B32" s="76">
        <v>29.3</v>
      </c>
      <c r="C32" s="74">
        <f>'[1]cálculos teóricos'!K270</f>
        <v>1.0143074888166961</v>
      </c>
      <c r="D32" s="59">
        <f t="shared" si="4"/>
        <v>432.8157064220913</v>
      </c>
      <c r="E32" s="60">
        <f t="shared" si="5"/>
        <v>18.121127996480119</v>
      </c>
      <c r="F32" s="61">
        <f t="shared" si="6"/>
        <v>22.980492475600144</v>
      </c>
      <c r="G32" s="62">
        <f>'[1]cálculos teóricos'!T270</f>
        <v>34.274949224668816</v>
      </c>
      <c r="H32" s="75">
        <f t="shared" si="7"/>
        <v>67.047488020960571</v>
      </c>
      <c r="I32" s="79"/>
      <c r="J32" s="81">
        <v>0.1</v>
      </c>
      <c r="K32" s="81">
        <v>1</v>
      </c>
      <c r="L32" s="81">
        <v>1</v>
      </c>
      <c r="M32" s="81">
        <v>1</v>
      </c>
      <c r="N32" s="81">
        <v>1</v>
      </c>
      <c r="O32" s="78">
        <v>1</v>
      </c>
      <c r="P32" s="82">
        <v>1</v>
      </c>
      <c r="Q32" s="81">
        <v>1</v>
      </c>
      <c r="R32" s="81">
        <v>1</v>
      </c>
      <c r="S32" s="81">
        <v>1</v>
      </c>
      <c r="T32" s="81">
        <v>1</v>
      </c>
      <c r="U32" s="81"/>
      <c r="V32" s="212"/>
      <c r="W32" s="59">
        <f t="shared" si="0"/>
        <v>5.0999999999999996</v>
      </c>
      <c r="X32" s="117">
        <f t="shared" si="2"/>
        <v>5</v>
      </c>
      <c r="Y32" s="70">
        <f t="shared" si="8"/>
        <v>10.1</v>
      </c>
      <c r="Z32" s="71">
        <f>'[1]cálculos teóricos'!I270</f>
        <v>12.008198357815731</v>
      </c>
      <c r="AA32" s="72">
        <f t="shared" si="3"/>
        <v>84.109203554472018</v>
      </c>
      <c r="AB32" s="3"/>
    </row>
    <row r="33" spans="1:28" ht="18" customHeight="1">
      <c r="A33" s="80">
        <v>25</v>
      </c>
      <c r="B33" s="76">
        <v>30</v>
      </c>
      <c r="C33" s="74">
        <f>'[1]cálculos teóricos'!K271</f>
        <v>1.0150897573081683</v>
      </c>
      <c r="D33" s="59">
        <f t="shared" si="4"/>
        <v>443.49779041672531</v>
      </c>
      <c r="E33" s="60">
        <f t="shared" si="5"/>
        <v>18.568365489167455</v>
      </c>
      <c r="F33" s="61">
        <f t="shared" si="6"/>
        <v>23.539539341459317</v>
      </c>
      <c r="G33" s="62">
        <f>'[1]cálculos teóricos'!T271</f>
        <v>34.453692849623536</v>
      </c>
      <c r="H33" s="75">
        <f t="shared" si="7"/>
        <v>68.322253420554674</v>
      </c>
      <c r="I33" s="154"/>
      <c r="J33" s="81">
        <v>0.5</v>
      </c>
      <c r="K33" s="81">
        <v>1</v>
      </c>
      <c r="L33" s="81">
        <v>1</v>
      </c>
      <c r="M33" s="81">
        <v>1</v>
      </c>
      <c r="N33" s="81">
        <v>1</v>
      </c>
      <c r="O33" s="78">
        <v>1</v>
      </c>
      <c r="P33" s="82">
        <v>1</v>
      </c>
      <c r="Q33" s="81">
        <v>1</v>
      </c>
      <c r="R33" s="81">
        <v>1</v>
      </c>
      <c r="S33" s="81">
        <v>1</v>
      </c>
      <c r="T33" s="81">
        <v>0.8</v>
      </c>
      <c r="U33" s="81"/>
      <c r="V33" s="212"/>
      <c r="W33" s="59">
        <f t="shared" si="0"/>
        <v>5.5</v>
      </c>
      <c r="X33" s="117">
        <f t="shared" si="2"/>
        <v>4.8</v>
      </c>
      <c r="Y33" s="70">
        <f t="shared" si="8"/>
        <v>10.3</v>
      </c>
      <c r="Z33" s="71">
        <f>'[1]cálculos teóricos'!I271</f>
        <v>12.030938602775587</v>
      </c>
      <c r="AA33" s="72">
        <f t="shared" si="3"/>
        <v>85.612605467238836</v>
      </c>
      <c r="AB33" s="3"/>
    </row>
    <row r="34" spans="1:28" ht="18" customHeight="1">
      <c r="A34" s="80">
        <v>26</v>
      </c>
      <c r="B34" s="76">
        <v>30.1</v>
      </c>
      <c r="C34" s="74">
        <f>'[1]cálculos teóricos'!K272</f>
        <v>1.0158622839110589</v>
      </c>
      <c r="D34" s="59">
        <f t="shared" si="4"/>
        <v>445.31476218933506</v>
      </c>
      <c r="E34" s="60">
        <f t="shared" si="5"/>
        <v>18.644438463343079</v>
      </c>
      <c r="F34" s="61">
        <f t="shared" si="6"/>
        <v>23.634630559178849</v>
      </c>
      <c r="G34" s="62">
        <f>'[1]cálculos teóricos'!T272</f>
        <v>34.631467608390317</v>
      </c>
      <c r="H34" s="75">
        <f t="shared" si="7"/>
        <v>68.246113120117343</v>
      </c>
      <c r="I34" s="154"/>
      <c r="J34" s="81">
        <v>0.3</v>
      </c>
      <c r="K34" s="81">
        <v>1</v>
      </c>
      <c r="L34" s="81">
        <v>1</v>
      </c>
      <c r="M34" s="81">
        <v>1</v>
      </c>
      <c r="N34" s="81">
        <v>1</v>
      </c>
      <c r="O34" s="78">
        <v>1</v>
      </c>
      <c r="P34" s="82">
        <v>1</v>
      </c>
      <c r="Q34" s="81">
        <v>1</v>
      </c>
      <c r="R34" s="81">
        <v>1</v>
      </c>
      <c r="S34" s="81">
        <v>1</v>
      </c>
      <c r="T34" s="81">
        <v>1</v>
      </c>
      <c r="U34" s="81"/>
      <c r="V34" s="212"/>
      <c r="W34" s="59">
        <f t="shared" si="0"/>
        <v>5.3</v>
      </c>
      <c r="X34" s="117">
        <f t="shared" si="2"/>
        <v>5</v>
      </c>
      <c r="Y34" s="70">
        <f t="shared" si="8"/>
        <v>10.3</v>
      </c>
      <c r="Z34" s="71">
        <f>'[1]cálculos teóricos'!I272</f>
        <v>12.053689860952399</v>
      </c>
      <c r="AA34" s="72">
        <f t="shared" si="3"/>
        <v>85.451012252825336</v>
      </c>
      <c r="AB34" s="3"/>
    </row>
    <row r="35" spans="1:28" ht="18" customHeight="1">
      <c r="A35" s="80">
        <v>27</v>
      </c>
      <c r="B35" s="76">
        <v>11.5</v>
      </c>
      <c r="C35" s="74">
        <f>'[1]cálculos teóricos'!K273</f>
        <v>1.0166248769318984</v>
      </c>
      <c r="D35" s="59">
        <f t="shared" si="4"/>
        <v>170.26458854477357</v>
      </c>
      <c r="E35" s="60">
        <f t="shared" si="5"/>
        <v>7.1286377931925804</v>
      </c>
      <c r="F35" s="61">
        <f t="shared" si="6"/>
        <v>9.2398797214907251</v>
      </c>
      <c r="G35" s="62">
        <f>'[1]cálculos teóricos'!T273</f>
        <v>34.808220875109512</v>
      </c>
      <c r="H35" s="75">
        <f t="shared" si="7"/>
        <v>26.545107704996013</v>
      </c>
      <c r="I35" s="154"/>
      <c r="J35" s="81"/>
      <c r="K35" s="81"/>
      <c r="L35" s="81"/>
      <c r="M35" s="81"/>
      <c r="N35" s="81">
        <v>0.2</v>
      </c>
      <c r="O35" s="78">
        <v>0.8</v>
      </c>
      <c r="P35" s="82">
        <v>0.1</v>
      </c>
      <c r="Q35" s="81"/>
      <c r="R35" s="81"/>
      <c r="S35" s="81"/>
      <c r="T35" s="81"/>
      <c r="U35" s="81"/>
      <c r="V35" s="212"/>
      <c r="W35" s="59">
        <f t="shared" si="0"/>
        <v>1</v>
      </c>
      <c r="X35" s="117">
        <f t="shared" si="2"/>
        <v>0.1</v>
      </c>
      <c r="Y35" s="70">
        <f t="shared" si="8"/>
        <v>1.1000000000000001</v>
      </c>
      <c r="Z35" s="71">
        <f>'[1]cálculos teóricos'!I273</f>
        <v>12.076448996086873</v>
      </c>
      <c r="AA35" s="72">
        <f t="shared" si="3"/>
        <v>9.1086378152752747</v>
      </c>
      <c r="AB35" s="3"/>
    </row>
    <row r="36" spans="1:28" ht="18" customHeight="1">
      <c r="A36" s="80">
        <v>28</v>
      </c>
      <c r="B36" s="76">
        <v>18.600000000000001</v>
      </c>
      <c r="C36" s="74">
        <f>'[1]cálculos teóricos'!K274</f>
        <v>1.0173773530169188</v>
      </c>
      <c r="D36" s="59">
        <f t="shared" si="4"/>
        <v>275.58829650031129</v>
      </c>
      <c r="E36" s="60">
        <f t="shared" si="5"/>
        <v>11.538330797875032</v>
      </c>
      <c r="F36" s="61">
        <f t="shared" si="6"/>
        <v>14.751995977343793</v>
      </c>
      <c r="G36" s="62">
        <f>'[1]cálculos teóricos'!T274</f>
        <v>34.983900833942378</v>
      </c>
      <c r="H36" s="75">
        <f t="shared" si="7"/>
        <v>42.167956190382824</v>
      </c>
      <c r="I36" s="154"/>
      <c r="J36" s="81"/>
      <c r="K36" s="81"/>
      <c r="L36" s="81"/>
      <c r="M36" s="81">
        <v>0.6</v>
      </c>
      <c r="N36" s="81">
        <v>1</v>
      </c>
      <c r="O36" s="78">
        <v>0.5</v>
      </c>
      <c r="P36" s="82">
        <v>0.4</v>
      </c>
      <c r="Q36" s="81"/>
      <c r="R36" s="81"/>
      <c r="S36" s="81"/>
      <c r="T36" s="81"/>
      <c r="U36" s="81"/>
      <c r="V36" s="212"/>
      <c r="W36" s="59">
        <f t="shared" si="0"/>
        <v>2.1</v>
      </c>
      <c r="X36" s="117">
        <f t="shared" si="2"/>
        <v>0.4</v>
      </c>
      <c r="Y36" s="70">
        <f t="shared" si="8"/>
        <v>2.5</v>
      </c>
      <c r="Z36" s="71">
        <f>'[1]cálculos teóricos'!I274</f>
        <v>12.099212832527423</v>
      </c>
      <c r="AA36" s="72">
        <f t="shared" si="3"/>
        <v>20.662501227179185</v>
      </c>
      <c r="AB36" s="3"/>
    </row>
    <row r="37" spans="1:28" ht="18" customHeight="1">
      <c r="A37" s="85">
        <v>29</v>
      </c>
      <c r="B37" s="76">
        <v>29.6</v>
      </c>
      <c r="C37" s="74">
        <f>'[1]cálculos teóricos'!K275</f>
        <v>1.0181195371806306</v>
      </c>
      <c r="D37" s="59">
        <f t="shared" si="4"/>
        <v>438.8905628400114</v>
      </c>
      <c r="E37" s="60">
        <f t="shared" si="5"/>
        <v>18.375470084985597</v>
      </c>
      <c r="F37" s="61">
        <f t="shared" si="6"/>
        <v>23.298420086231999</v>
      </c>
      <c r="G37" s="62">
        <f>'[1]cálculos teóricos'!T275</f>
        <v>35.158456500793754</v>
      </c>
      <c r="H37" s="75">
        <f t="shared" si="7"/>
        <v>66.266902489607304</v>
      </c>
      <c r="I37" s="79"/>
      <c r="J37" s="81"/>
      <c r="K37" s="81"/>
      <c r="L37" s="81">
        <v>0.5</v>
      </c>
      <c r="M37" s="81">
        <v>1</v>
      </c>
      <c r="N37" s="81">
        <v>1</v>
      </c>
      <c r="O37" s="78">
        <v>1</v>
      </c>
      <c r="P37" s="82">
        <v>1</v>
      </c>
      <c r="Q37" s="81">
        <v>1</v>
      </c>
      <c r="R37" s="81">
        <v>1</v>
      </c>
      <c r="S37" s="81">
        <v>1</v>
      </c>
      <c r="T37" s="81">
        <v>0.8</v>
      </c>
      <c r="U37" s="81"/>
      <c r="V37" s="212"/>
      <c r="W37" s="59">
        <f t="shared" si="0"/>
        <v>3.5</v>
      </c>
      <c r="X37" s="117">
        <f t="shared" si="2"/>
        <v>4.8</v>
      </c>
      <c r="Y37" s="70">
        <f t="shared" si="8"/>
        <v>8.3000000000000007</v>
      </c>
      <c r="Z37" s="71">
        <f>'[1]cálculos teóricos'!I275</f>
        <v>12.121978148908402</v>
      </c>
      <c r="AA37" s="72">
        <f t="shared" si="3"/>
        <v>68.470672839378324</v>
      </c>
      <c r="AB37" s="3"/>
    </row>
    <row r="38" spans="1:28" ht="18" customHeight="1">
      <c r="A38" s="80">
        <v>30</v>
      </c>
      <c r="B38" s="76">
        <v>30.6</v>
      </c>
      <c r="C38" s="74">
        <f>'[1]cálculos teóricos'!K276</f>
        <v>1.018851262835645</v>
      </c>
      <c r="D38" s="59">
        <f t="shared" si="4"/>
        <v>454.04403520899172</v>
      </c>
      <c r="E38" s="60">
        <f t="shared" si="5"/>
        <v>19.009915666130063</v>
      </c>
      <c r="F38" s="61">
        <f t="shared" si="6"/>
        <v>24.09147706266258</v>
      </c>
      <c r="G38" s="62">
        <f>'[1]cálculos teóricos'!T276</f>
        <v>35.331837745441064</v>
      </c>
      <c r="H38" s="75">
        <f t="shared" si="7"/>
        <v>68.186311836471489</v>
      </c>
      <c r="I38" s="79"/>
      <c r="J38" s="81"/>
      <c r="K38" s="81">
        <v>0.6</v>
      </c>
      <c r="L38" s="81">
        <v>1</v>
      </c>
      <c r="M38" s="81">
        <v>1</v>
      </c>
      <c r="N38" s="81">
        <v>1</v>
      </c>
      <c r="O38" s="78">
        <v>1</v>
      </c>
      <c r="P38" s="82">
        <v>1</v>
      </c>
      <c r="Q38" s="81">
        <v>1</v>
      </c>
      <c r="R38" s="81">
        <v>1</v>
      </c>
      <c r="S38" s="81">
        <v>1</v>
      </c>
      <c r="T38" s="81">
        <v>0.9</v>
      </c>
      <c r="U38" s="81"/>
      <c r="V38" s="212"/>
      <c r="W38" s="59">
        <f t="shared" si="0"/>
        <v>4.5999999999999996</v>
      </c>
      <c r="X38" s="117">
        <f t="shared" si="2"/>
        <v>4.9000000000000004</v>
      </c>
      <c r="Y38" s="70">
        <f t="shared" si="8"/>
        <v>9.5</v>
      </c>
      <c r="Z38" s="71">
        <f>'[1]cálculos teóricos'!I276</f>
        <v>12.144741671843036</v>
      </c>
      <c r="AA38" s="72">
        <f t="shared" si="3"/>
        <v>78.223154157533585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1"/>
      <c r="K39" s="81"/>
      <c r="L39" s="81"/>
      <c r="M39" s="81"/>
      <c r="N39" s="81"/>
      <c r="O39" s="95"/>
      <c r="P39" s="82"/>
      <c r="Q39" s="81"/>
      <c r="R39" s="81"/>
      <c r="S39" s="81"/>
      <c r="T39" s="81"/>
      <c r="U39" s="81"/>
      <c r="V39" s="213"/>
      <c r="W39" s="59"/>
      <c r="X39" s="89"/>
      <c r="Y39" s="214"/>
      <c r="Z39" s="174"/>
      <c r="AA39" s="128"/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</v>
      </c>
      <c r="J40" s="104">
        <f t="shared" ref="J40:AA40" si="9">SUM(J9:J39)</f>
        <v>2.2999999999999998</v>
      </c>
      <c r="K40" s="104">
        <f t="shared" si="9"/>
        <v>14.6</v>
      </c>
      <c r="L40" s="104">
        <f t="shared" si="9"/>
        <v>19.7</v>
      </c>
      <c r="M40" s="104">
        <f t="shared" si="9"/>
        <v>21.700000000000003</v>
      </c>
      <c r="N40" s="104">
        <f t="shared" si="9"/>
        <v>22.099999999999998</v>
      </c>
      <c r="O40" s="104">
        <f t="shared" si="9"/>
        <v>22.999999999999996</v>
      </c>
      <c r="P40" s="104">
        <f t="shared" si="9"/>
        <v>22.4</v>
      </c>
      <c r="Q40" s="104">
        <f t="shared" si="9"/>
        <v>21.6</v>
      </c>
      <c r="R40" s="104">
        <f t="shared" si="9"/>
        <v>18.399999999999999</v>
      </c>
      <c r="S40" s="104">
        <f t="shared" si="9"/>
        <v>17.200000000000003</v>
      </c>
      <c r="T40" s="104">
        <f t="shared" si="9"/>
        <v>10.1</v>
      </c>
      <c r="U40" s="104">
        <f t="shared" si="9"/>
        <v>0.6</v>
      </c>
      <c r="V40" s="104">
        <f t="shared" si="9"/>
        <v>0</v>
      </c>
      <c r="W40" s="104">
        <f>SUM(I40:O40)</f>
        <v>103.39999999999999</v>
      </c>
      <c r="X40" s="104">
        <f>SUM(P40:V40)</f>
        <v>90.299999999999983</v>
      </c>
      <c r="Y40" s="104">
        <f>W40+X40</f>
        <v>193.7</v>
      </c>
      <c r="Z40" s="104">
        <f t="shared" si="9"/>
        <v>354.51886153317855</v>
      </c>
      <c r="AA40" s="104">
        <f t="shared" si="9"/>
        <v>1639.7210773865909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2" width="12.7109375" style="8" customWidth="1"/>
    <col min="3" max="3" width="13.42578125" style="8" customWidth="1"/>
    <col min="4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73</v>
      </c>
      <c r="B1" s="2"/>
      <c r="C1" s="3"/>
      <c r="D1" s="4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9" t="s">
        <v>60</v>
      </c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9" t="s">
        <v>5</v>
      </c>
      <c r="X3" s="3"/>
      <c r="Y3" s="3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0"/>
      <c r="X4" s="3"/>
      <c r="Y4" s="109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11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57">
        <v>30</v>
      </c>
      <c r="C9" s="74">
        <f>'[1]cálculos teóricos'!K277</f>
        <v>1.01957237182362</v>
      </c>
      <c r="D9" s="59">
        <f>IF(B9&gt;0,B9*C9*14.25*1.022,-999)</f>
        <v>445.45626711159872</v>
      </c>
      <c r="E9" s="60">
        <f>IF(B9&gt;0,D9*4.1868/100,-999)</f>
        <v>18.650362991428416</v>
      </c>
      <c r="F9" s="61">
        <f>IF(B9&gt;0,(7.86+1.25*D9)*4.1868/100,-999)</f>
        <v>23.642036219285519</v>
      </c>
      <c r="G9" s="62">
        <f>'[1]cálculos teóricos'!T277</f>
        <v>35.503995314044545</v>
      </c>
      <c r="H9" s="63">
        <f>IF(B9&gt;0,100*F9/G9,-999)</f>
        <v>66.589790839492608</v>
      </c>
      <c r="I9" s="64"/>
      <c r="J9" s="64">
        <v>0.5</v>
      </c>
      <c r="K9" s="64">
        <v>1</v>
      </c>
      <c r="L9" s="64">
        <v>1</v>
      </c>
      <c r="M9" s="64">
        <v>1</v>
      </c>
      <c r="N9" s="64">
        <v>1</v>
      </c>
      <c r="O9" s="65">
        <v>1</v>
      </c>
      <c r="P9" s="79">
        <v>1</v>
      </c>
      <c r="Q9" s="76">
        <v>1</v>
      </c>
      <c r="R9" s="76">
        <v>0.8</v>
      </c>
      <c r="S9" s="76">
        <v>0.6</v>
      </c>
      <c r="T9" s="82">
        <v>1</v>
      </c>
      <c r="U9" s="64"/>
      <c r="V9" s="65"/>
      <c r="W9" s="117">
        <f t="shared" ref="W9:W40" si="0">SUM(I9:O9)</f>
        <v>5.5</v>
      </c>
      <c r="X9" s="117">
        <f>SUM(P9:V9)</f>
        <v>4.4000000000000004</v>
      </c>
      <c r="Y9" s="118">
        <f>W9+X9</f>
        <v>9.9</v>
      </c>
      <c r="Z9" s="71">
        <f>'[1]cálculos teóricos'!I277</f>
        <v>12.167500069639472</v>
      </c>
      <c r="AA9" s="72">
        <f>100*Y9/Z9</f>
        <v>81.364289651434873</v>
      </c>
      <c r="AB9" s="3"/>
    </row>
    <row r="10" spans="1:28" ht="18" customHeight="1">
      <c r="A10" s="111">
        <v>2</v>
      </c>
      <c r="B10" s="57">
        <v>27.8</v>
      </c>
      <c r="C10" s="74">
        <f>'[1]cálculos teóricos'!K278</f>
        <v>1.020282714447148</v>
      </c>
      <c r="D10" s="59">
        <f>IF(B10&gt;0,B10*C10*14.25*1.022,-999)</f>
        <v>413.07706726945895</v>
      </c>
      <c r="E10" s="60">
        <f>IF(B10&gt;0,D10*4.1868/100,-999)</f>
        <v>17.294710652437708</v>
      </c>
      <c r="F10" s="61">
        <f>IF(B10&gt;0,(7.86+1.25*D10)*4.1868/100,-999)</f>
        <v>21.947470795547137</v>
      </c>
      <c r="G10" s="62">
        <f>'[1]cálculos teóricos'!T278</f>
        <v>35.67488085200516</v>
      </c>
      <c r="H10" s="75">
        <f>IF(B10&gt;0,100*F10/G10,-999)</f>
        <v>61.520796345739015</v>
      </c>
      <c r="I10" s="57"/>
      <c r="J10" s="76">
        <v>0.4</v>
      </c>
      <c r="K10" s="76">
        <v>1</v>
      </c>
      <c r="L10" s="76">
        <v>1</v>
      </c>
      <c r="M10" s="76">
        <v>1</v>
      </c>
      <c r="N10" s="76">
        <v>1</v>
      </c>
      <c r="O10" s="77">
        <v>1</v>
      </c>
      <c r="P10" s="79">
        <v>1</v>
      </c>
      <c r="Q10" s="76">
        <v>1</v>
      </c>
      <c r="R10" s="76">
        <v>1</v>
      </c>
      <c r="S10" s="76">
        <v>0.5</v>
      </c>
      <c r="T10" s="82"/>
      <c r="U10" s="82"/>
      <c r="V10" s="78"/>
      <c r="W10" s="117">
        <f t="shared" si="0"/>
        <v>5.4</v>
      </c>
      <c r="X10" s="117">
        <f t="shared" ref="X10:X39" si="1">SUM(P10:V10)</f>
        <v>3.5</v>
      </c>
      <c r="Y10" s="70">
        <f t="shared" ref="Y10:Y29" si="2">W10+X10</f>
        <v>8.9</v>
      </c>
      <c r="Z10" s="71">
        <f>'[1]cálculos teóricos'!I278</f>
        <v>12.190249946048064</v>
      </c>
      <c r="AA10" s="72">
        <f t="shared" ref="AA10:AA39" si="3">100*Y10/Z10</f>
        <v>73.009167485407261</v>
      </c>
      <c r="AB10" s="3"/>
    </row>
    <row r="11" spans="1:28" ht="18" customHeight="1">
      <c r="A11" s="111">
        <v>3</v>
      </c>
      <c r="B11" s="57">
        <v>10.7</v>
      </c>
      <c r="C11" s="74">
        <f>'[1]cálculos teóricos'!K279</f>
        <v>1.0209821495023679</v>
      </c>
      <c r="D11" s="59">
        <f t="shared" ref="D11:D39" si="4">IF(B11&gt;0,B11*C11*14.25*1.022,-999)</f>
        <v>159.09908681677175</v>
      </c>
      <c r="E11" s="60">
        <f t="shared" ref="E11:E39" si="5">IF(B11&gt;0,D11*4.1868/100,-999)</f>
        <v>6.6611605668445986</v>
      </c>
      <c r="F11" s="61">
        <f t="shared" ref="F11:F39" si="6">IF(B11&gt;0,(7.86+1.25*D11)*4.1868/100,-999)</f>
        <v>8.6555331885557489</v>
      </c>
      <c r="G11" s="62">
        <f>'[1]cálculos teóricos'!T279</f>
        <v>35.84444692712988</v>
      </c>
      <c r="H11" s="75">
        <f t="shared" ref="H11:H39" si="7">IF(B11&gt;0,100*F11/G11,-999)</f>
        <v>24.147487074223942</v>
      </c>
      <c r="I11" s="57"/>
      <c r="J11" s="76"/>
      <c r="K11" s="76"/>
      <c r="L11" s="76"/>
      <c r="M11" s="76"/>
      <c r="N11" s="76"/>
      <c r="O11" s="77"/>
      <c r="P11" s="79"/>
      <c r="Q11" s="76"/>
      <c r="R11" s="76"/>
      <c r="S11" s="76"/>
      <c r="T11" s="82"/>
      <c r="U11" s="82"/>
      <c r="V11" s="78"/>
      <c r="W11" s="117">
        <f t="shared" si="0"/>
        <v>0</v>
      </c>
      <c r="X11" s="117">
        <f t="shared" si="1"/>
        <v>0</v>
      </c>
      <c r="Y11" s="70">
        <f t="shared" si="2"/>
        <v>0</v>
      </c>
      <c r="Z11" s="71">
        <f>'[1]cálculos teóricos'!I279</f>
        <v>12.212987834048798</v>
      </c>
      <c r="AA11" s="72">
        <f t="shared" si="3"/>
        <v>0</v>
      </c>
      <c r="AB11" s="3"/>
    </row>
    <row r="12" spans="1:28" ht="18" customHeight="1">
      <c r="A12" s="111">
        <v>4</v>
      </c>
      <c r="B12" s="57">
        <v>7.6</v>
      </c>
      <c r="C12" s="74">
        <f>'[1]cálculos teóricos'!K280</f>
        <v>1.0216705443120255</v>
      </c>
      <c r="D12" s="59">
        <f t="shared" si="4"/>
        <v>113.0811521878702</v>
      </c>
      <c r="E12" s="60">
        <f t="shared" si="5"/>
        <v>4.7344816798017497</v>
      </c>
      <c r="F12" s="61">
        <f t="shared" si="6"/>
        <v>6.2471845797521874</v>
      </c>
      <c r="G12" s="62">
        <f>'[1]cálculos teóricos'!T280</f>
        <v>36.012647053054536</v>
      </c>
      <c r="H12" s="75">
        <f t="shared" si="7"/>
        <v>17.347196307310352</v>
      </c>
      <c r="I12" s="57"/>
      <c r="J12" s="76"/>
      <c r="K12" s="76"/>
      <c r="L12" s="76"/>
      <c r="M12" s="76"/>
      <c r="N12" s="76"/>
      <c r="O12" s="77"/>
      <c r="P12" s="79"/>
      <c r="Q12" s="79"/>
      <c r="R12" s="76"/>
      <c r="S12" s="76"/>
      <c r="T12" s="82"/>
      <c r="U12" s="82"/>
      <c r="V12" s="78"/>
      <c r="W12" s="117">
        <f t="shared" si="0"/>
        <v>0</v>
      </c>
      <c r="X12" s="117">
        <f t="shared" si="1"/>
        <v>0</v>
      </c>
      <c r="Y12" s="70">
        <f t="shared" si="2"/>
        <v>0</v>
      </c>
      <c r="Z12" s="71">
        <f>'[1]cálculos teóricos'!I280</f>
        <v>12.235710189687937</v>
      </c>
      <c r="AA12" s="72">
        <f t="shared" si="3"/>
        <v>0</v>
      </c>
      <c r="AB12" s="3"/>
    </row>
    <row r="13" spans="1:28" ht="18" customHeight="1">
      <c r="A13" s="73">
        <v>5</v>
      </c>
      <c r="B13" s="57">
        <v>20.2</v>
      </c>
      <c r="C13" s="74">
        <f>'[1]cálculos teóricos'!K281</f>
        <v>1.0223477747586711</v>
      </c>
      <c r="D13" s="59">
        <f t="shared" si="4"/>
        <v>300.75702871749769</v>
      </c>
      <c r="E13" s="60">
        <f t="shared" si="5"/>
        <v>12.592095278344193</v>
      </c>
      <c r="F13" s="61">
        <f t="shared" si="6"/>
        <v>16.06920157793024</v>
      </c>
      <c r="G13" s="62">
        <f>'[1]cálculos teóricos'!T281</f>
        <v>36.179435712867594</v>
      </c>
      <c r="H13" s="75">
        <f t="shared" si="7"/>
        <v>44.415290789665519</v>
      </c>
      <c r="I13" s="57"/>
      <c r="J13" s="76"/>
      <c r="K13" s="76">
        <v>0.6</v>
      </c>
      <c r="L13" s="76">
        <v>0.2</v>
      </c>
      <c r="M13" s="76"/>
      <c r="N13" s="76">
        <v>0.6</v>
      </c>
      <c r="O13" s="77">
        <v>0.4</v>
      </c>
      <c r="P13" s="79">
        <v>0.1</v>
      </c>
      <c r="Q13" s="79">
        <v>0.7</v>
      </c>
      <c r="R13" s="76">
        <v>0.3</v>
      </c>
      <c r="S13" s="76"/>
      <c r="T13" s="82"/>
      <c r="U13" s="82"/>
      <c r="V13" s="78"/>
      <c r="W13" s="117">
        <f t="shared" si="0"/>
        <v>1.7999999999999998</v>
      </c>
      <c r="X13" s="117">
        <f t="shared" si="1"/>
        <v>1.0999999999999999</v>
      </c>
      <c r="Y13" s="70">
        <f t="shared" si="2"/>
        <v>2.8999999999999995</v>
      </c>
      <c r="Z13" s="71">
        <f>'[1]cálculos teóricos'!I281</f>
        <v>12.25841338597343</v>
      </c>
      <c r="AA13" s="72">
        <f t="shared" si="3"/>
        <v>23.657221442036668</v>
      </c>
      <c r="AB13" s="3"/>
    </row>
    <row r="14" spans="1:28" ht="18" customHeight="1">
      <c r="A14" s="73">
        <v>6</v>
      </c>
      <c r="B14" s="57">
        <v>31.5</v>
      </c>
      <c r="C14" s="74">
        <f>'[1]cálculos teóricos'!K282</f>
        <v>1.0230137253176346</v>
      </c>
      <c r="D14" s="59">
        <f t="shared" si="4"/>
        <v>469.30780224289612</v>
      </c>
      <c r="E14" s="60">
        <f t="shared" si="5"/>
        <v>19.648979064305575</v>
      </c>
      <c r="F14" s="61">
        <f t="shared" si="6"/>
        <v>24.890306310381966</v>
      </c>
      <c r="G14" s="62">
        <f>'[1]cálculos teóricos'!T282</f>
        <v>36.344768382870527</v>
      </c>
      <c r="H14" s="75">
        <f t="shared" si="7"/>
        <v>68.483876546350189</v>
      </c>
      <c r="I14" s="57"/>
      <c r="J14" s="76">
        <v>0.4</v>
      </c>
      <c r="K14" s="76"/>
      <c r="L14" s="76">
        <v>0.2</v>
      </c>
      <c r="M14" s="76">
        <v>1</v>
      </c>
      <c r="N14" s="76">
        <v>1</v>
      </c>
      <c r="O14" s="77">
        <v>1</v>
      </c>
      <c r="P14" s="79">
        <v>1</v>
      </c>
      <c r="Q14" s="82">
        <v>1</v>
      </c>
      <c r="R14" s="82">
        <v>1</v>
      </c>
      <c r="S14" s="82">
        <v>1</v>
      </c>
      <c r="T14" s="82">
        <v>0.8</v>
      </c>
      <c r="U14" s="82"/>
      <c r="V14" s="78"/>
      <c r="W14" s="117">
        <f t="shared" si="0"/>
        <v>3.6</v>
      </c>
      <c r="X14" s="117">
        <f t="shared" si="1"/>
        <v>4.8</v>
      </c>
      <c r="Y14" s="70">
        <f t="shared" si="2"/>
        <v>8.4</v>
      </c>
      <c r="Z14" s="71">
        <f>'[1]cálculos teóricos'!I282</f>
        <v>12.281093706839203</v>
      </c>
      <c r="AA14" s="72">
        <f t="shared" si="3"/>
        <v>68.397817006494577</v>
      </c>
      <c r="AB14" s="3"/>
    </row>
    <row r="15" spans="1:28" ht="18" customHeight="1">
      <c r="A15" s="73">
        <v>7</v>
      </c>
      <c r="B15" s="57">
        <v>33.1</v>
      </c>
      <c r="C15" s="74">
        <f>'[1]cálculos teóricos'!K283</f>
        <v>1.0236682890893776</v>
      </c>
      <c r="D15" s="59">
        <f t="shared" si="4"/>
        <v>493.46119254186925</v>
      </c>
      <c r="E15" s="60">
        <f t="shared" si="5"/>
        <v>20.660233209342984</v>
      </c>
      <c r="F15" s="61">
        <f t="shared" si="6"/>
        <v>26.154373991678725</v>
      </c>
      <c r="G15" s="62">
        <f>'[1]cálculos teóricos'!T283</f>
        <v>36.508601556402283</v>
      </c>
      <c r="H15" s="75">
        <f t="shared" si="7"/>
        <v>71.638936789382996</v>
      </c>
      <c r="I15" s="57"/>
      <c r="J15" s="76">
        <v>0.3</v>
      </c>
      <c r="K15" s="76">
        <v>1</v>
      </c>
      <c r="L15" s="76">
        <v>1</v>
      </c>
      <c r="M15" s="76">
        <v>1</v>
      </c>
      <c r="N15" s="76">
        <v>1</v>
      </c>
      <c r="O15" s="77">
        <v>1</v>
      </c>
      <c r="P15" s="79">
        <v>1</v>
      </c>
      <c r="Q15" s="82">
        <v>1</v>
      </c>
      <c r="R15" s="82">
        <v>1</v>
      </c>
      <c r="S15" s="82">
        <v>1</v>
      </c>
      <c r="T15" s="82">
        <v>1</v>
      </c>
      <c r="U15" s="82"/>
      <c r="V15" s="78"/>
      <c r="W15" s="117">
        <f t="shared" si="0"/>
        <v>5.3</v>
      </c>
      <c r="X15" s="117">
        <f t="shared" si="1"/>
        <v>5</v>
      </c>
      <c r="Y15" s="70">
        <f t="shared" si="2"/>
        <v>10.3</v>
      </c>
      <c r="Z15" s="71">
        <f>'[1]cálculos teóricos'!I283</f>
        <v>12.303747341188917</v>
      </c>
      <c r="AA15" s="72">
        <f t="shared" si="3"/>
        <v>83.714332831908649</v>
      </c>
      <c r="AB15" s="3"/>
    </row>
    <row r="16" spans="1:28" ht="18" customHeight="1">
      <c r="A16" s="80">
        <v>8</v>
      </c>
      <c r="B16" s="76">
        <v>26.1</v>
      </c>
      <c r="C16" s="74">
        <f>'[1]cálculos teóricos'!K284</f>
        <v>1.0243113678307814</v>
      </c>
      <c r="D16" s="59">
        <f t="shared" si="4"/>
        <v>389.3482796010336</v>
      </c>
      <c r="E16" s="60">
        <f t="shared" si="5"/>
        <v>16.301233770336072</v>
      </c>
      <c r="F16" s="61">
        <f t="shared" si="6"/>
        <v>20.705624692920093</v>
      </c>
      <c r="G16" s="62">
        <f>'[1]cálculos teóricos'!T284</f>
        <v>36.670892767648695</v>
      </c>
      <c r="H16" s="75">
        <f t="shared" si="7"/>
        <v>56.463377709709675</v>
      </c>
      <c r="I16" s="79"/>
      <c r="J16" s="81">
        <v>0.4</v>
      </c>
      <c r="K16" s="81">
        <v>1</v>
      </c>
      <c r="L16" s="81">
        <v>1</v>
      </c>
      <c r="M16" s="81">
        <v>1</v>
      </c>
      <c r="N16" s="81">
        <v>1</v>
      </c>
      <c r="O16" s="77">
        <v>1</v>
      </c>
      <c r="P16" s="82">
        <v>1</v>
      </c>
      <c r="Q16" s="82">
        <v>1</v>
      </c>
      <c r="R16" s="81">
        <v>0.6</v>
      </c>
      <c r="S16" s="81">
        <v>0.1</v>
      </c>
      <c r="T16" s="81"/>
      <c r="U16" s="81"/>
      <c r="V16" s="78"/>
      <c r="W16" s="117">
        <f t="shared" si="0"/>
        <v>5.4</v>
      </c>
      <c r="X16" s="117">
        <f t="shared" si="1"/>
        <v>2.7</v>
      </c>
      <c r="Y16" s="70">
        <f t="shared" si="2"/>
        <v>8.1000000000000014</v>
      </c>
      <c r="Z16" s="71">
        <f>'[1]cálculos teóricos'!I284</f>
        <v>12.326370377030226</v>
      </c>
      <c r="AA16" s="72">
        <f t="shared" si="3"/>
        <v>65.712774744251377</v>
      </c>
      <c r="AB16" s="3"/>
    </row>
    <row r="17" spans="1:28" ht="18" customHeight="1">
      <c r="A17" s="80">
        <v>9</v>
      </c>
      <c r="B17" s="76">
        <v>9.5</v>
      </c>
      <c r="C17" s="74">
        <f>'[1]cálculos teóricos'!K285</f>
        <v>1.0249428719848979</v>
      </c>
      <c r="D17" s="59">
        <f t="shared" si="4"/>
        <v>141.80417740344458</v>
      </c>
      <c r="E17" s="60">
        <f t="shared" si="5"/>
        <v>5.9370572995274173</v>
      </c>
      <c r="F17" s="61">
        <f t="shared" si="6"/>
        <v>7.750404104409272</v>
      </c>
      <c r="G17" s="62">
        <f>'[1]cálculos teóricos'!T285</f>
        <v>36.831600615350567</v>
      </c>
      <c r="H17" s="75">
        <f t="shared" si="7"/>
        <v>21.042810996324395</v>
      </c>
      <c r="I17" s="79"/>
      <c r="J17" s="81"/>
      <c r="K17" s="81"/>
      <c r="L17" s="81"/>
      <c r="M17" s="81"/>
      <c r="N17" s="81"/>
      <c r="O17" s="77"/>
      <c r="P17" s="82"/>
      <c r="Q17" s="82"/>
      <c r="R17" s="81"/>
      <c r="S17" s="81"/>
      <c r="T17" s="81"/>
      <c r="U17" s="81"/>
      <c r="V17" s="78"/>
      <c r="W17" s="117">
        <f t="shared" si="0"/>
        <v>0</v>
      </c>
      <c r="X17" s="117">
        <f t="shared" si="1"/>
        <v>0</v>
      </c>
      <c r="Y17" s="70">
        <f t="shared" si="2"/>
        <v>0</v>
      </c>
      <c r="Z17" s="71">
        <f>'[1]cálculos teóricos'!I285</f>
        <v>12.348958795711455</v>
      </c>
      <c r="AA17" s="72">
        <f t="shared" si="3"/>
        <v>0</v>
      </c>
      <c r="AB17" s="3"/>
    </row>
    <row r="18" spans="1:28" ht="18" customHeight="1">
      <c r="A18" s="80">
        <v>10</v>
      </c>
      <c r="B18" s="76">
        <v>18.100000000000001</v>
      </c>
      <c r="C18" s="74">
        <f>'[1]cálculos teóricos'!K286</f>
        <v>1.025562720708646</v>
      </c>
      <c r="D18" s="59">
        <f t="shared" si="4"/>
        <v>270.33766656303067</v>
      </c>
      <c r="E18" s="60">
        <f t="shared" si="5"/>
        <v>11.318497423660967</v>
      </c>
      <c r="F18" s="61">
        <f t="shared" si="6"/>
        <v>14.47720425957621</v>
      </c>
      <c r="G18" s="62">
        <f>'[1]cálculos teóricos'!T286</f>
        <v>36.990684786317473</v>
      </c>
      <c r="H18" s="75">
        <f t="shared" si="7"/>
        <v>39.137432419015937</v>
      </c>
      <c r="I18" s="79"/>
      <c r="J18" s="81"/>
      <c r="K18" s="81"/>
      <c r="L18" s="81"/>
      <c r="M18" s="81"/>
      <c r="N18" s="81">
        <v>0.6</v>
      </c>
      <c r="O18" s="77">
        <v>0.3</v>
      </c>
      <c r="P18" s="79">
        <v>0.4</v>
      </c>
      <c r="Q18" s="82"/>
      <c r="R18" s="81"/>
      <c r="S18" s="81"/>
      <c r="T18" s="81"/>
      <c r="U18" s="81"/>
      <c r="V18" s="78"/>
      <c r="W18" s="117">
        <f t="shared" si="0"/>
        <v>0.89999999999999991</v>
      </c>
      <c r="X18" s="117">
        <f t="shared" si="1"/>
        <v>0.4</v>
      </c>
      <c r="Y18" s="70">
        <f t="shared" si="2"/>
        <v>1.2999999999999998</v>
      </c>
      <c r="Z18" s="71">
        <f>'[1]cálculos teóricos'!I286</f>
        <v>12.371508466272868</v>
      </c>
      <c r="AA18" s="72">
        <f t="shared" si="3"/>
        <v>10.508015279980222</v>
      </c>
      <c r="AB18" s="3"/>
    </row>
    <row r="19" spans="1:28" ht="18" customHeight="1">
      <c r="A19" s="80">
        <v>11</v>
      </c>
      <c r="B19" s="76">
        <v>15.1</v>
      </c>
      <c r="C19" s="74">
        <f>'[1]cálculos teóricos'!K287</f>
        <v>1.0261708418979132</v>
      </c>
      <c r="D19" s="59">
        <f t="shared" si="4"/>
        <v>225.66404974530192</v>
      </c>
      <c r="E19" s="60">
        <f t="shared" si="5"/>
        <v>9.4481024347363007</v>
      </c>
      <c r="F19" s="61">
        <f t="shared" si="6"/>
        <v>12.139210523420378</v>
      </c>
      <c r="G19" s="62">
        <f>'[1]cálculos teóricos'!T287</f>
        <v>37.148106078648368</v>
      </c>
      <c r="H19" s="75">
        <f t="shared" si="7"/>
        <v>32.677871915515055</v>
      </c>
      <c r="I19" s="79"/>
      <c r="J19" s="81"/>
      <c r="K19" s="81"/>
      <c r="L19" s="81"/>
      <c r="M19" s="81">
        <v>0.9</v>
      </c>
      <c r="N19" s="81">
        <v>0.2</v>
      </c>
      <c r="O19" s="77"/>
      <c r="P19" s="82"/>
      <c r="Q19" s="81"/>
      <c r="R19" s="81"/>
      <c r="S19" s="81"/>
      <c r="T19" s="81"/>
      <c r="U19" s="81"/>
      <c r="V19" s="78"/>
      <c r="W19" s="117">
        <f t="shared" si="0"/>
        <v>1.1000000000000001</v>
      </c>
      <c r="X19" s="117">
        <f t="shared" si="1"/>
        <v>0</v>
      </c>
      <c r="Y19" s="70">
        <f t="shared" si="2"/>
        <v>1.1000000000000001</v>
      </c>
      <c r="Z19" s="71">
        <f>'[1]cálculos teóricos'!I287</f>
        <v>12.394015139925731</v>
      </c>
      <c r="AA19" s="72">
        <f t="shared" si="3"/>
        <v>8.875251382068198</v>
      </c>
      <c r="AB19" s="3"/>
    </row>
    <row r="20" spans="1:28" ht="18" customHeight="1">
      <c r="A20" s="80">
        <v>12</v>
      </c>
      <c r="B20" s="76">
        <v>23.6</v>
      </c>
      <c r="C20" s="74">
        <f>'[1]cálculos teóricos'!K288</f>
        <v>1.0267671722094867</v>
      </c>
      <c r="D20" s="59">
        <f t="shared" si="4"/>
        <v>352.89843961435952</v>
      </c>
      <c r="E20" s="60">
        <f t="shared" si="5"/>
        <v>14.775151869774003</v>
      </c>
      <c r="F20" s="61">
        <f t="shared" si="6"/>
        <v>18.798022317217505</v>
      </c>
      <c r="G20" s="62">
        <f>'[1]cálculos teóricos'!T288</f>
        <v>37.303826424554515</v>
      </c>
      <c r="H20" s="75">
        <f t="shared" si="7"/>
        <v>50.391673238228648</v>
      </c>
      <c r="I20" s="79"/>
      <c r="J20" s="81">
        <v>0.1</v>
      </c>
      <c r="K20" s="81">
        <v>0.9</v>
      </c>
      <c r="L20" s="81">
        <v>0.5</v>
      </c>
      <c r="M20" s="81">
        <v>0.4</v>
      </c>
      <c r="N20" s="81">
        <v>0.7</v>
      </c>
      <c r="O20" s="77">
        <v>1</v>
      </c>
      <c r="P20" s="82">
        <v>1</v>
      </c>
      <c r="Q20" s="81">
        <v>0.9</v>
      </c>
      <c r="R20" s="81">
        <v>0.6</v>
      </c>
      <c r="S20" s="81"/>
      <c r="T20" s="81"/>
      <c r="U20" s="81"/>
      <c r="V20" s="78"/>
      <c r="W20" s="117">
        <f t="shared" si="0"/>
        <v>3.5999999999999996</v>
      </c>
      <c r="X20" s="117">
        <f t="shared" si="1"/>
        <v>2.5</v>
      </c>
      <c r="Y20" s="70">
        <f t="shared" si="2"/>
        <v>6.1</v>
      </c>
      <c r="Z20" s="71">
        <f>'[1]cálculos teóricos'!I288</f>
        <v>12.416474444672822</v>
      </c>
      <c r="AA20" s="72">
        <f t="shared" si="3"/>
        <v>49.128277331711907</v>
      </c>
      <c r="AB20" s="3"/>
    </row>
    <row r="21" spans="1:28" ht="18" customHeight="1">
      <c r="A21" s="80">
        <v>13</v>
      </c>
      <c r="B21" s="76">
        <v>24.7</v>
      </c>
      <c r="C21" s="74">
        <f>'[1]cálculos teóricos'!K289</f>
        <v>1.0273516570792156</v>
      </c>
      <c r="D21" s="59">
        <f t="shared" si="4"/>
        <v>369.55734568946696</v>
      </c>
      <c r="E21" s="60">
        <f t="shared" si="5"/>
        <v>15.472626949326603</v>
      </c>
      <c r="F21" s="61">
        <f t="shared" si="6"/>
        <v>19.669866166658252</v>
      </c>
      <c r="G21" s="62">
        <f>'[1]cálculos teóricos'!T289</f>
        <v>37.457808912674437</v>
      </c>
      <c r="H21" s="75">
        <f t="shared" si="7"/>
        <v>52.512057532555367</v>
      </c>
      <c r="I21" s="79"/>
      <c r="J21" s="81"/>
      <c r="K21" s="81"/>
      <c r="L21" s="81">
        <v>0.3</v>
      </c>
      <c r="M21" s="81">
        <v>1</v>
      </c>
      <c r="N21" s="81">
        <v>0.9</v>
      </c>
      <c r="O21" s="77">
        <v>1</v>
      </c>
      <c r="P21" s="82">
        <v>1</v>
      </c>
      <c r="Q21" s="81">
        <v>0.8</v>
      </c>
      <c r="R21" s="81"/>
      <c r="S21" s="81"/>
      <c r="T21" s="81"/>
      <c r="U21" s="81"/>
      <c r="V21" s="78"/>
      <c r="W21" s="117">
        <f t="shared" si="0"/>
        <v>3.2</v>
      </c>
      <c r="X21" s="117">
        <f t="shared" si="1"/>
        <v>1.8</v>
      </c>
      <c r="Y21" s="70">
        <f t="shared" si="2"/>
        <v>5</v>
      </c>
      <c r="Z21" s="71">
        <f>'[1]cálculos teóricos'!I289</f>
        <v>12.438881880084809</v>
      </c>
      <c r="AA21" s="72">
        <f t="shared" si="3"/>
        <v>40.196538951022738</v>
      </c>
      <c r="AB21" s="3"/>
    </row>
    <row r="22" spans="1:28" ht="18" customHeight="1">
      <c r="A22" s="80">
        <v>14</v>
      </c>
      <c r="B22" s="76">
        <v>16.7</v>
      </c>
      <c r="C22" s="74">
        <f>'[1]cálculos teóricos'!K290</f>
        <v>1.0279242507357855</v>
      </c>
      <c r="D22" s="59">
        <f t="shared" si="4"/>
        <v>250.00191958736318</v>
      </c>
      <c r="E22" s="60">
        <f t="shared" si="5"/>
        <v>10.467080369283721</v>
      </c>
      <c r="F22" s="61">
        <f t="shared" si="6"/>
        <v>13.412932941604652</v>
      </c>
      <c r="G22" s="62">
        <f>'[1]cálculos teóricos'!T290</f>
        <v>37.610017809767371</v>
      </c>
      <c r="H22" s="75">
        <f t="shared" si="7"/>
        <v>35.66319220971306</v>
      </c>
      <c r="I22" s="79"/>
      <c r="J22" s="81"/>
      <c r="K22" s="81"/>
      <c r="L22" s="81"/>
      <c r="M22" s="81"/>
      <c r="N22" s="81"/>
      <c r="O22" s="77">
        <v>0.7</v>
      </c>
      <c r="P22" s="82">
        <v>0.7</v>
      </c>
      <c r="Q22" s="81">
        <v>0.3</v>
      </c>
      <c r="R22" s="81"/>
      <c r="S22" s="81"/>
      <c r="T22" s="81"/>
      <c r="U22" s="81"/>
      <c r="V22" s="78"/>
      <c r="W22" s="117">
        <f t="shared" si="0"/>
        <v>0.7</v>
      </c>
      <c r="X22" s="117">
        <f t="shared" si="1"/>
        <v>1</v>
      </c>
      <c r="Y22" s="70">
        <f t="shared" si="2"/>
        <v>1.7</v>
      </c>
      <c r="Z22" s="71">
        <f>'[1]cálculos teóricos'!I290</f>
        <v>12.461232812247786</v>
      </c>
      <c r="AA22" s="72">
        <f t="shared" si="3"/>
        <v>13.642309919200924</v>
      </c>
      <c r="AB22" s="3"/>
    </row>
    <row r="23" spans="1:28" ht="18" customHeight="1">
      <c r="A23" s="80">
        <v>15</v>
      </c>
      <c r="B23" s="76">
        <v>31.9</v>
      </c>
      <c r="C23" s="74">
        <f>'[1]cálculos teóricos'!K291</f>
        <v>1.0284849162094551</v>
      </c>
      <c r="D23" s="59">
        <f t="shared" si="4"/>
        <v>477.80904846320317</v>
      </c>
      <c r="E23" s="60">
        <f t="shared" si="5"/>
        <v>20.004909241057391</v>
      </c>
      <c r="F23" s="61">
        <f t="shared" si="6"/>
        <v>25.335219031321738</v>
      </c>
      <c r="G23" s="62">
        <f>'[1]cálculos teóricos'!T291</f>
        <v>37.760418581666087</v>
      </c>
      <c r="H23" s="75">
        <f t="shared" si="7"/>
        <v>67.094645618210421</v>
      </c>
      <c r="I23" s="79"/>
      <c r="J23" s="81"/>
      <c r="K23" s="81">
        <v>0.3</v>
      </c>
      <c r="L23" s="81">
        <v>0.7</v>
      </c>
      <c r="M23" s="81">
        <v>1</v>
      </c>
      <c r="N23" s="81">
        <v>1</v>
      </c>
      <c r="O23" s="77">
        <v>1</v>
      </c>
      <c r="P23" s="82">
        <v>1</v>
      </c>
      <c r="Q23" s="81">
        <v>1</v>
      </c>
      <c r="R23" s="81">
        <v>0.9</v>
      </c>
      <c r="S23" s="81">
        <v>0.6</v>
      </c>
      <c r="T23" s="81">
        <v>0.6</v>
      </c>
      <c r="U23" s="81"/>
      <c r="V23" s="78"/>
      <c r="W23" s="117">
        <f t="shared" si="0"/>
        <v>4</v>
      </c>
      <c r="X23" s="117">
        <f t="shared" si="1"/>
        <v>4.0999999999999996</v>
      </c>
      <c r="Y23" s="70">
        <f t="shared" si="2"/>
        <v>8.1</v>
      </c>
      <c r="Z23" s="71">
        <f>'[1]cálculos teóricos'!I291</f>
        <v>12.483522468897803</v>
      </c>
      <c r="AA23" s="72">
        <f t="shared" si="3"/>
        <v>64.885532270085037</v>
      </c>
      <c r="AB23" s="3"/>
    </row>
    <row r="24" spans="1:28" ht="18" customHeight="1">
      <c r="A24" s="80">
        <v>16</v>
      </c>
      <c r="B24" s="76">
        <v>25.8</v>
      </c>
      <c r="C24" s="74">
        <f>'[1]cálculos teóricos'!K292</f>
        <v>1.0290336253351089</v>
      </c>
      <c r="D24" s="59">
        <f t="shared" si="4"/>
        <v>386.64734502625078</v>
      </c>
      <c r="E24" s="60">
        <f t="shared" si="5"/>
        <v>16.188151041559067</v>
      </c>
      <c r="F24" s="61">
        <f t="shared" si="6"/>
        <v>20.564271281948837</v>
      </c>
      <c r="G24" s="62">
        <f>'[1]cálculos teóricos'!T292</f>
        <v>37.908977913368176</v>
      </c>
      <c r="H24" s="75">
        <f t="shared" si="7"/>
        <v>54.246440853518969</v>
      </c>
      <c r="I24" s="79"/>
      <c r="J24" s="81">
        <v>0.2</v>
      </c>
      <c r="K24" s="81">
        <v>0.9</v>
      </c>
      <c r="L24" s="81">
        <v>0.8</v>
      </c>
      <c r="M24" s="81"/>
      <c r="N24" s="81">
        <v>0.4</v>
      </c>
      <c r="O24" s="77">
        <v>1</v>
      </c>
      <c r="P24" s="82">
        <v>0.7</v>
      </c>
      <c r="Q24" s="81">
        <v>1</v>
      </c>
      <c r="R24" s="81">
        <v>0.9</v>
      </c>
      <c r="S24" s="81">
        <v>1</v>
      </c>
      <c r="T24" s="81">
        <v>1</v>
      </c>
      <c r="U24" s="81">
        <v>0.5</v>
      </c>
      <c r="V24" s="78"/>
      <c r="W24" s="117">
        <f t="shared" si="0"/>
        <v>3.3000000000000003</v>
      </c>
      <c r="X24" s="117">
        <f t="shared" si="1"/>
        <v>5.0999999999999996</v>
      </c>
      <c r="Y24" s="70">
        <f t="shared" si="2"/>
        <v>8.4</v>
      </c>
      <c r="Z24" s="71">
        <f>'[1]cálculos teóricos'!I292</f>
        <v>12.505745934759188</v>
      </c>
      <c r="AA24" s="72">
        <f t="shared" si="3"/>
        <v>67.169124047631243</v>
      </c>
      <c r="AB24" s="3"/>
    </row>
    <row r="25" spans="1:28" ht="18" customHeight="1">
      <c r="A25" s="80">
        <v>17</v>
      </c>
      <c r="B25" s="76">
        <v>33.9</v>
      </c>
      <c r="C25" s="74">
        <f>'[1]cálculos teóricos'!K293</f>
        <v>1.0295703587489491</v>
      </c>
      <c r="D25" s="59">
        <f t="shared" si="4"/>
        <v>508.30161447580684</v>
      </c>
      <c r="E25" s="60">
        <f t="shared" si="5"/>
        <v>21.281571994873079</v>
      </c>
      <c r="F25" s="61">
        <f t="shared" si="6"/>
        <v>26.931047473591352</v>
      </c>
      <c r="G25" s="62">
        <f>'[1]cálculos teóricos'!T293</f>
        <v>38.055663728141198</v>
      </c>
      <c r="H25" s="75">
        <f t="shared" si="7"/>
        <v>70.767514832953822</v>
      </c>
      <c r="I25" s="79"/>
      <c r="J25" s="81">
        <v>0.5</v>
      </c>
      <c r="K25" s="81">
        <v>1</v>
      </c>
      <c r="L25" s="81">
        <v>1</v>
      </c>
      <c r="M25" s="81">
        <v>1</v>
      </c>
      <c r="N25" s="81">
        <v>1</v>
      </c>
      <c r="O25" s="77">
        <v>1</v>
      </c>
      <c r="P25" s="82">
        <v>1</v>
      </c>
      <c r="Q25" s="81">
        <v>1</v>
      </c>
      <c r="R25" s="81">
        <v>1</v>
      </c>
      <c r="S25" s="81">
        <v>1</v>
      </c>
      <c r="T25" s="81">
        <v>1</v>
      </c>
      <c r="U25" s="81"/>
      <c r="V25" s="78"/>
      <c r="W25" s="117">
        <f t="shared" si="0"/>
        <v>5.5</v>
      </c>
      <c r="X25" s="117">
        <f t="shared" si="1"/>
        <v>5</v>
      </c>
      <c r="Y25" s="70">
        <f t="shared" si="2"/>
        <v>10.5</v>
      </c>
      <c r="Z25" s="71">
        <f>'[1]cálculos teóricos'!I293</f>
        <v>12.527898147104127</v>
      </c>
      <c r="AA25" s="72">
        <f t="shared" si="3"/>
        <v>83.812941937328219</v>
      </c>
      <c r="AB25" s="3"/>
    </row>
    <row r="26" spans="1:28" ht="18" customHeight="1">
      <c r="A26" s="80">
        <v>18</v>
      </c>
      <c r="B26" s="76">
        <v>23.6</v>
      </c>
      <c r="C26" s="74">
        <f>'[1]cálculos teóricos'!K294</f>
        <v>1.0300951058781556</v>
      </c>
      <c r="D26" s="59">
        <f t="shared" si="4"/>
        <v>354.04224575717382</v>
      </c>
      <c r="E26" s="60">
        <f t="shared" si="5"/>
        <v>14.823040745361352</v>
      </c>
      <c r="F26" s="61">
        <f t="shared" si="6"/>
        <v>18.857883411701692</v>
      </c>
      <c r="G26" s="62">
        <f>'[1]cálculos teóricos'!T294</f>
        <v>38.200445205516317</v>
      </c>
      <c r="H26" s="75">
        <f t="shared" si="7"/>
        <v>49.365611605433664</v>
      </c>
      <c r="I26" s="79"/>
      <c r="J26" s="81">
        <v>0.5</v>
      </c>
      <c r="K26" s="81">
        <v>1</v>
      </c>
      <c r="L26" s="81">
        <v>0.6</v>
      </c>
      <c r="M26" s="81">
        <v>0.6</v>
      </c>
      <c r="N26" s="81">
        <v>1</v>
      </c>
      <c r="O26" s="77">
        <v>0.3</v>
      </c>
      <c r="P26" s="82">
        <v>0.8</v>
      </c>
      <c r="Q26" s="81">
        <v>0.5</v>
      </c>
      <c r="R26" s="81"/>
      <c r="S26" s="81"/>
      <c r="T26" s="81"/>
      <c r="U26" s="81"/>
      <c r="V26" s="78"/>
      <c r="W26" s="117">
        <f t="shared" si="0"/>
        <v>4</v>
      </c>
      <c r="X26" s="117">
        <f t="shared" si="1"/>
        <v>1.3</v>
      </c>
      <c r="Y26" s="70">
        <f t="shared" si="2"/>
        <v>5.3</v>
      </c>
      <c r="Z26" s="71">
        <f>'[1]cálculos teóricos'!I294</f>
        <v>12.549973891551732</v>
      </c>
      <c r="AA26" s="72">
        <f t="shared" si="3"/>
        <v>42.231163552999917</v>
      </c>
      <c r="AB26" s="3"/>
    </row>
    <row r="27" spans="1:28" ht="18" customHeight="1">
      <c r="A27" s="80">
        <v>19</v>
      </c>
      <c r="B27" s="76">
        <v>3.2</v>
      </c>
      <c r="C27" s="74">
        <f>'[1]cálculos teóricos'!K295</f>
        <v>1.0306078649228301</v>
      </c>
      <c r="D27" s="59">
        <f t="shared" si="4"/>
        <v>48.029624450571639</v>
      </c>
      <c r="E27" s="60">
        <f t="shared" si="5"/>
        <v>2.0109043164965335</v>
      </c>
      <c r="F27" s="61">
        <f t="shared" si="6"/>
        <v>2.8427128756206668</v>
      </c>
      <c r="G27" s="62">
        <f>'[1]cálculos teóricos'!T295</f>
        <v>38.34329279804254</v>
      </c>
      <c r="H27" s="75">
        <f t="shared" si="7"/>
        <v>7.4138465118097256</v>
      </c>
      <c r="I27" s="79"/>
      <c r="J27" s="81"/>
      <c r="K27" s="81"/>
      <c r="L27" s="81"/>
      <c r="M27" s="81"/>
      <c r="N27" s="81"/>
      <c r="O27" s="77"/>
      <c r="P27" s="82"/>
      <c r="Q27" s="82"/>
      <c r="R27" s="81"/>
      <c r="S27" s="81"/>
      <c r="T27" s="81"/>
      <c r="U27" s="81"/>
      <c r="V27" s="78"/>
      <c r="W27" s="117">
        <f t="shared" si="0"/>
        <v>0</v>
      </c>
      <c r="X27" s="117">
        <f t="shared" si="1"/>
        <v>0</v>
      </c>
      <c r="Y27" s="70">
        <f t="shared" si="2"/>
        <v>0</v>
      </c>
      <c r="Z27" s="71">
        <f>'[1]cálculos teóricos'!I295</f>
        <v>12.571967798125707</v>
      </c>
      <c r="AA27" s="72">
        <f t="shared" si="3"/>
        <v>0</v>
      </c>
      <c r="AB27" s="3"/>
    </row>
    <row r="28" spans="1:28" ht="18" customHeight="1">
      <c r="A28" s="80">
        <v>20</v>
      </c>
      <c r="B28" s="76">
        <v>5.5</v>
      </c>
      <c r="C28" s="74">
        <f>'[1]cálculos teóricos'!K296</f>
        <v>1.0311086428295455</v>
      </c>
      <c r="D28" s="59">
        <f t="shared" si="4"/>
        <v>82.591028959164476</v>
      </c>
      <c r="E28" s="60">
        <f t="shared" si="5"/>
        <v>3.4579212004622981</v>
      </c>
      <c r="F28" s="61">
        <f t="shared" si="6"/>
        <v>4.6514839805778729</v>
      </c>
      <c r="G28" s="62">
        <f>'[1]cálculos teóricos'!T296</f>
        <v>38.484178246675384</v>
      </c>
      <c r="H28" s="75">
        <f t="shared" si="7"/>
        <v>12.086743676226764</v>
      </c>
      <c r="I28" s="79"/>
      <c r="J28" s="81"/>
      <c r="K28" s="81"/>
      <c r="L28" s="81"/>
      <c r="M28" s="81"/>
      <c r="N28" s="81"/>
      <c r="O28" s="77"/>
      <c r="P28" s="82"/>
      <c r="Q28" s="82"/>
      <c r="R28" s="81"/>
      <c r="S28" s="81"/>
      <c r="T28" s="81"/>
      <c r="U28" s="81"/>
      <c r="V28" s="78"/>
      <c r="W28" s="117">
        <f t="shared" si="0"/>
        <v>0</v>
      </c>
      <c r="X28" s="117">
        <f t="shared" si="1"/>
        <v>0</v>
      </c>
      <c r="Y28" s="70">
        <f t="shared" si="2"/>
        <v>0</v>
      </c>
      <c r="Z28" s="71">
        <f>'[1]cálculos teóricos'!I296</f>
        <v>12.593874337590313</v>
      </c>
      <c r="AA28" s="72">
        <f t="shared" si="3"/>
        <v>0</v>
      </c>
      <c r="AB28" s="3"/>
    </row>
    <row r="29" spans="1:28" ht="18" customHeight="1">
      <c r="A29" s="80">
        <v>21</v>
      </c>
      <c r="B29" s="76">
        <v>21.3</v>
      </c>
      <c r="C29" s="74">
        <f>'[1]cálculos teóricos'!K297</f>
        <v>1.0315974552558274</v>
      </c>
      <c r="D29" s="59">
        <f t="shared" si="4"/>
        <v>320.00416119386858</v>
      </c>
      <c r="E29" s="60">
        <f t="shared" si="5"/>
        <v>13.39793422086489</v>
      </c>
      <c r="F29" s="61">
        <f t="shared" si="6"/>
        <v>17.076500256081111</v>
      </c>
      <c r="G29" s="62">
        <f>'[1]cálculos teóricos'!T297</f>
        <v>38.623074594672374</v>
      </c>
      <c r="H29" s="75">
        <f t="shared" si="7"/>
        <v>44.213207869361661</v>
      </c>
      <c r="I29" s="79"/>
      <c r="J29" s="81">
        <v>0.1</v>
      </c>
      <c r="K29" s="81">
        <v>0.4</v>
      </c>
      <c r="L29" s="81">
        <v>0.9</v>
      </c>
      <c r="M29" s="81">
        <v>0.5</v>
      </c>
      <c r="N29" s="81"/>
      <c r="O29" s="77"/>
      <c r="P29" s="82"/>
      <c r="Q29" s="82"/>
      <c r="R29" s="81"/>
      <c r="S29" s="81">
        <v>0.1</v>
      </c>
      <c r="T29" s="81"/>
      <c r="U29" s="81"/>
      <c r="V29" s="78"/>
      <c r="W29" s="117">
        <f t="shared" si="0"/>
        <v>1.9</v>
      </c>
      <c r="X29" s="117">
        <f t="shared" si="1"/>
        <v>0.1</v>
      </c>
      <c r="Y29" s="70">
        <f t="shared" si="2"/>
        <v>2</v>
      </c>
      <c r="Z29" s="71">
        <f>'[1]cálculos teóricos'!I297</f>
        <v>12.615687818085217</v>
      </c>
      <c r="AA29" s="72">
        <f t="shared" si="3"/>
        <v>15.853277513199878</v>
      </c>
      <c r="AB29" s="3"/>
    </row>
    <row r="30" spans="1:28" ht="18" customHeight="1">
      <c r="A30" s="80">
        <v>22</v>
      </c>
      <c r="B30" s="76">
        <v>31.5</v>
      </c>
      <c r="C30" s="74">
        <f>'[1]cálculos teóricos'!K298</f>
        <v>1.0320743265248982</v>
      </c>
      <c r="D30" s="59">
        <f t="shared" si="4"/>
        <v>473.46435531187871</v>
      </c>
      <c r="E30" s="60">
        <f t="shared" si="5"/>
        <v>19.823005628197738</v>
      </c>
      <c r="F30" s="61">
        <f t="shared" si="6"/>
        <v>25.107839515247175</v>
      </c>
      <c r="G30" s="62">
        <f>'[1]cálculos teóricos'!T298</f>
        <v>38.759956199870359</v>
      </c>
      <c r="H30" s="75">
        <f t="shared" si="7"/>
        <v>64.777780928790506</v>
      </c>
      <c r="I30" s="79"/>
      <c r="J30" s="81"/>
      <c r="K30" s="81">
        <v>0.2</v>
      </c>
      <c r="L30" s="81">
        <v>1</v>
      </c>
      <c r="M30" s="81">
        <v>1</v>
      </c>
      <c r="N30" s="81">
        <v>1</v>
      </c>
      <c r="O30" s="77">
        <v>1</v>
      </c>
      <c r="P30" s="82">
        <v>1</v>
      </c>
      <c r="Q30" s="82">
        <v>0.8</v>
      </c>
      <c r="R30" s="81">
        <v>0.9</v>
      </c>
      <c r="S30" s="81">
        <v>0.6</v>
      </c>
      <c r="T30" s="81">
        <v>1</v>
      </c>
      <c r="U30" s="81">
        <v>0.1</v>
      </c>
      <c r="V30" s="78"/>
      <c r="W30" s="117">
        <f t="shared" si="0"/>
        <v>4.2</v>
      </c>
      <c r="X30" s="117">
        <f t="shared" si="1"/>
        <v>4.4000000000000004</v>
      </c>
      <c r="Y30" s="70">
        <f>W30+X30</f>
        <v>8.6000000000000014</v>
      </c>
      <c r="Z30" s="71">
        <f>'[1]cálculos teóricos'!I298</f>
        <v>12.637402382080378</v>
      </c>
      <c r="AA30" s="72">
        <f t="shared" si="3"/>
        <v>68.051959888486692</v>
      </c>
      <c r="AB30" s="3"/>
    </row>
    <row r="31" spans="1:28" ht="18" customHeight="1">
      <c r="A31" s="80">
        <v>23</v>
      </c>
      <c r="B31" s="76">
        <v>20.9</v>
      </c>
      <c r="C31" s="74">
        <f>'[1]cálculos teóricos'!K299</f>
        <v>1.032539289570032</v>
      </c>
      <c r="D31" s="59">
        <f t="shared" si="4"/>
        <v>314.28136622235104</v>
      </c>
      <c r="E31" s="60">
        <f t="shared" si="5"/>
        <v>13.158332240997392</v>
      </c>
      <c r="F31" s="61">
        <f t="shared" si="6"/>
        <v>16.776997781246745</v>
      </c>
      <c r="G31" s="62">
        <f>'[1]cálculos teóricos'!T299</f>
        <v>38.894798745221976</v>
      </c>
      <c r="H31" s="75">
        <f t="shared" si="7"/>
        <v>43.134296416195525</v>
      </c>
      <c r="I31" s="79"/>
      <c r="J31" s="81"/>
      <c r="K31" s="81">
        <v>0.1</v>
      </c>
      <c r="L31" s="81">
        <v>0.2</v>
      </c>
      <c r="M31" s="81"/>
      <c r="N31" s="81">
        <v>0.4</v>
      </c>
      <c r="O31" s="77">
        <v>0.6</v>
      </c>
      <c r="P31" s="82"/>
      <c r="Q31" s="82"/>
      <c r="R31" s="81">
        <v>0.3</v>
      </c>
      <c r="S31" s="81">
        <v>0.3</v>
      </c>
      <c r="T31" s="81"/>
      <c r="U31" s="81"/>
      <c r="V31" s="78"/>
      <c r="W31" s="117">
        <f t="shared" si="0"/>
        <v>1.3</v>
      </c>
      <c r="X31" s="117">
        <f t="shared" si="1"/>
        <v>0.6</v>
      </c>
      <c r="Y31" s="70">
        <f>W31+X31</f>
        <v>1.9</v>
      </c>
      <c r="Z31" s="71">
        <f>'[1]cálculos teóricos'!I299</f>
        <v>12.65901200367289</v>
      </c>
      <c r="AA31" s="72">
        <f t="shared" si="3"/>
        <v>15.00907021376339</v>
      </c>
      <c r="AB31" s="3"/>
    </row>
    <row r="32" spans="1:28" ht="18" customHeight="1">
      <c r="A32" s="80">
        <v>24</v>
      </c>
      <c r="B32" s="76">
        <v>24.8</v>
      </c>
      <c r="C32" s="74">
        <f>'[1]cálculos teóricos'!K300</f>
        <v>1.0329923858678827</v>
      </c>
      <c r="D32" s="59">
        <f t="shared" si="4"/>
        <v>373.09081836735538</v>
      </c>
      <c r="E32" s="60">
        <f t="shared" si="5"/>
        <v>15.620566383404434</v>
      </c>
      <c r="F32" s="61">
        <f t="shared" si="6"/>
        <v>19.854790459255547</v>
      </c>
      <c r="G32" s="62">
        <f>'[1]cálculos teóricos'!T300</f>
        <v>39.027579247470733</v>
      </c>
      <c r="H32" s="75">
        <f t="shared" si="7"/>
        <v>50.873743240281243</v>
      </c>
      <c r="I32" s="79"/>
      <c r="J32" s="81">
        <v>0.5</v>
      </c>
      <c r="K32" s="81">
        <v>0.2</v>
      </c>
      <c r="L32" s="81">
        <v>0.4</v>
      </c>
      <c r="M32" s="81">
        <v>0.6</v>
      </c>
      <c r="N32" s="81">
        <v>0.2</v>
      </c>
      <c r="O32" s="77"/>
      <c r="P32" s="82">
        <v>0.5</v>
      </c>
      <c r="Q32" s="82">
        <v>0.7</v>
      </c>
      <c r="R32" s="81">
        <v>0.9</v>
      </c>
      <c r="S32" s="81">
        <v>1</v>
      </c>
      <c r="T32" s="81">
        <v>0.9</v>
      </c>
      <c r="U32" s="81"/>
      <c r="V32" s="78"/>
      <c r="W32" s="117">
        <f t="shared" si="0"/>
        <v>1.9000000000000001</v>
      </c>
      <c r="X32" s="117">
        <f t="shared" si="1"/>
        <v>4</v>
      </c>
      <c r="Y32" s="70">
        <f>W32+X32</f>
        <v>5.9</v>
      </c>
      <c r="Z32" s="71">
        <f>'[1]cálculos teóricos'!I300</f>
        <v>12.680510486248172</v>
      </c>
      <c r="AA32" s="72">
        <f t="shared" si="3"/>
        <v>46.528095271861993</v>
      </c>
      <c r="AB32" s="3"/>
    </row>
    <row r="33" spans="1:28" ht="18" customHeight="1">
      <c r="A33" s="80">
        <v>25</v>
      </c>
      <c r="B33" s="76">
        <v>20.6</v>
      </c>
      <c r="C33" s="74">
        <f>'[1]cálculos teóricos'!K301</f>
        <v>1.0334336653601741</v>
      </c>
      <c r="D33" s="59">
        <f t="shared" si="4"/>
        <v>310.0384704207417</v>
      </c>
      <c r="E33" s="60">
        <f t="shared" si="5"/>
        <v>12.980690679575615</v>
      </c>
      <c r="F33" s="61">
        <f t="shared" si="6"/>
        <v>16.554945829469517</v>
      </c>
      <c r="G33" s="62">
        <f>'[1]cálculos teóricos'!T301</f>
        <v>39.158276063849144</v>
      </c>
      <c r="H33" s="75">
        <f t="shared" si="7"/>
        <v>42.277003723238508</v>
      </c>
      <c r="I33" s="79"/>
      <c r="J33" s="81"/>
      <c r="K33" s="81"/>
      <c r="L33" s="81"/>
      <c r="M33" s="81">
        <v>1</v>
      </c>
      <c r="N33" s="81">
        <v>0.9</v>
      </c>
      <c r="O33" s="78">
        <v>0.8</v>
      </c>
      <c r="P33" s="79">
        <v>0.8</v>
      </c>
      <c r="Q33" s="82">
        <v>0.4</v>
      </c>
      <c r="R33" s="81">
        <v>0.1</v>
      </c>
      <c r="S33" s="81"/>
      <c r="T33" s="81"/>
      <c r="U33" s="81"/>
      <c r="V33" s="78"/>
      <c r="W33" s="117">
        <f t="shared" si="0"/>
        <v>2.7</v>
      </c>
      <c r="X33" s="117">
        <f t="shared" si="1"/>
        <v>1.3000000000000003</v>
      </c>
      <c r="Y33" s="70">
        <f>W33+X33</f>
        <v>4</v>
      </c>
      <c r="Z33" s="71">
        <f>'[1]cálculos teóricos'!I301</f>
        <v>12.701891460528639</v>
      </c>
      <c r="AA33" s="72">
        <f t="shared" si="3"/>
        <v>31.491372859153092</v>
      </c>
      <c r="AB33" s="3"/>
    </row>
    <row r="34" spans="1:28" ht="18" customHeight="1">
      <c r="A34" s="80">
        <v>26</v>
      </c>
      <c r="B34" s="76">
        <v>22.7</v>
      </c>
      <c r="C34" s="74">
        <f>'[1]cálculos teóricos'!K302</f>
        <v>1.03386318636316</v>
      </c>
      <c r="D34" s="59">
        <f t="shared" si="4"/>
        <v>341.78632988141732</v>
      </c>
      <c r="E34" s="60">
        <f t="shared" si="5"/>
        <v>14.309910059475181</v>
      </c>
      <c r="F34" s="61">
        <f t="shared" si="6"/>
        <v>18.216470054343976</v>
      </c>
      <c r="G34" s="62">
        <f>'[1]cálculos teóricos'!T302</f>
        <v>39.286868896688745</v>
      </c>
      <c r="H34" s="75">
        <f t="shared" si="7"/>
        <v>46.367833746810334</v>
      </c>
      <c r="I34" s="79"/>
      <c r="J34" s="81">
        <v>0.3</v>
      </c>
      <c r="K34" s="81">
        <v>1</v>
      </c>
      <c r="L34" s="81">
        <v>0.2</v>
      </c>
      <c r="M34" s="81"/>
      <c r="N34" s="81"/>
      <c r="O34" s="77">
        <v>0.3</v>
      </c>
      <c r="P34" s="79">
        <v>0.3</v>
      </c>
      <c r="Q34" s="82"/>
      <c r="R34" s="81"/>
      <c r="S34" s="81">
        <v>0.2</v>
      </c>
      <c r="T34" s="81">
        <v>0.2</v>
      </c>
      <c r="U34" s="81"/>
      <c r="V34" s="78"/>
      <c r="W34" s="117">
        <f t="shared" si="0"/>
        <v>1.8</v>
      </c>
      <c r="X34" s="117">
        <f t="shared" si="1"/>
        <v>0.7</v>
      </c>
      <c r="Y34" s="70">
        <f t="shared" ref="Y34:Y39" si="8">W34+X34</f>
        <v>2.5</v>
      </c>
      <c r="Z34" s="71">
        <f>'[1]cálculos teóricos'!I302</f>
        <v>12.723148383033188</v>
      </c>
      <c r="AA34" s="72">
        <f t="shared" si="3"/>
        <v>19.649224584489222</v>
      </c>
      <c r="AB34" s="3"/>
    </row>
    <row r="35" spans="1:28" ht="18" customHeight="1">
      <c r="A35" s="80">
        <v>27</v>
      </c>
      <c r="B35" s="76">
        <v>7.4</v>
      </c>
      <c r="C35" s="74">
        <f>'[1]cálculos teóricos'!K303</f>
        <v>1.0342810154643007</v>
      </c>
      <c r="D35" s="59">
        <f t="shared" si="4"/>
        <v>111.46436160848616</v>
      </c>
      <c r="E35" s="60">
        <f t="shared" si="5"/>
        <v>4.6667898918240986</v>
      </c>
      <c r="F35" s="61">
        <f t="shared" si="6"/>
        <v>6.1625698447801236</v>
      </c>
      <c r="G35" s="62">
        <f>'[1]cálculos teóricos'!T303</f>
        <v>39.413338795836367</v>
      </c>
      <c r="H35" s="75">
        <f t="shared" si="7"/>
        <v>15.635746762543087</v>
      </c>
      <c r="I35" s="79"/>
      <c r="J35" s="81"/>
      <c r="K35" s="81"/>
      <c r="L35" s="81"/>
      <c r="M35" s="81"/>
      <c r="N35" s="81"/>
      <c r="O35" s="77"/>
      <c r="P35" s="82"/>
      <c r="Q35" s="82"/>
      <c r="R35" s="81"/>
      <c r="S35" s="81"/>
      <c r="T35" s="81"/>
      <c r="U35" s="81"/>
      <c r="V35" s="78"/>
      <c r="W35" s="117">
        <f t="shared" si="0"/>
        <v>0</v>
      </c>
      <c r="X35" s="117">
        <f t="shared" si="1"/>
        <v>0</v>
      </c>
      <c r="Y35" s="70">
        <f t="shared" si="8"/>
        <v>0</v>
      </c>
      <c r="Z35" s="71">
        <f>'[1]cálculos teóricos'!I303</f>
        <v>12.744274534971474</v>
      </c>
      <c r="AA35" s="72">
        <f t="shared" si="3"/>
        <v>0</v>
      </c>
      <c r="AB35" s="3"/>
    </row>
    <row r="36" spans="1:28" ht="18" customHeight="1">
      <c r="A36" s="80">
        <v>28</v>
      </c>
      <c r="B36" s="76">
        <v>10.3</v>
      </c>
      <c r="C36" s="74">
        <f>'[1]cálculos teóricos'!K304</f>
        <v>1.034687227405628</v>
      </c>
      <c r="D36" s="59">
        <f t="shared" si="4"/>
        <v>155.2072745941152</v>
      </c>
      <c r="E36" s="60">
        <f t="shared" si="5"/>
        <v>6.498218172706415</v>
      </c>
      <c r="F36" s="61">
        <f t="shared" si="6"/>
        <v>8.4518551958830201</v>
      </c>
      <c r="G36" s="62">
        <f>'[1]cálculos teóricos'!T304</f>
        <v>39.537668158777905</v>
      </c>
      <c r="H36" s="75">
        <f t="shared" si="7"/>
        <v>21.376716406090306</v>
      </c>
      <c r="I36" s="79"/>
      <c r="J36" s="81"/>
      <c r="K36" s="81"/>
      <c r="L36" s="81"/>
      <c r="M36" s="81"/>
      <c r="N36" s="81"/>
      <c r="O36" s="77"/>
      <c r="P36" s="82"/>
      <c r="Q36" s="82"/>
      <c r="R36" s="81"/>
      <c r="S36" s="81"/>
      <c r="T36" s="81"/>
      <c r="U36" s="81"/>
      <c r="V36" s="78"/>
      <c r="W36" s="117">
        <f t="shared" si="0"/>
        <v>0</v>
      </c>
      <c r="X36" s="117">
        <f t="shared" si="1"/>
        <v>0</v>
      </c>
      <c r="Y36" s="70">
        <f t="shared" si="8"/>
        <v>0</v>
      </c>
      <c r="Z36" s="71">
        <f>'[1]cálculos teóricos'!I304</f>
        <v>12.765263021597068</v>
      </c>
      <c r="AA36" s="72">
        <f t="shared" si="3"/>
        <v>0</v>
      </c>
      <c r="AB36" s="3"/>
    </row>
    <row r="37" spans="1:28" ht="18" customHeight="1">
      <c r="A37" s="80">
        <v>29</v>
      </c>
      <c r="B37" s="76">
        <v>12</v>
      </c>
      <c r="C37" s="74">
        <f>'[1]cálculos teóricos'!K305</f>
        <v>1.0350819049533166</v>
      </c>
      <c r="D37" s="59">
        <f t="shared" si="4"/>
        <v>180.89298387345153</v>
      </c>
      <c r="E37" s="60">
        <f t="shared" si="5"/>
        <v>7.5736274488136681</v>
      </c>
      <c r="F37" s="61">
        <f t="shared" si="6"/>
        <v>9.7961167910170861</v>
      </c>
      <c r="G37" s="62">
        <f>'[1]cálculos teóricos'!T305</f>
        <v>39.659840728377716</v>
      </c>
      <c r="H37" s="75">
        <f t="shared" si="7"/>
        <v>24.700343246733446</v>
      </c>
      <c r="I37" s="79"/>
      <c r="J37" s="81"/>
      <c r="K37" s="81"/>
      <c r="L37" s="81"/>
      <c r="M37" s="81"/>
      <c r="N37" s="81"/>
      <c r="O37" s="77"/>
      <c r="P37" s="79"/>
      <c r="Q37" s="82"/>
      <c r="R37" s="81"/>
      <c r="S37" s="81"/>
      <c r="T37" s="81"/>
      <c r="U37" s="81"/>
      <c r="V37" s="78"/>
      <c r="W37" s="117">
        <f t="shared" si="0"/>
        <v>0</v>
      </c>
      <c r="X37" s="117">
        <f t="shared" si="1"/>
        <v>0</v>
      </c>
      <c r="Y37" s="70">
        <f t="shared" si="8"/>
        <v>0</v>
      </c>
      <c r="Z37" s="71">
        <f>'[1]cálculos teóricos'!I305</f>
        <v>12.786106772043812</v>
      </c>
      <c r="AA37" s="72">
        <f t="shared" si="3"/>
        <v>0</v>
      </c>
      <c r="AB37" s="3"/>
    </row>
    <row r="38" spans="1:28" ht="18" customHeight="1">
      <c r="A38" s="80">
        <v>30</v>
      </c>
      <c r="B38" s="76">
        <v>30.2</v>
      </c>
      <c r="C38" s="74">
        <f>'[1]cálculos teóricos'!K306</f>
        <v>1.0354651387530205</v>
      </c>
      <c r="D38" s="59">
        <f t="shared" si="4"/>
        <v>455.41589575653433</v>
      </c>
      <c r="E38" s="60">
        <f t="shared" si="5"/>
        <v>19.067352723534579</v>
      </c>
      <c r="F38" s="61">
        <f t="shared" si="6"/>
        <v>24.163273384418225</v>
      </c>
      <c r="G38" s="62">
        <f>'[1]cálculos teóricos'!T306</f>
        <v>39.779841588149978</v>
      </c>
      <c r="H38" s="75">
        <f t="shared" si="7"/>
        <v>60.742507812339369</v>
      </c>
      <c r="I38" s="79"/>
      <c r="J38" s="81"/>
      <c r="K38" s="81"/>
      <c r="L38" s="81">
        <v>0.6</v>
      </c>
      <c r="M38" s="81">
        <v>1</v>
      </c>
      <c r="N38" s="81">
        <v>1</v>
      </c>
      <c r="O38" s="77">
        <v>1</v>
      </c>
      <c r="P38" s="82">
        <v>1</v>
      </c>
      <c r="Q38" s="81">
        <v>1</v>
      </c>
      <c r="R38" s="81">
        <v>1</v>
      </c>
      <c r="S38" s="81">
        <v>1</v>
      </c>
      <c r="T38" s="81">
        <v>1</v>
      </c>
      <c r="U38" s="81">
        <v>0.3</v>
      </c>
      <c r="V38" s="78"/>
      <c r="W38" s="117">
        <f t="shared" si="0"/>
        <v>3.6</v>
      </c>
      <c r="X38" s="117">
        <f t="shared" si="1"/>
        <v>5.3</v>
      </c>
      <c r="Y38" s="70">
        <f t="shared" si="8"/>
        <v>8.9</v>
      </c>
      <c r="Z38" s="71">
        <f>'[1]cálculos teóricos'!I306</f>
        <v>12.806798539669806</v>
      </c>
      <c r="AA38" s="72">
        <f t="shared" si="3"/>
        <v>69.494339060864661</v>
      </c>
      <c r="AB38" s="3"/>
    </row>
    <row r="39" spans="1:28" ht="18" customHeight="1" thickBot="1">
      <c r="A39" s="86">
        <v>31</v>
      </c>
      <c r="B39" s="87">
        <v>34.299999999999997</v>
      </c>
      <c r="C39" s="88">
        <f>'[1]cálculos teóricos'!K307</f>
        <v>1.0358370271705748</v>
      </c>
      <c r="D39" s="89">
        <f t="shared" si="4"/>
        <v>517.42965030031417</v>
      </c>
      <c r="E39" s="90">
        <f t="shared" si="5"/>
        <v>21.663744598773551</v>
      </c>
      <c r="F39" s="91">
        <f t="shared" si="6"/>
        <v>27.408763228466942</v>
      </c>
      <c r="G39" s="92">
        <f>'[1]cálculos teóricos'!T307</f>
        <v>39.897657154987527</v>
      </c>
      <c r="H39" s="93">
        <f t="shared" si="7"/>
        <v>68.697675961257858</v>
      </c>
      <c r="I39" s="94">
        <v>0.1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95">
        <v>1</v>
      </c>
      <c r="P39" s="94">
        <v>1</v>
      </c>
      <c r="Q39" s="87">
        <v>1</v>
      </c>
      <c r="R39" s="87">
        <v>1</v>
      </c>
      <c r="S39" s="87">
        <v>0.7</v>
      </c>
      <c r="T39" s="87"/>
      <c r="U39" s="87"/>
      <c r="V39" s="78"/>
      <c r="W39" s="117">
        <f t="shared" si="0"/>
        <v>6.1</v>
      </c>
      <c r="X39" s="117">
        <f t="shared" si="1"/>
        <v>3.7</v>
      </c>
      <c r="Y39" s="70">
        <f t="shared" si="8"/>
        <v>9.8000000000000007</v>
      </c>
      <c r="Z39" s="100">
        <f>'[1]cálculos teóricos'!I307</f>
        <v>12.82733090293323</v>
      </c>
      <c r="AA39" s="101">
        <f t="shared" si="3"/>
        <v>76.399370018271156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0.1</v>
      </c>
      <c r="J40" s="104">
        <f t="shared" ref="J40:AA40" si="9">SUM(J9:J39)</f>
        <v>5.2</v>
      </c>
      <c r="K40" s="104">
        <f t="shared" si="9"/>
        <v>11.599999999999998</v>
      </c>
      <c r="L40" s="104">
        <f t="shared" si="9"/>
        <v>12.6</v>
      </c>
      <c r="M40" s="104">
        <f t="shared" si="9"/>
        <v>15</v>
      </c>
      <c r="N40" s="104">
        <f t="shared" si="9"/>
        <v>15.9</v>
      </c>
      <c r="O40" s="104">
        <f t="shared" si="9"/>
        <v>16.400000000000002</v>
      </c>
      <c r="P40" s="104">
        <f t="shared" si="9"/>
        <v>16.3</v>
      </c>
      <c r="Q40" s="104">
        <f t="shared" si="9"/>
        <v>15.1</v>
      </c>
      <c r="R40" s="104">
        <f t="shared" si="9"/>
        <v>12.3</v>
      </c>
      <c r="S40" s="104">
        <f t="shared" si="9"/>
        <v>9.6999999999999993</v>
      </c>
      <c r="T40" s="104">
        <f t="shared" si="9"/>
        <v>8.5</v>
      </c>
      <c r="U40" s="104">
        <f t="shared" si="9"/>
        <v>0.89999999999999991</v>
      </c>
      <c r="V40" s="104">
        <f t="shared" si="9"/>
        <v>0</v>
      </c>
      <c r="W40" s="104">
        <f t="shared" si="0"/>
        <v>76.8</v>
      </c>
      <c r="X40" s="104">
        <f>SUM(P40:V40)</f>
        <v>62.800000000000004</v>
      </c>
      <c r="Y40" s="104">
        <f>W40+X40</f>
        <v>139.6</v>
      </c>
      <c r="Z40" s="104">
        <f t="shared" si="9"/>
        <v>387.58755327226424</v>
      </c>
      <c r="AA40" s="104">
        <f t="shared" si="9"/>
        <v>1118.7814672436518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210"/>
      <c r="X41" s="210"/>
      <c r="Y41" s="210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74</v>
      </c>
      <c r="B1" s="2"/>
      <c r="C1" s="3"/>
      <c r="D1" s="4"/>
      <c r="E1" s="21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77"/>
      <c r="T3" s="177"/>
      <c r="U3" s="3"/>
      <c r="V3" s="9" t="s">
        <v>63</v>
      </c>
      <c r="W3" s="3"/>
      <c r="X3" s="3"/>
      <c r="Y3" s="102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77"/>
      <c r="T4" s="177"/>
      <c r="U4" s="177"/>
      <c r="V4" s="3"/>
      <c r="W4" s="10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57">
        <v>33.299999999999997</v>
      </c>
      <c r="C9" s="74">
        <f>'[1]cálculos teóricos'!K308</f>
        <v>1.0361976761177196</v>
      </c>
      <c r="D9" s="59">
        <f>IF(B9&gt;0,B9*C9*14.25*1.022,-999)</f>
        <v>502.51913970947567</v>
      </c>
      <c r="E9" s="60">
        <f>IF(B9&gt;0,D9*4.1868/100,-999)</f>
        <v>21.039471341356325</v>
      </c>
      <c r="F9" s="61">
        <f>IF(B9&gt;0,(7.86+1.25*D9)*4.1868/100,-999)</f>
        <v>26.628421656695409</v>
      </c>
      <c r="G9" s="62">
        <f>'[1]cálculos teóricos'!T308</f>
        <v>40.013275169282224</v>
      </c>
      <c r="H9" s="63">
        <f>IF(B9&gt;0,100*F9/G9,-999)</f>
        <v>66.548967921370689</v>
      </c>
      <c r="I9" s="64"/>
      <c r="J9" s="64">
        <v>1</v>
      </c>
      <c r="K9" s="64">
        <v>1</v>
      </c>
      <c r="L9" s="64">
        <v>1</v>
      </c>
      <c r="M9" s="64">
        <v>1</v>
      </c>
      <c r="N9" s="64">
        <v>1</v>
      </c>
      <c r="O9" s="65">
        <v>1</v>
      </c>
      <c r="P9" s="64">
        <v>0.8</v>
      </c>
      <c r="Q9" s="64">
        <v>1</v>
      </c>
      <c r="R9" s="64">
        <v>1</v>
      </c>
      <c r="S9" s="64">
        <v>0.6</v>
      </c>
      <c r="T9" s="64"/>
      <c r="U9" s="64"/>
      <c r="V9" s="216"/>
      <c r="W9" s="59">
        <f t="shared" ref="W9:W38" si="0">SUM(I9:O9)</f>
        <v>6</v>
      </c>
      <c r="X9" s="203">
        <f>SUM(P9:V9)</f>
        <v>3.4</v>
      </c>
      <c r="Y9" s="217">
        <f>W9+X9</f>
        <v>9.4</v>
      </c>
      <c r="Z9" s="71">
        <f>'[1]cálculos teóricos'!I308</f>
        <v>12.847696266824101</v>
      </c>
      <c r="AA9" s="72">
        <f>100*Y9/Z9</f>
        <v>73.164867885872283</v>
      </c>
      <c r="AB9" s="3"/>
    </row>
    <row r="10" spans="1:28" ht="18" customHeight="1">
      <c r="A10" s="111">
        <v>2</v>
      </c>
      <c r="B10" s="57">
        <v>23.3</v>
      </c>
      <c r="C10" s="74">
        <f>'[1]cálculos teóricos'!K309</f>
        <v>1.0365471988625521</v>
      </c>
      <c r="D10" s="59">
        <f>IF(B10&gt;0,B10*C10*14.25*1.022,-999)</f>
        <v>351.73109454379033</v>
      </c>
      <c r="E10" s="60">
        <f>IF(B10&gt;0,D10*4.1868/100,-999)</f>
        <v>14.726277466359413</v>
      </c>
      <c r="F10" s="61">
        <f>IF(B10&gt;0,(7.86+1.25*D10)*4.1868/100,-999)</f>
        <v>18.736929312949268</v>
      </c>
      <c r="G10" s="62">
        <f>'[1]cálculos teóricos'!T309</f>
        <v>40.126684682382106</v>
      </c>
      <c r="H10" s="75">
        <f>IF(B10&gt;0,100*F10/G10,-999)</f>
        <v>46.694436535834335</v>
      </c>
      <c r="I10" s="57"/>
      <c r="J10" s="76">
        <v>0.4</v>
      </c>
      <c r="K10" s="76">
        <v>1</v>
      </c>
      <c r="L10" s="76">
        <v>1</v>
      </c>
      <c r="M10" s="76">
        <v>1</v>
      </c>
      <c r="N10" s="76">
        <v>0.5</v>
      </c>
      <c r="O10" s="77">
        <v>0.1</v>
      </c>
      <c r="P10" s="79">
        <v>0.7</v>
      </c>
      <c r="Q10" s="82">
        <v>0.1</v>
      </c>
      <c r="R10" s="82"/>
      <c r="S10" s="82"/>
      <c r="T10" s="82"/>
      <c r="U10" s="82"/>
      <c r="V10" s="218"/>
      <c r="W10" s="59">
        <f t="shared" si="0"/>
        <v>4</v>
      </c>
      <c r="X10" s="69">
        <f t="shared" ref="X10:X38" si="1">SUM(P10:V10)</f>
        <v>0.79999999999999993</v>
      </c>
      <c r="Y10" s="219">
        <f t="shared" ref="Y10:Y35" si="2">W10+X10</f>
        <v>4.8</v>
      </c>
      <c r="Z10" s="71">
        <f>'[1]cálculos teóricos'!I309</f>
        <v>12.867886864875677</v>
      </c>
      <c r="AA10" s="72">
        <f t="shared" ref="AA10:AA38" si="3">100*Y10/Z10</f>
        <v>37.302161966485201</v>
      </c>
      <c r="AB10" s="3"/>
    </row>
    <row r="11" spans="1:28" ht="18" customHeight="1">
      <c r="A11" s="111">
        <v>3</v>
      </c>
      <c r="B11" s="57">
        <v>9.6</v>
      </c>
      <c r="C11" s="74">
        <f>'[1]cálculos teóricos'!K310</f>
        <v>1.0368857158244706</v>
      </c>
      <c r="D11" s="59">
        <f t="shared" ref="D11:D38" si="4">IF(B11&gt;0,B11*C11*14.25*1.022,-999)</f>
        <v>144.9665771751329</v>
      </c>
      <c r="E11" s="60">
        <f t="shared" ref="E11:E38" si="5">IF(B11&gt;0,D11*4.1868/100,-999)</f>
        <v>6.0694606531684645</v>
      </c>
      <c r="F11" s="61">
        <f t="shared" ref="F11:F38" si="6">IF(B11&gt;0,(7.86+1.25*D11)*4.1868/100,-999)</f>
        <v>7.9159082964605805</v>
      </c>
      <c r="G11" s="62">
        <f>'[1]cálculos teóricos'!T310</f>
        <v>40.237876041340378</v>
      </c>
      <c r="H11" s="75">
        <f t="shared" ref="H11:H38" si="7">IF(B11&gt;0,100*F11/G11,-999)</f>
        <v>19.672778673327041</v>
      </c>
      <c r="I11" s="57"/>
      <c r="J11" s="76"/>
      <c r="K11" s="76"/>
      <c r="L11" s="76"/>
      <c r="M11" s="76"/>
      <c r="N11" s="76"/>
      <c r="O11" s="77"/>
      <c r="P11" s="79"/>
      <c r="Q11" s="82"/>
      <c r="R11" s="82"/>
      <c r="S11" s="82"/>
      <c r="T11" s="82"/>
      <c r="U11" s="82"/>
      <c r="V11" s="218"/>
      <c r="W11" s="59">
        <f t="shared" si="0"/>
        <v>0</v>
      </c>
      <c r="X11" s="69">
        <f t="shared" si="1"/>
        <v>0</v>
      </c>
      <c r="Y11" s="219">
        <f t="shared" si="2"/>
        <v>0</v>
      </c>
      <c r="Z11" s="71">
        <f>'[1]cálculos teóricos'!I310</f>
        <v>12.887894761778501</v>
      </c>
      <c r="AA11" s="72">
        <f t="shared" si="3"/>
        <v>0</v>
      </c>
      <c r="AB11" s="3"/>
    </row>
    <row r="12" spans="1:28" ht="18" customHeight="1">
      <c r="A12" s="111">
        <v>4</v>
      </c>
      <c r="B12" s="57">
        <v>12.1</v>
      </c>
      <c r="C12" s="74">
        <f>'[1]cálculos teóricos'!K311</f>
        <v>1.0372133543534348</v>
      </c>
      <c r="D12" s="59">
        <f t="shared" si="4"/>
        <v>182.7760259021276</v>
      </c>
      <c r="E12" s="60">
        <f t="shared" si="5"/>
        <v>7.6524666524702782</v>
      </c>
      <c r="F12" s="61">
        <f t="shared" si="6"/>
        <v>9.8946657955878479</v>
      </c>
      <c r="G12" s="62">
        <f>'[1]cálculos teóricos'!T311</f>
        <v>40.346840870923295</v>
      </c>
      <c r="H12" s="75">
        <f t="shared" si="7"/>
        <v>24.524016210445424</v>
      </c>
      <c r="I12" s="57"/>
      <c r="J12" s="76"/>
      <c r="K12" s="76"/>
      <c r="L12" s="76"/>
      <c r="M12" s="76"/>
      <c r="N12" s="76"/>
      <c r="O12" s="77"/>
      <c r="P12" s="79"/>
      <c r="Q12" s="82"/>
      <c r="R12" s="82"/>
      <c r="S12" s="82"/>
      <c r="T12" s="82"/>
      <c r="U12" s="82"/>
      <c r="V12" s="218"/>
      <c r="W12" s="59">
        <f t="shared" si="0"/>
        <v>0</v>
      </c>
      <c r="X12" s="69">
        <f t="shared" si="1"/>
        <v>0</v>
      </c>
      <c r="Y12" s="219">
        <f t="shared" si="2"/>
        <v>0</v>
      </c>
      <c r="Z12" s="71">
        <f>'[1]cálculos teóricos'!I311</f>
        <v>12.907711856619468</v>
      </c>
      <c r="AA12" s="72">
        <f t="shared" si="3"/>
        <v>0</v>
      </c>
      <c r="AB12" s="3"/>
    </row>
    <row r="13" spans="1:28" ht="18" customHeight="1">
      <c r="A13" s="73">
        <v>5</v>
      </c>
      <c r="B13" s="57">
        <v>23</v>
      </c>
      <c r="C13" s="74">
        <f>'[1]cálculos teóricos'!K312</f>
        <v>1.0375302484934286</v>
      </c>
      <c r="D13" s="59">
        <f t="shared" si="4"/>
        <v>347.53165080048308</v>
      </c>
      <c r="E13" s="60">
        <f t="shared" si="5"/>
        <v>14.550455155714626</v>
      </c>
      <c r="F13" s="61">
        <f t="shared" si="6"/>
        <v>18.517151424643281</v>
      </c>
      <c r="G13" s="62">
        <f>'[1]cálculos teóricos'!T312</f>
        <v>40.453572052854859</v>
      </c>
      <c r="H13" s="75">
        <f t="shared" si="7"/>
        <v>45.773835251061598</v>
      </c>
      <c r="I13" s="57"/>
      <c r="J13" s="76"/>
      <c r="K13" s="76">
        <v>0.3</v>
      </c>
      <c r="L13" s="76">
        <v>0.7</v>
      </c>
      <c r="M13" s="76">
        <v>0.8</v>
      </c>
      <c r="N13" s="76">
        <v>1</v>
      </c>
      <c r="O13" s="77">
        <v>0.7</v>
      </c>
      <c r="P13" s="79"/>
      <c r="Q13" s="82"/>
      <c r="R13" s="82">
        <v>0.9</v>
      </c>
      <c r="S13" s="82"/>
      <c r="T13" s="82"/>
      <c r="U13" s="82"/>
      <c r="V13" s="218"/>
      <c r="W13" s="59">
        <f t="shared" si="0"/>
        <v>3.5</v>
      </c>
      <c r="X13" s="69">
        <f t="shared" si="1"/>
        <v>0.9</v>
      </c>
      <c r="Y13" s="219">
        <f t="shared" si="2"/>
        <v>4.4000000000000004</v>
      </c>
      <c r="Z13" s="71">
        <f>'[1]cálculos teóricos'!I312</f>
        <v>12.927329886767305</v>
      </c>
      <c r="AA13" s="72">
        <f t="shared" si="3"/>
        <v>34.036417717659823</v>
      </c>
      <c r="AB13" s="3"/>
    </row>
    <row r="14" spans="1:28" ht="18" customHeight="1">
      <c r="A14" s="111">
        <v>6</v>
      </c>
      <c r="B14" s="57">
        <v>20.399999999999999</v>
      </c>
      <c r="C14" s="74">
        <f>'[1]cálculos teóricos'!K313</f>
        <v>1.0378365387300734</v>
      </c>
      <c r="D14" s="59">
        <f t="shared" si="4"/>
        <v>308.33646160862662</v>
      </c>
      <c r="E14" s="60">
        <f t="shared" si="5"/>
        <v>12.909430974629979</v>
      </c>
      <c r="F14" s="61">
        <f t="shared" si="6"/>
        <v>16.465871198287473</v>
      </c>
      <c r="G14" s="62">
        <f>'[1]cálculos teóricos'!T313</f>
        <v>40.558063702289274</v>
      </c>
      <c r="H14" s="75">
        <f t="shared" si="7"/>
        <v>40.598267508904939</v>
      </c>
      <c r="I14" s="57"/>
      <c r="J14" s="76">
        <v>0.1</v>
      </c>
      <c r="K14" s="76">
        <v>0.3</v>
      </c>
      <c r="L14" s="76">
        <v>0.5</v>
      </c>
      <c r="M14" s="76"/>
      <c r="N14" s="76">
        <v>0.3</v>
      </c>
      <c r="O14" s="77">
        <v>0.9</v>
      </c>
      <c r="P14" s="79">
        <v>0.7</v>
      </c>
      <c r="Q14" s="82">
        <v>0.3</v>
      </c>
      <c r="R14" s="82">
        <v>0.1</v>
      </c>
      <c r="S14" s="82">
        <v>0.2</v>
      </c>
      <c r="T14" s="82"/>
      <c r="U14" s="82"/>
      <c r="V14" s="218"/>
      <c r="W14" s="59">
        <f t="shared" si="0"/>
        <v>2.1</v>
      </c>
      <c r="X14" s="69">
        <f t="shared" si="1"/>
        <v>1.3</v>
      </c>
      <c r="Y14" s="219">
        <f t="shared" si="2"/>
        <v>3.4000000000000004</v>
      </c>
      <c r="Z14" s="71">
        <f>'[1]cálculos teóricos'!I313</f>
        <v>12.946740432424651</v>
      </c>
      <c r="AA14" s="72">
        <f t="shared" si="3"/>
        <v>26.261436364977406</v>
      </c>
      <c r="AB14" s="3"/>
    </row>
    <row r="15" spans="1:28" ht="18" customHeight="1">
      <c r="A15" s="73">
        <v>7</v>
      </c>
      <c r="B15" s="57">
        <v>14.3</v>
      </c>
      <c r="C15" s="74">
        <f>'[1]cálculos teóricos'!K314</f>
        <v>1.0381323717224153</v>
      </c>
      <c r="D15" s="59">
        <f t="shared" si="4"/>
        <v>216.19942337678538</v>
      </c>
      <c r="E15" s="60">
        <f t="shared" si="5"/>
        <v>9.05183745793925</v>
      </c>
      <c r="F15" s="61">
        <f t="shared" si="6"/>
        <v>11.643879302424063</v>
      </c>
      <c r="G15" s="62">
        <f>'[1]cálculos teóricos'!T314</f>
        <v>40.660311141513574</v>
      </c>
      <c r="H15" s="75">
        <f t="shared" si="7"/>
        <v>28.636965570427805</v>
      </c>
      <c r="I15" s="57"/>
      <c r="J15" s="76"/>
      <c r="K15" s="76"/>
      <c r="L15" s="76"/>
      <c r="M15" s="76"/>
      <c r="N15" s="76"/>
      <c r="O15" s="77"/>
      <c r="P15" s="79"/>
      <c r="Q15" s="79"/>
      <c r="R15" s="76">
        <v>0.2</v>
      </c>
      <c r="S15" s="76">
        <v>0.3</v>
      </c>
      <c r="T15" s="82">
        <v>0.5</v>
      </c>
      <c r="U15" s="82"/>
      <c r="V15" s="218"/>
      <c r="W15" s="59">
        <f t="shared" si="0"/>
        <v>0</v>
      </c>
      <c r="X15" s="69">
        <f t="shared" si="1"/>
        <v>1</v>
      </c>
      <c r="Y15" s="219">
        <f t="shared" si="2"/>
        <v>1</v>
      </c>
      <c r="Z15" s="71">
        <f>'[1]cálculos teóricos'!I314</f>
        <v>12.965934921865541</v>
      </c>
      <c r="AA15" s="72">
        <f t="shared" si="3"/>
        <v>7.712517500867726</v>
      </c>
      <c r="AB15" s="3"/>
    </row>
    <row r="16" spans="1:28" ht="18" customHeight="1">
      <c r="A16" s="80">
        <v>8</v>
      </c>
      <c r="B16" s="76">
        <v>8.5</v>
      </c>
      <c r="C16" s="74">
        <f>'[1]cálculos teóricos'!K315</f>
        <v>1.0384179000189673</v>
      </c>
      <c r="D16" s="59">
        <f t="shared" si="4"/>
        <v>128.54549223887295</v>
      </c>
      <c r="E16" s="60">
        <f t="shared" si="5"/>
        <v>5.3819426690571319</v>
      </c>
      <c r="F16" s="61">
        <f t="shared" si="6"/>
        <v>7.056510816321417</v>
      </c>
      <c r="G16" s="62">
        <f>'[1]cálculos teóricos'!T315</f>
        <v>40.76031087089649</v>
      </c>
      <c r="H16" s="75">
        <f t="shared" si="7"/>
        <v>17.312210494841633</v>
      </c>
      <c r="I16" s="79"/>
      <c r="J16" s="81"/>
      <c r="K16" s="81"/>
      <c r="L16" s="81"/>
      <c r="M16" s="81"/>
      <c r="N16" s="81"/>
      <c r="O16" s="78"/>
      <c r="P16" s="82"/>
      <c r="Q16" s="82">
        <v>0.2</v>
      </c>
      <c r="R16" s="81"/>
      <c r="S16" s="81"/>
      <c r="T16" s="81"/>
      <c r="U16" s="81"/>
      <c r="V16" s="218"/>
      <c r="W16" s="59">
        <f t="shared" si="0"/>
        <v>0</v>
      </c>
      <c r="X16" s="69">
        <f t="shared" si="1"/>
        <v>0.2</v>
      </c>
      <c r="Y16" s="219">
        <f t="shared" si="2"/>
        <v>0.2</v>
      </c>
      <c r="Z16" s="71">
        <f>'[1]cálculos teóricos'!I315</f>
        <v>12.984904637375484</v>
      </c>
      <c r="AA16" s="72">
        <f t="shared" si="3"/>
        <v>1.5402500486936508</v>
      </c>
      <c r="AB16" s="3"/>
    </row>
    <row r="17" spans="1:28" ht="18" customHeight="1">
      <c r="A17" s="80">
        <v>9</v>
      </c>
      <c r="B17" s="76">
        <v>16.399999999999999</v>
      </c>
      <c r="C17" s="74">
        <f>'[1]cálculos teóricos'!K316</f>
        <v>1.0386932817581682</v>
      </c>
      <c r="D17" s="59">
        <f t="shared" si="4"/>
        <v>248.08295758571535</v>
      </c>
      <c r="E17" s="60">
        <f t="shared" si="5"/>
        <v>10.386737268198731</v>
      </c>
      <c r="F17" s="61">
        <f t="shared" si="6"/>
        <v>13.312504065248413</v>
      </c>
      <c r="G17" s="62">
        <f>'[1]cálculos teóricos'!T316</f>
        <v>40.858060537111371</v>
      </c>
      <c r="H17" s="75">
        <f t="shared" si="7"/>
        <v>32.582320086281797</v>
      </c>
      <c r="I17" s="79"/>
      <c r="J17" s="81"/>
      <c r="K17" s="81"/>
      <c r="L17" s="81">
        <v>0.4</v>
      </c>
      <c r="M17" s="81">
        <v>0.1</v>
      </c>
      <c r="N17" s="81"/>
      <c r="O17" s="78"/>
      <c r="P17" s="79"/>
      <c r="Q17" s="82"/>
      <c r="R17" s="81"/>
      <c r="S17" s="81"/>
      <c r="T17" s="81">
        <v>0.1</v>
      </c>
      <c r="U17" s="81"/>
      <c r="V17" s="218"/>
      <c r="W17" s="59">
        <f t="shared" si="0"/>
        <v>0.5</v>
      </c>
      <c r="X17" s="69">
        <f t="shared" si="1"/>
        <v>0.1</v>
      </c>
      <c r="Y17" s="219">
        <f t="shared" si="2"/>
        <v>0.6</v>
      </c>
      <c r="Z17" s="71">
        <f>'[1]cálculos teóricos'!I316</f>
        <v>13.003640721909486</v>
      </c>
      <c r="AA17" s="72">
        <f t="shared" si="3"/>
        <v>4.6140924132814289</v>
      </c>
      <c r="AB17" s="3"/>
    </row>
    <row r="18" spans="1:28" ht="18" customHeight="1">
      <c r="A18" s="80">
        <v>10</v>
      </c>
      <c r="B18" s="76">
        <v>32</v>
      </c>
      <c r="C18" s="74">
        <f>'[1]cálculos teóricos'!K317</f>
        <v>1.0389586803534896</v>
      </c>
      <c r="D18" s="59">
        <f t="shared" si="4"/>
        <v>484.18799172249749</v>
      </c>
      <c r="E18" s="60">
        <f t="shared" si="5"/>
        <v>20.271982837437523</v>
      </c>
      <c r="F18" s="61">
        <f t="shared" si="6"/>
        <v>25.669061026796903</v>
      </c>
      <c r="G18" s="62">
        <f>'[1]cálculos teóricos'!T317</f>
        <v>40.95355889867507</v>
      </c>
      <c r="H18" s="75">
        <f t="shared" si="7"/>
        <v>62.678462426930494</v>
      </c>
      <c r="I18" s="79"/>
      <c r="J18" s="81">
        <v>0.7</v>
      </c>
      <c r="K18" s="81">
        <v>0.9</v>
      </c>
      <c r="L18" s="81">
        <v>0.9</v>
      </c>
      <c r="M18" s="81">
        <v>0.5</v>
      </c>
      <c r="N18" s="81">
        <v>0.8</v>
      </c>
      <c r="O18" s="78">
        <v>0.8</v>
      </c>
      <c r="P18" s="82">
        <v>0.9</v>
      </c>
      <c r="Q18" s="81">
        <v>0.8</v>
      </c>
      <c r="R18" s="81">
        <v>1</v>
      </c>
      <c r="S18" s="81">
        <v>0.7</v>
      </c>
      <c r="T18" s="81">
        <v>1</v>
      </c>
      <c r="U18" s="81">
        <v>0.5</v>
      </c>
      <c r="V18" s="218"/>
      <c r="W18" s="59">
        <f t="shared" si="0"/>
        <v>4.5999999999999996</v>
      </c>
      <c r="X18" s="69">
        <f t="shared" si="1"/>
        <v>4.9000000000000004</v>
      </c>
      <c r="Y18" s="219">
        <f t="shared" si="2"/>
        <v>9.5</v>
      </c>
      <c r="Z18" s="71">
        <f>'[1]cálculos teóricos'!I317</f>
        <v>13.022134186481196</v>
      </c>
      <c r="AA18" s="72">
        <f t="shared" si="3"/>
        <v>72.952711621281978</v>
      </c>
      <c r="AB18" s="3"/>
    </row>
    <row r="19" spans="1:28" ht="18" customHeight="1">
      <c r="A19" s="85">
        <v>11</v>
      </c>
      <c r="B19" s="76">
        <v>39.4</v>
      </c>
      <c r="C19" s="74">
        <f>'[1]cálculos teóricos'!K318</f>
        <v>1.0392142641634872</v>
      </c>
      <c r="D19" s="59">
        <f t="shared" si="4"/>
        <v>596.30311928411083</v>
      </c>
      <c r="E19" s="60">
        <f t="shared" si="5"/>
        <v>24.966018998187153</v>
      </c>
      <c r="F19" s="61">
        <f t="shared" si="6"/>
        <v>31.536606227733941</v>
      </c>
      <c r="G19" s="62">
        <f>'[1]cálculos teóricos'!T318</f>
        <v>41.046805788856631</v>
      </c>
      <c r="H19" s="75">
        <f t="shared" si="7"/>
        <v>76.830841332592769</v>
      </c>
      <c r="I19" s="79"/>
      <c r="J19" s="81">
        <v>0.7</v>
      </c>
      <c r="K19" s="81">
        <v>1</v>
      </c>
      <c r="L19" s="81">
        <v>1</v>
      </c>
      <c r="M19" s="81">
        <v>1</v>
      </c>
      <c r="N19" s="81">
        <v>1</v>
      </c>
      <c r="O19" s="78">
        <v>1</v>
      </c>
      <c r="P19" s="82">
        <v>1</v>
      </c>
      <c r="Q19" s="81">
        <v>1</v>
      </c>
      <c r="R19" s="81">
        <v>1</v>
      </c>
      <c r="S19" s="81">
        <v>1</v>
      </c>
      <c r="T19" s="81">
        <v>1</v>
      </c>
      <c r="U19" s="81">
        <v>0.9</v>
      </c>
      <c r="V19" s="218"/>
      <c r="W19" s="59">
        <f t="shared" si="0"/>
        <v>5.7</v>
      </c>
      <c r="X19" s="69">
        <f t="shared" si="1"/>
        <v>5.9</v>
      </c>
      <c r="Y19" s="219">
        <f t="shared" si="2"/>
        <v>11.600000000000001</v>
      </c>
      <c r="Z19" s="71">
        <f>'[1]cálculos teóricos'!I318</f>
        <v>13.040375918294128</v>
      </c>
      <c r="AA19" s="72">
        <f t="shared" si="3"/>
        <v>88.954490826652886</v>
      </c>
      <c r="AB19" s="3"/>
    </row>
    <row r="20" spans="1:28" ht="18" customHeight="1">
      <c r="A20" s="85">
        <v>12</v>
      </c>
      <c r="B20" s="76">
        <v>25.5</v>
      </c>
      <c r="C20" s="74">
        <f>'[1]cálculos teóricos'!K319</f>
        <v>1.0394602061471769</v>
      </c>
      <c r="D20" s="59">
        <f t="shared" si="4"/>
        <v>386.02355716172252</v>
      </c>
      <c r="E20" s="60">
        <f t="shared" si="5"/>
        <v>16.162034291246997</v>
      </c>
      <c r="F20" s="61">
        <f t="shared" si="6"/>
        <v>20.53162534405875</v>
      </c>
      <c r="G20" s="62">
        <f>'[1]cálculos teóricos'!T319</f>
        <v>41.137802076023092</v>
      </c>
      <c r="H20" s="75">
        <f t="shared" si="7"/>
        <v>49.909388221850278</v>
      </c>
      <c r="I20" s="79"/>
      <c r="J20" s="81">
        <v>1</v>
      </c>
      <c r="K20" s="81">
        <v>1</v>
      </c>
      <c r="L20" s="81">
        <v>1</v>
      </c>
      <c r="M20" s="81">
        <v>1</v>
      </c>
      <c r="N20" s="81">
        <v>0.9</v>
      </c>
      <c r="O20" s="78">
        <v>0.9</v>
      </c>
      <c r="P20" s="82">
        <v>0.9</v>
      </c>
      <c r="Q20" s="81">
        <v>0.5</v>
      </c>
      <c r="R20" s="81"/>
      <c r="S20" s="81"/>
      <c r="T20" s="81"/>
      <c r="U20" s="81"/>
      <c r="V20" s="218"/>
      <c r="W20" s="59">
        <f t="shared" si="0"/>
        <v>5.8000000000000007</v>
      </c>
      <c r="X20" s="69">
        <f t="shared" si="1"/>
        <v>1.4</v>
      </c>
      <c r="Y20" s="219">
        <f t="shared" si="2"/>
        <v>7.2000000000000011</v>
      </c>
      <c r="Z20" s="71">
        <f>'[1]cálculos teóricos'!I319</f>
        <v>13.058356689623087</v>
      </c>
      <c r="AA20" s="72">
        <f t="shared" si="3"/>
        <v>55.137106231150284</v>
      </c>
      <c r="AB20" s="3"/>
    </row>
    <row r="21" spans="1:28" ht="18" customHeight="1">
      <c r="A21" s="85">
        <v>13</v>
      </c>
      <c r="B21" s="76">
        <v>9.5</v>
      </c>
      <c r="C21" s="74">
        <f>'[1]cálculos teóricos'!K320</f>
        <v>1.0396966835051891</v>
      </c>
      <c r="D21" s="59">
        <f t="shared" si="4"/>
        <v>143.84541517716428</v>
      </c>
      <c r="E21" s="60">
        <f t="shared" si="5"/>
        <v>6.0225198426375144</v>
      </c>
      <c r="F21" s="61">
        <f t="shared" si="6"/>
        <v>7.8572322832968942</v>
      </c>
      <c r="G21" s="62">
        <f>'[1]cálculos teóricos'!T320</f>
        <v>41.226549621502578</v>
      </c>
      <c r="H21" s="75">
        <f t="shared" si="7"/>
        <v>19.058670578628263</v>
      </c>
      <c r="I21" s="79"/>
      <c r="J21" s="81"/>
      <c r="K21" s="81"/>
      <c r="L21" s="81"/>
      <c r="M21" s="81"/>
      <c r="N21" s="81"/>
      <c r="O21" s="78"/>
      <c r="P21" s="82"/>
      <c r="Q21" s="81"/>
      <c r="R21" s="81"/>
      <c r="S21" s="81"/>
      <c r="T21" s="81"/>
      <c r="U21" s="81"/>
      <c r="V21" s="218"/>
      <c r="W21" s="59">
        <f t="shared" si="0"/>
        <v>0</v>
      </c>
      <c r="X21" s="69">
        <f t="shared" si="1"/>
        <v>0</v>
      </c>
      <c r="Y21" s="219">
        <f t="shared" si="2"/>
        <v>0</v>
      </c>
      <c r="Z21" s="71">
        <f>'[1]cálculos teóricos'!I320</f>
        <v>13.076067167451267</v>
      </c>
      <c r="AA21" s="72">
        <f t="shared" si="3"/>
        <v>0</v>
      </c>
      <c r="AB21" s="3"/>
    </row>
    <row r="22" spans="1:28" ht="18" customHeight="1">
      <c r="A22" s="85">
        <v>14</v>
      </c>
      <c r="B22" s="76">
        <v>10.7</v>
      </c>
      <c r="C22" s="74">
        <f>'[1]cálculos teóricos'!K321</f>
        <v>1.0399238773072104</v>
      </c>
      <c r="D22" s="59">
        <f t="shared" si="4"/>
        <v>162.05076584265007</v>
      </c>
      <c r="E22" s="60">
        <f t="shared" si="5"/>
        <v>6.7847414643000725</v>
      </c>
      <c r="F22" s="61">
        <f t="shared" si="6"/>
        <v>8.8100093103750918</v>
      </c>
      <c r="G22" s="62">
        <f>'[1]cálculos teóricos'!T321</f>
        <v>41.31305123505652</v>
      </c>
      <c r="H22" s="75">
        <f t="shared" si="7"/>
        <v>21.325002746103845</v>
      </c>
      <c r="I22" s="79"/>
      <c r="J22" s="81"/>
      <c r="K22" s="81"/>
      <c r="L22" s="81"/>
      <c r="M22" s="81"/>
      <c r="N22" s="81"/>
      <c r="O22" s="78"/>
      <c r="P22" s="82"/>
      <c r="Q22" s="81"/>
      <c r="R22" s="81"/>
      <c r="S22" s="81"/>
      <c r="T22" s="81"/>
      <c r="U22" s="81"/>
      <c r="V22" s="218"/>
      <c r="W22" s="59">
        <f t="shared" si="0"/>
        <v>0</v>
      </c>
      <c r="X22" s="69">
        <f t="shared" si="1"/>
        <v>0</v>
      </c>
      <c r="Y22" s="219">
        <f t="shared" si="2"/>
        <v>0</v>
      </c>
      <c r="Z22" s="71">
        <f>'[1]cálculos teóricos'!I321</f>
        <v>13.093497923865337</v>
      </c>
      <c r="AA22" s="72">
        <f t="shared" si="3"/>
        <v>0</v>
      </c>
      <c r="AB22" s="3"/>
    </row>
    <row r="23" spans="1:28" ht="18" customHeight="1">
      <c r="A23" s="85">
        <v>15</v>
      </c>
      <c r="B23" s="76">
        <v>22.6</v>
      </c>
      <c r="C23" s="74">
        <f>'[1]cálculos teóricos'!K322</f>
        <v>1.0401419721063272</v>
      </c>
      <c r="D23" s="59">
        <f t="shared" si="4"/>
        <v>342.34723200341318</v>
      </c>
      <c r="E23" s="60">
        <f t="shared" si="5"/>
        <v>14.333393909518902</v>
      </c>
      <c r="F23" s="61">
        <f t="shared" si="6"/>
        <v>18.24582486689863</v>
      </c>
      <c r="G23" s="62">
        <f>'[1]cálculos teóricos'!T322</f>
        <v>41.397310628066037</v>
      </c>
      <c r="H23" s="75">
        <f t="shared" si="7"/>
        <v>44.07490387679568</v>
      </c>
      <c r="I23" s="79"/>
      <c r="J23" s="81"/>
      <c r="K23" s="81"/>
      <c r="L23" s="81"/>
      <c r="M23" s="81"/>
      <c r="N23" s="81"/>
      <c r="O23" s="78">
        <v>0.2</v>
      </c>
      <c r="P23" s="82">
        <v>0.8</v>
      </c>
      <c r="Q23" s="81">
        <v>0.8</v>
      </c>
      <c r="R23" s="81">
        <v>1</v>
      </c>
      <c r="S23" s="81">
        <v>0.1</v>
      </c>
      <c r="T23" s="81"/>
      <c r="U23" s="81"/>
      <c r="V23" s="218"/>
      <c r="W23" s="59">
        <f t="shared" si="0"/>
        <v>0.2</v>
      </c>
      <c r="X23" s="69">
        <f t="shared" si="1"/>
        <v>2.7</v>
      </c>
      <c r="Y23" s="219">
        <f t="shared" si="2"/>
        <v>2.9000000000000004</v>
      </c>
      <c r="Z23" s="71">
        <f>'[1]cálculos teóricos'!I322</f>
        <v>13.110639447207307</v>
      </c>
      <c r="AA23" s="72">
        <f t="shared" si="3"/>
        <v>22.119439800609641</v>
      </c>
      <c r="AB23" s="3"/>
    </row>
    <row r="24" spans="1:28" ht="18" customHeight="1">
      <c r="A24" s="85">
        <v>16</v>
      </c>
      <c r="B24" s="76">
        <v>15.8</v>
      </c>
      <c r="C24" s="74">
        <f>'[1]cálculos teóricos'!K323</f>
        <v>1.0403511555409204</v>
      </c>
      <c r="D24" s="59">
        <f t="shared" si="4"/>
        <v>239.38823404877905</v>
      </c>
      <c r="E24" s="60">
        <f t="shared" si="5"/>
        <v>10.022706583154282</v>
      </c>
      <c r="F24" s="61">
        <f t="shared" si="6"/>
        <v>12.857465708942851</v>
      </c>
      <c r="G24" s="62">
        <f>'[1]cálculos teóricos'!T323</f>
        <v>41.479332364548611</v>
      </c>
      <c r="H24" s="75">
        <f t="shared" si="7"/>
        <v>30.99728220295999</v>
      </c>
      <c r="I24" s="79"/>
      <c r="J24" s="81"/>
      <c r="K24" s="81">
        <v>0.2</v>
      </c>
      <c r="L24" s="81"/>
      <c r="M24" s="81"/>
      <c r="N24" s="81">
        <v>0.1</v>
      </c>
      <c r="O24" s="78"/>
      <c r="P24" s="82">
        <v>0.2</v>
      </c>
      <c r="Q24" s="81">
        <v>0.5</v>
      </c>
      <c r="R24" s="81">
        <v>0.4</v>
      </c>
      <c r="S24" s="81">
        <v>0.4</v>
      </c>
      <c r="T24" s="81">
        <v>0.3</v>
      </c>
      <c r="U24" s="81">
        <v>0.2</v>
      </c>
      <c r="V24" s="218"/>
      <c r="W24" s="59">
        <f t="shared" si="0"/>
        <v>0.30000000000000004</v>
      </c>
      <c r="X24" s="69">
        <f t="shared" si="1"/>
        <v>2</v>
      </c>
      <c r="Y24" s="219">
        <f t="shared" si="2"/>
        <v>2.2999999999999998</v>
      </c>
      <c r="Z24" s="71">
        <f>'[1]cálculos teóricos'!I323</f>
        <v>13.127482153978651</v>
      </c>
      <c r="AA24" s="72">
        <f t="shared" si="3"/>
        <v>17.520496109019049</v>
      </c>
      <c r="AB24" s="3"/>
    </row>
    <row r="25" spans="1:28" ht="18" customHeight="1">
      <c r="A25" s="85">
        <v>17</v>
      </c>
      <c r="B25" s="76">
        <v>25.9</v>
      </c>
      <c r="C25" s="74">
        <f>'[1]cálculos teóricos'!K324</f>
        <v>1.0405516179248628</v>
      </c>
      <c r="D25" s="59">
        <f t="shared" si="4"/>
        <v>392.4905033301024</v>
      </c>
      <c r="E25" s="60">
        <f t="shared" si="5"/>
        <v>16.432792393424727</v>
      </c>
      <c r="F25" s="61">
        <f t="shared" si="6"/>
        <v>20.87007297178091</v>
      </c>
      <c r="G25" s="62">
        <f>'[1]cálculos teóricos'!T324</f>
        <v>41.559121810132794</v>
      </c>
      <c r="H25" s="75">
        <f t="shared" si="7"/>
        <v>50.217791095605982</v>
      </c>
      <c r="I25" s="79"/>
      <c r="J25" s="81"/>
      <c r="K25" s="81"/>
      <c r="L25" s="81">
        <v>0.3</v>
      </c>
      <c r="M25" s="81">
        <v>0.2</v>
      </c>
      <c r="N25" s="81">
        <v>0.1</v>
      </c>
      <c r="O25" s="78">
        <v>0.3</v>
      </c>
      <c r="P25" s="82">
        <v>1</v>
      </c>
      <c r="Q25" s="81">
        <v>0.8</v>
      </c>
      <c r="R25" s="81">
        <v>0.4</v>
      </c>
      <c r="S25" s="81">
        <v>1</v>
      </c>
      <c r="T25" s="81">
        <v>0.7</v>
      </c>
      <c r="U25" s="81"/>
      <c r="V25" s="218"/>
      <c r="W25" s="59">
        <f t="shared" si="0"/>
        <v>0.89999999999999991</v>
      </c>
      <c r="X25" s="69">
        <f t="shared" si="1"/>
        <v>3.9000000000000004</v>
      </c>
      <c r="Y25" s="219">
        <f t="shared" si="2"/>
        <v>4.8000000000000007</v>
      </c>
      <c r="Z25" s="71">
        <f>'[1]cálculos teóricos'!I324</f>
        <v>13.144016401488095</v>
      </c>
      <c r="AA25" s="72">
        <f t="shared" si="3"/>
        <v>36.51851803423321</v>
      </c>
      <c r="AB25" s="3"/>
    </row>
    <row r="26" spans="1:28" ht="18" customHeight="1">
      <c r="A26" s="85">
        <v>18</v>
      </c>
      <c r="B26" s="76">
        <v>34.6</v>
      </c>
      <c r="C26" s="74">
        <f>'[1]cálculos teóricos'!K325</f>
        <v>1.0407435518268184</v>
      </c>
      <c r="D26" s="59">
        <f t="shared" si="4"/>
        <v>524.42765760923362</v>
      </c>
      <c r="E26" s="60">
        <f t="shared" si="5"/>
        <v>21.956737168783391</v>
      </c>
      <c r="F26" s="61">
        <f t="shared" si="6"/>
        <v>27.775003940979239</v>
      </c>
      <c r="G26" s="62">
        <f>'[1]cálculos teóricos'!T325</f>
        <v>41.636685079129691</v>
      </c>
      <c r="H26" s="75">
        <f t="shared" si="7"/>
        <v>66.708009747157817</v>
      </c>
      <c r="I26" s="79"/>
      <c r="J26" s="81">
        <v>0.4</v>
      </c>
      <c r="K26" s="81">
        <v>1</v>
      </c>
      <c r="L26" s="81">
        <v>1</v>
      </c>
      <c r="M26" s="81">
        <v>1</v>
      </c>
      <c r="N26" s="81">
        <v>1</v>
      </c>
      <c r="O26" s="78">
        <v>1</v>
      </c>
      <c r="P26" s="82">
        <v>1</v>
      </c>
      <c r="Q26" s="81">
        <v>1</v>
      </c>
      <c r="R26" s="81">
        <v>1</v>
      </c>
      <c r="S26" s="81">
        <v>1</v>
      </c>
      <c r="T26" s="81">
        <v>1</v>
      </c>
      <c r="U26" s="81">
        <v>0.8</v>
      </c>
      <c r="V26" s="218"/>
      <c r="W26" s="59">
        <f t="shared" si="0"/>
        <v>5.4</v>
      </c>
      <c r="X26" s="69">
        <f t="shared" si="1"/>
        <v>5.8</v>
      </c>
      <c r="Y26" s="219">
        <f t="shared" si="2"/>
        <v>11.2</v>
      </c>
      <c r="Z26" s="71">
        <f>'[1]cálculos teóricos'!I325</f>
        <v>13.160232501230519</v>
      </c>
      <c r="AA26" s="72">
        <f t="shared" si="3"/>
        <v>85.104879408116602</v>
      </c>
      <c r="AB26" s="3"/>
    </row>
    <row r="27" spans="1:28" ht="18" customHeight="1">
      <c r="A27" s="80">
        <v>19</v>
      </c>
      <c r="B27" s="76">
        <v>35.6</v>
      </c>
      <c r="C27" s="74">
        <f>'[1]cálculos teóricos'!K326</f>
        <v>1.0409271516395178</v>
      </c>
      <c r="D27" s="59">
        <f t="shared" si="4"/>
        <v>539.67971559531543</v>
      </c>
      <c r="E27" s="60">
        <f t="shared" si="5"/>
        <v>22.595310332544663</v>
      </c>
      <c r="F27" s="61">
        <f t="shared" si="6"/>
        <v>28.573220395680831</v>
      </c>
      <c r="G27" s="62">
        <f>'[1]cálculos teóricos'!T326</f>
        <v>41.712028979849315</v>
      </c>
      <c r="H27" s="75">
        <f t="shared" si="7"/>
        <v>68.501152052527303</v>
      </c>
      <c r="I27" s="79"/>
      <c r="J27" s="81"/>
      <c r="K27" s="81">
        <v>0.1</v>
      </c>
      <c r="L27" s="81">
        <v>0.8</v>
      </c>
      <c r="M27" s="81">
        <v>1</v>
      </c>
      <c r="N27" s="81">
        <v>1</v>
      </c>
      <c r="O27" s="78">
        <v>1</v>
      </c>
      <c r="P27" s="82">
        <v>1</v>
      </c>
      <c r="Q27" s="81">
        <v>1</v>
      </c>
      <c r="R27" s="81">
        <v>1</v>
      </c>
      <c r="S27" s="81">
        <v>1</v>
      </c>
      <c r="T27" s="81">
        <v>0.2</v>
      </c>
      <c r="U27" s="81"/>
      <c r="V27" s="218"/>
      <c r="W27" s="59">
        <f t="shared" si="0"/>
        <v>3.9</v>
      </c>
      <c r="X27" s="69">
        <f t="shared" si="1"/>
        <v>4.2</v>
      </c>
      <c r="Y27" s="219">
        <f t="shared" si="2"/>
        <v>8.1</v>
      </c>
      <c r="Z27" s="71">
        <f>'[1]cálculos teóricos'!I326</f>
        <v>13.176120732980356</v>
      </c>
      <c r="AA27" s="72">
        <f t="shared" si="3"/>
        <v>61.474846536017054</v>
      </c>
      <c r="AB27" s="3"/>
    </row>
    <row r="28" spans="1:28" ht="18" customHeight="1">
      <c r="A28" s="80">
        <v>20</v>
      </c>
      <c r="B28" s="76">
        <v>32.5</v>
      </c>
      <c r="C28" s="74">
        <f>'[1]cálculos teóricos'!K327</f>
        <v>1.0411026131399503</v>
      </c>
      <c r="D28" s="59">
        <f t="shared" si="4"/>
        <v>492.76818196006923</v>
      </c>
      <c r="E28" s="60">
        <f t="shared" si="5"/>
        <v>20.631218242304175</v>
      </c>
      <c r="F28" s="61">
        <f t="shared" si="6"/>
        <v>26.118105282880222</v>
      </c>
      <c r="G28" s="62">
        <f>'[1]cálculos teóricos'!T327</f>
        <v>41.785160958320809</v>
      </c>
      <c r="H28" s="75">
        <f t="shared" si="7"/>
        <v>62.505695045502137</v>
      </c>
      <c r="I28" s="79"/>
      <c r="J28" s="81">
        <v>0.4</v>
      </c>
      <c r="K28" s="81">
        <v>0.9</v>
      </c>
      <c r="L28" s="81">
        <v>0.8</v>
      </c>
      <c r="M28" s="81">
        <v>1</v>
      </c>
      <c r="N28" s="81">
        <v>1</v>
      </c>
      <c r="O28" s="78">
        <v>1</v>
      </c>
      <c r="P28" s="82">
        <v>0.9</v>
      </c>
      <c r="Q28" s="81">
        <v>1</v>
      </c>
      <c r="R28" s="81">
        <v>0.7</v>
      </c>
      <c r="S28" s="81">
        <v>0.6</v>
      </c>
      <c r="T28" s="81"/>
      <c r="U28" s="81"/>
      <c r="V28" s="218"/>
      <c r="W28" s="59">
        <f t="shared" si="0"/>
        <v>5.0999999999999996</v>
      </c>
      <c r="X28" s="69">
        <f t="shared" si="1"/>
        <v>3.1999999999999997</v>
      </c>
      <c r="Y28" s="219">
        <f t="shared" si="2"/>
        <v>8.2999999999999989</v>
      </c>
      <c r="Z28" s="71">
        <f>'[1]cálculos teóricos'!I327</f>
        <v>13.191671359578162</v>
      </c>
      <c r="AA28" s="72">
        <f t="shared" si="3"/>
        <v>62.918486776685533</v>
      </c>
      <c r="AB28" s="3"/>
    </row>
    <row r="29" spans="1:28" ht="18" customHeight="1">
      <c r="A29" s="80">
        <v>21</v>
      </c>
      <c r="B29" s="76">
        <v>15.2</v>
      </c>
      <c r="C29" s="74">
        <f>'[1]cálculos teóricos'!K328</f>
        <v>1.0412701330414673</v>
      </c>
      <c r="D29" s="59">
        <f t="shared" si="4"/>
        <v>230.50097125475102</v>
      </c>
      <c r="E29" s="60">
        <f t="shared" si="5"/>
        <v>9.650614664493915</v>
      </c>
      <c r="F29" s="61">
        <f t="shared" si="6"/>
        <v>12.392350810617394</v>
      </c>
      <c r="G29" s="62">
        <f>'[1]cálculos teóricos'!T328</f>
        <v>41.856089040582916</v>
      </c>
      <c r="H29" s="75">
        <f t="shared" si="7"/>
        <v>29.607044266849666</v>
      </c>
      <c r="I29" s="79"/>
      <c r="J29" s="81"/>
      <c r="K29" s="81"/>
      <c r="L29" s="81"/>
      <c r="M29" s="81"/>
      <c r="N29" s="81">
        <v>0.1</v>
      </c>
      <c r="O29" s="77"/>
      <c r="P29" s="82">
        <v>0.7</v>
      </c>
      <c r="Q29" s="81">
        <v>0.1</v>
      </c>
      <c r="R29" s="81"/>
      <c r="S29" s="81"/>
      <c r="T29" s="81"/>
      <c r="U29" s="81"/>
      <c r="V29" s="218"/>
      <c r="W29" s="59">
        <f t="shared" si="0"/>
        <v>0.1</v>
      </c>
      <c r="X29" s="69">
        <f t="shared" si="1"/>
        <v>0.79999999999999993</v>
      </c>
      <c r="Y29" s="219">
        <f t="shared" si="2"/>
        <v>0.89999999999999991</v>
      </c>
      <c r="Z29" s="71">
        <f>'[1]cálculos teóricos'!I328</f>
        <v>13.206874642384781</v>
      </c>
      <c r="AA29" s="72">
        <f t="shared" si="3"/>
        <v>6.8146327149319088</v>
      </c>
      <c r="AB29" s="3"/>
    </row>
    <row r="30" spans="1:28" ht="18" customHeight="1">
      <c r="A30" s="85">
        <v>22</v>
      </c>
      <c r="B30" s="76">
        <v>15.1</v>
      </c>
      <c r="C30" s="74">
        <f>'[1]cálculos teóricos'!K329</f>
        <v>1.0414299085388574</v>
      </c>
      <c r="D30" s="59">
        <f t="shared" si="4"/>
        <v>229.0196535423853</v>
      </c>
      <c r="E30" s="60">
        <f t="shared" si="5"/>
        <v>9.5885948545125874</v>
      </c>
      <c r="F30" s="61">
        <f t="shared" si="6"/>
        <v>12.314826048140732</v>
      </c>
      <c r="G30" s="62">
        <f>'[1]cálculos teóricos'!T329</f>
        <v>41.924821773720296</v>
      </c>
      <c r="H30" s="75">
        <f t="shared" si="7"/>
        <v>29.373591889328019</v>
      </c>
      <c r="I30" s="79"/>
      <c r="J30" s="81"/>
      <c r="K30" s="81"/>
      <c r="L30" s="81"/>
      <c r="M30" s="81"/>
      <c r="N30" s="81">
        <v>0.2</v>
      </c>
      <c r="O30" s="78"/>
      <c r="P30" s="82"/>
      <c r="Q30" s="81"/>
      <c r="R30" s="81">
        <v>0.4</v>
      </c>
      <c r="S30" s="81">
        <v>0.3</v>
      </c>
      <c r="T30" s="81">
        <v>0.1</v>
      </c>
      <c r="U30" s="81"/>
      <c r="V30" s="218"/>
      <c r="W30" s="59">
        <f t="shared" si="0"/>
        <v>0.2</v>
      </c>
      <c r="X30" s="69">
        <f t="shared" si="1"/>
        <v>0.79999999999999993</v>
      </c>
      <c r="Y30" s="219">
        <f t="shared" si="2"/>
        <v>1</v>
      </c>
      <c r="Z30" s="71">
        <f>'[1]cálculos teóricos'!I329</f>
        <v>13.221720857372709</v>
      </c>
      <c r="AA30" s="72">
        <f t="shared" si="3"/>
        <v>7.5633119983952692</v>
      </c>
      <c r="AB30" s="3"/>
    </row>
    <row r="31" spans="1:28" ht="18" customHeight="1">
      <c r="A31" s="85">
        <v>23</v>
      </c>
      <c r="B31" s="76">
        <v>24.1</v>
      </c>
      <c r="C31" s="74">
        <f>'[1]cálculos teóricos'!K330</f>
        <v>1.0415821368474991</v>
      </c>
      <c r="D31" s="59">
        <f t="shared" si="4"/>
        <v>365.57486294448319</v>
      </c>
      <c r="E31" s="60">
        <f t="shared" si="5"/>
        <v>15.305888361759621</v>
      </c>
      <c r="F31" s="61">
        <f t="shared" si="6"/>
        <v>19.461442932199528</v>
      </c>
      <c r="G31" s="62">
        <f>'[1]cálculos teóricos'!T330</f>
        <v>41.991368165827453</v>
      </c>
      <c r="H31" s="75">
        <f t="shared" si="7"/>
        <v>46.346293970095587</v>
      </c>
      <c r="I31" s="79"/>
      <c r="J31" s="81"/>
      <c r="K31" s="81"/>
      <c r="L31" s="81"/>
      <c r="M31" s="81">
        <v>0.4</v>
      </c>
      <c r="N31" s="81">
        <v>0.1</v>
      </c>
      <c r="O31" s="78">
        <v>0.3</v>
      </c>
      <c r="P31" s="82">
        <v>0.4</v>
      </c>
      <c r="Q31" s="81">
        <v>0.9</v>
      </c>
      <c r="R31" s="81">
        <v>0.8</v>
      </c>
      <c r="S31" s="81">
        <v>0.1</v>
      </c>
      <c r="T31" s="81">
        <v>0.2</v>
      </c>
      <c r="U31" s="81"/>
      <c r="V31" s="218"/>
      <c r="W31" s="59">
        <f t="shared" si="0"/>
        <v>0.8</v>
      </c>
      <c r="X31" s="69">
        <f t="shared" si="1"/>
        <v>2.4000000000000004</v>
      </c>
      <c r="Y31" s="219">
        <f t="shared" si="2"/>
        <v>3.2</v>
      </c>
      <c r="Z31" s="71">
        <f>'[1]cálculos teóricos'!I330</f>
        <v>13.236200311819495</v>
      </c>
      <c r="AA31" s="72">
        <f t="shared" si="3"/>
        <v>24.176122486923262</v>
      </c>
      <c r="AB31" s="3"/>
    </row>
    <row r="32" spans="1:28" ht="18" customHeight="1">
      <c r="A32" s="85">
        <v>24</v>
      </c>
      <c r="B32" s="76">
        <v>26.8</v>
      </c>
      <c r="C32" s="74">
        <f>'[1]cálculos teóricos'!K331</f>
        <v>1.0417270147377604</v>
      </c>
      <c r="D32" s="59">
        <f t="shared" si="4"/>
        <v>406.58792896077443</v>
      </c>
      <c r="E32" s="60">
        <f t="shared" si="5"/>
        <v>17.023023409729703</v>
      </c>
      <c r="F32" s="61">
        <f t="shared" si="6"/>
        <v>21.607861742162125</v>
      </c>
      <c r="G32" s="62">
        <f>'[1]cálculos teóricos'!T331</f>
        <v>42.055737625089591</v>
      </c>
      <c r="H32" s="75">
        <f t="shared" si="7"/>
        <v>51.379105354869154</v>
      </c>
      <c r="I32" s="79"/>
      <c r="J32" s="81"/>
      <c r="K32" s="81">
        <v>0.1</v>
      </c>
      <c r="L32" s="81"/>
      <c r="M32" s="81"/>
      <c r="N32" s="81"/>
      <c r="O32" s="78">
        <v>0.7</v>
      </c>
      <c r="P32" s="82">
        <v>0.9</v>
      </c>
      <c r="Q32" s="81">
        <v>0.9</v>
      </c>
      <c r="R32" s="81">
        <v>1</v>
      </c>
      <c r="S32" s="81">
        <v>1</v>
      </c>
      <c r="T32" s="81">
        <v>1</v>
      </c>
      <c r="U32" s="81">
        <v>0.9</v>
      </c>
      <c r="V32" s="218"/>
      <c r="W32" s="59">
        <f t="shared" si="0"/>
        <v>0.79999999999999993</v>
      </c>
      <c r="X32" s="69">
        <f t="shared" si="1"/>
        <v>5.7</v>
      </c>
      <c r="Y32" s="219">
        <f t="shared" si="2"/>
        <v>6.5</v>
      </c>
      <c r="Z32" s="71">
        <f>'[1]cálculos teóricos'!I331</f>
        <v>13.250303361563352</v>
      </c>
      <c r="AA32" s="72">
        <f t="shared" si="3"/>
        <v>49.055480637939823</v>
      </c>
      <c r="AB32" s="3"/>
    </row>
    <row r="33" spans="1:28" ht="18" customHeight="1">
      <c r="A33" s="85">
        <v>25</v>
      </c>
      <c r="B33" s="76">
        <v>37.1</v>
      </c>
      <c r="C33" s="74">
        <f>'[1]cálculos teóricos'!K332</f>
        <v>1.0418647380658455</v>
      </c>
      <c r="D33" s="59">
        <f t="shared" si="4"/>
        <v>562.92561288569402</v>
      </c>
      <c r="E33" s="60">
        <f t="shared" si="5"/>
        <v>23.568569560298236</v>
      </c>
      <c r="F33" s="61">
        <f t="shared" si="6"/>
        <v>29.789794430372798</v>
      </c>
      <c r="G33" s="62">
        <f>'[1]cálculos teóricos'!T332</f>
        <v>42.117939898174072</v>
      </c>
      <c r="H33" s="75">
        <f t="shared" si="7"/>
        <v>70.729467068887359</v>
      </c>
      <c r="I33" s="79">
        <v>0.1</v>
      </c>
      <c r="J33" s="81">
        <v>1</v>
      </c>
      <c r="K33" s="81">
        <v>1</v>
      </c>
      <c r="L33" s="81">
        <v>1</v>
      </c>
      <c r="M33" s="81">
        <v>1</v>
      </c>
      <c r="N33" s="81">
        <v>1</v>
      </c>
      <c r="O33" s="78">
        <v>1</v>
      </c>
      <c r="P33" s="82">
        <v>1</v>
      </c>
      <c r="Q33" s="81">
        <v>1</v>
      </c>
      <c r="R33" s="81">
        <v>1</v>
      </c>
      <c r="S33" s="81">
        <v>1</v>
      </c>
      <c r="T33" s="81">
        <v>1</v>
      </c>
      <c r="U33" s="81">
        <v>0.9</v>
      </c>
      <c r="V33" s="218"/>
      <c r="W33" s="59">
        <f t="shared" si="0"/>
        <v>6.1</v>
      </c>
      <c r="X33" s="69">
        <f t="shared" si="1"/>
        <v>5.9</v>
      </c>
      <c r="Y33" s="219">
        <f t="shared" si="2"/>
        <v>12</v>
      </c>
      <c r="Z33" s="71">
        <f>'[1]cálculos teóricos'!I332</f>
        <v>13.264020428776165</v>
      </c>
      <c r="AA33" s="72">
        <f t="shared" si="3"/>
        <v>90.470306981479879</v>
      </c>
      <c r="AB33" s="3"/>
    </row>
    <row r="34" spans="1:28" ht="18" customHeight="1">
      <c r="A34" s="85">
        <v>26</v>
      </c>
      <c r="B34" s="76">
        <v>35.9</v>
      </c>
      <c r="C34" s="74">
        <f>'[1]cálculos teóricos'!K333</f>
        <v>1.0419955013023439</v>
      </c>
      <c r="D34" s="59">
        <f t="shared" si="4"/>
        <v>544.786143247479</v>
      </c>
      <c r="E34" s="60">
        <f t="shared" si="5"/>
        <v>22.809106245485449</v>
      </c>
      <c r="F34" s="61">
        <f t="shared" si="6"/>
        <v>28.840465286856816</v>
      </c>
      <c r="G34" s="62">
        <f>'[1]cálculos teóricos'!T333</f>
        <v>42.17798500813155</v>
      </c>
      <c r="H34" s="75">
        <f t="shared" si="7"/>
        <v>68.378006396693976</v>
      </c>
      <c r="I34" s="79"/>
      <c r="J34" s="81">
        <v>1</v>
      </c>
      <c r="K34" s="81">
        <v>1</v>
      </c>
      <c r="L34" s="81">
        <v>1</v>
      </c>
      <c r="M34" s="81">
        <v>1</v>
      </c>
      <c r="N34" s="81">
        <v>1</v>
      </c>
      <c r="O34" s="78">
        <v>1</v>
      </c>
      <c r="P34" s="82">
        <v>1</v>
      </c>
      <c r="Q34" s="81">
        <v>1</v>
      </c>
      <c r="R34" s="81">
        <v>1</v>
      </c>
      <c r="S34" s="81">
        <v>1</v>
      </c>
      <c r="T34" s="81">
        <v>0.7</v>
      </c>
      <c r="U34" s="81">
        <v>0.5</v>
      </c>
      <c r="V34" s="218"/>
      <c r="W34" s="59">
        <f t="shared" si="0"/>
        <v>6</v>
      </c>
      <c r="X34" s="69">
        <f t="shared" si="1"/>
        <v>5.2</v>
      </c>
      <c r="Y34" s="219">
        <f t="shared" si="2"/>
        <v>11.2</v>
      </c>
      <c r="Z34" s="71">
        <f>'[1]cálculos teóricos'!I333</f>
        <v>13.277342020204403</v>
      </c>
      <c r="AA34" s="72">
        <f t="shared" si="3"/>
        <v>84.354232819767176</v>
      </c>
      <c r="AB34" s="3"/>
    </row>
    <row r="35" spans="1:28" ht="18" customHeight="1">
      <c r="A35" s="85">
        <v>27</v>
      </c>
      <c r="B35" s="76">
        <v>33.4</v>
      </c>
      <c r="C35" s="74">
        <f>'[1]cálculos teóricos'!K334</f>
        <v>1.0421194970597658</v>
      </c>
      <c r="D35" s="59">
        <f t="shared" si="4"/>
        <v>506.90870366735862</v>
      </c>
      <c r="E35" s="60">
        <f t="shared" si="5"/>
        <v>21.223253605144969</v>
      </c>
      <c r="F35" s="61">
        <f t="shared" si="6"/>
        <v>26.858149486431213</v>
      </c>
      <c r="G35" s="62">
        <f>'[1]cálculos teóricos'!T334</f>
        <v>42.235883192008956</v>
      </c>
      <c r="H35" s="75">
        <f t="shared" si="7"/>
        <v>63.590831910229319</v>
      </c>
      <c r="I35" s="79"/>
      <c r="J35" s="81">
        <v>0.5</v>
      </c>
      <c r="K35" s="81">
        <v>1</v>
      </c>
      <c r="L35" s="81">
        <v>1</v>
      </c>
      <c r="M35" s="81">
        <v>1</v>
      </c>
      <c r="N35" s="81">
        <v>1</v>
      </c>
      <c r="O35" s="78">
        <v>0.8</v>
      </c>
      <c r="P35" s="82">
        <v>0.9</v>
      </c>
      <c r="Q35" s="81">
        <v>0.9</v>
      </c>
      <c r="R35" s="81">
        <v>0.9</v>
      </c>
      <c r="S35" s="81">
        <v>1</v>
      </c>
      <c r="T35" s="81">
        <v>1</v>
      </c>
      <c r="U35" s="81">
        <v>0.3</v>
      </c>
      <c r="V35" s="218"/>
      <c r="W35" s="59">
        <f t="shared" si="0"/>
        <v>5.3</v>
      </c>
      <c r="X35" s="69">
        <f t="shared" si="1"/>
        <v>5</v>
      </c>
      <c r="Y35" s="219">
        <f t="shared" si="2"/>
        <v>10.3</v>
      </c>
      <c r="Z35" s="71">
        <f>'[1]cálculos teóricos'!I334</f>
        <v>13.290258745823692</v>
      </c>
      <c r="AA35" s="72">
        <f t="shared" si="3"/>
        <v>77.500372242464081</v>
      </c>
      <c r="AB35" s="3"/>
    </row>
    <row r="36" spans="1:28" ht="18" customHeight="1">
      <c r="A36" s="85">
        <v>28</v>
      </c>
      <c r="B36" s="76">
        <v>27.5</v>
      </c>
      <c r="C36" s="74">
        <f>'[1]cálculos teóricos'!K335</f>
        <v>1.0422369156203868</v>
      </c>
      <c r="D36" s="59">
        <f t="shared" si="4"/>
        <v>417.41197631753136</v>
      </c>
      <c r="E36" s="60">
        <f t="shared" si="5"/>
        <v>17.476204624462401</v>
      </c>
      <c r="F36" s="61">
        <f t="shared" si="6"/>
        <v>22.174338260578008</v>
      </c>
      <c r="G36" s="62">
        <f>'[1]cálculos teóricos'!T335</f>
        <v>42.291644838379867</v>
      </c>
      <c r="H36" s="75">
        <f t="shared" si="7"/>
        <v>52.431959894959419</v>
      </c>
      <c r="I36" s="79"/>
      <c r="J36" s="81">
        <v>1</v>
      </c>
      <c r="K36" s="81">
        <v>1</v>
      </c>
      <c r="L36" s="81">
        <v>1</v>
      </c>
      <c r="M36" s="81">
        <v>1</v>
      </c>
      <c r="N36" s="81">
        <v>1</v>
      </c>
      <c r="O36" s="78">
        <v>1</v>
      </c>
      <c r="P36" s="82">
        <v>1</v>
      </c>
      <c r="Q36" s="81">
        <v>0.9</v>
      </c>
      <c r="R36" s="81"/>
      <c r="S36" s="81"/>
      <c r="T36" s="81"/>
      <c r="U36" s="81"/>
      <c r="V36" s="218"/>
      <c r="W36" s="59">
        <f t="shared" si="0"/>
        <v>6</v>
      </c>
      <c r="X36" s="69">
        <f t="shared" si="1"/>
        <v>1.9</v>
      </c>
      <c r="Y36" s="219">
        <f>W36+X36</f>
        <v>7.9</v>
      </c>
      <c r="Z36" s="71">
        <f>'[1]cálculos teóricos'!I335</f>
        <v>13.302761337848288</v>
      </c>
      <c r="AA36" s="72">
        <f t="shared" si="3"/>
        <v>59.386166521106809</v>
      </c>
      <c r="AB36" s="3"/>
    </row>
    <row r="37" spans="1:28" ht="18" customHeight="1">
      <c r="A37" s="85">
        <v>29</v>
      </c>
      <c r="B37" s="76">
        <v>20.3</v>
      </c>
      <c r="C37" s="74">
        <f>'[1]cálculos teóricos'!K336</f>
        <v>1.0423479444657391</v>
      </c>
      <c r="D37" s="59">
        <f t="shared" si="4"/>
        <v>308.15875607130391</v>
      </c>
      <c r="E37" s="60">
        <f t="shared" si="5"/>
        <v>12.901990799193351</v>
      </c>
      <c r="F37" s="61">
        <f t="shared" si="6"/>
        <v>16.456570978991689</v>
      </c>
      <c r="G37" s="62">
        <f>'[1]cálculos teóricos'!T336</f>
        <v>42.345280424998855</v>
      </c>
      <c r="H37" s="75">
        <f t="shared" si="7"/>
        <v>38.862822052009435</v>
      </c>
      <c r="I37" s="79"/>
      <c r="J37" s="81"/>
      <c r="K37" s="81"/>
      <c r="L37" s="81"/>
      <c r="M37" s="81"/>
      <c r="N37" s="81"/>
      <c r="O37" s="78">
        <v>0.1</v>
      </c>
      <c r="P37" s="82">
        <v>0.3</v>
      </c>
      <c r="Q37" s="81"/>
      <c r="R37" s="81">
        <v>0.5</v>
      </c>
      <c r="S37" s="81">
        <v>0.5</v>
      </c>
      <c r="T37" s="81"/>
      <c r="U37" s="81">
        <v>0.1</v>
      </c>
      <c r="V37" s="218"/>
      <c r="W37" s="59">
        <f t="shared" si="0"/>
        <v>0.1</v>
      </c>
      <c r="X37" s="69">
        <f t="shared" si="1"/>
        <v>1.4000000000000001</v>
      </c>
      <c r="Y37" s="219">
        <f>W37+X37</f>
        <v>1.5000000000000002</v>
      </c>
      <c r="Z37" s="71">
        <f>'[1]cálculos teóricos'!I336</f>
        <v>13.314840670031995</v>
      </c>
      <c r="AA37" s="72">
        <f t="shared" si="3"/>
        <v>11.265624855549968</v>
      </c>
      <c r="AB37" s="3"/>
    </row>
    <row r="38" spans="1:28" ht="18" customHeight="1">
      <c r="A38" s="80">
        <v>30</v>
      </c>
      <c r="B38" s="76">
        <v>21.6</v>
      </c>
      <c r="C38" s="74">
        <f>'[1]cálculos teóricos'!K337</f>
        <v>1.0424527678091269</v>
      </c>
      <c r="D38" s="59">
        <f t="shared" si="4"/>
        <v>327.92603509414562</v>
      </c>
      <c r="E38" s="60">
        <f t="shared" si="5"/>
        <v>13.729607237321689</v>
      </c>
      <c r="F38" s="61">
        <f t="shared" si="6"/>
        <v>17.491091526652109</v>
      </c>
      <c r="G38" s="62">
        <f>'[1]cálculos teóricos'!T337</f>
        <v>42.396800456787844</v>
      </c>
      <c r="H38" s="75">
        <f t="shared" si="7"/>
        <v>41.255687547647803</v>
      </c>
      <c r="I38" s="79"/>
      <c r="J38" s="81"/>
      <c r="K38" s="81"/>
      <c r="L38" s="81"/>
      <c r="M38" s="81">
        <v>0.3</v>
      </c>
      <c r="N38" s="81">
        <v>0.9</v>
      </c>
      <c r="O38" s="77">
        <v>0.5</v>
      </c>
      <c r="P38" s="82">
        <v>0.1</v>
      </c>
      <c r="Q38" s="81">
        <v>0.4</v>
      </c>
      <c r="R38" s="81">
        <v>0.3</v>
      </c>
      <c r="S38" s="81">
        <v>0.4</v>
      </c>
      <c r="T38" s="81"/>
      <c r="U38" s="81"/>
      <c r="V38" s="218"/>
      <c r="W38" s="59">
        <f t="shared" si="0"/>
        <v>1.7</v>
      </c>
      <c r="X38" s="69">
        <f t="shared" si="1"/>
        <v>1.2000000000000002</v>
      </c>
      <c r="Y38" s="219">
        <f>W38+X38</f>
        <v>2.9000000000000004</v>
      </c>
      <c r="Z38" s="71">
        <f>'[1]cálculos teóricos'!I337</f>
        <v>13.326487777193289</v>
      </c>
      <c r="AA38" s="72">
        <f t="shared" si="3"/>
        <v>21.76117254962713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220"/>
      <c r="W39" s="59"/>
      <c r="X39" s="89"/>
      <c r="Y39" s="221"/>
      <c r="Z39" s="174"/>
      <c r="AA39" s="128"/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4">
        <f>SUM(I9:I39)</f>
        <v>0.1</v>
      </c>
      <c r="J40" s="104">
        <f t="shared" ref="J40:AA40" si="8">SUM(J9:J39)</f>
        <v>8.2000000000000011</v>
      </c>
      <c r="K40" s="104">
        <f t="shared" si="8"/>
        <v>11.8</v>
      </c>
      <c r="L40" s="104">
        <f t="shared" si="8"/>
        <v>13.4</v>
      </c>
      <c r="M40" s="104">
        <f t="shared" si="8"/>
        <v>13.300000000000002</v>
      </c>
      <c r="N40" s="104">
        <f t="shared" si="8"/>
        <v>13.999999999999998</v>
      </c>
      <c r="O40" s="104">
        <f t="shared" si="8"/>
        <v>14.3</v>
      </c>
      <c r="P40" s="104">
        <f t="shared" si="8"/>
        <v>16.200000000000003</v>
      </c>
      <c r="Q40" s="104">
        <f t="shared" si="8"/>
        <v>15.100000000000001</v>
      </c>
      <c r="R40" s="104">
        <f t="shared" si="8"/>
        <v>14.600000000000001</v>
      </c>
      <c r="S40" s="104">
        <f t="shared" si="8"/>
        <v>12.2</v>
      </c>
      <c r="T40" s="104">
        <f t="shared" si="8"/>
        <v>8.8000000000000007</v>
      </c>
      <c r="U40" s="104">
        <f t="shared" si="8"/>
        <v>5.0999999999999996</v>
      </c>
      <c r="V40" s="104">
        <f t="shared" si="8"/>
        <v>0</v>
      </c>
      <c r="W40" s="104">
        <f>SUM(I40:O40)</f>
        <v>75.100000000000009</v>
      </c>
      <c r="X40" s="104">
        <f>SUM(P40:V40)</f>
        <v>72</v>
      </c>
      <c r="Y40" s="104">
        <f>W40+X40</f>
        <v>147.10000000000002</v>
      </c>
      <c r="Z40" s="104">
        <f t="shared" si="8"/>
        <v>393.23114498563649</v>
      </c>
      <c r="AA40" s="104">
        <f t="shared" si="8"/>
        <v>1119.6801430497892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61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31" ht="18" customHeight="1">
      <c r="A1" s="1" t="s">
        <v>75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31" ht="18" customHeight="1">
      <c r="A2" s="3"/>
      <c r="B2" s="9" t="s">
        <v>4</v>
      </c>
      <c r="C2" s="3"/>
      <c r="D2" s="3"/>
      <c r="E2" s="3"/>
      <c r="F2" s="3"/>
      <c r="G2" s="5"/>
      <c r="H2" s="3"/>
      <c r="I2" s="3"/>
      <c r="J2" s="3"/>
      <c r="K2" s="222"/>
      <c r="L2" s="223"/>
      <c r="M2" s="3"/>
      <c r="N2" s="3"/>
      <c r="O2" s="3"/>
      <c r="P2" s="3"/>
      <c r="Q2" s="3"/>
      <c r="R2" s="3"/>
      <c r="S2" s="3"/>
      <c r="T2" s="10"/>
      <c r="U2" s="3"/>
      <c r="V2" s="9" t="s">
        <v>60</v>
      </c>
      <c r="W2" s="3"/>
      <c r="X2" s="3"/>
      <c r="Y2" s="3"/>
      <c r="Z2" s="3"/>
      <c r="AA2" s="3"/>
      <c r="AB2" s="3"/>
    </row>
    <row r="3" spans="1:31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24"/>
      <c r="U3" s="3"/>
      <c r="V3" s="9" t="s">
        <v>63</v>
      </c>
      <c r="W3" s="10"/>
      <c r="X3" s="6"/>
      <c r="Y3" s="6"/>
      <c r="Z3" s="6"/>
      <c r="AA3" s="6"/>
      <c r="AB3" s="3"/>
    </row>
    <row r="4" spans="1:31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31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31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31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31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31" ht="18" customHeight="1">
      <c r="A9" s="111">
        <v>1</v>
      </c>
      <c r="B9" s="57">
        <v>30.2</v>
      </c>
      <c r="C9" s="74">
        <f>'[1]cálculos teóricos'!K338</f>
        <v>1.0425515661325413</v>
      </c>
      <c r="D9" s="59">
        <f>IF(B9&gt;0,B9*C9*14.25*1.022,-999)</f>
        <v>458.53263194781221</v>
      </c>
      <c r="E9" s="60">
        <f>IF(B9&gt;0,D9*4.1868/100,-999)</f>
        <v>19.197844234390999</v>
      </c>
      <c r="F9" s="61">
        <f>IF(B9&gt;0,(7.86+1.25*D9)*4.1868/100,-999)</f>
        <v>24.326387772988753</v>
      </c>
      <c r="G9" s="62">
        <f>'[1]cálculos teóricos'!T338</f>
        <v>42.446215404362263</v>
      </c>
      <c r="H9" s="63">
        <f>IF(B9&gt;0,100*F9/G9,-999)</f>
        <v>57.311087787790591</v>
      </c>
      <c r="I9" s="64"/>
      <c r="J9" s="64"/>
      <c r="K9" s="64">
        <v>0.8</v>
      </c>
      <c r="L9" s="64">
        <v>0.9</v>
      </c>
      <c r="M9" s="64">
        <v>0.2</v>
      </c>
      <c r="N9" s="64">
        <v>0.8</v>
      </c>
      <c r="O9" s="65">
        <v>1</v>
      </c>
      <c r="P9" s="64">
        <v>1</v>
      </c>
      <c r="Q9" s="64">
        <v>1</v>
      </c>
      <c r="R9" s="64">
        <v>1</v>
      </c>
      <c r="S9" s="64">
        <v>0.3</v>
      </c>
      <c r="T9" s="64"/>
      <c r="U9" s="64"/>
      <c r="V9" s="211"/>
      <c r="W9" s="59">
        <f t="shared" ref="W9:W40" si="0">SUM(I9:O9)</f>
        <v>3.7</v>
      </c>
      <c r="X9" s="203">
        <f>SUM(P9:V9)</f>
        <v>3.3</v>
      </c>
      <c r="Y9" s="225">
        <f t="shared" ref="Y9:Y24" si="1">W9+X9</f>
        <v>7</v>
      </c>
      <c r="Z9" s="71">
        <f>'[1]cálculos teóricos'!I338</f>
        <v>13.33769387489302</v>
      </c>
      <c r="AA9" s="72">
        <f>100*Y9/Z9</f>
        <v>52.482835980940116</v>
      </c>
      <c r="AB9" s="3"/>
      <c r="AE9" s="226"/>
    </row>
    <row r="10" spans="1:31" ht="18" customHeight="1">
      <c r="A10" s="111">
        <v>2</v>
      </c>
      <c r="B10" s="57">
        <v>23</v>
      </c>
      <c r="C10" s="74">
        <f>'[1]cálculos teóricos'!K339</f>
        <v>1.0426445157293678</v>
      </c>
      <c r="D10" s="59">
        <f>IF(B10&gt;0,B10*C10*14.25*1.022,-999)</f>
        <v>349.24472831096688</v>
      </c>
      <c r="E10" s="60">
        <f>IF(B10&gt;0,D10*4.1868/100,-999)</f>
        <v>14.622178284923562</v>
      </c>
      <c r="F10" s="61">
        <f>IF(B10&gt;0,(7.86+1.25*D10)*4.1868/100,-999)</f>
        <v>18.606805336154451</v>
      </c>
      <c r="G10" s="62">
        <f>'[1]cálculos teóricos'!T339</f>
        <v>42.493535643303574</v>
      </c>
      <c r="H10" s="75">
        <f>IF(B10&gt;0,100*F10/G10,-999)</f>
        <v>43.787378608225183</v>
      </c>
      <c r="I10" s="57"/>
      <c r="J10" s="76">
        <v>0.5</v>
      </c>
      <c r="K10" s="76">
        <v>1</v>
      </c>
      <c r="L10" s="76">
        <v>1</v>
      </c>
      <c r="M10" s="76">
        <v>0.7</v>
      </c>
      <c r="N10" s="76">
        <v>1</v>
      </c>
      <c r="O10" s="77">
        <v>0.3</v>
      </c>
      <c r="P10" s="79"/>
      <c r="Q10" s="76">
        <v>0.2</v>
      </c>
      <c r="R10" s="82"/>
      <c r="S10" s="82"/>
      <c r="T10" s="82"/>
      <c r="U10" s="82"/>
      <c r="V10" s="212"/>
      <c r="W10" s="59">
        <f t="shared" si="0"/>
        <v>4.5</v>
      </c>
      <c r="X10" s="69">
        <f t="shared" ref="X10:X39" si="2">SUM(P10:V10)</f>
        <v>0.2</v>
      </c>
      <c r="Y10" s="219">
        <f t="shared" si="1"/>
        <v>4.7</v>
      </c>
      <c r="Z10" s="71">
        <f>'[1]cálculos teóricos'!I339</f>
        <v>13.348450379189718</v>
      </c>
      <c r="AA10" s="72">
        <f t="shared" ref="AA10:AA39" si="3">100*Y10/Z10</f>
        <v>35.210079570938937</v>
      </c>
      <c r="AB10" s="3"/>
      <c r="AE10" s="226"/>
    </row>
    <row r="11" spans="1:31" ht="18" customHeight="1">
      <c r="A11" s="111">
        <v>3</v>
      </c>
      <c r="B11" s="57">
        <v>8.6</v>
      </c>
      <c r="C11" s="74">
        <f>'[1]cálculos teóricos'!K340</f>
        <v>1.0427317882542817</v>
      </c>
      <c r="D11" s="59">
        <f t="shared" ref="D11:D39" si="4">IF(B11&gt;0,B11*C11*14.25*1.022,-999)</f>
        <v>130.59808982487459</v>
      </c>
      <c r="E11" s="60">
        <f t="shared" ref="E11:E39" si="5">IF(B11&gt;0,D11*4.1868/100,-999)</f>
        <v>5.4678808247878488</v>
      </c>
      <c r="F11" s="61">
        <f t="shared" ref="F11:F39" si="6">IF(B11&gt;0,(7.86+1.25*D11)*4.1868/100,-999)</f>
        <v>7.1639335109848119</v>
      </c>
      <c r="G11" s="62">
        <f>'[1]cálculos teóricos'!T340</f>
        <v>42.538771394383659</v>
      </c>
      <c r="H11" s="75">
        <f t="shared" ref="H11:H39" si="7">IF(B11&gt;0,100*F11/G11,-999)</f>
        <v>16.840950681360432</v>
      </c>
      <c r="I11" s="57"/>
      <c r="J11" s="76"/>
      <c r="K11" s="76"/>
      <c r="L11" s="76"/>
      <c r="M11" s="76"/>
      <c r="N11" s="76"/>
      <c r="O11" s="77"/>
      <c r="P11" s="79"/>
      <c r="Q11" s="79"/>
      <c r="R11" s="79"/>
      <c r="S11" s="79"/>
      <c r="T11" s="82"/>
      <c r="U11" s="82"/>
      <c r="V11" s="212"/>
      <c r="W11" s="59">
        <f t="shared" si="0"/>
        <v>0</v>
      </c>
      <c r="X11" s="69">
        <f t="shared" si="2"/>
        <v>0</v>
      </c>
      <c r="Y11" s="219">
        <f t="shared" si="1"/>
        <v>0</v>
      </c>
      <c r="Z11" s="71">
        <f>'[1]cálculos teóricos'!I340</f>
        <v>13.358748926394169</v>
      </c>
      <c r="AA11" s="72">
        <f t="shared" si="3"/>
        <v>0</v>
      </c>
      <c r="AB11" s="3"/>
      <c r="AE11" s="226"/>
    </row>
    <row r="12" spans="1:31" ht="18" customHeight="1">
      <c r="A12" s="111">
        <v>4</v>
      </c>
      <c r="B12" s="57">
        <v>13.6</v>
      </c>
      <c r="C12" s="74">
        <f>'[1]cálculos teóricos'!K341</f>
        <v>1.0428135502817324</v>
      </c>
      <c r="D12" s="59">
        <f t="shared" si="4"/>
        <v>206.54340589758093</v>
      </c>
      <c r="E12" s="60">
        <f t="shared" si="5"/>
        <v>8.6475593181199173</v>
      </c>
      <c r="F12" s="61">
        <f t="shared" si="6"/>
        <v>11.1385316276499</v>
      </c>
      <c r="G12" s="62">
        <f>'[1]cálculos teóricos'!T341</f>
        <v>42.581932664942727</v>
      </c>
      <c r="H12" s="75">
        <f t="shared" si="7"/>
        <v>26.157881830526073</v>
      </c>
      <c r="I12" s="57"/>
      <c r="J12" s="76"/>
      <c r="K12" s="76"/>
      <c r="L12" s="76"/>
      <c r="M12" s="76"/>
      <c r="N12" s="76"/>
      <c r="O12" s="77"/>
      <c r="P12" s="79"/>
      <c r="Q12" s="82"/>
      <c r="R12" s="82"/>
      <c r="S12" s="82"/>
      <c r="T12" s="82"/>
      <c r="U12" s="82"/>
      <c r="V12" s="212"/>
      <c r="W12" s="59">
        <f t="shared" si="0"/>
        <v>0</v>
      </c>
      <c r="X12" s="69">
        <f t="shared" si="2"/>
        <v>0</v>
      </c>
      <c r="Y12" s="219">
        <f t="shared" si="1"/>
        <v>0</v>
      </c>
      <c r="Z12" s="71">
        <f>'[1]cálculos teóricos'!I341</f>
        <v>13.368581392741991</v>
      </c>
      <c r="AA12" s="72">
        <f t="shared" si="3"/>
        <v>0</v>
      </c>
      <c r="AB12" s="3"/>
      <c r="AE12" s="226"/>
    </row>
    <row r="13" spans="1:31" ht="18" customHeight="1">
      <c r="A13" s="73">
        <v>5</v>
      </c>
      <c r="B13" s="57">
        <v>21.7</v>
      </c>
      <c r="C13" s="74">
        <f>'[1]cálculos teóricos'!K342</f>
        <v>1.042889962874388</v>
      </c>
      <c r="D13" s="59">
        <f t="shared" si="4"/>
        <v>329.58237704276894</v>
      </c>
      <c r="E13" s="60">
        <f t="shared" si="5"/>
        <v>13.798954962026649</v>
      </c>
      <c r="F13" s="61">
        <f t="shared" si="6"/>
        <v>17.577776182533313</v>
      </c>
      <c r="G13" s="62">
        <f>'[1]cálculos teóricos'!T342</f>
        <v>42.623029191619999</v>
      </c>
      <c r="H13" s="75">
        <f t="shared" si="7"/>
        <v>41.24009136823441</v>
      </c>
      <c r="I13" s="57"/>
      <c r="J13" s="76"/>
      <c r="K13" s="76"/>
      <c r="L13" s="76"/>
      <c r="M13" s="76"/>
      <c r="N13" s="76">
        <v>0.9</v>
      </c>
      <c r="O13" s="77">
        <v>0.9</v>
      </c>
      <c r="P13" s="79">
        <v>0.3</v>
      </c>
      <c r="Q13" s="82"/>
      <c r="R13" s="82">
        <v>0.3</v>
      </c>
      <c r="S13" s="82">
        <v>0.5</v>
      </c>
      <c r="T13" s="82"/>
      <c r="U13" s="82"/>
      <c r="V13" s="212"/>
      <c r="W13" s="59">
        <f t="shared" si="0"/>
        <v>1.8</v>
      </c>
      <c r="X13" s="69">
        <f t="shared" si="2"/>
        <v>1.1000000000000001</v>
      </c>
      <c r="Y13" s="219">
        <f t="shared" si="1"/>
        <v>2.9000000000000004</v>
      </c>
      <c r="Z13" s="71">
        <f>'[1]cálculos teóricos'!I342</f>
        <v>13.37793991390074</v>
      </c>
      <c r="AA13" s="72">
        <f t="shared" si="3"/>
        <v>21.677478136874203</v>
      </c>
      <c r="AB13" s="3"/>
      <c r="AE13" s="226"/>
    </row>
    <row r="14" spans="1:31" ht="18" customHeight="1">
      <c r="A14" s="111">
        <v>6</v>
      </c>
      <c r="B14" s="57">
        <v>34.299999999999997</v>
      </c>
      <c r="C14" s="74">
        <f>'[1]cálculos teóricos'!K343</f>
        <v>1.042961181162926</v>
      </c>
      <c r="D14" s="59">
        <f t="shared" si="4"/>
        <v>520.98836505201314</v>
      </c>
      <c r="E14" s="60">
        <f t="shared" si="5"/>
        <v>21.812740867997686</v>
      </c>
      <c r="F14" s="61">
        <f t="shared" si="6"/>
        <v>27.595008564997105</v>
      </c>
      <c r="G14" s="62">
        <f>'[1]cálculos teóricos'!T343</f>
        <v>42.66207038463164</v>
      </c>
      <c r="H14" s="75">
        <f t="shared" si="7"/>
        <v>64.682769298833151</v>
      </c>
      <c r="I14" s="57"/>
      <c r="J14" s="76"/>
      <c r="K14" s="76">
        <v>0.9</v>
      </c>
      <c r="L14" s="76">
        <v>1</v>
      </c>
      <c r="M14" s="76">
        <v>1</v>
      </c>
      <c r="N14" s="76">
        <v>1</v>
      </c>
      <c r="O14" s="77">
        <v>1</v>
      </c>
      <c r="P14" s="79">
        <v>1</v>
      </c>
      <c r="Q14" s="79">
        <v>1</v>
      </c>
      <c r="R14" s="82">
        <v>0.4</v>
      </c>
      <c r="S14" s="82">
        <v>1</v>
      </c>
      <c r="T14" s="82">
        <v>0.1</v>
      </c>
      <c r="U14" s="82"/>
      <c r="V14" s="212"/>
      <c r="W14" s="59">
        <f t="shared" si="0"/>
        <v>4.9000000000000004</v>
      </c>
      <c r="X14" s="69">
        <f t="shared" si="2"/>
        <v>3.5</v>
      </c>
      <c r="Y14" s="219">
        <f t="shared" si="1"/>
        <v>8.4</v>
      </c>
      <c r="Z14" s="71">
        <f>'[1]cálculos teóricos'!I343</f>
        <v>13.386816904225913</v>
      </c>
      <c r="AA14" s="72">
        <f t="shared" si="3"/>
        <v>62.748299764586392</v>
      </c>
      <c r="AB14" s="3"/>
      <c r="AE14" s="226"/>
    </row>
    <row r="15" spans="1:31" ht="18" customHeight="1">
      <c r="A15" s="73">
        <v>7</v>
      </c>
      <c r="B15" s="57">
        <v>28.2</v>
      </c>
      <c r="C15" s="74">
        <f>'[1]cálculos teóricos'!K344</f>
        <v>1.0430273539385098</v>
      </c>
      <c r="D15" s="59">
        <f t="shared" si="4"/>
        <v>428.36163410815436</v>
      </c>
      <c r="E15" s="60">
        <f t="shared" si="5"/>
        <v>17.934644896840208</v>
      </c>
      <c r="F15" s="61">
        <f t="shared" si="6"/>
        <v>22.747388601050258</v>
      </c>
      <c r="G15" s="62">
        <f>'[1]cálculos teóricos'!T344</f>
        <v>42.699065273785024</v>
      </c>
      <c r="H15" s="75">
        <f t="shared" si="7"/>
        <v>53.273739027294248</v>
      </c>
      <c r="I15" s="57"/>
      <c r="J15" s="76"/>
      <c r="K15" s="76">
        <v>0.6</v>
      </c>
      <c r="L15" s="76">
        <v>1</v>
      </c>
      <c r="M15" s="76">
        <v>1</v>
      </c>
      <c r="N15" s="76">
        <v>1</v>
      </c>
      <c r="O15" s="77">
        <v>1</v>
      </c>
      <c r="P15" s="79">
        <v>1</v>
      </c>
      <c r="Q15" s="82">
        <v>0.7</v>
      </c>
      <c r="R15" s="82"/>
      <c r="S15" s="82"/>
      <c r="T15" s="82"/>
      <c r="U15" s="82"/>
      <c r="V15" s="212"/>
      <c r="W15" s="59">
        <f t="shared" si="0"/>
        <v>4.5999999999999996</v>
      </c>
      <c r="X15" s="69">
        <f t="shared" si="2"/>
        <v>1.7</v>
      </c>
      <c r="Y15" s="219">
        <f t="shared" si="1"/>
        <v>6.3</v>
      </c>
      <c r="Z15" s="71">
        <f>'[1]cálculos teóricos'!I344</f>
        <v>13.395205075679121</v>
      </c>
      <c r="AA15" s="72">
        <f t="shared" si="3"/>
        <v>47.031754754083877</v>
      </c>
      <c r="AB15" s="3"/>
      <c r="AE15" s="226"/>
    </row>
    <row r="16" spans="1:31" ht="18" customHeight="1">
      <c r="A16" s="80">
        <v>8</v>
      </c>
      <c r="B16" s="76">
        <v>11.9</v>
      </c>
      <c r="C16" s="74">
        <f>'[1]cálculos teóricos'!K345</f>
        <v>1.0430886232592806</v>
      </c>
      <c r="D16" s="59">
        <f t="shared" si="4"/>
        <v>180.77315186155477</v>
      </c>
      <c r="E16" s="60">
        <f t="shared" si="5"/>
        <v>7.5686103221395751</v>
      </c>
      <c r="F16" s="61">
        <f t="shared" si="6"/>
        <v>9.7898453826744678</v>
      </c>
      <c r="G16" s="62">
        <f>'[1]cálculos teóricos'!T345</f>
        <v>42.734022456413641</v>
      </c>
      <c r="H16" s="75">
        <f t="shared" si="7"/>
        <v>22.90878513170524</v>
      </c>
      <c r="I16" s="79"/>
      <c r="J16" s="81"/>
      <c r="K16" s="81"/>
      <c r="L16" s="81"/>
      <c r="M16" s="81"/>
      <c r="N16" s="81"/>
      <c r="O16" s="78"/>
      <c r="P16" s="82"/>
      <c r="Q16" s="82"/>
      <c r="R16" s="81"/>
      <c r="S16" s="81"/>
      <c r="T16" s="81"/>
      <c r="U16" s="81"/>
      <c r="V16" s="212"/>
      <c r="W16" s="59">
        <f t="shared" si="0"/>
        <v>0</v>
      </c>
      <c r="X16" s="69">
        <f t="shared" si="2"/>
        <v>0</v>
      </c>
      <c r="Y16" s="219">
        <f t="shared" si="1"/>
        <v>0</v>
      </c>
      <c r="Z16" s="71">
        <f>'[1]cálculos teóricos'!I345</f>
        <v>13.40309745632074</v>
      </c>
      <c r="AA16" s="72">
        <f t="shared" si="3"/>
        <v>0</v>
      </c>
      <c r="AB16" s="3"/>
      <c r="AE16" s="226"/>
    </row>
    <row r="17" spans="1:31" ht="18" customHeight="1">
      <c r="A17" s="80">
        <v>9</v>
      </c>
      <c r="B17" s="76">
        <v>14</v>
      </c>
      <c r="C17" s="74">
        <f>'[1]cálculos teóricos'!K346</f>
        <v>1.0431451240721528</v>
      </c>
      <c r="D17" s="59">
        <f t="shared" si="4"/>
        <v>212.68581620194718</v>
      </c>
      <c r="E17" s="60">
        <f t="shared" si="5"/>
        <v>8.9047297527431244</v>
      </c>
      <c r="F17" s="61">
        <f t="shared" si="6"/>
        <v>11.459994670928907</v>
      </c>
      <c r="G17" s="62">
        <f>'[1]cálculos teóricos'!T346</f>
        <v>42.766950047409651</v>
      </c>
      <c r="H17" s="75">
        <f t="shared" si="7"/>
        <v>26.796380518659468</v>
      </c>
      <c r="I17" s="79"/>
      <c r="J17" s="81"/>
      <c r="K17" s="81"/>
      <c r="L17" s="81"/>
      <c r="M17" s="81"/>
      <c r="N17" s="81"/>
      <c r="O17" s="78"/>
      <c r="P17" s="82"/>
      <c r="Q17" s="82"/>
      <c r="R17" s="81"/>
      <c r="S17" s="81"/>
      <c r="T17" s="81"/>
      <c r="U17" s="81"/>
      <c r="V17" s="212"/>
      <c r="W17" s="59">
        <f t="shared" si="0"/>
        <v>0</v>
      </c>
      <c r="X17" s="69">
        <f t="shared" si="2"/>
        <v>0</v>
      </c>
      <c r="Y17" s="219">
        <f t="shared" si="1"/>
        <v>0</v>
      </c>
      <c r="Z17" s="71">
        <f>'[1]cálculos teóricos'!I346</f>
        <v>13.410487408289292</v>
      </c>
      <c r="AA17" s="72">
        <f t="shared" si="3"/>
        <v>0</v>
      </c>
      <c r="AB17" s="3"/>
      <c r="AE17" s="226"/>
    </row>
    <row r="18" spans="1:31" ht="18" customHeight="1">
      <c r="A18" s="80">
        <v>10</v>
      </c>
      <c r="B18" s="76">
        <v>17.5</v>
      </c>
      <c r="C18" s="74">
        <f>'[1]cálculos teóricos'!K347</f>
        <v>1.0431969838511672</v>
      </c>
      <c r="D18" s="59">
        <f t="shared" si="4"/>
        <v>265.87048730053829</v>
      </c>
      <c r="E18" s="60">
        <f t="shared" si="5"/>
        <v>11.131465562298935</v>
      </c>
      <c r="F18" s="61">
        <f t="shared" si="6"/>
        <v>14.243414432873671</v>
      </c>
      <c r="G18" s="62">
        <f>'[1]cálculos teóricos'!T347</f>
        <v>42.797855631524406</v>
      </c>
      <c r="H18" s="75">
        <f t="shared" si="7"/>
        <v>33.280673114804699</v>
      </c>
      <c r="I18" s="79"/>
      <c r="J18" s="81"/>
      <c r="K18" s="81"/>
      <c r="L18" s="81">
        <v>0.1</v>
      </c>
      <c r="M18" s="81">
        <v>0.6</v>
      </c>
      <c r="N18" s="81">
        <v>0.1</v>
      </c>
      <c r="O18" s="78"/>
      <c r="P18" s="79">
        <v>0.4</v>
      </c>
      <c r="Q18" s="82">
        <v>0.3</v>
      </c>
      <c r="R18" s="81"/>
      <c r="S18" s="81"/>
      <c r="T18" s="81"/>
      <c r="U18" s="81"/>
      <c r="V18" s="212"/>
      <c r="W18" s="59">
        <f t="shared" si="0"/>
        <v>0.79999999999999993</v>
      </c>
      <c r="X18" s="69">
        <f t="shared" si="2"/>
        <v>0.7</v>
      </c>
      <c r="Y18" s="219">
        <f t="shared" si="1"/>
        <v>1.5</v>
      </c>
      <c r="Z18" s="71">
        <f>'[1]cálculos teóricos'!I347</f>
        <v>13.417368645180208</v>
      </c>
      <c r="AA18" s="72">
        <f t="shared" si="3"/>
        <v>11.179539294680039</v>
      </c>
      <c r="AB18" s="3"/>
      <c r="AE18" s="226"/>
    </row>
    <row r="19" spans="1:31" ht="18" customHeight="1">
      <c r="A19" s="85">
        <v>11</v>
      </c>
      <c r="B19" s="76">
        <v>26.3</v>
      </c>
      <c r="C19" s="74">
        <f>'[1]cálculos teóricos'!K348</f>
        <v>1.0432443222536116</v>
      </c>
      <c r="D19" s="59">
        <f t="shared" si="4"/>
        <v>399.58349247179439</v>
      </c>
      <c r="E19" s="60">
        <f t="shared" si="5"/>
        <v>16.729761662809086</v>
      </c>
      <c r="F19" s="61">
        <f t="shared" si="6"/>
        <v>21.24128455851136</v>
      </c>
      <c r="G19" s="62">
        <f>'[1]cálculos teóricos'!T348</f>
        <v>42.826746218100261</v>
      </c>
      <c r="H19" s="75">
        <f t="shared" si="7"/>
        <v>49.598175052425447</v>
      </c>
      <c r="I19" s="79"/>
      <c r="J19" s="81">
        <v>0.5</v>
      </c>
      <c r="K19" s="81"/>
      <c r="L19" s="81">
        <v>0.1</v>
      </c>
      <c r="M19" s="81"/>
      <c r="N19" s="81">
        <v>0.8</v>
      </c>
      <c r="O19" s="78">
        <v>1</v>
      </c>
      <c r="P19" s="82">
        <v>0.9</v>
      </c>
      <c r="Q19" s="81">
        <v>0.8</v>
      </c>
      <c r="R19" s="81">
        <v>0.8</v>
      </c>
      <c r="S19" s="81">
        <v>1</v>
      </c>
      <c r="T19" s="81">
        <v>0.5</v>
      </c>
      <c r="U19" s="81"/>
      <c r="V19" s="212"/>
      <c r="W19" s="59">
        <f t="shared" si="0"/>
        <v>2.4</v>
      </c>
      <c r="X19" s="69">
        <f t="shared" si="2"/>
        <v>4</v>
      </c>
      <c r="Y19" s="219">
        <f t="shared" si="1"/>
        <v>6.4</v>
      </c>
      <c r="Z19" s="71">
        <f>'[1]cálculos teóricos'!I348</f>
        <v>13.423735248737781</v>
      </c>
      <c r="AA19" s="72">
        <f t="shared" si="3"/>
        <v>47.676744821094296</v>
      </c>
      <c r="AB19" s="3"/>
      <c r="AE19" s="226"/>
    </row>
    <row r="20" spans="1:31" ht="18" customHeight="1">
      <c r="A20" s="85">
        <v>12</v>
      </c>
      <c r="B20" s="76">
        <v>35.299999999999997</v>
      </c>
      <c r="C20" s="74">
        <f>'[1]cálculos teóricos'!K349</f>
        <v>1.043287250795065</v>
      </c>
      <c r="D20" s="59">
        <f t="shared" si="4"/>
        <v>536.34515985647363</v>
      </c>
      <c r="E20" s="60">
        <f t="shared" si="5"/>
        <v>22.455699152870839</v>
      </c>
      <c r="F20" s="61">
        <f t="shared" si="6"/>
        <v>28.398706421088544</v>
      </c>
      <c r="G20" s="62">
        <f>'[1]cálculos teóricos'!T349</f>
        <v>42.853628198387739</v>
      </c>
      <c r="H20" s="75">
        <f t="shared" si="7"/>
        <v>66.269082957500842</v>
      </c>
      <c r="I20" s="79"/>
      <c r="J20" s="81">
        <v>0.9</v>
      </c>
      <c r="K20" s="81">
        <v>1</v>
      </c>
      <c r="L20" s="81">
        <v>1</v>
      </c>
      <c r="M20" s="81">
        <v>1</v>
      </c>
      <c r="N20" s="81">
        <v>1</v>
      </c>
      <c r="O20" s="78">
        <v>1</v>
      </c>
      <c r="P20" s="82">
        <v>1</v>
      </c>
      <c r="Q20" s="81">
        <v>1</v>
      </c>
      <c r="R20" s="81">
        <v>1</v>
      </c>
      <c r="S20" s="81">
        <v>1</v>
      </c>
      <c r="T20" s="81">
        <v>0.7</v>
      </c>
      <c r="U20" s="81"/>
      <c r="V20" s="212"/>
      <c r="W20" s="59">
        <f t="shared" si="0"/>
        <v>5.9</v>
      </c>
      <c r="X20" s="69">
        <f t="shared" si="2"/>
        <v>4.7</v>
      </c>
      <c r="Y20" s="219">
        <f t="shared" si="1"/>
        <v>10.600000000000001</v>
      </c>
      <c r="Z20" s="71">
        <f>'[1]cálculos teóricos'!I349</f>
        <v>13.429581684775858</v>
      </c>
      <c r="AA20" s="72">
        <f t="shared" si="3"/>
        <v>78.930232145774525</v>
      </c>
      <c r="AB20" s="3"/>
      <c r="AE20" s="226"/>
    </row>
    <row r="21" spans="1:31" ht="18" customHeight="1">
      <c r="A21" s="85">
        <v>13</v>
      </c>
      <c r="B21" s="76">
        <v>25.8</v>
      </c>
      <c r="C21" s="74">
        <f>'[1]cálculos teóricos'!K350</f>
        <v>1.043325872544469</v>
      </c>
      <c r="D21" s="59">
        <f>IF(B21&gt;0,B21*C21*14.25*1.022,-999)</f>
        <v>392.0174896958755</v>
      </c>
      <c r="E21" s="60">
        <f>IF(B21&gt;0,D21*4.1868/100,-999)</f>
        <v>16.412988258586914</v>
      </c>
      <c r="F21" s="61">
        <f>IF(B21&gt;0,(7.86+1.25*D21)*4.1868/100,-999)</f>
        <v>20.845317803233648</v>
      </c>
      <c r="G21" s="62">
        <f>'[1]cálculos teóricos'!T350</f>
        <v>42.878507305594937</v>
      </c>
      <c r="H21" s="75">
        <f>IF(B21&gt;0,100*F21/G21,-999)</f>
        <v>48.614840191775237</v>
      </c>
      <c r="I21" s="79"/>
      <c r="J21" s="81"/>
      <c r="K21" s="81">
        <v>0.1</v>
      </c>
      <c r="L21" s="81">
        <v>0.5</v>
      </c>
      <c r="M21" s="81">
        <v>0.5</v>
      </c>
      <c r="N21" s="81">
        <v>0.2</v>
      </c>
      <c r="O21" s="78">
        <v>0.7</v>
      </c>
      <c r="P21" s="82">
        <v>0.4</v>
      </c>
      <c r="Q21" s="81">
        <v>0.9</v>
      </c>
      <c r="R21" s="81">
        <v>0.9</v>
      </c>
      <c r="S21" s="81"/>
      <c r="T21" s="81"/>
      <c r="U21" s="81"/>
      <c r="V21" s="212"/>
      <c r="W21" s="59">
        <f t="shared" si="0"/>
        <v>2</v>
      </c>
      <c r="X21" s="69">
        <f t="shared" si="2"/>
        <v>2.2000000000000002</v>
      </c>
      <c r="Y21" s="219">
        <f t="shared" si="1"/>
        <v>4.2</v>
      </c>
      <c r="Z21" s="71">
        <f>'[1]cálculos teóricos'!I350</f>
        <v>13.434902818245344</v>
      </c>
      <c r="AA21" s="72">
        <f t="shared" si="3"/>
        <v>31.26185620260808</v>
      </c>
      <c r="AB21" s="3"/>
      <c r="AE21" s="226"/>
    </row>
    <row r="22" spans="1:31" ht="18" customHeight="1">
      <c r="A22" s="85">
        <v>14</v>
      </c>
      <c r="B22" s="189">
        <v>-99</v>
      </c>
      <c r="C22" s="74">
        <f>'[1]cálculos teóricos'!K351</f>
        <v>1.0433602818402716</v>
      </c>
      <c r="D22" s="59">
        <f t="shared" si="4"/>
        <v>-999</v>
      </c>
      <c r="E22" s="60">
        <f t="shared" si="5"/>
        <v>-999</v>
      </c>
      <c r="F22" s="61">
        <f t="shared" si="6"/>
        <v>-999</v>
      </c>
      <c r="G22" s="62">
        <f>'[1]cálculos teóricos'!T351</f>
        <v>42.901388577805832</v>
      </c>
      <c r="H22" s="75">
        <f t="shared" si="7"/>
        <v>-999</v>
      </c>
      <c r="I22" s="79"/>
      <c r="J22" s="81"/>
      <c r="K22" s="81"/>
      <c r="L22" s="81">
        <v>0.1</v>
      </c>
      <c r="M22" s="81">
        <v>0.3</v>
      </c>
      <c r="N22" s="81">
        <v>0.2</v>
      </c>
      <c r="O22" s="78"/>
      <c r="P22" s="82">
        <v>0.1</v>
      </c>
      <c r="Q22" s="81"/>
      <c r="R22" s="81"/>
      <c r="S22" s="81"/>
      <c r="T22" s="81"/>
      <c r="U22" s="81"/>
      <c r="V22" s="212"/>
      <c r="W22" s="59">
        <f t="shared" si="0"/>
        <v>0.60000000000000009</v>
      </c>
      <c r="X22" s="69">
        <f t="shared" si="2"/>
        <v>0.1</v>
      </c>
      <c r="Y22" s="219">
        <f t="shared" si="1"/>
        <v>0.70000000000000007</v>
      </c>
      <c r="Z22" s="71">
        <f>'[1]cálculos teóricos'!I351</f>
        <v>13.439693927369586</v>
      </c>
      <c r="AA22" s="72">
        <f t="shared" si="3"/>
        <v>5.2084519467699204</v>
      </c>
      <c r="AB22" s="3"/>
      <c r="AE22" s="226"/>
    </row>
    <row r="23" spans="1:31" ht="18" customHeight="1">
      <c r="A23" s="85">
        <v>15</v>
      </c>
      <c r="B23" s="76">
        <v>27.7</v>
      </c>
      <c r="C23" s="74">
        <f>'[1]cálculos teóricos'!K352</f>
        <v>1.043390564028623</v>
      </c>
      <c r="D23" s="59">
        <f t="shared" si="4"/>
        <v>420.91309187469454</v>
      </c>
      <c r="E23" s="60">
        <f t="shared" si="5"/>
        <v>17.622789330609709</v>
      </c>
      <c r="F23" s="61">
        <f t="shared" si="6"/>
        <v>22.357569143262136</v>
      </c>
      <c r="G23" s="62">
        <f>'[1]cálculos teóricos'!T352</f>
        <v>42.922276323896114</v>
      </c>
      <c r="H23" s="75">
        <f t="shared" si="7"/>
        <v>52.088498230032151</v>
      </c>
      <c r="I23" s="79"/>
      <c r="J23" s="81">
        <v>0.2</v>
      </c>
      <c r="K23" s="81">
        <v>0.1</v>
      </c>
      <c r="L23" s="81">
        <v>0.6</v>
      </c>
      <c r="M23" s="81">
        <v>0.3</v>
      </c>
      <c r="N23" s="81">
        <v>0.5</v>
      </c>
      <c r="O23" s="78">
        <v>1</v>
      </c>
      <c r="P23" s="82">
        <v>1</v>
      </c>
      <c r="Q23" s="81">
        <v>1</v>
      </c>
      <c r="R23" s="81">
        <v>1</v>
      </c>
      <c r="S23" s="81">
        <v>0.9</v>
      </c>
      <c r="T23" s="81">
        <v>0.8</v>
      </c>
      <c r="U23" s="81">
        <v>0.9</v>
      </c>
      <c r="V23" s="212"/>
      <c r="W23" s="59">
        <f t="shared" si="0"/>
        <v>2.7</v>
      </c>
      <c r="X23" s="69">
        <f t="shared" si="2"/>
        <v>5.6000000000000005</v>
      </c>
      <c r="Y23" s="219">
        <f t="shared" si="1"/>
        <v>8.3000000000000007</v>
      </c>
      <c r="Z23" s="71">
        <f>'[1]cálculos teóricos'!I352</f>
        <v>13.443950716772623</v>
      </c>
      <c r="AA23" s="72">
        <f t="shared" si="3"/>
        <v>61.737804421173252</v>
      </c>
      <c r="AB23" s="3"/>
      <c r="AE23" s="226"/>
    </row>
    <row r="24" spans="1:31" ht="18" customHeight="1">
      <c r="A24" s="85">
        <v>16</v>
      </c>
      <c r="B24" s="76">
        <v>37.799999999999997</v>
      </c>
      <c r="C24" s="74">
        <f>'[1]cálculos teóricos'!K353</f>
        <v>1.0434167952245224</v>
      </c>
      <c r="D24" s="59">
        <f t="shared" si="4"/>
        <v>574.40125879613811</v>
      </c>
      <c r="E24" s="60">
        <f t="shared" si="5"/>
        <v>24.04903190327671</v>
      </c>
      <c r="F24" s="61">
        <f t="shared" si="6"/>
        <v>30.390372359095885</v>
      </c>
      <c r="G24" s="62">
        <f>'[1]cálculos teóricos'!T353</f>
        <v>42.941174092563962</v>
      </c>
      <c r="H24" s="75">
        <f t="shared" si="7"/>
        <v>70.772103933596284</v>
      </c>
      <c r="I24" s="79">
        <v>0.2</v>
      </c>
      <c r="J24" s="81">
        <v>0.9</v>
      </c>
      <c r="K24" s="81">
        <v>1</v>
      </c>
      <c r="L24" s="81">
        <v>1</v>
      </c>
      <c r="M24" s="81">
        <v>1</v>
      </c>
      <c r="N24" s="81">
        <v>1</v>
      </c>
      <c r="O24" s="78">
        <v>1</v>
      </c>
      <c r="P24" s="82">
        <v>1</v>
      </c>
      <c r="Q24" s="81">
        <v>1</v>
      </c>
      <c r="R24" s="81">
        <v>1</v>
      </c>
      <c r="S24" s="81">
        <v>1</v>
      </c>
      <c r="T24" s="81">
        <v>1</v>
      </c>
      <c r="U24" s="81">
        <v>1</v>
      </c>
      <c r="V24" s="212">
        <v>0.1</v>
      </c>
      <c r="W24" s="59">
        <f t="shared" si="0"/>
        <v>6.1</v>
      </c>
      <c r="X24" s="69">
        <f t="shared" si="2"/>
        <v>6.1</v>
      </c>
      <c r="Y24" s="219">
        <f t="shared" si="1"/>
        <v>12.2</v>
      </c>
      <c r="Z24" s="71">
        <f>'[1]cálculos teóricos'!I353</f>
        <v>13.447669329529568</v>
      </c>
      <c r="AA24" s="72">
        <f t="shared" si="3"/>
        <v>90.722040385170487</v>
      </c>
      <c r="AB24" s="3"/>
      <c r="AE24" s="226"/>
    </row>
    <row r="25" spans="1:31" ht="18" customHeight="1">
      <c r="A25" s="85">
        <v>17</v>
      </c>
      <c r="B25" s="189">
        <v>-99</v>
      </c>
      <c r="C25" s="74">
        <f>'[1]cálculos teóricos'!K354</f>
        <v>1.0434390420967636</v>
      </c>
      <c r="D25" s="59">
        <f t="shared" si="4"/>
        <v>-999</v>
      </c>
      <c r="E25" s="60">
        <f t="shared" si="5"/>
        <v>-999</v>
      </c>
      <c r="F25" s="61">
        <f t="shared" si="6"/>
        <v>-999</v>
      </c>
      <c r="G25" s="62">
        <f>'[1]cálculos teóricos'!T354</f>
        <v>42.958084644584673</v>
      </c>
      <c r="H25" s="75">
        <f t="shared" si="7"/>
        <v>-999</v>
      </c>
      <c r="I25" s="79"/>
      <c r="J25" s="81">
        <v>0.4</v>
      </c>
      <c r="K25" s="81">
        <v>1</v>
      </c>
      <c r="L25" s="81">
        <v>1</v>
      </c>
      <c r="M25" s="81">
        <v>1</v>
      </c>
      <c r="N25" s="81">
        <v>1</v>
      </c>
      <c r="O25" s="78">
        <v>0.7</v>
      </c>
      <c r="P25" s="82">
        <v>1</v>
      </c>
      <c r="Q25" s="81">
        <v>1</v>
      </c>
      <c r="R25" s="81">
        <v>0.9</v>
      </c>
      <c r="S25" s="81"/>
      <c r="T25" s="81"/>
      <c r="U25" s="81"/>
      <c r="V25" s="212"/>
      <c r="W25" s="59">
        <f t="shared" si="0"/>
        <v>5.1000000000000005</v>
      </c>
      <c r="X25" s="69">
        <f t="shared" si="2"/>
        <v>2.9</v>
      </c>
      <c r="Y25" s="219">
        <f>W25+X25</f>
        <v>8</v>
      </c>
      <c r="Z25" s="71">
        <f>'[1]cálculos teóricos'!I354</f>
        <v>13.450846358073472</v>
      </c>
      <c r="AA25" s="72">
        <f t="shared" si="3"/>
        <v>59.47581131352554</v>
      </c>
      <c r="AB25" s="3"/>
      <c r="AE25" s="226"/>
    </row>
    <row r="26" spans="1:31" ht="18" customHeight="1">
      <c r="A26" s="85">
        <v>18</v>
      </c>
      <c r="B26" s="76">
        <v>34.9</v>
      </c>
      <c r="C26" s="74">
        <f>'[1]cálculos teóricos'!K355</f>
        <v>1.0434573616774252</v>
      </c>
      <c r="D26" s="59">
        <f t="shared" si="4"/>
        <v>530.35405590894254</v>
      </c>
      <c r="E26" s="60">
        <f t="shared" si="5"/>
        <v>22.204863612795606</v>
      </c>
      <c r="F26" s="61">
        <f t="shared" si="6"/>
        <v>28.085161995994508</v>
      </c>
      <c r="G26" s="62">
        <f>'[1]cálculos teóricos'!T355</f>
        <v>42.973009928386787</v>
      </c>
      <c r="H26" s="75">
        <f t="shared" si="7"/>
        <v>65.355352214791509</v>
      </c>
      <c r="I26" s="79"/>
      <c r="J26" s="81">
        <v>1</v>
      </c>
      <c r="K26" s="81">
        <v>1</v>
      </c>
      <c r="L26" s="81">
        <v>1</v>
      </c>
      <c r="M26" s="81">
        <v>1</v>
      </c>
      <c r="N26" s="81">
        <v>1</v>
      </c>
      <c r="O26" s="78">
        <v>1</v>
      </c>
      <c r="P26" s="82">
        <v>0.9</v>
      </c>
      <c r="Q26" s="81">
        <v>1</v>
      </c>
      <c r="R26" s="81">
        <v>1</v>
      </c>
      <c r="S26" s="81">
        <v>1</v>
      </c>
      <c r="T26" s="81">
        <v>0.5</v>
      </c>
      <c r="U26" s="81"/>
      <c r="V26" s="212"/>
      <c r="W26" s="59">
        <f t="shared" si="0"/>
        <v>6</v>
      </c>
      <c r="X26" s="69">
        <f t="shared" si="2"/>
        <v>4.4000000000000004</v>
      </c>
      <c r="Y26" s="219">
        <f t="shared" ref="Y26:Y39" si="8">W26+X26</f>
        <v>10.4</v>
      </c>
      <c r="Z26" s="71">
        <f>'[1]cálculos teóricos'!I355</f>
        <v>13.453478853898625</v>
      </c>
      <c r="AA26" s="72">
        <f t="shared" si="3"/>
        <v>77.303425477836385</v>
      </c>
      <c r="AB26" s="3"/>
      <c r="AE26" s="226"/>
    </row>
    <row r="27" spans="1:31" ht="18" customHeight="1">
      <c r="A27" s="85">
        <v>19</v>
      </c>
      <c r="B27" s="76">
        <v>32.6</v>
      </c>
      <c r="C27" s="74">
        <f>'[1]cálculos teóricos'!K356</f>
        <v>1.0434718011965771</v>
      </c>
      <c r="D27" s="59">
        <f t="shared" si="4"/>
        <v>495.40921140127904</v>
      </c>
      <c r="E27" s="60">
        <f t="shared" si="5"/>
        <v>20.741792862948749</v>
      </c>
      <c r="F27" s="61">
        <f t="shared" si="6"/>
        <v>26.256323558685935</v>
      </c>
      <c r="G27" s="62">
        <f>'[1]cálculos teóricos'!T356</f>
        <v>42.985951059037113</v>
      </c>
      <c r="H27" s="75">
        <f t="shared" si="7"/>
        <v>61.08117399246413</v>
      </c>
      <c r="I27" s="79"/>
      <c r="J27" s="81">
        <v>0.4</v>
      </c>
      <c r="K27" s="81">
        <v>1</v>
      </c>
      <c r="L27" s="81">
        <v>1</v>
      </c>
      <c r="M27" s="81">
        <v>1</v>
      </c>
      <c r="N27" s="81">
        <v>1</v>
      </c>
      <c r="O27" s="78">
        <v>1</v>
      </c>
      <c r="P27" s="82">
        <v>1</v>
      </c>
      <c r="Q27" s="81">
        <v>1</v>
      </c>
      <c r="R27" s="81">
        <v>1</v>
      </c>
      <c r="S27" s="81">
        <v>1</v>
      </c>
      <c r="T27" s="81">
        <v>1</v>
      </c>
      <c r="U27" s="81">
        <v>0.4</v>
      </c>
      <c r="V27" s="212"/>
      <c r="W27" s="59">
        <f t="shared" si="0"/>
        <v>5.4</v>
      </c>
      <c r="X27" s="69">
        <f t="shared" si="2"/>
        <v>5.4</v>
      </c>
      <c r="Y27" s="219">
        <f t="shared" si="8"/>
        <v>10.8</v>
      </c>
      <c r="Z27" s="71">
        <f>'[1]cálculos teóricos'!I356</f>
        <v>13.455564336006312</v>
      </c>
      <c r="AA27" s="72">
        <f t="shared" si="3"/>
        <v>80.264192049528717</v>
      </c>
      <c r="AB27" s="3"/>
      <c r="AE27" s="226"/>
    </row>
    <row r="28" spans="1:31" ht="18" customHeight="1">
      <c r="A28" s="85">
        <v>20</v>
      </c>
      <c r="B28" s="76">
        <v>24.4</v>
      </c>
      <c r="C28" s="74">
        <f>'[1]cálculos teóricos'!K357</f>
        <v>1.0434823979428147</v>
      </c>
      <c r="D28" s="59">
        <f t="shared" si="4"/>
        <v>370.80084401954042</v>
      </c>
      <c r="E28" s="60">
        <f t="shared" si="5"/>
        <v>15.524689737410117</v>
      </c>
      <c r="F28" s="61">
        <f t="shared" si="6"/>
        <v>19.734944651762646</v>
      </c>
      <c r="G28" s="62">
        <f>'[1]cálculos teóricos'!T357</f>
        <v>42.996908300711738</v>
      </c>
      <c r="H28" s="75">
        <f t="shared" si="7"/>
        <v>45.898520223222583</v>
      </c>
      <c r="I28" s="79"/>
      <c r="J28" s="81"/>
      <c r="K28" s="81">
        <v>0.5</v>
      </c>
      <c r="L28" s="81">
        <v>0.6</v>
      </c>
      <c r="M28" s="81">
        <v>0.7</v>
      </c>
      <c r="N28" s="81">
        <v>1</v>
      </c>
      <c r="O28" s="78">
        <v>0.9</v>
      </c>
      <c r="P28" s="82">
        <v>0.6</v>
      </c>
      <c r="Q28" s="81">
        <v>0.8</v>
      </c>
      <c r="R28" s="81">
        <v>0.8</v>
      </c>
      <c r="S28" s="81"/>
      <c r="T28" s="81"/>
      <c r="U28" s="81"/>
      <c r="V28" s="212"/>
      <c r="W28" s="59">
        <f t="shared" si="0"/>
        <v>3.6999999999999997</v>
      </c>
      <c r="X28" s="69">
        <f t="shared" si="2"/>
        <v>2.2000000000000002</v>
      </c>
      <c r="Y28" s="219">
        <f t="shared" si="8"/>
        <v>5.9</v>
      </c>
      <c r="Z28" s="71">
        <f>'[1]cálculos teóricos'!I357</f>
        <v>13.457100798045776</v>
      </c>
      <c r="AA28" s="72">
        <f t="shared" si="3"/>
        <v>43.843024500914723</v>
      </c>
      <c r="AB28" s="3"/>
      <c r="AE28" s="226"/>
    </row>
    <row r="29" spans="1:31" ht="18" customHeight="1">
      <c r="A29" s="85">
        <v>21</v>
      </c>
      <c r="B29" s="76">
        <v>20.7</v>
      </c>
      <c r="C29" s="74">
        <f>'[1]cálculos teóricos'!K358</f>
        <v>1.0434891791500842</v>
      </c>
      <c r="D29" s="59">
        <f t="shared" si="4"/>
        <v>314.57489147343159</v>
      </c>
      <c r="E29" s="60">
        <f t="shared" si="5"/>
        <v>13.170621556209632</v>
      </c>
      <c r="F29" s="61">
        <f t="shared" si="6"/>
        <v>16.792359425262042</v>
      </c>
      <c r="G29" s="62">
        <f>'[1]cálculos teóricos'!T358</f>
        <v>43.005881052718408</v>
      </c>
      <c r="H29" s="75">
        <f t="shared" si="7"/>
        <v>39.046658303959092</v>
      </c>
      <c r="I29" s="79"/>
      <c r="J29" s="81"/>
      <c r="K29" s="81">
        <v>0.5</v>
      </c>
      <c r="L29" s="81">
        <v>0.6</v>
      </c>
      <c r="M29" s="81">
        <v>0.5</v>
      </c>
      <c r="N29" s="81">
        <v>0.6</v>
      </c>
      <c r="O29" s="78">
        <v>0.6</v>
      </c>
      <c r="P29" s="82">
        <v>0.1</v>
      </c>
      <c r="Q29" s="81">
        <v>0.2</v>
      </c>
      <c r="R29" s="81">
        <v>0.2</v>
      </c>
      <c r="S29" s="81"/>
      <c r="T29" s="81"/>
      <c r="U29" s="81"/>
      <c r="V29" s="212"/>
      <c r="W29" s="59">
        <f t="shared" si="0"/>
        <v>2.8000000000000003</v>
      </c>
      <c r="X29" s="69">
        <f t="shared" si="2"/>
        <v>0.5</v>
      </c>
      <c r="Y29" s="219">
        <f t="shared" si="8"/>
        <v>3.3000000000000003</v>
      </c>
      <c r="Z29" s="71">
        <f>'[1]cálculos teóricos'!I358</f>
        <v>13.458086714110046</v>
      </c>
      <c r="AA29" s="72">
        <f t="shared" si="3"/>
        <v>24.520573169885552</v>
      </c>
      <c r="AB29" s="3"/>
      <c r="AE29" s="226"/>
    </row>
    <row r="30" spans="1:31" ht="18" customHeight="1">
      <c r="A30" s="85">
        <v>22</v>
      </c>
      <c r="B30" s="76">
        <v>19.899999999999999</v>
      </c>
      <c r="C30" s="74">
        <f>'[1]cálculos teóricos'!K359</f>
        <v>1.0434921619112543</v>
      </c>
      <c r="D30" s="59">
        <f t="shared" si="4"/>
        <v>302.41827218989158</v>
      </c>
      <c r="E30" s="60">
        <f t="shared" si="5"/>
        <v>12.661648220046379</v>
      </c>
      <c r="F30" s="61">
        <f t="shared" si="6"/>
        <v>16.156142755057974</v>
      </c>
      <c r="G30" s="62">
        <f>'[1]cálculos teóricos'!T359</f>
        <v>43.012867839125683</v>
      </c>
      <c r="H30" s="75">
        <f t="shared" si="7"/>
        <v>37.56118474937378</v>
      </c>
      <c r="I30" s="79"/>
      <c r="J30" s="81"/>
      <c r="K30" s="81"/>
      <c r="L30" s="81"/>
      <c r="M30" s="81">
        <v>0.7</v>
      </c>
      <c r="N30" s="81">
        <v>0.1</v>
      </c>
      <c r="O30" s="78">
        <v>0.3</v>
      </c>
      <c r="P30" s="82">
        <v>0.1</v>
      </c>
      <c r="Q30" s="81">
        <v>0.3</v>
      </c>
      <c r="R30" s="81">
        <v>0.4</v>
      </c>
      <c r="S30" s="81">
        <v>0.8</v>
      </c>
      <c r="T30" s="81"/>
      <c r="U30" s="81"/>
      <c r="V30" s="212"/>
      <c r="W30" s="59">
        <f t="shared" si="0"/>
        <v>1.0999999999999999</v>
      </c>
      <c r="X30" s="69">
        <f t="shared" si="2"/>
        <v>1.6</v>
      </c>
      <c r="Y30" s="219">
        <f t="shared" si="8"/>
        <v>2.7</v>
      </c>
      <c r="Z30" s="71">
        <f>'[1]cálculos teóricos'!I359</f>
        <v>13.458521043153825</v>
      </c>
      <c r="AA30" s="72">
        <f t="shared" si="3"/>
        <v>20.061639695347171</v>
      </c>
      <c r="AB30" s="3"/>
      <c r="AE30" s="226"/>
    </row>
    <row r="31" spans="1:31" ht="18" customHeight="1">
      <c r="A31" s="85">
        <v>23</v>
      </c>
      <c r="B31" s="76">
        <v>16.100000000000001</v>
      </c>
      <c r="C31" s="74">
        <f>'[1]cálculos teóricos'!K360</f>
        <v>1.0434913531187173</v>
      </c>
      <c r="D31" s="59">
        <f t="shared" si="4"/>
        <v>244.66986977042552</v>
      </c>
      <c r="E31" s="60">
        <f t="shared" si="5"/>
        <v>10.243838107548175</v>
      </c>
      <c r="F31" s="61">
        <f t="shared" si="6"/>
        <v>13.13388011443522</v>
      </c>
      <c r="G31" s="62">
        <f>'[1]cálculos teóricos'!T360</f>
        <v>43.017866302041909</v>
      </c>
      <c r="H31" s="75">
        <f t="shared" si="7"/>
        <v>30.531221660828397</v>
      </c>
      <c r="I31" s="79"/>
      <c r="J31" s="81"/>
      <c r="K31" s="81"/>
      <c r="L31" s="81"/>
      <c r="M31" s="81"/>
      <c r="N31" s="81"/>
      <c r="O31" s="78"/>
      <c r="P31" s="82"/>
      <c r="Q31" s="81">
        <v>0.1</v>
      </c>
      <c r="R31" s="81">
        <v>0.1</v>
      </c>
      <c r="S31" s="81"/>
      <c r="T31" s="81"/>
      <c r="U31" s="81"/>
      <c r="V31" s="212"/>
      <c r="W31" s="59">
        <f t="shared" si="0"/>
        <v>0</v>
      </c>
      <c r="X31" s="69">
        <f t="shared" si="2"/>
        <v>0.2</v>
      </c>
      <c r="Y31" s="219">
        <f t="shared" si="8"/>
        <v>0.2</v>
      </c>
      <c r="Z31" s="71">
        <f>'[1]cálculos teóricos'!I360</f>
        <v>13.458403232008276</v>
      </c>
      <c r="AA31" s="72">
        <f t="shared" si="3"/>
        <v>1.4860603932889875</v>
      </c>
      <c r="AB31" s="3"/>
      <c r="AE31" s="226"/>
    </row>
    <row r="32" spans="1:31" ht="18" customHeight="1">
      <c r="A32" s="85">
        <v>24</v>
      </c>
      <c r="B32" s="76">
        <v>28.5</v>
      </c>
      <c r="C32" s="74">
        <f>'[1]cálculos teóricos'!K361</f>
        <v>1.0434867494322762</v>
      </c>
      <c r="D32" s="59">
        <f t="shared" si="4"/>
        <v>433.10934934767323</v>
      </c>
      <c r="E32" s="60">
        <f t="shared" si="5"/>
        <v>18.133422238488382</v>
      </c>
      <c r="F32" s="61">
        <f t="shared" si="6"/>
        <v>22.995860278110477</v>
      </c>
      <c r="G32" s="62">
        <f>'[1]cálculos teóricos'!T361</f>
        <v>43.020873198576822</v>
      </c>
      <c r="H32" s="75">
        <f t="shared" si="7"/>
        <v>53.452797603539125</v>
      </c>
      <c r="I32" s="79"/>
      <c r="J32" s="81"/>
      <c r="K32" s="81">
        <v>0.7</v>
      </c>
      <c r="L32" s="81">
        <v>1</v>
      </c>
      <c r="M32" s="81">
        <v>0.9</v>
      </c>
      <c r="N32" s="81">
        <v>1</v>
      </c>
      <c r="O32" s="78">
        <v>0.6</v>
      </c>
      <c r="P32" s="82">
        <v>0.5</v>
      </c>
      <c r="Q32" s="81">
        <v>1</v>
      </c>
      <c r="R32" s="81">
        <v>1</v>
      </c>
      <c r="S32" s="81">
        <v>0.8</v>
      </c>
      <c r="T32" s="81"/>
      <c r="U32" s="81"/>
      <c r="V32" s="212"/>
      <c r="W32" s="59">
        <f t="shared" si="0"/>
        <v>4.2</v>
      </c>
      <c r="X32" s="69">
        <f t="shared" si="2"/>
        <v>3.3</v>
      </c>
      <c r="Y32" s="219">
        <f t="shared" si="8"/>
        <v>7.5</v>
      </c>
      <c r="Z32" s="71">
        <f>'[1]cálculos teóricos'!I361</f>
        <v>13.457733216975646</v>
      </c>
      <c r="AA32" s="72">
        <f t="shared" si="3"/>
        <v>55.730039220419869</v>
      </c>
      <c r="AB32" s="3"/>
      <c r="AE32" s="226"/>
    </row>
    <row r="33" spans="1:31" ht="18" customHeight="1">
      <c r="A33" s="85">
        <v>25</v>
      </c>
      <c r="B33" s="76">
        <v>30.8</v>
      </c>
      <c r="C33" s="74">
        <f>'[1]cálculos teóricos'!K362</f>
        <v>1.0434783372744176</v>
      </c>
      <c r="D33" s="59">
        <f t="shared" si="4"/>
        <v>468.05826035879625</v>
      </c>
      <c r="E33" s="60">
        <f t="shared" si="5"/>
        <v>19.596663244702082</v>
      </c>
      <c r="F33" s="61">
        <f t="shared" si="6"/>
        <v>24.824911535877604</v>
      </c>
      <c r="G33" s="62">
        <f>'[1]cálculos teóricos'!T362</f>
        <v>43.021884401506568</v>
      </c>
      <c r="H33" s="75">
        <f t="shared" si="7"/>
        <v>57.702985076609686</v>
      </c>
      <c r="I33" s="79"/>
      <c r="J33" s="81">
        <v>0.6</v>
      </c>
      <c r="K33" s="81">
        <v>1</v>
      </c>
      <c r="L33" s="81">
        <v>1</v>
      </c>
      <c r="M33" s="81">
        <v>1</v>
      </c>
      <c r="N33" s="81">
        <v>1</v>
      </c>
      <c r="O33" s="78">
        <v>1</v>
      </c>
      <c r="P33" s="82">
        <v>1</v>
      </c>
      <c r="Q33" s="81">
        <v>0.9</v>
      </c>
      <c r="R33" s="81">
        <v>0.6</v>
      </c>
      <c r="S33" s="81">
        <v>0.4</v>
      </c>
      <c r="T33" s="81"/>
      <c r="U33" s="81"/>
      <c r="V33" s="212"/>
      <c r="W33" s="59">
        <f t="shared" si="0"/>
        <v>5.6</v>
      </c>
      <c r="X33" s="69">
        <f t="shared" si="2"/>
        <v>2.9</v>
      </c>
      <c r="Y33" s="219">
        <f t="shared" si="8"/>
        <v>8.5</v>
      </c>
      <c r="Z33" s="71">
        <f>'[1]cálculos teóricos'!I362</f>
        <v>13.456511423994518</v>
      </c>
      <c r="AA33" s="72">
        <f t="shared" si="3"/>
        <v>63.166445835608741</v>
      </c>
      <c r="AB33" s="3"/>
      <c r="AE33" s="226"/>
    </row>
    <row r="34" spans="1:31" ht="18" customHeight="1">
      <c r="A34" s="85">
        <v>26</v>
      </c>
      <c r="B34" s="76">
        <v>14</v>
      </c>
      <c r="C34" s="74">
        <f>'[1]cálculos teóricos'!K363</f>
        <v>1.0434660928530486</v>
      </c>
      <c r="D34" s="59">
        <f t="shared" si="4"/>
        <v>212.75125820571523</v>
      </c>
      <c r="E34" s="60">
        <f t="shared" si="5"/>
        <v>8.9074696785568843</v>
      </c>
      <c r="F34" s="61">
        <f t="shared" si="6"/>
        <v>11.463419578196108</v>
      </c>
      <c r="G34" s="62">
        <f>'[1]cálculos teóricos'!T363</f>
        <v>43.020894903651737</v>
      </c>
      <c r="H34" s="75">
        <f t="shared" si="7"/>
        <v>26.646167179621035</v>
      </c>
      <c r="I34" s="79"/>
      <c r="J34" s="81"/>
      <c r="K34" s="81"/>
      <c r="L34" s="81"/>
      <c r="M34" s="81"/>
      <c r="N34" s="81"/>
      <c r="O34" s="78"/>
      <c r="P34" s="82"/>
      <c r="Q34" s="81"/>
      <c r="R34" s="81"/>
      <c r="S34" s="81"/>
      <c r="T34" s="81"/>
      <c r="U34" s="81"/>
      <c r="V34" s="212"/>
      <c r="W34" s="59">
        <f t="shared" si="0"/>
        <v>0</v>
      </c>
      <c r="X34" s="69">
        <f t="shared" si="2"/>
        <v>0</v>
      </c>
      <c r="Y34" s="219">
        <f t="shared" si="8"/>
        <v>0</v>
      </c>
      <c r="Z34" s="71">
        <f>'[1]cálculos teóricos'!I363</f>
        <v>13.454738767374977</v>
      </c>
      <c r="AA34" s="72">
        <f t="shared" si="3"/>
        <v>0</v>
      </c>
      <c r="AB34" s="3"/>
      <c r="AE34" s="226"/>
    </row>
    <row r="35" spans="1:31" ht="18" customHeight="1">
      <c r="A35" s="85">
        <v>27</v>
      </c>
      <c r="B35" s="76">
        <v>13.8</v>
      </c>
      <c r="C35" s="74">
        <f>'[1]cálculos teóricos'!K364</f>
        <v>1.0434499822115912</v>
      </c>
      <c r="D35" s="59">
        <f t="shared" si="4"/>
        <v>209.70871665995142</v>
      </c>
      <c r="E35" s="60">
        <f t="shared" si="5"/>
        <v>8.7800845491188451</v>
      </c>
      <c r="F35" s="61">
        <f t="shared" si="6"/>
        <v>11.304188166398557</v>
      </c>
      <c r="G35" s="62">
        <f>'[1]cálculos teóricos'!T364</f>
        <v>43.017898825966327</v>
      </c>
      <c r="H35" s="75">
        <f t="shared" si="7"/>
        <v>26.277871478871859</v>
      </c>
      <c r="I35" s="79"/>
      <c r="J35" s="81"/>
      <c r="K35" s="81">
        <v>0.1</v>
      </c>
      <c r="L35" s="81">
        <v>0.3</v>
      </c>
      <c r="M35" s="81"/>
      <c r="N35" s="81"/>
      <c r="O35" s="78"/>
      <c r="P35" s="82">
        <v>0.7</v>
      </c>
      <c r="Q35" s="81">
        <v>0.1</v>
      </c>
      <c r="R35" s="81">
        <v>0.1</v>
      </c>
      <c r="S35" s="81"/>
      <c r="T35" s="81"/>
      <c r="U35" s="81"/>
      <c r="V35" s="212"/>
      <c r="W35" s="59">
        <f t="shared" si="0"/>
        <v>0.4</v>
      </c>
      <c r="X35" s="69">
        <f t="shared" si="2"/>
        <v>0.89999999999999991</v>
      </c>
      <c r="Y35" s="219">
        <f t="shared" si="8"/>
        <v>1.2999999999999998</v>
      </c>
      <c r="Z35" s="71">
        <f>'[1]cálculos teóricos'!I364</f>
        <v>13.45241664711107</v>
      </c>
      <c r="AA35" s="72">
        <f t="shared" si="3"/>
        <v>9.6636911723900329</v>
      </c>
      <c r="AB35" s="3"/>
      <c r="AE35" s="226"/>
    </row>
    <row r="36" spans="1:31" ht="18" customHeight="1">
      <c r="A36" s="85">
        <v>28</v>
      </c>
      <c r="B36" s="76">
        <v>27.4</v>
      </c>
      <c r="C36" s="74">
        <f>'[1]cálculos teóricos'!K365</f>
        <v>1.0434299613063189</v>
      </c>
      <c r="D36" s="59">
        <f t="shared" si="4"/>
        <v>416.37018741667737</v>
      </c>
      <c r="E36" s="60">
        <f t="shared" si="5"/>
        <v>17.432587006761448</v>
      </c>
      <c r="F36" s="61">
        <f t="shared" si="6"/>
        <v>22.119816238451808</v>
      </c>
      <c r="G36" s="62">
        <f>'[1]cálculos teóricos'!T365</f>
        <v>43.012889429324311</v>
      </c>
      <c r="H36" s="75">
        <f t="shared" si="7"/>
        <v>51.4260179493347</v>
      </c>
      <c r="I36" s="79"/>
      <c r="J36" s="81"/>
      <c r="K36" s="81">
        <v>0.1</v>
      </c>
      <c r="L36" s="81">
        <v>0.8</v>
      </c>
      <c r="M36" s="81">
        <v>0.9</v>
      </c>
      <c r="N36" s="81">
        <v>1</v>
      </c>
      <c r="O36" s="78">
        <v>0.9</v>
      </c>
      <c r="P36" s="82">
        <v>1</v>
      </c>
      <c r="Q36" s="81">
        <v>0.9</v>
      </c>
      <c r="R36" s="81"/>
      <c r="S36" s="81">
        <v>0.5</v>
      </c>
      <c r="T36" s="81">
        <v>0.5</v>
      </c>
      <c r="U36" s="81"/>
      <c r="V36" s="212"/>
      <c r="W36" s="59">
        <f t="shared" si="0"/>
        <v>3.6999999999999997</v>
      </c>
      <c r="X36" s="69">
        <f t="shared" si="2"/>
        <v>2.9</v>
      </c>
      <c r="Y36" s="219">
        <f t="shared" si="8"/>
        <v>6.6</v>
      </c>
      <c r="Z36" s="71">
        <f>'[1]cálculos teóricos'!I365</f>
        <v>13.449546944786</v>
      </c>
      <c r="AA36" s="72">
        <f t="shared" si="3"/>
        <v>49.072284940859134</v>
      </c>
      <c r="AB36" s="3"/>
      <c r="AE36" s="226"/>
    </row>
    <row r="37" spans="1:31" ht="18" customHeight="1">
      <c r="A37" s="85">
        <v>29</v>
      </c>
      <c r="B37" s="76">
        <v>26.6</v>
      </c>
      <c r="C37" s="74">
        <f>'[1]cálculos teóricos'!K366</f>
        <v>1.0434059761106758</v>
      </c>
      <c r="D37" s="59">
        <f t="shared" si="4"/>
        <v>404.20410202013625</v>
      </c>
      <c r="E37" s="60">
        <f t="shared" si="5"/>
        <v>16.923217343379065</v>
      </c>
      <c r="F37" s="61">
        <f t="shared" si="6"/>
        <v>21.483104159223831</v>
      </c>
      <c r="G37" s="62">
        <f>'[1]cálculos teóricos'!T366</f>
        <v>43.005859129978646</v>
      </c>
      <c r="H37" s="75">
        <f t="shared" si="7"/>
        <v>49.953900686635343</v>
      </c>
      <c r="I37" s="79"/>
      <c r="J37" s="81">
        <v>0.3</v>
      </c>
      <c r="K37" s="81">
        <v>0.5</v>
      </c>
      <c r="L37" s="81">
        <v>1</v>
      </c>
      <c r="M37" s="81">
        <v>1</v>
      </c>
      <c r="N37" s="81">
        <v>1</v>
      </c>
      <c r="O37" s="78">
        <v>0.4</v>
      </c>
      <c r="P37" s="82">
        <v>1</v>
      </c>
      <c r="Q37" s="81">
        <v>0.5</v>
      </c>
      <c r="R37" s="81"/>
      <c r="S37" s="81"/>
      <c r="T37" s="81"/>
      <c r="U37" s="81"/>
      <c r="V37" s="212"/>
      <c r="W37" s="59">
        <f t="shared" si="0"/>
        <v>4.2</v>
      </c>
      <c r="X37" s="69">
        <f t="shared" si="2"/>
        <v>1.5</v>
      </c>
      <c r="Y37" s="219">
        <f t="shared" si="8"/>
        <v>5.7</v>
      </c>
      <c r="Z37" s="71">
        <f>'[1]cálculos teóricos'!I366</f>
        <v>13.446132018093639</v>
      </c>
      <c r="AA37" s="72">
        <f t="shared" si="3"/>
        <v>42.391373164638409</v>
      </c>
      <c r="AB37" s="3"/>
      <c r="AE37" s="226"/>
    </row>
    <row r="38" spans="1:31" ht="18" customHeight="1">
      <c r="A38" s="80">
        <v>30</v>
      </c>
      <c r="B38" s="189">
        <v>-99</v>
      </c>
      <c r="C38" s="74">
        <f>'[1]cálculos teóricos'!K367</f>
        <v>1.0433779627462227</v>
      </c>
      <c r="D38" s="59">
        <f t="shared" si="4"/>
        <v>-999</v>
      </c>
      <c r="E38" s="60">
        <f t="shared" si="5"/>
        <v>-999</v>
      </c>
      <c r="F38" s="61">
        <f t="shared" si="6"/>
        <v>-999</v>
      </c>
      <c r="G38" s="62">
        <f>'[1]cálculos teóricos'!T367</f>
        <v>42.996799518656061</v>
      </c>
      <c r="H38" s="75">
        <f t="shared" si="7"/>
        <v>-999</v>
      </c>
      <c r="I38" s="79"/>
      <c r="J38" s="81">
        <v>0.5</v>
      </c>
      <c r="K38" s="81">
        <v>1</v>
      </c>
      <c r="L38" s="81">
        <v>1</v>
      </c>
      <c r="M38" s="81">
        <v>1</v>
      </c>
      <c r="N38" s="81">
        <v>1</v>
      </c>
      <c r="O38" s="77">
        <v>1</v>
      </c>
      <c r="P38" s="82">
        <v>1</v>
      </c>
      <c r="Q38" s="81">
        <v>0.1</v>
      </c>
      <c r="R38" s="81"/>
      <c r="S38" s="81"/>
      <c r="T38" s="81"/>
      <c r="U38" s="81"/>
      <c r="V38" s="212"/>
      <c r="W38" s="59">
        <f t="shared" si="0"/>
        <v>5.5</v>
      </c>
      <c r="X38" s="69">
        <f t="shared" si="2"/>
        <v>1.1000000000000001</v>
      </c>
      <c r="Y38" s="219">
        <f t="shared" si="8"/>
        <v>6.6</v>
      </c>
      <c r="Z38" s="71">
        <f>'[1]cálculos teóricos'!I367</f>
        <v>13.44217469400769</v>
      </c>
      <c r="AA38" s="72">
        <f t="shared" si="3"/>
        <v>49.099198234212622</v>
      </c>
      <c r="AB38" s="3"/>
      <c r="AE38" s="226"/>
    </row>
    <row r="39" spans="1:31" ht="18" customHeight="1" thickBot="1">
      <c r="A39" s="86">
        <v>31</v>
      </c>
      <c r="B39" s="87">
        <v>25.6</v>
      </c>
      <c r="C39" s="88">
        <f>'[1]cálculos teóricos'!K368</f>
        <v>1.0433458476398019</v>
      </c>
      <c r="D39" s="89">
        <f t="shared" si="4"/>
        <v>388.98604165381772</v>
      </c>
      <c r="E39" s="90">
        <f t="shared" si="5"/>
        <v>16.286067591962038</v>
      </c>
      <c r="F39" s="91">
        <f t="shared" si="6"/>
        <v>20.686666969952547</v>
      </c>
      <c r="G39" s="92">
        <f>'[1]cálculos teóricos'!T368</f>
        <v>42.985701383239665</v>
      </c>
      <c r="H39" s="93">
        <f t="shared" si="7"/>
        <v>48.124530493338376</v>
      </c>
      <c r="I39" s="94"/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95">
        <v>1</v>
      </c>
      <c r="P39" s="94">
        <v>0.7</v>
      </c>
      <c r="Q39" s="87"/>
      <c r="R39" s="87"/>
      <c r="S39" s="87"/>
      <c r="T39" s="87"/>
      <c r="U39" s="87"/>
      <c r="V39" s="213"/>
      <c r="W39" s="59">
        <f t="shared" si="0"/>
        <v>6</v>
      </c>
      <c r="X39" s="89">
        <f t="shared" si="2"/>
        <v>0.7</v>
      </c>
      <c r="Y39" s="227">
        <f t="shared" si="8"/>
        <v>6.7</v>
      </c>
      <c r="Z39" s="100">
        <f>'[1]cálculos teóricos'!I368</f>
        <v>13.437678260637247</v>
      </c>
      <c r="AA39" s="101">
        <f t="shared" si="3"/>
        <v>49.859803680716119</v>
      </c>
      <c r="AB39" s="3"/>
      <c r="AE39" s="226"/>
    </row>
    <row r="40" spans="1:31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4">
        <f>SUM(I9:I39)</f>
        <v>0.2</v>
      </c>
      <c r="J40" s="104">
        <f t="shared" ref="J40:AA40" si="9">SUM(J9:J39)</f>
        <v>7.2</v>
      </c>
      <c r="K40" s="104">
        <f t="shared" si="9"/>
        <v>13.899999999999999</v>
      </c>
      <c r="L40" s="104">
        <f t="shared" si="9"/>
        <v>17.600000000000001</v>
      </c>
      <c r="M40" s="104">
        <f t="shared" si="9"/>
        <v>17.299999999999997</v>
      </c>
      <c r="N40" s="104">
        <f t="shared" si="9"/>
        <v>19.2</v>
      </c>
      <c r="O40" s="104">
        <f t="shared" si="9"/>
        <v>18.3</v>
      </c>
      <c r="P40" s="104">
        <f t="shared" si="9"/>
        <v>17.7</v>
      </c>
      <c r="Q40" s="104">
        <f t="shared" si="9"/>
        <v>15.8</v>
      </c>
      <c r="R40" s="104">
        <f t="shared" si="9"/>
        <v>12.5</v>
      </c>
      <c r="S40" s="104">
        <f t="shared" si="9"/>
        <v>10.200000000000001</v>
      </c>
      <c r="T40" s="104">
        <f t="shared" si="9"/>
        <v>5.0999999999999996</v>
      </c>
      <c r="U40" s="104">
        <f t="shared" si="9"/>
        <v>2.2999999999999998</v>
      </c>
      <c r="V40" s="104"/>
      <c r="W40" s="104">
        <f t="shared" si="0"/>
        <v>93.699999999999989</v>
      </c>
      <c r="X40" s="104">
        <f>SUM(P40:V40)</f>
        <v>63.6</v>
      </c>
      <c r="Y40" s="104">
        <f>W40+X40</f>
        <v>157.29999999999998</v>
      </c>
      <c r="Z40" s="104">
        <f t="shared" si="9"/>
        <v>416.21285701052278</v>
      </c>
      <c r="AA40" s="104">
        <f t="shared" si="9"/>
        <v>1171.8046802738659</v>
      </c>
      <c r="AB40" s="102"/>
    </row>
    <row r="41" spans="1:31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31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31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31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31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31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31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31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  <row r="61" spans="1:28">
      <c r="V61" s="228"/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2026-03-11T22:32:11Z</dcterms:created>
  <dcterms:modified xsi:type="dcterms:W3CDTF">2026-03-11T22:32:22Z</dcterms:modified>
</cp:coreProperties>
</file>