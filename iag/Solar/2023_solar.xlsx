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35" windowWidth="19155" windowHeight="9285"/>
  </bookViews>
  <sheets>
    <sheet name="janeiro" sheetId="1" r:id="rId1"/>
    <sheet name="fevereiro" sheetId="2" r:id="rId2"/>
    <sheet name="marco" sheetId="3" r:id="rId3"/>
    <sheet name="abril" sheetId="4" r:id="rId4"/>
    <sheet name="maio" sheetId="5" r:id="rId5"/>
    <sheet name="junho" sheetId="6" r:id="rId6"/>
    <sheet name="julho" sheetId="7" r:id="rId7"/>
    <sheet name="agosto" sheetId="8" r:id="rId8"/>
    <sheet name="setembro" sheetId="9" r:id="rId9"/>
    <sheet name="outubro" sheetId="10" r:id="rId10"/>
    <sheet name="novembro" sheetId="11" r:id="rId11"/>
    <sheet name="dezembro" sheetId="12" r:id="rId12"/>
  </sheets>
  <externalReferences>
    <externalReference r:id="rId13"/>
  </externalReferences>
  <calcPr calcId="125725"/>
</workbook>
</file>

<file path=xl/calcChain.xml><?xml version="1.0" encoding="utf-8"?>
<calcChain xmlns="http://schemas.openxmlformats.org/spreadsheetml/2006/main">
  <c r="U40" i="12"/>
  <c r="T40"/>
  <c r="S40"/>
  <c r="R40"/>
  <c r="Q40"/>
  <c r="P40"/>
  <c r="X40" s="1"/>
  <c r="O40"/>
  <c r="N40"/>
  <c r="M40"/>
  <c r="L40"/>
  <c r="K40"/>
  <c r="J40"/>
  <c r="I40"/>
  <c r="W40" s="1"/>
  <c r="Y40" s="1"/>
  <c r="AA39"/>
  <c r="Z39"/>
  <c r="Y39"/>
  <c r="X39"/>
  <c r="W39"/>
  <c r="G39"/>
  <c r="C39"/>
  <c r="D39" s="1"/>
  <c r="Z38"/>
  <c r="X38"/>
  <c r="W38"/>
  <c r="Y38" s="1"/>
  <c r="AA38" s="1"/>
  <c r="H38"/>
  <c r="G38"/>
  <c r="F38"/>
  <c r="E38"/>
  <c r="D38"/>
  <c r="C38"/>
  <c r="Z37"/>
  <c r="Y37"/>
  <c r="AA37" s="1"/>
  <c r="X37"/>
  <c r="W37"/>
  <c r="G37"/>
  <c r="D37"/>
  <c r="F37" s="1"/>
  <c r="H37" s="1"/>
  <c r="C37"/>
  <c r="Z36"/>
  <c r="Y36"/>
  <c r="AA36" s="1"/>
  <c r="X36"/>
  <c r="W36"/>
  <c r="G36"/>
  <c r="C36"/>
  <c r="D36" s="1"/>
  <c r="Z35"/>
  <c r="X35"/>
  <c r="W35"/>
  <c r="Y35" s="1"/>
  <c r="AA35" s="1"/>
  <c r="G35"/>
  <c r="C35"/>
  <c r="D35" s="1"/>
  <c r="Z34"/>
  <c r="X34"/>
  <c r="W34"/>
  <c r="Y34" s="1"/>
  <c r="AA34" s="1"/>
  <c r="G34"/>
  <c r="E34"/>
  <c r="D34"/>
  <c r="F34" s="1"/>
  <c r="H34" s="1"/>
  <c r="C34"/>
  <c r="Z33"/>
  <c r="AA33" s="1"/>
  <c r="Y33"/>
  <c r="X33"/>
  <c r="W33"/>
  <c r="G33"/>
  <c r="D33"/>
  <c r="E33" s="1"/>
  <c r="C33"/>
  <c r="Z32"/>
  <c r="Y32"/>
  <c r="AA32" s="1"/>
  <c r="X32"/>
  <c r="W32"/>
  <c r="G32"/>
  <c r="C32"/>
  <c r="D32" s="1"/>
  <c r="Z31"/>
  <c r="X31"/>
  <c r="Y31" s="1"/>
  <c r="AA31" s="1"/>
  <c r="W31"/>
  <c r="G31"/>
  <c r="C31"/>
  <c r="D31" s="1"/>
  <c r="Z30"/>
  <c r="X30"/>
  <c r="W30"/>
  <c r="Y30" s="1"/>
  <c r="AA30" s="1"/>
  <c r="G30"/>
  <c r="F30"/>
  <c r="H30" s="1"/>
  <c r="E30"/>
  <c r="D30"/>
  <c r="C30"/>
  <c r="Z29"/>
  <c r="Y29"/>
  <c r="AA29" s="1"/>
  <c r="X29"/>
  <c r="W29"/>
  <c r="G29"/>
  <c r="D29"/>
  <c r="E29" s="1"/>
  <c r="C29"/>
  <c r="Z28"/>
  <c r="Y28"/>
  <c r="AA28" s="1"/>
  <c r="X28"/>
  <c r="W28"/>
  <c r="G28"/>
  <c r="C28"/>
  <c r="D28" s="1"/>
  <c r="Z27"/>
  <c r="X27"/>
  <c r="W27"/>
  <c r="Y27" s="1"/>
  <c r="AA27" s="1"/>
  <c r="G27"/>
  <c r="C27"/>
  <c r="D27" s="1"/>
  <c r="Z26"/>
  <c r="X26"/>
  <c r="W26"/>
  <c r="Y26" s="1"/>
  <c r="AA26" s="1"/>
  <c r="G26"/>
  <c r="E26"/>
  <c r="D26"/>
  <c r="F26" s="1"/>
  <c r="H26" s="1"/>
  <c r="C26"/>
  <c r="Z25"/>
  <c r="X25"/>
  <c r="W25"/>
  <c r="Y25" s="1"/>
  <c r="AA25" s="1"/>
  <c r="G25"/>
  <c r="D25"/>
  <c r="E25" s="1"/>
  <c r="C25"/>
  <c r="Z24"/>
  <c r="Y24"/>
  <c r="AA24" s="1"/>
  <c r="X24"/>
  <c r="W24"/>
  <c r="G24"/>
  <c r="C24"/>
  <c r="D24" s="1"/>
  <c r="Z23"/>
  <c r="X23"/>
  <c r="Y23" s="1"/>
  <c r="AA23" s="1"/>
  <c r="W23"/>
  <c r="G23"/>
  <c r="C23"/>
  <c r="D23" s="1"/>
  <c r="Z22"/>
  <c r="X22"/>
  <c r="W22"/>
  <c r="Y22" s="1"/>
  <c r="AA22" s="1"/>
  <c r="H22"/>
  <c r="G22"/>
  <c r="F22"/>
  <c r="E22"/>
  <c r="D22"/>
  <c r="C22"/>
  <c r="Z21"/>
  <c r="X21"/>
  <c r="W21"/>
  <c r="Y21" s="1"/>
  <c r="AA21" s="1"/>
  <c r="G21"/>
  <c r="D21"/>
  <c r="F21" s="1"/>
  <c r="H21" s="1"/>
  <c r="C21"/>
  <c r="Z20"/>
  <c r="Y20"/>
  <c r="AA20" s="1"/>
  <c r="X20"/>
  <c r="W20"/>
  <c r="G20"/>
  <c r="C20"/>
  <c r="D20" s="1"/>
  <c r="Z19"/>
  <c r="X19"/>
  <c r="W19"/>
  <c r="Y19" s="1"/>
  <c r="AA19" s="1"/>
  <c r="G19"/>
  <c r="C19"/>
  <c r="D19" s="1"/>
  <c r="Z18"/>
  <c r="X18"/>
  <c r="W18"/>
  <c r="Y18" s="1"/>
  <c r="AA18" s="1"/>
  <c r="G18"/>
  <c r="E18"/>
  <c r="D18"/>
  <c r="F18" s="1"/>
  <c r="H18" s="1"/>
  <c r="C18"/>
  <c r="Z17"/>
  <c r="AA17" s="1"/>
  <c r="Y17"/>
  <c r="X17"/>
  <c r="W17"/>
  <c r="G17"/>
  <c r="D17"/>
  <c r="E17" s="1"/>
  <c r="C17"/>
  <c r="Z16"/>
  <c r="Y16"/>
  <c r="AA16" s="1"/>
  <c r="X16"/>
  <c r="W16"/>
  <c r="G16"/>
  <c r="C16"/>
  <c r="D16" s="1"/>
  <c r="Z15"/>
  <c r="X15"/>
  <c r="Y15" s="1"/>
  <c r="AA15" s="1"/>
  <c r="W15"/>
  <c r="H15"/>
  <c r="G15"/>
  <c r="F15"/>
  <c r="E15"/>
  <c r="D15"/>
  <c r="C15"/>
  <c r="Z14"/>
  <c r="X14"/>
  <c r="W14"/>
  <c r="Y14" s="1"/>
  <c r="AA14" s="1"/>
  <c r="G14"/>
  <c r="F14"/>
  <c r="H14" s="1"/>
  <c r="E14"/>
  <c r="D14"/>
  <c r="C14"/>
  <c r="Z13"/>
  <c r="Y13"/>
  <c r="AA13" s="1"/>
  <c r="X13"/>
  <c r="W13"/>
  <c r="G13"/>
  <c r="C13"/>
  <c r="D13" s="1"/>
  <c r="Z12"/>
  <c r="Y12"/>
  <c r="AA12" s="1"/>
  <c r="X12"/>
  <c r="W12"/>
  <c r="G12"/>
  <c r="C12"/>
  <c r="D12" s="1"/>
  <c r="Z11"/>
  <c r="X11"/>
  <c r="W11"/>
  <c r="Y11" s="1"/>
  <c r="AA11" s="1"/>
  <c r="G11"/>
  <c r="C11"/>
  <c r="D11" s="1"/>
  <c r="Z10"/>
  <c r="X10"/>
  <c r="W10"/>
  <c r="Y10" s="1"/>
  <c r="AA10" s="1"/>
  <c r="G10"/>
  <c r="D10"/>
  <c r="E10" s="1"/>
  <c r="C10"/>
  <c r="Z9"/>
  <c r="Z40" s="1"/>
  <c r="X9"/>
  <c r="W9"/>
  <c r="Y9" s="1"/>
  <c r="AA9" s="1"/>
  <c r="G9"/>
  <c r="D9"/>
  <c r="E9" s="1"/>
  <c r="C9"/>
  <c r="V40" i="11"/>
  <c r="U40"/>
  <c r="T40"/>
  <c r="S40"/>
  <c r="R40"/>
  <c r="Q40"/>
  <c r="P40"/>
  <c r="X40" s="1"/>
  <c r="O40"/>
  <c r="N40"/>
  <c r="M40"/>
  <c r="L40"/>
  <c r="K40"/>
  <c r="J40"/>
  <c r="I40"/>
  <c r="W40" s="1"/>
  <c r="Z38"/>
  <c r="X38"/>
  <c r="Y38" s="1"/>
  <c r="AA38" s="1"/>
  <c r="W38"/>
  <c r="G38"/>
  <c r="C38"/>
  <c r="D38" s="1"/>
  <c r="Z37"/>
  <c r="X37"/>
  <c r="W37"/>
  <c r="Y37" s="1"/>
  <c r="AA37" s="1"/>
  <c r="G37"/>
  <c r="F37"/>
  <c r="H37" s="1"/>
  <c r="E37"/>
  <c r="D37"/>
  <c r="C37"/>
  <c r="Z36"/>
  <c r="Y36"/>
  <c r="AA36" s="1"/>
  <c r="X36"/>
  <c r="W36"/>
  <c r="G36"/>
  <c r="D36"/>
  <c r="E36" s="1"/>
  <c r="C36"/>
  <c r="Z35"/>
  <c r="Y35"/>
  <c r="AA35" s="1"/>
  <c r="X35"/>
  <c r="W35"/>
  <c r="G35"/>
  <c r="C35"/>
  <c r="D35" s="1"/>
  <c r="Z34"/>
  <c r="X34"/>
  <c r="W34"/>
  <c r="Y34" s="1"/>
  <c r="AA34" s="1"/>
  <c r="G34"/>
  <c r="C34"/>
  <c r="D34" s="1"/>
  <c r="Z33"/>
  <c r="X33"/>
  <c r="W33"/>
  <c r="Y33" s="1"/>
  <c r="AA33" s="1"/>
  <c r="G33"/>
  <c r="E33"/>
  <c r="D33"/>
  <c r="F33" s="1"/>
  <c r="H33" s="1"/>
  <c r="C33"/>
  <c r="Z32"/>
  <c r="X32"/>
  <c r="W32"/>
  <c r="Y32" s="1"/>
  <c r="AA32" s="1"/>
  <c r="G32"/>
  <c r="D32"/>
  <c r="E32" s="1"/>
  <c r="C32"/>
  <c r="Z31"/>
  <c r="Y31"/>
  <c r="AA31" s="1"/>
  <c r="X31"/>
  <c r="W31"/>
  <c r="G31"/>
  <c r="C31"/>
  <c r="D31" s="1"/>
  <c r="Z30"/>
  <c r="X30"/>
  <c r="Y30" s="1"/>
  <c r="AA30" s="1"/>
  <c r="W30"/>
  <c r="G30"/>
  <c r="C30"/>
  <c r="D30" s="1"/>
  <c r="Z29"/>
  <c r="X29"/>
  <c r="W29"/>
  <c r="Y29" s="1"/>
  <c r="AA29" s="1"/>
  <c r="H29"/>
  <c r="G29"/>
  <c r="F29"/>
  <c r="E29"/>
  <c r="D29"/>
  <c r="C29"/>
  <c r="Z28"/>
  <c r="X28"/>
  <c r="W28"/>
  <c r="Y28" s="1"/>
  <c r="AA28" s="1"/>
  <c r="G28"/>
  <c r="D28"/>
  <c r="F28" s="1"/>
  <c r="H28" s="1"/>
  <c r="C28"/>
  <c r="Z27"/>
  <c r="Y27"/>
  <c r="AA27" s="1"/>
  <c r="X27"/>
  <c r="W27"/>
  <c r="G27"/>
  <c r="C27"/>
  <c r="D27" s="1"/>
  <c r="Z26"/>
  <c r="X26"/>
  <c r="W26"/>
  <c r="Y26" s="1"/>
  <c r="AA26" s="1"/>
  <c r="G26"/>
  <c r="C26"/>
  <c r="D26" s="1"/>
  <c r="Z25"/>
  <c r="X25"/>
  <c r="W25"/>
  <c r="Y25" s="1"/>
  <c r="AA25" s="1"/>
  <c r="G25"/>
  <c r="E25"/>
  <c r="D25"/>
  <c r="F25" s="1"/>
  <c r="H25" s="1"/>
  <c r="C25"/>
  <c r="Z24"/>
  <c r="AA24" s="1"/>
  <c r="Y24"/>
  <c r="X24"/>
  <c r="W24"/>
  <c r="G24"/>
  <c r="D24"/>
  <c r="E24" s="1"/>
  <c r="C24"/>
  <c r="Z23"/>
  <c r="Y23"/>
  <c r="AA23" s="1"/>
  <c r="X23"/>
  <c r="W23"/>
  <c r="G23"/>
  <c r="C23"/>
  <c r="D23" s="1"/>
  <c r="Z22"/>
  <c r="X22"/>
  <c r="Y22" s="1"/>
  <c r="AA22" s="1"/>
  <c r="W22"/>
  <c r="G22"/>
  <c r="C22"/>
  <c r="D22" s="1"/>
  <c r="Z21"/>
  <c r="X21"/>
  <c r="W21"/>
  <c r="Y21" s="1"/>
  <c r="AA21" s="1"/>
  <c r="H21"/>
  <c r="G21"/>
  <c r="F21"/>
  <c r="E21"/>
  <c r="D21"/>
  <c r="C21"/>
  <c r="Z20"/>
  <c r="Y20"/>
  <c r="AA20" s="1"/>
  <c r="X20"/>
  <c r="W20"/>
  <c r="G20"/>
  <c r="C20"/>
  <c r="D20" s="1"/>
  <c r="Z19"/>
  <c r="Y19"/>
  <c r="AA19" s="1"/>
  <c r="X19"/>
  <c r="W19"/>
  <c r="G19"/>
  <c r="C19"/>
  <c r="D19" s="1"/>
  <c r="Z18"/>
  <c r="X18"/>
  <c r="W18"/>
  <c r="Y18" s="1"/>
  <c r="AA18" s="1"/>
  <c r="G18"/>
  <c r="C18"/>
  <c r="D18" s="1"/>
  <c r="Z17"/>
  <c r="X17"/>
  <c r="W17"/>
  <c r="Y17" s="1"/>
  <c r="AA17" s="1"/>
  <c r="G17"/>
  <c r="D17"/>
  <c r="E17" s="1"/>
  <c r="C17"/>
  <c r="Z16"/>
  <c r="X16"/>
  <c r="W16"/>
  <c r="Y16" s="1"/>
  <c r="AA16" s="1"/>
  <c r="G16"/>
  <c r="D16"/>
  <c r="E16" s="1"/>
  <c r="C16"/>
  <c r="Z15"/>
  <c r="X15"/>
  <c r="Y15" s="1"/>
  <c r="AA15" s="1"/>
  <c r="W15"/>
  <c r="G15"/>
  <c r="C15"/>
  <c r="D15" s="1"/>
  <c r="Z14"/>
  <c r="X14"/>
  <c r="Y14" s="1"/>
  <c r="AA14" s="1"/>
  <c r="W14"/>
  <c r="G14"/>
  <c r="C14"/>
  <c r="D14" s="1"/>
  <c r="Z13"/>
  <c r="X13"/>
  <c r="W13"/>
  <c r="Y13" s="1"/>
  <c r="AA13" s="1"/>
  <c r="H13"/>
  <c r="G13"/>
  <c r="F13"/>
  <c r="E13"/>
  <c r="D13"/>
  <c r="C13"/>
  <c r="Z12"/>
  <c r="Y12"/>
  <c r="AA12" s="1"/>
  <c r="X12"/>
  <c r="W12"/>
  <c r="G12"/>
  <c r="D12"/>
  <c r="F12" s="1"/>
  <c r="H12" s="1"/>
  <c r="C12"/>
  <c r="Z11"/>
  <c r="Y11"/>
  <c r="AA11" s="1"/>
  <c r="X11"/>
  <c r="W11"/>
  <c r="G11"/>
  <c r="C11"/>
  <c r="D11" s="1"/>
  <c r="Z10"/>
  <c r="X10"/>
  <c r="W10"/>
  <c r="Y10" s="1"/>
  <c r="AA10" s="1"/>
  <c r="G10"/>
  <c r="C10"/>
  <c r="D10" s="1"/>
  <c r="Z9"/>
  <c r="Z40" s="1"/>
  <c r="X9"/>
  <c r="W9"/>
  <c r="Y9" s="1"/>
  <c r="AA9" s="1"/>
  <c r="G9"/>
  <c r="E9"/>
  <c r="D9"/>
  <c r="F9" s="1"/>
  <c r="H9" s="1"/>
  <c r="C9"/>
  <c r="V40" i="10"/>
  <c r="U40"/>
  <c r="T40"/>
  <c r="S40"/>
  <c r="R40"/>
  <c r="Q40"/>
  <c r="P40"/>
  <c r="X40" s="1"/>
  <c r="O40"/>
  <c r="N40"/>
  <c r="M40"/>
  <c r="L40"/>
  <c r="K40"/>
  <c r="J40"/>
  <c r="I40"/>
  <c r="W40" s="1"/>
  <c r="Y40" s="1"/>
  <c r="Z39"/>
  <c r="X39"/>
  <c r="Y39" s="1"/>
  <c r="AA39" s="1"/>
  <c r="W39"/>
  <c r="G39"/>
  <c r="C39"/>
  <c r="D39" s="1"/>
  <c r="Z38"/>
  <c r="X38"/>
  <c r="Y38" s="1"/>
  <c r="AA38" s="1"/>
  <c r="W38"/>
  <c r="G38"/>
  <c r="C38"/>
  <c r="D38" s="1"/>
  <c r="Z37"/>
  <c r="X37"/>
  <c r="W37"/>
  <c r="Y37" s="1"/>
  <c r="AA37" s="1"/>
  <c r="H37"/>
  <c r="G37"/>
  <c r="F37"/>
  <c r="E37"/>
  <c r="D37"/>
  <c r="C37"/>
  <c r="Z36"/>
  <c r="Y36"/>
  <c r="AA36" s="1"/>
  <c r="X36"/>
  <c r="W36"/>
  <c r="G36"/>
  <c r="D36"/>
  <c r="F36" s="1"/>
  <c r="H36" s="1"/>
  <c r="C36"/>
  <c r="Z35"/>
  <c r="Y35"/>
  <c r="AA35" s="1"/>
  <c r="X35"/>
  <c r="W35"/>
  <c r="G35"/>
  <c r="C35"/>
  <c r="D35" s="1"/>
  <c r="Z34"/>
  <c r="X34"/>
  <c r="W34"/>
  <c r="Y34" s="1"/>
  <c r="AA34" s="1"/>
  <c r="G34"/>
  <c r="C34"/>
  <c r="D34" s="1"/>
  <c r="Z33"/>
  <c r="X33"/>
  <c r="W33"/>
  <c r="Y33" s="1"/>
  <c r="AA33" s="1"/>
  <c r="G33"/>
  <c r="E33"/>
  <c r="D33"/>
  <c r="F33" s="1"/>
  <c r="H33" s="1"/>
  <c r="C33"/>
  <c r="Z32"/>
  <c r="AA32" s="1"/>
  <c r="Y32"/>
  <c r="X32"/>
  <c r="W32"/>
  <c r="G32"/>
  <c r="D32"/>
  <c r="E32" s="1"/>
  <c r="C32"/>
  <c r="Z31"/>
  <c r="Y31"/>
  <c r="AA31" s="1"/>
  <c r="X31"/>
  <c r="W31"/>
  <c r="G31"/>
  <c r="C31"/>
  <c r="D31" s="1"/>
  <c r="Z30"/>
  <c r="X30"/>
  <c r="Y30" s="1"/>
  <c r="AA30" s="1"/>
  <c r="W30"/>
  <c r="G30"/>
  <c r="C30"/>
  <c r="D30" s="1"/>
  <c r="Z29"/>
  <c r="X29"/>
  <c r="W29"/>
  <c r="Y29" s="1"/>
  <c r="AA29" s="1"/>
  <c r="G29"/>
  <c r="C29"/>
  <c r="D29" s="1"/>
  <c r="Z28"/>
  <c r="Y28"/>
  <c r="AA28" s="1"/>
  <c r="X28"/>
  <c r="W28"/>
  <c r="G28"/>
  <c r="D28"/>
  <c r="E28" s="1"/>
  <c r="C28"/>
  <c r="Z27"/>
  <c r="Y27"/>
  <c r="AA27" s="1"/>
  <c r="X27"/>
  <c r="W27"/>
  <c r="G27"/>
  <c r="C27"/>
  <c r="D27" s="1"/>
  <c r="Z26"/>
  <c r="X26"/>
  <c r="W26"/>
  <c r="Y26" s="1"/>
  <c r="AA26" s="1"/>
  <c r="G26"/>
  <c r="C26"/>
  <c r="D26" s="1"/>
  <c r="Z25"/>
  <c r="X25"/>
  <c r="W25"/>
  <c r="Y25" s="1"/>
  <c r="AA25" s="1"/>
  <c r="G25"/>
  <c r="D25"/>
  <c r="E25" s="1"/>
  <c r="C25"/>
  <c r="Z24"/>
  <c r="X24"/>
  <c r="W24"/>
  <c r="Y24" s="1"/>
  <c r="AA24" s="1"/>
  <c r="G24"/>
  <c r="D24"/>
  <c r="E24" s="1"/>
  <c r="C24"/>
  <c r="Z23"/>
  <c r="X23"/>
  <c r="Y23" s="1"/>
  <c r="AA23" s="1"/>
  <c r="W23"/>
  <c r="G23"/>
  <c r="C23"/>
  <c r="D23" s="1"/>
  <c r="Z22"/>
  <c r="X22"/>
  <c r="Y22" s="1"/>
  <c r="AA22" s="1"/>
  <c r="W22"/>
  <c r="G22"/>
  <c r="C22"/>
  <c r="D22" s="1"/>
  <c r="Z21"/>
  <c r="X21"/>
  <c r="W21"/>
  <c r="Y21" s="1"/>
  <c r="AA21" s="1"/>
  <c r="H21"/>
  <c r="G21"/>
  <c r="F21"/>
  <c r="E21"/>
  <c r="D21"/>
  <c r="C21"/>
  <c r="Z20"/>
  <c r="Y20"/>
  <c r="AA20" s="1"/>
  <c r="X20"/>
  <c r="W20"/>
  <c r="G20"/>
  <c r="D20"/>
  <c r="F20" s="1"/>
  <c r="H20" s="1"/>
  <c r="C20"/>
  <c r="Z19"/>
  <c r="Y19"/>
  <c r="AA19" s="1"/>
  <c r="X19"/>
  <c r="W19"/>
  <c r="G19"/>
  <c r="C19"/>
  <c r="D19" s="1"/>
  <c r="Z18"/>
  <c r="X18"/>
  <c r="W18"/>
  <c r="Y18" s="1"/>
  <c r="AA18" s="1"/>
  <c r="G18"/>
  <c r="C18"/>
  <c r="D18" s="1"/>
  <c r="Z17"/>
  <c r="X17"/>
  <c r="W17"/>
  <c r="Y17" s="1"/>
  <c r="AA17" s="1"/>
  <c r="G17"/>
  <c r="E17"/>
  <c r="D17"/>
  <c r="F17" s="1"/>
  <c r="H17" s="1"/>
  <c r="C17"/>
  <c r="Z16"/>
  <c r="AA16" s="1"/>
  <c r="Y16"/>
  <c r="X16"/>
  <c r="W16"/>
  <c r="G16"/>
  <c r="D16"/>
  <c r="E16" s="1"/>
  <c r="C16"/>
  <c r="Z15"/>
  <c r="Y15"/>
  <c r="AA15" s="1"/>
  <c r="X15"/>
  <c r="W15"/>
  <c r="G15"/>
  <c r="C15"/>
  <c r="D15" s="1"/>
  <c r="Z14"/>
  <c r="X14"/>
  <c r="Y14" s="1"/>
  <c r="AA14" s="1"/>
  <c r="W14"/>
  <c r="G14"/>
  <c r="C14"/>
  <c r="D14" s="1"/>
  <c r="Z13"/>
  <c r="X13"/>
  <c r="W13"/>
  <c r="Y13" s="1"/>
  <c r="AA13" s="1"/>
  <c r="G13"/>
  <c r="C13"/>
  <c r="D13" s="1"/>
  <c r="Z12"/>
  <c r="Y12"/>
  <c r="AA12" s="1"/>
  <c r="X12"/>
  <c r="W12"/>
  <c r="G12"/>
  <c r="C12"/>
  <c r="D12" s="1"/>
  <c r="Z11"/>
  <c r="Y11"/>
  <c r="AA11" s="1"/>
  <c r="X11"/>
  <c r="W11"/>
  <c r="G11"/>
  <c r="C11"/>
  <c r="D11" s="1"/>
  <c r="Z10"/>
  <c r="X10"/>
  <c r="W10"/>
  <c r="Y10" s="1"/>
  <c r="AA10" s="1"/>
  <c r="G10"/>
  <c r="C10"/>
  <c r="D10" s="1"/>
  <c r="Z9"/>
  <c r="Z40" s="1"/>
  <c r="X9"/>
  <c r="W9"/>
  <c r="Y9" s="1"/>
  <c r="AA9" s="1"/>
  <c r="G9"/>
  <c r="D9"/>
  <c r="E9" s="1"/>
  <c r="C9"/>
  <c r="V40" i="9"/>
  <c r="U40"/>
  <c r="T40"/>
  <c r="S40"/>
  <c r="R40"/>
  <c r="Q40"/>
  <c r="P40"/>
  <c r="X40" s="1"/>
  <c r="O40"/>
  <c r="N40"/>
  <c r="M40"/>
  <c r="L40"/>
  <c r="K40"/>
  <c r="J40"/>
  <c r="W40" s="1"/>
  <c r="Y40" s="1"/>
  <c r="I40"/>
  <c r="Z38"/>
  <c r="Y38"/>
  <c r="AA38" s="1"/>
  <c r="X38"/>
  <c r="W38"/>
  <c r="G38"/>
  <c r="C38"/>
  <c r="D38" s="1"/>
  <c r="Z37"/>
  <c r="X37"/>
  <c r="Y37" s="1"/>
  <c r="AA37" s="1"/>
  <c r="W37"/>
  <c r="G37"/>
  <c r="C37"/>
  <c r="D37" s="1"/>
  <c r="Z36"/>
  <c r="X36"/>
  <c r="W36"/>
  <c r="Y36" s="1"/>
  <c r="AA36" s="1"/>
  <c r="H36"/>
  <c r="G36"/>
  <c r="F36"/>
  <c r="E36"/>
  <c r="D36"/>
  <c r="C36"/>
  <c r="Z35"/>
  <c r="Y35"/>
  <c r="AA35" s="1"/>
  <c r="X35"/>
  <c r="W35"/>
  <c r="G35"/>
  <c r="C35"/>
  <c r="D35" s="1"/>
  <c r="Z34"/>
  <c r="Y34"/>
  <c r="AA34" s="1"/>
  <c r="X34"/>
  <c r="W34"/>
  <c r="G34"/>
  <c r="C34"/>
  <c r="D34" s="1"/>
  <c r="Z33"/>
  <c r="X33"/>
  <c r="W33"/>
  <c r="Y33" s="1"/>
  <c r="AA33" s="1"/>
  <c r="G33"/>
  <c r="C33"/>
  <c r="D33" s="1"/>
  <c r="Z32"/>
  <c r="X32"/>
  <c r="W32"/>
  <c r="Y32" s="1"/>
  <c r="AA32" s="1"/>
  <c r="G32"/>
  <c r="D32"/>
  <c r="E32" s="1"/>
  <c r="C32"/>
  <c r="Z31"/>
  <c r="X31"/>
  <c r="W31"/>
  <c r="Y31" s="1"/>
  <c r="AA31" s="1"/>
  <c r="G31"/>
  <c r="D31"/>
  <c r="E31" s="1"/>
  <c r="C31"/>
  <c r="Z30"/>
  <c r="X30"/>
  <c r="Y30" s="1"/>
  <c r="AA30" s="1"/>
  <c r="W30"/>
  <c r="G30"/>
  <c r="C30"/>
  <c r="D30" s="1"/>
  <c r="Z29"/>
  <c r="X29"/>
  <c r="Y29" s="1"/>
  <c r="AA29" s="1"/>
  <c r="W29"/>
  <c r="G29"/>
  <c r="C29"/>
  <c r="D29" s="1"/>
  <c r="Z28"/>
  <c r="X28"/>
  <c r="W28"/>
  <c r="Y28" s="1"/>
  <c r="AA28" s="1"/>
  <c r="H28"/>
  <c r="G28"/>
  <c r="F28"/>
  <c r="E28"/>
  <c r="D28"/>
  <c r="C28"/>
  <c r="Z27"/>
  <c r="Y27"/>
  <c r="AA27" s="1"/>
  <c r="X27"/>
  <c r="W27"/>
  <c r="G27"/>
  <c r="D27"/>
  <c r="F27" s="1"/>
  <c r="H27" s="1"/>
  <c r="C27"/>
  <c r="Z26"/>
  <c r="Y26"/>
  <c r="AA26" s="1"/>
  <c r="X26"/>
  <c r="W26"/>
  <c r="G26"/>
  <c r="C26"/>
  <c r="D26" s="1"/>
  <c r="Z25"/>
  <c r="X25"/>
  <c r="W25"/>
  <c r="Y25" s="1"/>
  <c r="AA25" s="1"/>
  <c r="G25"/>
  <c r="C25"/>
  <c r="D25" s="1"/>
  <c r="Z24"/>
  <c r="X24"/>
  <c r="W24"/>
  <c r="Y24" s="1"/>
  <c r="AA24" s="1"/>
  <c r="G24"/>
  <c r="E24"/>
  <c r="D24"/>
  <c r="F24" s="1"/>
  <c r="H24" s="1"/>
  <c r="C24"/>
  <c r="Z23"/>
  <c r="AA23" s="1"/>
  <c r="Y23"/>
  <c r="X23"/>
  <c r="W23"/>
  <c r="G23"/>
  <c r="D23"/>
  <c r="E23" s="1"/>
  <c r="C23"/>
  <c r="Z22"/>
  <c r="Y22"/>
  <c r="AA22" s="1"/>
  <c r="X22"/>
  <c r="W22"/>
  <c r="G22"/>
  <c r="C22"/>
  <c r="D22" s="1"/>
  <c r="Z21"/>
  <c r="X21"/>
  <c r="Y21" s="1"/>
  <c r="AA21" s="1"/>
  <c r="W21"/>
  <c r="G21"/>
  <c r="C21"/>
  <c r="D21" s="1"/>
  <c r="Z20"/>
  <c r="X20"/>
  <c r="W20"/>
  <c r="Y20" s="1"/>
  <c r="AA20" s="1"/>
  <c r="G20"/>
  <c r="C20"/>
  <c r="D20" s="1"/>
  <c r="Z19"/>
  <c r="Y19"/>
  <c r="AA19" s="1"/>
  <c r="X19"/>
  <c r="W19"/>
  <c r="G19"/>
  <c r="D19"/>
  <c r="E19" s="1"/>
  <c r="C19"/>
  <c r="Z18"/>
  <c r="Y18"/>
  <c r="AA18" s="1"/>
  <c r="X18"/>
  <c r="W18"/>
  <c r="G18"/>
  <c r="C18"/>
  <c r="D18" s="1"/>
  <c r="Z17"/>
  <c r="X17"/>
  <c r="W17"/>
  <c r="Y17" s="1"/>
  <c r="AA17" s="1"/>
  <c r="G17"/>
  <c r="C17"/>
  <c r="D17" s="1"/>
  <c r="Z16"/>
  <c r="X16"/>
  <c r="W16"/>
  <c r="Y16" s="1"/>
  <c r="AA16" s="1"/>
  <c r="G16"/>
  <c r="D16"/>
  <c r="E16" s="1"/>
  <c r="C16"/>
  <c r="Z15"/>
  <c r="X15"/>
  <c r="W15"/>
  <c r="Y15" s="1"/>
  <c r="AA15" s="1"/>
  <c r="G15"/>
  <c r="D15"/>
  <c r="E15" s="1"/>
  <c r="C15"/>
  <c r="Z14"/>
  <c r="X14"/>
  <c r="Y14" s="1"/>
  <c r="AA14" s="1"/>
  <c r="W14"/>
  <c r="G14"/>
  <c r="C14"/>
  <c r="D14" s="1"/>
  <c r="Z13"/>
  <c r="X13"/>
  <c r="Y13" s="1"/>
  <c r="AA13" s="1"/>
  <c r="W13"/>
  <c r="G13"/>
  <c r="C13"/>
  <c r="D13" s="1"/>
  <c r="Z12"/>
  <c r="X12"/>
  <c r="W12"/>
  <c r="Y12" s="1"/>
  <c r="AA12" s="1"/>
  <c r="H12"/>
  <c r="G12"/>
  <c r="F12"/>
  <c r="E12"/>
  <c r="D12"/>
  <c r="C12"/>
  <c r="Z11"/>
  <c r="Y11"/>
  <c r="AA11" s="1"/>
  <c r="X11"/>
  <c r="W11"/>
  <c r="G11"/>
  <c r="D11"/>
  <c r="F11" s="1"/>
  <c r="H11" s="1"/>
  <c r="C11"/>
  <c r="Z10"/>
  <c r="Z40" s="1"/>
  <c r="Y10"/>
  <c r="AA10" s="1"/>
  <c r="X10"/>
  <c r="W10"/>
  <c r="G10"/>
  <c r="C10"/>
  <c r="D10" s="1"/>
  <c r="Z9"/>
  <c r="X9"/>
  <c r="W9"/>
  <c r="Y9" s="1"/>
  <c r="AA9" s="1"/>
  <c r="G9"/>
  <c r="C9"/>
  <c r="D9" s="1"/>
  <c r="V40" i="8"/>
  <c r="U40"/>
  <c r="T40"/>
  <c r="S40"/>
  <c r="R40"/>
  <c r="Q40"/>
  <c r="P40"/>
  <c r="X40" s="1"/>
  <c r="O40"/>
  <c r="W40" s="1"/>
  <c r="Y40" s="1"/>
  <c r="N40"/>
  <c r="M40"/>
  <c r="L40"/>
  <c r="K40"/>
  <c r="J40"/>
  <c r="I40"/>
  <c r="Z39"/>
  <c r="X39"/>
  <c r="W39"/>
  <c r="Y39" s="1"/>
  <c r="AA39" s="1"/>
  <c r="G39"/>
  <c r="D39"/>
  <c r="E39" s="1"/>
  <c r="C39"/>
  <c r="Z38"/>
  <c r="X38"/>
  <c r="Y38" s="1"/>
  <c r="AA38" s="1"/>
  <c r="W38"/>
  <c r="G38"/>
  <c r="C38"/>
  <c r="D38" s="1"/>
  <c r="Z37"/>
  <c r="X37"/>
  <c r="Y37" s="1"/>
  <c r="AA37" s="1"/>
  <c r="W37"/>
  <c r="G37"/>
  <c r="C37"/>
  <c r="D37" s="1"/>
  <c r="Z36"/>
  <c r="X36"/>
  <c r="W36"/>
  <c r="Y36" s="1"/>
  <c r="AA36" s="1"/>
  <c r="H36"/>
  <c r="G36"/>
  <c r="F36"/>
  <c r="E36"/>
  <c r="D36"/>
  <c r="C36"/>
  <c r="Z35"/>
  <c r="Y35"/>
  <c r="AA35" s="1"/>
  <c r="X35"/>
  <c r="W35"/>
  <c r="G35"/>
  <c r="D35"/>
  <c r="F35" s="1"/>
  <c r="H35" s="1"/>
  <c r="C35"/>
  <c r="Z34"/>
  <c r="Y34"/>
  <c r="AA34" s="1"/>
  <c r="X34"/>
  <c r="W34"/>
  <c r="G34"/>
  <c r="C34"/>
  <c r="D34" s="1"/>
  <c r="Z33"/>
  <c r="X33"/>
  <c r="W33"/>
  <c r="Y33" s="1"/>
  <c r="AA33" s="1"/>
  <c r="G33"/>
  <c r="C33"/>
  <c r="D33" s="1"/>
  <c r="Z32"/>
  <c r="X32"/>
  <c r="W32"/>
  <c r="Y32" s="1"/>
  <c r="AA32" s="1"/>
  <c r="G32"/>
  <c r="E32"/>
  <c r="D32"/>
  <c r="F32" s="1"/>
  <c r="H32" s="1"/>
  <c r="C32"/>
  <c r="Z31"/>
  <c r="AA31" s="1"/>
  <c r="Y31"/>
  <c r="X31"/>
  <c r="W31"/>
  <c r="G31"/>
  <c r="D31"/>
  <c r="E31" s="1"/>
  <c r="C31"/>
  <c r="Z30"/>
  <c r="Y30"/>
  <c r="AA30" s="1"/>
  <c r="X30"/>
  <c r="W30"/>
  <c r="G30"/>
  <c r="C30"/>
  <c r="D30" s="1"/>
  <c r="Z29"/>
  <c r="X29"/>
  <c r="Y29" s="1"/>
  <c r="AA29" s="1"/>
  <c r="W29"/>
  <c r="G29"/>
  <c r="C29"/>
  <c r="D29" s="1"/>
  <c r="Z28"/>
  <c r="X28"/>
  <c r="W28"/>
  <c r="Y28" s="1"/>
  <c r="AA28" s="1"/>
  <c r="G28"/>
  <c r="C28"/>
  <c r="D28" s="1"/>
  <c r="Z27"/>
  <c r="Y27"/>
  <c r="AA27" s="1"/>
  <c r="X27"/>
  <c r="W27"/>
  <c r="G27"/>
  <c r="C27"/>
  <c r="D27" s="1"/>
  <c r="Z26"/>
  <c r="Y26"/>
  <c r="AA26" s="1"/>
  <c r="X26"/>
  <c r="W26"/>
  <c r="G26"/>
  <c r="C26"/>
  <c r="D26" s="1"/>
  <c r="Z25"/>
  <c r="X25"/>
  <c r="W25"/>
  <c r="Y25" s="1"/>
  <c r="AA25" s="1"/>
  <c r="G25"/>
  <c r="C25"/>
  <c r="D25" s="1"/>
  <c r="Z24"/>
  <c r="X24"/>
  <c r="W24"/>
  <c r="Y24" s="1"/>
  <c r="AA24" s="1"/>
  <c r="G24"/>
  <c r="D24"/>
  <c r="E24" s="1"/>
  <c r="C24"/>
  <c r="Z23"/>
  <c r="X23"/>
  <c r="W23"/>
  <c r="Y23" s="1"/>
  <c r="AA23" s="1"/>
  <c r="G23"/>
  <c r="D23"/>
  <c r="E23" s="1"/>
  <c r="C23"/>
  <c r="Z22"/>
  <c r="X22"/>
  <c r="Y22" s="1"/>
  <c r="AA22" s="1"/>
  <c r="W22"/>
  <c r="G22"/>
  <c r="C22"/>
  <c r="D22" s="1"/>
  <c r="Z21"/>
  <c r="X21"/>
  <c r="Y21" s="1"/>
  <c r="AA21" s="1"/>
  <c r="W21"/>
  <c r="G21"/>
  <c r="C21"/>
  <c r="D21" s="1"/>
  <c r="Z20"/>
  <c r="X20"/>
  <c r="W20"/>
  <c r="Y20" s="1"/>
  <c r="AA20" s="1"/>
  <c r="H20"/>
  <c r="G20"/>
  <c r="F20"/>
  <c r="E20"/>
  <c r="D20"/>
  <c r="C20"/>
  <c r="Z19"/>
  <c r="Y19"/>
  <c r="AA19" s="1"/>
  <c r="X19"/>
  <c r="W19"/>
  <c r="G19"/>
  <c r="D19"/>
  <c r="F19" s="1"/>
  <c r="H19" s="1"/>
  <c r="C19"/>
  <c r="Z18"/>
  <c r="Y18"/>
  <c r="AA18" s="1"/>
  <c r="X18"/>
  <c r="W18"/>
  <c r="G18"/>
  <c r="C18"/>
  <c r="D18" s="1"/>
  <c r="Z17"/>
  <c r="X17"/>
  <c r="W17"/>
  <c r="Y17" s="1"/>
  <c r="AA17" s="1"/>
  <c r="G17"/>
  <c r="C17"/>
  <c r="D17" s="1"/>
  <c r="Z16"/>
  <c r="X16"/>
  <c r="W16"/>
  <c r="Y16" s="1"/>
  <c r="AA16" s="1"/>
  <c r="G16"/>
  <c r="E16"/>
  <c r="D16"/>
  <c r="F16" s="1"/>
  <c r="H16" s="1"/>
  <c r="C16"/>
  <c r="Z15"/>
  <c r="AA15" s="1"/>
  <c r="Y15"/>
  <c r="X15"/>
  <c r="W15"/>
  <c r="G15"/>
  <c r="D15"/>
  <c r="E15" s="1"/>
  <c r="C15"/>
  <c r="Z14"/>
  <c r="Y14"/>
  <c r="AA14" s="1"/>
  <c r="X14"/>
  <c r="W14"/>
  <c r="G14"/>
  <c r="C14"/>
  <c r="D14" s="1"/>
  <c r="Z13"/>
  <c r="X13"/>
  <c r="Y13" s="1"/>
  <c r="AA13" s="1"/>
  <c r="W13"/>
  <c r="G13"/>
  <c r="C13"/>
  <c r="D13" s="1"/>
  <c r="Z12"/>
  <c r="X12"/>
  <c r="W12"/>
  <c r="Y12" s="1"/>
  <c r="AA12" s="1"/>
  <c r="G12"/>
  <c r="C12"/>
  <c r="D12" s="1"/>
  <c r="Z11"/>
  <c r="Y11"/>
  <c r="AA11" s="1"/>
  <c r="X11"/>
  <c r="W11"/>
  <c r="G11"/>
  <c r="C11"/>
  <c r="D11" s="1"/>
  <c r="Z10"/>
  <c r="Z40" s="1"/>
  <c r="Y10"/>
  <c r="AA10" s="1"/>
  <c r="X10"/>
  <c r="W10"/>
  <c r="G10"/>
  <c r="C10"/>
  <c r="D10" s="1"/>
  <c r="Z9"/>
  <c r="X9"/>
  <c r="W9"/>
  <c r="Y9" s="1"/>
  <c r="AA9" s="1"/>
  <c r="G9"/>
  <c r="C9"/>
  <c r="D9" s="1"/>
  <c r="W40" i="7"/>
  <c r="V40"/>
  <c r="U40"/>
  <c r="T40"/>
  <c r="S40"/>
  <c r="R40"/>
  <c r="Q40"/>
  <c r="P40"/>
  <c r="X40" s="1"/>
  <c r="O40"/>
  <c r="N40"/>
  <c r="M40"/>
  <c r="L40"/>
  <c r="K40"/>
  <c r="J40"/>
  <c r="I40"/>
  <c r="Z39"/>
  <c r="AA39" s="1"/>
  <c r="Y39"/>
  <c r="X39"/>
  <c r="W39"/>
  <c r="G39"/>
  <c r="D39"/>
  <c r="E39" s="1"/>
  <c r="C39"/>
  <c r="Z38"/>
  <c r="Y38"/>
  <c r="AA38" s="1"/>
  <c r="X38"/>
  <c r="W38"/>
  <c r="G38"/>
  <c r="C38"/>
  <c r="D38" s="1"/>
  <c r="Z37"/>
  <c r="X37"/>
  <c r="Y37" s="1"/>
  <c r="AA37" s="1"/>
  <c r="W37"/>
  <c r="G37"/>
  <c r="C37"/>
  <c r="D37" s="1"/>
  <c r="Z36"/>
  <c r="X36"/>
  <c r="W36"/>
  <c r="Y36" s="1"/>
  <c r="AA36" s="1"/>
  <c r="G36"/>
  <c r="C36"/>
  <c r="D36" s="1"/>
  <c r="Z35"/>
  <c r="Y35"/>
  <c r="AA35" s="1"/>
  <c r="X35"/>
  <c r="W35"/>
  <c r="G35"/>
  <c r="C35"/>
  <c r="D35" s="1"/>
  <c r="Z34"/>
  <c r="Y34"/>
  <c r="AA34" s="1"/>
  <c r="X34"/>
  <c r="W34"/>
  <c r="G34"/>
  <c r="C34"/>
  <c r="D34" s="1"/>
  <c r="Z33"/>
  <c r="X33"/>
  <c r="W33"/>
  <c r="Y33" s="1"/>
  <c r="AA33" s="1"/>
  <c r="G33"/>
  <c r="C33"/>
  <c r="D33" s="1"/>
  <c r="Z32"/>
  <c r="X32"/>
  <c r="W32"/>
  <c r="Y32" s="1"/>
  <c r="AA32" s="1"/>
  <c r="G32"/>
  <c r="D32"/>
  <c r="E32" s="1"/>
  <c r="C32"/>
  <c r="Z31"/>
  <c r="X31"/>
  <c r="W31"/>
  <c r="Y31" s="1"/>
  <c r="AA31" s="1"/>
  <c r="G31"/>
  <c r="D31"/>
  <c r="E31" s="1"/>
  <c r="C31"/>
  <c r="Z30"/>
  <c r="X30"/>
  <c r="Y30" s="1"/>
  <c r="AA30" s="1"/>
  <c r="W30"/>
  <c r="G30"/>
  <c r="C30"/>
  <c r="D30" s="1"/>
  <c r="Z29"/>
  <c r="X29"/>
  <c r="Y29" s="1"/>
  <c r="AA29" s="1"/>
  <c r="W29"/>
  <c r="G29"/>
  <c r="C29"/>
  <c r="D29" s="1"/>
  <c r="Z28"/>
  <c r="X28"/>
  <c r="W28"/>
  <c r="Y28" s="1"/>
  <c r="AA28" s="1"/>
  <c r="H28"/>
  <c r="G28"/>
  <c r="F28"/>
  <c r="E28"/>
  <c r="D28"/>
  <c r="C28"/>
  <c r="Z27"/>
  <c r="Y27"/>
  <c r="AA27" s="1"/>
  <c r="X27"/>
  <c r="W27"/>
  <c r="G27"/>
  <c r="D27"/>
  <c r="F27" s="1"/>
  <c r="H27" s="1"/>
  <c r="C27"/>
  <c r="Z26"/>
  <c r="Y26"/>
  <c r="AA26" s="1"/>
  <c r="X26"/>
  <c r="W26"/>
  <c r="G26"/>
  <c r="C26"/>
  <c r="D26" s="1"/>
  <c r="Z25"/>
  <c r="X25"/>
  <c r="W25"/>
  <c r="Y25" s="1"/>
  <c r="AA25" s="1"/>
  <c r="G25"/>
  <c r="C25"/>
  <c r="D25" s="1"/>
  <c r="Z24"/>
  <c r="X24"/>
  <c r="W24"/>
  <c r="Y24" s="1"/>
  <c r="AA24" s="1"/>
  <c r="G24"/>
  <c r="E24"/>
  <c r="D24"/>
  <c r="F24" s="1"/>
  <c r="H24" s="1"/>
  <c r="C24"/>
  <c r="Z23"/>
  <c r="X23"/>
  <c r="W23"/>
  <c r="Y23" s="1"/>
  <c r="AA23" s="1"/>
  <c r="G23"/>
  <c r="D23"/>
  <c r="E23" s="1"/>
  <c r="C23"/>
  <c r="Z22"/>
  <c r="Y22"/>
  <c r="AA22" s="1"/>
  <c r="X22"/>
  <c r="W22"/>
  <c r="G22"/>
  <c r="C22"/>
  <c r="D22" s="1"/>
  <c r="Z21"/>
  <c r="X21"/>
  <c r="Y21" s="1"/>
  <c r="AA21" s="1"/>
  <c r="W21"/>
  <c r="G21"/>
  <c r="C21"/>
  <c r="D21" s="1"/>
  <c r="Z20"/>
  <c r="X20"/>
  <c r="W20"/>
  <c r="Y20" s="1"/>
  <c r="AA20" s="1"/>
  <c r="G20"/>
  <c r="C20"/>
  <c r="D20" s="1"/>
  <c r="Z19"/>
  <c r="Y19"/>
  <c r="AA19" s="1"/>
  <c r="X19"/>
  <c r="W19"/>
  <c r="G19"/>
  <c r="C19"/>
  <c r="D19" s="1"/>
  <c r="Z18"/>
  <c r="Y18"/>
  <c r="AA18" s="1"/>
  <c r="X18"/>
  <c r="W18"/>
  <c r="G18"/>
  <c r="C18"/>
  <c r="D18" s="1"/>
  <c r="Z17"/>
  <c r="X17"/>
  <c r="W17"/>
  <c r="Y17" s="1"/>
  <c r="AA17" s="1"/>
  <c r="G17"/>
  <c r="C17"/>
  <c r="D17" s="1"/>
  <c r="Z16"/>
  <c r="X16"/>
  <c r="W16"/>
  <c r="Y16" s="1"/>
  <c r="AA16" s="1"/>
  <c r="G16"/>
  <c r="D16"/>
  <c r="E16" s="1"/>
  <c r="C16"/>
  <c r="Z15"/>
  <c r="X15"/>
  <c r="W15"/>
  <c r="Y15" s="1"/>
  <c r="AA15" s="1"/>
  <c r="G15"/>
  <c r="D15"/>
  <c r="E15" s="1"/>
  <c r="C15"/>
  <c r="Z14"/>
  <c r="X14"/>
  <c r="Y14" s="1"/>
  <c r="AA14" s="1"/>
  <c r="W14"/>
  <c r="G14"/>
  <c r="C14"/>
  <c r="D14" s="1"/>
  <c r="Z13"/>
  <c r="X13"/>
  <c r="Y13" s="1"/>
  <c r="AA13" s="1"/>
  <c r="W13"/>
  <c r="G13"/>
  <c r="C13"/>
  <c r="D13" s="1"/>
  <c r="Z12"/>
  <c r="X12"/>
  <c r="W12"/>
  <c r="Y12" s="1"/>
  <c r="AA12" s="1"/>
  <c r="H12"/>
  <c r="G12"/>
  <c r="F12"/>
  <c r="E12"/>
  <c r="D12"/>
  <c r="C12"/>
  <c r="Z11"/>
  <c r="Y11"/>
  <c r="AA11" s="1"/>
  <c r="X11"/>
  <c r="W11"/>
  <c r="G11"/>
  <c r="D11"/>
  <c r="F11" s="1"/>
  <c r="H11" s="1"/>
  <c r="C11"/>
  <c r="Z10"/>
  <c r="Z40" s="1"/>
  <c r="Y10"/>
  <c r="AA10" s="1"/>
  <c r="X10"/>
  <c r="W10"/>
  <c r="G10"/>
  <c r="C10"/>
  <c r="D10" s="1"/>
  <c r="Z9"/>
  <c r="X9"/>
  <c r="W9"/>
  <c r="Y9" s="1"/>
  <c r="AA9" s="1"/>
  <c r="G9"/>
  <c r="C9"/>
  <c r="D9" s="1"/>
  <c r="V40" i="6"/>
  <c r="U40"/>
  <c r="T40"/>
  <c r="S40"/>
  <c r="R40"/>
  <c r="Q40"/>
  <c r="P40"/>
  <c r="X40" s="1"/>
  <c r="O40"/>
  <c r="W40" s="1"/>
  <c r="N40"/>
  <c r="M40"/>
  <c r="L40"/>
  <c r="K40"/>
  <c r="J40"/>
  <c r="I40"/>
  <c r="Z38"/>
  <c r="X38"/>
  <c r="W38"/>
  <c r="Y38" s="1"/>
  <c r="AA38" s="1"/>
  <c r="G38"/>
  <c r="D38"/>
  <c r="E38" s="1"/>
  <c r="C38"/>
  <c r="Z37"/>
  <c r="X37"/>
  <c r="Y37" s="1"/>
  <c r="AA37" s="1"/>
  <c r="W37"/>
  <c r="G37"/>
  <c r="C37"/>
  <c r="D37" s="1"/>
  <c r="Z36"/>
  <c r="X36"/>
  <c r="Y36" s="1"/>
  <c r="AA36" s="1"/>
  <c r="W36"/>
  <c r="H36"/>
  <c r="G36"/>
  <c r="F36"/>
  <c r="E36"/>
  <c r="D36"/>
  <c r="C36"/>
  <c r="Z35"/>
  <c r="X35"/>
  <c r="W35"/>
  <c r="Y35" s="1"/>
  <c r="AA35" s="1"/>
  <c r="H35"/>
  <c r="G35"/>
  <c r="F35"/>
  <c r="E35"/>
  <c r="D35"/>
  <c r="C35"/>
  <c r="Z34"/>
  <c r="Y34"/>
  <c r="AA34" s="1"/>
  <c r="X34"/>
  <c r="W34"/>
  <c r="G34"/>
  <c r="D34"/>
  <c r="F34" s="1"/>
  <c r="H34" s="1"/>
  <c r="C34"/>
  <c r="Z33"/>
  <c r="Y33"/>
  <c r="AA33" s="1"/>
  <c r="X33"/>
  <c r="W33"/>
  <c r="G33"/>
  <c r="C33"/>
  <c r="D33" s="1"/>
  <c r="Z32"/>
  <c r="X32"/>
  <c r="W32"/>
  <c r="Y32" s="1"/>
  <c r="AA32" s="1"/>
  <c r="G32"/>
  <c r="C32"/>
  <c r="D32" s="1"/>
  <c r="Z31"/>
  <c r="X31"/>
  <c r="W31"/>
  <c r="Y31" s="1"/>
  <c r="AA31" s="1"/>
  <c r="G31"/>
  <c r="E31"/>
  <c r="D31"/>
  <c r="F31" s="1"/>
  <c r="H31" s="1"/>
  <c r="C31"/>
  <c r="Z30"/>
  <c r="X30"/>
  <c r="W30"/>
  <c r="Y30" s="1"/>
  <c r="AA30" s="1"/>
  <c r="G30"/>
  <c r="D30"/>
  <c r="E30" s="1"/>
  <c r="C30"/>
  <c r="Z29"/>
  <c r="Y29"/>
  <c r="AA29" s="1"/>
  <c r="X29"/>
  <c r="W29"/>
  <c r="G29"/>
  <c r="C29"/>
  <c r="D29" s="1"/>
  <c r="Z28"/>
  <c r="X28"/>
  <c r="Y28" s="1"/>
  <c r="AA28" s="1"/>
  <c r="W28"/>
  <c r="G28"/>
  <c r="C28"/>
  <c r="D28" s="1"/>
  <c r="Z27"/>
  <c r="X27"/>
  <c r="W27"/>
  <c r="Y27" s="1"/>
  <c r="AA27" s="1"/>
  <c r="G27"/>
  <c r="C27"/>
  <c r="D27" s="1"/>
  <c r="Z26"/>
  <c r="Y26"/>
  <c r="AA26" s="1"/>
  <c r="X26"/>
  <c r="W26"/>
  <c r="G26"/>
  <c r="C26"/>
  <c r="D26" s="1"/>
  <c r="Z25"/>
  <c r="Y25"/>
  <c r="AA25" s="1"/>
  <c r="X25"/>
  <c r="W25"/>
  <c r="G25"/>
  <c r="C25"/>
  <c r="D25" s="1"/>
  <c r="Z24"/>
  <c r="X24"/>
  <c r="W24"/>
  <c r="Y24" s="1"/>
  <c r="AA24" s="1"/>
  <c r="G24"/>
  <c r="C24"/>
  <c r="D24" s="1"/>
  <c r="Z23"/>
  <c r="X23"/>
  <c r="W23"/>
  <c r="Y23" s="1"/>
  <c r="AA23" s="1"/>
  <c r="G23"/>
  <c r="D23"/>
  <c r="E23" s="1"/>
  <c r="C23"/>
  <c r="Z22"/>
  <c r="X22"/>
  <c r="W22"/>
  <c r="Y22" s="1"/>
  <c r="AA22" s="1"/>
  <c r="G22"/>
  <c r="D22"/>
  <c r="E22" s="1"/>
  <c r="C22"/>
  <c r="Z21"/>
  <c r="X21"/>
  <c r="Y21" s="1"/>
  <c r="AA21" s="1"/>
  <c r="W21"/>
  <c r="G21"/>
  <c r="C21"/>
  <c r="D21" s="1"/>
  <c r="Z20"/>
  <c r="X20"/>
  <c r="Y20" s="1"/>
  <c r="AA20" s="1"/>
  <c r="W20"/>
  <c r="G20"/>
  <c r="C20"/>
  <c r="D20" s="1"/>
  <c r="Z19"/>
  <c r="X19"/>
  <c r="W19"/>
  <c r="Y19" s="1"/>
  <c r="AA19" s="1"/>
  <c r="H19"/>
  <c r="G19"/>
  <c r="F19"/>
  <c r="E19"/>
  <c r="D19"/>
  <c r="C19"/>
  <c r="Z18"/>
  <c r="Y18"/>
  <c r="AA18" s="1"/>
  <c r="X18"/>
  <c r="W18"/>
  <c r="G18"/>
  <c r="D18"/>
  <c r="F18" s="1"/>
  <c r="H18" s="1"/>
  <c r="C18"/>
  <c r="Z17"/>
  <c r="Y17"/>
  <c r="AA17" s="1"/>
  <c r="X17"/>
  <c r="W17"/>
  <c r="G17"/>
  <c r="C17"/>
  <c r="D17" s="1"/>
  <c r="Z16"/>
  <c r="X16"/>
  <c r="W16"/>
  <c r="Y16" s="1"/>
  <c r="AA16" s="1"/>
  <c r="G16"/>
  <c r="C16"/>
  <c r="D16" s="1"/>
  <c r="Z15"/>
  <c r="X15"/>
  <c r="W15"/>
  <c r="Y15" s="1"/>
  <c r="AA15" s="1"/>
  <c r="G15"/>
  <c r="E15"/>
  <c r="D15"/>
  <c r="F15" s="1"/>
  <c r="H15" s="1"/>
  <c r="C15"/>
  <c r="Z14"/>
  <c r="X14"/>
  <c r="W14"/>
  <c r="Y14" s="1"/>
  <c r="AA14" s="1"/>
  <c r="G14"/>
  <c r="D14"/>
  <c r="E14" s="1"/>
  <c r="C14"/>
  <c r="Z13"/>
  <c r="Y13"/>
  <c r="AA13" s="1"/>
  <c r="X13"/>
  <c r="W13"/>
  <c r="G13"/>
  <c r="C13"/>
  <c r="D13" s="1"/>
  <c r="Z12"/>
  <c r="X12"/>
  <c r="Y12" s="1"/>
  <c r="AA12" s="1"/>
  <c r="W12"/>
  <c r="G12"/>
  <c r="C12"/>
  <c r="D12" s="1"/>
  <c r="Z11"/>
  <c r="X11"/>
  <c r="W11"/>
  <c r="Y11" s="1"/>
  <c r="AA11" s="1"/>
  <c r="G11"/>
  <c r="C11"/>
  <c r="D11" s="1"/>
  <c r="Z10"/>
  <c r="Z40" s="1"/>
  <c r="Y10"/>
  <c r="AA10" s="1"/>
  <c r="X10"/>
  <c r="W10"/>
  <c r="G10"/>
  <c r="C10"/>
  <c r="D10" s="1"/>
  <c r="Z9"/>
  <c r="Y9"/>
  <c r="AA9" s="1"/>
  <c r="X9"/>
  <c r="W9"/>
  <c r="G9"/>
  <c r="C9"/>
  <c r="D9" s="1"/>
  <c r="V40" i="5"/>
  <c r="U40"/>
  <c r="T40"/>
  <c r="S40"/>
  <c r="R40"/>
  <c r="Q40"/>
  <c r="P40"/>
  <c r="X40" s="1"/>
  <c r="O40"/>
  <c r="N40"/>
  <c r="M40"/>
  <c r="L40"/>
  <c r="W40" s="1"/>
  <c r="Y40" s="1"/>
  <c r="K40"/>
  <c r="J40"/>
  <c r="I40"/>
  <c r="Z39"/>
  <c r="X39"/>
  <c r="W39"/>
  <c r="Y39" s="1"/>
  <c r="AA39" s="1"/>
  <c r="G39"/>
  <c r="E39"/>
  <c r="D39"/>
  <c r="F39" s="1"/>
  <c r="H39" s="1"/>
  <c r="C39"/>
  <c r="Z38"/>
  <c r="X38"/>
  <c r="W38"/>
  <c r="Y38" s="1"/>
  <c r="AA38" s="1"/>
  <c r="G38"/>
  <c r="D38"/>
  <c r="E38" s="1"/>
  <c r="C38"/>
  <c r="Z37"/>
  <c r="Y37"/>
  <c r="AA37" s="1"/>
  <c r="X37"/>
  <c r="W37"/>
  <c r="G37"/>
  <c r="C37"/>
  <c r="D37" s="1"/>
  <c r="Z36"/>
  <c r="X36"/>
  <c r="Y36" s="1"/>
  <c r="AA36" s="1"/>
  <c r="W36"/>
  <c r="G36"/>
  <c r="C36"/>
  <c r="D36" s="1"/>
  <c r="Z35"/>
  <c r="X35"/>
  <c r="W35"/>
  <c r="Y35" s="1"/>
  <c r="AA35" s="1"/>
  <c r="G35"/>
  <c r="C35"/>
  <c r="D35" s="1"/>
  <c r="Z34"/>
  <c r="Y34"/>
  <c r="AA34" s="1"/>
  <c r="X34"/>
  <c r="W34"/>
  <c r="G34"/>
  <c r="C34"/>
  <c r="D34" s="1"/>
  <c r="Z33"/>
  <c r="Y33"/>
  <c r="AA33" s="1"/>
  <c r="X33"/>
  <c r="W33"/>
  <c r="H33"/>
  <c r="G33"/>
  <c r="F33"/>
  <c r="E33"/>
  <c r="D33"/>
  <c r="C33"/>
  <c r="Z32"/>
  <c r="X32"/>
  <c r="W32"/>
  <c r="Y32" s="1"/>
  <c r="AA32" s="1"/>
  <c r="G32"/>
  <c r="C32"/>
  <c r="D32" s="1"/>
  <c r="Z31"/>
  <c r="X31"/>
  <c r="W31"/>
  <c r="Y31" s="1"/>
  <c r="AA31" s="1"/>
  <c r="G31"/>
  <c r="D31"/>
  <c r="E31" s="1"/>
  <c r="C31"/>
  <c r="Z30"/>
  <c r="X30"/>
  <c r="W30"/>
  <c r="Y30" s="1"/>
  <c r="AA30" s="1"/>
  <c r="G30"/>
  <c r="D30"/>
  <c r="E30" s="1"/>
  <c r="C30"/>
  <c r="Z29"/>
  <c r="X29"/>
  <c r="Y29" s="1"/>
  <c r="AA29" s="1"/>
  <c r="W29"/>
  <c r="G29"/>
  <c r="C29"/>
  <c r="D29" s="1"/>
  <c r="Z28"/>
  <c r="X28"/>
  <c r="Y28" s="1"/>
  <c r="AA28" s="1"/>
  <c r="W28"/>
  <c r="G28"/>
  <c r="C28"/>
  <c r="D28" s="1"/>
  <c r="Z27"/>
  <c r="X27"/>
  <c r="W27"/>
  <c r="Y27" s="1"/>
  <c r="AA27" s="1"/>
  <c r="H27"/>
  <c r="G27"/>
  <c r="F27"/>
  <c r="E27"/>
  <c r="D27"/>
  <c r="C27"/>
  <c r="Z26"/>
  <c r="Y26"/>
  <c r="AA26" s="1"/>
  <c r="X26"/>
  <c r="W26"/>
  <c r="G26"/>
  <c r="D26"/>
  <c r="F26" s="1"/>
  <c r="H26" s="1"/>
  <c r="C26"/>
  <c r="Z25"/>
  <c r="Y25"/>
  <c r="AA25" s="1"/>
  <c r="X25"/>
  <c r="W25"/>
  <c r="G25"/>
  <c r="C25"/>
  <c r="D25" s="1"/>
  <c r="Z24"/>
  <c r="X24"/>
  <c r="W24"/>
  <c r="Y24" s="1"/>
  <c r="AA24" s="1"/>
  <c r="G24"/>
  <c r="C24"/>
  <c r="D24" s="1"/>
  <c r="Z23"/>
  <c r="X23"/>
  <c r="W23"/>
  <c r="Y23" s="1"/>
  <c r="AA23" s="1"/>
  <c r="G23"/>
  <c r="E23"/>
  <c r="D23"/>
  <c r="F23" s="1"/>
  <c r="H23" s="1"/>
  <c r="C23"/>
  <c r="Z22"/>
  <c r="X22"/>
  <c r="W22"/>
  <c r="Y22" s="1"/>
  <c r="AA22" s="1"/>
  <c r="G22"/>
  <c r="D22"/>
  <c r="E22" s="1"/>
  <c r="C22"/>
  <c r="Z21"/>
  <c r="Y21"/>
  <c r="AA21" s="1"/>
  <c r="X21"/>
  <c r="W21"/>
  <c r="G21"/>
  <c r="C21"/>
  <c r="D21" s="1"/>
  <c r="Z20"/>
  <c r="X20"/>
  <c r="Y20" s="1"/>
  <c r="AA20" s="1"/>
  <c r="W20"/>
  <c r="G20"/>
  <c r="C20"/>
  <c r="D20" s="1"/>
  <c r="Z19"/>
  <c r="X19"/>
  <c r="W19"/>
  <c r="Y19" s="1"/>
  <c r="AA19" s="1"/>
  <c r="G19"/>
  <c r="C19"/>
  <c r="D19" s="1"/>
  <c r="Z18"/>
  <c r="Y18"/>
  <c r="AA18" s="1"/>
  <c r="X18"/>
  <c r="W18"/>
  <c r="G18"/>
  <c r="C18"/>
  <c r="D18" s="1"/>
  <c r="Z17"/>
  <c r="Y17"/>
  <c r="AA17" s="1"/>
  <c r="X17"/>
  <c r="W17"/>
  <c r="G17"/>
  <c r="C17"/>
  <c r="D17" s="1"/>
  <c r="Z16"/>
  <c r="X16"/>
  <c r="W16"/>
  <c r="Y16" s="1"/>
  <c r="AA16" s="1"/>
  <c r="G16"/>
  <c r="C16"/>
  <c r="D16" s="1"/>
  <c r="Z15"/>
  <c r="X15"/>
  <c r="W15"/>
  <c r="Y15" s="1"/>
  <c r="AA15" s="1"/>
  <c r="G15"/>
  <c r="D15"/>
  <c r="E15" s="1"/>
  <c r="C15"/>
  <c r="Z14"/>
  <c r="X14"/>
  <c r="W14"/>
  <c r="Y14" s="1"/>
  <c r="AA14" s="1"/>
  <c r="G14"/>
  <c r="D14"/>
  <c r="E14" s="1"/>
  <c r="C14"/>
  <c r="Z13"/>
  <c r="X13"/>
  <c r="Y13" s="1"/>
  <c r="AA13" s="1"/>
  <c r="W13"/>
  <c r="G13"/>
  <c r="C13"/>
  <c r="D13" s="1"/>
  <c r="Z12"/>
  <c r="X12"/>
  <c r="Y12" s="1"/>
  <c r="AA12" s="1"/>
  <c r="W12"/>
  <c r="G12"/>
  <c r="C12"/>
  <c r="D12" s="1"/>
  <c r="Z11"/>
  <c r="X11"/>
  <c r="W11"/>
  <c r="Y11" s="1"/>
  <c r="AA11" s="1"/>
  <c r="H11"/>
  <c r="G11"/>
  <c r="F11"/>
  <c r="E11"/>
  <c r="D11"/>
  <c r="C11"/>
  <c r="Z10"/>
  <c r="Y10"/>
  <c r="AA10" s="1"/>
  <c r="X10"/>
  <c r="W10"/>
  <c r="G10"/>
  <c r="D10"/>
  <c r="F10" s="1"/>
  <c r="H10" s="1"/>
  <c r="C10"/>
  <c r="Z9"/>
  <c r="Z40" s="1"/>
  <c r="Y9"/>
  <c r="AA9" s="1"/>
  <c r="X9"/>
  <c r="W9"/>
  <c r="G9"/>
  <c r="C9"/>
  <c r="D9" s="1"/>
  <c r="X40" i="4"/>
  <c r="V40"/>
  <c r="U40"/>
  <c r="T40"/>
  <c r="S40"/>
  <c r="R40"/>
  <c r="Q40"/>
  <c r="P40"/>
  <c r="O40"/>
  <c r="N40"/>
  <c r="M40"/>
  <c r="L40"/>
  <c r="W40" s="1"/>
  <c r="Y40" s="1"/>
  <c r="K40"/>
  <c r="J40"/>
  <c r="I40"/>
  <c r="Z38"/>
  <c r="X38"/>
  <c r="W38"/>
  <c r="Y38" s="1"/>
  <c r="AA38" s="1"/>
  <c r="G38"/>
  <c r="D38"/>
  <c r="E38" s="1"/>
  <c r="C38"/>
  <c r="Z37"/>
  <c r="X37"/>
  <c r="W37"/>
  <c r="Y37" s="1"/>
  <c r="AA37" s="1"/>
  <c r="G37"/>
  <c r="D37"/>
  <c r="E37" s="1"/>
  <c r="C37"/>
  <c r="Z36"/>
  <c r="X36"/>
  <c r="Y36" s="1"/>
  <c r="AA36" s="1"/>
  <c r="W36"/>
  <c r="G36"/>
  <c r="C36"/>
  <c r="D36" s="1"/>
  <c r="Z35"/>
  <c r="X35"/>
  <c r="Y35" s="1"/>
  <c r="AA35" s="1"/>
  <c r="W35"/>
  <c r="G35"/>
  <c r="C35"/>
  <c r="D35" s="1"/>
  <c r="Z34"/>
  <c r="X34"/>
  <c r="W34"/>
  <c r="Y34" s="1"/>
  <c r="AA34" s="1"/>
  <c r="H34"/>
  <c r="G34"/>
  <c r="F34"/>
  <c r="E34"/>
  <c r="D34"/>
  <c r="C34"/>
  <c r="Z33"/>
  <c r="Y33"/>
  <c r="AA33" s="1"/>
  <c r="X33"/>
  <c r="W33"/>
  <c r="G33"/>
  <c r="D33"/>
  <c r="F33" s="1"/>
  <c r="H33" s="1"/>
  <c r="C33"/>
  <c r="Z32"/>
  <c r="Y32"/>
  <c r="AA32" s="1"/>
  <c r="X32"/>
  <c r="W32"/>
  <c r="G32"/>
  <c r="C32"/>
  <c r="D32" s="1"/>
  <c r="Z31"/>
  <c r="X31"/>
  <c r="W31"/>
  <c r="Y31" s="1"/>
  <c r="AA31" s="1"/>
  <c r="G31"/>
  <c r="C31"/>
  <c r="D31" s="1"/>
  <c r="Z30"/>
  <c r="X30"/>
  <c r="W30"/>
  <c r="Y30" s="1"/>
  <c r="AA30" s="1"/>
  <c r="G30"/>
  <c r="E30"/>
  <c r="D30"/>
  <c r="F30" s="1"/>
  <c r="H30" s="1"/>
  <c r="C30"/>
  <c r="Z29"/>
  <c r="X29"/>
  <c r="W29"/>
  <c r="Y29" s="1"/>
  <c r="AA29" s="1"/>
  <c r="G29"/>
  <c r="D29"/>
  <c r="E29" s="1"/>
  <c r="C29"/>
  <c r="Z28"/>
  <c r="Y28"/>
  <c r="AA28" s="1"/>
  <c r="X28"/>
  <c r="W28"/>
  <c r="G28"/>
  <c r="C28"/>
  <c r="D28" s="1"/>
  <c r="Z27"/>
  <c r="X27"/>
  <c r="Y27" s="1"/>
  <c r="AA27" s="1"/>
  <c r="W27"/>
  <c r="G27"/>
  <c r="C27"/>
  <c r="D27" s="1"/>
  <c r="Z26"/>
  <c r="X26"/>
  <c r="W26"/>
  <c r="Y26" s="1"/>
  <c r="AA26" s="1"/>
  <c r="G26"/>
  <c r="C26"/>
  <c r="D26" s="1"/>
  <c r="Z25"/>
  <c r="Y25"/>
  <c r="AA25" s="1"/>
  <c r="X25"/>
  <c r="W25"/>
  <c r="G25"/>
  <c r="C25"/>
  <c r="D25" s="1"/>
  <c r="Z24"/>
  <c r="Y24"/>
  <c r="AA24" s="1"/>
  <c r="X24"/>
  <c r="W24"/>
  <c r="G24"/>
  <c r="C24"/>
  <c r="D24" s="1"/>
  <c r="Z23"/>
  <c r="X23"/>
  <c r="W23"/>
  <c r="Y23" s="1"/>
  <c r="AA23" s="1"/>
  <c r="G23"/>
  <c r="C23"/>
  <c r="D23" s="1"/>
  <c r="Z22"/>
  <c r="X22"/>
  <c r="W22"/>
  <c r="Y22" s="1"/>
  <c r="AA22" s="1"/>
  <c r="G22"/>
  <c r="D22"/>
  <c r="E22" s="1"/>
  <c r="C22"/>
  <c r="Z21"/>
  <c r="X21"/>
  <c r="W21"/>
  <c r="Y21" s="1"/>
  <c r="AA21" s="1"/>
  <c r="G21"/>
  <c r="D21"/>
  <c r="E21" s="1"/>
  <c r="C21"/>
  <c r="Z20"/>
  <c r="X20"/>
  <c r="Y20" s="1"/>
  <c r="AA20" s="1"/>
  <c r="W20"/>
  <c r="G20"/>
  <c r="C20"/>
  <c r="D20" s="1"/>
  <c r="Z19"/>
  <c r="X19"/>
  <c r="Y19" s="1"/>
  <c r="AA19" s="1"/>
  <c r="W19"/>
  <c r="G19"/>
  <c r="C19"/>
  <c r="D19" s="1"/>
  <c r="Z18"/>
  <c r="X18"/>
  <c r="W18"/>
  <c r="Y18" s="1"/>
  <c r="AA18" s="1"/>
  <c r="H18"/>
  <c r="G18"/>
  <c r="F18"/>
  <c r="E18"/>
  <c r="D18"/>
  <c r="C18"/>
  <c r="Z17"/>
  <c r="Y17"/>
  <c r="AA17" s="1"/>
  <c r="X17"/>
  <c r="W17"/>
  <c r="G17"/>
  <c r="D17"/>
  <c r="F17" s="1"/>
  <c r="H17" s="1"/>
  <c r="C17"/>
  <c r="Z16"/>
  <c r="Y16"/>
  <c r="AA16" s="1"/>
  <c r="X16"/>
  <c r="W16"/>
  <c r="G16"/>
  <c r="C16"/>
  <c r="D16" s="1"/>
  <c r="Z15"/>
  <c r="X15"/>
  <c r="W15"/>
  <c r="Y15" s="1"/>
  <c r="AA15" s="1"/>
  <c r="G15"/>
  <c r="C15"/>
  <c r="D15" s="1"/>
  <c r="Z14"/>
  <c r="X14"/>
  <c r="W14"/>
  <c r="Y14" s="1"/>
  <c r="AA14" s="1"/>
  <c r="G14"/>
  <c r="E14"/>
  <c r="D14"/>
  <c r="F14" s="1"/>
  <c r="H14" s="1"/>
  <c r="C14"/>
  <c r="Z13"/>
  <c r="X13"/>
  <c r="W13"/>
  <c r="Y13" s="1"/>
  <c r="AA13" s="1"/>
  <c r="G13"/>
  <c r="D13"/>
  <c r="E13" s="1"/>
  <c r="C13"/>
  <c r="Z12"/>
  <c r="Y12"/>
  <c r="AA12" s="1"/>
  <c r="X12"/>
  <c r="W12"/>
  <c r="G12"/>
  <c r="C12"/>
  <c r="D12" s="1"/>
  <c r="Z11"/>
  <c r="X11"/>
  <c r="Y11" s="1"/>
  <c r="AA11" s="1"/>
  <c r="W11"/>
  <c r="G11"/>
  <c r="C11"/>
  <c r="D11" s="1"/>
  <c r="Z10"/>
  <c r="X10"/>
  <c r="W10"/>
  <c r="Y10" s="1"/>
  <c r="AA10" s="1"/>
  <c r="G10"/>
  <c r="C10"/>
  <c r="D10" s="1"/>
  <c r="Z9"/>
  <c r="Z40" s="1"/>
  <c r="Y9"/>
  <c r="AA9" s="1"/>
  <c r="X9"/>
  <c r="W9"/>
  <c r="G9"/>
  <c r="C9"/>
  <c r="D9" s="1"/>
  <c r="V40" i="3"/>
  <c r="U40"/>
  <c r="T40"/>
  <c r="S40"/>
  <c r="R40"/>
  <c r="Q40"/>
  <c r="P40"/>
  <c r="X40" s="1"/>
  <c r="O40"/>
  <c r="N40"/>
  <c r="M40"/>
  <c r="L40"/>
  <c r="K40"/>
  <c r="J40"/>
  <c r="I40"/>
  <c r="W40" s="1"/>
  <c r="Z39"/>
  <c r="X39"/>
  <c r="W39"/>
  <c r="Y39" s="1"/>
  <c r="AA39" s="1"/>
  <c r="G39"/>
  <c r="C39"/>
  <c r="D39" s="1"/>
  <c r="Z38"/>
  <c r="X38"/>
  <c r="W38"/>
  <c r="Y38" s="1"/>
  <c r="AA38" s="1"/>
  <c r="G38"/>
  <c r="E38"/>
  <c r="D38"/>
  <c r="F38" s="1"/>
  <c r="H38" s="1"/>
  <c r="C38"/>
  <c r="Z37"/>
  <c r="X37"/>
  <c r="W37"/>
  <c r="Y37" s="1"/>
  <c r="AA37" s="1"/>
  <c r="G37"/>
  <c r="D37"/>
  <c r="E37" s="1"/>
  <c r="C37"/>
  <c r="Z36"/>
  <c r="Y36"/>
  <c r="AA36" s="1"/>
  <c r="X36"/>
  <c r="W36"/>
  <c r="G36"/>
  <c r="C36"/>
  <c r="D36" s="1"/>
  <c r="Z35"/>
  <c r="X35"/>
  <c r="Y35" s="1"/>
  <c r="AA35" s="1"/>
  <c r="W35"/>
  <c r="G35"/>
  <c r="C35"/>
  <c r="D35" s="1"/>
  <c r="Z34"/>
  <c r="X34"/>
  <c r="W34"/>
  <c r="Y34" s="1"/>
  <c r="AA34" s="1"/>
  <c r="G34"/>
  <c r="C34"/>
  <c r="D34" s="1"/>
  <c r="Z33"/>
  <c r="Y33"/>
  <c r="AA33" s="1"/>
  <c r="X33"/>
  <c r="W33"/>
  <c r="G33"/>
  <c r="C33"/>
  <c r="D33" s="1"/>
  <c r="Z32"/>
  <c r="Y32"/>
  <c r="AA32" s="1"/>
  <c r="X32"/>
  <c r="W32"/>
  <c r="G32"/>
  <c r="C32"/>
  <c r="D32" s="1"/>
  <c r="Z31"/>
  <c r="X31"/>
  <c r="W31"/>
  <c r="Y31" s="1"/>
  <c r="AA31" s="1"/>
  <c r="G31"/>
  <c r="C31"/>
  <c r="D31" s="1"/>
  <c r="Z30"/>
  <c r="X30"/>
  <c r="W30"/>
  <c r="Y30" s="1"/>
  <c r="AA30" s="1"/>
  <c r="G30"/>
  <c r="D30"/>
  <c r="E30" s="1"/>
  <c r="C30"/>
  <c r="Z29"/>
  <c r="X29"/>
  <c r="W29"/>
  <c r="Y29" s="1"/>
  <c r="AA29" s="1"/>
  <c r="H29"/>
  <c r="G29"/>
  <c r="F29"/>
  <c r="E29"/>
  <c r="D29"/>
  <c r="C29"/>
  <c r="Z28"/>
  <c r="X28"/>
  <c r="Y28" s="1"/>
  <c r="AA28" s="1"/>
  <c r="W28"/>
  <c r="G28"/>
  <c r="C28"/>
  <c r="D28" s="1"/>
  <c r="Z27"/>
  <c r="X27"/>
  <c r="Y27" s="1"/>
  <c r="AA27" s="1"/>
  <c r="W27"/>
  <c r="G27"/>
  <c r="C27"/>
  <c r="D27" s="1"/>
  <c r="Z26"/>
  <c r="X26"/>
  <c r="W26"/>
  <c r="Y26" s="1"/>
  <c r="AA26" s="1"/>
  <c r="H26"/>
  <c r="G26"/>
  <c r="F26"/>
  <c r="E26"/>
  <c r="D26"/>
  <c r="C26"/>
  <c r="Z25"/>
  <c r="Y25"/>
  <c r="AA25" s="1"/>
  <c r="X25"/>
  <c r="W25"/>
  <c r="G25"/>
  <c r="D25"/>
  <c r="F25" s="1"/>
  <c r="H25" s="1"/>
  <c r="C25"/>
  <c r="Z24"/>
  <c r="Y24"/>
  <c r="AA24" s="1"/>
  <c r="X24"/>
  <c r="W24"/>
  <c r="G24"/>
  <c r="C24"/>
  <c r="D24" s="1"/>
  <c r="Z23"/>
  <c r="X23"/>
  <c r="W23"/>
  <c r="Y23" s="1"/>
  <c r="AA23" s="1"/>
  <c r="G23"/>
  <c r="C23"/>
  <c r="D23" s="1"/>
  <c r="Z22"/>
  <c r="X22"/>
  <c r="W22"/>
  <c r="Y22" s="1"/>
  <c r="AA22" s="1"/>
  <c r="H22"/>
  <c r="G22"/>
  <c r="F22"/>
  <c r="E22"/>
  <c r="D22"/>
  <c r="C22"/>
  <c r="Z21"/>
  <c r="X21"/>
  <c r="W21"/>
  <c r="Y21" s="1"/>
  <c r="AA21" s="1"/>
  <c r="H21"/>
  <c r="G21"/>
  <c r="F21"/>
  <c r="E21"/>
  <c r="D21"/>
  <c r="C21"/>
  <c r="Z20"/>
  <c r="Y20"/>
  <c r="AA20" s="1"/>
  <c r="X20"/>
  <c r="W20"/>
  <c r="G20"/>
  <c r="C20"/>
  <c r="D20" s="1"/>
  <c r="Z19"/>
  <c r="X19"/>
  <c r="Y19" s="1"/>
  <c r="AA19" s="1"/>
  <c r="W19"/>
  <c r="G19"/>
  <c r="C19"/>
  <c r="D19" s="1"/>
  <c r="Z18"/>
  <c r="X18"/>
  <c r="W18"/>
  <c r="Y18" s="1"/>
  <c r="AA18" s="1"/>
  <c r="G18"/>
  <c r="C18"/>
  <c r="D18" s="1"/>
  <c r="Z17"/>
  <c r="Y17"/>
  <c r="AA17" s="1"/>
  <c r="X17"/>
  <c r="W17"/>
  <c r="G17"/>
  <c r="C17"/>
  <c r="D17" s="1"/>
  <c r="Z16"/>
  <c r="Y16"/>
  <c r="AA16" s="1"/>
  <c r="X16"/>
  <c r="W16"/>
  <c r="G16"/>
  <c r="C16"/>
  <c r="D16" s="1"/>
  <c r="Z15"/>
  <c r="X15"/>
  <c r="W15"/>
  <c r="Y15" s="1"/>
  <c r="AA15" s="1"/>
  <c r="G15"/>
  <c r="C15"/>
  <c r="D15" s="1"/>
  <c r="Z14"/>
  <c r="X14"/>
  <c r="W14"/>
  <c r="Y14" s="1"/>
  <c r="AA14" s="1"/>
  <c r="G14"/>
  <c r="D14"/>
  <c r="E14" s="1"/>
  <c r="C14"/>
  <c r="Z13"/>
  <c r="X13"/>
  <c r="W13"/>
  <c r="Y13" s="1"/>
  <c r="AA13" s="1"/>
  <c r="G13"/>
  <c r="D13"/>
  <c r="E13" s="1"/>
  <c r="C13"/>
  <c r="Z12"/>
  <c r="X12"/>
  <c r="Y12" s="1"/>
  <c r="AA12" s="1"/>
  <c r="W12"/>
  <c r="G12"/>
  <c r="C12"/>
  <c r="D12" s="1"/>
  <c r="Z11"/>
  <c r="X11"/>
  <c r="Y11" s="1"/>
  <c r="AA11" s="1"/>
  <c r="W11"/>
  <c r="G11"/>
  <c r="C11"/>
  <c r="D11" s="1"/>
  <c r="Z10"/>
  <c r="X10"/>
  <c r="W10"/>
  <c r="Y10" s="1"/>
  <c r="AA10" s="1"/>
  <c r="H10"/>
  <c r="G10"/>
  <c r="F10"/>
  <c r="E10"/>
  <c r="D10"/>
  <c r="C10"/>
  <c r="Z9"/>
  <c r="Z40" s="1"/>
  <c r="Y9"/>
  <c r="AA9" s="1"/>
  <c r="X9"/>
  <c r="W9"/>
  <c r="H9"/>
  <c r="G9"/>
  <c r="F9"/>
  <c r="E9"/>
  <c r="D9"/>
  <c r="C9"/>
  <c r="V39" i="2"/>
  <c r="U39"/>
  <c r="T39"/>
  <c r="S39"/>
  <c r="R39"/>
  <c r="Q39"/>
  <c r="X39" s="1"/>
  <c r="P39"/>
  <c r="O39"/>
  <c r="N39"/>
  <c r="M39"/>
  <c r="L39"/>
  <c r="K39"/>
  <c r="J39"/>
  <c r="I39"/>
  <c r="W39" s="1"/>
  <c r="Z36"/>
  <c r="X36"/>
  <c r="W36"/>
  <c r="Y36" s="1"/>
  <c r="AA36" s="1"/>
  <c r="G36"/>
  <c r="C36"/>
  <c r="D36" s="1"/>
  <c r="Z35"/>
  <c r="X35"/>
  <c r="W35"/>
  <c r="Y35" s="1"/>
  <c r="AA35" s="1"/>
  <c r="G35"/>
  <c r="D35"/>
  <c r="E35" s="1"/>
  <c r="C35"/>
  <c r="Z34"/>
  <c r="X34"/>
  <c r="W34"/>
  <c r="Y34" s="1"/>
  <c r="AA34" s="1"/>
  <c r="H34"/>
  <c r="G34"/>
  <c r="F34"/>
  <c r="E34"/>
  <c r="D34"/>
  <c r="C34"/>
  <c r="Z33"/>
  <c r="X33"/>
  <c r="Y33" s="1"/>
  <c r="AA33" s="1"/>
  <c r="W33"/>
  <c r="G33"/>
  <c r="C33"/>
  <c r="D33" s="1"/>
  <c r="Z32"/>
  <c r="X32"/>
  <c r="Y32" s="1"/>
  <c r="AA32" s="1"/>
  <c r="W32"/>
  <c r="G32"/>
  <c r="C32"/>
  <c r="D32" s="1"/>
  <c r="Z31"/>
  <c r="X31"/>
  <c r="W31"/>
  <c r="Y31" s="1"/>
  <c r="AA31" s="1"/>
  <c r="H31"/>
  <c r="G31"/>
  <c r="F31"/>
  <c r="E31"/>
  <c r="D31"/>
  <c r="C31"/>
  <c r="Z30"/>
  <c r="Y30"/>
  <c r="AA30" s="1"/>
  <c r="X30"/>
  <c r="W30"/>
  <c r="H30"/>
  <c r="G30"/>
  <c r="F30"/>
  <c r="E30"/>
  <c r="D30"/>
  <c r="C30"/>
  <c r="Z29"/>
  <c r="Y29"/>
  <c r="AA29" s="1"/>
  <c r="X29"/>
  <c r="W29"/>
  <c r="G29"/>
  <c r="C29"/>
  <c r="D29" s="1"/>
  <c r="Z28"/>
  <c r="X28"/>
  <c r="W28"/>
  <c r="Y28" s="1"/>
  <c r="AA28" s="1"/>
  <c r="G28"/>
  <c r="C28"/>
  <c r="D28" s="1"/>
  <c r="Z27"/>
  <c r="X27"/>
  <c r="W27"/>
  <c r="Y27" s="1"/>
  <c r="AA27" s="1"/>
  <c r="H27"/>
  <c r="G27"/>
  <c r="F27"/>
  <c r="E27"/>
  <c r="D27"/>
  <c r="C27"/>
  <c r="Z26"/>
  <c r="X26"/>
  <c r="W26"/>
  <c r="Y26" s="1"/>
  <c r="AA26" s="1"/>
  <c r="G26"/>
  <c r="D26"/>
  <c r="E26" s="1"/>
  <c r="C26"/>
  <c r="Z25"/>
  <c r="Y25"/>
  <c r="AA25" s="1"/>
  <c r="X25"/>
  <c r="W25"/>
  <c r="G25"/>
  <c r="C25"/>
  <c r="D25" s="1"/>
  <c r="Z24"/>
  <c r="X24"/>
  <c r="Y24" s="1"/>
  <c r="AA24" s="1"/>
  <c r="W24"/>
  <c r="G24"/>
  <c r="C24"/>
  <c r="D24" s="1"/>
  <c r="Z23"/>
  <c r="X23"/>
  <c r="W23"/>
  <c r="Y23" s="1"/>
  <c r="AA23" s="1"/>
  <c r="G23"/>
  <c r="C23"/>
  <c r="D23" s="1"/>
  <c r="Z22"/>
  <c r="Y22"/>
  <c r="AA22" s="1"/>
  <c r="X22"/>
  <c r="W22"/>
  <c r="G22"/>
  <c r="C22"/>
  <c r="D22" s="1"/>
  <c r="Z21"/>
  <c r="Y21"/>
  <c r="AA21" s="1"/>
  <c r="X21"/>
  <c r="W21"/>
  <c r="H21"/>
  <c r="G21"/>
  <c r="F21"/>
  <c r="E21"/>
  <c r="D21"/>
  <c r="C21"/>
  <c r="Z20"/>
  <c r="X20"/>
  <c r="W20"/>
  <c r="Y20" s="1"/>
  <c r="AA20" s="1"/>
  <c r="G20"/>
  <c r="F20"/>
  <c r="H20" s="1"/>
  <c r="D20"/>
  <c r="E20" s="1"/>
  <c r="C20"/>
  <c r="Z19"/>
  <c r="X19"/>
  <c r="W19"/>
  <c r="Y19" s="1"/>
  <c r="AA19" s="1"/>
  <c r="G19"/>
  <c r="D19"/>
  <c r="E19" s="1"/>
  <c r="C19"/>
  <c r="Z18"/>
  <c r="X18"/>
  <c r="W18"/>
  <c r="Y18" s="1"/>
  <c r="AA18" s="1"/>
  <c r="G18"/>
  <c r="D18"/>
  <c r="E18" s="1"/>
  <c r="C18"/>
  <c r="Z17"/>
  <c r="X17"/>
  <c r="Y17" s="1"/>
  <c r="AA17" s="1"/>
  <c r="W17"/>
  <c r="G17"/>
  <c r="C17"/>
  <c r="D17" s="1"/>
  <c r="Z16"/>
  <c r="X16"/>
  <c r="Y16" s="1"/>
  <c r="AA16" s="1"/>
  <c r="W16"/>
  <c r="G16"/>
  <c r="C16"/>
  <c r="D16" s="1"/>
  <c r="Z15"/>
  <c r="X15"/>
  <c r="W15"/>
  <c r="Y15" s="1"/>
  <c r="AA15" s="1"/>
  <c r="H15"/>
  <c r="G15"/>
  <c r="F15"/>
  <c r="E15"/>
  <c r="D15"/>
  <c r="C15"/>
  <c r="Z14"/>
  <c r="Y14"/>
  <c r="AA14" s="1"/>
  <c r="X14"/>
  <c r="W14"/>
  <c r="G14"/>
  <c r="D14"/>
  <c r="F14" s="1"/>
  <c r="H14" s="1"/>
  <c r="C14"/>
  <c r="Z13"/>
  <c r="Y13"/>
  <c r="AA13" s="1"/>
  <c r="X13"/>
  <c r="W13"/>
  <c r="G13"/>
  <c r="C13"/>
  <c r="D13" s="1"/>
  <c r="Z12"/>
  <c r="X12"/>
  <c r="W12"/>
  <c r="Y12" s="1"/>
  <c r="AA12" s="1"/>
  <c r="G12"/>
  <c r="C12"/>
  <c r="D12" s="1"/>
  <c r="Z11"/>
  <c r="X11"/>
  <c r="W11"/>
  <c r="Y11" s="1"/>
  <c r="AA11" s="1"/>
  <c r="G11"/>
  <c r="E11"/>
  <c r="D11"/>
  <c r="F11" s="1"/>
  <c r="H11" s="1"/>
  <c r="C11"/>
  <c r="Z10"/>
  <c r="AA10" s="1"/>
  <c r="Y10"/>
  <c r="X10"/>
  <c r="W10"/>
  <c r="G10"/>
  <c r="D10"/>
  <c r="E10" s="1"/>
  <c r="C10"/>
  <c r="Z9"/>
  <c r="Z39" s="1"/>
  <c r="Y9"/>
  <c r="AA9" s="1"/>
  <c r="AA39" s="1"/>
  <c r="X9"/>
  <c r="W9"/>
  <c r="G9"/>
  <c r="C9"/>
  <c r="D9" s="1"/>
  <c r="V40" i="1"/>
  <c r="U40"/>
  <c r="T40"/>
  <c r="S40"/>
  <c r="R40"/>
  <c r="Q40"/>
  <c r="P40"/>
  <c r="X40" s="1"/>
  <c r="O40"/>
  <c r="N40"/>
  <c r="M40"/>
  <c r="L40"/>
  <c r="K40"/>
  <c r="J40"/>
  <c r="I40"/>
  <c r="W40" s="1"/>
  <c r="Y40" s="1"/>
  <c r="Z39"/>
  <c r="X39"/>
  <c r="W39"/>
  <c r="Y39" s="1"/>
  <c r="AA39" s="1"/>
  <c r="H39"/>
  <c r="G39"/>
  <c r="F39"/>
  <c r="E39"/>
  <c r="D39"/>
  <c r="C39"/>
  <c r="Z38"/>
  <c r="Y38"/>
  <c r="AA38" s="1"/>
  <c r="X38"/>
  <c r="W38"/>
  <c r="G38"/>
  <c r="D38"/>
  <c r="F38" s="1"/>
  <c r="H38" s="1"/>
  <c r="C38"/>
  <c r="Z37"/>
  <c r="Y37"/>
  <c r="AA37" s="1"/>
  <c r="X37"/>
  <c r="W37"/>
  <c r="G37"/>
  <c r="C37"/>
  <c r="D37" s="1"/>
  <c r="Z36"/>
  <c r="X36"/>
  <c r="W36"/>
  <c r="Y36" s="1"/>
  <c r="AA36" s="1"/>
  <c r="G36"/>
  <c r="C36"/>
  <c r="D36" s="1"/>
  <c r="Z35"/>
  <c r="X35"/>
  <c r="W35"/>
  <c r="Y35" s="1"/>
  <c r="AA35" s="1"/>
  <c r="G35"/>
  <c r="E35"/>
  <c r="D35"/>
  <c r="F35" s="1"/>
  <c r="H35" s="1"/>
  <c r="C35"/>
  <c r="Z34"/>
  <c r="X34"/>
  <c r="W34"/>
  <c r="Y34" s="1"/>
  <c r="AA34" s="1"/>
  <c r="G34"/>
  <c r="D34"/>
  <c r="E34" s="1"/>
  <c r="C34"/>
  <c r="Z33"/>
  <c r="Y33"/>
  <c r="AA33" s="1"/>
  <c r="X33"/>
  <c r="W33"/>
  <c r="H33"/>
  <c r="G33"/>
  <c r="F33"/>
  <c r="E33"/>
  <c r="D33"/>
  <c r="C33"/>
  <c r="Z32"/>
  <c r="X32"/>
  <c r="Y32" s="1"/>
  <c r="AA32" s="1"/>
  <c r="W32"/>
  <c r="G32"/>
  <c r="C32"/>
  <c r="D32" s="1"/>
  <c r="Z31"/>
  <c r="X31"/>
  <c r="W31"/>
  <c r="Y31" s="1"/>
  <c r="AA31" s="1"/>
  <c r="H31"/>
  <c r="G31"/>
  <c r="F31"/>
  <c r="E31"/>
  <c r="D31"/>
  <c r="C31"/>
  <c r="Z30"/>
  <c r="Y30"/>
  <c r="AA30" s="1"/>
  <c r="X30"/>
  <c r="W30"/>
  <c r="G30"/>
  <c r="C30"/>
  <c r="D30" s="1"/>
  <c r="Z29"/>
  <c r="Y29"/>
  <c r="AA29" s="1"/>
  <c r="X29"/>
  <c r="W29"/>
  <c r="G29"/>
  <c r="C29"/>
  <c r="D29" s="1"/>
  <c r="Z28"/>
  <c r="X28"/>
  <c r="W28"/>
  <c r="Y28" s="1"/>
  <c r="AA28" s="1"/>
  <c r="G28"/>
  <c r="C28"/>
  <c r="D28" s="1"/>
  <c r="Z27"/>
  <c r="X27"/>
  <c r="W27"/>
  <c r="Y27" s="1"/>
  <c r="AA27" s="1"/>
  <c r="G27"/>
  <c r="D27"/>
  <c r="E27" s="1"/>
  <c r="C27"/>
  <c r="Z26"/>
  <c r="X26"/>
  <c r="W26"/>
  <c r="Y26" s="1"/>
  <c r="AA26" s="1"/>
  <c r="G26"/>
  <c r="D26"/>
  <c r="E26" s="1"/>
  <c r="C26"/>
  <c r="Z25"/>
  <c r="X25"/>
  <c r="Y25" s="1"/>
  <c r="AA25" s="1"/>
  <c r="W25"/>
  <c r="G25"/>
  <c r="C25"/>
  <c r="D25" s="1"/>
  <c r="Z24"/>
  <c r="X24"/>
  <c r="Y24" s="1"/>
  <c r="AA24" s="1"/>
  <c r="W24"/>
  <c r="G24"/>
  <c r="C24"/>
  <c r="D24" s="1"/>
  <c r="Z23"/>
  <c r="X23"/>
  <c r="W23"/>
  <c r="Y23" s="1"/>
  <c r="AA23" s="1"/>
  <c r="H23"/>
  <c r="G23"/>
  <c r="F23"/>
  <c r="E23"/>
  <c r="D23"/>
  <c r="C23"/>
  <c r="Z22"/>
  <c r="Y22"/>
  <c r="AA22" s="1"/>
  <c r="X22"/>
  <c r="W22"/>
  <c r="G22"/>
  <c r="D22"/>
  <c r="F22" s="1"/>
  <c r="H22" s="1"/>
  <c r="C22"/>
  <c r="Z21"/>
  <c r="Y21"/>
  <c r="AA21" s="1"/>
  <c r="X21"/>
  <c r="W21"/>
  <c r="G21"/>
  <c r="C21"/>
  <c r="D21" s="1"/>
  <c r="Z20"/>
  <c r="X20"/>
  <c r="W20"/>
  <c r="Y20" s="1"/>
  <c r="AA20" s="1"/>
  <c r="G20"/>
  <c r="C20"/>
  <c r="D20" s="1"/>
  <c r="Z19"/>
  <c r="X19"/>
  <c r="W19"/>
  <c r="Y19" s="1"/>
  <c r="AA19" s="1"/>
  <c r="G19"/>
  <c r="E19"/>
  <c r="D19"/>
  <c r="F19" s="1"/>
  <c r="H19" s="1"/>
  <c r="C19"/>
  <c r="Z18"/>
  <c r="AA18" s="1"/>
  <c r="Y18"/>
  <c r="X18"/>
  <c r="W18"/>
  <c r="G18"/>
  <c r="D18"/>
  <c r="E18" s="1"/>
  <c r="C18"/>
  <c r="Z17"/>
  <c r="Y17"/>
  <c r="AA17" s="1"/>
  <c r="X17"/>
  <c r="W17"/>
  <c r="G17"/>
  <c r="C17"/>
  <c r="D17" s="1"/>
  <c r="AA16"/>
  <c r="Z16"/>
  <c r="G16"/>
  <c r="C16"/>
  <c r="D16" s="1"/>
  <c r="Z15"/>
  <c r="X15"/>
  <c r="Y15" s="1"/>
  <c r="AA15" s="1"/>
  <c r="W15"/>
  <c r="G15"/>
  <c r="C15"/>
  <c r="D15" s="1"/>
  <c r="Z14"/>
  <c r="X14"/>
  <c r="W14"/>
  <c r="Y14" s="1"/>
  <c r="AA14" s="1"/>
  <c r="H14"/>
  <c r="G14"/>
  <c r="F14"/>
  <c r="E14"/>
  <c r="D14"/>
  <c r="C14"/>
  <c r="Z13"/>
  <c r="Y13"/>
  <c r="AA13" s="1"/>
  <c r="X13"/>
  <c r="W13"/>
  <c r="G13"/>
  <c r="D13"/>
  <c r="F13" s="1"/>
  <c r="H13" s="1"/>
  <c r="C13"/>
  <c r="Z12"/>
  <c r="Y12"/>
  <c r="AA12" s="1"/>
  <c r="X12"/>
  <c r="W12"/>
  <c r="G12"/>
  <c r="C12"/>
  <c r="D12" s="1"/>
  <c r="Z11"/>
  <c r="X11"/>
  <c r="W11"/>
  <c r="Y11" s="1"/>
  <c r="AA11" s="1"/>
  <c r="G11"/>
  <c r="C11"/>
  <c r="D11" s="1"/>
  <c r="Z10"/>
  <c r="X10"/>
  <c r="W10"/>
  <c r="Y10" s="1"/>
  <c r="AA10" s="1"/>
  <c r="H10"/>
  <c r="G10"/>
  <c r="F10"/>
  <c r="E10"/>
  <c r="D10"/>
  <c r="C10"/>
  <c r="Z9"/>
  <c r="Z40" s="1"/>
  <c r="X9"/>
  <c r="W9"/>
  <c r="Y9" s="1"/>
  <c r="AA9" s="1"/>
  <c r="G9"/>
  <c r="D9"/>
  <c r="E9" s="1"/>
  <c r="C9"/>
  <c r="E12" i="6" l="1"/>
  <c r="F12"/>
  <c r="H12" s="1"/>
  <c r="E26" i="8"/>
  <c r="F26"/>
  <c r="H26" s="1"/>
  <c r="E29" i="10"/>
  <c r="F29"/>
  <c r="H29" s="1"/>
  <c r="E15" i="1"/>
  <c r="F15"/>
  <c r="H15" s="1"/>
  <c r="E16" i="3"/>
  <c r="F16"/>
  <c r="H16" s="1"/>
  <c r="E39"/>
  <c r="F39"/>
  <c r="H39" s="1"/>
  <c r="E35" i="4"/>
  <c r="F35"/>
  <c r="H35" s="1"/>
  <c r="E13" i="5"/>
  <c r="F13"/>
  <c r="H13" s="1"/>
  <c r="E32"/>
  <c r="F32"/>
  <c r="H32" s="1"/>
  <c r="E9" i="6"/>
  <c r="F9"/>
  <c r="H9" s="1"/>
  <c r="E28"/>
  <c r="F28"/>
  <c r="H28" s="1"/>
  <c r="E13" i="7"/>
  <c r="F13"/>
  <c r="H13" s="1"/>
  <c r="E35"/>
  <c r="F35"/>
  <c r="H35" s="1"/>
  <c r="E38"/>
  <c r="F38"/>
  <c r="H38" s="1"/>
  <c r="E18" i="8"/>
  <c r="F18"/>
  <c r="H18" s="1"/>
  <c r="E34"/>
  <c r="F34"/>
  <c r="H34" s="1"/>
  <c r="E29" i="9"/>
  <c r="F29"/>
  <c r="H29" s="1"/>
  <c r="E37"/>
  <c r="F37"/>
  <c r="H37" s="1"/>
  <c r="E13" i="10"/>
  <c r="F13"/>
  <c r="H13" s="1"/>
  <c r="E27" i="12"/>
  <c r="F27"/>
  <c r="H27" s="1"/>
  <c r="E17" i="2"/>
  <c r="F17"/>
  <c r="H17" s="1"/>
  <c r="E19" i="3"/>
  <c r="F19"/>
  <c r="H19" s="1"/>
  <c r="E19" i="4"/>
  <c r="F19"/>
  <c r="H19" s="1"/>
  <c r="E19" i="7"/>
  <c r="F19"/>
  <c r="H19" s="1"/>
  <c r="E35" i="9"/>
  <c r="F35"/>
  <c r="H35" s="1"/>
  <c r="E36" i="2"/>
  <c r="F36"/>
  <c r="H36" s="1"/>
  <c r="E24" i="5"/>
  <c r="F24"/>
  <c r="H24" s="1"/>
  <c r="E29"/>
  <c r="F29"/>
  <c r="H29" s="1"/>
  <c r="E34"/>
  <c r="F34"/>
  <c r="H34" s="1"/>
  <c r="E37"/>
  <c r="F37"/>
  <c r="H37" s="1"/>
  <c r="E25" i="6"/>
  <c r="F25"/>
  <c r="H25" s="1"/>
  <c r="E29" i="7"/>
  <c r="F29"/>
  <c r="H29" s="1"/>
  <c r="E13" i="9"/>
  <c r="F13"/>
  <c r="H13" s="1"/>
  <c r="E10" i="10"/>
  <c r="F10"/>
  <c r="H10" s="1"/>
  <c r="E26"/>
  <c r="F26"/>
  <c r="H26" s="1"/>
  <c r="E34"/>
  <c r="F34"/>
  <c r="H34" s="1"/>
  <c r="E39"/>
  <c r="F39"/>
  <c r="H39" s="1"/>
  <c r="E19" i="11"/>
  <c r="F19"/>
  <c r="H19" s="1"/>
  <c r="E34"/>
  <c r="F34"/>
  <c r="H34" s="1"/>
  <c r="E32" i="12"/>
  <c r="F32"/>
  <c r="H32" s="1"/>
  <c r="AA40"/>
  <c r="E12" i="2"/>
  <c r="F12"/>
  <c r="H12" s="1"/>
  <c r="E16" i="5"/>
  <c r="F16"/>
  <c r="H16" s="1"/>
  <c r="E22" i="7"/>
  <c r="F22"/>
  <c r="H22" s="1"/>
  <c r="E10" i="8"/>
  <c r="F10"/>
  <c r="H10" s="1"/>
  <c r="E22" i="9"/>
  <c r="F22"/>
  <c r="H22" s="1"/>
  <c r="E28" i="1"/>
  <c r="F28"/>
  <c r="H28" s="1"/>
  <c r="E24" i="2"/>
  <c r="F24"/>
  <c r="H24" s="1"/>
  <c r="E23" i="3"/>
  <c r="F23"/>
  <c r="H23" s="1"/>
  <c r="E28"/>
  <c r="F28"/>
  <c r="H28" s="1"/>
  <c r="E11" i="4"/>
  <c r="F11"/>
  <c r="H11" s="1"/>
  <c r="E17" i="6"/>
  <c r="F17"/>
  <c r="H17" s="1"/>
  <c r="E18" i="10"/>
  <c r="F18"/>
  <c r="H18" s="1"/>
  <c r="E23"/>
  <c r="F23"/>
  <c r="H23" s="1"/>
  <c r="E11" i="11"/>
  <c r="F11"/>
  <c r="H11" s="1"/>
  <c r="E19" i="12"/>
  <c r="F19"/>
  <c r="H19" s="1"/>
  <c r="E39"/>
  <c r="F39"/>
  <c r="H39" s="1"/>
  <c r="AA40" i="8"/>
  <c r="Y40" i="11"/>
  <c r="E20" i="1"/>
  <c r="F20"/>
  <c r="H20" s="1"/>
  <c r="E25"/>
  <c r="F25"/>
  <c r="H25" s="1"/>
  <c r="E9" i="2"/>
  <c r="F9"/>
  <c r="H9" s="1"/>
  <c r="E29"/>
  <c r="F29"/>
  <c r="H29" s="1"/>
  <c r="E33" i="3"/>
  <c r="F33"/>
  <c r="H33" s="1"/>
  <c r="E36"/>
  <c r="F36"/>
  <c r="H36" s="1"/>
  <c r="E27" i="4"/>
  <c r="F27"/>
  <c r="H27" s="1"/>
  <c r="E33" i="6"/>
  <c r="F33"/>
  <c r="H33" s="1"/>
  <c r="E12" i="8"/>
  <c r="F12"/>
  <c r="H12" s="1"/>
  <c r="E28"/>
  <c r="F28"/>
  <c r="H28" s="1"/>
  <c r="E26" i="11"/>
  <c r="F26"/>
  <c r="H26" s="1"/>
  <c r="E12" i="12"/>
  <c r="F12"/>
  <c r="H12" s="1"/>
  <c r="E24"/>
  <c r="F24"/>
  <c r="H24" s="1"/>
  <c r="Y40" i="6"/>
  <c r="E16" i="2"/>
  <c r="F16"/>
  <c r="H16" s="1"/>
  <c r="E18" i="3"/>
  <c r="F18"/>
  <c r="H18" s="1"/>
  <c r="E24" i="4"/>
  <c r="F24"/>
  <c r="H24" s="1"/>
  <c r="E18" i="5"/>
  <c r="F18"/>
  <c r="H18" s="1"/>
  <c r="E21"/>
  <c r="F21"/>
  <c r="H21" s="1"/>
  <c r="E11" i="6"/>
  <c r="F11"/>
  <c r="H11" s="1"/>
  <c r="E37"/>
  <c r="F37"/>
  <c r="H37" s="1"/>
  <c r="E21" i="7"/>
  <c r="F21"/>
  <c r="H21" s="1"/>
  <c r="E9" i="8"/>
  <c r="F9"/>
  <c r="H9" s="1"/>
  <c r="E25"/>
  <c r="F25"/>
  <c r="H25" s="1"/>
  <c r="E21" i="9"/>
  <c r="F21"/>
  <c r="H21" s="1"/>
  <c r="E31" i="11"/>
  <c r="F31"/>
  <c r="H31" s="1"/>
  <c r="AA40" i="10"/>
  <c r="E33" i="2"/>
  <c r="F33"/>
  <c r="H33" s="1"/>
  <c r="E15" i="3"/>
  <c r="F15"/>
  <c r="H15" s="1"/>
  <c r="E16" i="4"/>
  <c r="F16"/>
  <c r="H16" s="1"/>
  <c r="E12" i="5"/>
  <c r="F12"/>
  <c r="H12" s="1"/>
  <c r="E27" i="6"/>
  <c r="F27"/>
  <c r="H27" s="1"/>
  <c r="E18" i="7"/>
  <c r="F18"/>
  <c r="H18" s="1"/>
  <c r="E37"/>
  <c r="F37"/>
  <c r="H37" s="1"/>
  <c r="E17" i="8"/>
  <c r="F17"/>
  <c r="H17" s="1"/>
  <c r="E22"/>
  <c r="F22"/>
  <c r="H22" s="1"/>
  <c r="E33"/>
  <c r="F33"/>
  <c r="H33" s="1"/>
  <c r="E38"/>
  <c r="F38"/>
  <c r="H38" s="1"/>
  <c r="E34" i="9"/>
  <c r="F34"/>
  <c r="H34" s="1"/>
  <c r="E31" i="10"/>
  <c r="F31"/>
  <c r="H31" s="1"/>
  <c r="Y40" i="7"/>
  <c r="E12" i="1"/>
  <c r="F12"/>
  <c r="H12" s="1"/>
  <c r="E12" i="3"/>
  <c r="F12"/>
  <c r="H12" s="1"/>
  <c r="E32" i="4"/>
  <c r="F32"/>
  <c r="H32" s="1"/>
  <c r="E28" i="5"/>
  <c r="F28"/>
  <c r="H28" s="1"/>
  <c r="E36"/>
  <c r="F36"/>
  <c r="H36" s="1"/>
  <c r="E24" i="6"/>
  <c r="F24"/>
  <c r="H24" s="1"/>
  <c r="E10" i="7"/>
  <c r="F10"/>
  <c r="H10" s="1"/>
  <c r="E34"/>
  <c r="F34"/>
  <c r="H34" s="1"/>
  <c r="E18" i="9"/>
  <c r="F18"/>
  <c r="H18" s="1"/>
  <c r="E26"/>
  <c r="F26"/>
  <c r="H26" s="1"/>
  <c r="E12" i="10"/>
  <c r="F12"/>
  <c r="H12" s="1"/>
  <c r="E15"/>
  <c r="F15"/>
  <c r="H15" s="1"/>
  <c r="E38"/>
  <c r="F38"/>
  <c r="H38" s="1"/>
  <c r="E18" i="11"/>
  <c r="F18"/>
  <c r="H18" s="1"/>
  <c r="E16" i="12"/>
  <c r="F16"/>
  <c r="H16" s="1"/>
  <c r="E31"/>
  <c r="F31"/>
  <c r="H31" s="1"/>
  <c r="AA40" i="3"/>
  <c r="E17" i="1"/>
  <c r="F17"/>
  <c r="H17" s="1"/>
  <c r="E30"/>
  <c r="F30"/>
  <c r="H30" s="1"/>
  <c r="E37"/>
  <c r="F37"/>
  <c r="H37" s="1"/>
  <c r="E23" i="2"/>
  <c r="F23"/>
  <c r="H23" s="1"/>
  <c r="E27" i="3"/>
  <c r="F27"/>
  <c r="H27" s="1"/>
  <c r="E10" i="4"/>
  <c r="F10"/>
  <c r="H10" s="1"/>
  <c r="E16" i="6"/>
  <c r="F16"/>
  <c r="H16" s="1"/>
  <c r="E21"/>
  <c r="F21"/>
  <c r="H21" s="1"/>
  <c r="E26" i="7"/>
  <c r="F26"/>
  <c r="H26" s="1"/>
  <c r="E10" i="9"/>
  <c r="F10"/>
  <c r="H10" s="1"/>
  <c r="E22" i="10"/>
  <c r="F22"/>
  <c r="H22" s="1"/>
  <c r="E10" i="11"/>
  <c r="F10"/>
  <c r="H10" s="1"/>
  <c r="E15"/>
  <c r="F15"/>
  <c r="H15" s="1"/>
  <c r="E23"/>
  <c r="F23"/>
  <c r="H23" s="1"/>
  <c r="E38"/>
  <c r="F38"/>
  <c r="H38" s="1"/>
  <c r="AA40" i="1"/>
  <c r="AA40" i="5"/>
  <c r="E24" i="1"/>
  <c r="F24"/>
  <c r="H24" s="1"/>
  <c r="E32"/>
  <c r="F32"/>
  <c r="H32" s="1"/>
  <c r="E28" i="2"/>
  <c r="F28"/>
  <c r="H28" s="1"/>
  <c r="E35" i="3"/>
  <c r="F35"/>
  <c r="H35" s="1"/>
  <c r="E26" i="4"/>
  <c r="F26"/>
  <c r="H26" s="1"/>
  <c r="E32" i="6"/>
  <c r="F32"/>
  <c r="H32" s="1"/>
  <c r="E11" i="12"/>
  <c r="F11"/>
  <c r="H11" s="1"/>
  <c r="E23"/>
  <c r="F23"/>
  <c r="H23" s="1"/>
  <c r="E36"/>
  <c r="F36"/>
  <c r="H36" s="1"/>
  <c r="E32" i="3"/>
  <c r="F32"/>
  <c r="H32" s="1"/>
  <c r="E23" i="4"/>
  <c r="F23"/>
  <c r="H23" s="1"/>
  <c r="E20" i="5"/>
  <c r="F20"/>
  <c r="H20" s="1"/>
  <c r="E20" i="7"/>
  <c r="F20"/>
  <c r="H20" s="1"/>
  <c r="E11" i="8"/>
  <c r="F11"/>
  <c r="H11" s="1"/>
  <c r="E14"/>
  <c r="F14"/>
  <c r="H14" s="1"/>
  <c r="E27"/>
  <c r="F27"/>
  <c r="H27" s="1"/>
  <c r="E30"/>
  <c r="F30"/>
  <c r="H30" s="1"/>
  <c r="E20" i="9"/>
  <c r="F20"/>
  <c r="H20" s="1"/>
  <c r="E30" i="11"/>
  <c r="F30"/>
  <c r="H30" s="1"/>
  <c r="AA40" i="4"/>
  <c r="AA40" i="7"/>
  <c r="E13" i="2"/>
  <c r="F13"/>
  <c r="H13" s="1"/>
  <c r="E32"/>
  <c r="F32"/>
  <c r="H32" s="1"/>
  <c r="E17" i="3"/>
  <c r="F17"/>
  <c r="H17" s="1"/>
  <c r="E20"/>
  <c r="F20"/>
  <c r="H20" s="1"/>
  <c r="E15" i="4"/>
  <c r="F15"/>
  <c r="H15" s="1"/>
  <c r="E20"/>
  <c r="F20"/>
  <c r="H20" s="1"/>
  <c r="E17" i="5"/>
  <c r="F17"/>
  <c r="H17" s="1"/>
  <c r="E10" i="6"/>
  <c r="F10"/>
  <c r="H10" s="1"/>
  <c r="E13"/>
  <c r="F13"/>
  <c r="H13" s="1"/>
  <c r="E17" i="7"/>
  <c r="F17"/>
  <c r="H17" s="1"/>
  <c r="E36"/>
  <c r="F36"/>
  <c r="H36" s="1"/>
  <c r="E21" i="8"/>
  <c r="F21"/>
  <c r="H21" s="1"/>
  <c r="E37"/>
  <c r="F37"/>
  <c r="H37" s="1"/>
  <c r="E33" i="9"/>
  <c r="F33"/>
  <c r="H33" s="1"/>
  <c r="E30" i="10"/>
  <c r="F30"/>
  <c r="H30" s="1"/>
  <c r="AA40" i="9"/>
  <c r="AA40" i="11"/>
  <c r="E11" i="1"/>
  <c r="F11"/>
  <c r="H11" s="1"/>
  <c r="E16"/>
  <c r="F16"/>
  <c r="H16" s="1"/>
  <c r="E11" i="3"/>
  <c r="F11"/>
  <c r="H11" s="1"/>
  <c r="E31" i="4"/>
  <c r="F31"/>
  <c r="H31" s="1"/>
  <c r="E36"/>
  <c r="F36"/>
  <c r="H36" s="1"/>
  <c r="E9" i="5"/>
  <c r="F9"/>
  <c r="H9" s="1"/>
  <c r="E35"/>
  <c r="F35"/>
  <c r="H35" s="1"/>
  <c r="E26" i="6"/>
  <c r="F26"/>
  <c r="H26" s="1"/>
  <c r="E29"/>
  <c r="F29"/>
  <c r="H29" s="1"/>
  <c r="E9" i="7"/>
  <c r="F9"/>
  <c r="H9" s="1"/>
  <c r="E14"/>
  <c r="F14"/>
  <c r="H14" s="1"/>
  <c r="E33"/>
  <c r="F33"/>
  <c r="H33" s="1"/>
  <c r="E17" i="9"/>
  <c r="F17"/>
  <c r="H17" s="1"/>
  <c r="E25"/>
  <c r="F25"/>
  <c r="H25" s="1"/>
  <c r="E30"/>
  <c r="F30"/>
  <c r="H30" s="1"/>
  <c r="E38"/>
  <c r="F38"/>
  <c r="H38" s="1"/>
  <c r="E14" i="10"/>
  <c r="F14"/>
  <c r="H14" s="1"/>
  <c r="E20" i="11"/>
  <c r="F20"/>
  <c r="H20" s="1"/>
  <c r="E28" i="12"/>
  <c r="F28"/>
  <c r="H28" s="1"/>
  <c r="Y40" i="3"/>
  <c r="E36" i="1"/>
  <c r="F36"/>
  <c r="H36" s="1"/>
  <c r="E25" i="5"/>
  <c r="F25"/>
  <c r="H25" s="1"/>
  <c r="E20" i="6"/>
  <c r="F20"/>
  <c r="H20" s="1"/>
  <c r="E25" i="7"/>
  <c r="F25"/>
  <c r="H25" s="1"/>
  <c r="E30"/>
  <c r="F30"/>
  <c r="H30" s="1"/>
  <c r="E9" i="9"/>
  <c r="F9"/>
  <c r="H9" s="1"/>
  <c r="E14"/>
  <c r="F14"/>
  <c r="H14" s="1"/>
  <c r="E11" i="10"/>
  <c r="F11"/>
  <c r="H11" s="1"/>
  <c r="E27"/>
  <c r="F27"/>
  <c r="H27" s="1"/>
  <c r="E35"/>
  <c r="F35"/>
  <c r="H35" s="1"/>
  <c r="E14" i="11"/>
  <c r="F14"/>
  <c r="H14" s="1"/>
  <c r="E22"/>
  <c r="F22"/>
  <c r="H22" s="1"/>
  <c r="E35"/>
  <c r="F35"/>
  <c r="H35" s="1"/>
  <c r="Y39" i="2"/>
  <c r="AA40" i="6"/>
  <c r="E29" i="1"/>
  <c r="F29"/>
  <c r="H29" s="1"/>
  <c r="E22" i="2"/>
  <c r="F22"/>
  <c r="H22" s="1"/>
  <c r="E25"/>
  <c r="F25"/>
  <c r="H25" s="1"/>
  <c r="E24" i="3"/>
  <c r="F24"/>
  <c r="H24" s="1"/>
  <c r="E34"/>
  <c r="F34"/>
  <c r="H34" s="1"/>
  <c r="E9" i="4"/>
  <c r="F9"/>
  <c r="H9" s="1"/>
  <c r="E12"/>
  <c r="F12"/>
  <c r="H12" s="1"/>
  <c r="E19" i="10"/>
  <c r="F19"/>
  <c r="H19" s="1"/>
  <c r="E13" i="12"/>
  <c r="F13"/>
  <c r="H13" s="1"/>
  <c r="E20"/>
  <c r="F20"/>
  <c r="H20" s="1"/>
  <c r="E35"/>
  <c r="F35"/>
  <c r="H35" s="1"/>
  <c r="E21" i="1"/>
  <c r="F21"/>
  <c r="H21" s="1"/>
  <c r="E31" i="3"/>
  <c r="F31"/>
  <c r="H31" s="1"/>
  <c r="E25" i="4"/>
  <c r="F25"/>
  <c r="H25" s="1"/>
  <c r="E28"/>
  <c r="F28"/>
  <c r="H28" s="1"/>
  <c r="E19" i="5"/>
  <c r="F19"/>
  <c r="H19" s="1"/>
  <c r="E13" i="8"/>
  <c r="F13"/>
  <c r="H13" s="1"/>
  <c r="E29"/>
  <c r="F29"/>
  <c r="H29" s="1"/>
  <c r="E27" i="11"/>
  <c r="F27"/>
  <c r="H27" s="1"/>
  <c r="E13" i="1"/>
  <c r="E22"/>
  <c r="E38"/>
  <c r="E14" i="2"/>
  <c r="E25" i="3"/>
  <c r="E17" i="4"/>
  <c r="E33"/>
  <c r="E10" i="5"/>
  <c r="E26"/>
  <c r="E18" i="6"/>
  <c r="E34"/>
  <c r="E11" i="7"/>
  <c r="E27"/>
  <c r="E19" i="8"/>
  <c r="E35"/>
  <c r="E11" i="9"/>
  <c r="E27"/>
  <c r="E20" i="10"/>
  <c r="E36"/>
  <c r="E12" i="11"/>
  <c r="E28"/>
  <c r="E21" i="12"/>
  <c r="E37"/>
  <c r="F26" i="1"/>
  <c r="H26" s="1"/>
  <c r="F18" i="2"/>
  <c r="H18" s="1"/>
  <c r="F13" i="3"/>
  <c r="H13" s="1"/>
  <c r="F21" i="4"/>
  <c r="H21" s="1"/>
  <c r="F37"/>
  <c r="H37" s="1"/>
  <c r="F14" i="5"/>
  <c r="H14" s="1"/>
  <c r="F30"/>
  <c r="H30" s="1"/>
  <c r="F22" i="6"/>
  <c r="H22" s="1"/>
  <c r="F38"/>
  <c r="H38" s="1"/>
  <c r="F15" i="7"/>
  <c r="H15" s="1"/>
  <c r="F31"/>
  <c r="H31" s="1"/>
  <c r="F23" i="8"/>
  <c r="H23" s="1"/>
  <c r="F39"/>
  <c r="H39" s="1"/>
  <c r="F15" i="9"/>
  <c r="H15" s="1"/>
  <c r="F31"/>
  <c r="H31" s="1"/>
  <c r="F24" i="10"/>
  <c r="H24" s="1"/>
  <c r="F16" i="11"/>
  <c r="H16" s="1"/>
  <c r="F32"/>
  <c r="H32" s="1"/>
  <c r="F9" i="12"/>
  <c r="H9" s="1"/>
  <c r="F25"/>
  <c r="H25" s="1"/>
  <c r="F19" i="9"/>
  <c r="H19" s="1"/>
  <c r="F28" i="10"/>
  <c r="H28" s="1"/>
  <c r="F36" i="11"/>
  <c r="H36" s="1"/>
  <c r="F29" i="12"/>
  <c r="H29" s="1"/>
  <c r="F27" i="1"/>
  <c r="H27" s="1"/>
  <c r="F19" i="2"/>
  <c r="H19" s="1"/>
  <c r="F35"/>
  <c r="H35" s="1"/>
  <c r="F14" i="3"/>
  <c r="H14" s="1"/>
  <c r="F30"/>
  <c r="H30" s="1"/>
  <c r="F22" i="4"/>
  <c r="H22" s="1"/>
  <c r="F38"/>
  <c r="H38" s="1"/>
  <c r="F15" i="5"/>
  <c r="H15" s="1"/>
  <c r="F31"/>
  <c r="H31" s="1"/>
  <c r="F23" i="6"/>
  <c r="H23" s="1"/>
  <c r="F16" i="7"/>
  <c r="H16" s="1"/>
  <c r="F32"/>
  <c r="H32" s="1"/>
  <c r="F24" i="8"/>
  <c r="H24" s="1"/>
  <c r="F16" i="9"/>
  <c r="H16" s="1"/>
  <c r="F32"/>
  <c r="H32" s="1"/>
  <c r="F9" i="10"/>
  <c r="H9" s="1"/>
  <c r="F25"/>
  <c r="H25" s="1"/>
  <c r="F17" i="11"/>
  <c r="H17" s="1"/>
  <c r="F10" i="12"/>
  <c r="H10" s="1"/>
  <c r="F9" i="1"/>
  <c r="H9" s="1"/>
  <c r="F18"/>
  <c r="H18" s="1"/>
  <c r="F34"/>
  <c r="H34" s="1"/>
  <c r="F10" i="2"/>
  <c r="H10" s="1"/>
  <c r="F26"/>
  <c r="H26" s="1"/>
  <c r="F37" i="3"/>
  <c r="H37" s="1"/>
  <c r="F13" i="4"/>
  <c r="H13" s="1"/>
  <c r="F29"/>
  <c r="H29" s="1"/>
  <c r="F22" i="5"/>
  <c r="H22" s="1"/>
  <c r="F38"/>
  <c r="H38" s="1"/>
  <c r="F14" i="6"/>
  <c r="H14" s="1"/>
  <c r="F30"/>
  <c r="H30" s="1"/>
  <c r="F23" i="7"/>
  <c r="H23" s="1"/>
  <c r="F39"/>
  <c r="H39" s="1"/>
  <c r="F15" i="8"/>
  <c r="H15" s="1"/>
  <c r="F31"/>
  <c r="H31" s="1"/>
  <c r="F23" i="9"/>
  <c r="H23" s="1"/>
  <c r="F16" i="10"/>
  <c r="H16" s="1"/>
  <c r="F32"/>
  <c r="H32" s="1"/>
  <c r="F24" i="11"/>
  <c r="H24" s="1"/>
  <c r="F17" i="12"/>
  <c r="H17" s="1"/>
  <c r="F33"/>
  <c r="H33" s="1"/>
</calcChain>
</file>

<file path=xl/sharedStrings.xml><?xml version="1.0" encoding="utf-8"?>
<sst xmlns="http://schemas.openxmlformats.org/spreadsheetml/2006/main" count="782" uniqueCount="88">
  <si>
    <t>JANEIRO DE 2023</t>
  </si>
  <si>
    <t xml:space="preserve">                     INSTITUTO   ASTRONÔMICO   E   GEOFÍSICO   DA   UNIVERSIDADE   DE   SÃO   PAULO</t>
  </si>
  <si>
    <t>Atualização: Sergio 2021; Edvaldo Gomes 2023</t>
  </si>
  <si>
    <t>(digitado por PETY  )</t>
  </si>
  <si>
    <t>(digitado por  Pety )</t>
  </si>
  <si>
    <t xml:space="preserve">(verificado por PETY / Edvaldo Gomes )  </t>
  </si>
  <si>
    <t xml:space="preserve">    DADOS  RELATIVOS  À  IRRADIAÇÃO  SOLAR  GLOBAL  E  À  DURAÇÃO  DO  BRILHO  SOLAR</t>
  </si>
  <si>
    <t>(verificado por  PETY / Edvaldo Gomes )</t>
  </si>
  <si>
    <t>DIA</t>
  </si>
  <si>
    <t xml:space="preserve">                 IRRADIAÇÃO  SOLAR  GLOBAL</t>
  </si>
  <si>
    <t xml:space="preserve">   DURAÇÃO  DO  BRILHO  SOLAR</t>
  </si>
  <si>
    <t>área</t>
  </si>
  <si>
    <t>fator</t>
  </si>
  <si>
    <t>total</t>
  </si>
  <si>
    <t>estimativa</t>
  </si>
  <si>
    <t>topo da</t>
  </si>
  <si>
    <t>transmissão</t>
  </si>
  <si>
    <t>duração</t>
  </si>
  <si>
    <t>insolação</t>
  </si>
  <si>
    <t>média</t>
  </si>
  <si>
    <t>diário de</t>
  </si>
  <si>
    <t>diário</t>
  </si>
  <si>
    <t>piranômetro</t>
  </si>
  <si>
    <t>atmosfera</t>
  </si>
  <si>
    <t>global</t>
  </si>
  <si>
    <t xml:space="preserve">                duração  horária  (horas)</t>
  </si>
  <si>
    <t>totais  (horas)</t>
  </si>
  <si>
    <t>teórica (hs)</t>
  </si>
  <si>
    <t>relativa (%)</t>
  </si>
  <si>
    <t>(cm2)</t>
  </si>
  <si>
    <t>correção</t>
  </si>
  <si>
    <t>(cal / cm2)</t>
  </si>
  <si>
    <t>(MJ / m2)</t>
  </si>
  <si>
    <t>(%)</t>
  </si>
  <si>
    <t>05h-06h</t>
  </si>
  <si>
    <t>06h-07h</t>
  </si>
  <si>
    <t>07h-08h</t>
  </si>
  <si>
    <t>08h-09h</t>
  </si>
  <si>
    <t>09h-10h</t>
  </si>
  <si>
    <t>10h-11h</t>
  </si>
  <si>
    <t>11h-12h</t>
  </si>
  <si>
    <t>12h-13h</t>
  </si>
  <si>
    <t>13h-14h</t>
  </si>
  <si>
    <t>14h-15h</t>
  </si>
  <si>
    <t>15h-16h</t>
  </si>
  <si>
    <t>16h-17h</t>
  </si>
  <si>
    <t>17h-18h</t>
  </si>
  <si>
    <t>18h-19h</t>
  </si>
  <si>
    <t>manhã</t>
  </si>
  <si>
    <t>tarde</t>
  </si>
  <si>
    <t>dia</t>
  </si>
  <si>
    <t xml:space="preserve">"área média": valor médio obtido a partir de diversas planimetrias sobre o actinograma </t>
  </si>
  <si>
    <t>"fator diário de correção": fator multiplicativo recomendado pelo fabricante do actinógrafo, dado por 0,734+0,00641*ho-0,000033*ho*ho, sendo ho a elevação solar na passagem meridiana</t>
  </si>
  <si>
    <t>"total diário": produto entre (1) a área média, (2) o fator de correção diário, (3) a constante 14,25 (quantidade de cal/cm2 para cada cm2 de área planimetrada), e (4) o fator 1,022 (obediência à World Radiometric Reference)</t>
  </si>
  <si>
    <t>"estimativa piranômetro": irradiação diária que seria medida com um piranômetro Eppley equipado de filtro Schott WG7, dada por (7,86+1,25*A)*4,1868/100, sendo A a irradiação obtida com o actinógrafo</t>
  </si>
  <si>
    <t>"topo da atmosfera": valor teórico da irradiação diária solar incidente no topo da atmosfera, para uma constante solar de 1367 W/m2</t>
  </si>
  <si>
    <t>"transmissão global": quociente entre as irradiações "estimativa piranômetro" e "topo da atmosfera"</t>
  </si>
  <si>
    <t>"insolação relativa": quociente entre o total diário observado para a duração de brilho solar e o respectivo valor teórico, desprezando-se possíveis efeitos associados à refração atmosférica</t>
  </si>
  <si>
    <r>
      <t xml:space="preserve">(*) valores </t>
    </r>
    <r>
      <rPr>
        <sz val="12"/>
        <color indexed="10"/>
        <rFont val="Arial"/>
        <family val="2"/>
      </rPr>
      <t>-99,0</t>
    </r>
    <r>
      <rPr>
        <sz val="12"/>
        <rFont val="Arial"/>
        <family val="2"/>
      </rPr>
      <t xml:space="preserve"> indicam falha no registro do actinógrafo</t>
    </r>
  </si>
  <si>
    <t>FEVEREIRO DE 2023</t>
  </si>
  <si>
    <t>(digitado por  PETY )</t>
  </si>
  <si>
    <t>(digitado por PETY )</t>
  </si>
  <si>
    <t>MARÇO DE 2023</t>
  </si>
  <si>
    <t>(digitado por Edvaldo Gomes )</t>
  </si>
  <si>
    <t>(verificado por PETY / Edvaldo Gomes)</t>
  </si>
  <si>
    <t xml:space="preserve"> </t>
  </si>
  <si>
    <t>ABRIL DE 2023</t>
  </si>
  <si>
    <t>(digitado por Pety )</t>
  </si>
  <si>
    <t xml:space="preserve">(verificado por Pety / Edvaldo Gomes )  </t>
  </si>
  <si>
    <t>(verificado por Pety / Edvaldo Gomes)</t>
  </si>
  <si>
    <r>
      <t xml:space="preserve">(*) valores </t>
    </r>
    <r>
      <rPr>
        <sz val="12"/>
        <color indexed="10"/>
        <rFont val="Arial"/>
        <family val="2"/>
      </rPr>
      <t>-0,0</t>
    </r>
    <r>
      <rPr>
        <sz val="12"/>
        <rFont val="Arial"/>
        <family val="2"/>
      </rPr>
      <t xml:space="preserve"> indicam falha no registro do heliógrafo</t>
    </r>
  </si>
  <si>
    <t>MAIO DE 2023</t>
  </si>
  <si>
    <t>(verificado por Pety / Edvaldo Gomes  )</t>
  </si>
  <si>
    <t xml:space="preserve"> JUNHO DE 2023</t>
  </si>
  <si>
    <t>(digitado por Pety  )</t>
  </si>
  <si>
    <t xml:space="preserve">(verificado por Pety /Edvaldo Gomes   )  </t>
  </si>
  <si>
    <t>JULHO DE 2023</t>
  </si>
  <si>
    <t xml:space="preserve">(verificado por ...  )  </t>
  </si>
  <si>
    <t xml:space="preserve">(verificado por  )  </t>
  </si>
  <si>
    <t xml:space="preserve"> AGOSTO DE 2023</t>
  </si>
  <si>
    <t xml:space="preserve">(verificado por )  </t>
  </si>
  <si>
    <t>SETEMBRO DE 2023</t>
  </si>
  <si>
    <t xml:space="preserve">(verificado por   )  </t>
  </si>
  <si>
    <t>OUTUBRO DE 2023</t>
  </si>
  <si>
    <t>(digitado por Pety   )</t>
  </si>
  <si>
    <t>NOVEMBRO DE 2023</t>
  </si>
  <si>
    <t>DEZEMBRO DE 2023</t>
  </si>
  <si>
    <t>(digitado por  )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</si>
</sst>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9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2"/>
      <color indexed="8"/>
      <name val="Arial"/>
      <family val="2"/>
    </font>
    <font>
      <sz val="12"/>
      <color rgb="FFFF0000"/>
      <name val="Arial"/>
      <family val="2"/>
    </font>
    <font>
      <sz val="12"/>
      <color indexed="10"/>
      <name val="Arial"/>
      <family val="2"/>
    </font>
    <font>
      <sz val="10"/>
      <color indexed="10"/>
      <name val="Arial"/>
      <family val="2"/>
    </font>
    <font>
      <sz val="12"/>
      <color theme="1"/>
      <name val="Arial"/>
      <family val="2"/>
    </font>
    <font>
      <sz val="10"/>
      <color rgb="FFFF0000"/>
      <name val="Arial"/>
      <family val="2"/>
    </font>
    <font>
      <b/>
      <sz val="12"/>
      <color indexed="10"/>
      <name val="Arial"/>
      <family val="2"/>
    </font>
    <font>
      <sz val="12"/>
      <color indexed="9"/>
      <name val="Arial"/>
      <family val="2"/>
    </font>
    <font>
      <b/>
      <sz val="10"/>
      <color rgb="FFFF0000"/>
      <name val="Arial"/>
      <family val="2"/>
    </font>
    <font>
      <b/>
      <i/>
      <u/>
      <sz val="10"/>
      <color indexed="10"/>
      <name val="Arial"/>
      <family val="2"/>
    </font>
    <font>
      <i/>
      <u/>
      <sz val="10"/>
      <name val="Arial"/>
      <family val="2"/>
    </font>
    <font>
      <b/>
      <sz val="10"/>
      <color indexed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42"/>
        <bgColor indexed="34"/>
      </patternFill>
    </fill>
    <fill>
      <patternFill patternType="solid">
        <fgColor rgb="FFCCFFCC"/>
        <bgColor indexed="27"/>
      </patternFill>
    </fill>
    <fill>
      <patternFill patternType="solid">
        <fgColor rgb="FFCCFFCC"/>
        <bgColor indexed="34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27"/>
      </patternFill>
    </fill>
    <fill>
      <patternFill patternType="solid">
        <fgColor indexed="9"/>
        <bgColor indexed="27"/>
      </patternFill>
    </fill>
  </fills>
  <borders count="94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/>
      <diagonal/>
    </border>
    <border>
      <left style="double">
        <color indexed="63"/>
      </left>
      <right/>
      <top style="double">
        <color indexed="63"/>
      </top>
      <bottom style="medium">
        <color indexed="63"/>
      </bottom>
      <diagonal/>
    </border>
    <border>
      <left/>
      <right/>
      <top style="double">
        <color indexed="63"/>
      </top>
      <bottom/>
      <diagonal/>
    </border>
    <border>
      <left/>
      <right/>
      <top style="double">
        <color indexed="63"/>
      </top>
      <bottom style="medium">
        <color indexed="63"/>
      </bottom>
      <diagonal/>
    </border>
    <border>
      <left/>
      <right style="double">
        <color indexed="63"/>
      </right>
      <top style="double">
        <color indexed="63"/>
      </top>
      <bottom style="medium">
        <color indexed="63"/>
      </bottom>
      <diagonal/>
    </border>
    <border>
      <left style="double">
        <color indexed="63"/>
      </left>
      <right style="double">
        <color indexed="63"/>
      </right>
      <top/>
      <bottom/>
      <diagonal/>
    </border>
    <border>
      <left style="double">
        <color indexed="63"/>
      </left>
      <right style="thin">
        <color indexed="63"/>
      </right>
      <top style="medium">
        <color indexed="63"/>
      </top>
      <bottom/>
      <diagonal/>
    </border>
    <border>
      <left style="thin">
        <color indexed="63"/>
      </left>
      <right/>
      <top style="medium">
        <color indexed="63"/>
      </top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/>
      <bottom/>
      <diagonal/>
    </border>
    <border>
      <left style="double">
        <color indexed="63"/>
      </left>
      <right/>
      <top style="medium">
        <color indexed="63"/>
      </top>
      <bottom/>
      <diagonal/>
    </border>
    <border>
      <left/>
      <right/>
      <top style="medium">
        <color indexed="63"/>
      </top>
      <bottom/>
      <diagonal/>
    </border>
    <border>
      <left/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/>
      <top style="medium">
        <color indexed="63"/>
      </top>
      <bottom/>
      <diagonal/>
    </border>
    <border>
      <left style="medium">
        <color indexed="63"/>
      </left>
      <right style="double">
        <color indexed="63"/>
      </right>
      <top style="medium">
        <color indexed="63"/>
      </top>
      <bottom/>
      <diagonal/>
    </border>
    <border>
      <left style="double">
        <color indexed="63"/>
      </left>
      <right/>
      <top/>
      <bottom/>
      <diagonal/>
    </border>
    <border>
      <left style="double">
        <color indexed="63"/>
      </left>
      <right style="thin">
        <color indexed="63"/>
      </right>
      <top/>
      <bottom/>
      <diagonal/>
    </border>
    <border>
      <left style="double">
        <color indexed="63"/>
      </left>
      <right/>
      <top/>
      <bottom style="medium">
        <color indexed="63"/>
      </bottom>
      <diagonal/>
    </border>
    <border>
      <left/>
      <right style="medium">
        <color indexed="63"/>
      </right>
      <top/>
      <bottom style="medium">
        <color indexed="63"/>
      </bottom>
      <diagonal/>
    </border>
    <border>
      <left style="medium">
        <color indexed="63"/>
      </left>
      <right/>
      <top/>
      <bottom style="medium">
        <color indexed="63"/>
      </bottom>
      <diagonal/>
    </border>
    <border>
      <left/>
      <right/>
      <top/>
      <bottom style="medium">
        <color indexed="63"/>
      </bottom>
      <diagonal/>
    </border>
    <border>
      <left style="medium">
        <color indexed="63"/>
      </left>
      <right style="double">
        <color indexed="63"/>
      </right>
      <top/>
      <bottom style="medium">
        <color indexed="63"/>
      </bottom>
      <diagonal/>
    </border>
    <border>
      <left style="double">
        <color indexed="63"/>
      </left>
      <right style="double">
        <color indexed="63"/>
      </right>
      <top/>
      <bottom style="medium">
        <color indexed="63"/>
      </bottom>
      <diagonal/>
    </border>
    <border>
      <left style="double">
        <color indexed="63"/>
      </left>
      <right style="thin">
        <color indexed="63"/>
      </right>
      <top/>
      <bottom style="medium">
        <color indexed="63"/>
      </bottom>
      <diagonal/>
    </border>
    <border>
      <left style="thin">
        <color indexed="63"/>
      </left>
      <right style="thin">
        <color indexed="63"/>
      </right>
      <top/>
      <bottom style="medium">
        <color indexed="63"/>
      </bottom>
      <diagonal/>
    </border>
    <border>
      <left style="thin">
        <color indexed="63"/>
      </left>
      <right/>
      <top/>
      <bottom style="medium">
        <color indexed="63"/>
      </bottom>
      <diagonal/>
    </border>
    <border>
      <left style="double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/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/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/>
      <diagonal/>
    </border>
    <border>
      <left style="medium">
        <color indexed="63"/>
      </left>
      <right/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double">
        <color indexed="63"/>
      </right>
      <top style="medium">
        <color indexed="63"/>
      </top>
      <bottom style="medium">
        <color indexed="63"/>
      </bottom>
      <diagonal/>
    </border>
    <border>
      <left style="double">
        <color indexed="63"/>
      </left>
      <right style="double">
        <color indexed="63"/>
      </right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 style="thin">
        <color indexed="63"/>
      </left>
      <right/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double">
        <color indexed="63"/>
      </right>
      <top style="medium">
        <color indexed="63"/>
      </top>
      <bottom style="thin">
        <color indexed="63"/>
      </bottom>
      <diagonal/>
    </border>
    <border>
      <left/>
      <right style="thin">
        <color indexed="63"/>
      </right>
      <top style="medium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3"/>
      </left>
      <right/>
      <top/>
      <bottom style="thin">
        <color indexed="63"/>
      </bottom>
      <diagonal/>
    </border>
    <border>
      <left style="medium">
        <color indexed="63"/>
      </left>
      <right style="double">
        <color indexed="63"/>
      </right>
      <top/>
      <bottom style="thin">
        <color indexed="63"/>
      </bottom>
      <diagonal/>
    </border>
    <border>
      <left style="thin">
        <color indexed="63"/>
      </left>
      <right style="double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/>
      <diagonal/>
    </border>
    <border>
      <left style="double">
        <color indexed="63"/>
      </left>
      <right style="double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double">
        <color indexed="63"/>
      </left>
      <right style="double">
        <color indexed="63"/>
      </right>
      <top style="thin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double">
        <color indexed="63"/>
      </bottom>
      <diagonal/>
    </border>
    <border>
      <left/>
      <right/>
      <top style="thin">
        <color indexed="63"/>
      </top>
      <bottom style="double">
        <color indexed="63"/>
      </bottom>
      <diagonal/>
    </border>
    <border>
      <left style="thin">
        <color indexed="63"/>
      </left>
      <right/>
      <top style="thin">
        <color indexed="63"/>
      </top>
      <bottom style="double">
        <color indexed="63"/>
      </bottom>
      <diagonal/>
    </border>
    <border>
      <left style="thin">
        <color indexed="63"/>
      </left>
      <right style="double">
        <color indexed="63"/>
      </right>
      <top style="thin">
        <color indexed="63"/>
      </top>
      <bottom style="double">
        <color indexed="63"/>
      </bottom>
      <diagonal/>
    </border>
    <border>
      <left/>
      <right style="thin">
        <color indexed="63"/>
      </right>
      <top style="thin">
        <color indexed="63"/>
      </top>
      <bottom style="double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double">
        <color indexed="63"/>
      </bottom>
      <diagonal/>
    </border>
    <border>
      <left style="medium">
        <color indexed="63"/>
      </left>
      <right style="thin">
        <color indexed="63"/>
      </right>
      <top style="thin">
        <color indexed="63"/>
      </top>
      <bottom style="double">
        <color indexed="63"/>
      </bottom>
      <diagonal/>
    </border>
    <border>
      <left style="medium">
        <color indexed="63"/>
      </left>
      <right/>
      <top/>
      <bottom/>
      <diagonal/>
    </border>
    <border>
      <left style="medium">
        <color indexed="63"/>
      </left>
      <right style="double">
        <color indexed="63"/>
      </right>
      <top/>
      <bottom/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double">
        <color indexed="63"/>
      </left>
      <right style="thin">
        <color indexed="63"/>
      </right>
      <top style="medium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/>
      <diagonal/>
    </border>
    <border>
      <left/>
      <right style="thin">
        <color indexed="63"/>
      </right>
      <top/>
      <bottom/>
      <diagonal/>
    </border>
    <border>
      <left style="medium">
        <color indexed="63"/>
      </left>
      <right/>
      <top style="thin">
        <color indexed="63"/>
      </top>
      <bottom/>
      <diagonal/>
    </border>
    <border>
      <left style="medium">
        <color indexed="63"/>
      </left>
      <right style="double">
        <color indexed="63"/>
      </right>
      <top style="thin">
        <color indexed="63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thin">
        <color indexed="63"/>
      </right>
      <top style="thin">
        <color indexed="63"/>
      </top>
      <bottom/>
      <diagonal/>
    </border>
    <border>
      <left style="double">
        <color indexed="63"/>
      </left>
      <right style="thin">
        <color indexed="63"/>
      </right>
      <top style="thin">
        <color indexed="63"/>
      </top>
      <bottom style="double">
        <color indexed="63"/>
      </bottom>
      <diagonal/>
    </border>
    <border>
      <left style="medium">
        <color indexed="63"/>
      </left>
      <right style="medium">
        <color indexed="63"/>
      </right>
      <top style="thin">
        <color indexed="63"/>
      </top>
      <bottom style="double">
        <color indexed="63"/>
      </bottom>
      <diagonal/>
    </border>
    <border>
      <left/>
      <right style="double">
        <color indexed="63"/>
      </right>
      <top style="thin">
        <color indexed="63"/>
      </top>
      <bottom style="double">
        <color indexed="63"/>
      </bottom>
      <diagonal/>
    </border>
    <border>
      <left/>
      <right style="thin">
        <color indexed="63"/>
      </right>
      <top style="medium">
        <color indexed="63"/>
      </top>
      <bottom/>
      <diagonal/>
    </border>
    <border>
      <left style="double">
        <color indexed="63"/>
      </left>
      <right style="thin">
        <color indexed="63"/>
      </right>
      <top/>
      <bottom style="thin">
        <color indexed="63"/>
      </bottom>
      <diagonal/>
    </border>
    <border>
      <left style="double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3"/>
      </left>
      <right style="medium">
        <color indexed="63"/>
      </right>
      <top style="thin">
        <color indexed="63"/>
      </top>
      <bottom/>
      <diagonal/>
    </border>
    <border>
      <left style="thin">
        <color indexed="63"/>
      </left>
      <right/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thin">
        <color indexed="63"/>
      </right>
      <top style="medium">
        <color indexed="63"/>
      </top>
      <bottom/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/>
      <diagonal/>
    </border>
    <border>
      <left style="medium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medium">
        <color indexed="63"/>
      </right>
      <top/>
      <bottom/>
      <diagonal/>
    </border>
    <border>
      <left style="thin">
        <color indexed="63"/>
      </left>
      <right style="medium">
        <color indexed="63"/>
      </right>
      <top/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double">
        <color indexed="64"/>
      </bottom>
      <diagonal/>
    </border>
    <border>
      <left style="thin">
        <color indexed="63"/>
      </left>
      <right style="medium">
        <color indexed="63"/>
      </right>
      <top/>
      <bottom style="double">
        <color indexed="63"/>
      </bottom>
      <diagonal/>
    </border>
    <border>
      <left/>
      <right style="medium">
        <color indexed="63"/>
      </right>
      <top/>
      <bottom/>
      <diagonal/>
    </border>
    <border>
      <left/>
      <right style="medium">
        <color indexed="63"/>
      </right>
      <top style="thin">
        <color indexed="63"/>
      </top>
      <bottom style="thin">
        <color indexed="63"/>
      </bottom>
      <diagonal/>
    </border>
    <border>
      <left/>
      <right style="medium">
        <color indexed="63"/>
      </right>
      <top style="thin">
        <color indexed="63"/>
      </top>
      <bottom style="double">
        <color indexed="63"/>
      </bottom>
      <diagonal/>
    </border>
    <border>
      <left/>
      <right style="medium">
        <color indexed="63"/>
      </right>
      <top style="medium">
        <color indexed="63"/>
      </top>
      <bottom style="thin">
        <color indexed="63"/>
      </bottom>
      <diagonal/>
    </border>
    <border>
      <left/>
      <right style="medium">
        <color indexed="63"/>
      </right>
      <top style="thin">
        <color indexed="63"/>
      </top>
      <bottom/>
      <diagonal/>
    </border>
  </borders>
  <cellStyleXfs count="3">
    <xf numFmtId="0" fontId="0" fillId="0" borderId="0"/>
    <xf numFmtId="9" fontId="1" fillId="0" borderId="0" applyFill="0" applyBorder="0" applyAlignment="0" applyProtection="0"/>
    <xf numFmtId="0" fontId="1" fillId="0" borderId="0" applyNumberFormat="0"/>
  </cellStyleXfs>
  <cellXfs count="229">
    <xf numFmtId="0" fontId="0" fillId="0" borderId="0" xfId="0"/>
    <xf numFmtId="0" fontId="2" fillId="2" borderId="0" xfId="2" applyFont="1" applyFill="1" applyAlignment="1">
      <alignment horizontal="left"/>
    </xf>
    <xf numFmtId="0" fontId="2" fillId="2" borderId="0" xfId="2" applyFont="1" applyFill="1" applyAlignment="1">
      <alignment horizontal="right"/>
    </xf>
    <xf numFmtId="0" fontId="1" fillId="3" borderId="0" xfId="2" applyFill="1"/>
    <xf numFmtId="0" fontId="2" fillId="3" borderId="0" xfId="2" applyFont="1" applyFill="1" applyAlignment="1">
      <alignment horizontal="left"/>
    </xf>
    <xf numFmtId="0" fontId="3" fillId="3" borderId="0" xfId="2" applyFont="1" applyFill="1" applyAlignment="1">
      <alignment horizontal="center"/>
    </xf>
    <xf numFmtId="0" fontId="2" fillId="3" borderId="0" xfId="2" applyFont="1" applyFill="1"/>
    <xf numFmtId="0" fontId="4" fillId="3" borderId="0" xfId="2" applyFont="1" applyFill="1"/>
    <xf numFmtId="0" fontId="1" fillId="0" borderId="0" xfId="2"/>
    <xf numFmtId="0" fontId="0" fillId="2" borderId="0" xfId="2" applyFont="1" applyFill="1" applyAlignment="1">
      <alignment horizontal="left"/>
    </xf>
    <xf numFmtId="0" fontId="0" fillId="3" borderId="0" xfId="2" applyFont="1" applyFill="1" applyAlignment="1">
      <alignment horizontal="left"/>
    </xf>
    <xf numFmtId="0" fontId="5" fillId="3" borderId="1" xfId="2" applyFont="1" applyFill="1" applyBorder="1" applyAlignment="1">
      <alignment horizontal="center"/>
    </xf>
    <xf numFmtId="0" fontId="1" fillId="3" borderId="2" xfId="2" applyFill="1" applyBorder="1"/>
    <xf numFmtId="0" fontId="5" fillId="3" borderId="3" xfId="2" applyFont="1" applyFill="1" applyBorder="1" applyAlignment="1">
      <alignment horizontal="left"/>
    </xf>
    <xf numFmtId="0" fontId="1" fillId="3" borderId="4" xfId="2" applyFill="1" applyBorder="1"/>
    <xf numFmtId="0" fontId="5" fillId="3" borderId="4" xfId="2" applyFont="1" applyFill="1" applyBorder="1" applyAlignment="1">
      <alignment horizontal="center"/>
    </xf>
    <xf numFmtId="0" fontId="1" fillId="3" borderId="5" xfId="2" applyFill="1" applyBorder="1"/>
    <xf numFmtId="0" fontId="5" fillId="3" borderId="3" xfId="2" applyFont="1" applyFill="1" applyBorder="1" applyAlignment="1">
      <alignment horizontal="center"/>
    </xf>
    <xf numFmtId="0" fontId="5" fillId="3" borderId="3" xfId="2" applyFont="1" applyFill="1" applyBorder="1"/>
    <xf numFmtId="0" fontId="6" fillId="3" borderId="5" xfId="2" applyFont="1" applyFill="1" applyBorder="1" applyAlignment="1">
      <alignment horizontal="center"/>
    </xf>
    <xf numFmtId="0" fontId="1" fillId="3" borderId="6" xfId="2" applyFill="1" applyBorder="1" applyAlignment="1">
      <alignment horizontal="center" vertical="top" wrapText="1"/>
    </xf>
    <xf numFmtId="0" fontId="6" fillId="3" borderId="7" xfId="2" applyFont="1" applyFill="1" applyBorder="1" applyAlignment="1">
      <alignment horizontal="center"/>
    </xf>
    <xf numFmtId="0" fontId="6" fillId="3" borderId="8" xfId="2" applyFont="1" applyFill="1" applyBorder="1" applyAlignment="1">
      <alignment horizontal="center"/>
    </xf>
    <xf numFmtId="0" fontId="6" fillId="3" borderId="9" xfId="2" applyFont="1" applyFill="1" applyBorder="1" applyAlignment="1">
      <alignment horizontal="center"/>
    </xf>
    <xf numFmtId="0" fontId="6" fillId="3" borderId="10" xfId="2" applyFont="1" applyFill="1" applyBorder="1" applyAlignment="1">
      <alignment horizontal="center"/>
    </xf>
    <xf numFmtId="0" fontId="6" fillId="3" borderId="11" xfId="2" applyFont="1" applyFill="1" applyBorder="1" applyAlignment="1">
      <alignment horizontal="left"/>
    </xf>
    <xf numFmtId="0" fontId="1" fillId="3" borderId="12" xfId="2" applyFill="1" applyBorder="1"/>
    <xf numFmtId="0" fontId="1" fillId="3" borderId="12" xfId="2" applyFill="1" applyBorder="1" applyAlignment="1">
      <alignment horizontal="center"/>
    </xf>
    <xf numFmtId="0" fontId="1" fillId="3" borderId="13" xfId="2" applyFill="1" applyBorder="1" applyAlignment="1">
      <alignment horizontal="center"/>
    </xf>
    <xf numFmtId="0" fontId="1" fillId="3" borderId="14" xfId="2" applyFill="1" applyBorder="1" applyAlignment="1">
      <alignment horizontal="center"/>
    </xf>
    <xf numFmtId="0" fontId="0" fillId="3" borderId="12" xfId="2" applyFont="1" applyFill="1" applyBorder="1" applyAlignment="1">
      <alignment horizontal="center"/>
    </xf>
    <xf numFmtId="0" fontId="0" fillId="3" borderId="13" xfId="2" applyFont="1" applyFill="1" applyBorder="1" applyAlignment="1">
      <alignment horizontal="center"/>
    </xf>
    <xf numFmtId="0" fontId="6" fillId="3" borderId="14" xfId="2" applyFont="1" applyFill="1" applyBorder="1" applyAlignment="1">
      <alignment horizontal="center"/>
    </xf>
    <xf numFmtId="0" fontId="6" fillId="3" borderId="15" xfId="2" applyFont="1" applyFill="1" applyBorder="1" applyAlignment="1">
      <alignment horizontal="center"/>
    </xf>
    <xf numFmtId="0" fontId="1" fillId="3" borderId="16" xfId="2" applyFill="1" applyBorder="1" applyAlignment="1">
      <alignment horizontal="center" vertical="top" wrapText="1"/>
    </xf>
    <xf numFmtId="0" fontId="6" fillId="3" borderId="17" xfId="2" applyFont="1" applyFill="1" applyBorder="1" applyAlignment="1">
      <alignment horizontal="center"/>
    </xf>
    <xf numFmtId="0" fontId="6" fillId="3" borderId="0" xfId="2" applyFont="1" applyFill="1" applyAlignment="1">
      <alignment horizontal="center"/>
    </xf>
    <xf numFmtId="0" fontId="6" fillId="3" borderId="18" xfId="2" applyFont="1" applyFill="1" applyBorder="1" applyAlignment="1">
      <alignment horizontal="center"/>
    </xf>
    <xf numFmtId="0" fontId="5" fillId="3" borderId="19" xfId="2" applyFont="1" applyFill="1" applyBorder="1" applyAlignment="1">
      <alignment horizontal="left"/>
    </xf>
    <xf numFmtId="0" fontId="6" fillId="3" borderId="20" xfId="2" applyFont="1" applyFill="1" applyBorder="1" applyAlignment="1">
      <alignment horizontal="left"/>
    </xf>
    <xf numFmtId="0" fontId="6" fillId="3" borderId="21" xfId="2" applyFont="1" applyFill="1" applyBorder="1" applyAlignment="1">
      <alignment horizontal="center"/>
    </xf>
    <xf numFmtId="0" fontId="1" fillId="3" borderId="19" xfId="2" applyFill="1" applyBorder="1" applyAlignment="1">
      <alignment horizontal="center"/>
    </xf>
    <xf numFmtId="0" fontId="6" fillId="3" borderId="20" xfId="2" applyFont="1" applyFill="1" applyBorder="1" applyAlignment="1">
      <alignment horizontal="center"/>
    </xf>
    <xf numFmtId="0" fontId="6" fillId="3" borderId="22" xfId="2" applyFont="1" applyFill="1" applyBorder="1" applyAlignment="1">
      <alignment horizontal="center"/>
    </xf>
    <xf numFmtId="9" fontId="0" fillId="3" borderId="23" xfId="1" applyFont="1" applyFill="1" applyBorder="1" applyAlignment="1">
      <alignment horizontal="center" vertical="top" wrapText="1"/>
    </xf>
    <xf numFmtId="0" fontId="6" fillId="3" borderId="24" xfId="2" applyFont="1" applyFill="1" applyBorder="1" applyAlignment="1">
      <alignment horizontal="center"/>
    </xf>
    <xf numFmtId="0" fontId="6" fillId="3" borderId="25" xfId="2" applyFont="1" applyFill="1" applyBorder="1" applyAlignment="1">
      <alignment horizontal="center"/>
    </xf>
    <xf numFmtId="0" fontId="6" fillId="3" borderId="26" xfId="2" applyFont="1" applyFill="1" applyBorder="1" applyAlignment="1">
      <alignment horizontal="center"/>
    </xf>
    <xf numFmtId="0" fontId="6" fillId="3" borderId="27" xfId="2" applyFont="1" applyFill="1" applyBorder="1" applyAlignment="1">
      <alignment horizontal="center"/>
    </xf>
    <xf numFmtId="0" fontId="6" fillId="3" borderId="28" xfId="2" applyFont="1" applyFill="1" applyBorder="1" applyAlignment="1">
      <alignment horizontal="center"/>
    </xf>
    <xf numFmtId="0" fontId="6" fillId="3" borderId="29" xfId="2" applyFont="1" applyFill="1" applyBorder="1" applyAlignment="1">
      <alignment horizontal="center"/>
    </xf>
    <xf numFmtId="0" fontId="6" fillId="3" borderId="30" xfId="2" applyFont="1" applyFill="1" applyBorder="1" applyAlignment="1">
      <alignment horizontal="left"/>
    </xf>
    <xf numFmtId="0" fontId="6" fillId="3" borderId="31" xfId="2" applyFont="1" applyFill="1" applyBorder="1" applyAlignment="1">
      <alignment horizontal="center"/>
    </xf>
    <xf numFmtId="0" fontId="6" fillId="3" borderId="13" xfId="2" applyFont="1" applyFill="1" applyBorder="1" applyAlignment="1">
      <alignment horizontal="center"/>
    </xf>
    <xf numFmtId="0" fontId="6" fillId="3" borderId="32" xfId="2" applyFont="1" applyFill="1" applyBorder="1" applyAlignment="1">
      <alignment horizontal="center"/>
    </xf>
    <xf numFmtId="0" fontId="6" fillId="3" borderId="33" xfId="2" applyFont="1" applyFill="1" applyBorder="1" applyAlignment="1">
      <alignment horizontal="center"/>
    </xf>
    <xf numFmtId="0" fontId="3" fillId="4" borderId="34" xfId="2" applyFont="1" applyFill="1" applyBorder="1" applyAlignment="1">
      <alignment horizontal="center"/>
    </xf>
    <xf numFmtId="164" fontId="3" fillId="2" borderId="35" xfId="2" applyNumberFormat="1" applyFont="1" applyFill="1" applyBorder="1" applyAlignment="1">
      <alignment horizontal="center"/>
    </xf>
    <xf numFmtId="165" fontId="3" fillId="3" borderId="36" xfId="2" applyNumberFormat="1" applyFont="1" applyFill="1" applyBorder="1" applyAlignment="1">
      <alignment horizontal="center"/>
    </xf>
    <xf numFmtId="164" fontId="3" fillId="3" borderId="35" xfId="2" applyNumberFormat="1" applyFont="1" applyFill="1" applyBorder="1" applyAlignment="1">
      <alignment horizontal="center"/>
    </xf>
    <xf numFmtId="2" fontId="3" fillId="3" borderId="37" xfId="2" applyNumberFormat="1" applyFont="1" applyFill="1" applyBorder="1" applyAlignment="1">
      <alignment horizontal="center"/>
    </xf>
    <xf numFmtId="2" fontId="3" fillId="3" borderId="38" xfId="2" applyNumberFormat="1" applyFont="1" applyFill="1" applyBorder="1" applyAlignment="1">
      <alignment horizontal="center"/>
    </xf>
    <xf numFmtId="2" fontId="3" fillId="3" borderId="39" xfId="2" applyNumberFormat="1" applyFont="1" applyFill="1" applyBorder="1" applyAlignment="1">
      <alignment horizontal="center"/>
    </xf>
    <xf numFmtId="164" fontId="3" fillId="3" borderId="40" xfId="2" applyNumberFormat="1" applyFont="1" applyFill="1" applyBorder="1" applyAlignment="1">
      <alignment horizontal="center"/>
    </xf>
    <xf numFmtId="164" fontId="3" fillId="2" borderId="41" xfId="2" applyNumberFormat="1" applyFont="1" applyFill="1" applyBorder="1" applyAlignment="1">
      <alignment horizontal="center"/>
    </xf>
    <xf numFmtId="164" fontId="3" fillId="2" borderId="42" xfId="2" applyNumberFormat="1" applyFont="1" applyFill="1" applyBorder="1" applyAlignment="1">
      <alignment horizontal="center"/>
    </xf>
    <xf numFmtId="164" fontId="3" fillId="0" borderId="43" xfId="0" applyNumberFormat="1" applyFont="1" applyBorder="1" applyAlignment="1">
      <alignment horizontal="center"/>
    </xf>
    <xf numFmtId="164" fontId="3" fillId="0" borderId="44" xfId="0" applyNumberFormat="1" applyFont="1" applyBorder="1" applyAlignment="1">
      <alignment horizontal="center"/>
    </xf>
    <xf numFmtId="164" fontId="7" fillId="3" borderId="45" xfId="2" applyNumberFormat="1" applyFont="1" applyFill="1" applyBorder="1" applyAlignment="1">
      <alignment horizontal="center"/>
    </xf>
    <xf numFmtId="164" fontId="3" fillId="3" borderId="44" xfId="2" applyNumberFormat="1" applyFont="1" applyFill="1" applyBorder="1" applyAlignment="1">
      <alignment horizontal="center"/>
    </xf>
    <xf numFmtId="164" fontId="3" fillId="3" borderId="46" xfId="2" applyNumberFormat="1" applyFont="1" applyFill="1" applyBorder="1" applyAlignment="1">
      <alignment horizontal="center"/>
    </xf>
    <xf numFmtId="164" fontId="3" fillId="3" borderId="47" xfId="2" applyNumberFormat="1" applyFont="1" applyFill="1" applyBorder="1" applyAlignment="1">
      <alignment horizontal="center"/>
    </xf>
    <xf numFmtId="164" fontId="3" fillId="3" borderId="48" xfId="2" applyNumberFormat="1" applyFont="1" applyFill="1" applyBorder="1" applyAlignment="1">
      <alignment horizontal="center"/>
    </xf>
    <xf numFmtId="0" fontId="3" fillId="5" borderId="34" xfId="2" applyFont="1" applyFill="1" applyBorder="1" applyAlignment="1">
      <alignment horizontal="center"/>
    </xf>
    <xf numFmtId="164" fontId="8" fillId="2" borderId="35" xfId="2" applyNumberFormat="1" applyFont="1" applyFill="1" applyBorder="1" applyAlignment="1">
      <alignment horizontal="center"/>
    </xf>
    <xf numFmtId="165" fontId="3" fillId="3" borderId="39" xfId="2" applyNumberFormat="1" applyFont="1" applyFill="1" applyBorder="1" applyAlignment="1">
      <alignment horizontal="center"/>
    </xf>
    <xf numFmtId="164" fontId="3" fillId="3" borderId="49" xfId="2" applyNumberFormat="1" applyFont="1" applyFill="1" applyBorder="1" applyAlignment="1">
      <alignment horizontal="center"/>
    </xf>
    <xf numFmtId="164" fontId="3" fillId="2" borderId="44" xfId="2" applyNumberFormat="1" applyFont="1" applyFill="1" applyBorder="1" applyAlignment="1">
      <alignment horizontal="center"/>
    </xf>
    <xf numFmtId="164" fontId="3" fillId="2" borderId="46" xfId="2" applyNumberFormat="1" applyFont="1" applyFill="1" applyBorder="1" applyAlignment="1">
      <alignment horizontal="center"/>
    </xf>
    <xf numFmtId="164" fontId="3" fillId="2" borderId="50" xfId="2" applyNumberFormat="1" applyFont="1" applyFill="1" applyBorder="1" applyAlignment="1">
      <alignment horizontal="center"/>
    </xf>
    <xf numFmtId="164" fontId="3" fillId="2" borderId="43" xfId="2" applyNumberFormat="1" applyFont="1" applyFill="1" applyBorder="1" applyAlignment="1">
      <alignment horizontal="center"/>
    </xf>
    <xf numFmtId="0" fontId="3" fillId="5" borderId="51" xfId="2" applyFont="1" applyFill="1" applyBorder="1" applyAlignment="1">
      <alignment horizontal="center"/>
    </xf>
    <xf numFmtId="164" fontId="8" fillId="2" borderId="43" xfId="2" applyNumberFormat="1" applyFont="1" applyFill="1" applyBorder="1" applyAlignment="1">
      <alignment horizontal="center"/>
    </xf>
    <xf numFmtId="164" fontId="8" fillId="2" borderId="44" xfId="2" applyNumberFormat="1" applyFont="1" applyFill="1" applyBorder="1" applyAlignment="1">
      <alignment horizontal="center"/>
    </xf>
    <xf numFmtId="164" fontId="8" fillId="2" borderId="46" xfId="2" applyNumberFormat="1" applyFont="1" applyFill="1" applyBorder="1" applyAlignment="1">
      <alignment horizontal="center"/>
    </xf>
    <xf numFmtId="164" fontId="8" fillId="0" borderId="43" xfId="0" applyNumberFormat="1" applyFont="1" applyBorder="1" applyAlignment="1">
      <alignment horizontal="center"/>
    </xf>
    <xf numFmtId="164" fontId="8" fillId="0" borderId="44" xfId="0" applyNumberFormat="1" applyFont="1" applyBorder="1" applyAlignment="1">
      <alignment horizontal="center"/>
    </xf>
    <xf numFmtId="164" fontId="8" fillId="3" borderId="46" xfId="2" applyNumberFormat="1" applyFont="1" applyFill="1" applyBorder="1" applyAlignment="1">
      <alignment horizontal="center"/>
    </xf>
    <xf numFmtId="164" fontId="3" fillId="2" borderId="52" xfId="2" applyNumberFormat="1" applyFont="1" applyFill="1" applyBorder="1" applyAlignment="1">
      <alignment horizontal="center"/>
    </xf>
    <xf numFmtId="164" fontId="3" fillId="2" borderId="53" xfId="2" applyNumberFormat="1" applyFont="1" applyFill="1" applyBorder="1" applyAlignment="1">
      <alignment horizontal="center"/>
    </xf>
    <xf numFmtId="0" fontId="3" fillId="6" borderId="51" xfId="2" applyFont="1" applyFill="1" applyBorder="1" applyAlignment="1">
      <alignment horizontal="center"/>
    </xf>
    <xf numFmtId="0" fontId="3" fillId="4" borderId="51" xfId="2" applyFont="1" applyFill="1" applyBorder="1" applyAlignment="1">
      <alignment horizontal="center"/>
    </xf>
    <xf numFmtId="0" fontId="3" fillId="3" borderId="51" xfId="2" applyFont="1" applyFill="1" applyBorder="1" applyAlignment="1">
      <alignment horizontal="center"/>
    </xf>
    <xf numFmtId="0" fontId="3" fillId="3" borderId="54" xfId="2" applyFont="1" applyFill="1" applyBorder="1" applyAlignment="1">
      <alignment horizontal="center"/>
    </xf>
    <xf numFmtId="164" fontId="3" fillId="2" borderId="55" xfId="2" applyNumberFormat="1" applyFont="1" applyFill="1" applyBorder="1" applyAlignment="1">
      <alignment horizontal="center"/>
    </xf>
    <xf numFmtId="165" fontId="3" fillId="3" borderId="55" xfId="2" applyNumberFormat="1" applyFont="1" applyFill="1" applyBorder="1" applyAlignment="1">
      <alignment horizontal="center"/>
    </xf>
    <xf numFmtId="164" fontId="3" fillId="3" borderId="55" xfId="2" applyNumberFormat="1" applyFont="1" applyFill="1" applyBorder="1" applyAlignment="1">
      <alignment horizontal="center"/>
    </xf>
    <xf numFmtId="2" fontId="3" fillId="3" borderId="56" xfId="2" applyNumberFormat="1" applyFont="1" applyFill="1" applyBorder="1" applyAlignment="1">
      <alignment horizontal="center"/>
    </xf>
    <xf numFmtId="2" fontId="3" fillId="3" borderId="57" xfId="2" applyNumberFormat="1" applyFont="1" applyFill="1" applyBorder="1" applyAlignment="1">
      <alignment horizontal="center"/>
    </xf>
    <xf numFmtId="2" fontId="3" fillId="3" borderId="55" xfId="2" applyNumberFormat="1" applyFont="1" applyFill="1" applyBorder="1" applyAlignment="1">
      <alignment horizontal="center"/>
    </xf>
    <xf numFmtId="164" fontId="3" fillId="3" borderId="58" xfId="2" applyNumberFormat="1" applyFont="1" applyFill="1" applyBorder="1" applyAlignment="1">
      <alignment horizontal="center"/>
    </xf>
    <xf numFmtId="164" fontId="3" fillId="2" borderId="59" xfId="2" applyNumberFormat="1" applyFont="1" applyFill="1" applyBorder="1" applyAlignment="1">
      <alignment horizontal="center"/>
    </xf>
    <xf numFmtId="164" fontId="3" fillId="2" borderId="60" xfId="2" applyNumberFormat="1" applyFont="1" applyFill="1" applyBorder="1" applyAlignment="1">
      <alignment horizontal="center"/>
    </xf>
    <xf numFmtId="164" fontId="3" fillId="0" borderId="59" xfId="0" applyNumberFormat="1" applyFont="1" applyBorder="1" applyAlignment="1">
      <alignment horizontal="center"/>
    </xf>
    <xf numFmtId="164" fontId="3" fillId="0" borderId="55" xfId="0" applyNumberFormat="1" applyFont="1" applyBorder="1" applyAlignment="1">
      <alignment horizontal="center"/>
    </xf>
    <xf numFmtId="164" fontId="7" fillId="3" borderId="61" xfId="2" applyNumberFormat="1" applyFont="1" applyFill="1" applyBorder="1" applyAlignment="1">
      <alignment horizontal="center"/>
    </xf>
    <xf numFmtId="164" fontId="3" fillId="3" borderId="60" xfId="2" applyNumberFormat="1" applyFont="1" applyFill="1" applyBorder="1" applyAlignment="1">
      <alignment horizontal="center"/>
    </xf>
    <xf numFmtId="164" fontId="3" fillId="3" borderId="62" xfId="2" applyNumberFormat="1" applyFont="1" applyFill="1" applyBorder="1" applyAlignment="1">
      <alignment horizontal="center"/>
    </xf>
    <xf numFmtId="164" fontId="3" fillId="3" borderId="63" xfId="2" applyNumberFormat="1" applyFont="1" applyFill="1" applyBorder="1" applyAlignment="1">
      <alignment horizontal="center"/>
    </xf>
    <xf numFmtId="0" fontId="3" fillId="3" borderId="0" xfId="2" applyFont="1" applyFill="1"/>
    <xf numFmtId="164" fontId="3" fillId="3" borderId="0" xfId="2" applyNumberFormat="1" applyFont="1" applyFill="1" applyAlignment="1">
      <alignment horizontal="center"/>
    </xf>
    <xf numFmtId="164" fontId="3" fillId="3" borderId="3" xfId="2" applyNumberFormat="1" applyFont="1" applyFill="1" applyBorder="1" applyAlignment="1">
      <alignment horizontal="center"/>
    </xf>
    <xf numFmtId="164" fontId="7" fillId="3" borderId="3" xfId="2" applyNumberFormat="1" applyFont="1" applyFill="1" applyBorder="1" applyAlignment="1">
      <alignment horizontal="center"/>
    </xf>
    <xf numFmtId="0" fontId="3" fillId="0" borderId="0" xfId="2" applyFont="1"/>
    <xf numFmtId="0" fontId="4" fillId="0" borderId="0" xfId="2" applyFont="1"/>
    <xf numFmtId="0" fontId="10" fillId="3" borderId="0" xfId="2" applyFont="1" applyFill="1"/>
    <xf numFmtId="0" fontId="0" fillId="3" borderId="0" xfId="2" applyFont="1" applyFill="1"/>
    <xf numFmtId="0" fontId="6" fillId="3" borderId="64" xfId="2" applyFont="1" applyFill="1" applyBorder="1" applyAlignment="1">
      <alignment horizontal="center"/>
    </xf>
    <xf numFmtId="0" fontId="3" fillId="3" borderId="34" xfId="2" applyFont="1" applyFill="1" applyBorder="1" applyAlignment="1">
      <alignment horizontal="center"/>
    </xf>
    <xf numFmtId="164" fontId="3" fillId="2" borderId="65" xfId="2" applyNumberFormat="1" applyFont="1" applyFill="1" applyBorder="1" applyAlignment="1">
      <alignment horizontal="center"/>
    </xf>
    <xf numFmtId="164" fontId="7" fillId="2" borderId="44" xfId="0" applyNumberFormat="1" applyFont="1" applyFill="1" applyBorder="1" applyAlignment="1">
      <alignment horizontal="center"/>
    </xf>
    <xf numFmtId="164" fontId="7" fillId="2" borderId="42" xfId="0" applyNumberFormat="1" applyFont="1" applyFill="1" applyBorder="1" applyAlignment="1">
      <alignment horizontal="center"/>
    </xf>
    <xf numFmtId="164" fontId="7" fillId="2" borderId="43" xfId="0" applyNumberFormat="1" applyFont="1" applyFill="1" applyBorder="1" applyAlignment="1">
      <alignment horizontal="center"/>
    </xf>
    <xf numFmtId="164" fontId="7" fillId="3" borderId="35" xfId="2" applyNumberFormat="1" applyFont="1" applyFill="1" applyBorder="1" applyAlignment="1">
      <alignment horizontal="center"/>
    </xf>
    <xf numFmtId="164" fontId="3" fillId="3" borderId="39" xfId="2" applyNumberFormat="1" applyFont="1" applyFill="1" applyBorder="1" applyAlignment="1">
      <alignment horizontal="center"/>
    </xf>
    <xf numFmtId="164" fontId="3" fillId="3" borderId="66" xfId="2" applyNumberFormat="1" applyFont="1" applyFill="1" applyBorder="1" applyAlignment="1">
      <alignment horizontal="center"/>
    </xf>
    <xf numFmtId="165" fontId="3" fillId="3" borderId="44" xfId="2" applyNumberFormat="1" applyFont="1" applyFill="1" applyBorder="1" applyAlignment="1">
      <alignment horizontal="center"/>
    </xf>
    <xf numFmtId="164" fontId="7" fillId="2" borderId="46" xfId="0" applyNumberFormat="1" applyFont="1" applyFill="1" applyBorder="1" applyAlignment="1">
      <alignment horizontal="center"/>
    </xf>
    <xf numFmtId="0" fontId="3" fillId="5" borderId="54" xfId="2" applyFont="1" applyFill="1" applyBorder="1" applyAlignment="1">
      <alignment horizontal="center"/>
    </xf>
    <xf numFmtId="2" fontId="3" fillId="3" borderId="59" xfId="2" applyNumberFormat="1" applyFont="1" applyFill="1" applyBorder="1" applyAlignment="1">
      <alignment horizontal="center"/>
    </xf>
    <xf numFmtId="164" fontId="7" fillId="3" borderId="67" xfId="2" applyNumberFormat="1" applyFont="1" applyFill="1" applyBorder="1" applyAlignment="1">
      <alignment horizontal="center"/>
    </xf>
    <xf numFmtId="164" fontId="3" fillId="3" borderId="9" xfId="2" applyNumberFormat="1" applyFont="1" applyFill="1" applyBorder="1" applyAlignment="1">
      <alignment horizontal="center"/>
    </xf>
    <xf numFmtId="164" fontId="3" fillId="3" borderId="50" xfId="2" applyNumberFormat="1" applyFont="1" applyFill="1" applyBorder="1" applyAlignment="1">
      <alignment horizontal="center"/>
    </xf>
    <xf numFmtId="164" fontId="3" fillId="3" borderId="68" xfId="2" applyNumberFormat="1" applyFont="1" applyFill="1" applyBorder="1" applyAlignment="1">
      <alignment horizontal="center"/>
    </xf>
    <xf numFmtId="164" fontId="3" fillId="3" borderId="69" xfId="2" applyNumberFormat="1" applyFont="1" applyFill="1" applyBorder="1" applyAlignment="1">
      <alignment horizontal="center"/>
    </xf>
    <xf numFmtId="164" fontId="7" fillId="3" borderId="70" xfId="2" applyNumberFormat="1" applyFont="1" applyFill="1" applyBorder="1" applyAlignment="1">
      <alignment horizontal="center"/>
    </xf>
    <xf numFmtId="164" fontId="3" fillId="3" borderId="70" xfId="2" applyNumberFormat="1" applyFont="1" applyFill="1" applyBorder="1" applyAlignment="1">
      <alignment horizontal="center"/>
    </xf>
    <xf numFmtId="9" fontId="1" fillId="5" borderId="23" xfId="1" applyFont="1" applyFill="1" applyBorder="1" applyAlignment="1">
      <alignment horizontal="center" vertical="top" wrapText="1"/>
    </xf>
    <xf numFmtId="164" fontId="8" fillId="2" borderId="44" xfId="0" applyNumberFormat="1" applyFont="1" applyFill="1" applyBorder="1" applyAlignment="1">
      <alignment horizontal="center"/>
    </xf>
    <xf numFmtId="164" fontId="3" fillId="2" borderId="44" xfId="0" applyNumberFormat="1" applyFont="1" applyFill="1" applyBorder="1" applyAlignment="1">
      <alignment horizontal="center"/>
    </xf>
    <xf numFmtId="164" fontId="3" fillId="2" borderId="42" xfId="0" applyNumberFormat="1" applyFont="1" applyFill="1" applyBorder="1" applyAlignment="1">
      <alignment horizontal="center"/>
    </xf>
    <xf numFmtId="164" fontId="3" fillId="2" borderId="43" xfId="0" applyNumberFormat="1" applyFont="1" applyFill="1" applyBorder="1" applyAlignment="1">
      <alignment horizontal="center"/>
    </xf>
    <xf numFmtId="164" fontId="3" fillId="2" borderId="71" xfId="2" applyNumberFormat="1" applyFont="1" applyFill="1" applyBorder="1" applyAlignment="1">
      <alignment horizontal="center"/>
    </xf>
    <xf numFmtId="164" fontId="3" fillId="2" borderId="46" xfId="0" applyNumberFormat="1" applyFont="1" applyFill="1" applyBorder="1" applyAlignment="1">
      <alignment horizontal="center"/>
    </xf>
    <xf numFmtId="164" fontId="11" fillId="2" borderId="43" xfId="0" applyNumberFormat="1" applyFont="1" applyFill="1" applyBorder="1" applyAlignment="1">
      <alignment horizontal="center"/>
    </xf>
    <xf numFmtId="164" fontId="11" fillId="2" borderId="44" xfId="0" applyNumberFormat="1" applyFont="1" applyFill="1" applyBorder="1" applyAlignment="1">
      <alignment horizontal="center"/>
    </xf>
    <xf numFmtId="164" fontId="11" fillId="2" borderId="46" xfId="0" applyNumberFormat="1" applyFont="1" applyFill="1" applyBorder="1" applyAlignment="1">
      <alignment horizontal="center"/>
    </xf>
    <xf numFmtId="164" fontId="3" fillId="2" borderId="44" xfId="0" quotePrefix="1" applyNumberFormat="1" applyFont="1" applyFill="1" applyBorder="1" applyAlignment="1">
      <alignment horizontal="center"/>
    </xf>
    <xf numFmtId="164" fontId="3" fillId="2" borderId="53" xfId="0" applyNumberFormat="1" applyFont="1" applyFill="1" applyBorder="1" applyAlignment="1">
      <alignment horizontal="center"/>
    </xf>
    <xf numFmtId="164" fontId="3" fillId="2" borderId="52" xfId="0" applyNumberFormat="1" applyFont="1" applyFill="1" applyBorder="1" applyAlignment="1">
      <alignment horizontal="center"/>
    </xf>
    <xf numFmtId="164" fontId="3" fillId="2" borderId="50" xfId="0" applyNumberFormat="1" applyFont="1" applyFill="1" applyBorder="1" applyAlignment="1">
      <alignment horizontal="center"/>
    </xf>
    <xf numFmtId="164" fontId="3" fillId="2" borderId="72" xfId="2" applyNumberFormat="1" applyFont="1" applyFill="1" applyBorder="1" applyAlignment="1">
      <alignment horizontal="center"/>
    </xf>
    <xf numFmtId="164" fontId="3" fillId="2" borderId="59" xfId="0" applyNumberFormat="1" applyFont="1" applyFill="1" applyBorder="1" applyAlignment="1">
      <alignment horizontal="center"/>
    </xf>
    <xf numFmtId="164" fontId="3" fillId="2" borderId="55" xfId="0" applyNumberFormat="1" applyFont="1" applyFill="1" applyBorder="1" applyAlignment="1">
      <alignment horizontal="center"/>
    </xf>
    <xf numFmtId="164" fontId="3" fillId="2" borderId="60" xfId="0" applyNumberFormat="1" applyFont="1" applyFill="1" applyBorder="1" applyAlignment="1">
      <alignment horizontal="center"/>
    </xf>
    <xf numFmtId="0" fontId="12" fillId="3" borderId="0" xfId="2" applyFont="1" applyFill="1"/>
    <xf numFmtId="0" fontId="12" fillId="5" borderId="0" xfId="2" applyFont="1" applyFill="1"/>
    <xf numFmtId="0" fontId="13" fillId="3" borderId="0" xfId="2" applyFont="1" applyFill="1"/>
    <xf numFmtId="164" fontId="3" fillId="2" borderId="36" xfId="2" applyNumberFormat="1" applyFont="1" applyFill="1" applyBorder="1" applyAlignment="1">
      <alignment horizontal="center"/>
    </xf>
    <xf numFmtId="164" fontId="8" fillId="2" borderId="52" xfId="2" applyNumberFormat="1" applyFont="1" applyFill="1" applyBorder="1" applyAlignment="1">
      <alignment horizontal="center"/>
    </xf>
    <xf numFmtId="164" fontId="8" fillId="2" borderId="50" xfId="2" applyNumberFormat="1" applyFont="1" applyFill="1" applyBorder="1" applyAlignment="1">
      <alignment horizontal="center"/>
    </xf>
    <xf numFmtId="164" fontId="3" fillId="7" borderId="52" xfId="2" applyNumberFormat="1" applyFont="1" applyFill="1" applyBorder="1" applyAlignment="1">
      <alignment horizontal="center"/>
    </xf>
    <xf numFmtId="164" fontId="3" fillId="3" borderId="73" xfId="2" applyNumberFormat="1" applyFont="1" applyFill="1" applyBorder="1" applyAlignment="1">
      <alignment horizontal="center"/>
    </xf>
    <xf numFmtId="164" fontId="3" fillId="3" borderId="74" xfId="2" applyNumberFormat="1" applyFont="1" applyFill="1" applyBorder="1" applyAlignment="1">
      <alignment horizontal="center"/>
    </xf>
    <xf numFmtId="0" fontId="1" fillId="3" borderId="0" xfId="2" applyFont="1" applyFill="1"/>
    <xf numFmtId="0" fontId="1" fillId="3" borderId="16" xfId="2" applyFill="1" applyBorder="1"/>
    <xf numFmtId="0" fontId="3" fillId="3" borderId="16" xfId="2" applyFont="1" applyFill="1" applyBorder="1" applyAlignment="1">
      <alignment horizontal="center"/>
    </xf>
    <xf numFmtId="0" fontId="1" fillId="0" borderId="0" xfId="2" applyBorder="1"/>
    <xf numFmtId="0" fontId="11" fillId="3" borderId="51" xfId="2" applyFont="1" applyFill="1" applyBorder="1" applyAlignment="1">
      <alignment horizontal="center"/>
    </xf>
    <xf numFmtId="0" fontId="6" fillId="3" borderId="30" xfId="2" applyFont="1" applyFill="1" applyBorder="1" applyAlignment="1">
      <alignment horizontal="center"/>
    </xf>
    <xf numFmtId="0" fontId="14" fillId="2" borderId="65" xfId="2" applyFont="1" applyFill="1" applyBorder="1" applyAlignment="1">
      <alignment horizontal="center"/>
    </xf>
    <xf numFmtId="164" fontId="3" fillId="2" borderId="75" xfId="2" applyNumberFormat="1" applyFont="1" applyFill="1" applyBorder="1" applyAlignment="1">
      <alignment horizontal="center"/>
    </xf>
    <xf numFmtId="164" fontId="3" fillId="2" borderId="66" xfId="2" applyNumberFormat="1" applyFont="1" applyFill="1" applyBorder="1" applyAlignment="1">
      <alignment horizontal="center"/>
    </xf>
    <xf numFmtId="0" fontId="14" fillId="2" borderId="76" xfId="2" applyFont="1" applyFill="1" applyBorder="1" applyAlignment="1">
      <alignment horizontal="center"/>
    </xf>
    <xf numFmtId="0" fontId="14" fillId="2" borderId="77" xfId="2" applyFont="1" applyFill="1" applyBorder="1" applyAlignment="1">
      <alignment horizontal="center"/>
    </xf>
    <xf numFmtId="164" fontId="11" fillId="2" borderId="44" xfId="2" applyNumberFormat="1" applyFont="1" applyFill="1" applyBorder="1" applyAlignment="1">
      <alignment horizontal="center"/>
    </xf>
    <xf numFmtId="164" fontId="7" fillId="8" borderId="55" xfId="2" applyNumberFormat="1" applyFont="1" applyFill="1" applyBorder="1" applyAlignment="1">
      <alignment horizontal="center"/>
    </xf>
    <xf numFmtId="164" fontId="3" fillId="3" borderId="38" xfId="2" applyNumberFormat="1" applyFont="1" applyFill="1" applyBorder="1" applyAlignment="1">
      <alignment horizontal="center"/>
    </xf>
    <xf numFmtId="164" fontId="3" fillId="3" borderId="78" xfId="2" applyNumberFormat="1" applyFont="1" applyFill="1" applyBorder="1" applyAlignment="1">
      <alignment horizontal="center"/>
    </xf>
    <xf numFmtId="0" fontId="4" fillId="3" borderId="0" xfId="2" applyFont="1" applyFill="1" applyAlignment="1">
      <alignment horizontal="left"/>
    </xf>
    <xf numFmtId="0" fontId="8" fillId="3" borderId="0" xfId="2" applyFont="1" applyFill="1" applyAlignment="1">
      <alignment horizontal="center"/>
    </xf>
    <xf numFmtId="0" fontId="15" fillId="3" borderId="0" xfId="2" applyFont="1" applyFill="1"/>
    <xf numFmtId="0" fontId="6" fillId="3" borderId="79" xfId="2" applyFont="1" applyFill="1" applyBorder="1" applyAlignment="1">
      <alignment horizontal="center"/>
    </xf>
    <xf numFmtId="0" fontId="6" fillId="3" borderId="80" xfId="2" applyFont="1" applyFill="1" applyBorder="1" applyAlignment="1">
      <alignment horizontal="center"/>
    </xf>
    <xf numFmtId="164" fontId="3" fillId="2" borderId="31" xfId="2" applyNumberFormat="1" applyFont="1" applyFill="1" applyBorder="1" applyAlignment="1">
      <alignment horizontal="center"/>
    </xf>
    <xf numFmtId="164" fontId="3" fillId="2" borderId="8" xfId="2" applyNumberFormat="1" applyFont="1" applyFill="1" applyBorder="1" applyAlignment="1">
      <alignment horizontal="center"/>
    </xf>
    <xf numFmtId="164" fontId="3" fillId="2" borderId="81" xfId="2" applyNumberFormat="1" applyFont="1" applyFill="1" applyBorder="1" applyAlignment="1">
      <alignment horizontal="center"/>
    </xf>
    <xf numFmtId="164" fontId="11" fillId="2" borderId="35" xfId="2" applyNumberFormat="1" applyFont="1" applyFill="1" applyBorder="1" applyAlignment="1">
      <alignment horizontal="center"/>
    </xf>
    <xf numFmtId="164" fontId="11" fillId="2" borderId="43" xfId="2" applyNumberFormat="1" applyFont="1" applyFill="1" applyBorder="1" applyAlignment="1">
      <alignment horizontal="center"/>
    </xf>
    <xf numFmtId="164" fontId="11" fillId="2" borderId="82" xfId="2" applyNumberFormat="1" applyFont="1" applyFill="1" applyBorder="1" applyAlignment="1">
      <alignment horizontal="center"/>
    </xf>
    <xf numFmtId="164" fontId="11" fillId="2" borderId="45" xfId="2" applyNumberFormat="1" applyFont="1" applyFill="1" applyBorder="1" applyAlignment="1">
      <alignment horizontal="center"/>
    </xf>
    <xf numFmtId="164" fontId="11" fillId="2" borderId="53" xfId="2" applyNumberFormat="1" applyFont="1" applyFill="1" applyBorder="1" applyAlignment="1">
      <alignment horizontal="center"/>
    </xf>
    <xf numFmtId="164" fontId="3" fillId="2" borderId="82" xfId="2" applyNumberFormat="1" applyFont="1" applyFill="1" applyBorder="1" applyAlignment="1">
      <alignment horizontal="center"/>
    </xf>
    <xf numFmtId="164" fontId="3" fillId="2" borderId="45" xfId="2" applyNumberFormat="1" applyFont="1" applyFill="1" applyBorder="1" applyAlignment="1">
      <alignment horizontal="center"/>
    </xf>
    <xf numFmtId="164" fontId="3" fillId="2" borderId="83" xfId="2" applyNumberFormat="1" applyFont="1" applyFill="1" applyBorder="1" applyAlignment="1">
      <alignment horizontal="center"/>
    </xf>
    <xf numFmtId="164" fontId="3" fillId="2" borderId="84" xfId="2" applyNumberFormat="1" applyFont="1" applyFill="1" applyBorder="1" applyAlignment="1">
      <alignment horizontal="center"/>
    </xf>
    <xf numFmtId="164" fontId="11" fillId="2" borderId="52" xfId="2" applyNumberFormat="1" applyFont="1" applyFill="1" applyBorder="1" applyAlignment="1">
      <alignment horizontal="center"/>
    </xf>
    <xf numFmtId="164" fontId="11" fillId="2" borderId="83" xfId="2" applyNumberFormat="1" applyFont="1" applyFill="1" applyBorder="1" applyAlignment="1">
      <alignment horizontal="center"/>
    </xf>
    <xf numFmtId="164" fontId="11" fillId="2" borderId="84" xfId="2" applyNumberFormat="1" applyFont="1" applyFill="1" applyBorder="1" applyAlignment="1">
      <alignment horizontal="center"/>
    </xf>
    <xf numFmtId="0" fontId="14" fillId="2" borderId="72" xfId="2" applyFont="1" applyFill="1" applyBorder="1" applyAlignment="1">
      <alignment horizontal="center"/>
    </xf>
    <xf numFmtId="164" fontId="3" fillId="2" borderId="57" xfId="2" applyNumberFormat="1" applyFont="1" applyFill="1" applyBorder="1" applyAlignment="1">
      <alignment horizontal="center"/>
    </xf>
    <xf numFmtId="164" fontId="3" fillId="2" borderId="61" xfId="2" applyNumberFormat="1" applyFont="1" applyFill="1" applyBorder="1" applyAlignment="1">
      <alignment horizontal="center"/>
    </xf>
    <xf numFmtId="0" fontId="16" fillId="3" borderId="0" xfId="2" applyFont="1" applyFill="1"/>
    <xf numFmtId="164" fontId="3" fillId="3" borderId="36" xfId="2" applyNumberFormat="1" applyFont="1" applyFill="1" applyBorder="1" applyAlignment="1">
      <alignment horizontal="center"/>
    </xf>
    <xf numFmtId="164" fontId="3" fillId="3" borderId="85" xfId="2" applyNumberFormat="1" applyFont="1" applyFill="1" applyBorder="1" applyAlignment="1">
      <alignment horizontal="center"/>
    </xf>
    <xf numFmtId="164" fontId="3" fillId="3" borderId="86" xfId="2" applyNumberFormat="1" applyFont="1" applyFill="1" applyBorder="1" applyAlignment="1">
      <alignment horizontal="center"/>
    </xf>
    <xf numFmtId="0" fontId="3" fillId="9" borderId="77" xfId="2" applyFont="1" applyFill="1" applyBorder="1" applyAlignment="1">
      <alignment horizontal="center"/>
    </xf>
    <xf numFmtId="0" fontId="3" fillId="9" borderId="71" xfId="2" applyFont="1" applyFill="1" applyBorder="1" applyAlignment="1">
      <alignment horizontal="center"/>
    </xf>
    <xf numFmtId="164" fontId="3" fillId="2" borderId="87" xfId="2" applyNumberFormat="1" applyFont="1" applyFill="1" applyBorder="1" applyAlignment="1">
      <alignment horizontal="center"/>
    </xf>
    <xf numFmtId="164" fontId="3" fillId="3" borderId="67" xfId="2" applyNumberFormat="1" applyFont="1" applyFill="1" applyBorder="1" applyAlignment="1">
      <alignment horizontal="center"/>
    </xf>
    <xf numFmtId="0" fontId="3" fillId="3" borderId="0" xfId="2" applyFont="1" applyFill="1" applyBorder="1"/>
    <xf numFmtId="164" fontId="7" fillId="8" borderId="42" xfId="2" applyNumberFormat="1" applyFont="1" applyFill="1" applyBorder="1" applyAlignment="1">
      <alignment horizontal="center"/>
    </xf>
    <xf numFmtId="164" fontId="7" fillId="8" borderId="86" xfId="2" applyNumberFormat="1" applyFont="1" applyFill="1" applyBorder="1" applyAlignment="1">
      <alignment horizontal="center"/>
    </xf>
    <xf numFmtId="164" fontId="7" fillId="8" borderId="88" xfId="2" applyNumberFormat="1" applyFont="1" applyFill="1" applyBorder="1" applyAlignment="1">
      <alignment horizontal="center"/>
    </xf>
    <xf numFmtId="164" fontId="3" fillId="3" borderId="89" xfId="2" applyNumberFormat="1" applyFont="1" applyFill="1" applyBorder="1" applyAlignment="1">
      <alignment horizontal="center"/>
    </xf>
    <xf numFmtId="0" fontId="2" fillId="3" borderId="0" xfId="2" applyFont="1" applyFill="1" applyAlignment="1">
      <alignment horizontal="center"/>
    </xf>
    <xf numFmtId="164" fontId="3" fillId="8" borderId="42" xfId="2" applyNumberFormat="1" applyFont="1" applyFill="1" applyBorder="1" applyAlignment="1">
      <alignment horizontal="center"/>
    </xf>
    <xf numFmtId="164" fontId="3" fillId="3" borderId="13" xfId="2" applyNumberFormat="1" applyFont="1" applyFill="1" applyBorder="1" applyAlignment="1">
      <alignment horizontal="center"/>
    </xf>
    <xf numFmtId="164" fontId="3" fillId="8" borderId="86" xfId="2" applyNumberFormat="1" applyFont="1" applyFill="1" applyBorder="1" applyAlignment="1">
      <alignment horizontal="center"/>
    </xf>
    <xf numFmtId="164" fontId="3" fillId="3" borderId="90" xfId="2" applyNumberFormat="1" applyFont="1" applyFill="1" applyBorder="1" applyAlignment="1">
      <alignment horizontal="center"/>
    </xf>
    <xf numFmtId="164" fontId="3" fillId="8" borderId="88" xfId="2" applyNumberFormat="1" applyFont="1" applyFill="1" applyBorder="1" applyAlignment="1">
      <alignment horizontal="center"/>
    </xf>
    <xf numFmtId="164" fontId="3" fillId="3" borderId="91" xfId="2" applyNumberFormat="1" applyFont="1" applyFill="1" applyBorder="1" applyAlignment="1">
      <alignment horizontal="center"/>
    </xf>
    <xf numFmtId="0" fontId="5" fillId="3" borderId="0" xfId="2" applyFont="1" applyFill="1"/>
    <xf numFmtId="0" fontId="17" fillId="3" borderId="0" xfId="2" applyFont="1" applyFill="1" applyAlignment="1">
      <alignment horizontal="center"/>
    </xf>
    <xf numFmtId="0" fontId="18" fillId="3" borderId="0" xfId="2" applyFont="1" applyFill="1" applyAlignment="1">
      <alignment horizontal="left"/>
    </xf>
    <xf numFmtId="164" fontId="3" fillId="3" borderId="92" xfId="2" applyNumberFormat="1" applyFont="1" applyFill="1" applyBorder="1" applyAlignment="1">
      <alignment horizontal="center"/>
    </xf>
    <xf numFmtId="164" fontId="1" fillId="0" borderId="0" xfId="2" applyNumberFormat="1"/>
    <xf numFmtId="164" fontId="3" fillId="3" borderId="93" xfId="2" applyNumberFormat="1" applyFont="1" applyFill="1" applyBorder="1" applyAlignment="1">
      <alignment horizontal="center"/>
    </xf>
    <xf numFmtId="9" fontId="0" fillId="0" borderId="0" xfId="1" applyFont="1"/>
  </cellXfs>
  <cellStyles count="3">
    <cellStyle name="Normal" xfId="0" builtinId="0"/>
    <cellStyle name="Normal_01f1998a" xfId="2"/>
    <cellStyle name="Porcentagem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Solar/so2023b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janeiro"/>
      <sheetName val="fevereiro"/>
      <sheetName val="marco"/>
      <sheetName val="abril"/>
      <sheetName val="maio"/>
      <sheetName val="junho"/>
      <sheetName val="julho"/>
      <sheetName val="agosto"/>
      <sheetName val="setembro"/>
      <sheetName val="outubro"/>
      <sheetName val="novembro"/>
      <sheetName val="dezembro"/>
      <sheetName val="irradiação solar - ano"/>
      <sheetName val="transmissão global - ano"/>
      <sheetName val="duração do brilho - ano"/>
      <sheetName val="insolação relativa - ano"/>
      <sheetName val="cálculos teóricos"/>
      <sheetName val="figura 1"/>
      <sheetName val="figura 2"/>
      <sheetName val="figura 3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3">
          <cell r="I3">
            <v>13.432646455605028</v>
          </cell>
          <cell r="K3">
            <v>1.0433095476903587</v>
          </cell>
          <cell r="T3">
            <v>42.972554729067994</v>
          </cell>
        </row>
        <row r="4">
          <cell r="I4">
            <v>13.427083464038553</v>
          </cell>
          <cell r="K4">
            <v>1.0432689705391567</v>
          </cell>
          <cell r="T4">
            <v>42.957348831388643</v>
          </cell>
        </row>
        <row r="5">
          <cell r="I5">
            <v>13.420993894192648</v>
          </cell>
          <cell r="K5">
            <v>1.0432240147113081</v>
          </cell>
          <cell r="T5">
            <v>42.94007223550922</v>
          </cell>
        </row>
        <row r="6">
          <cell r="I6">
            <v>13.414382772748056</v>
          </cell>
          <cell r="K6">
            <v>1.0431745699304664</v>
          </cell>
          <cell r="T6">
            <v>42.920712814194886</v>
          </cell>
        </row>
        <row r="7">
          <cell r="I7">
            <v>13.40725552892793</v>
          </cell>
          <cell r="K7">
            <v>1.0431205173832472</v>
          </cell>
          <cell r="T7">
            <v>42.899257802114548</v>
          </cell>
        </row>
        <row r="8">
          <cell r="I8">
            <v>13.399617979654318</v>
          </cell>
          <cell r="K8">
            <v>1.0430617300197544</v>
          </cell>
          <cell r="T8">
            <v>42.875693838404729</v>
          </cell>
        </row>
        <row r="9">
          <cell r="I9">
            <v>13.391476313835456</v>
          </cell>
          <cell r="K9">
            <v>1.0429980728749551</v>
          </cell>
          <cell r="T9">
            <v>42.850007012169783</v>
          </cell>
        </row>
        <row r="10">
          <cell r="I10">
            <v>13.382837075865469</v>
          </cell>
          <cell r="K10">
            <v>1.0429294034098502</v>
          </cell>
          <cell r="T10">
            <v>42.822182910782871</v>
          </cell>
        </row>
        <row r="11">
          <cell r="I11">
            <v>13.373707148420571</v>
          </cell>
          <cell r="K11">
            <v>1.0428555718713279</v>
          </cell>
          <cell r="T11">
            <v>42.792206670842504</v>
          </cell>
        </row>
        <row r="12">
          <cell r="I12">
            <v>13.364093734637674</v>
          </cell>
          <cell r="K12">
            <v>1.0427764216695341</v>
          </cell>
          <cell r="T12">
            <v>42.760063031628945</v>
          </cell>
        </row>
        <row r="13">
          <cell r="I13">
            <v>13.354004339762858</v>
          </cell>
          <cell r="K13">
            <v>1.0426917897715424</v>
          </cell>
          <cell r="T13">
            <v>42.72573639089709</v>
          </cell>
        </row>
        <row r="14">
          <cell r="I14">
            <v>13.343446752357368</v>
          </cell>
          <cell r="K14">
            <v>1.0426015071100707</v>
          </cell>
          <cell r="T14">
            <v>42.689210862833292</v>
          </cell>
        </row>
        <row r="15">
          <cell r="I15">
            <v>13.332429025149247</v>
          </cell>
          <cell r="K15">
            <v>1.0425053990059436</v>
          </cell>
          <cell r="T15">
            <v>42.6504703379955</v>
          </cell>
        </row>
        <row r="16">
          <cell r="I16">
            <v>13.32095945561748</v>
          </cell>
          <cell r="K16">
            <v>1.0424032856029817</v>
          </cell>
          <cell r="T16">
            <v>42.609498545049341</v>
          </cell>
        </row>
        <row r="17">
          <cell r="I17">
            <v>13.309046566394962</v>
          </cell>
          <cell r="K17">
            <v>1.0422949823139649</v>
          </cell>
          <cell r="T17">
            <v>42.566279114105868</v>
          </cell>
        </row>
        <row r="18">
          <cell r="I18">
            <v>13.296699085574138</v>
          </cell>
          <cell r="K18">
            <v>1.0421803002763004</v>
          </cell>
          <cell r="T18">
            <v>42.520795641460737</v>
          </cell>
        </row>
        <row r="19">
          <cell r="I19">
            <v>13.283925926997437</v>
          </cell>
          <cell r="K19">
            <v>1.0420590468160129</v>
          </cell>
          <cell r="T19">
            <v>42.473031755529334</v>
          </cell>
        </row>
        <row r="20">
          <cell r="I20">
            <v>13.270736170611478</v>
          </cell>
          <cell r="K20">
            <v>1.0419310259186705</v>
          </cell>
          <cell r="T20">
            <v>42.422971183768496</v>
          </cell>
        </row>
        <row r="21">
          <cell r="I21">
            <v>13.257139042960983</v>
          </cell>
          <cell r="K21">
            <v>1.0417960387058549</v>
          </cell>
          <cell r="T21">
            <v>42.370597820371522</v>
          </cell>
        </row>
        <row r="22">
          <cell r="I22">
            <v>13.243143897894775</v>
          </cell>
          <cell r="K22">
            <v>1.0416538839157914</v>
          </cell>
          <cell r="T22">
            <v>42.315895794520593</v>
          </cell>
        </row>
        <row r="23">
          <cell r="I23">
            <v>13.228760197552258</v>
          </cell>
          <cell r="K23">
            <v>1.0415043583867623</v>
          </cell>
          <cell r="T23">
            <v>42.258849538979433</v>
          </cell>
        </row>
        <row r="24">
          <cell r="I24">
            <v>13.213997493694729</v>
          </cell>
          <cell r="K24">
            <v>1.0413472575419567</v>
          </cell>
          <cell r="T24">
            <v>42.199443858808038</v>
          </cell>
        </row>
        <row r="25">
          <cell r="I25">
            <v>13.198865409441321</v>
          </cell>
          <cell r="K25">
            <v>1.041182375874407</v>
          </cell>
          <cell r="T25">
            <v>42.137663999981427</v>
          </cell>
        </row>
        <row r="26">
          <cell r="I26">
            <v>13.183373621464895</v>
          </cell>
          <cell r="K26">
            <v>1.0410095074307182</v>
          </cell>
          <cell r="T26">
            <v>42.073495717695977</v>
          </cell>
        </row>
        <row r="27">
          <cell r="I27">
            <v>13.16753184269853</v>
          </cell>
          <cell r="K27">
            <v>1.0408284462923059</v>
          </cell>
          <cell r="T27">
            <v>42.006925344148755</v>
          </cell>
        </row>
        <row r="28">
          <cell r="I28">
            <v>13.151349805598334</v>
          </cell>
          <cell r="K28">
            <v>1.0406389870529105</v>
          </cell>
          <cell r="T28">
            <v>41.937939855578989</v>
          </cell>
        </row>
        <row r="29">
          <cell r="I29">
            <v>13.134837246003574</v>
          </cell>
          <cell r="K29">
            <v>1.040440925291195</v>
          </cell>
          <cell r="T29">
            <v>41.866526938364217</v>
          </cell>
        </row>
        <row r="30">
          <cell r="I30">
            <v>13.118003887630318</v>
          </cell>
          <cell r="K30">
            <v>1.0402340580372698</v>
          </cell>
          <cell r="T30">
            <v>41.792675053969653</v>
          </cell>
        </row>
        <row r="31">
          <cell r="I31">
            <v>13.100859427229913</v>
          </cell>
          <cell r="K31">
            <v>1.0400181842320544</v>
          </cell>
          <cell r="T31">
            <v>41.716373502555001</v>
          </cell>
        </row>
        <row r="32">
          <cell r="I32">
            <v>13.083413520438963</v>
          </cell>
          <cell r="K32">
            <v>1.0397931051784299</v>
          </cell>
          <cell r="T32">
            <v>41.637612485050042</v>
          </cell>
        </row>
        <row r="33">
          <cell r="I33">
            <v>13.065675768342954</v>
          </cell>
          <cell r="K33">
            <v>1.0395586249831952</v>
          </cell>
          <cell r="T33">
            <v>41.556383163518021</v>
          </cell>
        </row>
        <row r="34">
          <cell r="I34">
            <v>13.047655704771071</v>
          </cell>
          <cell r="K34">
            <v>1.0393145509889044</v>
          </cell>
          <cell r="T34">
            <v>41.472677719635314</v>
          </cell>
        </row>
        <row r="35">
          <cell r="I35">
            <v>13.029362784335678</v>
          </cell>
          <cell r="K35">
            <v>1.03906069419472</v>
          </cell>
          <cell r="T35">
            <v>41.386489411124131</v>
          </cell>
        </row>
        <row r="36">
          <cell r="I36">
            <v>13.010806371225611</v>
          </cell>
          <cell r="K36">
            <v>1.038796869665491</v>
          </cell>
          <cell r="T36">
            <v>41.297812625986587</v>
          </cell>
        </row>
        <row r="37">
          <cell r="I37">
            <v>12.991995728758745</v>
          </cell>
          <cell r="K37">
            <v>1.0385228969283236</v>
          </cell>
          <cell r="T37">
            <v>41.206642934398403</v>
          </cell>
        </row>
        <row r="38">
          <cell r="I38">
            <v>12.972940009695547</v>
          </cell>
          <cell r="K38">
            <v>1.0382386003559865</v>
          </cell>
          <cell r="T38">
            <v>41.112977138132415</v>
          </cell>
        </row>
        <row r="39">
          <cell r="I39">
            <v>12.953648247311923</v>
          </cell>
          <cell r="K39">
            <v>1.0379438095365645</v>
          </cell>
          <cell r="T39">
            <v>41.016813317393655</v>
          </cell>
        </row>
        <row r="40">
          <cell r="I40">
            <v>12.934129347226488</v>
          </cell>
          <cell r="K40">
            <v>1.037638359628839</v>
          </cell>
          <cell r="T40">
            <v>40.9181508749611</v>
          </cell>
        </row>
        <row r="41">
          <cell r="I41">
            <v>12.914392079974427</v>
          </cell>
          <cell r="K41">
            <v>1.0373220917029544</v>
          </cell>
          <cell r="T41">
            <v>40.816990577542512</v>
          </cell>
        </row>
        <row r="42">
          <cell r="I42">
            <v>12.894445074317558</v>
          </cell>
          <cell r="K42">
            <v>1.0369948530659916</v>
          </cell>
          <cell r="T42">
            <v>40.713334594263301</v>
          </cell>
        </row>
        <row r="43">
          <cell r="I43">
            <v>12.874296811277606</v>
          </cell>
          <cell r="K43">
            <v>1.0366564975721508</v>
          </cell>
          <cell r="T43">
            <v>40.607186532222627</v>
          </cell>
        </row>
        <row r="44">
          <cell r="I44">
            <v>12.853955618877693</v>
          </cell>
          <cell r="K44">
            <v>1.0363068859173084</v>
          </cell>
          <cell r="T44">
            <v>40.49855146906372</v>
          </cell>
        </row>
        <row r="45">
          <cell r="I45">
            <v>12.833429667575025</v>
          </cell>
          <cell r="K45">
            <v>1.0359458859177855</v>
          </cell>
          <cell r="T45">
            <v>40.387435982518646</v>
          </cell>
        </row>
        <row r="46">
          <cell r="I46">
            <v>12.812726966366139</v>
          </cell>
          <cell r="K46">
            <v>1.0355733727732386</v>
          </cell>
          <cell r="T46">
            <v>40.273848176901005</v>
          </cell>
        </row>
        <row r="47">
          <cell r="I47">
            <v>12.791855359544524</v>
          </cell>
          <cell r="K47">
            <v>1.0351892293136391</v>
          </cell>
          <cell r="T47">
            <v>40.157797706533401</v>
          </cell>
        </row>
        <row r="48">
          <cell r="I48">
            <v>12.770822524089397</v>
          </cell>
          <cell r="K48">
            <v>1.0347933462303829</v>
          </cell>
          <cell r="T48">
            <v>40.03929579610913</v>
          </cell>
        </row>
        <row r="49">
          <cell r="I49">
            <v>12.749635967663192</v>
          </cell>
          <cell r="K49">
            <v>1.0343856222916303</v>
          </cell>
          <cell r="T49">
            <v>39.918355258000474</v>
          </cell>
        </row>
        <row r="50">
          <cell r="I50">
            <v>12.728303027194645</v>
          </cell>
          <cell r="K50">
            <v>1.0339659645420316</v>
          </cell>
          <cell r="T50">
            <v>39.794990506538213</v>
          </cell>
        </row>
        <row r="51">
          <cell r="I51">
            <v>12.706830868023706</v>
          </cell>
          <cell r="K51">
            <v>1.0335342884870602</v>
          </cell>
          <cell r="T51">
            <v>39.669217569298148</v>
          </cell>
        </row>
        <row r="52">
          <cell r="I52">
            <v>12.685226483584112</v>
          </cell>
          <cell r="K52">
            <v>1.033090518262219</v>
          </cell>
          <cell r="T52">
            <v>39.54105409544276</v>
          </cell>
        </row>
        <row r="53">
          <cell r="I53">
            <v>12.663496695599086</v>
          </cell>
          <cell r="K53">
            <v>1.0326345867874447</v>
          </cell>
          <cell r="T53">
            <v>39.410519361176185</v>
          </cell>
        </row>
        <row r="54">
          <cell r="I54">
            <v>12.641648154765646</v>
          </cell>
          <cell r="K54">
            <v>1.032166435907075</v>
          </cell>
          <cell r="T54">
            <v>39.277634272380226</v>
          </cell>
        </row>
        <row r="55">
          <cell r="I55">
            <v>12.619687341902916</v>
          </cell>
          <cell r="K55">
            <v>1.0316860165157933</v>
          </cell>
          <cell r="T55">
            <v>39.142421364509971</v>
          </cell>
        </row>
        <row r="56">
          <cell r="I56">
            <v>12.597620569540034</v>
          </cell>
          <cell r="K56">
            <v>1.0311932886709996</v>
          </cell>
          <cell r="T56">
            <v>39.004904799834748</v>
          </cell>
        </row>
        <row r="57">
          <cell r="I57">
            <v>12.575453983919491</v>
          </cell>
          <cell r="K57">
            <v>1.0306882216920989</v>
          </cell>
          <cell r="T57">
            <v>38.865110362118791</v>
          </cell>
        </row>
        <row r="58">
          <cell r="I58">
            <v>12.553193567392162</v>
          </cell>
          <cell r="K58">
            <v>1.0301707942472205</v>
          </cell>
          <cell r="T58">
            <v>38.723065448843045</v>
          </cell>
        </row>
        <row r="59">
          <cell r="I59">
            <v>12.530845141180563</v>
          </cell>
          <cell r="K59">
            <v>1.0296409944279203</v>
          </cell>
          <cell r="T59">
            <v>38.578799061075529</v>
          </cell>
        </row>
        <row r="60">
          <cell r="I60">
            <v>12.508414368487685</v>
          </cell>
          <cell r="K60">
            <v>1.0290988198124356</v>
          </cell>
          <cell r="T60">
            <v>38.432341791103383</v>
          </cell>
        </row>
        <row r="61">
          <cell r="I61">
            <v>12.485906757928969</v>
          </cell>
          <cell r="K61">
            <v>1.0285442775180771</v>
          </cell>
          <cell r="T61">
            <v>38.283725807943732</v>
          </cell>
        </row>
        <row r="63">
          <cell r="I63">
            <v>12.463327667266025</v>
          </cell>
          <cell r="K63">
            <v>1.0279773842433713</v>
          </cell>
          <cell r="T63">
            <v>38.132984840855237</v>
          </cell>
        </row>
        <row r="64">
          <cell r="I64">
            <v>12.440682307421085</v>
          </cell>
          <cell r="K64">
            <v>1.027398166300562</v>
          </cell>
          <cell r="T64">
            <v>37.980154160973754</v>
          </cell>
        </row>
        <row r="65">
          <cell r="I65">
            <v>12.417975746751987</v>
          </cell>
          <cell r="K65">
            <v>1.0268066596390977</v>
          </cell>
          <cell r="T65">
            <v>37.825270561198415</v>
          </cell>
        </row>
        <row r="66">
          <cell r="I66">
            <v>12.395212915568337</v>
          </cell>
          <cell r="K66">
            <v>1.0262029098607273</v>
          </cell>
          <cell r="T66">
            <v>37.668372334455164</v>
          </cell>
        </row>
        <row r="67">
          <cell r="I67">
            <v>12.372398610870075</v>
          </cell>
          <cell r="K67">
            <v>1.0255869722268318</v>
          </cell>
          <cell r="T67">
            <v>37.509499250465367</v>
          </cell>
        </row>
        <row r="68">
          <cell r="I68">
            <v>12.349537501290623</v>
          </cell>
          <cell r="K68">
            <v>1.0249589116586053</v>
          </cell>
          <cell r="T68">
            <v>37.348692531146071</v>
          </cell>
        </row>
        <row r="69">
          <cell r="I69">
            <v>12.326634132227381</v>
          </cell>
          <cell r="K69">
            <v>1.0243188027306998</v>
          </cell>
          <cell r="T69">
            <v>37.185994824767818</v>
          </cell>
        </row>
        <row r="70">
          <cell r="I70">
            <v>12.303692931143221</v>
          </cell>
          <cell r="K70">
            <v>1.023666729658925</v>
          </cell>
          <cell r="T70">
            <v>37.021450178993661</v>
          </cell>
        </row>
        <row r="71">
          <cell r="I71">
            <v>12.280718213023388</v>
          </cell>
          <cell r="K71">
            <v>1.0230027862825883</v>
          </cell>
          <cell r="T71">
            <v>36.855104012919824</v>
          </cell>
        </row>
        <row r="72">
          <cell r="I72">
            <v>12.25771418597288</v>
          </cell>
          <cell r="K72">
            <v>1.0223270760420269</v>
          </cell>
          <cell r="T72">
            <v>36.687003088236096</v>
          </cell>
        </row>
        <row r="73">
          <cell r="I73">
            <v>12.234684956940034</v>
          </cell>
          <cell r="K73">
            <v>1.0216397119518779</v>
          </cell>
          <cell r="T73">
            <v>36.517195479618834</v>
          </cell>
        </row>
        <row r="74">
          <cell r="I74">
            <v>12.211634537553067</v>
          </cell>
          <cell r="K74">
            <v>1.0209408165705878</v>
          </cell>
          <cell r="T74">
            <v>36.345730544465582</v>
          </cell>
        </row>
        <row r="75">
          <cell r="I75">
            <v>12.1885668500564</v>
          </cell>
          <cell r="K75">
            <v>1.0202305219666468</v>
          </cell>
          <cell r="T75">
            <v>36.172658892075304</v>
          </cell>
        </row>
        <row r="76">
          <cell r="I76">
            <v>12.165485733334812</v>
          </cell>
          <cell r="K76">
            <v>1.0195089696819948</v>
          </cell>
          <cell r="T76">
            <v>35.998032352371688</v>
          </cell>
        </row>
        <row r="77">
          <cell r="I77">
            <v>12.142394949013712</v>
          </cell>
          <cell r="K77">
            <v>1.0187763106930137</v>
          </cell>
          <cell r="T77">
            <v>35.82190394426226</v>
          </cell>
        </row>
        <row r="78">
          <cell r="I78">
            <v>12.119298187624363</v>
          </cell>
          <cell r="K78">
            <v>1.018032705369482</v>
          </cell>
          <cell r="T78">
            <v>35.644327843718507</v>
          </cell>
        </row>
        <row r="79">
          <cell r="I79">
            <v>12.096199074823641</v>
          </cell>
          <cell r="K79">
            <v>1.0172783234318352</v>
          </cell>
          <cell r="T79">
            <v>35.465359351656311</v>
          </cell>
        </row>
        <row r="80">
          <cell r="I80">
            <v>12.073101177658092</v>
          </cell>
          <cell r="K80">
            <v>1.016513343907022</v>
          </cell>
          <cell r="T80">
            <v>35.285054861688451</v>
          </cell>
        </row>
        <row r="81">
          <cell r="I81">
            <v>12.050008010862662</v>
          </cell>
          <cell r="K81">
            <v>1.0157379550832217</v>
          </cell>
          <cell r="T81">
            <v>35.103471827814516</v>
          </cell>
        </row>
        <row r="82">
          <cell r="I82">
            <v>12.026923043184821</v>
          </cell>
          <cell r="K82">
            <v>1.0149523544636272</v>
          </cell>
          <cell r="T82">
            <v>34.920668732105412</v>
          </cell>
        </row>
        <row r="83">
          <cell r="I83">
            <v>12.003849703725068</v>
          </cell>
          <cell r="K83">
            <v>1.0141567487194687</v>
          </cell>
          <cell r="T83">
            <v>34.736705052432924</v>
          </cell>
        </row>
        <row r="84">
          <cell r="I84">
            <v>11.980791388285134</v>
          </cell>
          <cell r="K84">
            <v>1.0133513536423984</v>
          </cell>
          <cell r="T84">
            <v>34.551641230287451</v>
          </cell>
        </row>
        <row r="85">
          <cell r="I85">
            <v>11.957751465715512</v>
          </cell>
          <cell r="K85">
            <v>1.0125363940963121</v>
          </cell>
          <cell r="T85">
            <v>34.36553863871918</v>
          </cell>
        </row>
        <row r="86">
          <cell r="I86">
            <v>11.934733284254012</v>
          </cell>
          <cell r="K86">
            <v>1.011712103968645</v>
          </cell>
          <cell r="T86">
            <v>34.1784595504311</v>
          </cell>
        </row>
        <row r="87">
          <cell r="I87">
            <v>11.911740177847248</v>
          </cell>
          <cell r="K87">
            <v>1.0108787261211196</v>
          </cell>
          <cell r="T87">
            <v>33.990467106044939</v>
          </cell>
        </row>
        <row r="88">
          <cell r="I88">
            <v>11.888775472447131</v>
          </cell>
          <cell r="K88">
            <v>1.010036512339894</v>
          </cell>
          <cell r="T88">
            <v>33.801625282554461</v>
          </cell>
        </row>
        <row r="89">
          <cell r="I89">
            <v>11.865842492274421</v>
          </cell>
          <cell r="K89">
            <v>1.0091857232849979</v>
          </cell>
          <cell r="T89">
            <v>33.61199886197312</v>
          </cell>
        </row>
        <row r="90">
          <cell r="I90">
            <v>11.842944566041432</v>
          </cell>
          <cell r="K90">
            <v>1.0083266284389116</v>
          </cell>
          <cell r="T90">
            <v>33.421653400177576</v>
          </cell>
        </row>
        <row r="91">
          <cell r="I91">
            <v>11.820085033125993</v>
          </cell>
          <cell r="K91">
            <v>1.0074595060540923</v>
          </cell>
          <cell r="T91">
            <v>33.230655195941289</v>
          </cell>
        </row>
        <row r="92">
          <cell r="I92">
            <v>11.797267249688634</v>
          </cell>
          <cell r="K92">
            <v>1.0065846430992109</v>
          </cell>
          <cell r="T92">
            <v>33.03907126014785</v>
          </cell>
        </row>
        <row r="93">
          <cell r="I93">
            <v>11.774494594725017</v>
          </cell>
          <cell r="K93">
            <v>1.0057023352038255</v>
          </cell>
          <cell r="T93">
            <v>32.846969285166935</v>
          </cell>
        </row>
        <row r="94">
          <cell r="I94">
            <v>11.751770476045246</v>
          </cell>
          <cell r="K94">
            <v>1.0048128866011701</v>
          </cell>
          <cell r="T94">
            <v>32.65441761437198</v>
          </cell>
        </row>
        <row r="95">
          <cell r="I95">
            <v>11.729098336171763</v>
          </cell>
          <cell r="K95">
            <v>1.0039166100687127</v>
          </cell>
          <cell r="T95">
            <v>32.461485211773081</v>
          </cell>
        </row>
        <row r="96">
          <cell r="I96">
            <v>11.706481658147139</v>
          </cell>
          <cell r="K96">
            <v>1.003013826866084</v>
          </cell>
          <cell r="T96">
            <v>32.268241631734995</v>
          </cell>
        </row>
        <row r="97">
          <cell r="I97">
            <v>11.683923971242983</v>
          </cell>
          <cell r="K97">
            <v>1.0021048666699626</v>
          </cell>
          <cell r="T97">
            <v>32.074756988746543</v>
          </cell>
        </row>
        <row r="98">
          <cell r="I98">
            <v>11.661428856560702</v>
          </cell>
          <cell r="K98">
            <v>1.0011900675054584</v>
          </cell>
          <cell r="T98">
            <v>31.881101927204124</v>
          </cell>
        </row>
        <row r="99">
          <cell r="I99">
            <v>11.638999952514853</v>
          </cell>
          <cell r="K99">
            <v>1.0002697756735133</v>
          </cell>
          <cell r="T99">
            <v>31.687347591169619</v>
          </cell>
        </row>
        <row r="100">
          <cell r="I100">
            <v>11.616640960189132</v>
          </cell>
          <cell r="K100">
            <v>0.99934434567381758</v>
          </cell>
          <cell r="T100">
            <v>31.493565594061103</v>
          </cell>
        </row>
        <row r="101">
          <cell r="I101">
            <v>11.594355648555021</v>
          </cell>
          <cell r="K101">
            <v>0.99841414012270413</v>
          </cell>
          <cell r="T101">
            <v>31.299827988232465</v>
          </cell>
        </row>
        <row r="102">
          <cell r="I102">
            <v>11.5721478595426</v>
          </cell>
          <cell r="K102">
            <v>0.99747952966548015</v>
          </cell>
          <cell r="T102">
            <v>31.106207234397623</v>
          </cell>
        </row>
        <row r="103">
          <cell r="I103">
            <v>11.55002151295256</v>
          </cell>
          <cell r="K103">
            <v>0.99654089288262615</v>
          </cell>
          <cell r="T103">
            <v>30.912776170854091</v>
          </cell>
        </row>
        <row r="104">
          <cell r="I104">
            <v>11.527980611198263</v>
          </cell>
          <cell r="K104">
            <v>0.99559861618928736</v>
          </cell>
          <cell r="T104">
            <v>30.719607982460538</v>
          </cell>
        </row>
        <row r="105">
          <cell r="I105">
            <v>11.506029243866161</v>
          </cell>
          <cell r="K105">
            <v>0.99465309372746913</v>
          </cell>
          <cell r="T105">
            <v>30.526776169323703</v>
          </cell>
        </row>
        <row r="106">
          <cell r="I106">
            <v>11.484171592082447</v>
          </cell>
          <cell r="K106">
            <v>0.9937047272503452</v>
          </cell>
          <cell r="T106">
            <v>30.334354515150523</v>
          </cell>
        </row>
        <row r="107">
          <cell r="I107">
            <v>11.462411932673533</v>
          </cell>
          <cell r="K107">
            <v>0.99275392599807921</v>
          </cell>
          <cell r="T107">
            <v>30.142417055223362</v>
          </cell>
        </row>
        <row r="108">
          <cell r="I108">
            <v>11.440754642107416</v>
          </cell>
          <cell r="K108">
            <v>0.99180110656457066</v>
          </cell>
          <cell r="T108">
            <v>29.951038043957332</v>
          </cell>
        </row>
        <row r="109">
          <cell r="I109">
            <v>11.419204200202659</v>
          </cell>
          <cell r="K109">
            <v>0.99084669275453241</v>
          </cell>
          <cell r="T109">
            <v>29.760291922001649</v>
          </cell>
        </row>
        <row r="110">
          <cell r="I110">
            <v>11.397765193591368</v>
          </cell>
          <cell r="K110">
            <v>0.9898911154303186</v>
          </cell>
          <cell r="T110">
            <v>29.570253282849443</v>
          </cell>
        </row>
        <row r="111">
          <cell r="I111">
            <v>11.376442318922143</v>
          </cell>
          <cell r="K111">
            <v>0.98893481234793812</v>
          </cell>
          <cell r="T111">
            <v>29.380996838923444</v>
          </cell>
        </row>
        <row r="112">
          <cell r="I112">
            <v>11.355240385788584</v>
          </cell>
          <cell r="K112">
            <v>0.9879782279816971</v>
          </cell>
          <cell r="T112">
            <v>29.192597387108517</v>
          </cell>
        </row>
        <row r="113">
          <cell r="I113">
            <v>11.334164319368824</v>
          </cell>
          <cell r="K113">
            <v>0.98702181333694017</v>
          </cell>
          <cell r="T113">
            <v>29.005129773706106</v>
          </cell>
        </row>
        <row r="114">
          <cell r="I114">
            <v>11.313219162761063</v>
          </cell>
          <cell r="K114">
            <v>0.98606602575038249</v>
          </cell>
          <cell r="T114">
            <v>28.818668858789103</v>
          </cell>
        </row>
        <row r="115">
          <cell r="I115">
            <v>11.292410079000071</v>
          </cell>
          <cell r="K115">
            <v>0.98511132867754536</v>
          </cell>
          <cell r="T115">
            <v>28.633289479940686</v>
          </cell>
        </row>
        <row r="116">
          <cell r="I116">
            <v>11.27174235273929</v>
          </cell>
          <cell r="K116">
            <v>0.98415819146685024</v>
          </cell>
          <cell r="T116">
            <v>28.449066415364875</v>
          </cell>
        </row>
        <row r="117">
          <cell r="I117">
            <v>11.251221391583176</v>
          </cell>
          <cell r="K117">
            <v>0.98320708911994803</v>
          </cell>
          <cell r="T117">
            <v>28.266074346361314</v>
          </cell>
        </row>
        <row r="118">
          <cell r="I118">
            <v>11.230852727054316</v>
          </cell>
          <cell r="K118">
            <v>0.98225850203790688</v>
          </cell>
          <cell r="T118">
            <v>28.08438781916194</v>
          </cell>
        </row>
        <row r="119">
          <cell r="I119">
            <v>11.210642015179907</v>
          </cell>
          <cell r="K119">
            <v>0.98131291575291579</v>
          </cell>
          <cell r="T119">
            <v>27.904081206131991</v>
          </cell>
        </row>
        <row r="120">
          <cell r="I120">
            <v>11.190595036682291</v>
          </cell>
          <cell r="K120">
            <v>0.98037082064520997</v>
          </cell>
          <cell r="T120">
            <v>27.725228666343192</v>
          </cell>
        </row>
        <row r="121">
          <cell r="I121">
            <v>11.170717696758381</v>
          </cell>
          <cell r="K121">
            <v>0.97943271164497014</v>
          </cell>
          <cell r="T121">
            <v>27.547904105531607</v>
          </cell>
        </row>
        <row r="122">
          <cell r="I122">
            <v>11.15101602443325</v>
          </cell>
          <cell r="K122">
            <v>0.97849908791898976</v>
          </cell>
          <cell r="T122">
            <v>27.372181135458487</v>
          </cell>
        </row>
        <row r="123">
          <cell r="I123">
            <v>11.131496171473273</v>
          </cell>
          <cell r="K123">
            <v>0.97757045254197084</v>
          </cell>
          <cell r="T123">
            <v>27.198133032696809</v>
          </cell>
        </row>
        <row r="124">
          <cell r="I124">
            <v>11.112164410845079</v>
          </cell>
          <cell r="K124">
            <v>0.97664731215234668</v>
          </cell>
          <cell r="T124">
            <v>27.025832696871763</v>
          </cell>
        </row>
        <row r="125">
          <cell r="I125">
            <v>11.093027134706757</v>
          </cell>
          <cell r="K125">
            <v>0.97573017659260319</v>
          </cell>
          <cell r="T125">
            <v>26.855352608387982</v>
          </cell>
        </row>
        <row r="126">
          <cell r="I126">
            <v>11.074090851918852</v>
          </cell>
          <cell r="K126">
            <v>0.97481955853411284</v>
          </cell>
          <cell r="T126">
            <v>26.686764785681291</v>
          </cell>
        </row>
        <row r="127">
          <cell r="I127">
            <v>11.055362185063325</v>
          </cell>
          <cell r="K127">
            <v>0.97391597308657185</v>
          </cell>
          <cell r="T127">
            <v>26.520140742037025</v>
          </cell>
        </row>
        <row r="128">
          <cell r="I128">
            <v>11.036847866959667</v>
          </cell>
          <cell r="K128">
            <v>0.97301993739218018</v>
          </cell>
          <cell r="T128">
            <v>26.355551442021564</v>
          </cell>
        </row>
        <row r="129">
          <cell r="I129">
            <v>11.018554736668527</v>
          </cell>
          <cell r="K129">
            <v>0.97213197020477449</v>
          </cell>
          <cell r="T129">
            <v>26.193067257577663</v>
          </cell>
        </row>
        <row r="130">
          <cell r="I130">
            <v>11.000489734974462</v>
          </cell>
          <cell r="K130">
            <v>0.97125259145418985</v>
          </cell>
          <cell r="T130">
            <v>26.032757923837824</v>
          </cell>
        </row>
        <row r="131">
          <cell r="I131">
            <v>10.982659899340732</v>
          </cell>
          <cell r="K131">
            <v>0.97038232179618111</v>
          </cell>
          <cell r="T131">
            <v>25.874692494713734</v>
          </cell>
        </row>
        <row r="132">
          <cell r="I132">
            <v>10.965072358330648</v>
          </cell>
          <cell r="K132">
            <v>0.96952168214831635</v>
          </cell>
          <cell r="T132">
            <v>25.718939298322645</v>
          </cell>
        </row>
        <row r="133">
          <cell r="I133">
            <v>10.947734325491757</v>
          </cell>
          <cell r="K133">
            <v>0.96867119321230488</v>
          </cell>
          <cell r="T133">
            <v>25.565565892314495</v>
          </cell>
        </row>
        <row r="134">
          <cell r="I134">
            <v>10.930653092700721</v>
          </cell>
          <cell r="K134">
            <v>0.9678313749832993</v>
          </cell>
          <cell r="T134">
            <v>25.414639019166131</v>
          </cell>
        </row>
        <row r="135">
          <cell r="I135">
            <v>10.913836022969011</v>
          </cell>
          <cell r="K135">
            <v>0.96700274624676985</v>
          </cell>
          <cell r="T135">
            <v>25.26622456151059</v>
          </cell>
        </row>
        <row r="136">
          <cell r="I136">
            <v>10.897290542711382</v>
          </cell>
          <cell r="K136">
            <v>0.96618582406361775</v>
          </cell>
          <cell r="T136">
            <v>25.120387497571706</v>
          </cell>
        </row>
        <row r="137">
          <cell r="I137">
            <v>10.881024133481446</v>
          </cell>
          <cell r="K137">
            <v>0.96538112324425585</v>
          </cell>
          <cell r="T137">
            <v>24.977191856775008</v>
          </cell>
        </row>
        <row r="138">
          <cell r="I138">
            <v>10.865044323181046</v>
          </cell>
          <cell r="K138">
            <v>0.96458915581244764</v>
          </cell>
          <cell r="T138">
            <v>24.836700675606831</v>
          </cell>
        </row>
        <row r="139">
          <cell r="I139">
            <v>10.849358676752436</v>
          </cell>
          <cell r="K139">
            <v>0.96381043045975534</v>
          </cell>
          <cell r="T139">
            <v>24.698975953794339</v>
          </cell>
        </row>
        <row r="140">
          <cell r="I140">
            <v>10.833974786365069</v>
          </cell>
          <cell r="K140">
            <v>0.96304545199151148</v>
          </cell>
          <cell r="T140">
            <v>24.564078610878632</v>
          </cell>
        </row>
        <row r="141">
          <cell r="I141">
            <v>10.818900261111278</v>
          </cell>
          <cell r="K141">
            <v>0.96229472076527511</v>
          </cell>
          <cell r="T141">
            <v>24.432068443253335</v>
          </cell>
        </row>
        <row r="142">
          <cell r="I142">
            <v>10.804142716228</v>
          </cell>
          <cell r="K142">
            <v>0.96155873212279996</v>
          </cell>
          <cell r="T142">
            <v>24.3030040817398</v>
          </cell>
        </row>
        <row r="143">
          <cell r="I143">
            <v>10.78970976186449</v>
          </cell>
          <cell r="K143">
            <v>0.9608379758165817</v>
          </cell>
          <cell r="T143">
            <v>24.176942949769266</v>
          </cell>
        </row>
        <row r="144">
          <cell r="I144">
            <v>10.775608991418745</v>
          </cell>
          <cell r="K144">
            <v>0.96013293543210909</v>
          </cell>
          <cell r="T144">
            <v>24.053941222240866</v>
          </cell>
        </row>
        <row r="145">
          <cell r="I145">
            <v>10.761847969468413</v>
          </cell>
          <cell r="K145">
            <v>0.95944408780698176</v>
          </cell>
          <cell r="T145">
            <v>23.934053785122181</v>
          </cell>
        </row>
        <row r="146">
          <cell r="I146">
            <v>10.748434219324782</v>
          </cell>
          <cell r="K146">
            <v>0.95877190244810251</v>
          </cell>
          <cell r="T146">
            <v>23.81733419585737</v>
          </cell>
        </row>
        <row r="147">
          <cell r="I147">
            <v>10.735375210241287</v>
          </cell>
          <cell r="K147">
            <v>0.95811684094818839</v>
          </cell>
          <cell r="T147">
            <v>23.703834644645326</v>
          </cell>
        </row>
        <row r="148">
          <cell r="I148">
            <v>10.722678344310896</v>
          </cell>
          <cell r="K148">
            <v>0.95747935640287785</v>
          </cell>
          <cell r="T148">
            <v>23.593605916647533</v>
          </cell>
        </row>
        <row r="149">
          <cell r="I149">
            <v>10.710350943089647</v>
          </cell>
          <cell r="K149">
            <v>0.95685989282974016</v>
          </cell>
          <cell r="T149">
            <v>23.486697355182486</v>
          </cell>
        </row>
        <row r="150">
          <cell r="I150">
            <v>10.698400233986028</v>
          </cell>
          <cell r="K150">
            <v>0.95625888459052066</v>
          </cell>
          <cell r="T150">
            <v>23.38315682596054</v>
          </cell>
        </row>
        <row r="151">
          <cell r="I151">
            <v>10.686833336458804</v>
          </cell>
          <cell r="K151">
            <v>0.95567675581796974</v>
          </cell>
          <cell r="T151">
            <v>23.283030682409645</v>
          </cell>
        </row>
        <row r="152">
          <cell r="I152">
            <v>10.675657248068191</v>
          </cell>
          <cell r="K152">
            <v>0.95511391984862659</v>
          </cell>
          <cell r="T152">
            <v>23.186363732139114</v>
          </cell>
        </row>
        <row r="153">
          <cell r="I153">
            <v>10.66487883042762</v>
          </cell>
          <cell r="K153">
            <v>0.95457077866293116</v>
          </cell>
          <cell r="T153">
            <v>23.093199204585154</v>
          </cell>
        </row>
        <row r="154">
          <cell r="I154">
            <v>10.654504795105451</v>
          </cell>
          <cell r="K154">
            <v>0.95404772233404822</v>
          </cell>
          <cell r="T154">
            <v>23.003578719878121</v>
          </cell>
        </row>
        <row r="155">
          <cell r="I155">
            <v>10.64454168952793</v>
          </cell>
          <cell r="K155">
            <v>0.95354512848678641</v>
          </cell>
          <cell r="T155">
            <v>22.917542258968254</v>
          </cell>
        </row>
        <row r="156">
          <cell r="I156">
            <v>10.634995882936208</v>
          </cell>
          <cell r="K156">
            <v>0.95306336176798911</v>
          </cell>
          <cell r="T156">
            <v>22.835128135042794</v>
          </cell>
        </row>
        <row r="157">
          <cell r="I157">
            <v>10.625873552451839</v>
          </cell>
          <cell r="K157">
            <v>0.95260277332976384</v>
          </cell>
          <cell r="T157">
            <v>22.756372966264053</v>
          </cell>
        </row>
        <row r="158">
          <cell r="I158">
            <v>10.617180669306048</v>
          </cell>
          <cell r="K158">
            <v>0.95216370032690345</v>
          </cell>
          <cell r="T158">
            <v>22.681311649854528</v>
          </cell>
        </row>
        <row r="159">
          <cell r="I159">
            <v>10.608922985289027</v>
          </cell>
          <cell r="K159">
            <v>0.95174646542982722</v>
          </cell>
          <cell r="T159">
            <v>22.609977337551737</v>
          </cell>
        </row>
        <row r="160">
          <cell r="I160">
            <v>10.601106019475857</v>
          </cell>
          <cell r="K160">
            <v>0.95135137635435019</v>
          </cell>
          <cell r="T160">
            <v>22.542401412452758</v>
          </cell>
        </row>
        <row r="161">
          <cell r="I161">
            <v>10.593735045285838</v>
          </cell>
          <cell r="K161">
            <v>0.9509787254095502</v>
          </cell>
          <cell r="T161">
            <v>22.478613467264381</v>
          </cell>
        </row>
        <row r="162">
          <cell r="I162">
            <v>10.586815077931689</v>
          </cell>
          <cell r="K162">
            <v>0.95062878906497217</v>
          </cell>
          <cell r="T162">
            <v>22.418641283973457</v>
          </cell>
        </row>
        <row r="163">
          <cell r="I163">
            <v>10.580350862314617</v>
          </cell>
          <cell r="K163">
            <v>0.95030182753836612</v>
          </cell>
          <cell r="T163">
            <v>22.362510814947974</v>
          </cell>
        </row>
        <row r="164">
          <cell r="I164">
            <v>10.57434686142002</v>
          </cell>
          <cell r="K164">
            <v>0.94999808440510503</v>
          </cell>
          <cell r="T164">
            <v>22.310246165477785</v>
          </cell>
        </row>
        <row r="165">
          <cell r="I165">
            <v>10.568807245267474</v>
          </cell>
          <cell r="K165">
            <v>0.94971778623038505</v>
          </cell>
          <cell r="T165">
            <v>22.261869577761775</v>
          </cell>
        </row>
        <row r="166">
          <cell r="I166">
            <v>10.563735880466673</v>
          </cell>
          <cell r="K166">
            <v>0.94946114222524891</v>
          </cell>
          <cell r="T166">
            <v>22.217401416345737</v>
          </cell>
        </row>
        <row r="167">
          <cell r="I167">
            <v>10.559136320429129</v>
          </cell>
          <cell r="K167">
            <v>0.9492283439274154</v>
          </cell>
          <cell r="T167">
            <v>22.176860155014239</v>
          </cell>
        </row>
        <row r="168">
          <cell r="I168">
            <v>10.555011796282567</v>
          </cell>
          <cell r="K168">
            <v>0.94901956490783757</v>
          </cell>
          <cell r="T168">
            <v>22.140262365137801</v>
          </cell>
        </row>
        <row r="169">
          <cell r="I169">
            <v>10.551365208532534</v>
          </cell>
          <cell r="K169">
            <v>0.94883496050383698</v>
          </cell>
          <cell r="T169">
            <v>22.107622705475894</v>
          </cell>
        </row>
        <row r="170">
          <cell r="I170">
            <v>10.54819911951218</v>
          </cell>
          <cell r="K170">
            <v>0.9486746675795964</v>
          </cell>
          <cell r="T170">
            <v>22.078953913434933</v>
          </cell>
        </row>
        <row r="171">
          <cell r="I171">
            <v>10.545515746657909</v>
          </cell>
          <cell r="K171">
            <v>0.94853880431471793</v>
          </cell>
          <cell r="T171">
            <v>22.054266797780116</v>
          </cell>
        </row>
        <row r="172">
          <cell r="I172">
            <v>10.543316956644638</v>
          </cell>
          <cell r="K172">
            <v>0.94842747002147099</v>
          </cell>
          <cell r="T172">
            <v>22.033570232799129</v>
          </cell>
        </row>
        <row r="173">
          <cell r="I173">
            <v>10.541604260410397</v>
          </cell>
          <cell r="K173">
            <v>0.94834074499127929</v>
          </cell>
          <cell r="T173">
            <v>22.016871153915464</v>
          </cell>
        </row>
        <row r="174">
          <cell r="I174">
            <v>10.540378809095687</v>
          </cell>
          <cell r="K174">
            <v>0.94827869037091239</v>
          </cell>
          <cell r="T174">
            <v>22.004174554749007</v>
          </cell>
        </row>
        <row r="175">
          <cell r="I175">
            <v>10.539641390918483</v>
          </cell>
          <cell r="K175">
            <v>0.94824134806875726</v>
          </cell>
          <cell r="T175">
            <v>21.995483485621605</v>
          </cell>
        </row>
        <row r="176">
          <cell r="I176">
            <v>10.539392429001008</v>
          </cell>
          <cell r="K176">
            <v>0.94822874069146967</v>
          </cell>
          <cell r="T176">
            <v>21.990799053505</v>
          </cell>
        </row>
        <row r="177">
          <cell r="I177">
            <v>10.539631980159754</v>
          </cell>
          <cell r="K177">
            <v>0.9482408715112014</v>
          </cell>
          <cell r="T177">
            <v>21.990120423409326</v>
          </cell>
        </row>
        <row r="178">
          <cell r="I178">
            <v>10.540359734665067</v>
          </cell>
          <cell r="K178">
            <v>0.94827772446352887</v>
          </cell>
          <cell r="T178">
            <v>21.993444821210002</v>
          </cell>
        </row>
        <row r="179">
          <cell r="I179">
            <v>10.541575016971914</v>
          </cell>
          <cell r="K179">
            <v>0.94833926417610326</v>
          </cell>
          <cell r="T179">
            <v>22.000767537911535</v>
          </cell>
        </row>
        <row r="180">
          <cell r="I180">
            <v>10.543276787418177</v>
          </cell>
          <cell r="K180">
            <v>0.94842543602796126</v>
          </cell>
          <cell r="T180">
            <v>22.012081935346771</v>
          </cell>
        </row>
        <row r="181">
          <cell r="I181">
            <v>10.545463644882119</v>
          </cell>
          <cell r="K181">
            <v>0.94853616623934689</v>
          </cell>
          <cell r="T181">
            <v>22.027379453310431</v>
          </cell>
        </row>
        <row r="182">
          <cell r="I182">
            <v>10.548133830385645</v>
          </cell>
          <cell r="K182">
            <v>0.94867136199179813</v>
          </cell>
          <cell r="T182">
            <v>22.046649618125883</v>
          </cell>
        </row>
        <row r="183">
          <cell r="I183">
            <v>10.551285231625181</v>
          </cell>
          <cell r="K183">
            <v>0.94883091157817412</v>
          </cell>
          <cell r="T183">
            <v>22.069880052644166</v>
          </cell>
        </row>
        <row r="184">
          <cell r="I184">
            <v>10.554915388407521</v>
          </cell>
          <cell r="K184">
            <v>0.94901468458220362</v>
          </cell>
          <cell r="T184">
            <v>22.097056487674202</v>
          </cell>
        </row>
        <row r="185">
          <cell r="I185">
            <v>10.559021498963354</v>
          </cell>
          <cell r="K185">
            <v>0.94922253208705598</v>
          </cell>
          <cell r="T185">
            <v>22.12816277484286</v>
          </cell>
        </row>
        <row r="186">
          <cell r="I186">
            <v>10.563600427107158</v>
          </cell>
          <cell r="K186">
            <v>0.94945428691235023</v>
          </cell>
          <cell r="T186">
            <v>22.16318090088307</v>
          </cell>
        </row>
        <row r="187">
          <cell r="I187">
            <v>10.568648710207977</v>
          </cell>
          <cell r="K187">
            <v>0.94970976387893824</v>
          </cell>
          <cell r="T187">
            <v>22.20209100334764</v>
          </cell>
        </row>
        <row r="188">
          <cell r="I188">
            <v>10.57416256793211</v>
          </cell>
          <cell r="K188">
            <v>0.9499887601007182</v>
          </cell>
          <cell r="T188">
            <v>22.244871387745548</v>
          </cell>
        </row>
        <row r="189">
          <cell r="I189">
            <v>10.580137911715219</v>
          </cell>
          <cell r="K189">
            <v>0.95029105530266378</v>
          </cell>
          <cell r="T189">
            <v>22.291498546096314</v>
          </cell>
        </row>
        <row r="190">
          <cell r="I190">
            <v>10.586570354918337</v>
          </cell>
          <cell r="K190">
            <v>0.95061641216417903</v>
          </cell>
          <cell r="T190">
            <v>22.341947176896817</v>
          </cell>
        </row>
        <row r="191">
          <cell r="I191">
            <v>10.593455223619625</v>
          </cell>
          <cell r="K191">
            <v>0.95096457668682222</v>
          </cell>
          <cell r="T191">
            <v>22.396190206493252</v>
          </cell>
        </row>
        <row r="192">
          <cell r="I192">
            <v>10.600787567991276</v>
          </cell>
          <cell r="K192">
            <v>0.95133527858537681</v>
          </cell>
          <cell r="T192">
            <v>22.454198811849096</v>
          </cell>
        </row>
        <row r="193">
          <cell r="I193">
            <v>10.608562174209084</v>
          </cell>
          <cell r="K193">
            <v>0.95172823170119347</v>
          </cell>
          <cell r="T193">
            <v>22.515942444697764</v>
          </cell>
        </row>
        <row r="194">
          <cell r="I194">
            <v>10.616773576840487</v>
          </cell>
          <cell r="K194">
            <v>0.95214313443666077</v>
          </cell>
          <cell r="T194">
            <v>22.581388857066401</v>
          </cell>
        </row>
        <row r="195">
          <cell r="I195">
            <v>10.625416071655851</v>
          </cell>
          <cell r="K195">
            <v>0.95257967020962231</v>
          </cell>
          <cell r="T195">
            <v>22.650504128154459</v>
          </cell>
        </row>
        <row r="196">
          <cell r="I196">
            <v>10.634483728806718</v>
          </cell>
          <cell r="K196">
            <v>0.95303750792650499</v>
          </cell>
          <cell r="T196">
            <v>22.723252692547995</v>
          </cell>
        </row>
        <row r="197">
          <cell r="I197">
            <v>10.643970406314452</v>
          </cell>
          <cell r="K197">
            <v>0.95351630247288299</v>
          </cell>
          <cell r="T197">
            <v>22.79959736974741</v>
          </cell>
        </row>
        <row r="198">
          <cell r="I198">
            <v>10.653869763812521</v>
          </cell>
          <cell r="K198">
            <v>0.95401569522016727</v>
          </cell>
          <cell r="T198">
            <v>22.879499394983263</v>
          </cell>
        </row>
        <row r="199">
          <cell r="I199">
            <v>10.664175276485974</v>
          </cell>
          <cell r="K199">
            <v>0.95453531454708007</v>
          </cell>
          <cell r="T199">
            <v>22.962918451291131</v>
          </cell>
        </row>
        <row r="200">
          <cell r="I200">
            <v>10.674880249152137</v>
          </cell>
          <cell r="K200">
            <v>0.95507477637454152</v>
          </cell>
          <cell r="T200">
            <v>23.049812702813032</v>
          </cell>
        </row>
        <row r="201">
          <cell r="I201">
            <v>10.685977830427753</v>
          </cell>
          <cell r="K201">
            <v>0.9556336847125847</v>
          </cell>
          <cell r="T201">
            <v>23.140138829289349</v>
          </cell>
        </row>
        <row r="202">
          <cell r="I202">
            <v>10.69746102692859</v>
          </cell>
          <cell r="K202">
            <v>0.95621163221789329</v>
          </cell>
          <cell r="T202">
            <v>23.233852061700922</v>
          </cell>
        </row>
        <row r="203">
          <cell r="I203">
            <v>10.709322717449501</v>
          </cell>
          <cell r="K203">
            <v>0.95680820076054496</v>
          </cell>
          <cell r="T203">
            <v>23.330906219017812</v>
          </cell>
        </row>
        <row r="204">
          <cell r="I204">
            <v>10.721555667074277</v>
          </cell>
          <cell r="K204">
            <v>0.95742296199854815</v>
          </cell>
          <cell r="T204">
            <v>23.431253746006767</v>
          </cell>
        </row>
        <row r="205">
          <cell r="I205">
            <v>10.734152541166916</v>
          </cell>
          <cell r="K205">
            <v>0.95805547795874668</v>
          </cell>
          <cell r="T205">
            <v>23.534845752045989</v>
          </cell>
        </row>
        <row r="206">
          <cell r="I206">
            <v>10.747105919197939</v>
          </cell>
          <cell r="K206">
            <v>0.9587053016226873</v>
          </cell>
          <cell r="T206">
            <v>23.641632050891843</v>
          </cell>
        </row>
        <row r="207">
          <cell r="I207">
            <v>10.760408308361818</v>
          </cell>
          <cell r="K207">
            <v>0.95937197751604364</v>
          </cell>
          <cell r="T207">
            <v>23.751561201338504</v>
          </cell>
        </row>
        <row r="208">
          <cell r="I208">
            <v>10.774052156944194</v>
          </cell>
          <cell r="K208">
            <v>0.96005504230021532</v>
          </cell>
          <cell r="T208">
            <v>23.864580548707934</v>
          </cell>
        </row>
        <row r="209">
          <cell r="I209">
            <v>10.788029867400006</v>
          </cell>
          <cell r="K209">
            <v>0.96075402536473475</v>
          </cell>
          <cell r="T209">
            <v>23.980636267104472</v>
          </cell>
        </row>
        <row r="210">
          <cell r="I210">
            <v>10.802333809106663</v>
          </cell>
          <cell r="K210">
            <v>0.96146844941914744</v>
          </cell>
          <cell r="T210">
            <v>24.099673402364708</v>
          </cell>
        </row>
        <row r="211">
          <cell r="I211">
            <v>10.81695633075898</v>
          </cell>
          <cell r="K211">
            <v>0.96219783108305346</v>
          </cell>
          <cell r="T211">
            <v>24.221635915630831</v>
          </cell>
        </row>
        <row r="212">
          <cell r="I212">
            <v>10.831889772375648</v>
          </cell>
          <cell r="K212">
            <v>0.96294168147303771</v>
          </cell>
          <cell r="T212">
            <v>24.346466727472635</v>
          </cell>
        </row>
        <row r="213">
          <cell r="I213">
            <v>10.84712647688978</v>
          </cell>
          <cell r="K213">
            <v>0.96369950678525729</v>
          </cell>
          <cell r="T213">
            <v>24.474107762481303</v>
          </cell>
        </row>
        <row r="214">
          <cell r="I214">
            <v>10.86265880129913</v>
          </cell>
          <cell r="K214">
            <v>0.96447080887248837</v>
          </cell>
          <cell r="T214">
            <v>24.60449999425596</v>
          </cell>
        </row>
        <row r="215">
          <cell r="I215">
            <v>10.87847912735425</v>
          </cell>
          <cell r="K215">
            <v>0.96525508581449126</v>
          </cell>
          <cell r="T215">
            <v>24.7375834907022</v>
          </cell>
        </row>
        <row r="216">
          <cell r="I216">
            <v>10.894579871765924</v>
          </cell>
          <cell r="K216">
            <v>0.96605183248059556</v>
          </cell>
          <cell r="T216">
            <v>24.873297459560863</v>
          </cell>
        </row>
        <row r="217">
          <cell r="I217">
            <v>10.910953495915864</v>
          </cell>
          <cell r="K217">
            <v>0.96686054108346287</v>
          </cell>
          <cell r="T217">
            <v>25.01158029408397</v>
          </cell>
        </row>
        <row r="218">
          <cell r="I218">
            <v>10.927592515057382</v>
          </cell>
          <cell r="K218">
            <v>0.96768070172304144</v>
          </cell>
          <cell r="T218">
            <v>25.152369618774994</v>
          </cell>
        </row>
        <row r="219">
          <cell r="I219">
            <v>10.944489506995499</v>
          </cell>
          <cell r="K219">
            <v>0.96851180291978101</v>
          </cell>
          <cell r="T219">
            <v>25.295602335109727</v>
          </cell>
        </row>
        <row r="220">
          <cell r="I220">
            <v>10.961637120238258</v>
          </cell>
          <cell r="K220">
            <v>0.96935333213624431</v>
          </cell>
          <cell r="T220">
            <v>25.441214667155272</v>
          </cell>
        </row>
        <row r="221">
          <cell r="I221">
            <v>10.979028081613723</v>
          </cell>
          <cell r="K221">
            <v>0.9702047762863053</v>
          </cell>
          <cell r="T221">
            <v>25.589142207004898</v>
          </cell>
        </row>
        <row r="222">
          <cell r="I222">
            <v>10.996655203349142</v>
          </cell>
          <cell r="K222">
            <v>0.97106562223120196</v>
          </cell>
          <cell r="T222">
            <v>25.7393199599484</v>
          </cell>
        </row>
        <row r="223">
          <cell r="I223">
            <v>11.014511389611176</v>
          </cell>
          <cell r="K223">
            <v>0.97193535726175861</v>
          </cell>
          <cell r="T223">
            <v>25.891682389298744</v>
          </cell>
        </row>
        <row r="224">
          <cell r="I224">
            <v>11.032589642507965</v>
          </cell>
          <cell r="K224">
            <v>0.97281346956618042</v>
          </cell>
          <cell r="T224">
            <v>26.046163460798493</v>
          </cell>
        </row>
        <row r="225">
          <cell r="I225">
            <v>11.050883067555807</v>
          </cell>
          <cell r="K225">
            <v>0.97369944868287672</v>
          </cell>
          <cell r="T225">
            <v>26.202696686531851</v>
          </cell>
        </row>
        <row r="226">
          <cell r="I226">
            <v>11.069384878614876</v>
          </cell>
          <cell r="K226">
            <v>0.97459278593784082</v>
          </cell>
          <cell r="T226">
            <v>26.361215168271393</v>
          </cell>
        </row>
        <row r="227">
          <cell r="I227">
            <v>11.088088402300205</v>
          </cell>
          <cell r="K227">
            <v>0.97549297486618836</v>
          </cell>
          <cell r="T227">
            <v>26.521651640191784</v>
          </cell>
        </row>
        <row r="228">
          <cell r="I228">
            <v>11.106987081875399</v>
          </cell>
          <cell r="K228">
            <v>0.97639951161751659</v>
          </cell>
          <cell r="T228">
            <v>26.683938510886904</v>
          </cell>
        </row>
        <row r="229">
          <cell r="I229">
            <v>11.126074480638078</v>
          </cell>
          <cell r="K229">
            <v>0.97731189534482377</v>
          </cell>
          <cell r="T229">
            <v>26.848007904630741</v>
          </cell>
        </row>
        <row r="230">
          <cell r="I230">
            <v>11.145344284807122</v>
          </cell>
          <cell r="K230">
            <v>0.97822962857678464</v>
          </cell>
          <cell r="T230">
            <v>27.01379170182711</v>
          </cell>
        </row>
        <row r="231">
          <cell r="I231">
            <v>11.16479030592296</v>
          </cell>
          <cell r="K231">
            <v>0.97915221757325832</v>
          </cell>
          <cell r="T231">
            <v>27.181221578598191</v>
          </cell>
        </row>
        <row r="232">
          <cell r="I232">
            <v>11.184406482772879</v>
          </cell>
          <cell r="K232">
            <v>0.98007917266395439</v>
          </cell>
          <cell r="T232">
            <v>27.350229045466691</v>
          </cell>
        </row>
        <row r="233">
          <cell r="I233">
            <v>11.204186882854412</v>
          </cell>
          <cell r="K233">
            <v>0.98101000857026255</v>
          </cell>
          <cell r="T233">
            <v>27.520745485092121</v>
          </cell>
        </row>
        <row r="234">
          <cell r="I234">
            <v>11.224125703390222</v>
          </cell>
          <cell r="K234">
            <v>0.98194424471029895</v>
          </cell>
          <cell r="T234">
            <v>27.692702189027393</v>
          </cell>
        </row>
        <row r="235">
          <cell r="I235">
            <v>11.244217271908742</v>
          </cell>
          <cell r="K235">
            <v>0.98288140548729619</v>
          </cell>
          <cell r="T235">
            <v>27.866030393466986</v>
          </cell>
        </row>
        <row r="236">
          <cell r="I236">
            <v>11.264456046405073</v>
          </cell>
          <cell r="K236">
            <v>0.98382102056150911</v>
          </cell>
          <cell r="T236">
            <v>28.040661313965174</v>
          </cell>
        </row>
        <row r="237">
          <cell r="I237">
            <v>11.284836615097095</v>
          </cell>
          <cell r="K237">
            <v>0.98476262510587231</v>
          </cell>
          <cell r="T237">
            <v>28.216526179107174</v>
          </cell>
        </row>
        <row r="238">
          <cell r="I238">
            <v>11.30535369579199</v>
          </cell>
          <cell r="K238">
            <v>0.98570576004569876</v>
          </cell>
          <cell r="T238">
            <v>28.393556263123799</v>
          </cell>
        </row>
        <row r="239">
          <cell r="I239">
            <v>11.326002134878424</v>
          </cell>
          <cell r="K239">
            <v>0.98664997228275131</v>
          </cell>
          <cell r="T239">
            <v>28.571682917445187</v>
          </cell>
        </row>
        <row r="240">
          <cell r="I240">
            <v>11.346776905959914</v>
          </cell>
          <cell r="K240">
            <v>0.98759481490407497</v>
          </cell>
          <cell r="T240">
            <v>28.750837601195709</v>
          </cell>
        </row>
        <row r="241">
          <cell r="I241">
            <v>11.367673108144633</v>
          </cell>
          <cell r="K241">
            <v>0.98853984737601885</v>
          </cell>
          <cell r="T241">
            <v>28.930951910638235</v>
          </cell>
        </row>
        <row r="242">
          <cell r="I242">
            <v>11.388685964007152</v>
          </cell>
          <cell r="K242">
            <v>0.98948463572391299</v>
          </cell>
          <cell r="T242">
            <v>29.111957607581996</v>
          </cell>
        </row>
        <row r="243">
          <cell r="I243">
            <v>11.409810817237096</v>
          </cell>
          <cell r="K243">
            <v>0.99042875269791231</v>
          </cell>
          <cell r="T243">
            <v>29.29378664677364</v>
          </cell>
        </row>
        <row r="244">
          <cell r="I244">
            <v>11.431043129989952</v>
          </cell>
          <cell r="K244">
            <v>0.99137177792554487</v>
          </cell>
          <cell r="T244">
            <v>29.476371202297315</v>
          </cell>
        </row>
        <row r="245">
          <cell r="I245">
            <v>11.452378479954556</v>
          </cell>
          <cell r="K245">
            <v>0.9923132980515369</v>
          </cell>
          <cell r="T245">
            <v>29.659643693014726</v>
          </cell>
        </row>
        <row r="246">
          <cell r="I246">
            <v>11.473812557151932</v>
          </cell>
          <cell r="K246">
            <v>0.99325290686551726</v>
          </cell>
          <cell r="T246">
            <v>29.843536807081268</v>
          </cell>
        </row>
        <row r="247">
          <cell r="I247">
            <v>11.495341160479503</v>
          </cell>
          <cell r="K247">
            <v>0.99419020541821523</v>
          </cell>
          <cell r="T247">
            <v>30.02798352557965</v>
          </cell>
        </row>
        <row r="248">
          <cell r="I248">
            <v>11.516960194014535</v>
          </cell>
          <cell r="K248">
            <v>0.99512480212680143</v>
          </cell>
          <cell r="T248">
            <v>30.21291714531624</v>
          </cell>
        </row>
        <row r="249">
          <cell r="I249">
            <v>11.538665663090258</v>
          </cell>
          <cell r="K249">
            <v>0.99605631287002294</v>
          </cell>
          <cell r="T249">
            <v>30.398271300830679</v>
          </cell>
        </row>
        <row r="250">
          <cell r="I250">
            <v>11.560453670157653</v>
          </cell>
          <cell r="K250">
            <v>0.99698436107380495</v>
          </cell>
          <cell r="T250">
            <v>30.583979985672055</v>
          </cell>
        </row>
        <row r="251">
          <cell r="I251">
            <v>11.582320410445583</v>
          </cell>
          <cell r="K251">
            <v>0.99790857778799535</v>
          </cell>
          <cell r="T251">
            <v>30.769977572999139</v>
          </cell>
        </row>
        <row r="252">
          <cell r="I252">
            <v>11.604262167431463</v>
          </cell>
          <cell r="K252">
            <v>0.99882860175493227</v>
          </cell>
          <cell r="T252">
            <v>30.956198835564976</v>
          </cell>
        </row>
        <row r="253">
          <cell r="I253">
            <v>11.626275308134208</v>
          </cell>
          <cell r="K253">
            <v>0.99974407947051991</v>
          </cell>
          <cell r="T253">
            <v>31.142578965148473</v>
          </cell>
        </row>
        <row r="254">
          <cell r="I254">
            <v>11.648356278240907</v>
          </cell>
          <cell r="K254">
            <v>1.0006546652384873</v>
          </cell>
          <cell r="T254">
            <v>31.329053591497956</v>
          </cell>
        </row>
        <row r="255">
          <cell r="I255">
            <v>11.670501597078111</v>
          </cell>
          <cell r="K255">
            <v>1.0015600212185085</v>
          </cell>
          <cell r="T255">
            <v>31.515558800853107</v>
          </cell>
        </row>
        <row r="256">
          <cell r="I256">
            <v>11.692707852438252</v>
          </cell>
          <cell r="K256">
            <v>1.0024598174688395</v>
          </cell>
          <cell r="T256">
            <v>31.702031154112685</v>
          </cell>
        </row>
        <row r="257">
          <cell r="I257">
            <v>11.714971695271378</v>
          </cell>
          <cell r="K257">
            <v>1.0033537319841259</v>
          </cell>
          <cell r="T257">
            <v>31.888407704716052</v>
          </cell>
        </row>
        <row r="258">
          <cell r="I258">
            <v>11.737289834251907</v>
          </cell>
          <cell r="K258">
            <v>1.0042414507290078</v>
          </cell>
          <cell r="T258">
            <v>32.074626016306389</v>
          </cell>
        </row>
        <row r="259">
          <cell r="I259">
            <v>11.759659030229781</v>
          </cell>
          <cell r="K259">
            <v>1.0051226676681373</v>
          </cell>
          <cell r="T259">
            <v>32.260624180242964</v>
          </cell>
        </row>
        <row r="260">
          <cell r="I260">
            <v>11.782076090575021</v>
          </cell>
          <cell r="K260">
            <v>1.0059970847931912</v>
          </cell>
          <cell r="T260">
            <v>32.446340833028621</v>
          </cell>
        </row>
        <row r="261">
          <cell r="I261">
            <v>11.804537863424434</v>
          </cell>
          <cell r="K261">
            <v>1.0068644121474433</v>
          </cell>
          <cell r="T261">
            <v>32.63171517371709</v>
          </cell>
        </row>
        <row r="262">
          <cell r="I262">
            <v>11.827041231838793</v>
          </cell>
          <cell r="K262">
            <v>1.0077243678484233</v>
          </cell>
          <cell r="T262">
            <v>32.816686981362338</v>
          </cell>
        </row>
        <row r="263">
          <cell r="I263">
            <v>11.849583107878678</v>
          </cell>
          <cell r="K263">
            <v>1.0085766781091658</v>
          </cell>
          <cell r="T263">
            <v>33.001196632569247</v>
          </cell>
        </row>
        <row r="264">
          <cell r="I264">
            <v>11.872160426606762</v>
          </cell>
          <cell r="K264">
            <v>1.0094210772585084</v>
          </cell>
          <cell r="T264">
            <v>33.185185119202401</v>
          </cell>
        </row>
        <row r="265">
          <cell r="I265">
            <v>11.894770140024326</v>
          </cell>
          <cell r="K265">
            <v>1.0102573077608699</v>
          </cell>
          <cell r="T265">
            <v>33.368594066304397</v>
          </cell>
        </row>
        <row r="266">
          <cell r="I266">
            <v>11.917409210949348</v>
          </cell>
          <cell r="K266">
            <v>1.0110851202358924</v>
          </cell>
          <cell r="T266">
            <v>33.551365750272652</v>
          </cell>
        </row>
        <row r="267">
          <cell r="I267">
            <v>11.940074606843586</v>
          </cell>
          <cell r="K267">
            <v>1.0119042734782999</v>
          </cell>
          <cell r="T267">
            <v>33.733443117336968</v>
          </cell>
        </row>
        <row r="268">
          <cell r="I268">
            <v>11.962763293595893</v>
          </cell>
          <cell r="K268">
            <v>1.0127145344782673</v>
          </cell>
          <cell r="T268">
            <v>33.914769802376469</v>
          </cell>
        </row>
        <row r="269">
          <cell r="I269">
            <v>11.985472229268808</v>
          </cell>
          <cell r="K269">
            <v>1.0135156784425661</v>
          </cell>
          <cell r="T269">
            <v>34.095290148107495</v>
          </cell>
        </row>
        <row r="270">
          <cell r="I270">
            <v>12.008198357815731</v>
          </cell>
          <cell r="K270">
            <v>1.0143074888166961</v>
          </cell>
          <cell r="T270">
            <v>34.274949224668816</v>
          </cell>
        </row>
        <row r="271">
          <cell r="I271">
            <v>12.030938602775587</v>
          </cell>
          <cell r="K271">
            <v>1.0150897573081683</v>
          </cell>
          <cell r="T271">
            <v>34.453692849623536</v>
          </cell>
        </row>
        <row r="272">
          <cell r="I272">
            <v>12.053689860952399</v>
          </cell>
          <cell r="K272">
            <v>1.0158622839110589</v>
          </cell>
          <cell r="T272">
            <v>34.631467608390317</v>
          </cell>
        </row>
        <row r="273">
          <cell r="I273">
            <v>12.076448996086873</v>
          </cell>
          <cell r="K273">
            <v>1.0166248769318984</v>
          </cell>
          <cell r="T273">
            <v>34.808220875109512</v>
          </cell>
        </row>
        <row r="274">
          <cell r="I274">
            <v>12.099212832527423</v>
          </cell>
          <cell r="K274">
            <v>1.0173773530169188</v>
          </cell>
          <cell r="T274">
            <v>34.983900833942378</v>
          </cell>
        </row>
        <row r="275">
          <cell r="I275">
            <v>12.121978148908402</v>
          </cell>
          <cell r="K275">
            <v>1.0181195371806306</v>
          </cell>
          <cell r="T275">
            <v>35.158456500793754</v>
          </cell>
        </row>
        <row r="276">
          <cell r="I276">
            <v>12.144741671843036</v>
          </cell>
          <cell r="K276">
            <v>1.018851262835645</v>
          </cell>
          <cell r="T276">
            <v>35.331837745441064</v>
          </cell>
        </row>
        <row r="277">
          <cell r="I277">
            <v>12.167500069639472</v>
          </cell>
          <cell r="K277">
            <v>1.01957237182362</v>
          </cell>
          <cell r="T277">
            <v>35.503995314044545</v>
          </cell>
        </row>
        <row r="278">
          <cell r="I278">
            <v>12.190249946048064</v>
          </cell>
          <cell r="K278">
            <v>1.020282714447148</v>
          </cell>
          <cell r="T278">
            <v>35.67488085200516</v>
          </cell>
        </row>
        <row r="279">
          <cell r="I279">
            <v>12.212987834048798</v>
          </cell>
          <cell r="K279">
            <v>1.0209821495023679</v>
          </cell>
          <cell r="T279">
            <v>35.84444692712988</v>
          </cell>
        </row>
        <row r="280">
          <cell r="I280">
            <v>12.235710189687937</v>
          </cell>
          <cell r="K280">
            <v>1.0216705443120255</v>
          </cell>
          <cell r="T280">
            <v>36.012647053054536</v>
          </cell>
        </row>
        <row r="281">
          <cell r="I281">
            <v>12.25841338597343</v>
          </cell>
          <cell r="K281">
            <v>1.0223477747586711</v>
          </cell>
          <cell r="T281">
            <v>36.179435712867594</v>
          </cell>
        </row>
        <row r="282">
          <cell r="I282">
            <v>12.281093706839203</v>
          </cell>
          <cell r="K282">
            <v>1.0230137253176346</v>
          </cell>
          <cell r="T282">
            <v>36.344768382870527</v>
          </cell>
        </row>
        <row r="283">
          <cell r="I283">
            <v>12.303747341188917</v>
          </cell>
          <cell r="K283">
            <v>1.0236682890893776</v>
          </cell>
          <cell r="T283">
            <v>36.508601556402283</v>
          </cell>
        </row>
        <row r="284">
          <cell r="I284">
            <v>12.326370377030226</v>
          </cell>
          <cell r="K284">
            <v>1.0243113678307814</v>
          </cell>
          <cell r="T284">
            <v>36.670892767648695</v>
          </cell>
        </row>
        <row r="285">
          <cell r="I285">
            <v>12.348958795711455</v>
          </cell>
          <cell r="K285">
            <v>1.0249428719848979</v>
          </cell>
          <cell r="T285">
            <v>36.831600615350567</v>
          </cell>
        </row>
        <row r="286">
          <cell r="I286">
            <v>12.371508466272868</v>
          </cell>
          <cell r="K286">
            <v>1.025562720708646</v>
          </cell>
          <cell r="T286">
            <v>36.990684786317473</v>
          </cell>
        </row>
        <row r="287">
          <cell r="I287">
            <v>12.394015139925731</v>
          </cell>
          <cell r="K287">
            <v>1.0261708418979132</v>
          </cell>
          <cell r="T287">
            <v>37.148106078648368</v>
          </cell>
        </row>
        <row r="288">
          <cell r="I288">
            <v>12.416474444672822</v>
          </cell>
          <cell r="K288">
            <v>1.0267671722094867</v>
          </cell>
          <cell r="T288">
            <v>37.303826424554515</v>
          </cell>
        </row>
        <row r="289">
          <cell r="I289">
            <v>12.438881880084809</v>
          </cell>
          <cell r="K289">
            <v>1.0273516570792156</v>
          </cell>
          <cell r="T289">
            <v>37.457808912674437</v>
          </cell>
        </row>
        <row r="290">
          <cell r="I290">
            <v>12.461232812247786</v>
          </cell>
          <cell r="K290">
            <v>1.0279242507357855</v>
          </cell>
          <cell r="T290">
            <v>37.610017809767371</v>
          </cell>
        </row>
        <row r="291">
          <cell r="I291">
            <v>12.483522468897803</v>
          </cell>
          <cell r="K291">
            <v>1.0284849162094551</v>
          </cell>
          <cell r="T291">
            <v>37.760418581666087</v>
          </cell>
        </row>
        <row r="292">
          <cell r="I292">
            <v>12.505745934759188</v>
          </cell>
          <cell r="K292">
            <v>1.0290336253351089</v>
          </cell>
          <cell r="T292">
            <v>37.908977913368176</v>
          </cell>
        </row>
        <row r="293">
          <cell r="I293">
            <v>12.527898147104127</v>
          </cell>
          <cell r="K293">
            <v>1.0295703587489491</v>
          </cell>
          <cell r="T293">
            <v>38.055663728141198</v>
          </cell>
        </row>
        <row r="294">
          <cell r="I294">
            <v>12.549973891551732</v>
          </cell>
          <cell r="K294">
            <v>1.0300951058781556</v>
          </cell>
          <cell r="T294">
            <v>38.200445205516317</v>
          </cell>
        </row>
        <row r="295">
          <cell r="I295">
            <v>12.571967798125707</v>
          </cell>
          <cell r="K295">
            <v>1.0306078649228301</v>
          </cell>
          <cell r="T295">
            <v>38.34329279804254</v>
          </cell>
        </row>
        <row r="296">
          <cell r="I296">
            <v>12.593874337590313</v>
          </cell>
          <cell r="K296">
            <v>1.0311086428295455</v>
          </cell>
          <cell r="T296">
            <v>38.484178246675384</v>
          </cell>
        </row>
        <row r="297">
          <cell r="I297">
            <v>12.615687818085217</v>
          </cell>
          <cell r="K297">
            <v>1.0315974552558274</v>
          </cell>
          <cell r="T297">
            <v>38.623074594672374</v>
          </cell>
        </row>
        <row r="298">
          <cell r="I298">
            <v>12.637402382080378</v>
          </cell>
          <cell r="K298">
            <v>1.0320743265248982</v>
          </cell>
          <cell r="T298">
            <v>38.759956199870359</v>
          </cell>
        </row>
        <row r="299">
          <cell r="I299">
            <v>12.65901200367289</v>
          </cell>
          <cell r="K299">
            <v>1.032539289570032</v>
          </cell>
          <cell r="T299">
            <v>38.894798745221976</v>
          </cell>
        </row>
        <row r="300">
          <cell r="I300">
            <v>12.680510486248172</v>
          </cell>
          <cell r="K300">
            <v>1.0329923858678827</v>
          </cell>
          <cell r="T300">
            <v>39.027579247470733</v>
          </cell>
        </row>
        <row r="301">
          <cell r="I301">
            <v>12.701891460528639</v>
          </cell>
          <cell r="K301">
            <v>1.0334336653601741</v>
          </cell>
          <cell r="T301">
            <v>39.158276063849144</v>
          </cell>
        </row>
        <row r="302">
          <cell r="I302">
            <v>12.723148383033188</v>
          </cell>
          <cell r="K302">
            <v>1.03386318636316</v>
          </cell>
          <cell r="T302">
            <v>39.286868896688745</v>
          </cell>
        </row>
        <row r="303">
          <cell r="I303">
            <v>12.744274534971474</v>
          </cell>
          <cell r="K303">
            <v>1.0342810154643007</v>
          </cell>
          <cell r="T303">
            <v>39.413338795836367</v>
          </cell>
        </row>
        <row r="304">
          <cell r="I304">
            <v>12.765263021597068</v>
          </cell>
          <cell r="K304">
            <v>1.034687227405628</v>
          </cell>
          <cell r="T304">
            <v>39.537668158777905</v>
          </cell>
        </row>
        <row r="305">
          <cell r="I305">
            <v>12.786106772043812</v>
          </cell>
          <cell r="K305">
            <v>1.0350819049533166</v>
          </cell>
          <cell r="T305">
            <v>39.659840728377716</v>
          </cell>
        </row>
        <row r="306">
          <cell r="I306">
            <v>12.806798539669806</v>
          </cell>
          <cell r="K306">
            <v>1.0354651387530205</v>
          </cell>
          <cell r="T306">
            <v>39.779841588149978</v>
          </cell>
        </row>
        <row r="307">
          <cell r="I307">
            <v>12.82733090293323</v>
          </cell>
          <cell r="K307">
            <v>1.0358370271705748</v>
          </cell>
          <cell r="T307">
            <v>39.897657154987527</v>
          </cell>
        </row>
        <row r="308">
          <cell r="I308">
            <v>12.847696266824101</v>
          </cell>
          <cell r="K308">
            <v>1.0361976761177196</v>
          </cell>
          <cell r="T308">
            <v>40.013275169282224</v>
          </cell>
        </row>
        <row r="309">
          <cell r="I309">
            <v>12.867886864875677</v>
          </cell>
          <cell r="K309">
            <v>1.0365471988625521</v>
          </cell>
          <cell r="T309">
            <v>40.126684682382106</v>
          </cell>
        </row>
        <row r="310">
          <cell r="I310">
            <v>12.887894761778501</v>
          </cell>
          <cell r="K310">
            <v>1.0368857158244706</v>
          </cell>
          <cell r="T310">
            <v>40.237876041340378</v>
          </cell>
        </row>
        <row r="311">
          <cell r="I311">
            <v>12.907711856619468</v>
          </cell>
          <cell r="K311">
            <v>1.0372133543534348</v>
          </cell>
          <cell r="T311">
            <v>40.346840870923295</v>
          </cell>
        </row>
        <row r="312">
          <cell r="I312">
            <v>12.927329886767305</v>
          </cell>
          <cell r="K312">
            <v>1.0375302484934286</v>
          </cell>
          <cell r="T312">
            <v>40.453572052854859</v>
          </cell>
        </row>
        <row r="313">
          <cell r="I313">
            <v>12.946740432424651</v>
          </cell>
          <cell r="K313">
            <v>1.0378365387300734</v>
          </cell>
          <cell r="T313">
            <v>40.558063702289274</v>
          </cell>
        </row>
        <row r="314">
          <cell r="I314">
            <v>12.965934921865541</v>
          </cell>
          <cell r="K314">
            <v>1.0381323717224153</v>
          </cell>
          <cell r="T314">
            <v>40.660311141513574</v>
          </cell>
        </row>
        <row r="315">
          <cell r="I315">
            <v>12.984904637375484</v>
          </cell>
          <cell r="K315">
            <v>1.0384179000189673</v>
          </cell>
          <cell r="T315">
            <v>40.76031087089649</v>
          </cell>
        </row>
        <row r="316">
          <cell r="I316">
            <v>13.003640721909486</v>
          </cell>
          <cell r="K316">
            <v>1.0386932817581682</v>
          </cell>
          <cell r="T316">
            <v>40.858060537111371</v>
          </cell>
        </row>
        <row r="317">
          <cell r="I317">
            <v>13.022134186481196</v>
          </cell>
          <cell r="K317">
            <v>1.0389586803534896</v>
          </cell>
          <cell r="T317">
            <v>40.95355889867507</v>
          </cell>
        </row>
        <row r="318">
          <cell r="I318">
            <v>13.040375918294128</v>
          </cell>
          <cell r="K318">
            <v>1.0392142641634872</v>
          </cell>
          <cell r="T318">
            <v>41.046805788856631</v>
          </cell>
        </row>
        <row r="319">
          <cell r="I319">
            <v>13.058356689623087</v>
          </cell>
          <cell r="K319">
            <v>1.0394602061471769</v>
          </cell>
          <cell r="T319">
            <v>41.137802076023092</v>
          </cell>
        </row>
        <row r="320">
          <cell r="I320">
            <v>13.076067167451267</v>
          </cell>
          <cell r="K320">
            <v>1.0396966835051891</v>
          </cell>
          <cell r="T320">
            <v>41.226549621502578</v>
          </cell>
        </row>
        <row r="321">
          <cell r="I321">
            <v>13.093497923865337</v>
          </cell>
          <cell r="K321">
            <v>1.0399238773072104</v>
          </cell>
          <cell r="T321">
            <v>41.31305123505652</v>
          </cell>
        </row>
        <row r="322">
          <cell r="I322">
            <v>13.110639447207307</v>
          </cell>
          <cell r="K322">
            <v>1.0401419721063272</v>
          </cell>
          <cell r="T322">
            <v>41.397310628066037</v>
          </cell>
        </row>
        <row r="323">
          <cell r="I323">
            <v>13.127482153978651</v>
          </cell>
          <cell r="K323">
            <v>1.0403511555409204</v>
          </cell>
          <cell r="T323">
            <v>41.479332364548611</v>
          </cell>
        </row>
        <row r="324">
          <cell r="I324">
            <v>13.144016401488095</v>
          </cell>
          <cell r="K324">
            <v>1.0405516179248628</v>
          </cell>
          <cell r="T324">
            <v>41.559121810132794</v>
          </cell>
        </row>
        <row r="325">
          <cell r="I325">
            <v>13.160232501230519</v>
          </cell>
          <cell r="K325">
            <v>1.0407435518268184</v>
          </cell>
          <cell r="T325">
            <v>41.636685079129691</v>
          </cell>
        </row>
        <row r="326">
          <cell r="I326">
            <v>13.176120732980356</v>
          </cell>
          <cell r="K326">
            <v>1.0409271516395178</v>
          </cell>
          <cell r="T326">
            <v>41.712028979849315</v>
          </cell>
        </row>
        <row r="327">
          <cell r="I327">
            <v>13.191671359578162</v>
          </cell>
          <cell r="K327">
            <v>1.0411026131399503</v>
          </cell>
          <cell r="T327">
            <v>41.785160958320809</v>
          </cell>
        </row>
        <row r="328">
          <cell r="I328">
            <v>13.206874642384781</v>
          </cell>
          <cell r="K328">
            <v>1.0412701330414673</v>
          </cell>
          <cell r="T328">
            <v>41.856089040582916</v>
          </cell>
        </row>
        <row r="329">
          <cell r="I329">
            <v>13.221720857372709</v>
          </cell>
          <cell r="K329">
            <v>1.0414299085388574</v>
          </cell>
          <cell r="T329">
            <v>41.924821773720296</v>
          </cell>
        </row>
        <row r="330">
          <cell r="I330">
            <v>13.236200311819495</v>
          </cell>
          <cell r="K330">
            <v>1.0415821368474991</v>
          </cell>
          <cell r="T330">
            <v>41.991368165827453</v>
          </cell>
        </row>
        <row r="331">
          <cell r="I331">
            <v>13.250303361563352</v>
          </cell>
          <cell r="K331">
            <v>1.0417270147377604</v>
          </cell>
          <cell r="T331">
            <v>42.055737625089591</v>
          </cell>
        </row>
        <row r="332">
          <cell r="I332">
            <v>13.264020428776165</v>
          </cell>
          <cell r="K332">
            <v>1.0418647380658455</v>
          </cell>
          <cell r="T332">
            <v>42.117939898174072</v>
          </cell>
        </row>
        <row r="333">
          <cell r="I333">
            <v>13.277342020204403</v>
          </cell>
          <cell r="K333">
            <v>1.0419955013023439</v>
          </cell>
          <cell r="T333">
            <v>42.17798500813155</v>
          </cell>
        </row>
        <row r="334">
          <cell r="I334">
            <v>13.290258745823692</v>
          </cell>
          <cell r="K334">
            <v>1.0421194970597658</v>
          </cell>
          <cell r="T334">
            <v>42.235883192008956</v>
          </cell>
        </row>
        <row r="335">
          <cell r="I335">
            <v>13.302761337848288</v>
          </cell>
          <cell r="K335">
            <v>1.0422369156203868</v>
          </cell>
          <cell r="T335">
            <v>42.291644838379867</v>
          </cell>
        </row>
        <row r="336">
          <cell r="I336">
            <v>13.314840670031995</v>
          </cell>
          <cell r="K336">
            <v>1.0423479444657391</v>
          </cell>
          <cell r="T336">
            <v>42.345280424998855</v>
          </cell>
        </row>
        <row r="337">
          <cell r="I337">
            <v>13.326487777193289</v>
          </cell>
          <cell r="K337">
            <v>1.0424527678091269</v>
          </cell>
          <cell r="T337">
            <v>42.396800456787844</v>
          </cell>
        </row>
        <row r="338">
          <cell r="I338">
            <v>13.33769387489302</v>
          </cell>
          <cell r="K338">
            <v>1.0425515661325413</v>
          </cell>
          <cell r="T338">
            <v>42.446215404362263</v>
          </cell>
        </row>
        <row r="339">
          <cell r="I339">
            <v>13.348450379189718</v>
          </cell>
          <cell r="K339">
            <v>1.0426445157293678</v>
          </cell>
          <cell r="T339">
            <v>42.493535643303574</v>
          </cell>
        </row>
        <row r="340">
          <cell r="I340">
            <v>13.358748926394169</v>
          </cell>
          <cell r="K340">
            <v>1.0427317882542817</v>
          </cell>
          <cell r="T340">
            <v>42.538771394383659</v>
          </cell>
        </row>
        <row r="341">
          <cell r="I341">
            <v>13.368581392741991</v>
          </cell>
          <cell r="K341">
            <v>1.0428135502817324</v>
          </cell>
          <cell r="T341">
            <v>42.581932664942727</v>
          </cell>
        </row>
        <row r="342">
          <cell r="I342">
            <v>13.37793991390074</v>
          </cell>
          <cell r="K342">
            <v>1.042889962874388</v>
          </cell>
          <cell r="T342">
            <v>42.623029191619999</v>
          </cell>
        </row>
        <row r="343">
          <cell r="I343">
            <v>13.386816904225913</v>
          </cell>
          <cell r="K343">
            <v>1.042961181162926</v>
          </cell>
          <cell r="T343">
            <v>42.66207038463164</v>
          </cell>
        </row>
        <row r="344">
          <cell r="I344">
            <v>13.395205075679121</v>
          </cell>
          <cell r="K344">
            <v>1.0430273539385098</v>
          </cell>
          <cell r="T344">
            <v>42.699065273785024</v>
          </cell>
        </row>
        <row r="345">
          <cell r="I345">
            <v>13.40309745632074</v>
          </cell>
          <cell r="K345">
            <v>1.0430886232592806</v>
          </cell>
          <cell r="T345">
            <v>42.734022456413641</v>
          </cell>
        </row>
        <row r="346">
          <cell r="I346">
            <v>13.410487408289292</v>
          </cell>
          <cell r="K346">
            <v>1.0431451240721528</v>
          </cell>
          <cell r="T346">
            <v>42.766950047409651</v>
          </cell>
        </row>
        <row r="347">
          <cell r="I347">
            <v>13.417368645180208</v>
          </cell>
          <cell r="K347">
            <v>1.0431969838511672</v>
          </cell>
          <cell r="T347">
            <v>42.797855631524406</v>
          </cell>
        </row>
        <row r="348">
          <cell r="I348">
            <v>13.423735248737781</v>
          </cell>
          <cell r="K348">
            <v>1.0432443222536116</v>
          </cell>
          <cell r="T348">
            <v>42.826746218100261</v>
          </cell>
        </row>
        <row r="349">
          <cell r="I349">
            <v>13.429581684775858</v>
          </cell>
          <cell r="K349">
            <v>1.043287250795065</v>
          </cell>
          <cell r="T349">
            <v>42.853628198387739</v>
          </cell>
        </row>
        <row r="350">
          <cell r="I350">
            <v>13.434902818245344</v>
          </cell>
          <cell r="K350">
            <v>1.043325872544469</v>
          </cell>
          <cell r="T350">
            <v>42.878507305594937</v>
          </cell>
        </row>
        <row r="351">
          <cell r="I351">
            <v>13.439693927369586</v>
          </cell>
          <cell r="K351">
            <v>1.0433602818402716</v>
          </cell>
          <cell r="T351">
            <v>42.901388577805832</v>
          </cell>
        </row>
        <row r="352">
          <cell r="I352">
            <v>13.443950716772623</v>
          </cell>
          <cell r="K352">
            <v>1.043390564028623</v>
          </cell>
          <cell r="T352">
            <v>42.922276323896114</v>
          </cell>
        </row>
        <row r="353">
          <cell r="I353">
            <v>13.447669329529568</v>
          </cell>
          <cell r="K353">
            <v>1.0434167952245224</v>
          </cell>
          <cell r="T353">
            <v>42.941174092563962</v>
          </cell>
        </row>
        <row r="354">
          <cell r="I354">
            <v>13.450846358073472</v>
          </cell>
          <cell r="K354">
            <v>1.0434390420967636</v>
          </cell>
          <cell r="T354">
            <v>42.958084644584673</v>
          </cell>
        </row>
        <row r="355">
          <cell r="I355">
            <v>13.453478853898625</v>
          </cell>
          <cell r="K355">
            <v>1.0434573616774252</v>
          </cell>
          <cell r="T355">
            <v>42.973009928386787</v>
          </cell>
        </row>
        <row r="356">
          <cell r="I356">
            <v>13.455564336006312</v>
          </cell>
          <cell r="K356">
            <v>1.0434718011965771</v>
          </cell>
          <cell r="T356">
            <v>42.985951059037113</v>
          </cell>
        </row>
        <row r="357">
          <cell r="I357">
            <v>13.457100798045776</v>
          </cell>
          <cell r="K357">
            <v>1.0434823979428147</v>
          </cell>
          <cell r="T357">
            <v>42.996908300711738</v>
          </cell>
        </row>
        <row r="358">
          <cell r="I358">
            <v>13.458086714110046</v>
          </cell>
          <cell r="K358">
            <v>1.0434891791500842</v>
          </cell>
          <cell r="T358">
            <v>43.005881052718408</v>
          </cell>
        </row>
        <row r="359">
          <cell r="I359">
            <v>13.458521043153825</v>
          </cell>
          <cell r="K359">
            <v>1.0434921619112543</v>
          </cell>
          <cell r="T359">
            <v>43.012867839125683</v>
          </cell>
        </row>
        <row r="360">
          <cell r="I360">
            <v>13.458403232008276</v>
          </cell>
          <cell r="K360">
            <v>1.0434913531187173</v>
          </cell>
          <cell r="T360">
            <v>43.017866302041909</v>
          </cell>
        </row>
        <row r="361">
          <cell r="I361">
            <v>13.457733216975646</v>
          </cell>
          <cell r="K361">
            <v>1.0434867494322762</v>
          </cell>
          <cell r="T361">
            <v>43.020873198576822</v>
          </cell>
        </row>
        <row r="362">
          <cell r="I362">
            <v>13.456511423994518</v>
          </cell>
          <cell r="K362">
            <v>1.0434783372744176</v>
          </cell>
          <cell r="T362">
            <v>43.021884401506568</v>
          </cell>
        </row>
        <row r="363">
          <cell r="I363">
            <v>13.454738767374977</v>
          </cell>
          <cell r="K363">
            <v>1.0434660928530486</v>
          </cell>
          <cell r="T363">
            <v>43.020894903651737</v>
          </cell>
        </row>
        <row r="364">
          <cell r="I364">
            <v>13.45241664711107</v>
          </cell>
          <cell r="K364">
            <v>1.0434499822115912</v>
          </cell>
          <cell r="T364">
            <v>43.017898825966327</v>
          </cell>
        </row>
        <row r="365">
          <cell r="I365">
            <v>13.449546944786</v>
          </cell>
          <cell r="K365">
            <v>1.0434299613063189</v>
          </cell>
          <cell r="T365">
            <v>43.012889429324311</v>
          </cell>
        </row>
        <row r="366">
          <cell r="I366">
            <v>13.446132018093639</v>
          </cell>
          <cell r="K366">
            <v>1.0434059761106758</v>
          </cell>
          <cell r="T366">
            <v>43.005859129978646</v>
          </cell>
        </row>
        <row r="367">
          <cell r="I367">
            <v>13.44217469400769</v>
          </cell>
          <cell r="K367">
            <v>1.0433779627462227</v>
          </cell>
          <cell r="T367">
            <v>42.996799518656061</v>
          </cell>
        </row>
        <row r="368">
          <cell r="I368">
            <v>13.437678260637247</v>
          </cell>
          <cell r="K368">
            <v>1.0433458476398019</v>
          </cell>
          <cell r="T368">
            <v>42.985701383239665</v>
          </cell>
        </row>
      </sheetData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60"/>
  <sheetViews>
    <sheetView tabSelected="1" zoomScale="75" zoomScaleNormal="75" workbookViewId="0">
      <selection activeCell="A2" sqref="A2"/>
    </sheetView>
  </sheetViews>
  <sheetFormatPr defaultColWidth="11.42578125" defaultRowHeight="12.75"/>
  <cols>
    <col min="1" max="1" width="8.7109375" style="8" customWidth="1"/>
    <col min="2" max="8" width="12.7109375" style="8" customWidth="1"/>
    <col min="9" max="25" width="8.7109375" style="8" customWidth="1"/>
    <col min="26" max="27" width="12.7109375" style="8" customWidth="1"/>
    <col min="28" max="16384" width="11.42578125" style="8"/>
  </cols>
  <sheetData>
    <row r="1" spans="1:28" ht="18" customHeight="1">
      <c r="A1" s="1" t="s">
        <v>0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7" t="s">
        <v>2</v>
      </c>
      <c r="Y1" s="6"/>
      <c r="Z1" s="6"/>
      <c r="AA1" s="6"/>
      <c r="AB1" s="3"/>
    </row>
    <row r="2" spans="1:28" ht="18" customHeight="1">
      <c r="A2" s="3"/>
      <c r="B2" s="9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9" t="s">
        <v>4</v>
      </c>
      <c r="V2" s="3"/>
      <c r="W2" s="3"/>
      <c r="X2" s="3"/>
      <c r="Y2" s="3"/>
      <c r="Z2" s="3"/>
      <c r="AA2" s="3"/>
      <c r="AB2" s="3"/>
    </row>
    <row r="3" spans="1:28" ht="18" customHeight="1">
      <c r="A3" s="3"/>
      <c r="B3" s="9" t="s">
        <v>5</v>
      </c>
      <c r="C3" s="3"/>
      <c r="D3" s="3"/>
      <c r="E3" s="3"/>
      <c r="F3" s="3"/>
      <c r="G3" s="4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9" t="s">
        <v>7</v>
      </c>
      <c r="V3" s="10"/>
      <c r="W3" s="6"/>
      <c r="X3" s="6"/>
      <c r="Y3" s="6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1" t="s">
        <v>8</v>
      </c>
      <c r="B5" s="12"/>
      <c r="C5" s="13" t="s">
        <v>9</v>
      </c>
      <c r="D5" s="14"/>
      <c r="E5" s="15"/>
      <c r="F5" s="14"/>
      <c r="G5" s="14"/>
      <c r="H5" s="16"/>
      <c r="I5" s="17" t="s">
        <v>10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3"/>
      <c r="Y5" s="18"/>
      <c r="Z5" s="15"/>
      <c r="AA5" s="19"/>
      <c r="AB5" s="3"/>
    </row>
    <row r="6" spans="1:28" ht="18" customHeight="1">
      <c r="A6" s="20"/>
      <c r="B6" s="21" t="s">
        <v>11</v>
      </c>
      <c r="C6" s="22" t="s">
        <v>12</v>
      </c>
      <c r="D6" s="23" t="s">
        <v>13</v>
      </c>
      <c r="E6" s="22" t="s">
        <v>13</v>
      </c>
      <c r="F6" s="24" t="s">
        <v>14</v>
      </c>
      <c r="G6" s="24" t="s">
        <v>15</v>
      </c>
      <c r="H6" s="24" t="s">
        <v>16</v>
      </c>
      <c r="I6" s="25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8"/>
      <c r="W6" s="29"/>
      <c r="X6" s="30"/>
      <c r="Y6" s="31"/>
      <c r="Z6" s="32" t="s">
        <v>17</v>
      </c>
      <c r="AA6" s="33" t="s">
        <v>18</v>
      </c>
      <c r="AB6" s="3"/>
    </row>
    <row r="7" spans="1:28" ht="18" customHeight="1" thickBot="1">
      <c r="A7" s="34"/>
      <c r="B7" s="35" t="s">
        <v>19</v>
      </c>
      <c r="C7" s="36" t="s">
        <v>20</v>
      </c>
      <c r="D7" s="23" t="s">
        <v>21</v>
      </c>
      <c r="E7" s="24" t="s">
        <v>21</v>
      </c>
      <c r="F7" s="24" t="s">
        <v>22</v>
      </c>
      <c r="G7" s="24" t="s">
        <v>23</v>
      </c>
      <c r="H7" s="24" t="s">
        <v>24</v>
      </c>
      <c r="I7" s="37" t="s">
        <v>25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8"/>
      <c r="W7" s="39"/>
      <c r="X7" s="40" t="s">
        <v>26</v>
      </c>
      <c r="Y7" s="41"/>
      <c r="Z7" s="42" t="s">
        <v>27</v>
      </c>
      <c r="AA7" s="43" t="s">
        <v>28</v>
      </c>
      <c r="AB7" s="3"/>
    </row>
    <row r="8" spans="1:28" ht="18" customHeight="1" thickBot="1">
      <c r="A8" s="44"/>
      <c r="B8" s="45" t="s">
        <v>29</v>
      </c>
      <c r="C8" s="40" t="s">
        <v>30</v>
      </c>
      <c r="D8" s="46" t="s">
        <v>31</v>
      </c>
      <c r="E8" s="47" t="s">
        <v>32</v>
      </c>
      <c r="F8" s="47" t="s">
        <v>32</v>
      </c>
      <c r="G8" s="46" t="s">
        <v>32</v>
      </c>
      <c r="H8" s="24" t="s">
        <v>33</v>
      </c>
      <c r="I8" s="48" t="s">
        <v>34</v>
      </c>
      <c r="J8" s="49" t="s">
        <v>35</v>
      </c>
      <c r="K8" s="49" t="s">
        <v>36</v>
      </c>
      <c r="L8" s="49" t="s">
        <v>37</v>
      </c>
      <c r="M8" s="49" t="s">
        <v>38</v>
      </c>
      <c r="N8" s="49" t="s">
        <v>39</v>
      </c>
      <c r="O8" s="50" t="s">
        <v>40</v>
      </c>
      <c r="P8" s="49" t="s">
        <v>41</v>
      </c>
      <c r="Q8" s="49" t="s">
        <v>42</v>
      </c>
      <c r="R8" s="49" t="s">
        <v>43</v>
      </c>
      <c r="S8" s="49" t="s">
        <v>44</v>
      </c>
      <c r="T8" s="49" t="s">
        <v>45</v>
      </c>
      <c r="U8" s="49" t="s">
        <v>46</v>
      </c>
      <c r="V8" s="51" t="s">
        <v>47</v>
      </c>
      <c r="W8" s="32" t="s">
        <v>48</v>
      </c>
      <c r="X8" s="52" t="s">
        <v>49</v>
      </c>
      <c r="Y8" s="53" t="s">
        <v>50</v>
      </c>
      <c r="Z8" s="54" t="s">
        <v>50</v>
      </c>
      <c r="AA8" s="55" t="s">
        <v>50</v>
      </c>
      <c r="AB8" s="3"/>
    </row>
    <row r="9" spans="1:28" ht="18" customHeight="1">
      <c r="A9" s="56">
        <v>1</v>
      </c>
      <c r="B9" s="57">
        <v>26.1</v>
      </c>
      <c r="C9" s="58">
        <f>'[1]cálculos teóricos'!K3</f>
        <v>1.0433095476903587</v>
      </c>
      <c r="D9" s="59">
        <f>IF(B9&gt;0,B9*C9*14.25*1.022,-999)</f>
        <v>396.5696274022809</v>
      </c>
      <c r="E9" s="60">
        <f>IF(B9&gt;0,D9*4.1868/100,-999)</f>
        <v>16.603577160078697</v>
      </c>
      <c r="F9" s="61">
        <f>IF(B9&gt;0,(7.86+1.25*D9)*4.1868/100,-999)</f>
        <v>21.083553930098368</v>
      </c>
      <c r="G9" s="62">
        <f>'[1]cálculos teóricos'!T3</f>
        <v>42.972554729067994</v>
      </c>
      <c r="H9" s="63">
        <f>IF(B9&gt;0,100*F9/G9,-999)</f>
        <v>49.062835716948399</v>
      </c>
      <c r="I9" s="64"/>
      <c r="J9" s="64">
        <v>0.9</v>
      </c>
      <c r="K9" s="64">
        <v>1</v>
      </c>
      <c r="L9" s="64">
        <v>1</v>
      </c>
      <c r="M9" s="64">
        <v>1</v>
      </c>
      <c r="N9" s="64">
        <v>1</v>
      </c>
      <c r="O9" s="65">
        <v>0.8</v>
      </c>
      <c r="P9" s="66">
        <v>0.3</v>
      </c>
      <c r="Q9" s="67"/>
      <c r="R9" s="67">
        <v>0.4</v>
      </c>
      <c r="S9" s="67">
        <v>0.3</v>
      </c>
      <c r="T9" s="67">
        <v>0.9</v>
      </c>
      <c r="U9" s="67"/>
      <c r="V9" s="65"/>
      <c r="W9" s="68">
        <f t="shared" ref="W9:W15" si="0">SUM(I9:O9)</f>
        <v>5.7</v>
      </c>
      <c r="X9" s="69">
        <f>SUM(P9:V9)</f>
        <v>1.9</v>
      </c>
      <c r="Y9" s="70">
        <f>W9+X9</f>
        <v>7.6</v>
      </c>
      <c r="Z9" s="71">
        <f>'[1]cálculos teóricos'!I3</f>
        <v>13.432646455605028</v>
      </c>
      <c r="AA9" s="72">
        <f>100*Y9/Z9</f>
        <v>56.578575376922508</v>
      </c>
      <c r="AB9" s="3"/>
    </row>
    <row r="10" spans="1:28" ht="18" customHeight="1">
      <c r="A10" s="73">
        <v>2</v>
      </c>
      <c r="B10" s="74">
        <v>-99</v>
      </c>
      <c r="C10" s="75">
        <f>'[1]cálculos teóricos'!K4</f>
        <v>1.0432689705391567</v>
      </c>
      <c r="D10" s="59">
        <f>IF(B10&gt;0,B10*C10*14.25*1.022,-999)</f>
        <v>-999</v>
      </c>
      <c r="E10" s="60">
        <f>IF(B10&gt;0,D10*4.1868/100,-999)</f>
        <v>-999</v>
      </c>
      <c r="F10" s="61">
        <f>IF(B10&gt;0,(7.86+1.25*D10)*4.1868/100,-999)</f>
        <v>-999</v>
      </c>
      <c r="G10" s="62">
        <f>'[1]cálculos teóricos'!T4</f>
        <v>42.957348831388643</v>
      </c>
      <c r="H10" s="76">
        <f>IF(B10&gt;0,100*F10/G10,-999)</f>
        <v>-999</v>
      </c>
      <c r="I10" s="57"/>
      <c r="J10" s="77">
        <v>0.8</v>
      </c>
      <c r="K10" s="77">
        <v>1</v>
      </c>
      <c r="L10" s="77">
        <v>1</v>
      </c>
      <c r="M10" s="77">
        <v>1</v>
      </c>
      <c r="N10" s="77">
        <v>1</v>
      </c>
      <c r="O10" s="78">
        <v>1</v>
      </c>
      <c r="P10" s="66">
        <v>0.7</v>
      </c>
      <c r="Q10" s="67">
        <v>0.9</v>
      </c>
      <c r="R10" s="67"/>
      <c r="S10" s="67">
        <v>0.3</v>
      </c>
      <c r="T10" s="67">
        <v>0.9</v>
      </c>
      <c r="U10" s="67">
        <v>0.1</v>
      </c>
      <c r="V10" s="79"/>
      <c r="W10" s="68">
        <f t="shared" si="0"/>
        <v>5.8</v>
      </c>
      <c r="X10" s="69">
        <f t="shared" ref="X10:X39" si="1">SUM(P10:V10)</f>
        <v>2.9000000000000004</v>
      </c>
      <c r="Y10" s="70">
        <f t="shared" ref="Y10:Y39" si="2">W10+X10</f>
        <v>8.6999999999999993</v>
      </c>
      <c r="Z10" s="71">
        <f>'[1]cálculos teóricos'!I4</f>
        <v>13.427083464038553</v>
      </c>
      <c r="AA10" s="72">
        <f t="shared" ref="AA10:AA39" si="3">100*Y10/Z10</f>
        <v>64.794413643893762</v>
      </c>
      <c r="AB10" s="3"/>
    </row>
    <row r="11" spans="1:28" ht="18" customHeight="1">
      <c r="A11" s="73">
        <v>3</v>
      </c>
      <c r="B11" s="57">
        <v>22.1</v>
      </c>
      <c r="C11" s="75">
        <f>'[1]cálculos teóricos'!K5</f>
        <v>1.0432240147113081</v>
      </c>
      <c r="D11" s="59">
        <f t="shared" ref="D11:D39" si="4">IF(B11&gt;0,B11*C11*14.25*1.022,-999)</f>
        <v>335.76514393528385</v>
      </c>
      <c r="E11" s="60">
        <f t="shared" ref="E11:E39" si="5">IF(B11&gt;0,D11*4.1868/100,-999)</f>
        <v>14.057815046282464</v>
      </c>
      <c r="F11" s="61">
        <f t="shared" ref="F11:F39" si="6">IF(B11&gt;0,(7.86+1.25*D11)*4.1868/100,-999)</f>
        <v>17.901351287853082</v>
      </c>
      <c r="G11" s="62">
        <f>'[1]cálculos teóricos'!T5</f>
        <v>42.94007223550922</v>
      </c>
      <c r="H11" s="76">
        <f t="shared" ref="H11:H39" si="7">IF(B11&gt;0,100*F11/G11,-999)</f>
        <v>41.6891503807243</v>
      </c>
      <c r="I11" s="57"/>
      <c r="J11" s="77"/>
      <c r="K11" s="77"/>
      <c r="L11" s="77">
        <v>0.4</v>
      </c>
      <c r="M11" s="77">
        <v>1</v>
      </c>
      <c r="N11" s="77">
        <v>0.2</v>
      </c>
      <c r="O11" s="78">
        <v>0.3</v>
      </c>
      <c r="P11" s="66"/>
      <c r="Q11" s="67">
        <v>0.6</v>
      </c>
      <c r="R11" s="67">
        <v>0.6</v>
      </c>
      <c r="S11" s="67">
        <v>0.4</v>
      </c>
      <c r="T11" s="67">
        <v>0.4</v>
      </c>
      <c r="U11" s="67"/>
      <c r="V11" s="79"/>
      <c r="W11" s="68">
        <f t="shared" si="0"/>
        <v>1.9</v>
      </c>
      <c r="X11" s="69">
        <f t="shared" si="1"/>
        <v>2</v>
      </c>
      <c r="Y11" s="70">
        <f t="shared" si="2"/>
        <v>3.9</v>
      </c>
      <c r="Z11" s="71">
        <f>'[1]cálculos teóricos'!I5</f>
        <v>13.420993894192648</v>
      </c>
      <c r="AA11" s="72">
        <f t="shared" si="3"/>
        <v>29.05895070623313</v>
      </c>
      <c r="AB11" s="3"/>
    </row>
    <row r="12" spans="1:28" ht="18" customHeight="1">
      <c r="A12" s="73">
        <v>4</v>
      </c>
      <c r="B12" s="57">
        <v>15.8</v>
      </c>
      <c r="C12" s="75">
        <f>'[1]cálculos teóricos'!K6</f>
        <v>1.0431745699304664</v>
      </c>
      <c r="D12" s="59">
        <f t="shared" si="4"/>
        <v>240.03791101708111</v>
      </c>
      <c r="E12" s="60">
        <f t="shared" si="5"/>
        <v>10.049907258463152</v>
      </c>
      <c r="F12" s="61">
        <f t="shared" si="6"/>
        <v>12.89146655307894</v>
      </c>
      <c r="G12" s="62">
        <f>'[1]cálculos teóricos'!T6</f>
        <v>42.920712814194886</v>
      </c>
      <c r="H12" s="76">
        <f t="shared" si="7"/>
        <v>30.035536942003976</v>
      </c>
      <c r="I12" s="57"/>
      <c r="J12" s="77">
        <v>0.1</v>
      </c>
      <c r="K12" s="77">
        <v>0.4</v>
      </c>
      <c r="L12" s="77">
        <v>0.7</v>
      </c>
      <c r="M12" s="77">
        <v>0.6</v>
      </c>
      <c r="N12" s="77"/>
      <c r="O12" s="78"/>
      <c r="P12" s="80"/>
      <c r="Q12" s="77"/>
      <c r="R12" s="77"/>
      <c r="S12" s="77"/>
      <c r="T12" s="77"/>
      <c r="U12" s="67"/>
      <c r="V12" s="79"/>
      <c r="W12" s="68">
        <f t="shared" si="0"/>
        <v>1.7999999999999998</v>
      </c>
      <c r="X12" s="69">
        <f t="shared" si="1"/>
        <v>0</v>
      </c>
      <c r="Y12" s="70">
        <f t="shared" si="2"/>
        <v>1.7999999999999998</v>
      </c>
      <c r="Z12" s="71">
        <f>'[1]cálculos teóricos'!I6</f>
        <v>13.414382772748056</v>
      </c>
      <c r="AA12" s="72">
        <f t="shared" si="3"/>
        <v>13.418433262965953</v>
      </c>
      <c r="AB12" s="3"/>
    </row>
    <row r="13" spans="1:28" ht="18" customHeight="1">
      <c r="A13" s="73">
        <v>5</v>
      </c>
      <c r="B13" s="57">
        <v>9.4</v>
      </c>
      <c r="C13" s="75">
        <f>'[1]cálculos teóricos'!K7</f>
        <v>1.0431205173832472</v>
      </c>
      <c r="D13" s="59">
        <f t="shared" si="4"/>
        <v>142.79996515616267</v>
      </c>
      <c r="E13" s="60">
        <f t="shared" si="5"/>
        <v>5.9787489411582184</v>
      </c>
      <c r="F13" s="61">
        <f t="shared" si="6"/>
        <v>7.8025186564477735</v>
      </c>
      <c r="G13" s="62">
        <f>'[1]cálculos teóricos'!T7</f>
        <v>42.899257802114548</v>
      </c>
      <c r="H13" s="76">
        <f t="shared" si="7"/>
        <v>18.188003840157766</v>
      </c>
      <c r="I13" s="57"/>
      <c r="J13" s="77"/>
      <c r="K13" s="77"/>
      <c r="L13" s="77"/>
      <c r="M13" s="77"/>
      <c r="N13" s="77"/>
      <c r="O13" s="78"/>
      <c r="P13" s="66"/>
      <c r="Q13" s="66"/>
      <c r="R13" s="67"/>
      <c r="S13" s="67"/>
      <c r="T13" s="67"/>
      <c r="U13" s="67"/>
      <c r="V13" s="79"/>
      <c r="W13" s="68">
        <f t="shared" si="0"/>
        <v>0</v>
      </c>
      <c r="X13" s="69">
        <f t="shared" si="1"/>
        <v>0</v>
      </c>
      <c r="Y13" s="70">
        <f t="shared" si="2"/>
        <v>0</v>
      </c>
      <c r="Z13" s="71">
        <f>'[1]cálculos teóricos'!I7</f>
        <v>13.40725552892793</v>
      </c>
      <c r="AA13" s="72">
        <f t="shared" si="3"/>
        <v>0</v>
      </c>
      <c r="AB13" s="3"/>
    </row>
    <row r="14" spans="1:28" ht="18" customHeight="1">
      <c r="A14" s="73">
        <v>6</v>
      </c>
      <c r="B14" s="57">
        <v>16.399999999999999</v>
      </c>
      <c r="C14" s="75">
        <f>'[1]cálculos teóricos'!K8</f>
        <v>1.0430617300197544</v>
      </c>
      <c r="D14" s="59">
        <f t="shared" si="4"/>
        <v>249.12632388434014</v>
      </c>
      <c r="E14" s="60">
        <f t="shared" si="5"/>
        <v>10.430420928389553</v>
      </c>
      <c r="F14" s="61">
        <f t="shared" si="6"/>
        <v>13.36710864048694</v>
      </c>
      <c r="G14" s="62">
        <f>'[1]cálculos teóricos'!T8</f>
        <v>42.875693838404729</v>
      </c>
      <c r="H14" s="76">
        <f t="shared" si="7"/>
        <v>31.176425251254404</v>
      </c>
      <c r="I14" s="57"/>
      <c r="J14" s="77"/>
      <c r="K14" s="77"/>
      <c r="L14" s="77"/>
      <c r="M14" s="77"/>
      <c r="N14" s="77"/>
      <c r="O14" s="78"/>
      <c r="P14" s="66"/>
      <c r="Q14" s="66"/>
      <c r="R14" s="67"/>
      <c r="S14" s="67"/>
      <c r="T14" s="67"/>
      <c r="U14" s="67"/>
      <c r="V14" s="79"/>
      <c r="W14" s="68">
        <f t="shared" si="0"/>
        <v>0</v>
      </c>
      <c r="X14" s="69">
        <f t="shared" si="1"/>
        <v>0</v>
      </c>
      <c r="Y14" s="70">
        <f t="shared" si="2"/>
        <v>0</v>
      </c>
      <c r="Z14" s="71">
        <f>'[1]cálculos teóricos'!I8</f>
        <v>13.399617979654318</v>
      </c>
      <c r="AA14" s="72">
        <f t="shared" si="3"/>
        <v>0</v>
      </c>
      <c r="AB14" s="3"/>
    </row>
    <row r="15" spans="1:28" ht="18" customHeight="1">
      <c r="A15" s="73">
        <v>7</v>
      </c>
      <c r="B15" s="57">
        <v>11.1</v>
      </c>
      <c r="C15" s="75">
        <f>'[1]cálculos teóricos'!K9</f>
        <v>1.0429980728749551</v>
      </c>
      <c r="D15" s="59">
        <f t="shared" si="4"/>
        <v>168.60569702088992</v>
      </c>
      <c r="E15" s="60">
        <f t="shared" si="5"/>
        <v>7.0591833228706182</v>
      </c>
      <c r="F15" s="61">
        <f t="shared" si="6"/>
        <v>9.1530616335882744</v>
      </c>
      <c r="G15" s="62">
        <f>'[1]cálculos teóricos'!T9</f>
        <v>42.850007012169783</v>
      </c>
      <c r="H15" s="76">
        <f t="shared" si="7"/>
        <v>21.360700433464864</v>
      </c>
      <c r="I15" s="57"/>
      <c r="J15" s="57">
        <v>0.3</v>
      </c>
      <c r="K15" s="77">
        <v>0.5</v>
      </c>
      <c r="L15" s="77">
        <v>0.2</v>
      </c>
      <c r="M15" s="77"/>
      <c r="N15" s="77"/>
      <c r="O15" s="78"/>
      <c r="P15" s="80"/>
      <c r="Q15" s="77"/>
      <c r="R15" s="77"/>
      <c r="S15" s="77"/>
      <c r="T15" s="67"/>
      <c r="U15" s="67"/>
      <c r="V15" s="79"/>
      <c r="W15" s="68">
        <f t="shared" si="0"/>
        <v>1</v>
      </c>
      <c r="X15" s="69">
        <f t="shared" si="1"/>
        <v>0</v>
      </c>
      <c r="Y15" s="70">
        <f t="shared" si="2"/>
        <v>1</v>
      </c>
      <c r="Z15" s="71">
        <f>'[1]cálculos teóricos'!I9</f>
        <v>13.391476313835456</v>
      </c>
      <c r="AA15" s="72">
        <f t="shared" si="3"/>
        <v>7.4674365735676664</v>
      </c>
      <c r="AB15" s="3"/>
    </row>
    <row r="16" spans="1:28" ht="18" customHeight="1">
      <c r="A16" s="81">
        <v>8</v>
      </c>
      <c r="B16" s="77">
        <v>18</v>
      </c>
      <c r="C16" s="75">
        <f>'[1]cálculos teóricos'!K10</f>
        <v>1.0429294034098502</v>
      </c>
      <c r="D16" s="59">
        <f t="shared" si="4"/>
        <v>273.39664259806835</v>
      </c>
      <c r="E16" s="60">
        <f t="shared" si="5"/>
        <v>11.446570632295925</v>
      </c>
      <c r="F16" s="61">
        <f t="shared" si="6"/>
        <v>14.637295770369908</v>
      </c>
      <c r="G16" s="62">
        <f>'[1]cálculos teóricos'!T10</f>
        <v>42.822182910782871</v>
      </c>
      <c r="H16" s="76">
        <f t="shared" si="7"/>
        <v>34.181573136674807</v>
      </c>
      <c r="I16" s="82">
        <v>-99</v>
      </c>
      <c r="J16" s="74">
        <v>-99</v>
      </c>
      <c r="K16" s="83">
        <v>-99</v>
      </c>
      <c r="L16" s="83">
        <v>-99</v>
      </c>
      <c r="M16" s="83">
        <v>-99</v>
      </c>
      <c r="N16" s="83">
        <v>-99</v>
      </c>
      <c r="O16" s="84">
        <v>-99</v>
      </c>
      <c r="P16" s="82">
        <v>-99</v>
      </c>
      <c r="Q16" s="85">
        <v>-99</v>
      </c>
      <c r="R16" s="86">
        <v>-99</v>
      </c>
      <c r="S16" s="86">
        <v>-99</v>
      </c>
      <c r="T16" s="86">
        <v>-99</v>
      </c>
      <c r="U16" s="86">
        <v>-99</v>
      </c>
      <c r="V16" s="79"/>
      <c r="W16" s="68"/>
      <c r="X16" s="69"/>
      <c r="Y16" s="87">
        <v>-99</v>
      </c>
      <c r="Z16" s="71">
        <f>'[1]cálculos teóricos'!I10</f>
        <v>13.382837075865469</v>
      </c>
      <c r="AA16" s="72">
        <f t="shared" si="3"/>
        <v>-739.75345764715337</v>
      </c>
      <c r="AB16" s="3"/>
    </row>
    <row r="17" spans="1:28" ht="18" customHeight="1">
      <c r="A17" s="81">
        <v>9</v>
      </c>
      <c r="B17" s="77">
        <v>11.6</v>
      </c>
      <c r="C17" s="75">
        <f>'[1]cálculos teóricos'!K11</f>
        <v>1.0428555718713279</v>
      </c>
      <c r="D17" s="59">
        <f t="shared" si="4"/>
        <v>176.17647460299779</v>
      </c>
      <c r="E17" s="60">
        <f t="shared" si="5"/>
        <v>7.3761566386783111</v>
      </c>
      <c r="F17" s="61">
        <f t="shared" si="6"/>
        <v>9.5492782783478898</v>
      </c>
      <c r="G17" s="62">
        <f>'[1]cálculos teóricos'!T11</f>
        <v>42.792206670842504</v>
      </c>
      <c r="H17" s="76">
        <f t="shared" si="7"/>
        <v>22.315461204889253</v>
      </c>
      <c r="I17" s="80"/>
      <c r="J17" s="88"/>
      <c r="K17" s="88"/>
      <c r="L17" s="88"/>
      <c r="M17" s="88"/>
      <c r="N17" s="88"/>
      <c r="O17" s="79"/>
      <c r="P17" s="89"/>
      <c r="Q17" s="88"/>
      <c r="R17" s="88"/>
      <c r="S17" s="88"/>
      <c r="T17" s="88"/>
      <c r="U17" s="67"/>
      <c r="V17" s="79"/>
      <c r="W17" s="68">
        <f t="shared" ref="W17:W40" si="8">SUM(I17:O17)</f>
        <v>0</v>
      </c>
      <c r="X17" s="69">
        <f t="shared" si="1"/>
        <v>0</v>
      </c>
      <c r="Y17" s="70">
        <f t="shared" si="2"/>
        <v>0</v>
      </c>
      <c r="Z17" s="71">
        <f>'[1]cálculos teóricos'!I11</f>
        <v>13.373707148420571</v>
      </c>
      <c r="AA17" s="72">
        <f t="shared" si="3"/>
        <v>0</v>
      </c>
      <c r="AB17" s="3"/>
    </row>
    <row r="18" spans="1:28" ht="18" customHeight="1">
      <c r="A18" s="90">
        <v>10</v>
      </c>
      <c r="B18" s="77">
        <v>11.1</v>
      </c>
      <c r="C18" s="75">
        <f>'[1]cálculos teóricos'!K12</f>
        <v>1.0427764216695341</v>
      </c>
      <c r="D18" s="59">
        <f t="shared" si="4"/>
        <v>168.56986602852527</v>
      </c>
      <c r="E18" s="60">
        <f t="shared" si="5"/>
        <v>7.057683150882295</v>
      </c>
      <c r="F18" s="61">
        <f t="shared" si="6"/>
        <v>9.1511864186028689</v>
      </c>
      <c r="G18" s="62">
        <f>'[1]cálculos teóricos'!T12</f>
        <v>42.760063031628945</v>
      </c>
      <c r="H18" s="76">
        <f t="shared" si="7"/>
        <v>21.401246326119491</v>
      </c>
      <c r="I18" s="80"/>
      <c r="J18" s="88"/>
      <c r="K18" s="88"/>
      <c r="L18" s="88"/>
      <c r="M18" s="88"/>
      <c r="N18" s="88"/>
      <c r="O18" s="79"/>
      <c r="P18" s="89"/>
      <c r="Q18" s="88"/>
      <c r="R18" s="88">
        <v>0.1</v>
      </c>
      <c r="S18" s="88"/>
      <c r="T18" s="67"/>
      <c r="U18" s="67"/>
      <c r="V18" s="79"/>
      <c r="W18" s="68">
        <f t="shared" si="8"/>
        <v>0</v>
      </c>
      <c r="X18" s="69">
        <f t="shared" si="1"/>
        <v>0.1</v>
      </c>
      <c r="Y18" s="70">
        <f t="shared" si="2"/>
        <v>0.1</v>
      </c>
      <c r="Z18" s="71">
        <f>'[1]cálculos teóricos'!I12</f>
        <v>13.364093734637674</v>
      </c>
      <c r="AA18" s="72">
        <f t="shared" si="3"/>
        <v>0.74827371002955023</v>
      </c>
      <c r="AB18" s="3"/>
    </row>
    <row r="19" spans="1:28" ht="18" customHeight="1">
      <c r="A19" s="91">
        <v>11</v>
      </c>
      <c r="B19" s="77">
        <v>20.5</v>
      </c>
      <c r="C19" s="75">
        <f>'[1]cálculos teóricos'!K13</f>
        <v>1.0426917897715424</v>
      </c>
      <c r="D19" s="59">
        <f t="shared" si="4"/>
        <v>311.29745854692607</v>
      </c>
      <c r="E19" s="60">
        <f t="shared" si="5"/>
        <v>13.0334019944427</v>
      </c>
      <c r="F19" s="61">
        <f t="shared" si="6"/>
        <v>16.620834973053373</v>
      </c>
      <c r="G19" s="62">
        <f>'[1]cálculos teóricos'!T13</f>
        <v>42.72573639089709</v>
      </c>
      <c r="H19" s="76">
        <f t="shared" si="7"/>
        <v>38.90122529659785</v>
      </c>
      <c r="I19" s="80"/>
      <c r="J19" s="88"/>
      <c r="K19" s="88"/>
      <c r="L19" s="88"/>
      <c r="M19" s="88"/>
      <c r="N19" s="88"/>
      <c r="O19" s="78"/>
      <c r="P19" s="66">
        <v>0.3</v>
      </c>
      <c r="Q19" s="67">
        <v>0.8</v>
      </c>
      <c r="R19" s="67">
        <v>0.7</v>
      </c>
      <c r="S19" s="67">
        <v>1</v>
      </c>
      <c r="T19" s="67">
        <v>0.6</v>
      </c>
      <c r="U19" s="67">
        <v>0.4</v>
      </c>
      <c r="V19" s="79"/>
      <c r="W19" s="68">
        <f t="shared" si="8"/>
        <v>0</v>
      </c>
      <c r="X19" s="69">
        <f t="shared" si="1"/>
        <v>3.8</v>
      </c>
      <c r="Y19" s="70">
        <f t="shared" si="2"/>
        <v>3.8</v>
      </c>
      <c r="Z19" s="71">
        <f>'[1]cálculos teóricos'!I13</f>
        <v>13.354004339762858</v>
      </c>
      <c r="AA19" s="72">
        <f t="shared" si="3"/>
        <v>28.455884117733341</v>
      </c>
      <c r="AB19" s="3"/>
    </row>
    <row r="20" spans="1:28" ht="18" customHeight="1">
      <c r="A20" s="92">
        <v>12</v>
      </c>
      <c r="B20" s="77">
        <v>24.3</v>
      </c>
      <c r="C20" s="75">
        <f>'[1]cálculos teóricos'!K14</f>
        <v>1.0426015071100707</v>
      </c>
      <c r="D20" s="59">
        <f t="shared" si="4"/>
        <v>368.96942728577966</v>
      </c>
      <c r="E20" s="60">
        <f t="shared" si="5"/>
        <v>15.448011981601024</v>
      </c>
      <c r="F20" s="61">
        <f t="shared" si="6"/>
        <v>19.639097457001277</v>
      </c>
      <c r="G20" s="62">
        <f>'[1]cálculos teóricos'!T14</f>
        <v>42.689210862833292</v>
      </c>
      <c r="H20" s="76">
        <f t="shared" si="7"/>
        <v>46.004826653049605</v>
      </c>
      <c r="I20" s="80"/>
      <c r="J20" s="88"/>
      <c r="K20" s="88"/>
      <c r="L20" s="88">
        <v>0.5</v>
      </c>
      <c r="M20" s="88">
        <v>0.8</v>
      </c>
      <c r="N20" s="88">
        <v>0.6</v>
      </c>
      <c r="O20" s="79">
        <v>0.2</v>
      </c>
      <c r="P20" s="66"/>
      <c r="Q20" s="67">
        <v>0.4</v>
      </c>
      <c r="R20" s="67">
        <v>0.3</v>
      </c>
      <c r="S20" s="67"/>
      <c r="T20" s="67">
        <v>0.2</v>
      </c>
      <c r="U20" s="67"/>
      <c r="V20" s="79"/>
      <c r="W20" s="68">
        <f t="shared" si="8"/>
        <v>2.1</v>
      </c>
      <c r="X20" s="69">
        <f t="shared" si="1"/>
        <v>0.89999999999999991</v>
      </c>
      <c r="Y20" s="70">
        <f t="shared" si="2"/>
        <v>3</v>
      </c>
      <c r="Z20" s="71">
        <f>'[1]cálculos teóricos'!I14</f>
        <v>13.343446752357368</v>
      </c>
      <c r="AA20" s="72">
        <f t="shared" si="3"/>
        <v>22.482946540555531</v>
      </c>
      <c r="AB20" s="3"/>
    </row>
    <row r="21" spans="1:28" ht="18" customHeight="1">
      <c r="A21" s="92">
        <v>13</v>
      </c>
      <c r="B21" s="77">
        <v>27.5</v>
      </c>
      <c r="C21" s="75">
        <f>'[1]cálculos teóricos'!K15</f>
        <v>1.0425053990059436</v>
      </c>
      <c r="D21" s="59">
        <f t="shared" si="4"/>
        <v>417.51950290663416</v>
      </c>
      <c r="E21" s="60">
        <f t="shared" si="5"/>
        <v>17.480706547694957</v>
      </c>
      <c r="F21" s="61">
        <f t="shared" si="6"/>
        <v>22.179965664618699</v>
      </c>
      <c r="G21" s="62">
        <f>'[1]cálculos teóricos'!T15</f>
        <v>42.6504703379955</v>
      </c>
      <c r="H21" s="76">
        <f t="shared" si="7"/>
        <v>52.004035333836647</v>
      </c>
      <c r="I21" s="80"/>
      <c r="J21" s="88">
        <v>0.2</v>
      </c>
      <c r="K21" s="88">
        <v>0.2</v>
      </c>
      <c r="L21" s="88">
        <v>0.8</v>
      </c>
      <c r="M21" s="88">
        <v>0.7</v>
      </c>
      <c r="N21" s="88">
        <v>0.6</v>
      </c>
      <c r="O21" s="79">
        <v>0.5</v>
      </c>
      <c r="P21" s="66">
        <v>0.4</v>
      </c>
      <c r="Q21" s="67">
        <v>1</v>
      </c>
      <c r="R21" s="67">
        <v>0.9</v>
      </c>
      <c r="S21" s="67">
        <v>0.6</v>
      </c>
      <c r="T21" s="67">
        <v>0.2</v>
      </c>
      <c r="U21" s="67"/>
      <c r="V21" s="79"/>
      <c r="W21" s="68">
        <f t="shared" si="8"/>
        <v>3</v>
      </c>
      <c r="X21" s="69">
        <f t="shared" si="1"/>
        <v>3.1</v>
      </c>
      <c r="Y21" s="70">
        <f t="shared" si="2"/>
        <v>6.1</v>
      </c>
      <c r="Z21" s="71">
        <f>'[1]cálculos teóricos'!I15</f>
        <v>13.332429025149247</v>
      </c>
      <c r="AA21" s="72">
        <f t="shared" si="3"/>
        <v>45.753103117919764</v>
      </c>
      <c r="AB21" s="3"/>
    </row>
    <row r="22" spans="1:28" ht="18" customHeight="1">
      <c r="A22" s="92">
        <v>14</v>
      </c>
      <c r="B22" s="77">
        <v>30.5</v>
      </c>
      <c r="C22" s="75">
        <f>'[1]cálculos teóricos'!K16</f>
        <v>1.0424032856029817</v>
      </c>
      <c r="D22" s="59">
        <f t="shared" si="4"/>
        <v>463.02172762131022</v>
      </c>
      <c r="E22" s="60">
        <f t="shared" si="5"/>
        <v>19.385793692049013</v>
      </c>
      <c r="F22" s="61">
        <f t="shared" si="6"/>
        <v>24.561324595061269</v>
      </c>
      <c r="G22" s="62">
        <f>'[1]cálculos teóricos'!T16</f>
        <v>42.609498545049341</v>
      </c>
      <c r="H22" s="76">
        <f t="shared" si="7"/>
        <v>57.642838882728341</v>
      </c>
      <c r="I22" s="80"/>
      <c r="J22" s="88"/>
      <c r="K22" s="88">
        <v>0.2</v>
      </c>
      <c r="L22" s="88">
        <v>0.4</v>
      </c>
      <c r="M22" s="88">
        <v>0.7</v>
      </c>
      <c r="N22" s="88">
        <v>0.3</v>
      </c>
      <c r="O22" s="79">
        <v>0.6</v>
      </c>
      <c r="P22" s="66">
        <v>0.7</v>
      </c>
      <c r="Q22" s="67">
        <v>1</v>
      </c>
      <c r="R22" s="67">
        <v>0.1</v>
      </c>
      <c r="S22" s="67">
        <v>0.6</v>
      </c>
      <c r="T22" s="67">
        <v>0.6</v>
      </c>
      <c r="U22" s="67">
        <v>0.2</v>
      </c>
      <c r="V22" s="79"/>
      <c r="W22" s="68">
        <f t="shared" si="8"/>
        <v>2.2000000000000002</v>
      </c>
      <c r="X22" s="69">
        <f t="shared" si="1"/>
        <v>3.2</v>
      </c>
      <c r="Y22" s="70">
        <f t="shared" si="2"/>
        <v>5.4</v>
      </c>
      <c r="Z22" s="71">
        <f>'[1]cálculos teóricos'!I16</f>
        <v>13.32095945561748</v>
      </c>
      <c r="AA22" s="72">
        <f t="shared" si="3"/>
        <v>40.537620566984067</v>
      </c>
      <c r="AB22" s="3"/>
    </row>
    <row r="23" spans="1:28" ht="18" customHeight="1">
      <c r="A23" s="92">
        <v>15</v>
      </c>
      <c r="B23" s="77">
        <v>28.2</v>
      </c>
      <c r="C23" s="75">
        <f>'[1]cálculos teóricos'!K17</f>
        <v>1.0422949823139649</v>
      </c>
      <c r="D23" s="59">
        <f t="shared" si="4"/>
        <v>428.06085589300989</v>
      </c>
      <c r="E23" s="60">
        <f t="shared" si="5"/>
        <v>17.922051914528538</v>
      </c>
      <c r="F23" s="61">
        <f t="shared" si="6"/>
        <v>22.731647373160673</v>
      </c>
      <c r="G23" s="62">
        <f>'[1]cálculos teóricos'!T17</f>
        <v>42.566279114105868</v>
      </c>
      <c r="H23" s="76">
        <f t="shared" si="7"/>
        <v>53.402946760332931</v>
      </c>
      <c r="I23" s="80">
        <v>0.2</v>
      </c>
      <c r="J23" s="88">
        <v>0.4</v>
      </c>
      <c r="K23" s="88">
        <v>0.3</v>
      </c>
      <c r="L23" s="88">
        <v>0.6</v>
      </c>
      <c r="M23" s="88">
        <v>1</v>
      </c>
      <c r="N23" s="88">
        <v>1</v>
      </c>
      <c r="O23" s="79">
        <v>1</v>
      </c>
      <c r="P23" s="66">
        <v>1</v>
      </c>
      <c r="Q23" s="67">
        <v>0.9</v>
      </c>
      <c r="R23" s="67">
        <v>0.7</v>
      </c>
      <c r="S23" s="67">
        <v>0.1</v>
      </c>
      <c r="T23" s="67"/>
      <c r="U23" s="67"/>
      <c r="V23" s="79"/>
      <c r="W23" s="68">
        <f t="shared" si="8"/>
        <v>4.5</v>
      </c>
      <c r="X23" s="69">
        <f t="shared" si="1"/>
        <v>2.6999999999999997</v>
      </c>
      <c r="Y23" s="70">
        <f t="shared" si="2"/>
        <v>7.1999999999999993</v>
      </c>
      <c r="Z23" s="71">
        <f>'[1]cálculos teóricos'!I17</f>
        <v>13.309046566394962</v>
      </c>
      <c r="AA23" s="72">
        <f t="shared" si="3"/>
        <v>54.098540899089151</v>
      </c>
      <c r="AB23" s="3"/>
    </row>
    <row r="24" spans="1:28" ht="18" customHeight="1">
      <c r="A24" s="92">
        <v>16</v>
      </c>
      <c r="B24" s="77">
        <v>27.4</v>
      </c>
      <c r="C24" s="75">
        <f>'[1]cálculos teóricos'!K18</f>
        <v>1.0421803002763004</v>
      </c>
      <c r="D24" s="59">
        <f t="shared" si="4"/>
        <v>415.87152280422487</v>
      </c>
      <c r="E24" s="60">
        <f t="shared" si="5"/>
        <v>17.411708916767285</v>
      </c>
      <c r="F24" s="61">
        <f t="shared" si="6"/>
        <v>22.093718625959109</v>
      </c>
      <c r="G24" s="62">
        <f>'[1]cálculos teóricos'!T18</f>
        <v>42.520795641460737</v>
      </c>
      <c r="H24" s="76">
        <f t="shared" si="7"/>
        <v>51.959795889652156</v>
      </c>
      <c r="I24" s="80"/>
      <c r="J24" s="88">
        <v>0.1</v>
      </c>
      <c r="K24" s="88">
        <v>0.2</v>
      </c>
      <c r="L24" s="88">
        <v>1</v>
      </c>
      <c r="M24" s="88">
        <v>1</v>
      </c>
      <c r="N24" s="88">
        <v>1</v>
      </c>
      <c r="O24" s="79">
        <v>1</v>
      </c>
      <c r="P24" s="66">
        <v>1</v>
      </c>
      <c r="Q24" s="67">
        <v>0.6</v>
      </c>
      <c r="R24" s="67">
        <v>0.2</v>
      </c>
      <c r="S24" s="67"/>
      <c r="T24" s="67">
        <v>0.6</v>
      </c>
      <c r="U24" s="67"/>
      <c r="V24" s="79"/>
      <c r="W24" s="68">
        <f t="shared" si="8"/>
        <v>4.3</v>
      </c>
      <c r="X24" s="69">
        <f t="shared" si="1"/>
        <v>2.4</v>
      </c>
      <c r="Y24" s="70">
        <f t="shared" si="2"/>
        <v>6.6999999999999993</v>
      </c>
      <c r="Z24" s="71">
        <f>'[1]cálculos teóricos'!I18</f>
        <v>13.296699085574138</v>
      </c>
      <c r="AA24" s="72">
        <f t="shared" si="3"/>
        <v>50.388445710326458</v>
      </c>
      <c r="AB24" s="3"/>
    </row>
    <row r="25" spans="1:28" ht="18" customHeight="1">
      <c r="A25" s="92">
        <v>17</v>
      </c>
      <c r="B25" s="77">
        <v>29.2</v>
      </c>
      <c r="C25" s="75">
        <f>'[1]cálculos teóricos'!K19</f>
        <v>1.0420590468160129</v>
      </c>
      <c r="D25" s="59">
        <f t="shared" si="4"/>
        <v>443.1399863065061</v>
      </c>
      <c r="E25" s="60">
        <f t="shared" si="5"/>
        <v>18.553384946680797</v>
      </c>
      <c r="F25" s="61">
        <f t="shared" si="6"/>
        <v>23.520813663350996</v>
      </c>
      <c r="G25" s="62">
        <f>'[1]cálculos teóricos'!T19</f>
        <v>42.473031755529334</v>
      </c>
      <c r="H25" s="76">
        <f t="shared" si="7"/>
        <v>55.378231059027115</v>
      </c>
      <c r="I25" s="80"/>
      <c r="J25" s="88"/>
      <c r="K25" s="88">
        <v>0.3</v>
      </c>
      <c r="L25" s="88">
        <v>1</v>
      </c>
      <c r="M25" s="88">
        <v>1</v>
      </c>
      <c r="N25" s="88">
        <v>1</v>
      </c>
      <c r="O25" s="79">
        <v>0.9</v>
      </c>
      <c r="P25" s="66">
        <v>0.5</v>
      </c>
      <c r="Q25" s="67">
        <v>0.8</v>
      </c>
      <c r="R25" s="67">
        <v>1</v>
      </c>
      <c r="S25" s="67">
        <v>0.5</v>
      </c>
      <c r="T25" s="67"/>
      <c r="U25" s="67"/>
      <c r="V25" s="79"/>
      <c r="W25" s="68">
        <f t="shared" si="8"/>
        <v>4.2</v>
      </c>
      <c r="X25" s="69">
        <f t="shared" si="1"/>
        <v>2.8</v>
      </c>
      <c r="Y25" s="70">
        <f t="shared" si="2"/>
        <v>7</v>
      </c>
      <c r="Z25" s="71">
        <f>'[1]cálculos teóricos'!I19</f>
        <v>13.283925926997437</v>
      </c>
      <c r="AA25" s="72">
        <f t="shared" si="3"/>
        <v>52.695265228584489</v>
      </c>
      <c r="AB25" s="3"/>
    </row>
    <row r="26" spans="1:28" ht="18" customHeight="1">
      <c r="A26" s="92">
        <v>18</v>
      </c>
      <c r="B26" s="77">
        <v>27.5</v>
      </c>
      <c r="C26" s="75">
        <f>'[1]cálculos teóricos'!K20</f>
        <v>1.0419310259186705</v>
      </c>
      <c r="D26" s="59">
        <f t="shared" si="4"/>
        <v>417.28946863908033</v>
      </c>
      <c r="E26" s="60">
        <f t="shared" si="5"/>
        <v>17.471075472981013</v>
      </c>
      <c r="F26" s="61">
        <f t="shared" si="6"/>
        <v>22.167926821226271</v>
      </c>
      <c r="G26" s="62">
        <f>'[1]cálculos teóricos'!T20</f>
        <v>42.422971183768496</v>
      </c>
      <c r="H26" s="76">
        <f t="shared" si="7"/>
        <v>52.254536169093143</v>
      </c>
      <c r="I26" s="80"/>
      <c r="J26" s="88">
        <v>0.1</v>
      </c>
      <c r="K26" s="88">
        <v>0.5</v>
      </c>
      <c r="L26" s="88">
        <v>1</v>
      </c>
      <c r="M26" s="88">
        <v>1</v>
      </c>
      <c r="N26" s="88">
        <v>1</v>
      </c>
      <c r="O26" s="79">
        <v>0.9</v>
      </c>
      <c r="P26" s="89">
        <v>0.9</v>
      </c>
      <c r="Q26" s="67">
        <v>1</v>
      </c>
      <c r="R26" s="67"/>
      <c r="S26" s="67"/>
      <c r="T26" s="67"/>
      <c r="U26" s="67"/>
      <c r="V26" s="79"/>
      <c r="W26" s="68">
        <f t="shared" si="8"/>
        <v>4.5</v>
      </c>
      <c r="X26" s="69">
        <f t="shared" si="1"/>
        <v>1.9</v>
      </c>
      <c r="Y26" s="70">
        <f t="shared" si="2"/>
        <v>6.4</v>
      </c>
      <c r="Z26" s="71">
        <f>'[1]cálculos teóricos'!I20</f>
        <v>13.270736170611478</v>
      </c>
      <c r="AA26" s="72">
        <f t="shared" si="3"/>
        <v>48.226412745458916</v>
      </c>
      <c r="AB26" s="3"/>
    </row>
    <row r="27" spans="1:28" ht="18" customHeight="1">
      <c r="A27" s="92">
        <v>19</v>
      </c>
      <c r="B27" s="77">
        <v>23.8</v>
      </c>
      <c r="C27" s="75">
        <f>'[1]cálculos teóricos'!K21</f>
        <v>1.0417960387058549</v>
      </c>
      <c r="D27" s="59">
        <f t="shared" si="4"/>
        <v>361.09827931068673</v>
      </c>
      <c r="E27" s="60">
        <f t="shared" si="5"/>
        <v>15.118462758179833</v>
      </c>
      <c r="F27" s="61">
        <f t="shared" si="6"/>
        <v>19.227160927724793</v>
      </c>
      <c r="G27" s="62">
        <f>'[1]cálculos teóricos'!T21</f>
        <v>42.370597820371522</v>
      </c>
      <c r="H27" s="76">
        <f t="shared" si="7"/>
        <v>45.378545304547231</v>
      </c>
      <c r="I27" s="80"/>
      <c r="J27" s="88"/>
      <c r="K27" s="88"/>
      <c r="L27" s="88">
        <v>0.2</v>
      </c>
      <c r="M27" s="88">
        <v>0.8</v>
      </c>
      <c r="N27" s="88">
        <v>1</v>
      </c>
      <c r="O27" s="79">
        <v>1</v>
      </c>
      <c r="P27" s="66">
        <v>0.6</v>
      </c>
      <c r="Q27" s="67">
        <v>0.4</v>
      </c>
      <c r="R27" s="67">
        <v>0.4</v>
      </c>
      <c r="S27" s="67">
        <v>0.1</v>
      </c>
      <c r="T27" s="67"/>
      <c r="U27" s="67"/>
      <c r="V27" s="79"/>
      <c r="W27" s="68">
        <f t="shared" si="8"/>
        <v>3</v>
      </c>
      <c r="X27" s="69">
        <f t="shared" si="1"/>
        <v>1.5</v>
      </c>
      <c r="Y27" s="70">
        <f t="shared" si="2"/>
        <v>4.5</v>
      </c>
      <c r="Z27" s="71">
        <f>'[1]cálculos teóricos'!I21</f>
        <v>13.257139042960983</v>
      </c>
      <c r="AA27" s="72">
        <f t="shared" si="3"/>
        <v>33.94397528318391</v>
      </c>
      <c r="AB27" s="3"/>
    </row>
    <row r="28" spans="1:28" ht="18" customHeight="1">
      <c r="A28" s="92">
        <v>20</v>
      </c>
      <c r="B28" s="77">
        <v>13.8</v>
      </c>
      <c r="C28" s="75">
        <f>'[1]cálculos teóricos'!K22</f>
        <v>1.0416538839157914</v>
      </c>
      <c r="D28" s="59">
        <f t="shared" si="4"/>
        <v>209.34774347002528</v>
      </c>
      <c r="E28" s="60">
        <f t="shared" si="5"/>
        <v>8.7649713236030191</v>
      </c>
      <c r="F28" s="61">
        <f t="shared" si="6"/>
        <v>11.285296634503773</v>
      </c>
      <c r="G28" s="62">
        <f>'[1]cálculos teóricos'!T22</f>
        <v>42.315895794520593</v>
      </c>
      <c r="H28" s="76">
        <f t="shared" si="7"/>
        <v>26.669166332442583</v>
      </c>
      <c r="I28" s="80"/>
      <c r="J28" s="88"/>
      <c r="K28" s="88"/>
      <c r="L28" s="88"/>
      <c r="M28" s="88"/>
      <c r="N28" s="88"/>
      <c r="O28" s="78"/>
      <c r="P28" s="66"/>
      <c r="Q28" s="67">
        <v>0.3</v>
      </c>
      <c r="R28" s="67">
        <v>0.3</v>
      </c>
      <c r="S28" s="67"/>
      <c r="T28" s="67"/>
      <c r="U28" s="67"/>
      <c r="V28" s="79"/>
      <c r="W28" s="68">
        <f t="shared" si="8"/>
        <v>0</v>
      </c>
      <c r="X28" s="69">
        <f t="shared" si="1"/>
        <v>0.6</v>
      </c>
      <c r="Y28" s="70">
        <f t="shared" si="2"/>
        <v>0.6</v>
      </c>
      <c r="Z28" s="71">
        <f>'[1]cálculos teóricos'!I22</f>
        <v>13.243143897894775</v>
      </c>
      <c r="AA28" s="72">
        <f t="shared" si="3"/>
        <v>4.5306462319372693</v>
      </c>
      <c r="AB28" s="3"/>
    </row>
    <row r="29" spans="1:28" ht="18" customHeight="1">
      <c r="A29" s="91">
        <v>21</v>
      </c>
      <c r="B29" s="77">
        <v>32.6</v>
      </c>
      <c r="C29" s="75">
        <f>'[1]cálculos teóricos'!K23</f>
        <v>1.0415043583867623</v>
      </c>
      <c r="D29" s="59">
        <f t="shared" si="4"/>
        <v>494.47512838171895</v>
      </c>
      <c r="E29" s="60">
        <f t="shared" si="5"/>
        <v>20.702684675085806</v>
      </c>
      <c r="F29" s="61">
        <f t="shared" si="6"/>
        <v>26.207438323857264</v>
      </c>
      <c r="G29" s="62">
        <f>'[1]cálculos teóricos'!T23</f>
        <v>42.258849538979433</v>
      </c>
      <c r="H29" s="76">
        <f t="shared" si="7"/>
        <v>62.016450068484716</v>
      </c>
      <c r="I29" s="80"/>
      <c r="J29" s="88">
        <v>0.6</v>
      </c>
      <c r="K29" s="88">
        <v>1</v>
      </c>
      <c r="L29" s="88">
        <v>0.9</v>
      </c>
      <c r="M29" s="88">
        <v>1</v>
      </c>
      <c r="N29" s="88">
        <v>1</v>
      </c>
      <c r="O29" s="79">
        <v>0.8</v>
      </c>
      <c r="P29" s="66">
        <v>1</v>
      </c>
      <c r="Q29" s="67">
        <v>0.7</v>
      </c>
      <c r="R29" s="67">
        <v>0.8</v>
      </c>
      <c r="S29" s="67">
        <v>1</v>
      </c>
      <c r="T29" s="67">
        <v>0.9</v>
      </c>
      <c r="U29" s="67">
        <v>0.3</v>
      </c>
      <c r="V29" s="79"/>
      <c r="W29" s="68">
        <f t="shared" si="8"/>
        <v>5.3</v>
      </c>
      <c r="X29" s="69">
        <f t="shared" si="1"/>
        <v>4.7</v>
      </c>
      <c r="Y29" s="70">
        <f t="shared" si="2"/>
        <v>10</v>
      </c>
      <c r="Z29" s="71">
        <f>'[1]cálculos teóricos'!I23</f>
        <v>13.228760197552258</v>
      </c>
      <c r="AA29" s="72">
        <f t="shared" si="3"/>
        <v>75.592873789112289</v>
      </c>
      <c r="AB29" s="3"/>
    </row>
    <row r="30" spans="1:28" ht="18" customHeight="1">
      <c r="A30" s="92">
        <v>22</v>
      </c>
      <c r="B30" s="77">
        <v>34</v>
      </c>
      <c r="C30" s="75">
        <f>'[1]cálculos teóricos'!K24</f>
        <v>1.0413472575419567</v>
      </c>
      <c r="D30" s="59">
        <f t="shared" si="4"/>
        <v>515.63246669721775</v>
      </c>
      <c r="E30" s="60">
        <f t="shared" si="5"/>
        <v>21.588500115679111</v>
      </c>
      <c r="F30" s="61">
        <f t="shared" si="6"/>
        <v>27.314707624598892</v>
      </c>
      <c r="G30" s="62">
        <f>'[1]cálculos teóricos'!T24</f>
        <v>42.199443858808038</v>
      </c>
      <c r="H30" s="76">
        <f t="shared" si="7"/>
        <v>64.727648345293673</v>
      </c>
      <c r="I30" s="80"/>
      <c r="J30" s="88">
        <v>0.3</v>
      </c>
      <c r="K30" s="88">
        <v>0.9</v>
      </c>
      <c r="L30" s="88">
        <v>1</v>
      </c>
      <c r="M30" s="88">
        <v>1</v>
      </c>
      <c r="N30" s="88">
        <v>1</v>
      </c>
      <c r="O30" s="79">
        <v>0.6</v>
      </c>
      <c r="P30" s="66">
        <v>0.6</v>
      </c>
      <c r="Q30" s="67">
        <v>1</v>
      </c>
      <c r="R30" s="67">
        <v>1</v>
      </c>
      <c r="S30" s="67">
        <v>1</v>
      </c>
      <c r="T30" s="67">
        <v>0.6</v>
      </c>
      <c r="U30" s="67"/>
      <c r="V30" s="79"/>
      <c r="W30" s="68">
        <f t="shared" si="8"/>
        <v>4.8</v>
      </c>
      <c r="X30" s="69">
        <f t="shared" si="1"/>
        <v>4.2</v>
      </c>
      <c r="Y30" s="70">
        <f t="shared" si="2"/>
        <v>9</v>
      </c>
      <c r="Z30" s="71">
        <f>'[1]cálculos teóricos'!I24</f>
        <v>13.213997493694729</v>
      </c>
      <c r="AA30" s="72">
        <f t="shared" si="3"/>
        <v>68.109593666068832</v>
      </c>
      <c r="AB30" s="3"/>
    </row>
    <row r="31" spans="1:28" ht="18" customHeight="1">
      <c r="A31" s="92">
        <v>23</v>
      </c>
      <c r="B31" s="83">
        <v>-99</v>
      </c>
      <c r="C31" s="75">
        <f>'[1]cálculos teóricos'!K25</f>
        <v>1.041182375874407</v>
      </c>
      <c r="D31" s="59">
        <f t="shared" si="4"/>
        <v>-999</v>
      </c>
      <c r="E31" s="60">
        <f t="shared" si="5"/>
        <v>-999</v>
      </c>
      <c r="F31" s="61">
        <f t="shared" si="6"/>
        <v>-999</v>
      </c>
      <c r="G31" s="62">
        <f>'[1]cálculos teóricos'!T25</f>
        <v>42.137663999981427</v>
      </c>
      <c r="H31" s="76">
        <f t="shared" si="7"/>
        <v>-999</v>
      </c>
      <c r="I31" s="80"/>
      <c r="J31" s="88">
        <v>0.6</v>
      </c>
      <c r="K31" s="88">
        <v>0.9</v>
      </c>
      <c r="L31" s="88">
        <v>0.7</v>
      </c>
      <c r="M31" s="88">
        <v>0.9</v>
      </c>
      <c r="N31" s="88">
        <v>0.3</v>
      </c>
      <c r="O31" s="79">
        <v>0.3</v>
      </c>
      <c r="P31" s="66"/>
      <c r="Q31" s="67">
        <v>0.2</v>
      </c>
      <c r="R31" s="67"/>
      <c r="S31" s="67"/>
      <c r="T31" s="67"/>
      <c r="U31" s="67"/>
      <c r="V31" s="79"/>
      <c r="W31" s="68">
        <f t="shared" si="8"/>
        <v>3.6999999999999997</v>
      </c>
      <c r="X31" s="69">
        <f t="shared" si="1"/>
        <v>0.2</v>
      </c>
      <c r="Y31" s="70">
        <f t="shared" si="2"/>
        <v>3.9</v>
      </c>
      <c r="Z31" s="71">
        <f>'[1]cálculos teóricos'!I25</f>
        <v>13.198865409441321</v>
      </c>
      <c r="AA31" s="72">
        <f t="shared" si="3"/>
        <v>29.547994308740197</v>
      </c>
      <c r="AB31" s="3"/>
    </row>
    <row r="32" spans="1:28" ht="18" customHeight="1">
      <c r="A32" s="92">
        <v>24</v>
      </c>
      <c r="B32" s="77">
        <v>27.5</v>
      </c>
      <c r="C32" s="75">
        <f>'[1]cálculos teóricos'!K26</f>
        <v>1.0410095074307182</v>
      </c>
      <c r="D32" s="59">
        <f t="shared" si="4"/>
        <v>416.92040394034973</v>
      </c>
      <c r="E32" s="60">
        <f t="shared" si="5"/>
        <v>17.455623472174562</v>
      </c>
      <c r="F32" s="61">
        <f t="shared" si="6"/>
        <v>22.148611820218203</v>
      </c>
      <c r="G32" s="62">
        <f>'[1]cálculos teóricos'!T26</f>
        <v>42.073495717695977</v>
      </c>
      <c r="H32" s="76">
        <f t="shared" si="7"/>
        <v>52.642670741767169</v>
      </c>
      <c r="I32" s="80"/>
      <c r="J32" s="88"/>
      <c r="K32" s="88"/>
      <c r="L32" s="88"/>
      <c r="M32" s="88">
        <v>0.2</v>
      </c>
      <c r="N32" s="88">
        <v>1</v>
      </c>
      <c r="O32" s="79">
        <v>1</v>
      </c>
      <c r="P32" s="66">
        <v>1</v>
      </c>
      <c r="Q32" s="67">
        <v>1</v>
      </c>
      <c r="R32" s="67">
        <v>1</v>
      </c>
      <c r="S32" s="67">
        <v>0.8</v>
      </c>
      <c r="T32" s="67">
        <v>0.3</v>
      </c>
      <c r="U32" s="67">
        <v>0.2</v>
      </c>
      <c r="V32" s="79"/>
      <c r="W32" s="68">
        <f t="shared" si="8"/>
        <v>2.2000000000000002</v>
      </c>
      <c r="X32" s="69">
        <f t="shared" si="1"/>
        <v>4.3</v>
      </c>
      <c r="Y32" s="70">
        <f t="shared" si="2"/>
        <v>6.5</v>
      </c>
      <c r="Z32" s="71">
        <f>'[1]cálculos teóricos'!I26</f>
        <v>13.183373621464895</v>
      </c>
      <c r="AA32" s="72">
        <f t="shared" si="3"/>
        <v>49.304526949132615</v>
      </c>
      <c r="AB32" s="3"/>
    </row>
    <row r="33" spans="1:28" ht="18" customHeight="1">
      <c r="A33" s="92">
        <v>25</v>
      </c>
      <c r="B33" s="83">
        <v>-99</v>
      </c>
      <c r="C33" s="75">
        <f>'[1]cálculos teóricos'!K27</f>
        <v>1.0408284462923059</v>
      </c>
      <c r="D33" s="59">
        <f t="shared" si="4"/>
        <v>-999</v>
      </c>
      <c r="E33" s="60">
        <f t="shared" si="5"/>
        <v>-999</v>
      </c>
      <c r="F33" s="61">
        <f t="shared" si="6"/>
        <v>-999</v>
      </c>
      <c r="G33" s="62">
        <f>'[1]cálculos teóricos'!T27</f>
        <v>42.006925344148755</v>
      </c>
      <c r="H33" s="76">
        <f t="shared" si="7"/>
        <v>-999</v>
      </c>
      <c r="I33" s="80"/>
      <c r="J33" s="88">
        <v>0.9</v>
      </c>
      <c r="K33" s="88">
        <v>1</v>
      </c>
      <c r="L33" s="88">
        <v>1</v>
      </c>
      <c r="M33" s="88">
        <v>1</v>
      </c>
      <c r="N33" s="88">
        <v>1</v>
      </c>
      <c r="O33" s="79">
        <v>1</v>
      </c>
      <c r="P33" s="66">
        <v>1</v>
      </c>
      <c r="Q33" s="67">
        <v>1</v>
      </c>
      <c r="R33" s="67">
        <v>1</v>
      </c>
      <c r="S33" s="67">
        <v>1</v>
      </c>
      <c r="T33" s="67">
        <v>1</v>
      </c>
      <c r="U33" s="67">
        <v>0.8</v>
      </c>
      <c r="V33" s="79"/>
      <c r="W33" s="68">
        <f t="shared" si="8"/>
        <v>5.9</v>
      </c>
      <c r="X33" s="69">
        <f t="shared" si="1"/>
        <v>5.8</v>
      </c>
      <c r="Y33" s="70">
        <f t="shared" si="2"/>
        <v>11.7</v>
      </c>
      <c r="Z33" s="71">
        <f>'[1]cálculos teóricos'!I27</f>
        <v>13.16753184269853</v>
      </c>
      <c r="AA33" s="72">
        <f t="shared" si="3"/>
        <v>88.854920874846528</v>
      </c>
      <c r="AB33" s="3"/>
    </row>
    <row r="34" spans="1:28" ht="18" customHeight="1">
      <c r="A34" s="91">
        <v>26</v>
      </c>
      <c r="B34" s="77">
        <v>40.200000000000003</v>
      </c>
      <c r="C34" s="75">
        <f>'[1]cálculos teóricos'!K28</f>
        <v>1.0406389870529105</v>
      </c>
      <c r="D34" s="59">
        <f t="shared" si="4"/>
        <v>609.2449046953916</v>
      </c>
      <c r="E34" s="60">
        <f t="shared" si="5"/>
        <v>25.507865669786657</v>
      </c>
      <c r="F34" s="61">
        <f t="shared" si="6"/>
        <v>32.213914567233317</v>
      </c>
      <c r="G34" s="62">
        <f>'[1]cálculos teóricos'!T28</f>
        <v>41.937939855578989</v>
      </c>
      <c r="H34" s="76">
        <f t="shared" si="7"/>
        <v>76.813297644490547</v>
      </c>
      <c r="I34" s="80">
        <v>0.2</v>
      </c>
      <c r="J34" s="88">
        <v>1</v>
      </c>
      <c r="K34" s="88">
        <v>1</v>
      </c>
      <c r="L34" s="88">
        <v>1</v>
      </c>
      <c r="M34" s="88">
        <v>1</v>
      </c>
      <c r="N34" s="88">
        <v>1</v>
      </c>
      <c r="O34" s="79">
        <v>1</v>
      </c>
      <c r="P34" s="66">
        <v>1</v>
      </c>
      <c r="Q34" s="67">
        <v>1</v>
      </c>
      <c r="R34" s="67">
        <v>1</v>
      </c>
      <c r="S34" s="67">
        <v>1</v>
      </c>
      <c r="T34" s="67">
        <v>1</v>
      </c>
      <c r="U34" s="67">
        <v>0.9</v>
      </c>
      <c r="V34" s="79"/>
      <c r="W34" s="68">
        <f t="shared" si="8"/>
        <v>6.2</v>
      </c>
      <c r="X34" s="69">
        <f t="shared" si="1"/>
        <v>5.9</v>
      </c>
      <c r="Y34" s="70">
        <f t="shared" si="2"/>
        <v>12.100000000000001</v>
      </c>
      <c r="Z34" s="71">
        <f>'[1]cálculos teóricos'!I28</f>
        <v>13.151349805598334</v>
      </c>
      <c r="AA34" s="72">
        <f t="shared" si="3"/>
        <v>92.005765026866001</v>
      </c>
      <c r="AB34" s="3"/>
    </row>
    <row r="35" spans="1:28" ht="18" customHeight="1">
      <c r="A35" s="91">
        <v>27</v>
      </c>
      <c r="B35" s="77">
        <v>34.700000000000003</v>
      </c>
      <c r="C35" s="75">
        <f>'[1]cálculos teóricos'!K29</f>
        <v>1.040440925291195</v>
      </c>
      <c r="D35" s="59">
        <f t="shared" si="4"/>
        <v>525.79041111709762</v>
      </c>
      <c r="E35" s="60">
        <f t="shared" si="5"/>
        <v>22.013792932650645</v>
      </c>
      <c r="F35" s="61">
        <f t="shared" si="6"/>
        <v>27.8463236458133</v>
      </c>
      <c r="G35" s="62">
        <f>'[1]cálculos teóricos'!T29</f>
        <v>41.866526938364217</v>
      </c>
      <c r="H35" s="76">
        <f t="shared" si="7"/>
        <v>66.512141517753733</v>
      </c>
      <c r="I35" s="80"/>
      <c r="J35" s="88">
        <v>0.2</v>
      </c>
      <c r="K35" s="88">
        <v>0.3</v>
      </c>
      <c r="L35" s="88">
        <v>0.7</v>
      </c>
      <c r="M35" s="88">
        <v>1</v>
      </c>
      <c r="N35" s="88">
        <v>1</v>
      </c>
      <c r="O35" s="79">
        <v>1</v>
      </c>
      <c r="P35" s="66">
        <v>1</v>
      </c>
      <c r="Q35" s="67">
        <v>1</v>
      </c>
      <c r="R35" s="67">
        <v>1</v>
      </c>
      <c r="S35" s="67">
        <v>0.7</v>
      </c>
      <c r="T35" s="67"/>
      <c r="U35" s="67">
        <v>0.1</v>
      </c>
      <c r="V35" s="79"/>
      <c r="W35" s="68">
        <f t="shared" si="8"/>
        <v>4.2</v>
      </c>
      <c r="X35" s="69">
        <f t="shared" si="1"/>
        <v>3.8000000000000003</v>
      </c>
      <c r="Y35" s="70">
        <f t="shared" si="2"/>
        <v>8</v>
      </c>
      <c r="Z35" s="71">
        <f>'[1]cálculos teóricos'!I29</f>
        <v>13.134837246003574</v>
      </c>
      <c r="AA35" s="72">
        <f t="shared" si="3"/>
        <v>60.906731085945452</v>
      </c>
      <c r="AB35" s="3"/>
    </row>
    <row r="36" spans="1:28" ht="18" customHeight="1">
      <c r="A36" s="92">
        <v>28</v>
      </c>
      <c r="B36" s="77">
        <v>23.3</v>
      </c>
      <c r="C36" s="75">
        <f>'[1]cálculos teóricos'!K30</f>
        <v>1.0402340580372698</v>
      </c>
      <c r="D36" s="59">
        <f t="shared" si="4"/>
        <v>352.98215480846068</v>
      </c>
      <c r="E36" s="60">
        <f t="shared" si="5"/>
        <v>14.778656857520632</v>
      </c>
      <c r="F36" s="61">
        <f t="shared" si="6"/>
        <v>18.802403551900788</v>
      </c>
      <c r="G36" s="62">
        <f>'[1]cálculos teóricos'!T30</f>
        <v>41.792675053969653</v>
      </c>
      <c r="H36" s="76">
        <f t="shared" si="7"/>
        <v>44.989710583541246</v>
      </c>
      <c r="I36" s="80">
        <v>0.1</v>
      </c>
      <c r="J36" s="88">
        <v>1</v>
      </c>
      <c r="K36" s="88">
        <v>0.9</v>
      </c>
      <c r="L36" s="88">
        <v>1</v>
      </c>
      <c r="M36" s="88">
        <v>0.9</v>
      </c>
      <c r="N36" s="88">
        <v>0.9</v>
      </c>
      <c r="O36" s="79">
        <v>1</v>
      </c>
      <c r="P36" s="66">
        <v>0.9</v>
      </c>
      <c r="Q36" s="67">
        <v>0.5</v>
      </c>
      <c r="R36" s="67"/>
      <c r="S36" s="67"/>
      <c r="T36" s="67"/>
      <c r="U36" s="67"/>
      <c r="V36" s="79"/>
      <c r="W36" s="68">
        <f t="shared" si="8"/>
        <v>5.8</v>
      </c>
      <c r="X36" s="69">
        <f t="shared" si="1"/>
        <v>1.4</v>
      </c>
      <c r="Y36" s="70">
        <f t="shared" si="2"/>
        <v>7.1999999999999993</v>
      </c>
      <c r="Z36" s="71">
        <f>'[1]cálculos teóricos'!I30</f>
        <v>13.118003887630318</v>
      </c>
      <c r="AA36" s="72">
        <f t="shared" si="3"/>
        <v>54.886399346087039</v>
      </c>
      <c r="AB36" s="3"/>
    </row>
    <row r="37" spans="1:28" ht="18" customHeight="1">
      <c r="A37" s="92">
        <v>29</v>
      </c>
      <c r="B37" s="77">
        <v>26.5</v>
      </c>
      <c r="C37" s="75">
        <f>'[1]cálculos teóricos'!K31</f>
        <v>1.0400181842320544</v>
      </c>
      <c r="D37" s="59">
        <f t="shared" si="4"/>
        <v>401.37707789068338</v>
      </c>
      <c r="E37" s="60">
        <f t="shared" si="5"/>
        <v>16.804855497127129</v>
      </c>
      <c r="F37" s="61">
        <f t="shared" si="6"/>
        <v>21.335151851408913</v>
      </c>
      <c r="G37" s="62">
        <f>'[1]cálculos teóricos'!T31</f>
        <v>41.716373502555001</v>
      </c>
      <c r="H37" s="76">
        <f t="shared" si="7"/>
        <v>51.143352262157208</v>
      </c>
      <c r="I37" s="80"/>
      <c r="J37" s="88">
        <v>0.6</v>
      </c>
      <c r="K37" s="88">
        <v>1</v>
      </c>
      <c r="L37" s="88">
        <v>1</v>
      </c>
      <c r="M37" s="88">
        <v>1</v>
      </c>
      <c r="N37" s="88">
        <v>1</v>
      </c>
      <c r="O37" s="79">
        <v>0.8</v>
      </c>
      <c r="P37" s="66">
        <v>0.8</v>
      </c>
      <c r="Q37" s="67">
        <v>0.9</v>
      </c>
      <c r="R37" s="67">
        <v>0.8</v>
      </c>
      <c r="S37" s="67"/>
      <c r="T37" s="67"/>
      <c r="U37" s="67"/>
      <c r="V37" s="79"/>
      <c r="W37" s="68">
        <f t="shared" si="8"/>
        <v>5.3999999999999995</v>
      </c>
      <c r="X37" s="69">
        <f t="shared" si="1"/>
        <v>2.5</v>
      </c>
      <c r="Y37" s="70">
        <f t="shared" si="2"/>
        <v>7.8999999999999995</v>
      </c>
      <c r="Z37" s="71">
        <f>'[1]cálculos teóricos'!I31</f>
        <v>13.100859427229913</v>
      </c>
      <c r="AA37" s="72">
        <f t="shared" si="3"/>
        <v>60.301387430964908</v>
      </c>
      <c r="AB37" s="3"/>
    </row>
    <row r="38" spans="1:28" ht="18" customHeight="1">
      <c r="A38" s="81">
        <v>30</v>
      </c>
      <c r="B38" s="77">
        <v>27.3</v>
      </c>
      <c r="C38" s="75">
        <f>'[1]cálculos teóricos'!K32</f>
        <v>1.0397931051784299</v>
      </c>
      <c r="D38" s="59">
        <f t="shared" si="4"/>
        <v>413.40463402236355</v>
      </c>
      <c r="E38" s="60">
        <f t="shared" si="5"/>
        <v>17.308425217248317</v>
      </c>
      <c r="F38" s="61">
        <f t="shared" si="6"/>
        <v>21.964614001560395</v>
      </c>
      <c r="G38" s="62">
        <f>'[1]cálculos teóricos'!T32</f>
        <v>41.637612485050042</v>
      </c>
      <c r="H38" s="76">
        <f t="shared" si="7"/>
        <v>52.751857492902062</v>
      </c>
      <c r="I38" s="80"/>
      <c r="J38" s="88">
        <v>0.1</v>
      </c>
      <c r="K38" s="88">
        <v>0.1</v>
      </c>
      <c r="L38" s="88"/>
      <c r="M38" s="88">
        <v>0.2</v>
      </c>
      <c r="N38" s="88"/>
      <c r="O38" s="79"/>
      <c r="P38" s="66">
        <v>0.3</v>
      </c>
      <c r="Q38" s="67">
        <v>0.7</v>
      </c>
      <c r="R38" s="67">
        <v>1</v>
      </c>
      <c r="S38" s="67">
        <v>1</v>
      </c>
      <c r="T38" s="67">
        <v>1</v>
      </c>
      <c r="U38" s="67">
        <v>0.2</v>
      </c>
      <c r="V38" s="79"/>
      <c r="W38" s="68">
        <f t="shared" si="8"/>
        <v>0.4</v>
      </c>
      <c r="X38" s="69">
        <f t="shared" si="1"/>
        <v>4.2</v>
      </c>
      <c r="Y38" s="70">
        <f t="shared" si="2"/>
        <v>4.6000000000000005</v>
      </c>
      <c r="Z38" s="71">
        <f>'[1]cálculos teóricos'!I32</f>
        <v>13.083413520438963</v>
      </c>
      <c r="AA38" s="72">
        <f t="shared" si="3"/>
        <v>35.159020180886749</v>
      </c>
      <c r="AB38" s="3"/>
    </row>
    <row r="39" spans="1:28" ht="18" customHeight="1" thickBot="1">
      <c r="A39" s="93">
        <v>31</v>
      </c>
      <c r="B39" s="94">
        <v>22.1</v>
      </c>
      <c r="C39" s="95">
        <f>'[1]cálculos teóricos'!K33</f>
        <v>1.0395586249831952</v>
      </c>
      <c r="D39" s="96">
        <f t="shared" si="4"/>
        <v>334.58542597223516</v>
      </c>
      <c r="E39" s="97">
        <f t="shared" si="5"/>
        <v>14.008422614605541</v>
      </c>
      <c r="F39" s="98">
        <f t="shared" si="6"/>
        <v>17.839610748256927</v>
      </c>
      <c r="G39" s="99">
        <f>'[1]cálculos teóricos'!T33</f>
        <v>41.556383163518021</v>
      </c>
      <c r="H39" s="100">
        <f t="shared" si="7"/>
        <v>42.928689626478764</v>
      </c>
      <c r="I39" s="101"/>
      <c r="J39" s="94"/>
      <c r="K39" s="94">
        <v>0.1</v>
      </c>
      <c r="L39" s="94">
        <v>0.7</v>
      </c>
      <c r="M39" s="94">
        <v>1</v>
      </c>
      <c r="N39" s="94">
        <v>1</v>
      </c>
      <c r="O39" s="102">
        <v>0.8</v>
      </c>
      <c r="P39" s="103"/>
      <c r="Q39" s="104">
        <v>0.1</v>
      </c>
      <c r="R39" s="104">
        <v>0.3</v>
      </c>
      <c r="S39" s="104"/>
      <c r="T39" s="104"/>
      <c r="U39" s="104"/>
      <c r="V39" s="79"/>
      <c r="W39" s="105">
        <f t="shared" si="8"/>
        <v>3.5999999999999996</v>
      </c>
      <c r="X39" s="96">
        <f t="shared" si="1"/>
        <v>0.4</v>
      </c>
      <c r="Y39" s="106">
        <f t="shared" si="2"/>
        <v>3.9999999999999996</v>
      </c>
      <c r="Z39" s="107">
        <f>'[1]cálculos teóricos'!I33</f>
        <v>13.065675768342954</v>
      </c>
      <c r="AA39" s="108">
        <f t="shared" si="3"/>
        <v>30.614566524692634</v>
      </c>
      <c r="AB39" s="3"/>
    </row>
    <row r="40" spans="1:28" s="113" customFormat="1" ht="15.75" thickTop="1">
      <c r="A40" s="109"/>
      <c r="B40" s="109"/>
      <c r="C40" s="109"/>
      <c r="D40" s="109"/>
      <c r="E40" s="109"/>
      <c r="F40" s="109"/>
      <c r="G40" s="109"/>
      <c r="H40" s="109"/>
      <c r="I40" s="110">
        <f>SUM(I9:I39)</f>
        <v>-98.5</v>
      </c>
      <c r="J40" s="110">
        <f t="shared" ref="J40:V40" si="9">SUM(J9:J39)</f>
        <v>-90.800000000000026</v>
      </c>
      <c r="K40" s="110">
        <f t="shared" si="9"/>
        <v>-87.199999999999989</v>
      </c>
      <c r="L40" s="110">
        <f t="shared" si="9"/>
        <v>-82.199999999999989</v>
      </c>
      <c r="M40" s="110">
        <f t="shared" si="9"/>
        <v>-79.199999999999989</v>
      </c>
      <c r="N40" s="110">
        <f t="shared" si="9"/>
        <v>-81.100000000000009</v>
      </c>
      <c r="O40" s="110">
        <f t="shared" si="9"/>
        <v>-82.500000000000014</v>
      </c>
      <c r="P40" s="110">
        <f t="shared" si="9"/>
        <v>-85</v>
      </c>
      <c r="Q40" s="110">
        <f t="shared" si="9"/>
        <v>-82.199999999999989</v>
      </c>
      <c r="R40" s="110">
        <f t="shared" si="9"/>
        <v>-85.4</v>
      </c>
      <c r="S40" s="110">
        <f t="shared" si="9"/>
        <v>-88.600000000000023</v>
      </c>
      <c r="T40" s="110">
        <f t="shared" si="9"/>
        <v>-89.800000000000011</v>
      </c>
      <c r="U40" s="110">
        <f t="shared" si="9"/>
        <v>-95.8</v>
      </c>
      <c r="V40" s="111">
        <f t="shared" si="9"/>
        <v>0</v>
      </c>
      <c r="W40" s="112">
        <f t="shared" si="8"/>
        <v>-601.5</v>
      </c>
      <c r="X40" s="111">
        <f>SUM(P40:V40)</f>
        <v>-526.80000000000007</v>
      </c>
      <c r="Y40" s="111">
        <f>W40+X40</f>
        <v>-1128.3000000000002</v>
      </c>
      <c r="Z40" s="111">
        <f>SUM(Z9:Z39)</f>
        <v>411.67229285134226</v>
      </c>
      <c r="AA40" s="111">
        <f>SUM(AA9:AA39)</f>
        <v>458.70924525157528</v>
      </c>
      <c r="AB40" s="109"/>
    </row>
    <row r="41" spans="1:28" s="113" customFormat="1" ht="15">
      <c r="A41" s="109"/>
      <c r="B41" s="109" t="s">
        <v>51</v>
      </c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</row>
    <row r="42" spans="1:28" s="113" customFormat="1" ht="15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</row>
    <row r="43" spans="1:28" s="113" customFormat="1" ht="15">
      <c r="A43" s="109"/>
      <c r="B43" s="109" t="s">
        <v>52</v>
      </c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</row>
    <row r="44" spans="1:28" s="113" customFormat="1" ht="15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</row>
    <row r="45" spans="1:28" s="113" customFormat="1" ht="15">
      <c r="A45" s="109"/>
      <c r="B45" s="109" t="s">
        <v>53</v>
      </c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</row>
    <row r="46" spans="1:28" s="113" customFormat="1" ht="15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</row>
    <row r="47" spans="1:28" s="113" customFormat="1" ht="15">
      <c r="A47" s="109"/>
      <c r="B47" s="109" t="s">
        <v>54</v>
      </c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</row>
    <row r="48" spans="1:28" s="113" customFormat="1" ht="15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</row>
    <row r="49" spans="1:28" s="113" customFormat="1" ht="15">
      <c r="A49" s="109"/>
      <c r="B49" s="109" t="s">
        <v>55</v>
      </c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9" t="s">
        <v>56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9" t="s">
        <v>57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13" t="s">
        <v>58</v>
      </c>
    </row>
    <row r="58" spans="1:28" ht="15.75">
      <c r="A58" s="114"/>
      <c r="B58" s="114"/>
      <c r="C58" s="114"/>
      <c r="D58" s="114"/>
      <c r="E58" s="114"/>
      <c r="F58" s="114"/>
      <c r="G58" s="114"/>
      <c r="H58" s="114"/>
      <c r="I58" s="114"/>
      <c r="J58" s="113"/>
      <c r="K58" s="113"/>
    </row>
    <row r="59" spans="1:28" ht="15.75">
      <c r="A59" s="114"/>
      <c r="B59" s="114"/>
      <c r="C59" s="114"/>
      <c r="D59" s="114"/>
      <c r="E59" s="114"/>
      <c r="F59" s="114"/>
      <c r="G59" s="114"/>
      <c r="H59" s="114"/>
      <c r="I59" s="114"/>
      <c r="J59" s="113"/>
      <c r="K59" s="113"/>
    </row>
    <row r="60" spans="1:28" ht="15.75">
      <c r="A60" s="114"/>
      <c r="B60" s="114"/>
      <c r="C60" s="114"/>
      <c r="D60" s="114"/>
      <c r="E60" s="114"/>
      <c r="F60" s="114"/>
      <c r="G60" s="114"/>
      <c r="H60" s="114"/>
      <c r="I60" s="114"/>
      <c r="J60" s="113"/>
      <c r="K60" s="113"/>
    </row>
  </sheetData>
  <sheetProtection selectLockedCells="1" selectUnlockedCells="1"/>
  <mergeCells count="2">
    <mergeCell ref="I5:W5"/>
    <mergeCell ref="I7:U7"/>
  </mergeCells>
  <pageMargins left="0" right="0" top="0.39374999999999999" bottom="0.98402777777777772" header="0.51180555555555551" footer="0.51180555555555551"/>
  <pageSetup paperSize="39" scale="50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54"/>
  <sheetViews>
    <sheetView zoomScale="75" zoomScaleNormal="75" workbookViewId="0">
      <selection activeCell="A2" sqref="A2"/>
    </sheetView>
  </sheetViews>
  <sheetFormatPr defaultColWidth="11.42578125" defaultRowHeight="12.75"/>
  <cols>
    <col min="1" max="1" width="8.7109375" style="8" customWidth="1"/>
    <col min="2" max="8" width="12.7109375" style="8" customWidth="1"/>
    <col min="9" max="25" width="8.7109375" style="8" customWidth="1"/>
    <col min="26" max="27" width="12.7109375" style="8" customWidth="1"/>
    <col min="28" max="16384" width="11.42578125" style="8"/>
  </cols>
  <sheetData>
    <row r="1" spans="1:28" ht="18" customHeight="1">
      <c r="A1" s="1" t="s">
        <v>59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7" t="s">
        <v>2</v>
      </c>
      <c r="Y1" s="6"/>
      <c r="Z1" s="6"/>
      <c r="AA1" s="6"/>
      <c r="AB1" s="3"/>
    </row>
    <row r="2" spans="1:28" ht="18" customHeight="1">
      <c r="A2" s="3"/>
      <c r="B2" s="9" t="s">
        <v>60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9" t="s">
        <v>61</v>
      </c>
      <c r="W2" s="3"/>
      <c r="X2" s="3"/>
      <c r="Y2" s="3"/>
      <c r="Z2" s="3"/>
      <c r="AA2" s="3"/>
      <c r="AB2" s="3"/>
    </row>
    <row r="3" spans="1:28" ht="18" customHeight="1">
      <c r="A3" s="3"/>
      <c r="B3" s="9" t="s">
        <v>5</v>
      </c>
      <c r="C3" s="3"/>
      <c r="D3" s="115"/>
      <c r="E3" s="3"/>
      <c r="F3" s="3"/>
      <c r="G3" s="4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9" t="s">
        <v>7</v>
      </c>
      <c r="W3" s="3"/>
      <c r="X3" s="6"/>
      <c r="Y3" s="6"/>
      <c r="Z3" s="6"/>
      <c r="AA3" s="6"/>
      <c r="AB3" s="3"/>
    </row>
    <row r="4" spans="1:28" ht="18" customHeight="1" thickBot="1">
      <c r="A4" s="3"/>
      <c r="B4" s="3"/>
      <c r="C4" s="116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1" t="s">
        <v>8</v>
      </c>
      <c r="B5" s="12"/>
      <c r="C5" s="13" t="s">
        <v>9</v>
      </c>
      <c r="D5" s="14"/>
      <c r="E5" s="15"/>
      <c r="F5" s="14"/>
      <c r="G5" s="14"/>
      <c r="H5" s="16"/>
      <c r="I5" s="17" t="s">
        <v>10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3"/>
      <c r="Y5" s="18"/>
      <c r="Z5" s="15"/>
      <c r="AA5" s="19"/>
      <c r="AB5" s="3"/>
    </row>
    <row r="6" spans="1:28" ht="18" customHeight="1">
      <c r="A6" s="20"/>
      <c r="B6" s="21" t="s">
        <v>11</v>
      </c>
      <c r="C6" s="22" t="s">
        <v>12</v>
      </c>
      <c r="D6" s="23" t="s">
        <v>13</v>
      </c>
      <c r="E6" s="22" t="s">
        <v>13</v>
      </c>
      <c r="F6" s="24" t="s">
        <v>14</v>
      </c>
      <c r="G6" s="24" t="s">
        <v>15</v>
      </c>
      <c r="H6" s="24" t="s">
        <v>16</v>
      </c>
      <c r="I6" s="25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8"/>
      <c r="W6" s="29"/>
      <c r="X6" s="30"/>
      <c r="Y6" s="31"/>
      <c r="Z6" s="32" t="s">
        <v>17</v>
      </c>
      <c r="AA6" s="33" t="s">
        <v>18</v>
      </c>
      <c r="AB6" s="3"/>
    </row>
    <row r="7" spans="1:28" ht="18" customHeight="1" thickBot="1">
      <c r="A7" s="34"/>
      <c r="B7" s="35" t="s">
        <v>19</v>
      </c>
      <c r="C7" s="36" t="s">
        <v>20</v>
      </c>
      <c r="D7" s="23" t="s">
        <v>21</v>
      </c>
      <c r="E7" s="24" t="s">
        <v>21</v>
      </c>
      <c r="F7" s="24" t="s">
        <v>22</v>
      </c>
      <c r="G7" s="24" t="s">
        <v>23</v>
      </c>
      <c r="H7" s="24" t="s">
        <v>24</v>
      </c>
      <c r="I7" s="37" t="s">
        <v>25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8"/>
      <c r="W7" s="39"/>
      <c r="X7" s="40" t="s">
        <v>26</v>
      </c>
      <c r="Y7" s="41"/>
      <c r="Z7" s="42" t="s">
        <v>27</v>
      </c>
      <c r="AA7" s="43" t="s">
        <v>28</v>
      </c>
      <c r="AB7" s="3"/>
    </row>
    <row r="8" spans="1:28" ht="18" customHeight="1" thickBot="1">
      <c r="A8" s="44"/>
      <c r="B8" s="35" t="s">
        <v>29</v>
      </c>
      <c r="C8" s="40" t="s">
        <v>30</v>
      </c>
      <c r="D8" s="46" t="s">
        <v>31</v>
      </c>
      <c r="E8" s="47" t="s">
        <v>32</v>
      </c>
      <c r="F8" s="47" t="s">
        <v>32</v>
      </c>
      <c r="G8" s="46" t="s">
        <v>32</v>
      </c>
      <c r="H8" s="24" t="s">
        <v>33</v>
      </c>
      <c r="I8" s="48" t="s">
        <v>34</v>
      </c>
      <c r="J8" s="49" t="s">
        <v>35</v>
      </c>
      <c r="K8" s="49" t="s">
        <v>36</v>
      </c>
      <c r="L8" s="49" t="s">
        <v>37</v>
      </c>
      <c r="M8" s="49" t="s">
        <v>38</v>
      </c>
      <c r="N8" s="49" t="s">
        <v>39</v>
      </c>
      <c r="O8" s="50" t="s">
        <v>40</v>
      </c>
      <c r="P8" s="49" t="s">
        <v>41</v>
      </c>
      <c r="Q8" s="49" t="s">
        <v>42</v>
      </c>
      <c r="R8" s="49" t="s">
        <v>43</v>
      </c>
      <c r="S8" s="49" t="s">
        <v>44</v>
      </c>
      <c r="T8" s="49" t="s">
        <v>45</v>
      </c>
      <c r="U8" s="49" t="s">
        <v>46</v>
      </c>
      <c r="V8" s="51" t="s">
        <v>47</v>
      </c>
      <c r="W8" s="54" t="s">
        <v>48</v>
      </c>
      <c r="X8" s="117" t="s">
        <v>49</v>
      </c>
      <c r="Y8" s="53" t="s">
        <v>50</v>
      </c>
      <c r="Z8" s="54" t="s">
        <v>50</v>
      </c>
      <c r="AA8" s="55" t="s">
        <v>50</v>
      </c>
      <c r="AB8" s="3"/>
    </row>
    <row r="9" spans="1:28" ht="18" customHeight="1">
      <c r="A9" s="118">
        <v>1</v>
      </c>
      <c r="B9" s="119">
        <v>25.1</v>
      </c>
      <c r="C9" s="58">
        <f>'[1]cálculos teóricos'!K34</f>
        <v>1.0393145509889044</v>
      </c>
      <c r="D9" s="59">
        <f>IF(B9&gt;0,B9*C9*14.25*1.022,-999)</f>
        <v>379.91504232950547</v>
      </c>
      <c r="E9" s="60">
        <f>IF(B9&gt;0,D9*4.1868/100,-999)</f>
        <v>15.906282992251734</v>
      </c>
      <c r="F9" s="61">
        <f>IF(B9&gt;0,(7.86+1.25*D9)*4.1868/100,-999)</f>
        <v>20.211936220314669</v>
      </c>
      <c r="G9" s="62">
        <f>'[1]cálculos teóricos'!T34</f>
        <v>41.472677719635314</v>
      </c>
      <c r="H9" s="63">
        <f>IF(B9&gt;0,100*F9/G9,-999)</f>
        <v>48.73554670607944</v>
      </c>
      <c r="I9" s="120"/>
      <c r="J9" s="120"/>
      <c r="K9" s="120"/>
      <c r="L9" s="120">
        <v>0.1</v>
      </c>
      <c r="M9" s="120">
        <v>0.2</v>
      </c>
      <c r="N9" s="120">
        <v>0.6</v>
      </c>
      <c r="O9" s="121"/>
      <c r="P9" s="122"/>
      <c r="Q9" s="120">
        <v>0.4</v>
      </c>
      <c r="R9" s="120">
        <v>0.6</v>
      </c>
      <c r="S9" s="120"/>
      <c r="T9" s="120">
        <v>0.5</v>
      </c>
      <c r="U9" s="120">
        <v>0.2</v>
      </c>
      <c r="V9" s="121"/>
      <c r="W9" s="123">
        <f t="shared" ref="W9:W36" si="0">SUM(I9:O9)</f>
        <v>0.9</v>
      </c>
      <c r="X9" s="124">
        <f>SUM(P9:V9)</f>
        <v>1.7</v>
      </c>
      <c r="Y9" s="125">
        <f>W9+X9</f>
        <v>2.6</v>
      </c>
      <c r="Z9" s="71">
        <f>'[1]cálculos teóricos'!I34</f>
        <v>13.047655704771071</v>
      </c>
      <c r="AA9" s="72">
        <f t="shared" ref="AA9:AA36" si="1">100*Y9/Z9</f>
        <v>19.926951314704535</v>
      </c>
      <c r="AB9" s="3"/>
    </row>
    <row r="10" spans="1:28" ht="18" customHeight="1">
      <c r="A10" s="118">
        <v>2</v>
      </c>
      <c r="B10" s="57">
        <v>30.9</v>
      </c>
      <c r="C10" s="126">
        <f>'[1]cálculos teóricos'!K35</f>
        <v>1.03906069419472</v>
      </c>
      <c r="D10" s="59">
        <f>IF(B10&gt;0,B10*C10*14.25*1.022,-999)</f>
        <v>467.58993697505849</v>
      </c>
      <c r="E10" s="60">
        <f>IF(B10&gt;0,D10*4.1868/100,-999)</f>
        <v>19.577055481271749</v>
      </c>
      <c r="F10" s="61">
        <f>IF(B10&gt;0,(7.86+1.25*D10)*4.1868/100,-999)</f>
        <v>24.800401831589685</v>
      </c>
      <c r="G10" s="62">
        <f>'[1]cálculos teóricos'!T35</f>
        <v>41.386489411124131</v>
      </c>
      <c r="H10" s="76">
        <f>IF(B10&gt;0,100*F10/G10,-999)</f>
        <v>59.923907981728135</v>
      </c>
      <c r="I10" s="120"/>
      <c r="J10" s="120"/>
      <c r="K10" s="120">
        <v>0.4</v>
      </c>
      <c r="L10" s="120">
        <v>0.9</v>
      </c>
      <c r="M10" s="120">
        <v>1</v>
      </c>
      <c r="N10" s="120">
        <v>1</v>
      </c>
      <c r="O10" s="127">
        <v>1</v>
      </c>
      <c r="P10" s="122">
        <v>0.8</v>
      </c>
      <c r="Q10" s="120">
        <v>0.9</v>
      </c>
      <c r="R10" s="120">
        <v>0.9</v>
      </c>
      <c r="S10" s="120">
        <v>0.9</v>
      </c>
      <c r="T10" s="120">
        <v>1</v>
      </c>
      <c r="U10" s="120">
        <v>0.3</v>
      </c>
      <c r="V10" s="127"/>
      <c r="W10" s="123">
        <f t="shared" si="0"/>
        <v>4.3</v>
      </c>
      <c r="X10" s="124">
        <f t="shared" ref="X10:X39" si="2">SUM(P10:V10)</f>
        <v>4.8</v>
      </c>
      <c r="Y10" s="70">
        <f t="shared" ref="Y10:Y39" si="3">W10+X10</f>
        <v>9.1</v>
      </c>
      <c r="Z10" s="71">
        <f>'[1]cálculos teóricos'!I35</f>
        <v>13.029362784335678</v>
      </c>
      <c r="AA10" s="72">
        <f t="shared" si="1"/>
        <v>69.842249008065963</v>
      </c>
      <c r="AB10" s="3"/>
    </row>
    <row r="11" spans="1:28" ht="18" customHeight="1">
      <c r="A11" s="73">
        <v>3</v>
      </c>
      <c r="B11" s="57">
        <v>21.4</v>
      </c>
      <c r="C11" s="126">
        <f>'[1]cálculos teóricos'!K36</f>
        <v>1.038796869665491</v>
      </c>
      <c r="D11" s="59">
        <f t="shared" ref="D11:D36" si="4">IF(B11&gt;0,B11*C11*14.25*1.022,-999)</f>
        <v>323.75028972339027</v>
      </c>
      <c r="E11" s="60">
        <f t="shared" ref="E11:E36" si="5">IF(B11&gt;0,D11*4.1868/100,-999)</f>
        <v>13.554777130138902</v>
      </c>
      <c r="F11" s="61">
        <f t="shared" ref="F11:F36" si="6">IF(B11&gt;0,(7.86+1.25*D11)*4.1868/100,-999)</f>
        <v>17.272553892673628</v>
      </c>
      <c r="G11" s="62">
        <f>'[1]cálculos teóricos'!T36</f>
        <v>41.297812625986587</v>
      </c>
      <c r="H11" s="76">
        <f t="shared" ref="H11:H36" si="7">IF(B11&gt;0,100*F11/G11,-999)</f>
        <v>41.824379535793859</v>
      </c>
      <c r="I11" s="120"/>
      <c r="J11" s="120"/>
      <c r="K11" s="120"/>
      <c r="L11" s="120"/>
      <c r="M11" s="120"/>
      <c r="N11" s="120">
        <v>0.3</v>
      </c>
      <c r="O11" s="127">
        <v>1</v>
      </c>
      <c r="P11" s="122">
        <v>0.6</v>
      </c>
      <c r="Q11" s="120"/>
      <c r="R11" s="120"/>
      <c r="S11" s="120">
        <v>0.5</v>
      </c>
      <c r="T11" s="120">
        <v>0.2</v>
      </c>
      <c r="U11" s="120">
        <v>0.1</v>
      </c>
      <c r="V11" s="127"/>
      <c r="W11" s="123">
        <f t="shared" si="0"/>
        <v>1.3</v>
      </c>
      <c r="X11" s="124">
        <f t="shared" si="2"/>
        <v>1.4000000000000001</v>
      </c>
      <c r="Y11" s="70">
        <f t="shared" si="3"/>
        <v>2.7</v>
      </c>
      <c r="Z11" s="71">
        <f>'[1]cálculos teóricos'!I36</f>
        <v>13.010806371225611</v>
      </c>
      <c r="AA11" s="72">
        <f t="shared" si="1"/>
        <v>20.751980491933658</v>
      </c>
      <c r="AB11" s="3"/>
    </row>
    <row r="12" spans="1:28" ht="18" customHeight="1">
      <c r="A12" s="73">
        <v>4</v>
      </c>
      <c r="B12" s="57">
        <v>23.6</v>
      </c>
      <c r="C12" s="126">
        <f>'[1]cálculos teóricos'!K37</f>
        <v>1.0385228969283236</v>
      </c>
      <c r="D12" s="59">
        <f t="shared" si="4"/>
        <v>356.93886574220909</v>
      </c>
      <c r="E12" s="60">
        <f t="shared" si="5"/>
        <v>14.94431643089481</v>
      </c>
      <c r="F12" s="61">
        <f t="shared" si="6"/>
        <v>19.009478018618513</v>
      </c>
      <c r="G12" s="62">
        <f>'[1]cálculos teóricos'!T37</f>
        <v>41.206642934398403</v>
      </c>
      <c r="H12" s="76">
        <f t="shared" si="7"/>
        <v>46.132071590694466</v>
      </c>
      <c r="I12" s="120"/>
      <c r="J12" s="120"/>
      <c r="K12" s="120"/>
      <c r="L12" s="120"/>
      <c r="M12" s="120"/>
      <c r="N12" s="120">
        <v>0.1</v>
      </c>
      <c r="O12" s="127">
        <v>0.2</v>
      </c>
      <c r="P12" s="122">
        <v>0.9</v>
      </c>
      <c r="Q12" s="120">
        <v>0.8</v>
      </c>
      <c r="R12" s="120">
        <v>0.8</v>
      </c>
      <c r="S12" s="120">
        <v>1</v>
      </c>
      <c r="T12" s="120">
        <v>0.8</v>
      </c>
      <c r="U12" s="120"/>
      <c r="V12" s="127"/>
      <c r="W12" s="123">
        <f t="shared" si="0"/>
        <v>0.30000000000000004</v>
      </c>
      <c r="X12" s="124">
        <f t="shared" si="2"/>
        <v>4.3</v>
      </c>
      <c r="Y12" s="70">
        <f t="shared" si="3"/>
        <v>4.5999999999999996</v>
      </c>
      <c r="Z12" s="71">
        <f>'[1]cálculos teóricos'!I37</f>
        <v>12.991995728758745</v>
      </c>
      <c r="AA12" s="72">
        <f t="shared" si="1"/>
        <v>35.406415581076267</v>
      </c>
      <c r="AB12" s="3"/>
    </row>
    <row r="13" spans="1:28" ht="18" customHeight="1">
      <c r="A13" s="73">
        <v>5</v>
      </c>
      <c r="B13" s="57">
        <v>24</v>
      </c>
      <c r="C13" s="126">
        <f>'[1]cálculos teóricos'!K38</f>
        <v>1.0382386003559865</v>
      </c>
      <c r="D13" s="59">
        <f t="shared" si="4"/>
        <v>362.88930855082577</v>
      </c>
      <c r="E13" s="60">
        <f t="shared" si="5"/>
        <v>15.193449570405974</v>
      </c>
      <c r="F13" s="61">
        <f t="shared" si="6"/>
        <v>19.320894443007468</v>
      </c>
      <c r="G13" s="62">
        <f>'[1]cálculos teóricos'!T38</f>
        <v>41.112977138132415</v>
      </c>
      <c r="H13" s="76">
        <f t="shared" si="7"/>
        <v>46.994637187408351</v>
      </c>
      <c r="I13" s="120"/>
      <c r="J13" s="120">
        <v>0.3</v>
      </c>
      <c r="K13" s="120">
        <v>0.1</v>
      </c>
      <c r="L13" s="120">
        <v>0.7</v>
      </c>
      <c r="M13" s="120">
        <v>0.3</v>
      </c>
      <c r="N13" s="120">
        <v>0.5</v>
      </c>
      <c r="O13" s="127">
        <v>0.8</v>
      </c>
      <c r="P13" s="122">
        <v>0.3</v>
      </c>
      <c r="Q13" s="120">
        <v>0.2</v>
      </c>
      <c r="R13" s="120"/>
      <c r="S13" s="120">
        <v>0.1</v>
      </c>
      <c r="T13" s="120">
        <v>0.2</v>
      </c>
      <c r="U13" s="120"/>
      <c r="V13" s="127"/>
      <c r="W13" s="123">
        <f t="shared" si="0"/>
        <v>2.7</v>
      </c>
      <c r="X13" s="124">
        <f t="shared" si="2"/>
        <v>0.8</v>
      </c>
      <c r="Y13" s="70">
        <f t="shared" si="3"/>
        <v>3.5</v>
      </c>
      <c r="Z13" s="71">
        <f>'[1]cálculos teóricos'!I38</f>
        <v>12.972940009695547</v>
      </c>
      <c r="AA13" s="72">
        <f t="shared" si="1"/>
        <v>26.979235218726178</v>
      </c>
      <c r="AB13" s="3"/>
    </row>
    <row r="14" spans="1:28" ht="18" customHeight="1">
      <c r="A14" s="73">
        <v>6</v>
      </c>
      <c r="B14" s="57">
        <v>20.6</v>
      </c>
      <c r="C14" s="126">
        <f>'[1]cálculos teóricos'!K39</f>
        <v>1.0379438095365645</v>
      </c>
      <c r="D14" s="59">
        <f t="shared" si="4"/>
        <v>311.3915502058266</v>
      </c>
      <c r="E14" s="60">
        <f t="shared" si="5"/>
        <v>13.037341424017548</v>
      </c>
      <c r="F14" s="61">
        <f t="shared" si="6"/>
        <v>16.625759260021937</v>
      </c>
      <c r="G14" s="62">
        <f>'[1]cálculos teóricos'!T39</f>
        <v>41.016813317393655</v>
      </c>
      <c r="H14" s="76">
        <f t="shared" si="7"/>
        <v>40.534010117679209</v>
      </c>
      <c r="I14" s="120">
        <v>0.1</v>
      </c>
      <c r="J14" s="120">
        <v>1</v>
      </c>
      <c r="K14" s="120">
        <v>0.8</v>
      </c>
      <c r="L14" s="120">
        <v>0.6</v>
      </c>
      <c r="M14" s="120">
        <v>0.6</v>
      </c>
      <c r="N14" s="120">
        <v>0.7</v>
      </c>
      <c r="O14" s="127">
        <v>0.2</v>
      </c>
      <c r="P14" s="122">
        <v>0.1</v>
      </c>
      <c r="Q14" s="122">
        <v>0.7</v>
      </c>
      <c r="R14" s="120"/>
      <c r="S14" s="120"/>
      <c r="T14" s="120">
        <v>0.3</v>
      </c>
      <c r="U14" s="120"/>
      <c r="V14" s="127"/>
      <c r="W14" s="123">
        <f t="shared" si="0"/>
        <v>4</v>
      </c>
      <c r="X14" s="124">
        <f t="shared" si="2"/>
        <v>1.0999999999999999</v>
      </c>
      <c r="Y14" s="70">
        <f t="shared" si="3"/>
        <v>5.0999999999999996</v>
      </c>
      <c r="Z14" s="71">
        <f>'[1]cálculos teóricos'!I39</f>
        <v>12.953648247311923</v>
      </c>
      <c r="AA14" s="72">
        <f t="shared" si="1"/>
        <v>39.371147823612752</v>
      </c>
      <c r="AB14" s="3"/>
    </row>
    <row r="15" spans="1:28" ht="18" customHeight="1">
      <c r="A15" s="73">
        <v>7</v>
      </c>
      <c r="B15" s="77">
        <v>18.7</v>
      </c>
      <c r="C15" s="126">
        <f>'[1]cálculos teóricos'!K40</f>
        <v>1.037638359628839</v>
      </c>
      <c r="D15" s="59">
        <f t="shared" si="4"/>
        <v>282.58778488350094</v>
      </c>
      <c r="E15" s="60">
        <f t="shared" si="5"/>
        <v>11.831385377502418</v>
      </c>
      <c r="F15" s="61">
        <f t="shared" si="6"/>
        <v>15.118314201878022</v>
      </c>
      <c r="G15" s="62">
        <f>'[1]cálculos teóricos'!T40</f>
        <v>40.9181508749611</v>
      </c>
      <c r="H15" s="76">
        <f t="shared" si="7"/>
        <v>36.947696507784563</v>
      </c>
      <c r="I15" s="120"/>
      <c r="J15" s="120">
        <v>0.2</v>
      </c>
      <c r="K15" s="120">
        <v>0.8</v>
      </c>
      <c r="L15" s="120">
        <v>0.6</v>
      </c>
      <c r="M15" s="120">
        <v>0.3</v>
      </c>
      <c r="N15" s="120">
        <v>0.8</v>
      </c>
      <c r="O15" s="127">
        <v>1</v>
      </c>
      <c r="P15" s="122">
        <v>0.7</v>
      </c>
      <c r="Q15" s="122"/>
      <c r="R15" s="120"/>
      <c r="S15" s="120"/>
      <c r="T15" s="120"/>
      <c r="U15" s="120"/>
      <c r="V15" s="127"/>
      <c r="W15" s="123">
        <f t="shared" si="0"/>
        <v>3.7</v>
      </c>
      <c r="X15" s="124">
        <f t="shared" si="2"/>
        <v>0.7</v>
      </c>
      <c r="Y15" s="70">
        <f t="shared" si="3"/>
        <v>4.4000000000000004</v>
      </c>
      <c r="Z15" s="71">
        <f>'[1]cálculos teóricos'!I40</f>
        <v>12.934129347226488</v>
      </c>
      <c r="AA15" s="72">
        <f t="shared" si="1"/>
        <v>34.018524802703546</v>
      </c>
      <c r="AB15" s="3"/>
    </row>
    <row r="16" spans="1:28" ht="18" customHeight="1">
      <c r="A16" s="81">
        <v>8</v>
      </c>
      <c r="B16" s="77">
        <v>27.7</v>
      </c>
      <c r="C16" s="126">
        <f>'[1]cálculos teóricos'!K41</f>
        <v>1.0373220917029544</v>
      </c>
      <c r="D16" s="59">
        <f t="shared" si="4"/>
        <v>418.46501582569255</v>
      </c>
      <c r="E16" s="60">
        <f t="shared" si="5"/>
        <v>17.520293282590092</v>
      </c>
      <c r="F16" s="61">
        <f t="shared" si="6"/>
        <v>22.229449083237618</v>
      </c>
      <c r="G16" s="62">
        <f>'[1]cálculos teóricos'!T41</f>
        <v>40.816990577542512</v>
      </c>
      <c r="H16" s="76">
        <f t="shared" si="7"/>
        <v>54.461264215466805</v>
      </c>
      <c r="I16" s="120"/>
      <c r="J16" s="120"/>
      <c r="K16" s="120">
        <v>0.9</v>
      </c>
      <c r="L16" s="120">
        <v>1</v>
      </c>
      <c r="M16" s="120">
        <v>0.8</v>
      </c>
      <c r="N16" s="120">
        <v>1</v>
      </c>
      <c r="O16" s="127">
        <v>0.8</v>
      </c>
      <c r="P16" s="122">
        <v>0.9</v>
      </c>
      <c r="Q16" s="120">
        <v>0.9</v>
      </c>
      <c r="R16" s="120">
        <v>1</v>
      </c>
      <c r="S16" s="120">
        <v>0.9</v>
      </c>
      <c r="T16" s="120">
        <v>0.3</v>
      </c>
      <c r="U16" s="120"/>
      <c r="V16" s="127"/>
      <c r="W16" s="123">
        <f t="shared" si="0"/>
        <v>4.5</v>
      </c>
      <c r="X16" s="124">
        <f t="shared" si="2"/>
        <v>3.9999999999999996</v>
      </c>
      <c r="Y16" s="70">
        <f t="shared" si="3"/>
        <v>8.5</v>
      </c>
      <c r="Z16" s="71">
        <f>'[1]cálculos teóricos'!I41</f>
        <v>12.914392079974427</v>
      </c>
      <c r="AA16" s="72">
        <f t="shared" si="1"/>
        <v>65.818041974894356</v>
      </c>
      <c r="AB16" s="3"/>
    </row>
    <row r="17" spans="1:28" ht="18" customHeight="1">
      <c r="A17" s="81">
        <v>9</v>
      </c>
      <c r="B17" s="77">
        <v>24.8</v>
      </c>
      <c r="C17" s="126">
        <f>'[1]cálculos teóricos'!K42</f>
        <v>1.0369948530659916</v>
      </c>
      <c r="D17" s="59">
        <f t="shared" si="4"/>
        <v>374.53640865713891</v>
      </c>
      <c r="E17" s="60">
        <f t="shared" si="5"/>
        <v>15.681090357657093</v>
      </c>
      <c r="F17" s="61">
        <f t="shared" si="6"/>
        <v>19.930445427071366</v>
      </c>
      <c r="G17" s="62">
        <f>'[1]cálculos teóricos'!T42</f>
        <v>40.713334594263301</v>
      </c>
      <c r="H17" s="76">
        <f t="shared" si="7"/>
        <v>48.953114810398404</v>
      </c>
      <c r="I17" s="120"/>
      <c r="J17" s="120">
        <v>0.2</v>
      </c>
      <c r="K17" s="120">
        <v>1</v>
      </c>
      <c r="L17" s="120">
        <v>1</v>
      </c>
      <c r="M17" s="120">
        <v>1</v>
      </c>
      <c r="N17" s="120">
        <v>1</v>
      </c>
      <c r="O17" s="127">
        <v>0.7</v>
      </c>
      <c r="P17" s="122">
        <v>0.9</v>
      </c>
      <c r="Q17" s="120">
        <v>0.6</v>
      </c>
      <c r="R17" s="120">
        <v>0.4</v>
      </c>
      <c r="S17" s="120"/>
      <c r="T17" s="120"/>
      <c r="U17" s="120"/>
      <c r="V17" s="127"/>
      <c r="W17" s="123">
        <f t="shared" si="0"/>
        <v>4.9000000000000004</v>
      </c>
      <c r="X17" s="124">
        <f t="shared" si="2"/>
        <v>1.9</v>
      </c>
      <c r="Y17" s="70">
        <f t="shared" si="3"/>
        <v>6.8000000000000007</v>
      </c>
      <c r="Z17" s="71">
        <f>'[1]cálculos teóricos'!I42</f>
        <v>12.894445074317558</v>
      </c>
      <c r="AA17" s="72">
        <f t="shared" si="1"/>
        <v>52.735887126650105</v>
      </c>
      <c r="AB17" s="3"/>
    </row>
    <row r="18" spans="1:28" ht="18" customHeight="1">
      <c r="A18" s="81">
        <v>10</v>
      </c>
      <c r="B18" s="77">
        <v>30.5</v>
      </c>
      <c r="C18" s="126">
        <f>'[1]cálculos teóricos'!K43</f>
        <v>1.0366564975721508</v>
      </c>
      <c r="D18" s="59">
        <f t="shared" si="4"/>
        <v>460.46908052295657</v>
      </c>
      <c r="E18" s="60">
        <f t="shared" si="5"/>
        <v>19.278919463335146</v>
      </c>
      <c r="F18" s="61">
        <f t="shared" si="6"/>
        <v>24.427731809168932</v>
      </c>
      <c r="G18" s="62">
        <f>'[1]cálculos teóricos'!T43</f>
        <v>40.607186532222627</v>
      </c>
      <c r="H18" s="76">
        <f t="shared" si="7"/>
        <v>60.156178980252747</v>
      </c>
      <c r="I18" s="120"/>
      <c r="J18" s="120">
        <v>0.9</v>
      </c>
      <c r="K18" s="120">
        <v>1</v>
      </c>
      <c r="L18" s="120">
        <v>1</v>
      </c>
      <c r="M18" s="120">
        <v>1</v>
      </c>
      <c r="N18" s="120">
        <v>1</v>
      </c>
      <c r="O18" s="127">
        <v>0.8</v>
      </c>
      <c r="P18" s="122">
        <v>0.9</v>
      </c>
      <c r="Q18" s="120">
        <v>0.1</v>
      </c>
      <c r="R18" s="120"/>
      <c r="S18" s="120">
        <v>0.1</v>
      </c>
      <c r="T18" s="120">
        <v>0.2</v>
      </c>
      <c r="U18" s="120"/>
      <c r="V18" s="127"/>
      <c r="W18" s="123">
        <f t="shared" si="0"/>
        <v>5.7</v>
      </c>
      <c r="X18" s="124">
        <f t="shared" si="2"/>
        <v>1.3</v>
      </c>
      <c r="Y18" s="70">
        <f t="shared" si="3"/>
        <v>7</v>
      </c>
      <c r="Z18" s="71">
        <f>'[1]cálculos teóricos'!I43</f>
        <v>12.874296811277606</v>
      </c>
      <c r="AA18" s="72">
        <f t="shared" si="1"/>
        <v>54.371901647227453</v>
      </c>
      <c r="AB18" s="3"/>
    </row>
    <row r="19" spans="1:28" ht="18" customHeight="1">
      <c r="A19" s="81">
        <v>11</v>
      </c>
      <c r="B19" s="77">
        <v>16.7</v>
      </c>
      <c r="C19" s="126">
        <f>'[1]cálculos teóricos'!K44</f>
        <v>1.0363068859173084</v>
      </c>
      <c r="D19" s="59">
        <f t="shared" si="4"/>
        <v>252.04066406204726</v>
      </c>
      <c r="E19" s="60">
        <f t="shared" si="5"/>
        <v>10.552438522949794</v>
      </c>
      <c r="F19" s="61">
        <f t="shared" si="6"/>
        <v>13.519630633687242</v>
      </c>
      <c r="G19" s="62">
        <f>'[1]cálculos teóricos'!T44</f>
        <v>40.49855146906372</v>
      </c>
      <c r="H19" s="76">
        <f t="shared" si="7"/>
        <v>33.382998016644372</v>
      </c>
      <c r="I19" s="120"/>
      <c r="J19" s="120"/>
      <c r="K19" s="120"/>
      <c r="L19" s="120"/>
      <c r="M19" s="120">
        <v>0.2</v>
      </c>
      <c r="N19" s="120">
        <v>0.3</v>
      </c>
      <c r="O19" s="127">
        <v>0.1</v>
      </c>
      <c r="P19" s="122"/>
      <c r="Q19" s="120"/>
      <c r="R19" s="120"/>
      <c r="S19" s="120"/>
      <c r="T19" s="120"/>
      <c r="U19" s="120"/>
      <c r="V19" s="127"/>
      <c r="W19" s="123">
        <f t="shared" si="0"/>
        <v>0.6</v>
      </c>
      <c r="X19" s="124">
        <f t="shared" si="2"/>
        <v>0</v>
      </c>
      <c r="Y19" s="70">
        <f t="shared" si="3"/>
        <v>0.6</v>
      </c>
      <c r="Z19" s="71">
        <f>'[1]cálculos teóricos'!I44</f>
        <v>12.853955618877693</v>
      </c>
      <c r="AA19" s="72">
        <f t="shared" si="1"/>
        <v>4.6678238029608767</v>
      </c>
      <c r="AB19" s="3"/>
    </row>
    <row r="20" spans="1:28" ht="18" customHeight="1">
      <c r="A20" s="81">
        <v>12</v>
      </c>
      <c r="B20" s="77">
        <v>21.9</v>
      </c>
      <c r="C20" s="126">
        <f>'[1]cálculos teóricos'!K45</f>
        <v>1.0359458859177855</v>
      </c>
      <c r="D20" s="59">
        <f t="shared" si="4"/>
        <v>330.40525421944432</v>
      </c>
      <c r="E20" s="60">
        <f t="shared" si="5"/>
        <v>13.833407183659695</v>
      </c>
      <c r="F20" s="61">
        <f t="shared" si="6"/>
        <v>17.620841459574617</v>
      </c>
      <c r="G20" s="62">
        <f>'[1]cálculos teóricos'!T45</f>
        <v>40.387435982518646</v>
      </c>
      <c r="H20" s="76">
        <f t="shared" si="7"/>
        <v>43.629512572181227</v>
      </c>
      <c r="I20" s="120"/>
      <c r="J20" s="120">
        <v>0.5</v>
      </c>
      <c r="K20" s="120">
        <v>0.8</v>
      </c>
      <c r="L20" s="120">
        <v>0.7</v>
      </c>
      <c r="M20" s="120">
        <v>0.3</v>
      </c>
      <c r="N20" s="120">
        <v>0.3</v>
      </c>
      <c r="O20" s="127">
        <v>0.6</v>
      </c>
      <c r="P20" s="122">
        <v>0.6</v>
      </c>
      <c r="Q20" s="120">
        <v>0.3</v>
      </c>
      <c r="R20" s="120">
        <v>0.2</v>
      </c>
      <c r="S20" s="120"/>
      <c r="T20" s="120"/>
      <c r="U20" s="120"/>
      <c r="V20" s="127"/>
      <c r="W20" s="123">
        <f t="shared" si="0"/>
        <v>3.1999999999999997</v>
      </c>
      <c r="X20" s="124">
        <f t="shared" si="2"/>
        <v>1.0999999999999999</v>
      </c>
      <c r="Y20" s="70">
        <f t="shared" si="3"/>
        <v>4.3</v>
      </c>
      <c r="Z20" s="71">
        <f>'[1]cálculos teóricos'!I45</f>
        <v>12.833429667575025</v>
      </c>
      <c r="AA20" s="72">
        <f t="shared" si="1"/>
        <v>33.506241989733972</v>
      </c>
      <c r="AB20" s="3"/>
    </row>
    <row r="21" spans="1:28" ht="18" customHeight="1">
      <c r="A21" s="81">
        <v>13</v>
      </c>
      <c r="B21" s="83">
        <v>-99</v>
      </c>
      <c r="C21" s="126">
        <f>'[1]cálculos teóricos'!K46</f>
        <v>1.0355733727732386</v>
      </c>
      <c r="D21" s="59">
        <f t="shared" si="4"/>
        <v>-999</v>
      </c>
      <c r="E21" s="60">
        <f t="shared" si="5"/>
        <v>-999</v>
      </c>
      <c r="F21" s="61">
        <f t="shared" si="6"/>
        <v>-999</v>
      </c>
      <c r="G21" s="62">
        <f>'[1]cálculos teóricos'!T46</f>
        <v>40.273848176901005</v>
      </c>
      <c r="H21" s="76">
        <f t="shared" si="7"/>
        <v>-999</v>
      </c>
      <c r="I21" s="120"/>
      <c r="J21" s="120">
        <v>0.1</v>
      </c>
      <c r="K21" s="120">
        <v>0.4</v>
      </c>
      <c r="L21" s="120">
        <v>0.9</v>
      </c>
      <c r="M21" s="120">
        <v>0.4</v>
      </c>
      <c r="N21" s="120">
        <v>0.9</v>
      </c>
      <c r="O21" s="127">
        <v>0.8</v>
      </c>
      <c r="P21" s="122">
        <v>0.9</v>
      </c>
      <c r="Q21" s="120">
        <v>0.6</v>
      </c>
      <c r="R21" s="120">
        <v>0.5</v>
      </c>
      <c r="S21" s="120">
        <v>0.8</v>
      </c>
      <c r="T21" s="120"/>
      <c r="U21" s="120"/>
      <c r="V21" s="127"/>
      <c r="W21" s="123">
        <f t="shared" si="0"/>
        <v>3.5</v>
      </c>
      <c r="X21" s="124">
        <f t="shared" si="2"/>
        <v>2.8</v>
      </c>
      <c r="Y21" s="70">
        <f t="shared" si="3"/>
        <v>6.3</v>
      </c>
      <c r="Z21" s="71">
        <f>'[1]cálculos teóricos'!I46</f>
        <v>12.812726966366139</v>
      </c>
      <c r="AA21" s="72">
        <f t="shared" si="1"/>
        <v>49.169860690372339</v>
      </c>
      <c r="AB21" s="3"/>
    </row>
    <row r="22" spans="1:28" ht="18" customHeight="1">
      <c r="A22" s="81">
        <v>14</v>
      </c>
      <c r="B22" s="77">
        <v>28.1</v>
      </c>
      <c r="C22" s="126">
        <f>'[1]cálculos teóricos'!K47</f>
        <v>1.0351892293136391</v>
      </c>
      <c r="D22" s="59">
        <f t="shared" si="4"/>
        <v>423.63499138516806</v>
      </c>
      <c r="E22" s="60">
        <f t="shared" si="5"/>
        <v>17.736749819314216</v>
      </c>
      <c r="F22" s="61">
        <f t="shared" si="6"/>
        <v>22.500019754142773</v>
      </c>
      <c r="G22" s="62">
        <f>'[1]cálculos teóricos'!T47</f>
        <v>40.157797706533401</v>
      </c>
      <c r="H22" s="76">
        <f t="shared" si="7"/>
        <v>56.029018121385107</v>
      </c>
      <c r="I22" s="120"/>
      <c r="J22" s="120">
        <v>0.5</v>
      </c>
      <c r="K22" s="120">
        <v>1</v>
      </c>
      <c r="L22" s="120">
        <v>1</v>
      </c>
      <c r="M22" s="120">
        <v>1</v>
      </c>
      <c r="N22" s="120">
        <v>1</v>
      </c>
      <c r="O22" s="127">
        <v>1</v>
      </c>
      <c r="P22" s="122">
        <v>0.9</v>
      </c>
      <c r="Q22" s="120">
        <v>0.9</v>
      </c>
      <c r="R22" s="120">
        <v>0.9</v>
      </c>
      <c r="S22" s="120">
        <v>0.6</v>
      </c>
      <c r="T22" s="120"/>
      <c r="U22" s="120"/>
      <c r="V22" s="127"/>
      <c r="W22" s="123">
        <f t="shared" si="0"/>
        <v>5.5</v>
      </c>
      <c r="X22" s="124">
        <f t="shared" si="2"/>
        <v>3.3000000000000003</v>
      </c>
      <c r="Y22" s="70">
        <f t="shared" si="3"/>
        <v>8.8000000000000007</v>
      </c>
      <c r="Z22" s="71">
        <f>'[1]cálculos teóricos'!I47</f>
        <v>12.791855359544524</v>
      </c>
      <c r="AA22" s="72">
        <f t="shared" si="1"/>
        <v>68.793773480513622</v>
      </c>
      <c r="AB22" s="3"/>
    </row>
    <row r="23" spans="1:28" ht="18" customHeight="1">
      <c r="A23" s="81">
        <v>15</v>
      </c>
      <c r="B23" s="77">
        <v>26.6</v>
      </c>
      <c r="C23" s="126">
        <f>'[1]cálculos teóricos'!K48</f>
        <v>1.0347933462303829</v>
      </c>
      <c r="D23" s="59">
        <f t="shared" si="4"/>
        <v>400.86766308217648</v>
      </c>
      <c r="E23" s="60">
        <f t="shared" si="5"/>
        <v>16.783527317924563</v>
      </c>
      <c r="F23" s="61">
        <f t="shared" si="6"/>
        <v>21.308491627405704</v>
      </c>
      <c r="G23" s="62">
        <f>'[1]cálculos teóricos'!T48</f>
        <v>40.03929579610913</v>
      </c>
      <c r="H23" s="76">
        <f t="shared" si="7"/>
        <v>53.218947046207504</v>
      </c>
      <c r="I23" s="120"/>
      <c r="J23" s="120">
        <v>0.4</v>
      </c>
      <c r="K23" s="120">
        <v>1</v>
      </c>
      <c r="L23" s="120">
        <v>0.9</v>
      </c>
      <c r="M23" s="120">
        <v>0.8</v>
      </c>
      <c r="N23" s="120">
        <v>0.8</v>
      </c>
      <c r="O23" s="127">
        <v>0.7</v>
      </c>
      <c r="P23" s="122">
        <v>0.6</v>
      </c>
      <c r="Q23" s="120">
        <v>0.8</v>
      </c>
      <c r="R23" s="120">
        <v>0.8</v>
      </c>
      <c r="S23" s="120">
        <v>0.1</v>
      </c>
      <c r="T23" s="120"/>
      <c r="U23" s="120"/>
      <c r="V23" s="127"/>
      <c r="W23" s="123">
        <f t="shared" si="0"/>
        <v>4.5999999999999996</v>
      </c>
      <c r="X23" s="124">
        <f t="shared" si="2"/>
        <v>2.3000000000000003</v>
      </c>
      <c r="Y23" s="70">
        <f t="shared" si="3"/>
        <v>6.9</v>
      </c>
      <c r="Z23" s="71">
        <f>'[1]cálculos teóricos'!I48</f>
        <v>12.770822524089397</v>
      </c>
      <c r="AA23" s="72">
        <f t="shared" si="1"/>
        <v>54.029409515202651</v>
      </c>
      <c r="AB23" s="3"/>
    </row>
    <row r="24" spans="1:28" ht="18" customHeight="1">
      <c r="A24" s="81">
        <v>16</v>
      </c>
      <c r="B24" s="77">
        <v>20.8</v>
      </c>
      <c r="C24" s="126">
        <f>'[1]cálculos teóricos'!K49</f>
        <v>1.0343856222916303</v>
      </c>
      <c r="D24" s="59">
        <f t="shared" si="4"/>
        <v>313.33692021307854</v>
      </c>
      <c r="E24" s="60">
        <f t="shared" si="5"/>
        <v>13.118790175481172</v>
      </c>
      <c r="F24" s="61">
        <f t="shared" si="6"/>
        <v>16.727570199351465</v>
      </c>
      <c r="G24" s="62">
        <f>'[1]cálculos teóricos'!T49</f>
        <v>39.918355258000474</v>
      </c>
      <c r="H24" s="76">
        <f t="shared" si="7"/>
        <v>41.904457463835286</v>
      </c>
      <c r="I24" s="120"/>
      <c r="J24" s="120"/>
      <c r="K24" s="120"/>
      <c r="L24" s="120"/>
      <c r="M24" s="120"/>
      <c r="N24" s="120"/>
      <c r="O24" s="127"/>
      <c r="P24" s="122">
        <v>0.3</v>
      </c>
      <c r="Q24" s="120">
        <v>0.7</v>
      </c>
      <c r="R24" s="120">
        <v>0.9</v>
      </c>
      <c r="S24" s="120">
        <v>0.6</v>
      </c>
      <c r="T24" s="120">
        <v>0.9</v>
      </c>
      <c r="U24" s="120"/>
      <c r="V24" s="127"/>
      <c r="W24" s="123">
        <f t="shared" si="0"/>
        <v>0</v>
      </c>
      <c r="X24" s="124">
        <f t="shared" si="2"/>
        <v>3.4</v>
      </c>
      <c r="Y24" s="70">
        <f t="shared" si="3"/>
        <v>3.4</v>
      </c>
      <c r="Z24" s="71">
        <f>'[1]cálculos teóricos'!I49</f>
        <v>12.749635967663192</v>
      </c>
      <c r="AA24" s="72">
        <f t="shared" si="1"/>
        <v>26.667428063227806</v>
      </c>
      <c r="AB24" s="3"/>
    </row>
    <row r="25" spans="1:28" ht="18" customHeight="1">
      <c r="A25" s="81">
        <v>17</v>
      </c>
      <c r="B25" s="77">
        <v>29.9</v>
      </c>
      <c r="C25" s="126">
        <f>'[1]cálculos teóricos'!K50</f>
        <v>1.0339659645420316</v>
      </c>
      <c r="D25" s="59">
        <f t="shared" si="4"/>
        <v>450.23908340577555</v>
      </c>
      <c r="E25" s="60">
        <f t="shared" si="5"/>
        <v>18.85060994403301</v>
      </c>
      <c r="F25" s="61">
        <f t="shared" si="6"/>
        <v>23.89234491004126</v>
      </c>
      <c r="G25" s="62">
        <f>'[1]cálculos teóricos'!T50</f>
        <v>39.794990506538213</v>
      </c>
      <c r="H25" s="76">
        <f t="shared" si="7"/>
        <v>60.03857421731464</v>
      </c>
      <c r="I25" s="120"/>
      <c r="J25" s="120"/>
      <c r="K25" s="120"/>
      <c r="L25" s="120">
        <v>0.6</v>
      </c>
      <c r="M25" s="120">
        <v>0.6</v>
      </c>
      <c r="N25" s="120">
        <v>1</v>
      </c>
      <c r="O25" s="127">
        <v>0.6</v>
      </c>
      <c r="P25" s="122">
        <v>0.6</v>
      </c>
      <c r="Q25" s="120">
        <v>0.6</v>
      </c>
      <c r="R25" s="120">
        <v>0.1</v>
      </c>
      <c r="S25" s="120">
        <v>0.2</v>
      </c>
      <c r="T25" s="120"/>
      <c r="U25" s="120"/>
      <c r="V25" s="127"/>
      <c r="W25" s="123">
        <f t="shared" si="0"/>
        <v>2.8000000000000003</v>
      </c>
      <c r="X25" s="124">
        <f t="shared" si="2"/>
        <v>1.5</v>
      </c>
      <c r="Y25" s="70">
        <f t="shared" si="3"/>
        <v>4.3000000000000007</v>
      </c>
      <c r="Z25" s="71">
        <f>'[1]cálculos teóricos'!I50</f>
        <v>12.728303027194645</v>
      </c>
      <c r="AA25" s="72">
        <f t="shared" si="1"/>
        <v>33.782979481340433</v>
      </c>
      <c r="AB25" s="3"/>
    </row>
    <row r="26" spans="1:28" ht="18" customHeight="1">
      <c r="A26" s="81">
        <v>18</v>
      </c>
      <c r="B26" s="77">
        <v>14.2</v>
      </c>
      <c r="C26" s="126">
        <f>'[1]cálculos teóricos'!K51</f>
        <v>1.0335342884870602</v>
      </c>
      <c r="D26" s="59">
        <f t="shared" si="4"/>
        <v>213.73664786741446</v>
      </c>
      <c r="E26" s="60">
        <f t="shared" si="5"/>
        <v>8.9487259729129089</v>
      </c>
      <c r="F26" s="61">
        <f t="shared" si="6"/>
        <v>11.514989946141135</v>
      </c>
      <c r="G26" s="62">
        <f>'[1]cálculos teóricos'!T51</f>
        <v>39.669217569298148</v>
      </c>
      <c r="H26" s="76">
        <f t="shared" si="7"/>
        <v>29.02751970347185</v>
      </c>
      <c r="I26" s="120"/>
      <c r="J26" s="120"/>
      <c r="K26" s="120"/>
      <c r="L26" s="120"/>
      <c r="M26" s="120">
        <v>0.2</v>
      </c>
      <c r="N26" s="120"/>
      <c r="O26" s="127">
        <v>0.1</v>
      </c>
      <c r="P26" s="122"/>
      <c r="Q26" s="120"/>
      <c r="R26" s="120"/>
      <c r="S26" s="120"/>
      <c r="T26" s="120"/>
      <c r="U26" s="120"/>
      <c r="V26" s="127"/>
      <c r="W26" s="123">
        <f t="shared" si="0"/>
        <v>0.30000000000000004</v>
      </c>
      <c r="X26" s="124">
        <f t="shared" si="2"/>
        <v>0</v>
      </c>
      <c r="Y26" s="70">
        <f t="shared" si="3"/>
        <v>0.30000000000000004</v>
      </c>
      <c r="Z26" s="71">
        <f>'[1]cálculos teóricos'!I51</f>
        <v>12.706830868023706</v>
      </c>
      <c r="AA26" s="72">
        <f t="shared" si="1"/>
        <v>2.360934863427981</v>
      </c>
      <c r="AB26" s="3"/>
    </row>
    <row r="27" spans="1:28" ht="18" customHeight="1">
      <c r="A27" s="81">
        <v>19</v>
      </c>
      <c r="B27" s="83">
        <v>-99</v>
      </c>
      <c r="C27" s="126">
        <f>'[1]cálculos teóricos'!K52</f>
        <v>1.033090518262219</v>
      </c>
      <c r="D27" s="59">
        <f t="shared" si="4"/>
        <v>-999</v>
      </c>
      <c r="E27" s="60">
        <f t="shared" si="5"/>
        <v>-999</v>
      </c>
      <c r="F27" s="61">
        <f t="shared" si="6"/>
        <v>-999</v>
      </c>
      <c r="G27" s="62">
        <f>'[1]cálculos teóricos'!T52</f>
        <v>39.54105409544276</v>
      </c>
      <c r="H27" s="76">
        <f t="shared" si="7"/>
        <v>-999</v>
      </c>
      <c r="I27" s="120"/>
      <c r="J27" s="120"/>
      <c r="K27" s="120"/>
      <c r="L27" s="120"/>
      <c r="M27" s="120"/>
      <c r="N27" s="120"/>
      <c r="O27" s="127"/>
      <c r="P27" s="122"/>
      <c r="Q27" s="120"/>
      <c r="R27" s="120"/>
      <c r="S27" s="120"/>
      <c r="T27" s="120"/>
      <c r="U27" s="120"/>
      <c r="V27" s="127"/>
      <c r="W27" s="123">
        <f t="shared" si="0"/>
        <v>0</v>
      </c>
      <c r="X27" s="124">
        <f t="shared" si="2"/>
        <v>0</v>
      </c>
      <c r="Y27" s="70">
        <f t="shared" si="3"/>
        <v>0</v>
      </c>
      <c r="Z27" s="71">
        <f>'[1]cálculos teóricos'!I52</f>
        <v>12.685226483584112</v>
      </c>
      <c r="AA27" s="72">
        <f t="shared" si="1"/>
        <v>0</v>
      </c>
      <c r="AB27" s="3"/>
    </row>
    <row r="28" spans="1:28" ht="18" customHeight="1">
      <c r="A28" s="81">
        <v>20</v>
      </c>
      <c r="B28" s="77">
        <v>28.1</v>
      </c>
      <c r="C28" s="126">
        <f>'[1]cálculos teóricos'!K53</f>
        <v>1.0326345867874447</v>
      </c>
      <c r="D28" s="59">
        <f t="shared" si="4"/>
        <v>422.58954391147853</v>
      </c>
      <c r="E28" s="60">
        <f t="shared" si="5"/>
        <v>17.692979024485783</v>
      </c>
      <c r="F28" s="61">
        <f t="shared" si="6"/>
        <v>22.445306260607232</v>
      </c>
      <c r="G28" s="62">
        <f>'[1]cálculos teóricos'!T53</f>
        <v>39.410519361176185</v>
      </c>
      <c r="H28" s="76">
        <f t="shared" si="7"/>
        <v>56.952576683671907</v>
      </c>
      <c r="I28" s="120"/>
      <c r="J28" s="120"/>
      <c r="K28" s="120">
        <v>0.1</v>
      </c>
      <c r="L28" s="120">
        <v>0.9</v>
      </c>
      <c r="M28" s="120">
        <v>1</v>
      </c>
      <c r="N28" s="120">
        <v>1</v>
      </c>
      <c r="O28" s="127">
        <v>1</v>
      </c>
      <c r="P28" s="122">
        <v>1</v>
      </c>
      <c r="Q28" s="120">
        <v>0.9</v>
      </c>
      <c r="R28" s="120"/>
      <c r="S28" s="120">
        <v>0.3</v>
      </c>
      <c r="T28" s="120">
        <v>0.8</v>
      </c>
      <c r="U28" s="120"/>
      <c r="V28" s="127"/>
      <c r="W28" s="123">
        <f t="shared" si="0"/>
        <v>4</v>
      </c>
      <c r="X28" s="124">
        <f t="shared" si="2"/>
        <v>3</v>
      </c>
      <c r="Y28" s="70">
        <f t="shared" si="3"/>
        <v>7</v>
      </c>
      <c r="Z28" s="71">
        <f>'[1]cálculos teóricos'!I53</f>
        <v>12.663496695599086</v>
      </c>
      <c r="AA28" s="72">
        <f t="shared" si="1"/>
        <v>55.276991562944005</v>
      </c>
      <c r="AB28" s="3"/>
    </row>
    <row r="29" spans="1:28" ht="18" customHeight="1">
      <c r="A29" s="81">
        <v>21</v>
      </c>
      <c r="B29" s="77">
        <v>26.9</v>
      </c>
      <c r="C29" s="126">
        <f>'[1]cálculos teóricos'!K54</f>
        <v>1.032166435907075</v>
      </c>
      <c r="D29" s="59">
        <f t="shared" si="4"/>
        <v>404.35961342304927</v>
      </c>
      <c r="E29" s="60">
        <f t="shared" si="5"/>
        <v>16.929728294796224</v>
      </c>
      <c r="F29" s="61">
        <f t="shared" si="6"/>
        <v>21.491242848495286</v>
      </c>
      <c r="G29" s="62">
        <f>'[1]cálculos teóricos'!T54</f>
        <v>39.277634272380226</v>
      </c>
      <c r="H29" s="76">
        <f t="shared" si="7"/>
        <v>54.71623545211272</v>
      </c>
      <c r="I29" s="120"/>
      <c r="J29" s="120">
        <v>0.2</v>
      </c>
      <c r="K29" s="120">
        <v>0.4</v>
      </c>
      <c r="L29" s="120">
        <v>0.9</v>
      </c>
      <c r="M29" s="120">
        <v>0.5</v>
      </c>
      <c r="N29" s="120">
        <v>1</v>
      </c>
      <c r="O29" s="127">
        <v>0.1</v>
      </c>
      <c r="P29" s="122">
        <v>0.7</v>
      </c>
      <c r="Q29" s="120">
        <v>0.4</v>
      </c>
      <c r="R29" s="120">
        <v>0.5</v>
      </c>
      <c r="S29" s="120">
        <v>0.3</v>
      </c>
      <c r="T29" s="120"/>
      <c r="U29" s="120"/>
      <c r="V29" s="127"/>
      <c r="W29" s="123">
        <f t="shared" si="0"/>
        <v>3.1</v>
      </c>
      <c r="X29" s="124">
        <f t="shared" si="2"/>
        <v>1.9000000000000001</v>
      </c>
      <c r="Y29" s="70">
        <f t="shared" si="3"/>
        <v>5</v>
      </c>
      <c r="Z29" s="71">
        <f>'[1]cálculos teóricos'!I54</f>
        <v>12.641648154765646</v>
      </c>
      <c r="AA29" s="72">
        <f t="shared" si="1"/>
        <v>39.551804786744526</v>
      </c>
      <c r="AB29" s="3"/>
    </row>
    <row r="30" spans="1:28" ht="18" customHeight="1">
      <c r="A30" s="81">
        <v>22</v>
      </c>
      <c r="B30" s="83">
        <v>-99</v>
      </c>
      <c r="C30" s="126">
        <f>'[1]cálculos teóricos'!K55</f>
        <v>1.0316860165157933</v>
      </c>
      <c r="D30" s="59">
        <f t="shared" si="4"/>
        <v>-999</v>
      </c>
      <c r="E30" s="60">
        <f t="shared" si="5"/>
        <v>-999</v>
      </c>
      <c r="F30" s="61">
        <f t="shared" si="6"/>
        <v>-999</v>
      </c>
      <c r="G30" s="62">
        <f>'[1]cálculos teóricos'!T55</f>
        <v>39.142421364509971</v>
      </c>
      <c r="H30" s="76">
        <f t="shared" si="7"/>
        <v>-999</v>
      </c>
      <c r="I30" s="120"/>
      <c r="J30" s="120"/>
      <c r="K30" s="120">
        <v>0.2</v>
      </c>
      <c r="L30" s="120">
        <v>0.9</v>
      </c>
      <c r="M30" s="120">
        <v>0.9</v>
      </c>
      <c r="N30" s="120">
        <v>0.8</v>
      </c>
      <c r="O30" s="127">
        <v>0.7</v>
      </c>
      <c r="P30" s="122">
        <v>0.3</v>
      </c>
      <c r="Q30" s="120"/>
      <c r="R30" s="120">
        <v>0.1</v>
      </c>
      <c r="S30" s="120"/>
      <c r="T30" s="120"/>
      <c r="U30" s="120"/>
      <c r="V30" s="127"/>
      <c r="W30" s="123">
        <f t="shared" si="0"/>
        <v>3.5</v>
      </c>
      <c r="X30" s="124">
        <f t="shared" si="2"/>
        <v>0.4</v>
      </c>
      <c r="Y30" s="70">
        <f t="shared" si="3"/>
        <v>3.9</v>
      </c>
      <c r="Z30" s="71">
        <f>'[1]cálculos teóricos'!I55</f>
        <v>12.619687341902916</v>
      </c>
      <c r="AA30" s="72">
        <f t="shared" si="1"/>
        <v>30.904093693750113</v>
      </c>
      <c r="AB30" s="3"/>
    </row>
    <row r="31" spans="1:28" ht="18" customHeight="1">
      <c r="A31" s="81">
        <v>23</v>
      </c>
      <c r="B31" s="77">
        <v>22.5</v>
      </c>
      <c r="C31" s="126">
        <f>'[1]cálculos teóricos'!K56</f>
        <v>1.0311932886709996</v>
      </c>
      <c r="D31" s="59">
        <f t="shared" si="4"/>
        <v>337.90012784010224</v>
      </c>
      <c r="E31" s="60">
        <f t="shared" si="5"/>
        <v>14.147202552409402</v>
      </c>
      <c r="F31" s="61">
        <f t="shared" si="6"/>
        <v>18.013085670511749</v>
      </c>
      <c r="G31" s="62">
        <f>'[1]cálculos teóricos'!T56</f>
        <v>39.004904799834748</v>
      </c>
      <c r="H31" s="76">
        <f t="shared" si="7"/>
        <v>46.181591168985669</v>
      </c>
      <c r="I31" s="120"/>
      <c r="J31" s="120"/>
      <c r="K31" s="120"/>
      <c r="L31" s="120"/>
      <c r="M31" s="120">
        <v>1</v>
      </c>
      <c r="N31" s="120">
        <v>1</v>
      </c>
      <c r="O31" s="127">
        <v>1</v>
      </c>
      <c r="P31" s="122">
        <v>0.6</v>
      </c>
      <c r="Q31" s="120"/>
      <c r="R31" s="120"/>
      <c r="S31" s="120"/>
      <c r="T31" s="120">
        <v>0.1</v>
      </c>
      <c r="U31" s="120"/>
      <c r="V31" s="127"/>
      <c r="W31" s="123">
        <f t="shared" si="0"/>
        <v>3</v>
      </c>
      <c r="X31" s="124">
        <f t="shared" si="2"/>
        <v>0.7</v>
      </c>
      <c r="Y31" s="70">
        <f t="shared" si="3"/>
        <v>3.7</v>
      </c>
      <c r="Z31" s="71">
        <f>'[1]cálculos teóricos'!I56</f>
        <v>12.597620569540034</v>
      </c>
      <c r="AA31" s="72">
        <f t="shared" si="1"/>
        <v>29.370625822357937</v>
      </c>
      <c r="AB31" s="3"/>
    </row>
    <row r="32" spans="1:28" ht="18" customHeight="1">
      <c r="A32" s="81">
        <v>24</v>
      </c>
      <c r="B32" s="77">
        <v>29.6</v>
      </c>
      <c r="C32" s="126">
        <f>'[1]cálculos teóricos'!K57</f>
        <v>1.0306882216920989</v>
      </c>
      <c r="D32" s="59">
        <f t="shared" si="4"/>
        <v>444.30866633174134</v>
      </c>
      <c r="E32" s="60">
        <f t="shared" si="5"/>
        <v>18.602315241977347</v>
      </c>
      <c r="F32" s="61">
        <f t="shared" si="6"/>
        <v>23.581976532471685</v>
      </c>
      <c r="G32" s="62">
        <f>'[1]cálculos teóricos'!T57</f>
        <v>38.865110362118791</v>
      </c>
      <c r="H32" s="76">
        <f t="shared" si="7"/>
        <v>60.676468721562323</v>
      </c>
      <c r="I32" s="120"/>
      <c r="J32" s="120"/>
      <c r="K32" s="120">
        <v>0.1</v>
      </c>
      <c r="L32" s="120">
        <v>0.8</v>
      </c>
      <c r="M32" s="120">
        <v>0.9</v>
      </c>
      <c r="N32" s="120">
        <v>0.7</v>
      </c>
      <c r="O32" s="127">
        <v>0.8</v>
      </c>
      <c r="P32" s="122">
        <v>0.9</v>
      </c>
      <c r="Q32" s="120">
        <v>1</v>
      </c>
      <c r="R32" s="120">
        <v>1</v>
      </c>
      <c r="S32" s="120">
        <v>1</v>
      </c>
      <c r="T32" s="120">
        <v>0.3</v>
      </c>
      <c r="U32" s="120"/>
      <c r="V32" s="127"/>
      <c r="W32" s="123">
        <f t="shared" si="0"/>
        <v>3.3</v>
      </c>
      <c r="X32" s="124">
        <f t="shared" si="2"/>
        <v>4.2</v>
      </c>
      <c r="Y32" s="70">
        <f t="shared" si="3"/>
        <v>7.5</v>
      </c>
      <c r="Z32" s="71">
        <f>'[1]cálculos teóricos'!I57</f>
        <v>12.575453983919491</v>
      </c>
      <c r="AA32" s="72">
        <f t="shared" si="1"/>
        <v>59.639993988212389</v>
      </c>
      <c r="AB32" s="3"/>
    </row>
    <row r="33" spans="1:28" ht="18" customHeight="1">
      <c r="A33" s="81">
        <v>25</v>
      </c>
      <c r="B33" s="77">
        <v>28.2</v>
      </c>
      <c r="C33" s="126">
        <f>'[1]cálculos teóricos'!K58</f>
        <v>1.0301707942472205</v>
      </c>
      <c r="D33" s="59">
        <f t="shared" si="4"/>
        <v>423.08156460894696</v>
      </c>
      <c r="E33" s="60">
        <f t="shared" si="5"/>
        <v>17.713578947047392</v>
      </c>
      <c r="F33" s="61">
        <f t="shared" si="6"/>
        <v>22.471056163809241</v>
      </c>
      <c r="G33" s="62">
        <f>'[1]cálculos teóricos'!T58</f>
        <v>38.723065448843045</v>
      </c>
      <c r="H33" s="76">
        <f t="shared" si="7"/>
        <v>58.030158261865147</v>
      </c>
      <c r="I33" s="120"/>
      <c r="J33" s="120">
        <v>0.6</v>
      </c>
      <c r="K33" s="120">
        <v>0.8</v>
      </c>
      <c r="L33" s="120">
        <v>1</v>
      </c>
      <c r="M33" s="120">
        <v>1</v>
      </c>
      <c r="N33" s="120">
        <v>1</v>
      </c>
      <c r="O33" s="127">
        <v>1</v>
      </c>
      <c r="P33" s="122">
        <v>1</v>
      </c>
      <c r="Q33" s="120">
        <v>0.4</v>
      </c>
      <c r="R33" s="120"/>
      <c r="S33" s="120">
        <v>0.5</v>
      </c>
      <c r="T33" s="120"/>
      <c r="U33" s="120"/>
      <c r="V33" s="127"/>
      <c r="W33" s="123">
        <f t="shared" si="0"/>
        <v>5.4</v>
      </c>
      <c r="X33" s="124">
        <f t="shared" si="2"/>
        <v>1.9</v>
      </c>
      <c r="Y33" s="70">
        <f t="shared" si="3"/>
        <v>7.3000000000000007</v>
      </c>
      <c r="Z33" s="71">
        <f>'[1]cálculos teóricos'!I58</f>
        <v>12.553193567392162</v>
      </c>
      <c r="AA33" s="72">
        <f t="shared" si="1"/>
        <v>58.152532746426253</v>
      </c>
      <c r="AB33" s="3"/>
    </row>
    <row r="34" spans="1:28" ht="18" customHeight="1">
      <c r="A34" s="81">
        <v>26</v>
      </c>
      <c r="B34" s="83">
        <v>-99</v>
      </c>
      <c r="C34" s="126">
        <f>'[1]cálculos teóricos'!K59</f>
        <v>1.0296409944279203</v>
      </c>
      <c r="D34" s="59">
        <f t="shared" si="4"/>
        <v>-999</v>
      </c>
      <c r="E34" s="60">
        <f t="shared" si="5"/>
        <v>-999</v>
      </c>
      <c r="F34" s="61">
        <f t="shared" si="6"/>
        <v>-999</v>
      </c>
      <c r="G34" s="62">
        <f>'[1]cálculos teóricos'!T59</f>
        <v>38.578799061075529</v>
      </c>
      <c r="H34" s="76">
        <f t="shared" si="7"/>
        <v>-999</v>
      </c>
      <c r="I34" s="120"/>
      <c r="J34" s="120">
        <v>0.9</v>
      </c>
      <c r="K34" s="120">
        <v>1</v>
      </c>
      <c r="L34" s="120">
        <v>1</v>
      </c>
      <c r="M34" s="120">
        <v>1</v>
      </c>
      <c r="N34" s="120">
        <v>1</v>
      </c>
      <c r="O34" s="127">
        <v>0.8</v>
      </c>
      <c r="P34" s="122">
        <v>0.7</v>
      </c>
      <c r="Q34" s="120">
        <v>1</v>
      </c>
      <c r="R34" s="120">
        <v>0.3</v>
      </c>
      <c r="S34" s="120">
        <v>0.3</v>
      </c>
      <c r="T34" s="120"/>
      <c r="U34" s="120"/>
      <c r="V34" s="127"/>
      <c r="W34" s="123">
        <f t="shared" si="0"/>
        <v>5.7</v>
      </c>
      <c r="X34" s="124">
        <f t="shared" si="2"/>
        <v>2.2999999999999998</v>
      </c>
      <c r="Y34" s="70">
        <f t="shared" si="3"/>
        <v>8</v>
      </c>
      <c r="Z34" s="71">
        <f>'[1]cálculos teóricos'!I59</f>
        <v>12.530845141180563</v>
      </c>
      <c r="AA34" s="72">
        <f t="shared" si="1"/>
        <v>63.842461620639732</v>
      </c>
      <c r="AB34" s="3"/>
    </row>
    <row r="35" spans="1:28" ht="18" customHeight="1">
      <c r="A35" s="81">
        <v>27</v>
      </c>
      <c r="B35" s="77">
        <v>18.5</v>
      </c>
      <c r="C35" s="126">
        <f>'[1]cálculos teóricos'!K60</f>
        <v>1.0290988198124356</v>
      </c>
      <c r="D35" s="59">
        <f t="shared" si="4"/>
        <v>277.26469225326048</v>
      </c>
      <c r="E35" s="60">
        <f t="shared" si="5"/>
        <v>11.60851813525951</v>
      </c>
      <c r="F35" s="61">
        <f t="shared" si="6"/>
        <v>14.839730149074388</v>
      </c>
      <c r="G35" s="62">
        <f>'[1]cálculos teóricos'!T60</f>
        <v>38.432341791103383</v>
      </c>
      <c r="H35" s="76">
        <f t="shared" si="7"/>
        <v>38.612609738263735</v>
      </c>
      <c r="I35" s="120"/>
      <c r="J35" s="120"/>
      <c r="K35" s="120"/>
      <c r="L35" s="120"/>
      <c r="M35" s="120">
        <v>0.1</v>
      </c>
      <c r="N35" s="120">
        <v>0.2</v>
      </c>
      <c r="O35" s="127">
        <v>1</v>
      </c>
      <c r="P35" s="122">
        <v>0.3</v>
      </c>
      <c r="Q35" s="120">
        <v>0.6</v>
      </c>
      <c r="R35" s="120"/>
      <c r="S35" s="120"/>
      <c r="T35" s="120"/>
      <c r="U35" s="120"/>
      <c r="V35" s="127"/>
      <c r="W35" s="123">
        <f t="shared" si="0"/>
        <v>1.3</v>
      </c>
      <c r="X35" s="124">
        <f t="shared" si="2"/>
        <v>0.89999999999999991</v>
      </c>
      <c r="Y35" s="70">
        <f t="shared" si="3"/>
        <v>2.2000000000000002</v>
      </c>
      <c r="Z35" s="71">
        <f>'[1]cálculos teóricos'!I60</f>
        <v>12.508414368487685</v>
      </c>
      <c r="AA35" s="72">
        <f t="shared" si="1"/>
        <v>17.588160538896414</v>
      </c>
      <c r="AB35" s="3"/>
    </row>
    <row r="36" spans="1:28" ht="18" customHeight="1">
      <c r="A36" s="81">
        <v>28</v>
      </c>
      <c r="B36" s="77">
        <v>12.7</v>
      </c>
      <c r="C36" s="126">
        <f>'[1]cálculos teóricos'!K61</f>
        <v>1.0285442775180771</v>
      </c>
      <c r="D36" s="59">
        <f t="shared" si="4"/>
        <v>190.23589823755836</v>
      </c>
      <c r="E36" s="60">
        <f t="shared" si="5"/>
        <v>7.9647965874100928</v>
      </c>
      <c r="F36" s="61">
        <f t="shared" si="6"/>
        <v>10.285078214262617</v>
      </c>
      <c r="G36" s="62">
        <f>'[1]cálculos teóricos'!T61</f>
        <v>38.283725807943732</v>
      </c>
      <c r="H36" s="76">
        <f t="shared" si="7"/>
        <v>26.865405592599089</v>
      </c>
      <c r="I36" s="120"/>
      <c r="J36" s="120"/>
      <c r="K36" s="120"/>
      <c r="L36" s="120"/>
      <c r="M36" s="120">
        <v>0.4</v>
      </c>
      <c r="N36" s="120">
        <v>0.9</v>
      </c>
      <c r="O36" s="127"/>
      <c r="P36" s="122"/>
      <c r="Q36" s="120"/>
      <c r="R36" s="120"/>
      <c r="S36" s="120"/>
      <c r="T36" s="120"/>
      <c r="U36" s="120"/>
      <c r="V36" s="127"/>
      <c r="W36" s="123">
        <f t="shared" si="0"/>
        <v>1.3</v>
      </c>
      <c r="X36" s="124">
        <f t="shared" si="2"/>
        <v>0</v>
      </c>
      <c r="Y36" s="70">
        <f t="shared" si="3"/>
        <v>1.3</v>
      </c>
      <c r="Z36" s="71">
        <f>'[1]cálculos teóricos'!I61</f>
        <v>12.485906757928969</v>
      </c>
      <c r="AA36" s="72">
        <f t="shared" si="1"/>
        <v>10.411738812437122</v>
      </c>
      <c r="AB36" s="3"/>
    </row>
    <row r="37" spans="1:28" ht="18" customHeight="1">
      <c r="A37" s="81"/>
      <c r="B37" s="77"/>
      <c r="C37" s="126"/>
      <c r="D37" s="59"/>
      <c r="E37" s="60"/>
      <c r="F37" s="61"/>
      <c r="G37" s="62"/>
      <c r="H37" s="76"/>
      <c r="I37" s="80"/>
      <c r="J37" s="88"/>
      <c r="K37" s="88"/>
      <c r="L37" s="88"/>
      <c r="M37" s="88"/>
      <c r="N37" s="88"/>
      <c r="O37" s="78"/>
      <c r="P37" s="89"/>
      <c r="Q37" s="88"/>
      <c r="R37" s="88"/>
      <c r="S37" s="88"/>
      <c r="T37" s="88"/>
      <c r="U37" s="88"/>
      <c r="V37" s="79"/>
      <c r="W37" s="123"/>
      <c r="X37" s="124"/>
      <c r="Y37" s="70"/>
      <c r="Z37" s="71"/>
      <c r="AA37" s="72"/>
      <c r="AB37" s="3"/>
    </row>
    <row r="38" spans="1:28" ht="18" customHeight="1" thickBot="1">
      <c r="A38" s="128"/>
      <c r="B38" s="94"/>
      <c r="C38" s="95"/>
      <c r="D38" s="96"/>
      <c r="E38" s="129"/>
      <c r="F38" s="98"/>
      <c r="G38" s="99"/>
      <c r="H38" s="100"/>
      <c r="I38" s="101"/>
      <c r="J38" s="94"/>
      <c r="K38" s="94"/>
      <c r="L38" s="94"/>
      <c r="M38" s="94"/>
      <c r="N38" s="94"/>
      <c r="O38" s="102"/>
      <c r="P38" s="101"/>
      <c r="Q38" s="94"/>
      <c r="R38" s="94"/>
      <c r="S38" s="94"/>
      <c r="T38" s="94"/>
      <c r="U38" s="94"/>
      <c r="V38" s="102"/>
      <c r="W38" s="130"/>
      <c r="X38" s="131"/>
      <c r="Y38" s="132"/>
      <c r="Z38" s="133"/>
      <c r="AA38" s="134"/>
      <c r="AB38" s="3"/>
    </row>
    <row r="39" spans="1:28" s="113" customFormat="1" ht="15.75" thickTop="1">
      <c r="A39" s="109"/>
      <c r="B39" s="109"/>
      <c r="C39" s="109"/>
      <c r="D39" s="109"/>
      <c r="E39" s="109"/>
      <c r="F39" s="109"/>
      <c r="G39" s="109"/>
      <c r="H39" s="109"/>
      <c r="I39" s="110">
        <f>SUM(I9:I38)</f>
        <v>0.1</v>
      </c>
      <c r="J39" s="110">
        <f t="shared" ref="J39:O39" si="8">SUM(J9:J38)</f>
        <v>5.8000000000000007</v>
      </c>
      <c r="K39" s="110">
        <f t="shared" si="8"/>
        <v>10.799999999999999</v>
      </c>
      <c r="L39" s="110">
        <f t="shared" si="8"/>
        <v>15.500000000000002</v>
      </c>
      <c r="M39" s="110">
        <f t="shared" si="8"/>
        <v>15.5</v>
      </c>
      <c r="N39" s="110">
        <f t="shared" si="8"/>
        <v>18.899999999999999</v>
      </c>
      <c r="O39" s="110">
        <f t="shared" si="8"/>
        <v>16.799999999999997</v>
      </c>
      <c r="P39" s="110">
        <f>SUM(P9:P38)</f>
        <v>15.5</v>
      </c>
      <c r="Q39" s="110">
        <f t="shared" ref="Q39:V39" si="9">SUM(Q9:Q38)</f>
        <v>12.8</v>
      </c>
      <c r="R39" s="110">
        <f t="shared" si="9"/>
        <v>9</v>
      </c>
      <c r="S39" s="110">
        <f t="shared" si="9"/>
        <v>8.1999999999999993</v>
      </c>
      <c r="T39" s="110">
        <f t="shared" si="9"/>
        <v>5.6</v>
      </c>
      <c r="U39" s="110">
        <f t="shared" si="9"/>
        <v>0.6</v>
      </c>
      <c r="V39" s="110">
        <f t="shared" si="9"/>
        <v>0</v>
      </c>
      <c r="W39" s="135">
        <f>SUM(I39:O39)</f>
        <v>83.399999999999991</v>
      </c>
      <c r="X39" s="136">
        <f t="shared" si="2"/>
        <v>51.7</v>
      </c>
      <c r="Y39" s="136">
        <f t="shared" si="3"/>
        <v>135.1</v>
      </c>
      <c r="Z39" s="136">
        <f>SUM(Z9:Z38)</f>
        <v>357.73272522252961</v>
      </c>
      <c r="AA39" s="136">
        <f>SUM(AA9:AA38)</f>
        <v>1056.9391904487829</v>
      </c>
      <c r="AB39" s="109"/>
    </row>
    <row r="40" spans="1:28" s="113" customFormat="1" ht="15">
      <c r="A40" s="109"/>
      <c r="B40" s="109" t="s">
        <v>51</v>
      </c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</row>
    <row r="41" spans="1:28" s="113" customFormat="1" ht="15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</row>
    <row r="42" spans="1:28" s="113" customFormat="1" ht="15">
      <c r="A42" s="109"/>
      <c r="B42" s="109" t="s">
        <v>52</v>
      </c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</row>
    <row r="43" spans="1:28" s="113" customFormat="1" ht="15">
      <c r="A43" s="109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</row>
    <row r="44" spans="1:28" s="113" customFormat="1" ht="15">
      <c r="A44" s="109"/>
      <c r="B44" s="109" t="s">
        <v>53</v>
      </c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</row>
    <row r="45" spans="1:28" s="113" customFormat="1" ht="15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</row>
    <row r="46" spans="1:28" s="113" customFormat="1" ht="15">
      <c r="A46" s="109"/>
      <c r="B46" s="109" t="s">
        <v>54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</row>
    <row r="47" spans="1:28" s="113" customFormat="1" ht="15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</row>
    <row r="48" spans="1:28" s="113" customFormat="1" ht="15">
      <c r="A48" s="109"/>
      <c r="B48" s="109" t="s">
        <v>55</v>
      </c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</row>
    <row r="49" spans="1:28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15">
      <c r="A50" s="3"/>
      <c r="B50" s="109" t="s">
        <v>56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5">
      <c r="A52" s="3"/>
      <c r="B52" s="109" t="s">
        <v>57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5">
      <c r="B54" s="113" t="s">
        <v>58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55"/>
  <sheetViews>
    <sheetView zoomScale="75" zoomScaleNormal="75" workbookViewId="0">
      <selection activeCell="A2" sqref="A2"/>
    </sheetView>
  </sheetViews>
  <sheetFormatPr defaultColWidth="11.42578125" defaultRowHeight="12.75"/>
  <cols>
    <col min="1" max="1" width="8.7109375" style="8" customWidth="1"/>
    <col min="2" max="8" width="12.7109375" style="8" customWidth="1"/>
    <col min="9" max="25" width="8.7109375" style="8" customWidth="1"/>
    <col min="26" max="27" width="12.7109375" style="8" customWidth="1"/>
    <col min="28" max="16384" width="11.42578125" style="8"/>
  </cols>
  <sheetData>
    <row r="1" spans="1:28" ht="18" customHeight="1">
      <c r="A1" s="1" t="s">
        <v>62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7" t="s">
        <v>2</v>
      </c>
      <c r="Y1" s="6"/>
      <c r="Z1" s="6"/>
      <c r="AA1" s="6"/>
      <c r="AB1" s="3"/>
    </row>
    <row r="2" spans="1:28" ht="18" customHeight="1">
      <c r="A2" s="3"/>
      <c r="B2" s="9" t="s">
        <v>60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9" t="s">
        <v>63</v>
      </c>
      <c r="W2" s="3"/>
      <c r="X2" s="3"/>
      <c r="Y2" s="3"/>
      <c r="Z2" s="3"/>
      <c r="AA2" s="3"/>
      <c r="AB2" s="3"/>
    </row>
    <row r="3" spans="1:28" ht="18" customHeight="1">
      <c r="A3" s="3"/>
      <c r="B3" s="9" t="s">
        <v>5</v>
      </c>
      <c r="C3" s="3"/>
      <c r="D3" s="115"/>
      <c r="E3" s="3"/>
      <c r="F3" s="3"/>
      <c r="G3" s="4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9" t="s">
        <v>64</v>
      </c>
      <c r="W3" s="3"/>
      <c r="X3" s="6"/>
      <c r="Y3" s="6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1" t="s">
        <v>8</v>
      </c>
      <c r="B5" s="12"/>
      <c r="C5" s="13" t="s">
        <v>9</v>
      </c>
      <c r="D5" s="14"/>
      <c r="E5" s="15"/>
      <c r="F5" s="14"/>
      <c r="G5" s="14"/>
      <c r="H5" s="16"/>
      <c r="I5" s="17" t="s">
        <v>10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3"/>
      <c r="Y5" s="18"/>
      <c r="Z5" s="15"/>
      <c r="AA5" s="19"/>
      <c r="AB5" s="3"/>
    </row>
    <row r="6" spans="1:28" ht="18" customHeight="1">
      <c r="A6" s="20"/>
      <c r="B6" s="21" t="s">
        <v>11</v>
      </c>
      <c r="C6" s="22" t="s">
        <v>12</v>
      </c>
      <c r="D6" s="23" t="s">
        <v>13</v>
      </c>
      <c r="E6" s="22" t="s">
        <v>13</v>
      </c>
      <c r="F6" s="24" t="s">
        <v>14</v>
      </c>
      <c r="G6" s="24" t="s">
        <v>15</v>
      </c>
      <c r="H6" s="24" t="s">
        <v>16</v>
      </c>
      <c r="I6" s="25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8"/>
      <c r="W6" s="29"/>
      <c r="X6" s="30"/>
      <c r="Y6" s="31"/>
      <c r="Z6" s="32" t="s">
        <v>17</v>
      </c>
      <c r="AA6" s="33" t="s">
        <v>18</v>
      </c>
      <c r="AB6" s="3"/>
    </row>
    <row r="7" spans="1:28" ht="18" customHeight="1" thickBot="1">
      <c r="A7" s="34"/>
      <c r="B7" s="35" t="s">
        <v>19</v>
      </c>
      <c r="C7" s="36" t="s">
        <v>20</v>
      </c>
      <c r="D7" s="23" t="s">
        <v>21</v>
      </c>
      <c r="E7" s="24" t="s">
        <v>21</v>
      </c>
      <c r="F7" s="24" t="s">
        <v>22</v>
      </c>
      <c r="G7" s="24" t="s">
        <v>23</v>
      </c>
      <c r="H7" s="24" t="s">
        <v>24</v>
      </c>
      <c r="I7" s="37" t="s">
        <v>25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8"/>
      <c r="W7" s="39"/>
      <c r="X7" s="40" t="s">
        <v>26</v>
      </c>
      <c r="Y7" s="41"/>
      <c r="Z7" s="42" t="s">
        <v>27</v>
      </c>
      <c r="AA7" s="43" t="s">
        <v>28</v>
      </c>
      <c r="AB7" s="3"/>
    </row>
    <row r="8" spans="1:28" ht="18" customHeight="1" thickBot="1">
      <c r="A8" s="137"/>
      <c r="B8" s="45" t="s">
        <v>29</v>
      </c>
      <c r="C8" s="46" t="s">
        <v>30</v>
      </c>
      <c r="D8" s="46" t="s">
        <v>31</v>
      </c>
      <c r="E8" s="47" t="s">
        <v>32</v>
      </c>
      <c r="F8" s="47" t="s">
        <v>32</v>
      </c>
      <c r="G8" s="46" t="s">
        <v>32</v>
      </c>
      <c r="H8" s="24" t="s">
        <v>33</v>
      </c>
      <c r="I8" s="48" t="s">
        <v>34</v>
      </c>
      <c r="J8" s="49" t="s">
        <v>35</v>
      </c>
      <c r="K8" s="49" t="s">
        <v>36</v>
      </c>
      <c r="L8" s="49" t="s">
        <v>37</v>
      </c>
      <c r="M8" s="49" t="s">
        <v>38</v>
      </c>
      <c r="N8" s="49" t="s">
        <v>39</v>
      </c>
      <c r="O8" s="50" t="s">
        <v>40</v>
      </c>
      <c r="P8" s="49" t="s">
        <v>41</v>
      </c>
      <c r="Q8" s="49" t="s">
        <v>42</v>
      </c>
      <c r="R8" s="49" t="s">
        <v>43</v>
      </c>
      <c r="S8" s="49" t="s">
        <v>44</v>
      </c>
      <c r="T8" s="49" t="s">
        <v>45</v>
      </c>
      <c r="U8" s="49" t="s">
        <v>46</v>
      </c>
      <c r="V8" s="51" t="s">
        <v>47</v>
      </c>
      <c r="W8" s="54" t="s">
        <v>48</v>
      </c>
      <c r="X8" s="117" t="s">
        <v>49</v>
      </c>
      <c r="Y8" s="53" t="s">
        <v>50</v>
      </c>
      <c r="Z8" s="54" t="s">
        <v>50</v>
      </c>
      <c r="AA8" s="55" t="s">
        <v>50</v>
      </c>
      <c r="AB8" s="3"/>
    </row>
    <row r="9" spans="1:28" ht="18" customHeight="1">
      <c r="A9" s="73">
        <v>1</v>
      </c>
      <c r="B9" s="74">
        <v>-99</v>
      </c>
      <c r="C9" s="75">
        <f>'[1]cálculos teóricos'!K63</f>
        <v>1.0279773842433713</v>
      </c>
      <c r="D9" s="59">
        <f>IF(B9&gt;0,B9*C9*14.25*1.022,-999)</f>
        <v>-999</v>
      </c>
      <c r="E9" s="60">
        <f>IF(B9&gt;0,D9*4.1868/100,-999)</f>
        <v>-999</v>
      </c>
      <c r="F9" s="61">
        <f>IF(B9&gt;0,(7.86+1.25*D9)*4.1868/100,-999)</f>
        <v>-999</v>
      </c>
      <c r="G9" s="62">
        <f>'[1]cálculos teóricos'!T63</f>
        <v>38.132984840855237</v>
      </c>
      <c r="H9" s="63">
        <f>IF(B9&gt;0,100*F9/G9,-999)</f>
        <v>-999</v>
      </c>
      <c r="I9" s="138"/>
      <c r="J9" s="139"/>
      <c r="K9" s="139">
        <v>0.4</v>
      </c>
      <c r="L9" s="139">
        <v>0.9</v>
      </c>
      <c r="M9" s="139">
        <v>1</v>
      </c>
      <c r="N9" s="139">
        <v>1</v>
      </c>
      <c r="O9" s="140">
        <v>1</v>
      </c>
      <c r="P9" s="141">
        <v>1</v>
      </c>
      <c r="Q9" s="139">
        <v>0.4</v>
      </c>
      <c r="R9" s="139">
        <v>0.4</v>
      </c>
      <c r="S9" s="139">
        <v>1</v>
      </c>
      <c r="T9" s="139">
        <v>0.3</v>
      </c>
      <c r="U9" s="139"/>
      <c r="V9" s="65"/>
      <c r="W9" s="123">
        <f t="shared" ref="W9:W40" si="0">SUM(I9:O9)</f>
        <v>4.3</v>
      </c>
      <c r="X9" s="124">
        <f>SUM(P9:V9)</f>
        <v>3.0999999999999996</v>
      </c>
      <c r="Y9" s="125">
        <f>W9+X9</f>
        <v>7.3999999999999995</v>
      </c>
      <c r="Z9" s="71">
        <f>'[1]cálculos teóricos'!I63</f>
        <v>12.463327667266025</v>
      </c>
      <c r="AA9" s="72">
        <f>100*Y9/Z9</f>
        <v>59.374191207662243</v>
      </c>
      <c r="AB9" s="3"/>
    </row>
    <row r="10" spans="1:28" ht="18" customHeight="1">
      <c r="A10" s="73">
        <v>2</v>
      </c>
      <c r="B10" s="57">
        <v>30.4</v>
      </c>
      <c r="C10" s="126">
        <f>'[1]cálculos teóricos'!K64</f>
        <v>1.027398166300562</v>
      </c>
      <c r="D10" s="59">
        <f>IF(B10&gt;0,B10*C10*14.25*1.022,-999)</f>
        <v>454.86040112551433</v>
      </c>
      <c r="E10" s="60">
        <f>IF(B10&gt;0,D10*4.1868/100,-999)</f>
        <v>19.044095274323034</v>
      </c>
      <c r="F10" s="61">
        <f>IF(B10&gt;0,(7.86+1.25*D10)*4.1868/100,-999)</f>
        <v>24.134201572903795</v>
      </c>
      <c r="G10" s="62">
        <f>'[1]cálculos teóricos'!T64</f>
        <v>37.980154160973754</v>
      </c>
      <c r="H10" s="76">
        <f>IF(B10&gt;0,100*F10/G10,-999)</f>
        <v>63.544243318798131</v>
      </c>
      <c r="I10" s="142"/>
      <c r="J10" s="141">
        <v>0.4</v>
      </c>
      <c r="K10" s="139">
        <v>1</v>
      </c>
      <c r="L10" s="139">
        <v>1</v>
      </c>
      <c r="M10" s="139">
        <v>1</v>
      </c>
      <c r="N10" s="139">
        <v>1</v>
      </c>
      <c r="O10" s="143">
        <v>1</v>
      </c>
      <c r="P10" s="141">
        <v>0.5</v>
      </c>
      <c r="Q10" s="139"/>
      <c r="R10" s="139">
        <v>0.5</v>
      </c>
      <c r="S10" s="139"/>
      <c r="T10" s="139"/>
      <c r="U10" s="139"/>
      <c r="V10" s="79"/>
      <c r="W10" s="123">
        <f t="shared" si="0"/>
        <v>5.4</v>
      </c>
      <c r="X10" s="124">
        <f t="shared" ref="X10:X39" si="1">SUM(P10:V10)</f>
        <v>1</v>
      </c>
      <c r="Y10" s="70">
        <f t="shared" ref="Y10:Y39" si="2">W10+X10</f>
        <v>6.4</v>
      </c>
      <c r="Z10" s="71">
        <f>'[1]cálculos teóricos'!I64</f>
        <v>12.440682307421085</v>
      </c>
      <c r="AA10" s="72">
        <f t="shared" ref="AA10:AA39" si="3">100*Y10/Z10</f>
        <v>51.444123737347489</v>
      </c>
      <c r="AB10" s="3"/>
    </row>
    <row r="11" spans="1:28" ht="18" customHeight="1">
      <c r="A11" s="73">
        <v>3</v>
      </c>
      <c r="B11" s="57">
        <v>21.7</v>
      </c>
      <c r="C11" s="126">
        <f>'[1]cálculos teóricos'!K65</f>
        <v>1.0268066596390977</v>
      </c>
      <c r="D11" s="59">
        <f t="shared" ref="D11:D39" si="4">IF(B11&gt;0,B11*C11*14.25*1.022,-999)</f>
        <v>324.49960369209174</v>
      </c>
      <c r="E11" s="60">
        <f t="shared" ref="E11:E39" si="5">IF(B11&gt;0,D11*4.1868/100,-999)</f>
        <v>13.586149407380496</v>
      </c>
      <c r="F11" s="61">
        <f t="shared" ref="F11:F39" si="6">IF(B11&gt;0,(7.86+1.25*D11)*4.1868/100,-999)</f>
        <v>17.311769239225622</v>
      </c>
      <c r="G11" s="62">
        <f>'[1]cálculos teóricos'!T65</f>
        <v>37.825270561198415</v>
      </c>
      <c r="H11" s="76">
        <f t="shared" ref="H11:H39" si="7">IF(B11&gt;0,100*F11/G11,-999)</f>
        <v>45.767734063439136</v>
      </c>
      <c r="I11" s="142"/>
      <c r="J11" s="141">
        <v>0.5</v>
      </c>
      <c r="K11" s="139">
        <v>1</v>
      </c>
      <c r="L11" s="139">
        <v>1</v>
      </c>
      <c r="M11" s="139">
        <v>1</v>
      </c>
      <c r="N11" s="141">
        <v>1</v>
      </c>
      <c r="O11" s="143">
        <v>1</v>
      </c>
      <c r="P11" s="141">
        <v>1</v>
      </c>
      <c r="Q11" s="139">
        <v>1</v>
      </c>
      <c r="R11" s="139">
        <v>0.9</v>
      </c>
      <c r="S11" s="139">
        <v>0.7</v>
      </c>
      <c r="T11" s="139">
        <v>0.7</v>
      </c>
      <c r="U11" s="139">
        <v>0.4</v>
      </c>
      <c r="V11" s="79"/>
      <c r="W11" s="123">
        <f t="shared" si="0"/>
        <v>5.5</v>
      </c>
      <c r="X11" s="124">
        <f t="shared" si="1"/>
        <v>4.7</v>
      </c>
      <c r="Y11" s="70">
        <f t="shared" si="2"/>
        <v>10.199999999999999</v>
      </c>
      <c r="Z11" s="71">
        <f>'[1]cálculos teóricos'!I65</f>
        <v>12.417975746751987</v>
      </c>
      <c r="AA11" s="72">
        <f t="shared" si="3"/>
        <v>82.138991152949259</v>
      </c>
      <c r="AB11" s="3"/>
    </row>
    <row r="12" spans="1:28" ht="18" customHeight="1">
      <c r="A12" s="73">
        <v>4</v>
      </c>
      <c r="B12" s="57">
        <v>18.3</v>
      </c>
      <c r="C12" s="126">
        <f>'[1]cálculos teóricos'!K66</f>
        <v>1.0262029098607273</v>
      </c>
      <c r="D12" s="59">
        <f t="shared" si="4"/>
        <v>273.49544122294765</v>
      </c>
      <c r="E12" s="60">
        <f t="shared" si="5"/>
        <v>11.450707133122371</v>
      </c>
      <c r="F12" s="61">
        <f t="shared" si="6"/>
        <v>14.642466396402964</v>
      </c>
      <c r="G12" s="62">
        <f>'[1]cálculos teóricos'!T66</f>
        <v>37.668372334455164</v>
      </c>
      <c r="H12" s="76">
        <f t="shared" si="7"/>
        <v>38.872044341054625</v>
      </c>
      <c r="I12" s="142"/>
      <c r="J12" s="141"/>
      <c r="K12" s="139">
        <v>0.1</v>
      </c>
      <c r="L12" s="139">
        <v>0.1</v>
      </c>
      <c r="M12" s="139"/>
      <c r="N12" s="141"/>
      <c r="O12" s="143">
        <v>0.2</v>
      </c>
      <c r="P12" s="141">
        <v>0.3</v>
      </c>
      <c r="Q12" s="139">
        <v>0.5</v>
      </c>
      <c r="R12" s="139">
        <v>0.1</v>
      </c>
      <c r="S12" s="139"/>
      <c r="T12" s="139"/>
      <c r="U12" s="139"/>
      <c r="V12" s="79"/>
      <c r="W12" s="123">
        <f t="shared" si="0"/>
        <v>0.4</v>
      </c>
      <c r="X12" s="124">
        <f t="shared" si="1"/>
        <v>0.9</v>
      </c>
      <c r="Y12" s="70">
        <f t="shared" si="2"/>
        <v>1.3</v>
      </c>
      <c r="Z12" s="71">
        <f>'[1]cálculos teóricos'!I66</f>
        <v>12.395212915568337</v>
      </c>
      <c r="AA12" s="72">
        <f t="shared" si="3"/>
        <v>10.487919883709342</v>
      </c>
      <c r="AB12" s="3"/>
    </row>
    <row r="13" spans="1:28" ht="18" customHeight="1">
      <c r="A13" s="73">
        <v>5</v>
      </c>
      <c r="B13" s="57">
        <v>26.2</v>
      </c>
      <c r="C13" s="126">
        <f>'[1]cálculos teóricos'!K67</f>
        <v>1.0255869722268318</v>
      </c>
      <c r="D13" s="59">
        <f t="shared" si="4"/>
        <v>391.32675979466723</v>
      </c>
      <c r="E13" s="60">
        <f t="shared" si="5"/>
        <v>16.384068779083126</v>
      </c>
      <c r="F13" s="61">
        <f t="shared" si="6"/>
        <v>20.809168453853907</v>
      </c>
      <c r="G13" s="62">
        <f>'[1]cálculos teóricos'!T67</f>
        <v>37.509499250465367</v>
      </c>
      <c r="H13" s="76">
        <f t="shared" si="7"/>
        <v>55.477062796554762</v>
      </c>
      <c r="I13" s="142"/>
      <c r="J13" s="141">
        <v>0.2</v>
      </c>
      <c r="K13" s="139"/>
      <c r="L13" s="139">
        <v>1</v>
      </c>
      <c r="M13" s="139">
        <v>0.7</v>
      </c>
      <c r="N13" s="141">
        <v>0.2</v>
      </c>
      <c r="O13" s="143"/>
      <c r="P13" s="141">
        <v>0.3</v>
      </c>
      <c r="Q13" s="139">
        <v>0.8</v>
      </c>
      <c r="R13" s="139">
        <v>0.9</v>
      </c>
      <c r="S13" s="139">
        <v>1</v>
      </c>
      <c r="T13" s="139">
        <v>0.1</v>
      </c>
      <c r="U13" s="139"/>
      <c r="V13" s="79"/>
      <c r="W13" s="123">
        <f t="shared" si="0"/>
        <v>2.1</v>
      </c>
      <c r="X13" s="124">
        <f t="shared" si="1"/>
        <v>3.1</v>
      </c>
      <c r="Y13" s="70">
        <f t="shared" si="2"/>
        <v>5.2</v>
      </c>
      <c r="Z13" s="71">
        <f>'[1]cálculos teóricos'!I67</f>
        <v>12.372398610870075</v>
      </c>
      <c r="AA13" s="72">
        <f t="shared" si="3"/>
        <v>42.02903708122863</v>
      </c>
      <c r="AB13" s="3"/>
    </row>
    <row r="14" spans="1:28" ht="18" customHeight="1">
      <c r="A14" s="73">
        <v>6</v>
      </c>
      <c r="B14" s="57">
        <v>28.6</v>
      </c>
      <c r="C14" s="126">
        <f>'[1]cálculos teóricos'!K68</f>
        <v>1.0249589116586053</v>
      </c>
      <c r="D14" s="59">
        <f t="shared" si="4"/>
        <v>426.91188854428685</v>
      </c>
      <c r="E14" s="60">
        <f t="shared" si="5"/>
        <v>17.873946949572201</v>
      </c>
      <c r="F14" s="61">
        <f t="shared" si="6"/>
        <v>22.671516166965251</v>
      </c>
      <c r="G14" s="62">
        <f>'[1]cálculos teóricos'!T68</f>
        <v>37.348692531146071</v>
      </c>
      <c r="H14" s="76">
        <f t="shared" si="7"/>
        <v>60.702302090117001</v>
      </c>
      <c r="I14" s="142"/>
      <c r="J14" s="141"/>
      <c r="K14" s="139">
        <v>1</v>
      </c>
      <c r="L14" s="139">
        <v>1</v>
      </c>
      <c r="M14" s="139">
        <v>1</v>
      </c>
      <c r="N14" s="141">
        <v>1</v>
      </c>
      <c r="O14" s="143">
        <v>1</v>
      </c>
      <c r="P14" s="141">
        <v>0.9</v>
      </c>
      <c r="Q14" s="139">
        <v>0.5</v>
      </c>
      <c r="R14" s="139"/>
      <c r="S14" s="139">
        <v>1</v>
      </c>
      <c r="T14" s="139">
        <v>1</v>
      </c>
      <c r="U14" s="139">
        <v>0.6</v>
      </c>
      <c r="V14" s="79"/>
      <c r="W14" s="123">
        <f t="shared" si="0"/>
        <v>5</v>
      </c>
      <c r="X14" s="124">
        <f t="shared" si="1"/>
        <v>4</v>
      </c>
      <c r="Y14" s="70">
        <f t="shared" si="2"/>
        <v>9</v>
      </c>
      <c r="Z14" s="71">
        <f>'[1]cálculos teóricos'!I68</f>
        <v>12.349537501290623</v>
      </c>
      <c r="AA14" s="72">
        <f t="shared" si="3"/>
        <v>72.877223127258247</v>
      </c>
      <c r="AB14" s="3"/>
    </row>
    <row r="15" spans="1:28" ht="18" customHeight="1">
      <c r="A15" s="73">
        <v>7</v>
      </c>
      <c r="B15" s="77">
        <v>20.8</v>
      </c>
      <c r="C15" s="126">
        <f>'[1]cálculos teóricos'!K69</f>
        <v>1.0243188027306998</v>
      </c>
      <c r="D15" s="59">
        <f t="shared" si="4"/>
        <v>310.28747117822576</v>
      </c>
      <c r="E15" s="60">
        <f t="shared" si="5"/>
        <v>12.991115843289956</v>
      </c>
      <c r="F15" s="61">
        <f t="shared" si="6"/>
        <v>16.567977284112445</v>
      </c>
      <c r="G15" s="62">
        <f>'[1]cálculos teóricos'!T69</f>
        <v>37.185994824767818</v>
      </c>
      <c r="H15" s="76">
        <f t="shared" si="7"/>
        <v>44.554347307866841</v>
      </c>
      <c r="I15" s="142"/>
      <c r="J15" s="141">
        <v>0.1</v>
      </c>
      <c r="K15" s="139">
        <v>0.5</v>
      </c>
      <c r="L15" s="139">
        <v>1</v>
      </c>
      <c r="M15" s="139">
        <v>1</v>
      </c>
      <c r="N15" s="141">
        <v>0.9</v>
      </c>
      <c r="O15" s="143">
        <v>0.2</v>
      </c>
      <c r="P15" s="141">
        <v>0.4</v>
      </c>
      <c r="Q15" s="139"/>
      <c r="R15" s="139"/>
      <c r="S15" s="139">
        <v>0.1</v>
      </c>
      <c r="T15" s="139">
        <v>0.4</v>
      </c>
      <c r="U15" s="139">
        <v>0.4</v>
      </c>
      <c r="V15" s="79"/>
      <c r="W15" s="123">
        <f t="shared" si="0"/>
        <v>3.7</v>
      </c>
      <c r="X15" s="124">
        <f t="shared" si="1"/>
        <v>1.3</v>
      </c>
      <c r="Y15" s="70">
        <f t="shared" si="2"/>
        <v>5</v>
      </c>
      <c r="Z15" s="71">
        <f>'[1]cálculos teóricos'!I69</f>
        <v>12.326634132227381</v>
      </c>
      <c r="AA15" s="72">
        <f t="shared" si="3"/>
        <v>40.562573256942422</v>
      </c>
      <c r="AB15" s="3"/>
    </row>
    <row r="16" spans="1:28" ht="18" customHeight="1">
      <c r="A16" s="81">
        <v>8</v>
      </c>
      <c r="B16" s="77">
        <v>27.7</v>
      </c>
      <c r="C16" s="126">
        <f>'[1]cálculos teóricos'!K70</f>
        <v>1.023666729658925</v>
      </c>
      <c r="D16" s="59">
        <f t="shared" si="4"/>
        <v>412.95632056164084</v>
      </c>
      <c r="E16" s="60">
        <f t="shared" si="5"/>
        <v>17.289655229274778</v>
      </c>
      <c r="F16" s="61">
        <f t="shared" si="6"/>
        <v>21.941151516593472</v>
      </c>
      <c r="G16" s="62">
        <f>'[1]cálculos teóricos'!T70</f>
        <v>37.021450178993661</v>
      </c>
      <c r="H16" s="76">
        <f t="shared" si="7"/>
        <v>59.266050925911863</v>
      </c>
      <c r="I16" s="142"/>
      <c r="J16" s="141"/>
      <c r="K16" s="139">
        <v>0.3</v>
      </c>
      <c r="L16" s="139">
        <v>0.4</v>
      </c>
      <c r="M16" s="139">
        <v>0.7</v>
      </c>
      <c r="N16" s="141">
        <v>1</v>
      </c>
      <c r="O16" s="143">
        <v>1</v>
      </c>
      <c r="P16" s="141">
        <v>1</v>
      </c>
      <c r="Q16" s="139">
        <v>1</v>
      </c>
      <c r="R16" s="139">
        <v>1</v>
      </c>
      <c r="S16" s="139">
        <v>1</v>
      </c>
      <c r="T16" s="139">
        <v>1</v>
      </c>
      <c r="U16" s="139">
        <v>0.5</v>
      </c>
      <c r="V16" s="79"/>
      <c r="W16" s="123">
        <f t="shared" si="0"/>
        <v>3.4</v>
      </c>
      <c r="X16" s="124">
        <f t="shared" si="1"/>
        <v>5.5</v>
      </c>
      <c r="Y16" s="70">
        <f t="shared" si="2"/>
        <v>8.9</v>
      </c>
      <c r="Z16" s="71">
        <f>'[1]cálculos teóricos'!I70</f>
        <v>12.303692931143221</v>
      </c>
      <c r="AA16" s="72">
        <f t="shared" si="3"/>
        <v>72.33600553759139</v>
      </c>
      <c r="AB16" s="3"/>
    </row>
    <row r="17" spans="1:28" ht="18" customHeight="1">
      <c r="A17" s="81">
        <v>9</v>
      </c>
      <c r="B17" s="77">
        <v>18.600000000000001</v>
      </c>
      <c r="C17" s="126">
        <f>'[1]cálculos teóricos'!K71</f>
        <v>1.0230027862825883</v>
      </c>
      <c r="D17" s="59">
        <f t="shared" si="4"/>
        <v>277.11212005129249</v>
      </c>
      <c r="E17" s="60">
        <f t="shared" si="5"/>
        <v>11.602130242307515</v>
      </c>
      <c r="F17" s="61">
        <f t="shared" si="6"/>
        <v>14.831745282884395</v>
      </c>
      <c r="G17" s="62">
        <f>'[1]cálculos teóricos'!T71</f>
        <v>36.855104012919824</v>
      </c>
      <c r="H17" s="76">
        <f t="shared" si="7"/>
        <v>40.243395535351134</v>
      </c>
      <c r="I17" s="142"/>
      <c r="J17" s="141"/>
      <c r="K17" s="139"/>
      <c r="L17" s="139"/>
      <c r="M17" s="139"/>
      <c r="N17" s="141"/>
      <c r="O17" s="143">
        <v>0.7</v>
      </c>
      <c r="P17" s="141">
        <v>0.8</v>
      </c>
      <c r="Q17" s="139">
        <v>0.7</v>
      </c>
      <c r="R17" s="139">
        <v>1</v>
      </c>
      <c r="S17" s="139">
        <v>1</v>
      </c>
      <c r="T17" s="139">
        <v>1</v>
      </c>
      <c r="U17" s="139">
        <v>0.5</v>
      </c>
      <c r="V17" s="79"/>
      <c r="W17" s="123">
        <f t="shared" si="0"/>
        <v>0.7</v>
      </c>
      <c r="X17" s="124">
        <f t="shared" si="1"/>
        <v>5</v>
      </c>
      <c r="Y17" s="70">
        <f t="shared" si="2"/>
        <v>5.7</v>
      </c>
      <c r="Z17" s="71">
        <f>'[1]cálculos teóricos'!I71</f>
        <v>12.280718213023388</v>
      </c>
      <c r="AA17" s="72">
        <f t="shared" si="3"/>
        <v>46.41422350978867</v>
      </c>
      <c r="AB17" s="3"/>
    </row>
    <row r="18" spans="1:28" ht="18" customHeight="1">
      <c r="A18" s="81">
        <v>10</v>
      </c>
      <c r="B18" s="77">
        <v>17.7</v>
      </c>
      <c r="C18" s="126">
        <f>'[1]cálculos teóricos'!K72</f>
        <v>1.0223270760420269</v>
      </c>
      <c r="D18" s="59">
        <f t="shared" si="4"/>
        <v>263.52928858330358</v>
      </c>
      <c r="E18" s="60">
        <f t="shared" si="5"/>
        <v>11.033444254405754</v>
      </c>
      <c r="F18" s="61">
        <f t="shared" si="6"/>
        <v>14.120887798007196</v>
      </c>
      <c r="G18" s="62">
        <f>'[1]cálculos teóricos'!T72</f>
        <v>36.687003088236096</v>
      </c>
      <c r="H18" s="76">
        <f t="shared" si="7"/>
        <v>38.49016438885721</v>
      </c>
      <c r="I18" s="142"/>
      <c r="J18" s="141"/>
      <c r="K18" s="139"/>
      <c r="L18" s="139"/>
      <c r="M18" s="139"/>
      <c r="N18" s="139"/>
      <c r="O18" s="143">
        <v>0.1</v>
      </c>
      <c r="P18" s="141">
        <v>0.7</v>
      </c>
      <c r="Q18" s="139">
        <v>1</v>
      </c>
      <c r="R18" s="139">
        <v>1</v>
      </c>
      <c r="S18" s="139">
        <v>1</v>
      </c>
      <c r="T18" s="139">
        <v>1</v>
      </c>
      <c r="U18" s="139"/>
      <c r="V18" s="79"/>
      <c r="W18" s="123">
        <f t="shared" si="0"/>
        <v>0.1</v>
      </c>
      <c r="X18" s="124">
        <f t="shared" si="1"/>
        <v>4.7</v>
      </c>
      <c r="Y18" s="70">
        <f t="shared" si="2"/>
        <v>4.8</v>
      </c>
      <c r="Z18" s="71">
        <f>'[1]cálculos teóricos'!I72</f>
        <v>12.25771418597288</v>
      </c>
      <c r="AA18" s="72">
        <f t="shared" si="3"/>
        <v>39.159013884439254</v>
      </c>
      <c r="AB18" s="3"/>
    </row>
    <row r="19" spans="1:28" ht="18" customHeight="1">
      <c r="A19" s="81">
        <v>11</v>
      </c>
      <c r="B19" s="77">
        <v>13.2</v>
      </c>
      <c r="C19" s="126">
        <f>'[1]cálculos teóricos'!K73</f>
        <v>1.0216397119518779</v>
      </c>
      <c r="D19" s="59">
        <f t="shared" si="4"/>
        <v>196.39817927414748</v>
      </c>
      <c r="E19" s="60">
        <f t="shared" si="5"/>
        <v>8.2227989698500057</v>
      </c>
      <c r="F19" s="61">
        <f t="shared" si="6"/>
        <v>10.607581192312507</v>
      </c>
      <c r="G19" s="62">
        <f>'[1]cálculos teóricos'!T73</f>
        <v>36.517195479618834</v>
      </c>
      <c r="H19" s="76">
        <f t="shared" si="7"/>
        <v>29.048181419717363</v>
      </c>
      <c r="I19" s="142"/>
      <c r="J19" s="141"/>
      <c r="K19" s="139"/>
      <c r="L19" s="139">
        <v>0.1</v>
      </c>
      <c r="M19" s="139"/>
      <c r="N19" s="139"/>
      <c r="O19" s="143">
        <v>0.8</v>
      </c>
      <c r="P19" s="141">
        <v>0.8</v>
      </c>
      <c r="Q19" s="139"/>
      <c r="R19" s="139"/>
      <c r="S19" s="139"/>
      <c r="T19" s="139"/>
      <c r="U19" s="139"/>
      <c r="V19" s="79"/>
      <c r="W19" s="123">
        <f t="shared" si="0"/>
        <v>0.9</v>
      </c>
      <c r="X19" s="124">
        <f t="shared" si="1"/>
        <v>0.8</v>
      </c>
      <c r="Y19" s="70">
        <f t="shared" si="2"/>
        <v>1.7000000000000002</v>
      </c>
      <c r="Z19" s="71">
        <f>'[1]cálculos teóricos'!I73</f>
        <v>12.234684956940034</v>
      </c>
      <c r="AA19" s="72">
        <f t="shared" si="3"/>
        <v>13.894922558146362</v>
      </c>
      <c r="AB19" s="3"/>
    </row>
    <row r="20" spans="1:28" ht="18" customHeight="1">
      <c r="A20" s="81">
        <v>12</v>
      </c>
      <c r="B20" s="77">
        <v>14</v>
      </c>
      <c r="C20" s="126">
        <f>'[1]cálculos teóricos'!K74</f>
        <v>1.0209408165705878</v>
      </c>
      <c r="D20" s="59">
        <f t="shared" si="4"/>
        <v>208.15860214976058</v>
      </c>
      <c r="E20" s="60">
        <f t="shared" si="5"/>
        <v>8.7151843548061763</v>
      </c>
      <c r="F20" s="61">
        <f t="shared" si="6"/>
        <v>11.223062923507721</v>
      </c>
      <c r="G20" s="62">
        <f>'[1]cálculos teóricos'!T74</f>
        <v>36.345730544465582</v>
      </c>
      <c r="H20" s="76">
        <f t="shared" si="7"/>
        <v>30.878627985692457</v>
      </c>
      <c r="I20" s="142"/>
      <c r="J20" s="141"/>
      <c r="K20" s="139"/>
      <c r="L20" s="139"/>
      <c r="M20" s="139"/>
      <c r="N20" s="139"/>
      <c r="O20" s="143"/>
      <c r="P20" s="141">
        <v>0.2</v>
      </c>
      <c r="Q20" s="139">
        <v>0.9</v>
      </c>
      <c r="R20" s="139"/>
      <c r="S20" s="139"/>
      <c r="T20" s="139"/>
      <c r="U20" s="139"/>
      <c r="V20" s="79"/>
      <c r="W20" s="123">
        <f t="shared" si="0"/>
        <v>0</v>
      </c>
      <c r="X20" s="124">
        <f t="shared" si="1"/>
        <v>1.1000000000000001</v>
      </c>
      <c r="Y20" s="70">
        <f t="shared" si="2"/>
        <v>1.1000000000000001</v>
      </c>
      <c r="Z20" s="71">
        <f>'[1]cálculos teóricos'!I74</f>
        <v>12.211634537553067</v>
      </c>
      <c r="AA20" s="72">
        <f t="shared" si="3"/>
        <v>9.0078031455764069</v>
      </c>
      <c r="AB20" s="3"/>
    </row>
    <row r="21" spans="1:28" ht="18" customHeight="1">
      <c r="A21" s="81">
        <v>13</v>
      </c>
      <c r="B21" s="83">
        <v>-99</v>
      </c>
      <c r="C21" s="126">
        <f>'[1]cálculos teóricos'!K75</f>
        <v>1.0202305219666468</v>
      </c>
      <c r="D21" s="59">
        <f t="shared" si="4"/>
        <v>-999</v>
      </c>
      <c r="E21" s="60">
        <f t="shared" si="5"/>
        <v>-999</v>
      </c>
      <c r="F21" s="61">
        <f t="shared" si="6"/>
        <v>-999</v>
      </c>
      <c r="G21" s="62">
        <f>'[1]cálculos teóricos'!T75</f>
        <v>36.172658892075304</v>
      </c>
      <c r="H21" s="76">
        <f t="shared" si="7"/>
        <v>-999</v>
      </c>
      <c r="I21" s="142"/>
      <c r="J21" s="141"/>
      <c r="K21" s="139"/>
      <c r="L21" s="139"/>
      <c r="M21" s="139"/>
      <c r="N21" s="139">
        <v>0.1</v>
      </c>
      <c r="O21" s="143">
        <v>0.7</v>
      </c>
      <c r="P21" s="141">
        <v>0.4</v>
      </c>
      <c r="Q21" s="139">
        <v>0.5</v>
      </c>
      <c r="R21" s="139">
        <v>0.2</v>
      </c>
      <c r="S21" s="139">
        <v>0.2</v>
      </c>
      <c r="T21" s="139"/>
      <c r="U21" s="139"/>
      <c r="V21" s="79"/>
      <c r="W21" s="123">
        <f t="shared" si="0"/>
        <v>0.79999999999999993</v>
      </c>
      <c r="X21" s="124">
        <f t="shared" si="1"/>
        <v>1.3</v>
      </c>
      <c r="Y21" s="70">
        <f t="shared" si="2"/>
        <v>2.1</v>
      </c>
      <c r="Z21" s="71">
        <f>'[1]cálculos teóricos'!I75</f>
        <v>12.1885668500564</v>
      </c>
      <c r="AA21" s="72">
        <f t="shared" si="3"/>
        <v>17.229261043026423</v>
      </c>
      <c r="AB21" s="3"/>
    </row>
    <row r="22" spans="1:28" ht="18" customHeight="1">
      <c r="A22" s="81">
        <v>14</v>
      </c>
      <c r="B22" s="83">
        <v>-99</v>
      </c>
      <c r="C22" s="126">
        <f>'[1]cálculos teóricos'!K76</f>
        <v>1.0195089696819948</v>
      </c>
      <c r="D22" s="59">
        <f t="shared" si="4"/>
        <v>-999</v>
      </c>
      <c r="E22" s="60">
        <f t="shared" si="5"/>
        <v>-999</v>
      </c>
      <c r="F22" s="61">
        <f t="shared" si="6"/>
        <v>-999</v>
      </c>
      <c r="G22" s="62">
        <f>'[1]cálculos teóricos'!T76</f>
        <v>35.998032352371688</v>
      </c>
      <c r="H22" s="76">
        <f t="shared" si="7"/>
        <v>-999</v>
      </c>
      <c r="I22" s="142"/>
      <c r="J22" s="141"/>
      <c r="K22" s="139"/>
      <c r="L22" s="139"/>
      <c r="M22" s="139"/>
      <c r="N22" s="139">
        <v>0.3</v>
      </c>
      <c r="O22" s="143">
        <v>1</v>
      </c>
      <c r="P22" s="141">
        <v>1</v>
      </c>
      <c r="Q22" s="139">
        <v>0.9</v>
      </c>
      <c r="R22" s="139"/>
      <c r="S22" s="139"/>
      <c r="T22" s="139"/>
      <c r="U22" s="139"/>
      <c r="V22" s="79"/>
      <c r="W22" s="123">
        <f t="shared" si="0"/>
        <v>1.3</v>
      </c>
      <c r="X22" s="124">
        <f t="shared" si="1"/>
        <v>1.9</v>
      </c>
      <c r="Y22" s="70">
        <f t="shared" si="2"/>
        <v>3.2</v>
      </c>
      <c r="Z22" s="71">
        <f>'[1]cálculos teóricos'!I76</f>
        <v>12.165485733334812</v>
      </c>
      <c r="AA22" s="72">
        <f t="shared" si="3"/>
        <v>26.303923001049082</v>
      </c>
      <c r="AB22" s="3"/>
    </row>
    <row r="23" spans="1:28" ht="18" customHeight="1">
      <c r="A23" s="81">
        <v>15</v>
      </c>
      <c r="B23" s="77">
        <v>26.6</v>
      </c>
      <c r="C23" s="126">
        <f>'[1]cálculos teóricos'!K77</f>
        <v>1.0187763106930137</v>
      </c>
      <c r="D23" s="59">
        <f t="shared" si="4"/>
        <v>394.66283810068694</v>
      </c>
      <c r="E23" s="60">
        <f t="shared" si="5"/>
        <v>16.523743705599561</v>
      </c>
      <c r="F23" s="61">
        <f t="shared" si="6"/>
        <v>20.98376211199945</v>
      </c>
      <c r="G23" s="62">
        <f>'[1]cálculos teóricos'!T77</f>
        <v>35.82190394426226</v>
      </c>
      <c r="H23" s="76">
        <f t="shared" si="7"/>
        <v>58.578020153952494</v>
      </c>
      <c r="I23" s="142"/>
      <c r="J23" s="141"/>
      <c r="K23" s="139">
        <v>0.7</v>
      </c>
      <c r="L23" s="139">
        <v>0.9</v>
      </c>
      <c r="M23" s="139">
        <v>1</v>
      </c>
      <c r="N23" s="139">
        <v>1</v>
      </c>
      <c r="O23" s="143">
        <v>0.9</v>
      </c>
      <c r="P23" s="141">
        <v>0.9</v>
      </c>
      <c r="Q23" s="139">
        <v>1</v>
      </c>
      <c r="R23" s="139">
        <v>1</v>
      </c>
      <c r="S23" s="139">
        <v>1</v>
      </c>
      <c r="T23" s="139"/>
      <c r="U23" s="139"/>
      <c r="V23" s="79"/>
      <c r="W23" s="123">
        <f t="shared" si="0"/>
        <v>4.5</v>
      </c>
      <c r="X23" s="124">
        <f t="shared" si="1"/>
        <v>3.9</v>
      </c>
      <c r="Y23" s="70">
        <f t="shared" si="2"/>
        <v>8.4</v>
      </c>
      <c r="Z23" s="71">
        <f>'[1]cálculos teóricos'!I77</f>
        <v>12.142394949013712</v>
      </c>
      <c r="AA23" s="72">
        <f t="shared" si="3"/>
        <v>69.179103754011109</v>
      </c>
      <c r="AB23" s="3"/>
    </row>
    <row r="24" spans="1:28" ht="18" customHeight="1">
      <c r="A24" s="81">
        <v>16</v>
      </c>
      <c r="B24" s="77">
        <v>30.2</v>
      </c>
      <c r="C24" s="126">
        <f>'[1]cálculos teóricos'!K78</f>
        <v>1.018032705369482</v>
      </c>
      <c r="D24" s="59">
        <f t="shared" si="4"/>
        <v>447.74880300038319</v>
      </c>
      <c r="E24" s="60">
        <f t="shared" si="5"/>
        <v>18.746346884020042</v>
      </c>
      <c r="F24" s="61">
        <f t="shared" si="6"/>
        <v>23.762016085025056</v>
      </c>
      <c r="G24" s="62">
        <f>'[1]cálculos teóricos'!T78</f>
        <v>35.644327843718507</v>
      </c>
      <c r="H24" s="76">
        <f t="shared" si="7"/>
        <v>66.664228286780741</v>
      </c>
      <c r="I24" s="142"/>
      <c r="J24" s="144">
        <v>0.1</v>
      </c>
      <c r="K24" s="145">
        <v>1</v>
      </c>
      <c r="L24" s="145">
        <v>1</v>
      </c>
      <c r="M24" s="145">
        <v>1</v>
      </c>
      <c r="N24" s="145">
        <v>0.8</v>
      </c>
      <c r="O24" s="146">
        <v>1</v>
      </c>
      <c r="P24" s="144">
        <v>1</v>
      </c>
      <c r="Q24" s="145">
        <v>1</v>
      </c>
      <c r="R24" s="145">
        <v>1</v>
      </c>
      <c r="S24" s="145">
        <v>1</v>
      </c>
      <c r="T24" s="145">
        <v>0.8</v>
      </c>
      <c r="U24" s="139">
        <v>0.8</v>
      </c>
      <c r="V24" s="79"/>
      <c r="W24" s="123">
        <f t="shared" si="0"/>
        <v>4.9000000000000004</v>
      </c>
      <c r="X24" s="124">
        <f t="shared" si="1"/>
        <v>5.6</v>
      </c>
      <c r="Y24" s="70">
        <f t="shared" si="2"/>
        <v>10.5</v>
      </c>
      <c r="Z24" s="71">
        <f>'[1]cálculos teóricos'!I78</f>
        <v>12.119298187624363</v>
      </c>
      <c r="AA24" s="72">
        <f t="shared" si="3"/>
        <v>86.638680206103757</v>
      </c>
      <c r="AB24" s="3"/>
    </row>
    <row r="25" spans="1:28" ht="18" customHeight="1">
      <c r="A25" s="81">
        <v>17</v>
      </c>
      <c r="B25" s="77">
        <v>29.9</v>
      </c>
      <c r="C25" s="126">
        <f>'[1]cálculos teóricos'!K79</f>
        <v>1.0172783234318352</v>
      </c>
      <c r="D25" s="59">
        <f t="shared" si="4"/>
        <v>442.97247261265596</v>
      </c>
      <c r="E25" s="60">
        <f t="shared" si="5"/>
        <v>18.546371483346679</v>
      </c>
      <c r="F25" s="61">
        <f t="shared" si="6"/>
        <v>23.512046834183348</v>
      </c>
      <c r="G25" s="62">
        <f>'[1]cálculos teóricos'!T79</f>
        <v>35.465359351656311</v>
      </c>
      <c r="H25" s="76">
        <f t="shared" si="7"/>
        <v>66.2958088230545</v>
      </c>
      <c r="I25" s="142"/>
      <c r="J25" s="141"/>
      <c r="K25" s="139">
        <v>0.5</v>
      </c>
      <c r="L25" s="139">
        <v>1</v>
      </c>
      <c r="M25" s="139">
        <v>1</v>
      </c>
      <c r="N25" s="139">
        <v>1</v>
      </c>
      <c r="O25" s="143">
        <v>1</v>
      </c>
      <c r="P25" s="141">
        <v>1</v>
      </c>
      <c r="Q25" s="139">
        <v>1</v>
      </c>
      <c r="R25" s="139">
        <v>1</v>
      </c>
      <c r="S25" s="139">
        <v>1</v>
      </c>
      <c r="T25" s="139">
        <v>1</v>
      </c>
      <c r="U25" s="139">
        <v>0.8</v>
      </c>
      <c r="V25" s="79"/>
      <c r="W25" s="123">
        <f t="shared" si="0"/>
        <v>4.5</v>
      </c>
      <c r="X25" s="124">
        <f t="shared" si="1"/>
        <v>5.8</v>
      </c>
      <c r="Y25" s="70">
        <f t="shared" si="2"/>
        <v>10.3</v>
      </c>
      <c r="Z25" s="71">
        <f>'[1]cálculos teóricos'!I79</f>
        <v>12.096199074823641</v>
      </c>
      <c r="AA25" s="72">
        <f t="shared" si="3"/>
        <v>85.150714999704746</v>
      </c>
      <c r="AB25" s="3"/>
    </row>
    <row r="26" spans="1:28" ht="18" customHeight="1">
      <c r="A26" s="81">
        <v>18</v>
      </c>
      <c r="B26" s="77">
        <v>32.1</v>
      </c>
      <c r="C26" s="126">
        <f>'[1]cálculos teóricos'!K80</f>
        <v>1.016513343907022</v>
      </c>
      <c r="D26" s="59">
        <f t="shared" si="4"/>
        <v>475.20814589607625</v>
      </c>
      <c r="E26" s="60">
        <f t="shared" si="5"/>
        <v>19.89601465237692</v>
      </c>
      <c r="F26" s="61">
        <f t="shared" si="6"/>
        <v>25.19910079547115</v>
      </c>
      <c r="G26" s="62">
        <f>'[1]cálculos teóricos'!T80</f>
        <v>35.285054861688451</v>
      </c>
      <c r="H26" s="76">
        <f t="shared" si="7"/>
        <v>71.415790323261319</v>
      </c>
      <c r="I26" s="142"/>
      <c r="J26" s="141"/>
      <c r="K26" s="139">
        <v>0.9</v>
      </c>
      <c r="L26" s="139">
        <v>1</v>
      </c>
      <c r="M26" s="139">
        <v>1</v>
      </c>
      <c r="N26" s="139">
        <v>1</v>
      </c>
      <c r="O26" s="143">
        <v>1</v>
      </c>
      <c r="P26" s="141">
        <v>1</v>
      </c>
      <c r="Q26" s="139">
        <v>1</v>
      </c>
      <c r="R26" s="139">
        <v>1</v>
      </c>
      <c r="S26" s="139">
        <v>1</v>
      </c>
      <c r="T26" s="139">
        <v>0.7</v>
      </c>
      <c r="U26" s="139"/>
      <c r="V26" s="79"/>
      <c r="W26" s="123">
        <f t="shared" si="0"/>
        <v>4.9000000000000004</v>
      </c>
      <c r="X26" s="124">
        <f t="shared" si="1"/>
        <v>4.7</v>
      </c>
      <c r="Y26" s="70">
        <f t="shared" si="2"/>
        <v>9.6000000000000014</v>
      </c>
      <c r="Z26" s="71">
        <f>'[1]cálculos teóricos'!I80</f>
        <v>12.073101177658092</v>
      </c>
      <c r="AA26" s="72">
        <f t="shared" si="3"/>
        <v>79.515609607954786</v>
      </c>
      <c r="AB26" s="3"/>
    </row>
    <row r="27" spans="1:28" ht="18" customHeight="1">
      <c r="A27" s="81">
        <v>19</v>
      </c>
      <c r="B27" s="77">
        <v>27.7</v>
      </c>
      <c r="C27" s="126">
        <f>'[1]cálculos teóricos'!K81</f>
        <v>1.0157379550832217</v>
      </c>
      <c r="D27" s="59">
        <f t="shared" si="4"/>
        <v>409.75778193526963</v>
      </c>
      <c r="E27" s="60">
        <f t="shared" si="5"/>
        <v>17.15573881406587</v>
      </c>
      <c r="F27" s="61">
        <f t="shared" si="6"/>
        <v>21.773755997582338</v>
      </c>
      <c r="G27" s="62">
        <f>'[1]cálculos teóricos'!T81</f>
        <v>35.103471827814516</v>
      </c>
      <c r="H27" s="76">
        <f t="shared" si="7"/>
        <v>62.027357591250357</v>
      </c>
      <c r="I27" s="142"/>
      <c r="J27" s="141"/>
      <c r="K27" s="139"/>
      <c r="L27" s="139">
        <v>0.9</v>
      </c>
      <c r="M27" s="139">
        <v>0.9</v>
      </c>
      <c r="N27" s="147">
        <v>0.6</v>
      </c>
      <c r="O27" s="143">
        <v>1</v>
      </c>
      <c r="P27" s="141">
        <v>1</v>
      </c>
      <c r="Q27" s="139">
        <v>1</v>
      </c>
      <c r="R27" s="139">
        <v>1</v>
      </c>
      <c r="S27" s="139">
        <v>1</v>
      </c>
      <c r="T27" s="139">
        <v>1</v>
      </c>
      <c r="U27" s="139">
        <v>0.2</v>
      </c>
      <c r="V27" s="79"/>
      <c r="W27" s="123">
        <f t="shared" si="0"/>
        <v>3.4</v>
      </c>
      <c r="X27" s="124">
        <f t="shared" si="1"/>
        <v>5.2</v>
      </c>
      <c r="Y27" s="70">
        <f t="shared" si="2"/>
        <v>8.6</v>
      </c>
      <c r="Z27" s="71">
        <f>'[1]cálculos teóricos'!I81</f>
        <v>12.050008010862662</v>
      </c>
      <c r="AA27" s="72">
        <f t="shared" si="3"/>
        <v>71.369247159399393</v>
      </c>
      <c r="AB27" s="3"/>
    </row>
    <row r="28" spans="1:28" ht="18" customHeight="1">
      <c r="A28" s="81">
        <v>20</v>
      </c>
      <c r="B28" s="77">
        <v>27.6</v>
      </c>
      <c r="C28" s="126">
        <f>'[1]cálculos teóricos'!K82</f>
        <v>1.0149523544636272</v>
      </c>
      <c r="D28" s="59">
        <f t="shared" si="4"/>
        <v>407.96273775277655</v>
      </c>
      <c r="E28" s="60">
        <f t="shared" si="5"/>
        <v>17.080583904233247</v>
      </c>
      <c r="F28" s="61">
        <f t="shared" si="6"/>
        <v>21.679812360291557</v>
      </c>
      <c r="G28" s="62">
        <f>'[1]cálculos teóricos'!T82</f>
        <v>34.920668732105412</v>
      </c>
      <c r="H28" s="76">
        <f t="shared" si="7"/>
        <v>62.083038920613632</v>
      </c>
      <c r="I28" s="142"/>
      <c r="J28" s="141"/>
      <c r="K28" s="139">
        <v>0.7</v>
      </c>
      <c r="L28" s="139"/>
      <c r="M28" s="139">
        <v>0.9</v>
      </c>
      <c r="N28" s="139">
        <v>0.9</v>
      </c>
      <c r="O28" s="143">
        <v>0.9</v>
      </c>
      <c r="P28" s="141">
        <v>1</v>
      </c>
      <c r="Q28" s="139">
        <v>1</v>
      </c>
      <c r="R28" s="139">
        <v>1</v>
      </c>
      <c r="S28" s="139">
        <v>1</v>
      </c>
      <c r="T28" s="139">
        <v>1</v>
      </c>
      <c r="U28" s="139">
        <v>0.5</v>
      </c>
      <c r="V28" s="79"/>
      <c r="W28" s="123">
        <f t="shared" si="0"/>
        <v>3.4</v>
      </c>
      <c r="X28" s="124">
        <f t="shared" si="1"/>
        <v>5.5</v>
      </c>
      <c r="Y28" s="70">
        <f t="shared" si="2"/>
        <v>8.9</v>
      </c>
      <c r="Z28" s="71">
        <f>'[1]cálculos teóricos'!I82</f>
        <v>12.026923043184821</v>
      </c>
      <c r="AA28" s="72">
        <f t="shared" si="3"/>
        <v>74.000639798250603</v>
      </c>
      <c r="AB28" s="3"/>
    </row>
    <row r="29" spans="1:28" ht="18" customHeight="1">
      <c r="A29" s="81">
        <v>21</v>
      </c>
      <c r="B29" s="83">
        <v>-99</v>
      </c>
      <c r="C29" s="126">
        <f>'[1]cálculos teóricos'!K83</f>
        <v>1.0141567487194687</v>
      </c>
      <c r="D29" s="59">
        <f t="shared" si="4"/>
        <v>-999</v>
      </c>
      <c r="E29" s="60">
        <f t="shared" si="5"/>
        <v>-999</v>
      </c>
      <c r="F29" s="61">
        <f t="shared" si="6"/>
        <v>-999</v>
      </c>
      <c r="G29" s="62">
        <f>'[1]cálculos teóricos'!T83</f>
        <v>34.736705052432924</v>
      </c>
      <c r="H29" s="76">
        <f t="shared" si="7"/>
        <v>-999</v>
      </c>
      <c r="I29" s="142"/>
      <c r="J29" s="141">
        <v>0.3</v>
      </c>
      <c r="K29" s="139">
        <v>1</v>
      </c>
      <c r="L29" s="139">
        <v>1</v>
      </c>
      <c r="M29" s="139">
        <v>1</v>
      </c>
      <c r="N29" s="139">
        <v>1</v>
      </c>
      <c r="O29" s="143">
        <v>0.7</v>
      </c>
      <c r="P29" s="141">
        <v>1</v>
      </c>
      <c r="Q29" s="139">
        <v>1</v>
      </c>
      <c r="R29" s="139">
        <v>1</v>
      </c>
      <c r="S29" s="139">
        <v>1</v>
      </c>
      <c r="T29" s="139">
        <v>1</v>
      </c>
      <c r="U29" s="139">
        <v>0.2</v>
      </c>
      <c r="V29" s="79"/>
      <c r="W29" s="123">
        <f t="shared" si="0"/>
        <v>5</v>
      </c>
      <c r="X29" s="124">
        <f t="shared" si="1"/>
        <v>5.2</v>
      </c>
      <c r="Y29" s="70">
        <f t="shared" si="2"/>
        <v>10.199999999999999</v>
      </c>
      <c r="Z29" s="71">
        <f>'[1]cálculos teóricos'!I83</f>
        <v>12.003849703725068</v>
      </c>
      <c r="AA29" s="72">
        <f t="shared" si="3"/>
        <v>84.972740010521008</v>
      </c>
      <c r="AB29" s="3"/>
    </row>
    <row r="30" spans="1:28" ht="18" customHeight="1">
      <c r="A30" s="92">
        <v>22</v>
      </c>
      <c r="B30" s="77">
        <v>31.4</v>
      </c>
      <c r="C30" s="126">
        <f>'[1]cálculos teóricos'!K84</f>
        <v>1.0133513536423984</v>
      </c>
      <c r="D30" s="59">
        <f t="shared" si="4"/>
        <v>463.3993925774115</v>
      </c>
      <c r="E30" s="60">
        <f t="shared" si="5"/>
        <v>19.401605768431065</v>
      </c>
      <c r="F30" s="61">
        <f t="shared" si="6"/>
        <v>24.581089690538832</v>
      </c>
      <c r="G30" s="62">
        <f>'[1]cálculos teóricos'!T84</f>
        <v>34.551641230287451</v>
      </c>
      <c r="H30" s="76">
        <f t="shared" si="7"/>
        <v>71.143045063200702</v>
      </c>
      <c r="I30" s="142"/>
      <c r="J30" s="141">
        <v>0.4</v>
      </c>
      <c r="K30" s="139">
        <v>1</v>
      </c>
      <c r="L30" s="139">
        <v>1</v>
      </c>
      <c r="M30" s="139">
        <v>1</v>
      </c>
      <c r="N30" s="139">
        <v>1</v>
      </c>
      <c r="O30" s="143">
        <v>1</v>
      </c>
      <c r="P30" s="141">
        <v>1</v>
      </c>
      <c r="Q30" s="139">
        <v>1</v>
      </c>
      <c r="R30" s="139">
        <v>1</v>
      </c>
      <c r="S30" s="139">
        <v>1</v>
      </c>
      <c r="T30" s="139">
        <v>1</v>
      </c>
      <c r="U30" s="139">
        <v>0.3</v>
      </c>
      <c r="V30" s="79"/>
      <c r="W30" s="123">
        <f t="shared" si="0"/>
        <v>5.4</v>
      </c>
      <c r="X30" s="124">
        <f t="shared" si="1"/>
        <v>5.3</v>
      </c>
      <c r="Y30" s="70">
        <f t="shared" si="2"/>
        <v>10.7</v>
      </c>
      <c r="Z30" s="71">
        <f>'[1]cálculos teóricos'!I84</f>
        <v>11.980791388285134</v>
      </c>
      <c r="AA30" s="72">
        <f t="shared" si="3"/>
        <v>89.309626160943779</v>
      </c>
      <c r="AB30" s="3"/>
    </row>
    <row r="31" spans="1:28" ht="18" customHeight="1">
      <c r="A31" s="92">
        <v>23</v>
      </c>
      <c r="B31" s="77">
        <v>30.2</v>
      </c>
      <c r="C31" s="126">
        <f>'[1]cálculos teóricos'!K85</f>
        <v>1.0125363940963121</v>
      </c>
      <c r="D31" s="59">
        <f t="shared" si="4"/>
        <v>445.33142801773357</v>
      </c>
      <c r="E31" s="60">
        <f t="shared" si="5"/>
        <v>18.645136228246468</v>
      </c>
      <c r="F31" s="61">
        <f t="shared" si="6"/>
        <v>23.63550276530809</v>
      </c>
      <c r="G31" s="62">
        <f>'[1]cálculos teóricos'!T85</f>
        <v>34.36553863871918</v>
      </c>
      <c r="H31" s="76">
        <f t="shared" si="7"/>
        <v>68.776756313309434</v>
      </c>
      <c r="I31" s="142"/>
      <c r="J31" s="141"/>
      <c r="K31" s="139">
        <v>1</v>
      </c>
      <c r="L31" s="139">
        <v>1</v>
      </c>
      <c r="M31" s="139">
        <v>1</v>
      </c>
      <c r="N31" s="139">
        <v>1</v>
      </c>
      <c r="O31" s="143">
        <v>1</v>
      </c>
      <c r="P31" s="141">
        <v>1</v>
      </c>
      <c r="Q31" s="139">
        <v>1</v>
      </c>
      <c r="R31" s="139">
        <v>1</v>
      </c>
      <c r="S31" s="139">
        <v>1</v>
      </c>
      <c r="T31" s="139">
        <v>1</v>
      </c>
      <c r="U31" s="139">
        <v>0.9</v>
      </c>
      <c r="V31" s="79"/>
      <c r="W31" s="123">
        <f t="shared" si="0"/>
        <v>5</v>
      </c>
      <c r="X31" s="124">
        <f t="shared" si="1"/>
        <v>5.9</v>
      </c>
      <c r="Y31" s="70">
        <f t="shared" si="2"/>
        <v>10.9</v>
      </c>
      <c r="Z31" s="71">
        <f>'[1]cálculos teóricos'!I85</f>
        <v>11.957751465715512</v>
      </c>
      <c r="AA31" s="72">
        <f t="shared" si="3"/>
        <v>91.154261160651913</v>
      </c>
      <c r="AB31" s="3"/>
    </row>
    <row r="32" spans="1:28" ht="18" customHeight="1">
      <c r="A32" s="92">
        <v>24</v>
      </c>
      <c r="B32" s="77">
        <v>28.3</v>
      </c>
      <c r="C32" s="126">
        <f>'[1]cálculos teóricos'!K86</f>
        <v>1.011712103968645</v>
      </c>
      <c r="D32" s="59">
        <f t="shared" si="4"/>
        <v>416.97415909997039</v>
      </c>
      <c r="E32" s="60">
        <f t="shared" si="5"/>
        <v>17.45787409319756</v>
      </c>
      <c r="F32" s="61">
        <f t="shared" si="6"/>
        <v>22.151425096496947</v>
      </c>
      <c r="G32" s="62">
        <f>'[1]cálculos teóricos'!T86</f>
        <v>34.1784595504311</v>
      </c>
      <c r="H32" s="76">
        <f t="shared" si="7"/>
        <v>64.811069275407249</v>
      </c>
      <c r="I32" s="142"/>
      <c r="J32" s="141">
        <v>0.3</v>
      </c>
      <c r="K32" s="139">
        <v>1</v>
      </c>
      <c r="L32" s="139">
        <v>1</v>
      </c>
      <c r="M32" s="139">
        <v>1</v>
      </c>
      <c r="N32" s="139">
        <v>0.7</v>
      </c>
      <c r="O32" s="143">
        <v>0.9</v>
      </c>
      <c r="P32" s="141">
        <v>1</v>
      </c>
      <c r="Q32" s="139">
        <v>1</v>
      </c>
      <c r="R32" s="139">
        <v>1</v>
      </c>
      <c r="S32" s="139">
        <v>1</v>
      </c>
      <c r="T32" s="139">
        <v>1</v>
      </c>
      <c r="U32" s="139">
        <v>0.3</v>
      </c>
      <c r="V32" s="79"/>
      <c r="W32" s="123">
        <f t="shared" si="0"/>
        <v>4.9000000000000004</v>
      </c>
      <c r="X32" s="124">
        <f t="shared" si="1"/>
        <v>5.3</v>
      </c>
      <c r="Y32" s="70">
        <f t="shared" si="2"/>
        <v>10.199999999999999</v>
      </c>
      <c r="Z32" s="71">
        <f>'[1]cálculos teóricos'!I86</f>
        <v>11.934733284254012</v>
      </c>
      <c r="AA32" s="72">
        <f t="shared" si="3"/>
        <v>85.464834086047659</v>
      </c>
      <c r="AB32" s="3"/>
    </row>
    <row r="33" spans="1:28" ht="18" customHeight="1">
      <c r="A33" s="92">
        <v>25</v>
      </c>
      <c r="B33" s="77">
        <v>26.9</v>
      </c>
      <c r="C33" s="126">
        <f>'[1]cálculos teóricos'!K87</f>
        <v>1.0108787261211196</v>
      </c>
      <c r="D33" s="59">
        <f t="shared" si="4"/>
        <v>396.01997961956647</v>
      </c>
      <c r="E33" s="60">
        <f t="shared" si="5"/>
        <v>16.580564506712008</v>
      </c>
      <c r="F33" s="61">
        <f t="shared" si="6"/>
        <v>21.054788113390014</v>
      </c>
      <c r="G33" s="62">
        <f>'[1]cálculos teóricos'!T87</f>
        <v>33.990467106044939</v>
      </c>
      <c r="H33" s="76">
        <f t="shared" si="7"/>
        <v>61.943214983490428</v>
      </c>
      <c r="I33" s="142"/>
      <c r="J33" s="141"/>
      <c r="K33" s="139">
        <v>0.5</v>
      </c>
      <c r="L33" s="139">
        <v>1</v>
      </c>
      <c r="M33" s="139">
        <v>1</v>
      </c>
      <c r="N33" s="139">
        <v>0.8</v>
      </c>
      <c r="O33" s="143">
        <v>1</v>
      </c>
      <c r="P33" s="141">
        <v>1</v>
      </c>
      <c r="Q33" s="139">
        <v>1</v>
      </c>
      <c r="R33" s="139">
        <v>1</v>
      </c>
      <c r="S33" s="139">
        <v>1</v>
      </c>
      <c r="T33" s="139">
        <v>1</v>
      </c>
      <c r="U33" s="139">
        <v>0.4</v>
      </c>
      <c r="V33" s="79"/>
      <c r="W33" s="123">
        <f t="shared" si="0"/>
        <v>4.3</v>
      </c>
      <c r="X33" s="124">
        <f t="shared" si="1"/>
        <v>5.4</v>
      </c>
      <c r="Y33" s="70">
        <f t="shared" si="2"/>
        <v>9.6999999999999993</v>
      </c>
      <c r="Z33" s="71">
        <f>'[1]cálculos teóricos'!I87</f>
        <v>11.911740177847248</v>
      </c>
      <c r="AA33" s="72">
        <f t="shared" si="3"/>
        <v>81.432266446169521</v>
      </c>
      <c r="AB33" s="3"/>
    </row>
    <row r="34" spans="1:28" ht="18" customHeight="1">
      <c r="A34" s="92">
        <v>26</v>
      </c>
      <c r="B34" s="77">
        <v>28</v>
      </c>
      <c r="C34" s="126">
        <f>'[1]cálculos teóricos'!K88</f>
        <v>1.010036512339894</v>
      </c>
      <c r="D34" s="59">
        <f t="shared" si="4"/>
        <v>411.87066892893728</v>
      </c>
      <c r="E34" s="60">
        <f t="shared" si="5"/>
        <v>17.244201166716746</v>
      </c>
      <c r="F34" s="61">
        <f t="shared" si="6"/>
        <v>21.88433393839593</v>
      </c>
      <c r="G34" s="62">
        <f>'[1]cálculos teóricos'!T88</f>
        <v>33.801625282554461</v>
      </c>
      <c r="H34" s="76">
        <f t="shared" si="7"/>
        <v>64.743436907132306</v>
      </c>
      <c r="I34" s="142"/>
      <c r="J34" s="141">
        <v>0.2</v>
      </c>
      <c r="K34" s="139">
        <v>0.6</v>
      </c>
      <c r="L34" s="139">
        <v>1</v>
      </c>
      <c r="M34" s="139">
        <v>1</v>
      </c>
      <c r="N34" s="139">
        <v>1</v>
      </c>
      <c r="O34" s="143">
        <v>1</v>
      </c>
      <c r="P34" s="141">
        <v>1</v>
      </c>
      <c r="Q34" s="139">
        <v>1</v>
      </c>
      <c r="R34" s="139">
        <v>1</v>
      </c>
      <c r="S34" s="139">
        <v>1</v>
      </c>
      <c r="T34" s="139">
        <v>1</v>
      </c>
      <c r="U34" s="139">
        <v>0.1</v>
      </c>
      <c r="V34" s="79"/>
      <c r="W34" s="123">
        <f t="shared" si="0"/>
        <v>4.8</v>
      </c>
      <c r="X34" s="124">
        <f t="shared" si="1"/>
        <v>5.0999999999999996</v>
      </c>
      <c r="Y34" s="70">
        <f t="shared" si="2"/>
        <v>9.8999999999999986</v>
      </c>
      <c r="Z34" s="71">
        <f>'[1]cálculos teóricos'!I88</f>
        <v>11.888775472447131</v>
      </c>
      <c r="AA34" s="72">
        <f t="shared" si="3"/>
        <v>83.271822425646562</v>
      </c>
      <c r="AB34" s="3"/>
    </row>
    <row r="35" spans="1:28" ht="18" customHeight="1">
      <c r="A35" s="92">
        <v>27</v>
      </c>
      <c r="B35" s="77">
        <v>16.399999999999999</v>
      </c>
      <c r="C35" s="126">
        <f>'[1]cálculos teóricos'!K89</f>
        <v>1.0091857232849979</v>
      </c>
      <c r="D35" s="59">
        <f t="shared" si="4"/>
        <v>241.03533100940146</v>
      </c>
      <c r="E35" s="60">
        <f t="shared" si="5"/>
        <v>10.09166723870162</v>
      </c>
      <c r="F35" s="61">
        <f t="shared" si="6"/>
        <v>12.943666528377026</v>
      </c>
      <c r="G35" s="62">
        <f>'[1]cálculos teóricos'!T89</f>
        <v>33.61199886197312</v>
      </c>
      <c r="H35" s="76">
        <f t="shared" si="7"/>
        <v>38.509065115496064</v>
      </c>
      <c r="I35" s="142"/>
      <c r="J35" s="141"/>
      <c r="K35" s="139"/>
      <c r="L35" s="139"/>
      <c r="M35" s="139"/>
      <c r="N35" s="139">
        <v>0.2</v>
      </c>
      <c r="O35" s="143">
        <v>0.5</v>
      </c>
      <c r="P35" s="141">
        <v>0.4</v>
      </c>
      <c r="Q35" s="139"/>
      <c r="R35" s="139"/>
      <c r="S35" s="139"/>
      <c r="T35" s="139"/>
      <c r="U35" s="139"/>
      <c r="V35" s="79"/>
      <c r="W35" s="123">
        <f t="shared" si="0"/>
        <v>0.7</v>
      </c>
      <c r="X35" s="124">
        <f t="shared" si="1"/>
        <v>0.4</v>
      </c>
      <c r="Y35" s="70">
        <f t="shared" si="2"/>
        <v>1.1000000000000001</v>
      </c>
      <c r="Z35" s="71">
        <f>'[1]cálculos teóricos'!I89</f>
        <v>11.865842492274421</v>
      </c>
      <c r="AA35" s="72">
        <f t="shared" si="3"/>
        <v>9.2703067710209783</v>
      </c>
      <c r="AB35" s="3"/>
    </row>
    <row r="36" spans="1:28" ht="18" customHeight="1">
      <c r="A36" s="92">
        <v>28</v>
      </c>
      <c r="B36" s="77">
        <v>16.8</v>
      </c>
      <c r="C36" s="126">
        <f>'[1]cálculos teóricos'!K90</f>
        <v>1.0083266284389116</v>
      </c>
      <c r="D36" s="59">
        <f t="shared" si="4"/>
        <v>246.70404953493755</v>
      </c>
      <c r="E36" s="60">
        <f t="shared" si="5"/>
        <v>10.329005145928766</v>
      </c>
      <c r="F36" s="61">
        <f t="shared" si="6"/>
        <v>13.240338912410955</v>
      </c>
      <c r="G36" s="62">
        <f>'[1]cálculos teóricos'!T90</f>
        <v>33.421653400177576</v>
      </c>
      <c r="H36" s="76">
        <f t="shared" si="7"/>
        <v>39.616049971784477</v>
      </c>
      <c r="I36" s="142"/>
      <c r="J36" s="141"/>
      <c r="K36" s="139"/>
      <c r="L36" s="139">
        <v>0.5</v>
      </c>
      <c r="M36" s="139">
        <v>0.7</v>
      </c>
      <c r="N36" s="139">
        <v>0.4</v>
      </c>
      <c r="O36" s="143">
        <v>0.2</v>
      </c>
      <c r="P36" s="141">
        <v>0.1</v>
      </c>
      <c r="Q36" s="139"/>
      <c r="R36" s="139"/>
      <c r="S36" s="139"/>
      <c r="T36" s="139"/>
      <c r="U36" s="139"/>
      <c r="V36" s="79"/>
      <c r="W36" s="123">
        <f t="shared" si="0"/>
        <v>1.8</v>
      </c>
      <c r="X36" s="124">
        <f t="shared" si="1"/>
        <v>0.1</v>
      </c>
      <c r="Y36" s="70">
        <f t="shared" si="2"/>
        <v>1.9000000000000001</v>
      </c>
      <c r="Z36" s="71">
        <f>'[1]cálculos teóricos'!I90</f>
        <v>11.842944566041432</v>
      </c>
      <c r="AA36" s="72">
        <f t="shared" si="3"/>
        <v>16.043307383605235</v>
      </c>
      <c r="AB36" s="3"/>
    </row>
    <row r="37" spans="1:28" ht="18" customHeight="1">
      <c r="A37" s="92">
        <v>29</v>
      </c>
      <c r="B37" s="77">
        <v>23.4</v>
      </c>
      <c r="C37" s="126">
        <f>'[1]cálculos teóricos'!K91</f>
        <v>1.0074595060540923</v>
      </c>
      <c r="D37" s="59">
        <f t="shared" si="4"/>
        <v>343.32799448419928</v>
      </c>
      <c r="E37" s="60">
        <f t="shared" si="5"/>
        <v>14.374456473064456</v>
      </c>
      <c r="F37" s="61">
        <f t="shared" si="6"/>
        <v>18.29715307133057</v>
      </c>
      <c r="G37" s="62">
        <f>'[1]cálculos teóricos'!T91</f>
        <v>33.230655195941289</v>
      </c>
      <c r="H37" s="76">
        <f t="shared" si="7"/>
        <v>55.061066245739688</v>
      </c>
      <c r="I37" s="142"/>
      <c r="J37" s="141"/>
      <c r="K37" s="139">
        <v>0.4</v>
      </c>
      <c r="L37" s="139">
        <v>0.9</v>
      </c>
      <c r="M37" s="139">
        <v>1</v>
      </c>
      <c r="N37" s="139">
        <v>1</v>
      </c>
      <c r="O37" s="143">
        <v>1</v>
      </c>
      <c r="P37" s="141">
        <v>0.6</v>
      </c>
      <c r="Q37" s="139">
        <v>1</v>
      </c>
      <c r="R37" s="139"/>
      <c r="S37" s="139">
        <v>0.1</v>
      </c>
      <c r="T37" s="139"/>
      <c r="U37" s="139"/>
      <c r="V37" s="79"/>
      <c r="W37" s="123">
        <f t="shared" si="0"/>
        <v>4.3</v>
      </c>
      <c r="X37" s="124">
        <f t="shared" si="1"/>
        <v>1.7000000000000002</v>
      </c>
      <c r="Y37" s="70">
        <f t="shared" si="2"/>
        <v>6</v>
      </c>
      <c r="Z37" s="71">
        <f>'[1]cálculos teóricos'!I91</f>
        <v>11.820085033125993</v>
      </c>
      <c r="AA37" s="72">
        <f t="shared" si="3"/>
        <v>50.761056144561529</v>
      </c>
      <c r="AB37" s="3"/>
    </row>
    <row r="38" spans="1:28" ht="18" customHeight="1">
      <c r="A38" s="81">
        <v>30</v>
      </c>
      <c r="B38" s="77">
        <v>28.7</v>
      </c>
      <c r="C38" s="126">
        <f>'[1]cálculos teóricos'!K92</f>
        <v>1.0065846430992109</v>
      </c>
      <c r="D38" s="59">
        <f t="shared" si="4"/>
        <v>420.72464940855275</v>
      </c>
      <c r="E38" s="60">
        <f t="shared" si="5"/>
        <v>17.614899621437289</v>
      </c>
      <c r="F38" s="61">
        <f t="shared" si="6"/>
        <v>22.347707006796607</v>
      </c>
      <c r="G38" s="62">
        <f>'[1]cálculos teóricos'!T92</f>
        <v>33.03907126014785</v>
      </c>
      <c r="H38" s="76">
        <f t="shared" si="7"/>
        <v>67.640239735651107</v>
      </c>
      <c r="I38" s="142"/>
      <c r="J38" s="148">
        <v>0.3</v>
      </c>
      <c r="K38" s="149">
        <v>0.9</v>
      </c>
      <c r="L38" s="149">
        <v>1</v>
      </c>
      <c r="M38" s="149">
        <v>1</v>
      </c>
      <c r="N38" s="149">
        <v>1</v>
      </c>
      <c r="O38" s="150">
        <v>1</v>
      </c>
      <c r="P38" s="148">
        <v>1</v>
      </c>
      <c r="Q38" s="149">
        <v>1</v>
      </c>
      <c r="R38" s="149">
        <v>1</v>
      </c>
      <c r="S38" s="149">
        <v>1</v>
      </c>
      <c r="T38" s="149">
        <v>1</v>
      </c>
      <c r="U38" s="149">
        <v>0.3</v>
      </c>
      <c r="V38" s="79"/>
      <c r="W38" s="123">
        <f t="shared" si="0"/>
        <v>5.2</v>
      </c>
      <c r="X38" s="124">
        <f t="shared" si="1"/>
        <v>5.3</v>
      </c>
      <c r="Y38" s="132">
        <f t="shared" si="2"/>
        <v>10.5</v>
      </c>
      <c r="Z38" s="71">
        <f>'[1]cálculos teóricos'!I92</f>
        <v>11.797267249688634</v>
      </c>
      <c r="AA38" s="72">
        <f t="shared" si="3"/>
        <v>89.003663117635369</v>
      </c>
      <c r="AB38" s="3"/>
    </row>
    <row r="39" spans="1:28" ht="18" customHeight="1" thickBot="1">
      <c r="A39" s="93">
        <v>31</v>
      </c>
      <c r="B39" s="94">
        <v>17</v>
      </c>
      <c r="C39" s="95">
        <f>'[1]cálculos teóricos'!K93</f>
        <v>1.0057023352038255</v>
      </c>
      <c r="D39" s="96">
        <f t="shared" si="4"/>
        <v>248.99128129859548</v>
      </c>
      <c r="E39" s="97">
        <f t="shared" si="5"/>
        <v>10.424766965409594</v>
      </c>
      <c r="F39" s="98">
        <f t="shared" si="6"/>
        <v>13.360041186761993</v>
      </c>
      <c r="G39" s="99">
        <f>'[1]cálculos teóricos'!T93</f>
        <v>32.846969285166935</v>
      </c>
      <c r="H39" s="100">
        <f t="shared" si="7"/>
        <v>40.673588697862407</v>
      </c>
      <c r="I39" s="151"/>
      <c r="J39" s="152">
        <v>0.4</v>
      </c>
      <c r="K39" s="153">
        <v>0.5</v>
      </c>
      <c r="L39" s="153">
        <v>0.5</v>
      </c>
      <c r="M39" s="153">
        <v>0.6</v>
      </c>
      <c r="N39" s="153">
        <v>1</v>
      </c>
      <c r="O39" s="154">
        <v>0.9</v>
      </c>
      <c r="P39" s="152"/>
      <c r="Q39" s="153"/>
      <c r="R39" s="153"/>
      <c r="S39" s="153">
        <v>0.1</v>
      </c>
      <c r="T39" s="153">
        <v>0.5</v>
      </c>
      <c r="U39" s="153"/>
      <c r="V39" s="102"/>
      <c r="W39" s="123">
        <f t="shared" si="0"/>
        <v>3.9</v>
      </c>
      <c r="X39" s="124">
        <f t="shared" si="1"/>
        <v>0.6</v>
      </c>
      <c r="Y39" s="106">
        <f t="shared" si="2"/>
        <v>4.5</v>
      </c>
      <c r="Z39" s="107">
        <f>'[1]cálculos teóricos'!I93</f>
        <v>11.774494594725017</v>
      </c>
      <c r="AA39" s="108">
        <f t="shared" si="3"/>
        <v>38.21820090703514</v>
      </c>
      <c r="AB39" s="3"/>
    </row>
    <row r="40" spans="1:28" s="113" customFormat="1" ht="15.75" thickTop="1">
      <c r="A40" s="109"/>
      <c r="B40" s="109"/>
      <c r="C40" s="109"/>
      <c r="D40" s="109"/>
      <c r="E40" s="109"/>
      <c r="F40" s="109"/>
      <c r="G40" s="109"/>
      <c r="H40" s="109"/>
      <c r="I40" s="110">
        <f>SUM(I9:I39)</f>
        <v>0</v>
      </c>
      <c r="J40" s="110">
        <f t="shared" ref="J40:V40" si="8">SUM(J9:J39)</f>
        <v>3.2</v>
      </c>
      <c r="K40" s="110">
        <f t="shared" si="8"/>
        <v>15</v>
      </c>
      <c r="L40" s="110">
        <f t="shared" si="8"/>
        <v>20.2</v>
      </c>
      <c r="M40" s="110">
        <f t="shared" si="8"/>
        <v>21.500000000000004</v>
      </c>
      <c r="N40" s="110">
        <f t="shared" si="8"/>
        <v>20.9</v>
      </c>
      <c r="O40" s="110">
        <f t="shared" si="8"/>
        <v>23.699999999999996</v>
      </c>
      <c r="P40" s="110">
        <f t="shared" si="8"/>
        <v>23.3</v>
      </c>
      <c r="Q40" s="110">
        <f t="shared" si="8"/>
        <v>22.200000000000003</v>
      </c>
      <c r="R40" s="110">
        <f t="shared" si="8"/>
        <v>19</v>
      </c>
      <c r="S40" s="110">
        <f t="shared" si="8"/>
        <v>20.200000000000003</v>
      </c>
      <c r="T40" s="110">
        <f t="shared" si="8"/>
        <v>17.5</v>
      </c>
      <c r="U40" s="110">
        <f t="shared" si="8"/>
        <v>7.2</v>
      </c>
      <c r="V40" s="110">
        <f t="shared" si="8"/>
        <v>0</v>
      </c>
      <c r="W40" s="111">
        <f t="shared" si="0"/>
        <v>104.5</v>
      </c>
      <c r="X40" s="111">
        <f>SUM(P40:V40)</f>
        <v>109.4</v>
      </c>
      <c r="Y40" s="111">
        <f>W40+X40</f>
        <v>213.9</v>
      </c>
      <c r="Z40" s="111">
        <f>SUM(Z9:Z39)</f>
        <v>375.69446616071616</v>
      </c>
      <c r="AA40" s="111">
        <f>SUM(AA9:AA39)</f>
        <v>1768.0152922659784</v>
      </c>
      <c r="AB40" s="109"/>
    </row>
    <row r="41" spans="1:28" s="113" customFormat="1" ht="15">
      <c r="A41" s="109"/>
      <c r="B41" s="109" t="s">
        <v>51</v>
      </c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</row>
    <row r="42" spans="1:28" s="113" customFormat="1" ht="15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</row>
    <row r="43" spans="1:28" s="113" customFormat="1" ht="15">
      <c r="A43" s="109"/>
      <c r="B43" s="109" t="s">
        <v>52</v>
      </c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</row>
    <row r="44" spans="1:28" s="113" customFormat="1" ht="15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 t="s">
        <v>65</v>
      </c>
      <c r="AA44" s="109"/>
      <c r="AB44" s="109"/>
    </row>
    <row r="45" spans="1:28" s="113" customFormat="1" ht="15">
      <c r="A45" s="109"/>
      <c r="B45" s="109" t="s">
        <v>53</v>
      </c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</row>
    <row r="46" spans="1:28" s="113" customFormat="1" ht="15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</row>
    <row r="47" spans="1:28" s="113" customFormat="1" ht="15">
      <c r="A47" s="109"/>
      <c r="B47" s="109" t="s">
        <v>54</v>
      </c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</row>
    <row r="48" spans="1:28" s="113" customFormat="1" ht="15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</row>
    <row r="49" spans="1:28" s="113" customFormat="1" ht="15">
      <c r="A49" s="109"/>
      <c r="B49" s="109" t="s">
        <v>55</v>
      </c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9" t="s">
        <v>56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9" t="s">
        <v>57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13" t="s">
        <v>58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56"/>
  <sheetViews>
    <sheetView zoomScale="75" zoomScaleNormal="75" workbookViewId="0">
      <selection activeCell="A2" sqref="A2"/>
    </sheetView>
  </sheetViews>
  <sheetFormatPr defaultColWidth="11.42578125" defaultRowHeight="12.75"/>
  <cols>
    <col min="1" max="1" width="8.7109375" style="8" customWidth="1"/>
    <col min="2" max="8" width="12.7109375" style="8" customWidth="1"/>
    <col min="9" max="25" width="8.7109375" style="8" customWidth="1"/>
    <col min="26" max="27" width="12.7109375" style="8" customWidth="1"/>
    <col min="28" max="16384" width="11.42578125" style="8"/>
  </cols>
  <sheetData>
    <row r="1" spans="1:28" ht="18" customHeight="1">
      <c r="A1" s="1" t="s">
        <v>66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7" t="s">
        <v>2</v>
      </c>
      <c r="Y1" s="6"/>
      <c r="Z1" s="6"/>
      <c r="AA1" s="6"/>
      <c r="AB1" s="3"/>
    </row>
    <row r="2" spans="1:28" ht="18" customHeight="1">
      <c r="A2" s="3"/>
      <c r="B2" s="9" t="s">
        <v>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9" t="s">
        <v>67</v>
      </c>
      <c r="W2" s="3"/>
      <c r="X2" s="3"/>
      <c r="Y2" s="3"/>
      <c r="Z2" s="3"/>
      <c r="AA2" s="3"/>
      <c r="AB2" s="3"/>
    </row>
    <row r="3" spans="1:28" ht="18" customHeight="1">
      <c r="A3" s="3"/>
      <c r="B3" s="9" t="s">
        <v>68</v>
      </c>
      <c r="C3" s="3"/>
      <c r="D3" s="155"/>
      <c r="E3" s="156"/>
      <c r="F3" s="155"/>
      <c r="G3" s="4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9" t="s">
        <v>69</v>
      </c>
      <c r="W3" s="3"/>
      <c r="X3" s="157"/>
      <c r="Y3" s="6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10"/>
      <c r="W4" s="3"/>
      <c r="X4" s="3"/>
      <c r="Y4" s="3"/>
      <c r="Z4" s="3"/>
      <c r="AA4" s="3"/>
      <c r="AB4" s="3"/>
    </row>
    <row r="5" spans="1:28" ht="18" customHeight="1" thickTop="1" thickBot="1">
      <c r="A5" s="11" t="s">
        <v>8</v>
      </c>
      <c r="B5" s="12"/>
      <c r="C5" s="13" t="s">
        <v>9</v>
      </c>
      <c r="D5" s="14"/>
      <c r="E5" s="15"/>
      <c r="F5" s="14"/>
      <c r="G5" s="14"/>
      <c r="H5" s="16"/>
      <c r="I5" s="17" t="s">
        <v>10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3"/>
      <c r="Y5" s="18"/>
      <c r="Z5" s="15"/>
      <c r="AA5" s="19"/>
      <c r="AB5" s="3"/>
    </row>
    <row r="6" spans="1:28" ht="18" customHeight="1">
      <c r="A6" s="20"/>
      <c r="B6" s="21" t="s">
        <v>11</v>
      </c>
      <c r="C6" s="22" t="s">
        <v>12</v>
      </c>
      <c r="D6" s="23" t="s">
        <v>13</v>
      </c>
      <c r="E6" s="22" t="s">
        <v>13</v>
      </c>
      <c r="F6" s="24" t="s">
        <v>14</v>
      </c>
      <c r="G6" s="24" t="s">
        <v>15</v>
      </c>
      <c r="H6" s="24" t="s">
        <v>16</v>
      </c>
      <c r="I6" s="25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8"/>
      <c r="W6" s="29"/>
      <c r="X6" s="30"/>
      <c r="Y6" s="31"/>
      <c r="Z6" s="32" t="s">
        <v>17</v>
      </c>
      <c r="AA6" s="33" t="s">
        <v>18</v>
      </c>
      <c r="AB6" s="3"/>
    </row>
    <row r="7" spans="1:28" ht="18" customHeight="1" thickBot="1">
      <c r="A7" s="34"/>
      <c r="B7" s="35" t="s">
        <v>19</v>
      </c>
      <c r="C7" s="36" t="s">
        <v>20</v>
      </c>
      <c r="D7" s="23" t="s">
        <v>21</v>
      </c>
      <c r="E7" s="24" t="s">
        <v>21</v>
      </c>
      <c r="F7" s="24" t="s">
        <v>22</v>
      </c>
      <c r="G7" s="24" t="s">
        <v>23</v>
      </c>
      <c r="H7" s="24" t="s">
        <v>24</v>
      </c>
      <c r="I7" s="37" t="s">
        <v>25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8"/>
      <c r="W7" s="39"/>
      <c r="X7" s="40" t="s">
        <v>26</v>
      </c>
      <c r="Y7" s="41"/>
      <c r="Z7" s="42" t="s">
        <v>27</v>
      </c>
      <c r="AA7" s="43" t="s">
        <v>28</v>
      </c>
      <c r="AB7" s="3"/>
    </row>
    <row r="8" spans="1:28" ht="18" customHeight="1" thickBot="1">
      <c r="A8" s="44"/>
      <c r="B8" s="45" t="s">
        <v>29</v>
      </c>
      <c r="C8" s="46" t="s">
        <v>30</v>
      </c>
      <c r="D8" s="46" t="s">
        <v>31</v>
      </c>
      <c r="E8" s="47" t="s">
        <v>32</v>
      </c>
      <c r="F8" s="47" t="s">
        <v>32</v>
      </c>
      <c r="G8" s="46" t="s">
        <v>32</v>
      </c>
      <c r="H8" s="24" t="s">
        <v>33</v>
      </c>
      <c r="I8" s="48" t="s">
        <v>34</v>
      </c>
      <c r="J8" s="49" t="s">
        <v>35</v>
      </c>
      <c r="K8" s="49" t="s">
        <v>36</v>
      </c>
      <c r="L8" s="49" t="s">
        <v>37</v>
      </c>
      <c r="M8" s="49" t="s">
        <v>38</v>
      </c>
      <c r="N8" s="49" t="s">
        <v>39</v>
      </c>
      <c r="O8" s="50" t="s">
        <v>40</v>
      </c>
      <c r="P8" s="49" t="s">
        <v>41</v>
      </c>
      <c r="Q8" s="49" t="s">
        <v>42</v>
      </c>
      <c r="R8" s="49" t="s">
        <v>43</v>
      </c>
      <c r="S8" s="49" t="s">
        <v>44</v>
      </c>
      <c r="T8" s="49" t="s">
        <v>45</v>
      </c>
      <c r="U8" s="49" t="s">
        <v>46</v>
      </c>
      <c r="V8" s="51" t="s">
        <v>47</v>
      </c>
      <c r="W8" s="54" t="s">
        <v>48</v>
      </c>
      <c r="X8" s="117" t="s">
        <v>49</v>
      </c>
      <c r="Y8" s="53" t="s">
        <v>50</v>
      </c>
      <c r="Z8" s="54" t="s">
        <v>50</v>
      </c>
      <c r="AA8" s="55" t="s">
        <v>50</v>
      </c>
      <c r="AB8" s="3"/>
    </row>
    <row r="9" spans="1:28" ht="18" customHeight="1">
      <c r="A9" s="118">
        <v>1</v>
      </c>
      <c r="B9" s="57">
        <v>28.7</v>
      </c>
      <c r="C9" s="75">
        <f>'[1]cálculos teóricos'!K94</f>
        <v>1.0048128866011701</v>
      </c>
      <c r="D9" s="59">
        <f>IF(B9&gt;0,B9*C9*14.25*1.022,-999)</f>
        <v>419.9841040042632</v>
      </c>
      <c r="E9" s="60">
        <f>IF(B9&gt;0,D9*4.1868/100,-999)</f>
        <v>17.583894466450491</v>
      </c>
      <c r="F9" s="61">
        <f>IF(B9&gt;0,(7.86+1.25*D9)*4.1868/100,-999)</f>
        <v>22.308950563063114</v>
      </c>
      <c r="G9" s="62">
        <f>'[1]cálculos teóricos'!T94</f>
        <v>32.65441761437198</v>
      </c>
      <c r="H9" s="63">
        <f>IF(B9&gt;0,100*F9/G9,-999)</f>
        <v>68.318323194483852</v>
      </c>
      <c r="I9" s="64"/>
      <c r="J9" s="64"/>
      <c r="K9" s="64">
        <v>0.1</v>
      </c>
      <c r="L9" s="64">
        <v>1</v>
      </c>
      <c r="M9" s="64">
        <v>1</v>
      </c>
      <c r="N9" s="158">
        <v>1</v>
      </c>
      <c r="O9" s="65">
        <v>1</v>
      </c>
      <c r="P9" s="64">
        <v>1</v>
      </c>
      <c r="Q9" s="64">
        <v>1</v>
      </c>
      <c r="R9" s="64">
        <v>1</v>
      </c>
      <c r="S9" s="64">
        <v>1</v>
      </c>
      <c r="T9" s="64">
        <v>0.7</v>
      </c>
      <c r="U9" s="64">
        <v>0.1</v>
      </c>
      <c r="V9" s="65"/>
      <c r="W9" s="123">
        <f t="shared" ref="W9:W38" si="0">SUM(I9:O9)</f>
        <v>4.0999999999999996</v>
      </c>
      <c r="X9" s="124">
        <f>SUM(P9:V9)</f>
        <v>4.8</v>
      </c>
      <c r="Y9" s="125">
        <f>W9+X9</f>
        <v>8.8999999999999986</v>
      </c>
      <c r="Z9" s="71">
        <f>'[1]cálculos teóricos'!I94</f>
        <v>11.751770476045246</v>
      </c>
      <c r="AA9" s="72">
        <f>100*Y9/Z9</f>
        <v>75.733269451966549</v>
      </c>
      <c r="AB9" s="3"/>
    </row>
    <row r="10" spans="1:28" ht="18" customHeight="1">
      <c r="A10" s="118">
        <v>2</v>
      </c>
      <c r="B10" s="57">
        <v>16.2</v>
      </c>
      <c r="C10" s="75">
        <f>'[1]cálculos teóricos'!K95</f>
        <v>1.0039166100687127</v>
      </c>
      <c r="D10" s="59">
        <f>IF(B10&gt;0,B10*C10*14.25*1.022,-999)</f>
        <v>236.85274072191828</v>
      </c>
      <c r="E10" s="60">
        <f>IF(B10&gt;0,D10*4.1868/100,-999)</f>
        <v>9.9165505485452741</v>
      </c>
      <c r="F10" s="61">
        <f>IF(B10&gt;0,(7.86+1.25*D10)*4.1868/100,-999)</f>
        <v>12.724770665681595</v>
      </c>
      <c r="G10" s="62">
        <f>'[1]cálculos teóricos'!T95</f>
        <v>32.461485211773081</v>
      </c>
      <c r="H10" s="76">
        <f>IF(B10&gt;0,100*F10/G10,-999)</f>
        <v>39.199594789540299</v>
      </c>
      <c r="I10" s="57"/>
      <c r="J10" s="89">
        <v>0.1</v>
      </c>
      <c r="K10" s="89"/>
      <c r="L10" s="89">
        <v>0.6</v>
      </c>
      <c r="M10" s="89">
        <v>0.4</v>
      </c>
      <c r="N10" s="89"/>
      <c r="O10" s="78"/>
      <c r="P10" s="80">
        <v>0.2</v>
      </c>
      <c r="Q10" s="80">
        <v>0.4</v>
      </c>
      <c r="R10" s="77"/>
      <c r="S10" s="77"/>
      <c r="T10" s="77"/>
      <c r="U10" s="77"/>
      <c r="V10" s="79"/>
      <c r="W10" s="123">
        <f t="shared" si="0"/>
        <v>1.1000000000000001</v>
      </c>
      <c r="X10" s="124">
        <f t="shared" ref="X10:X38" si="1">SUM(P10:V10)</f>
        <v>0.60000000000000009</v>
      </c>
      <c r="Y10" s="70">
        <f t="shared" ref="Y10:Y38" si="2">W10+X10</f>
        <v>1.7000000000000002</v>
      </c>
      <c r="Z10" s="71">
        <f>'[1]cálculos teóricos'!I95</f>
        <v>11.729098336171763</v>
      </c>
      <c r="AA10" s="72">
        <f t="shared" ref="AA10:AA38" si="3">100*Y10/Z10</f>
        <v>14.493867740517723</v>
      </c>
      <c r="AB10" s="3"/>
    </row>
    <row r="11" spans="1:28" ht="18" customHeight="1">
      <c r="A11" s="118">
        <v>3</v>
      </c>
      <c r="B11" s="57">
        <v>27.5</v>
      </c>
      <c r="C11" s="75">
        <f>'[1]cálculos teóricos'!K96</f>
        <v>1.003013826866084</v>
      </c>
      <c r="D11" s="59">
        <f t="shared" ref="D11:D38" si="4">IF(B11&gt;0,B11*C11*14.25*1.022,-999)</f>
        <v>401.7032763580159</v>
      </c>
      <c r="E11" s="60">
        <f t="shared" ref="E11:E38" si="5">IF(B11&gt;0,D11*4.1868/100,-999)</f>
        <v>16.818512774557409</v>
      </c>
      <c r="F11" s="61">
        <f t="shared" ref="F11:F38" si="6">IF(B11&gt;0,(7.86+1.25*D11)*4.1868/100,-999)</f>
        <v>21.352223448196764</v>
      </c>
      <c r="G11" s="62">
        <f>'[1]cálculos teóricos'!T96</f>
        <v>32.268241631734995</v>
      </c>
      <c r="H11" s="76">
        <f t="shared" ref="H11:H38" si="7">IF(B11&gt;0,100*F11/G11,-999)</f>
        <v>66.171016356829924</v>
      </c>
      <c r="I11" s="57"/>
      <c r="J11" s="89">
        <v>0.3</v>
      </c>
      <c r="K11" s="89">
        <v>1</v>
      </c>
      <c r="L11" s="89">
        <v>1</v>
      </c>
      <c r="M11" s="89">
        <v>1</v>
      </c>
      <c r="N11" s="89">
        <v>1</v>
      </c>
      <c r="O11" s="78">
        <v>1</v>
      </c>
      <c r="P11" s="80">
        <v>0.8</v>
      </c>
      <c r="Q11" s="80">
        <v>1</v>
      </c>
      <c r="R11" s="77">
        <v>1</v>
      </c>
      <c r="S11" s="77">
        <v>1</v>
      </c>
      <c r="T11" s="77">
        <v>0.6</v>
      </c>
      <c r="U11" s="77"/>
      <c r="V11" s="79"/>
      <c r="W11" s="123">
        <f t="shared" si="0"/>
        <v>5.3</v>
      </c>
      <c r="X11" s="124">
        <f t="shared" si="1"/>
        <v>4.3999999999999995</v>
      </c>
      <c r="Y11" s="70">
        <f t="shared" si="2"/>
        <v>9.6999999999999993</v>
      </c>
      <c r="Z11" s="71">
        <f>'[1]cálculos teóricos'!I96</f>
        <v>11.706481658147139</v>
      </c>
      <c r="AA11" s="72">
        <f t="shared" si="3"/>
        <v>82.860079426590772</v>
      </c>
      <c r="AB11" s="3"/>
    </row>
    <row r="12" spans="1:28" ht="18" customHeight="1">
      <c r="A12" s="118">
        <v>4</v>
      </c>
      <c r="B12" s="57">
        <v>26.3</v>
      </c>
      <c r="C12" s="75">
        <f>'[1]cálculos teóricos'!K97</f>
        <v>1.0021048666699626</v>
      </c>
      <c r="D12" s="59">
        <f t="shared" si="4"/>
        <v>383.82625613717244</v>
      </c>
      <c r="E12" s="60">
        <f t="shared" si="5"/>
        <v>16.070037691951136</v>
      </c>
      <c r="F12" s="61">
        <f t="shared" si="6"/>
        <v>20.416629594938922</v>
      </c>
      <c r="G12" s="62">
        <f>'[1]cálculos teóricos'!T97</f>
        <v>32.074756988746543</v>
      </c>
      <c r="H12" s="76">
        <f t="shared" si="7"/>
        <v>63.653263537123962</v>
      </c>
      <c r="I12" s="57"/>
      <c r="J12" s="89"/>
      <c r="K12" s="89">
        <v>0.5</v>
      </c>
      <c r="L12" s="89">
        <v>0.7</v>
      </c>
      <c r="M12" s="89">
        <v>1</v>
      </c>
      <c r="N12" s="89">
        <v>1</v>
      </c>
      <c r="O12" s="78">
        <v>1</v>
      </c>
      <c r="P12" s="80">
        <v>1</v>
      </c>
      <c r="Q12" s="80">
        <v>1</v>
      </c>
      <c r="R12" s="77">
        <v>1</v>
      </c>
      <c r="S12" s="77">
        <v>1</v>
      </c>
      <c r="T12" s="77">
        <v>0.7</v>
      </c>
      <c r="U12" s="77"/>
      <c r="V12" s="79"/>
      <c r="W12" s="123">
        <f t="shared" si="0"/>
        <v>4.2</v>
      </c>
      <c r="X12" s="124">
        <f t="shared" si="1"/>
        <v>4.7</v>
      </c>
      <c r="Y12" s="70">
        <f t="shared" si="2"/>
        <v>8.9</v>
      </c>
      <c r="Z12" s="71">
        <f>'[1]cálculos teóricos'!I97</f>
        <v>11.683923971242983</v>
      </c>
      <c r="AA12" s="72">
        <f t="shared" si="3"/>
        <v>76.173039313719386</v>
      </c>
      <c r="AB12" s="3"/>
    </row>
    <row r="13" spans="1:28" ht="18" customHeight="1">
      <c r="A13" s="73">
        <v>5</v>
      </c>
      <c r="B13" s="57">
        <v>23.7</v>
      </c>
      <c r="C13" s="75">
        <f>'[1]cálculos teóricos'!K98</f>
        <v>1.0011900675054584</v>
      </c>
      <c r="D13" s="59">
        <f t="shared" si="4"/>
        <v>345.56570769034312</v>
      </c>
      <c r="E13" s="60">
        <f t="shared" si="5"/>
        <v>14.468145049579284</v>
      </c>
      <c r="F13" s="61">
        <f t="shared" si="6"/>
        <v>18.414263791974108</v>
      </c>
      <c r="G13" s="62">
        <f>'[1]cálculos teóricos'!T98</f>
        <v>31.881101927204124</v>
      </c>
      <c r="H13" s="76">
        <f t="shared" si="7"/>
        <v>57.759182333221766</v>
      </c>
      <c r="I13" s="57"/>
      <c r="J13" s="89"/>
      <c r="K13" s="89"/>
      <c r="L13" s="89">
        <v>0.1</v>
      </c>
      <c r="M13" s="89">
        <v>0.8</v>
      </c>
      <c r="N13" s="89">
        <v>0.9</v>
      </c>
      <c r="O13" s="78">
        <v>1</v>
      </c>
      <c r="P13" s="80">
        <v>1</v>
      </c>
      <c r="Q13" s="80">
        <v>0.9</v>
      </c>
      <c r="R13" s="77">
        <v>0.5</v>
      </c>
      <c r="S13" s="77">
        <v>0.2</v>
      </c>
      <c r="T13" s="77">
        <v>0.8</v>
      </c>
      <c r="U13" s="77"/>
      <c r="V13" s="79"/>
      <c r="W13" s="123">
        <f t="shared" si="0"/>
        <v>2.8</v>
      </c>
      <c r="X13" s="124">
        <f t="shared" si="1"/>
        <v>3.4000000000000004</v>
      </c>
      <c r="Y13" s="70">
        <f t="shared" si="2"/>
        <v>6.2</v>
      </c>
      <c r="Z13" s="71">
        <f>'[1]cálculos teóricos'!I98</f>
        <v>11.661428856560702</v>
      </c>
      <c r="AA13" s="72">
        <f t="shared" si="3"/>
        <v>53.166726618684379</v>
      </c>
      <c r="AB13" s="3"/>
    </row>
    <row r="14" spans="1:28" ht="18" customHeight="1">
      <c r="A14" s="73">
        <v>6</v>
      </c>
      <c r="B14" s="57">
        <v>22</v>
      </c>
      <c r="C14" s="75">
        <f>'[1]cálculos teóricos'!K99</f>
        <v>1.0002697756735133</v>
      </c>
      <c r="D14" s="59">
        <f t="shared" si="4"/>
        <v>320.48343531646668</v>
      </c>
      <c r="E14" s="60">
        <f t="shared" si="5"/>
        <v>13.418000469829826</v>
      </c>
      <c r="F14" s="61">
        <f t="shared" si="6"/>
        <v>17.101583067287283</v>
      </c>
      <c r="G14" s="62">
        <f>'[1]cálculos teóricos'!T99</f>
        <v>31.687347591169619</v>
      </c>
      <c r="H14" s="76">
        <f t="shared" si="7"/>
        <v>53.969752495324087</v>
      </c>
      <c r="I14" s="57"/>
      <c r="J14" s="89">
        <v>0.3</v>
      </c>
      <c r="K14" s="89">
        <v>0.9</v>
      </c>
      <c r="L14" s="89">
        <v>0.8</v>
      </c>
      <c r="M14" s="89">
        <v>1</v>
      </c>
      <c r="N14" s="89">
        <v>0.9</v>
      </c>
      <c r="O14" s="78">
        <v>0.8</v>
      </c>
      <c r="P14" s="80">
        <v>0.3</v>
      </c>
      <c r="Q14" s="80">
        <v>0.5</v>
      </c>
      <c r="R14" s="77">
        <v>0.9</v>
      </c>
      <c r="S14" s="77">
        <v>0.9</v>
      </c>
      <c r="T14" s="77"/>
      <c r="U14" s="77"/>
      <c r="V14" s="79"/>
      <c r="W14" s="123">
        <f t="shared" si="0"/>
        <v>4.7</v>
      </c>
      <c r="X14" s="124">
        <f t="shared" si="1"/>
        <v>2.6</v>
      </c>
      <c r="Y14" s="70">
        <f t="shared" si="2"/>
        <v>7.3000000000000007</v>
      </c>
      <c r="Z14" s="71">
        <f>'[1]cálculos teóricos'!I99</f>
        <v>11.638999952514853</v>
      </c>
      <c r="AA14" s="72">
        <f t="shared" si="3"/>
        <v>62.720165218513309</v>
      </c>
      <c r="AB14" s="3"/>
    </row>
    <row r="15" spans="1:28" ht="18" customHeight="1">
      <c r="A15" s="73">
        <v>7</v>
      </c>
      <c r="B15" s="57">
        <v>8.6999999999999993</v>
      </c>
      <c r="C15" s="75">
        <f>'[1]cálculos teóricos'!K100</f>
        <v>0.99934434567381758</v>
      </c>
      <c r="D15" s="59">
        <f t="shared" si="4"/>
        <v>126.6193769905196</v>
      </c>
      <c r="E15" s="60">
        <f t="shared" si="5"/>
        <v>5.301300075839074</v>
      </c>
      <c r="F15" s="61">
        <f t="shared" si="6"/>
        <v>6.9557075747988435</v>
      </c>
      <c r="G15" s="62">
        <f>'[1]cálculos teóricos'!T100</f>
        <v>31.493565594061103</v>
      </c>
      <c r="H15" s="76">
        <f t="shared" si="7"/>
        <v>22.086122811418075</v>
      </c>
      <c r="I15" s="57"/>
      <c r="J15" s="89"/>
      <c r="K15" s="89"/>
      <c r="L15" s="89"/>
      <c r="M15" s="89"/>
      <c r="N15" s="89"/>
      <c r="O15" s="78"/>
      <c r="P15" s="80"/>
      <c r="Q15" s="80"/>
      <c r="R15" s="77"/>
      <c r="S15" s="77"/>
      <c r="T15" s="77"/>
      <c r="U15" s="77"/>
      <c r="V15" s="79"/>
      <c r="W15" s="123">
        <f t="shared" si="0"/>
        <v>0</v>
      </c>
      <c r="X15" s="124">
        <f t="shared" si="1"/>
        <v>0</v>
      </c>
      <c r="Y15" s="70">
        <f t="shared" si="2"/>
        <v>0</v>
      </c>
      <c r="Z15" s="71">
        <f>'[1]cálculos teóricos'!I100</f>
        <v>11.616640960189132</v>
      </c>
      <c r="AA15" s="72">
        <f t="shared" si="3"/>
        <v>0</v>
      </c>
      <c r="AB15" s="3"/>
    </row>
    <row r="16" spans="1:28" ht="18" customHeight="1">
      <c r="A16" s="81">
        <v>8</v>
      </c>
      <c r="B16" s="77">
        <v>11.2</v>
      </c>
      <c r="C16" s="75">
        <f>'[1]cálculos teóricos'!K101</f>
        <v>0.99841414012270413</v>
      </c>
      <c r="D16" s="59">
        <f t="shared" si="4"/>
        <v>162.85252849238242</v>
      </c>
      <c r="E16" s="60">
        <f t="shared" si="5"/>
        <v>6.8183096629190665</v>
      </c>
      <c r="F16" s="61">
        <f t="shared" si="6"/>
        <v>8.8519695586488325</v>
      </c>
      <c r="G16" s="62">
        <f>'[1]cálculos teóricos'!T101</f>
        <v>31.299827988232465</v>
      </c>
      <c r="H16" s="76">
        <f t="shared" si="7"/>
        <v>28.281208324776841</v>
      </c>
      <c r="I16" s="80"/>
      <c r="J16" s="88"/>
      <c r="K16" s="88"/>
      <c r="L16" s="88">
        <v>0.2</v>
      </c>
      <c r="M16" s="88"/>
      <c r="N16" s="89"/>
      <c r="O16" s="79"/>
      <c r="P16" s="89"/>
      <c r="Q16" s="89"/>
      <c r="R16" s="88"/>
      <c r="S16" s="88"/>
      <c r="T16" s="88"/>
      <c r="U16" s="88"/>
      <c r="V16" s="79"/>
      <c r="W16" s="123">
        <f t="shared" si="0"/>
        <v>0.2</v>
      </c>
      <c r="X16" s="124">
        <f t="shared" si="1"/>
        <v>0</v>
      </c>
      <c r="Y16" s="70">
        <f t="shared" si="2"/>
        <v>0.2</v>
      </c>
      <c r="Z16" s="71">
        <f>'[1]cálculos teóricos'!I101</f>
        <v>11.594355648555021</v>
      </c>
      <c r="AA16" s="72">
        <f t="shared" si="3"/>
        <v>1.7249772739628317</v>
      </c>
      <c r="AB16" s="3"/>
    </row>
    <row r="17" spans="1:28" ht="18" customHeight="1">
      <c r="A17" s="81">
        <v>9</v>
      </c>
      <c r="B17" s="77">
        <v>17.100000000000001</v>
      </c>
      <c r="C17" s="75">
        <f>'[1]cálculos teóricos'!K102</f>
        <v>0.99747952966548015</v>
      </c>
      <c r="D17" s="59">
        <f t="shared" si="4"/>
        <v>248.40816252784307</v>
      </c>
      <c r="E17" s="60">
        <f t="shared" si="5"/>
        <v>10.400352948715733</v>
      </c>
      <c r="F17" s="61">
        <f t="shared" si="6"/>
        <v>13.329523665894667</v>
      </c>
      <c r="G17" s="62">
        <f>'[1]cálculos teóricos'!T102</f>
        <v>31.106207234397623</v>
      </c>
      <c r="H17" s="76">
        <f t="shared" si="7"/>
        <v>42.851651972390634</v>
      </c>
      <c r="I17" s="80"/>
      <c r="J17" s="88"/>
      <c r="K17" s="88">
        <v>0.2</v>
      </c>
      <c r="L17" s="88">
        <v>0.2</v>
      </c>
      <c r="M17" s="88">
        <v>0.2</v>
      </c>
      <c r="N17" s="89">
        <v>0.6</v>
      </c>
      <c r="O17" s="79">
        <v>0.4</v>
      </c>
      <c r="P17" s="89">
        <v>0.2</v>
      </c>
      <c r="Q17" s="89"/>
      <c r="R17" s="88"/>
      <c r="S17" s="88"/>
      <c r="T17" s="88"/>
      <c r="U17" s="88"/>
      <c r="V17" s="79"/>
      <c r="W17" s="123">
        <f t="shared" si="0"/>
        <v>1.6</v>
      </c>
      <c r="X17" s="124">
        <f t="shared" si="1"/>
        <v>0.2</v>
      </c>
      <c r="Y17" s="70">
        <f t="shared" si="2"/>
        <v>1.8</v>
      </c>
      <c r="Z17" s="71">
        <f>'[1]cálculos teóricos'!I102</f>
        <v>11.5721478595426</v>
      </c>
      <c r="AA17" s="72">
        <f t="shared" si="3"/>
        <v>15.554588671416671</v>
      </c>
      <c r="AB17" s="3"/>
    </row>
    <row r="18" spans="1:28" ht="18" customHeight="1">
      <c r="A18" s="81">
        <v>10</v>
      </c>
      <c r="B18" s="77">
        <v>30.2</v>
      </c>
      <c r="C18" s="75">
        <f>'[1]cálculos teóricos'!K103</f>
        <v>0.99654089288262615</v>
      </c>
      <c r="D18" s="59">
        <f t="shared" si="4"/>
        <v>438.29632346358295</v>
      </c>
      <c r="E18" s="60">
        <f t="shared" si="5"/>
        <v>18.350590470773291</v>
      </c>
      <c r="F18" s="61">
        <f t="shared" si="6"/>
        <v>23.267320568466612</v>
      </c>
      <c r="G18" s="62">
        <f>'[1]cálculos teóricos'!T103</f>
        <v>30.912776170854091</v>
      </c>
      <c r="H18" s="76">
        <f t="shared" si="7"/>
        <v>75.267651277480709</v>
      </c>
      <c r="I18" s="80"/>
      <c r="J18" s="88">
        <v>0.5</v>
      </c>
      <c r="K18" s="88">
        <v>1</v>
      </c>
      <c r="L18" s="88">
        <v>1</v>
      </c>
      <c r="M18" s="88">
        <v>1</v>
      </c>
      <c r="N18" s="89">
        <v>1</v>
      </c>
      <c r="O18" s="78">
        <v>1</v>
      </c>
      <c r="P18" s="89">
        <v>1</v>
      </c>
      <c r="Q18" s="89">
        <v>1</v>
      </c>
      <c r="R18" s="88">
        <v>1</v>
      </c>
      <c r="S18" s="88">
        <v>1</v>
      </c>
      <c r="T18" s="88">
        <v>1</v>
      </c>
      <c r="U18" s="88">
        <v>0.1</v>
      </c>
      <c r="V18" s="79"/>
      <c r="W18" s="123">
        <f t="shared" si="0"/>
        <v>5.5</v>
      </c>
      <c r="X18" s="124">
        <f t="shared" si="1"/>
        <v>5.0999999999999996</v>
      </c>
      <c r="Y18" s="70">
        <f t="shared" si="2"/>
        <v>10.6</v>
      </c>
      <c r="Z18" s="71">
        <f>'[1]cálculos teóricos'!I103</f>
        <v>11.55002151295256</v>
      </c>
      <c r="AA18" s="72">
        <f t="shared" si="3"/>
        <v>91.774720835912078</v>
      </c>
      <c r="AB18" s="3"/>
    </row>
    <row r="19" spans="1:28" ht="18" customHeight="1">
      <c r="A19" s="81">
        <v>11</v>
      </c>
      <c r="B19" s="77">
        <v>23.3</v>
      </c>
      <c r="C19" s="75">
        <f>'[1]cálculos teóricos'!K104</f>
        <v>0.99559861618928736</v>
      </c>
      <c r="D19" s="59">
        <f t="shared" si="4"/>
        <v>337.8360304121336</v>
      </c>
      <c r="E19" s="60">
        <f t="shared" si="5"/>
        <v>14.144518921295209</v>
      </c>
      <c r="F19" s="61">
        <f t="shared" si="6"/>
        <v>18.009731131619013</v>
      </c>
      <c r="G19" s="62">
        <f>'[1]cálculos teóricos'!T104</f>
        <v>30.719607982460538</v>
      </c>
      <c r="H19" s="76">
        <f t="shared" si="7"/>
        <v>58.626174988631782</v>
      </c>
      <c r="I19" s="80"/>
      <c r="J19" s="88"/>
      <c r="K19" s="88">
        <v>0.3</v>
      </c>
      <c r="L19" s="88">
        <v>0.7</v>
      </c>
      <c r="M19" s="88">
        <v>0.6</v>
      </c>
      <c r="N19" s="88">
        <v>1</v>
      </c>
      <c r="O19" s="79">
        <v>1</v>
      </c>
      <c r="P19" s="89">
        <v>1</v>
      </c>
      <c r="Q19" s="89">
        <v>1</v>
      </c>
      <c r="R19" s="88">
        <v>0.8</v>
      </c>
      <c r="S19" s="88">
        <v>1</v>
      </c>
      <c r="T19" s="88">
        <v>0.6</v>
      </c>
      <c r="U19" s="88"/>
      <c r="V19" s="79"/>
      <c r="W19" s="123">
        <f t="shared" si="0"/>
        <v>3.6</v>
      </c>
      <c r="X19" s="124">
        <f t="shared" si="1"/>
        <v>4.3999999999999995</v>
      </c>
      <c r="Y19" s="70">
        <f t="shared" si="2"/>
        <v>8</v>
      </c>
      <c r="Z19" s="71">
        <f>'[1]cálculos teóricos'!I104</f>
        <v>11.527980611198263</v>
      </c>
      <c r="AA19" s="72">
        <f t="shared" si="3"/>
        <v>69.396369319261453</v>
      </c>
      <c r="AB19" s="3"/>
    </row>
    <row r="20" spans="1:28" ht="18" customHeight="1">
      <c r="A20" s="81">
        <v>12</v>
      </c>
      <c r="B20" s="77">
        <v>22.5</v>
      </c>
      <c r="C20" s="75">
        <f>'[1]cálculos teóricos'!K105</f>
        <v>0.99465309372746913</v>
      </c>
      <c r="D20" s="59">
        <f t="shared" si="4"/>
        <v>325.92668243624996</v>
      </c>
      <c r="E20" s="60">
        <f t="shared" si="5"/>
        <v>13.645898340240912</v>
      </c>
      <c r="F20" s="61">
        <f t="shared" si="6"/>
        <v>17.386455405301138</v>
      </c>
      <c r="G20" s="62">
        <f>'[1]cálculos teóricos'!T105</f>
        <v>30.526776169323703</v>
      </c>
      <c r="H20" s="76">
        <f t="shared" si="7"/>
        <v>56.954770817800117</v>
      </c>
      <c r="I20" s="80"/>
      <c r="J20" s="88"/>
      <c r="K20" s="88">
        <v>0.5</v>
      </c>
      <c r="L20" s="88">
        <v>1</v>
      </c>
      <c r="M20" s="88">
        <v>1</v>
      </c>
      <c r="N20" s="88">
        <v>1</v>
      </c>
      <c r="O20" s="79">
        <v>1</v>
      </c>
      <c r="P20" s="89">
        <v>1</v>
      </c>
      <c r="Q20" s="89">
        <v>1</v>
      </c>
      <c r="R20" s="88">
        <v>0.9</v>
      </c>
      <c r="S20" s="88">
        <v>0.6</v>
      </c>
      <c r="T20" s="88">
        <v>0.3</v>
      </c>
      <c r="U20" s="88"/>
      <c r="V20" s="79"/>
      <c r="W20" s="123">
        <f t="shared" si="0"/>
        <v>4.5</v>
      </c>
      <c r="X20" s="124">
        <f t="shared" si="1"/>
        <v>3.8</v>
      </c>
      <c r="Y20" s="70">
        <f t="shared" si="2"/>
        <v>8.3000000000000007</v>
      </c>
      <c r="Z20" s="71">
        <f>'[1]cálculos teóricos'!I105</f>
        <v>11.506029243866161</v>
      </c>
      <c r="AA20" s="72">
        <f t="shared" si="3"/>
        <v>72.136093382734217</v>
      </c>
      <c r="AB20" s="3"/>
    </row>
    <row r="21" spans="1:28" ht="18" customHeight="1">
      <c r="A21" s="81">
        <v>13</v>
      </c>
      <c r="B21" s="77">
        <v>25.7</v>
      </c>
      <c r="C21" s="75">
        <f>'[1]cálculos teóricos'!K106</f>
        <v>0.9937047272503452</v>
      </c>
      <c r="D21" s="59">
        <f t="shared" si="4"/>
        <v>371.92574303947731</v>
      </c>
      <c r="E21" s="60">
        <f t="shared" si="5"/>
        <v>15.571787009576836</v>
      </c>
      <c r="F21" s="61">
        <f t="shared" si="6"/>
        <v>19.793816241971044</v>
      </c>
      <c r="G21" s="62">
        <f>'[1]cálculos teóricos'!T106</f>
        <v>30.334354515150523</v>
      </c>
      <c r="H21" s="76">
        <f t="shared" si="7"/>
        <v>65.25214252403164</v>
      </c>
      <c r="I21" s="80"/>
      <c r="J21" s="88">
        <v>0.1</v>
      </c>
      <c r="K21" s="88">
        <v>0.9</v>
      </c>
      <c r="L21" s="88">
        <v>1</v>
      </c>
      <c r="M21" s="88">
        <v>1</v>
      </c>
      <c r="N21" s="88">
        <v>1</v>
      </c>
      <c r="O21" s="79">
        <v>1</v>
      </c>
      <c r="P21" s="89">
        <v>1</v>
      </c>
      <c r="Q21" s="89">
        <v>1</v>
      </c>
      <c r="R21" s="88">
        <v>1</v>
      </c>
      <c r="S21" s="88">
        <v>0.8</v>
      </c>
      <c r="T21" s="88"/>
      <c r="U21" s="88"/>
      <c r="V21" s="79"/>
      <c r="W21" s="123">
        <f t="shared" si="0"/>
        <v>5</v>
      </c>
      <c r="X21" s="124">
        <f t="shared" si="1"/>
        <v>3.8</v>
      </c>
      <c r="Y21" s="70">
        <f t="shared" si="2"/>
        <v>8.8000000000000007</v>
      </c>
      <c r="Z21" s="71">
        <f>'[1]cálculos teóricos'!I106</f>
        <v>11.484171592082447</v>
      </c>
      <c r="AA21" s="72">
        <f t="shared" si="3"/>
        <v>76.627207539000906</v>
      </c>
      <c r="AB21" s="3"/>
    </row>
    <row r="22" spans="1:28" ht="18" customHeight="1">
      <c r="A22" s="81">
        <v>14</v>
      </c>
      <c r="B22" s="77">
        <v>12.2</v>
      </c>
      <c r="C22" s="75">
        <f>'[1]cálculos teóricos'!K107</f>
        <v>0.99275392599807921</v>
      </c>
      <c r="D22" s="59">
        <f t="shared" si="4"/>
        <v>176.38725597553093</v>
      </c>
      <c r="E22" s="60">
        <f t="shared" si="5"/>
        <v>7.3849816331835294</v>
      </c>
      <c r="F22" s="61">
        <f t="shared" si="6"/>
        <v>9.5603095214794127</v>
      </c>
      <c r="G22" s="62">
        <f>'[1]cálculos teóricos'!T107</f>
        <v>30.142417055223362</v>
      </c>
      <c r="H22" s="76">
        <f t="shared" si="7"/>
        <v>31.71712973105026</v>
      </c>
      <c r="I22" s="80"/>
      <c r="J22" s="88"/>
      <c r="K22" s="88"/>
      <c r="L22" s="88"/>
      <c r="M22" s="88"/>
      <c r="N22" s="88">
        <v>0.4</v>
      </c>
      <c r="O22" s="79">
        <v>0.6</v>
      </c>
      <c r="P22" s="89">
        <v>0.1</v>
      </c>
      <c r="Q22" s="89"/>
      <c r="R22" s="88"/>
      <c r="S22" s="88"/>
      <c r="T22" s="88"/>
      <c r="U22" s="88"/>
      <c r="V22" s="79"/>
      <c r="W22" s="123">
        <f t="shared" si="0"/>
        <v>1</v>
      </c>
      <c r="X22" s="124">
        <f t="shared" si="1"/>
        <v>0.1</v>
      </c>
      <c r="Y22" s="70">
        <f t="shared" si="2"/>
        <v>1.1000000000000001</v>
      </c>
      <c r="Z22" s="71">
        <f>'[1]cálculos teóricos'!I107</f>
        <v>11.462411932673533</v>
      </c>
      <c r="AA22" s="72">
        <f t="shared" si="3"/>
        <v>9.5965840912108309</v>
      </c>
      <c r="AB22" s="3"/>
    </row>
    <row r="23" spans="1:28" ht="18" customHeight="1">
      <c r="A23" s="81">
        <v>15</v>
      </c>
      <c r="B23" s="77">
        <v>14.9</v>
      </c>
      <c r="C23" s="75">
        <f>'[1]cálculos teóricos'!K108</f>
        <v>0.99180110656457066</v>
      </c>
      <c r="D23" s="59">
        <f t="shared" si="4"/>
        <v>215.21702169025156</v>
      </c>
      <c r="E23" s="60">
        <f t="shared" si="5"/>
        <v>9.0107062641274531</v>
      </c>
      <c r="F23" s="61">
        <f t="shared" si="6"/>
        <v>11.592465310159316</v>
      </c>
      <c r="G23" s="62">
        <f>'[1]cálculos teóricos'!T108</f>
        <v>29.951038043957332</v>
      </c>
      <c r="H23" s="76">
        <f t="shared" si="7"/>
        <v>38.704719659952197</v>
      </c>
      <c r="I23" s="80"/>
      <c r="J23" s="88"/>
      <c r="K23" s="88"/>
      <c r="L23" s="88"/>
      <c r="M23" s="88">
        <v>0.3</v>
      </c>
      <c r="N23" s="88"/>
      <c r="O23" s="79">
        <v>0.7</v>
      </c>
      <c r="P23" s="89">
        <v>0.4</v>
      </c>
      <c r="Q23" s="89">
        <v>0.4</v>
      </c>
      <c r="R23" s="88"/>
      <c r="S23" s="88">
        <v>0.4</v>
      </c>
      <c r="T23" s="88">
        <v>0.1</v>
      </c>
      <c r="U23" s="88"/>
      <c r="V23" s="79"/>
      <c r="W23" s="123">
        <f t="shared" si="0"/>
        <v>1</v>
      </c>
      <c r="X23" s="124">
        <f t="shared" si="1"/>
        <v>1.3000000000000003</v>
      </c>
      <c r="Y23" s="70">
        <f t="shared" si="2"/>
        <v>2.3000000000000003</v>
      </c>
      <c r="Z23" s="71">
        <f>'[1]cálculos teóricos'!I108</f>
        <v>11.440754642107416</v>
      </c>
      <c r="AA23" s="72">
        <f t="shared" si="3"/>
        <v>20.103568968561802</v>
      </c>
      <c r="AB23" s="3"/>
    </row>
    <row r="24" spans="1:28" ht="18" customHeight="1">
      <c r="A24" s="81">
        <v>16</v>
      </c>
      <c r="B24" s="77">
        <v>25.4</v>
      </c>
      <c r="C24" s="75">
        <f>'[1]cálculos teóricos'!K109</f>
        <v>0.99084669275453241</v>
      </c>
      <c r="D24" s="59">
        <f t="shared" si="4"/>
        <v>366.52697357223803</v>
      </c>
      <c r="E24" s="60">
        <f t="shared" si="5"/>
        <v>15.345751329522461</v>
      </c>
      <c r="F24" s="61">
        <f t="shared" si="6"/>
        <v>19.511271641903079</v>
      </c>
      <c r="G24" s="62">
        <f>'[1]cálculos teóricos'!T109</f>
        <v>29.760291922001649</v>
      </c>
      <c r="H24" s="76">
        <f t="shared" si="7"/>
        <v>65.561425583592765</v>
      </c>
      <c r="I24" s="82"/>
      <c r="J24" s="88">
        <v>0.4</v>
      </c>
      <c r="K24" s="88">
        <v>1</v>
      </c>
      <c r="L24" s="88">
        <v>1</v>
      </c>
      <c r="M24" s="88">
        <v>1</v>
      </c>
      <c r="N24" s="88">
        <v>1</v>
      </c>
      <c r="O24" s="79">
        <v>1</v>
      </c>
      <c r="P24" s="89">
        <v>1</v>
      </c>
      <c r="Q24" s="89">
        <v>1</v>
      </c>
      <c r="R24" s="88">
        <v>1</v>
      </c>
      <c r="S24" s="88">
        <v>1</v>
      </c>
      <c r="T24" s="88">
        <v>1</v>
      </c>
      <c r="U24" s="159"/>
      <c r="V24" s="160"/>
      <c r="W24" s="123">
        <f t="shared" si="0"/>
        <v>5.4</v>
      </c>
      <c r="X24" s="124">
        <f t="shared" si="1"/>
        <v>5</v>
      </c>
      <c r="Y24" s="70">
        <f t="shared" si="2"/>
        <v>10.4</v>
      </c>
      <c r="Z24" s="71">
        <f>'[1]cálculos teóricos'!I109</f>
        <v>11.419204200202659</v>
      </c>
      <c r="AA24" s="72">
        <f t="shared" si="3"/>
        <v>91.074647739598433</v>
      </c>
      <c r="AB24" s="3"/>
    </row>
    <row r="25" spans="1:28" ht="18" customHeight="1">
      <c r="A25" s="92">
        <v>17</v>
      </c>
      <c r="B25" s="77">
        <v>19.600000000000001</v>
      </c>
      <c r="C25" s="75">
        <f>'[1]cálculos teóricos'!K110</f>
        <v>0.9898911154303186</v>
      </c>
      <c r="D25" s="59">
        <f t="shared" si="4"/>
        <v>282.55907348756114</v>
      </c>
      <c r="E25" s="60">
        <f t="shared" si="5"/>
        <v>11.83018328877721</v>
      </c>
      <c r="F25" s="61">
        <f t="shared" si="6"/>
        <v>15.116811590971514</v>
      </c>
      <c r="G25" s="62">
        <f>'[1]cálculos teóricos'!T110</f>
        <v>29.570253282849443</v>
      </c>
      <c r="H25" s="76">
        <f t="shared" si="7"/>
        <v>51.121684506297981</v>
      </c>
      <c r="I25" s="80"/>
      <c r="J25" s="88">
        <v>0.2</v>
      </c>
      <c r="K25" s="88">
        <v>0.7</v>
      </c>
      <c r="L25" s="88">
        <v>1</v>
      </c>
      <c r="M25" s="88">
        <v>0.7</v>
      </c>
      <c r="N25" s="88">
        <v>0.9</v>
      </c>
      <c r="O25" s="79">
        <v>1</v>
      </c>
      <c r="P25" s="89">
        <v>1</v>
      </c>
      <c r="Q25" s="89">
        <v>0.3</v>
      </c>
      <c r="R25" s="88">
        <v>0.1</v>
      </c>
      <c r="S25" s="88">
        <v>0.1</v>
      </c>
      <c r="T25" s="88"/>
      <c r="U25" s="88"/>
      <c r="V25" s="79"/>
      <c r="W25" s="123">
        <f t="shared" si="0"/>
        <v>4.5</v>
      </c>
      <c r="X25" s="124">
        <f t="shared" si="1"/>
        <v>1.5000000000000002</v>
      </c>
      <c r="Y25" s="70">
        <f t="shared" si="2"/>
        <v>6</v>
      </c>
      <c r="Z25" s="71">
        <f>'[1]cálculos teóricos'!I110</f>
        <v>11.397765193591368</v>
      </c>
      <c r="AA25" s="72">
        <f t="shared" si="3"/>
        <v>52.641898636178482</v>
      </c>
      <c r="AB25" s="3"/>
    </row>
    <row r="26" spans="1:28" ht="18" customHeight="1">
      <c r="A26" s="92">
        <v>18</v>
      </c>
      <c r="B26" s="77">
        <v>10.7</v>
      </c>
      <c r="C26" s="75">
        <f>'[1]cálculos teóricos'!K111</f>
        <v>0.98893481234793812</v>
      </c>
      <c r="D26" s="59">
        <f t="shared" si="4"/>
        <v>154.10516789403241</v>
      </c>
      <c r="E26" s="60">
        <f t="shared" si="5"/>
        <v>6.4520751693873493</v>
      </c>
      <c r="F26" s="61">
        <f t="shared" si="6"/>
        <v>8.3941764417341869</v>
      </c>
      <c r="G26" s="62">
        <f>'[1]cálculos teóricos'!T111</f>
        <v>29.380996838923444</v>
      </c>
      <c r="H26" s="76">
        <f t="shared" si="7"/>
        <v>28.570087283811027</v>
      </c>
      <c r="I26" s="80"/>
      <c r="J26" s="88"/>
      <c r="K26" s="88"/>
      <c r="L26" s="88"/>
      <c r="M26" s="88">
        <v>0.1</v>
      </c>
      <c r="N26" s="88">
        <v>0.4</v>
      </c>
      <c r="O26" s="79">
        <v>0.8</v>
      </c>
      <c r="P26" s="89">
        <v>0.4</v>
      </c>
      <c r="Q26" s="89"/>
      <c r="R26" s="88"/>
      <c r="S26" s="88"/>
      <c r="T26" s="88"/>
      <c r="U26" s="88"/>
      <c r="V26" s="79"/>
      <c r="W26" s="123">
        <f t="shared" si="0"/>
        <v>1.3</v>
      </c>
      <c r="X26" s="124">
        <f t="shared" si="1"/>
        <v>0.4</v>
      </c>
      <c r="Y26" s="70">
        <f t="shared" si="2"/>
        <v>1.7000000000000002</v>
      </c>
      <c r="Z26" s="71">
        <f>'[1]cálculos teóricos'!I111</f>
        <v>11.376442318922143</v>
      </c>
      <c r="AA26" s="72">
        <f t="shared" si="3"/>
        <v>14.94316019316895</v>
      </c>
      <c r="AB26" s="3"/>
    </row>
    <row r="27" spans="1:28" ht="18" customHeight="1">
      <c r="A27" s="92">
        <v>19</v>
      </c>
      <c r="B27" s="77">
        <v>26</v>
      </c>
      <c r="C27" s="75">
        <f>'[1]cálculos teóricos'!K112</f>
        <v>0.9879782279816971</v>
      </c>
      <c r="D27" s="59">
        <f t="shared" si="4"/>
        <v>374.09894400349759</v>
      </c>
      <c r="E27" s="60">
        <f t="shared" si="5"/>
        <v>15.662774587538436</v>
      </c>
      <c r="F27" s="61">
        <f t="shared" si="6"/>
        <v>19.907550714423046</v>
      </c>
      <c r="G27" s="62">
        <f>'[1]cálculos teóricos'!T112</f>
        <v>29.192597387108517</v>
      </c>
      <c r="H27" s="76">
        <f t="shared" si="7"/>
        <v>68.193831643135127</v>
      </c>
      <c r="I27" s="80"/>
      <c r="J27" s="88"/>
      <c r="K27" s="88">
        <v>1</v>
      </c>
      <c r="L27" s="88">
        <v>1</v>
      </c>
      <c r="M27" s="88">
        <v>1</v>
      </c>
      <c r="N27" s="88">
        <v>1</v>
      </c>
      <c r="O27" s="79">
        <v>1</v>
      </c>
      <c r="P27" s="89">
        <v>1</v>
      </c>
      <c r="Q27" s="89">
        <v>1</v>
      </c>
      <c r="R27" s="88">
        <v>0.9</v>
      </c>
      <c r="S27" s="88">
        <v>0.8</v>
      </c>
      <c r="T27" s="88">
        <v>1</v>
      </c>
      <c r="U27" s="88">
        <v>0.3</v>
      </c>
      <c r="V27" s="79"/>
      <c r="W27" s="123">
        <f t="shared" si="0"/>
        <v>5</v>
      </c>
      <c r="X27" s="124">
        <f t="shared" si="1"/>
        <v>5</v>
      </c>
      <c r="Y27" s="70">
        <f t="shared" si="2"/>
        <v>10</v>
      </c>
      <c r="Z27" s="71">
        <f>'[1]cálculos teóricos'!I112</f>
        <v>11.355240385788584</v>
      </c>
      <c r="AA27" s="72">
        <f t="shared" si="3"/>
        <v>88.065066526599409</v>
      </c>
      <c r="AB27" s="3"/>
    </row>
    <row r="28" spans="1:28" ht="18" customHeight="1">
      <c r="A28" s="92">
        <v>20</v>
      </c>
      <c r="B28" s="77">
        <v>24.1</v>
      </c>
      <c r="C28" s="75">
        <f>'[1]cálculos teóricos'!K113</f>
        <v>0.98702181333694017</v>
      </c>
      <c r="D28" s="59">
        <f t="shared" si="4"/>
        <v>346.42526150263393</v>
      </c>
      <c r="E28" s="60">
        <f t="shared" si="5"/>
        <v>14.504132848592276</v>
      </c>
      <c r="F28" s="61">
        <f t="shared" si="6"/>
        <v>18.459248540740347</v>
      </c>
      <c r="G28" s="62">
        <f>'[1]cálculos teóricos'!T113</f>
        <v>29.005129773706106</v>
      </c>
      <c r="H28" s="76">
        <f t="shared" si="7"/>
        <v>63.641323740858176</v>
      </c>
      <c r="I28" s="80"/>
      <c r="J28" s="88">
        <v>0.4</v>
      </c>
      <c r="K28" s="88">
        <v>1</v>
      </c>
      <c r="L28" s="88">
        <v>1</v>
      </c>
      <c r="M28" s="88">
        <v>1</v>
      </c>
      <c r="N28" s="88">
        <v>1</v>
      </c>
      <c r="O28" s="79">
        <v>1</v>
      </c>
      <c r="P28" s="89">
        <v>1</v>
      </c>
      <c r="Q28" s="89">
        <v>1</v>
      </c>
      <c r="R28" s="88">
        <v>0.8</v>
      </c>
      <c r="S28" s="88">
        <v>1</v>
      </c>
      <c r="T28" s="88">
        <v>0.7</v>
      </c>
      <c r="U28" s="88"/>
      <c r="V28" s="79"/>
      <c r="W28" s="123">
        <f t="shared" si="0"/>
        <v>5.4</v>
      </c>
      <c r="X28" s="124">
        <f t="shared" si="1"/>
        <v>4.5</v>
      </c>
      <c r="Y28" s="70">
        <f t="shared" si="2"/>
        <v>9.9</v>
      </c>
      <c r="Z28" s="71">
        <f>'[1]cálculos teóricos'!I113</f>
        <v>11.334164319368824</v>
      </c>
      <c r="AA28" s="72">
        <f t="shared" si="3"/>
        <v>87.346536727740954</v>
      </c>
      <c r="AB28" s="3"/>
    </row>
    <row r="29" spans="1:28" ht="18" customHeight="1">
      <c r="A29" s="92">
        <v>21</v>
      </c>
      <c r="B29" s="77">
        <v>25.6</v>
      </c>
      <c r="C29" s="75">
        <f>'[1]cálculos teóricos'!K114</f>
        <v>0.98606602575038249</v>
      </c>
      <c r="D29" s="59">
        <f t="shared" si="4"/>
        <v>367.63065769000178</v>
      </c>
      <c r="E29" s="60">
        <f t="shared" si="5"/>
        <v>15.391960376164993</v>
      </c>
      <c r="F29" s="61">
        <f t="shared" si="6"/>
        <v>19.569032950206243</v>
      </c>
      <c r="G29" s="62">
        <f>'[1]cálculos teóricos'!T114</f>
        <v>28.818668858789103</v>
      </c>
      <c r="H29" s="76">
        <f t="shared" si="7"/>
        <v>67.904014047609593</v>
      </c>
      <c r="I29" s="80"/>
      <c r="J29" s="88">
        <v>0.4</v>
      </c>
      <c r="K29" s="88">
        <v>0.5</v>
      </c>
      <c r="L29" s="88"/>
      <c r="M29" s="88">
        <v>0.8</v>
      </c>
      <c r="N29" s="88">
        <v>1</v>
      </c>
      <c r="O29" s="79">
        <v>1</v>
      </c>
      <c r="P29" s="89">
        <v>1</v>
      </c>
      <c r="Q29" s="89">
        <v>1</v>
      </c>
      <c r="R29" s="88">
        <v>1</v>
      </c>
      <c r="S29" s="88"/>
      <c r="T29" s="88">
        <v>1</v>
      </c>
      <c r="U29" s="88">
        <v>0.1</v>
      </c>
      <c r="V29" s="79"/>
      <c r="W29" s="123">
        <f t="shared" si="0"/>
        <v>3.7</v>
      </c>
      <c r="X29" s="124">
        <f t="shared" si="1"/>
        <v>4.0999999999999996</v>
      </c>
      <c r="Y29" s="70">
        <f t="shared" si="2"/>
        <v>7.8</v>
      </c>
      <c r="Z29" s="71">
        <f>'[1]cálculos teóricos'!I114</f>
        <v>11.313219162761063</v>
      </c>
      <c r="AA29" s="72">
        <f t="shared" si="3"/>
        <v>68.945893187278799</v>
      </c>
      <c r="AB29" s="3"/>
    </row>
    <row r="30" spans="1:28" ht="18" customHeight="1">
      <c r="A30" s="92">
        <v>22</v>
      </c>
      <c r="B30" s="77">
        <v>22.4</v>
      </c>
      <c r="C30" s="75">
        <f>'[1]cálculos teóricos'!K115</f>
        <v>0.98511132867754536</v>
      </c>
      <c r="D30" s="59">
        <f t="shared" si="4"/>
        <v>321.36538190837763</v>
      </c>
      <c r="E30" s="60">
        <f t="shared" si="5"/>
        <v>13.454925809739954</v>
      </c>
      <c r="F30" s="61">
        <f t="shared" si="6"/>
        <v>17.147739742174945</v>
      </c>
      <c r="G30" s="62">
        <f>'[1]cálculos teóricos'!T115</f>
        <v>28.633289479940686</v>
      </c>
      <c r="H30" s="76">
        <f t="shared" si="7"/>
        <v>59.887424929601437</v>
      </c>
      <c r="I30" s="80"/>
      <c r="J30" s="88"/>
      <c r="K30" s="88"/>
      <c r="L30" s="88">
        <v>0.9</v>
      </c>
      <c r="M30" s="88">
        <v>1</v>
      </c>
      <c r="N30" s="88">
        <v>1</v>
      </c>
      <c r="O30" s="79">
        <v>0.9</v>
      </c>
      <c r="P30" s="89">
        <v>0.5</v>
      </c>
      <c r="Q30" s="89">
        <v>0.6</v>
      </c>
      <c r="R30" s="88">
        <v>1</v>
      </c>
      <c r="S30" s="88"/>
      <c r="T30" s="88">
        <v>0.8</v>
      </c>
      <c r="U30" s="161"/>
      <c r="V30" s="79"/>
      <c r="W30" s="123">
        <f t="shared" si="0"/>
        <v>3.8</v>
      </c>
      <c r="X30" s="124">
        <f t="shared" si="1"/>
        <v>2.9000000000000004</v>
      </c>
      <c r="Y30" s="70">
        <f t="shared" si="2"/>
        <v>6.7</v>
      </c>
      <c r="Z30" s="71">
        <f>'[1]cálculos teóricos'!I115</f>
        <v>11.292410079000071</v>
      </c>
      <c r="AA30" s="72">
        <f t="shared" si="3"/>
        <v>59.331887109374946</v>
      </c>
      <c r="AB30" s="3"/>
    </row>
    <row r="31" spans="1:28" ht="18" customHeight="1">
      <c r="A31" s="92">
        <v>23</v>
      </c>
      <c r="B31" s="77">
        <v>24.4</v>
      </c>
      <c r="C31" s="75">
        <f>'[1]cálculos teóricos'!K116</f>
        <v>0.98415819146685024</v>
      </c>
      <c r="D31" s="59">
        <f t="shared" si="4"/>
        <v>349.7200228428303</v>
      </c>
      <c r="E31" s="60">
        <f t="shared" si="5"/>
        <v>14.642077916383618</v>
      </c>
      <c r="F31" s="61">
        <f t="shared" si="6"/>
        <v>18.631679875479524</v>
      </c>
      <c r="G31" s="62">
        <f>'[1]cálculos teóricos'!T116</f>
        <v>28.449066415364875</v>
      </c>
      <c r="H31" s="76">
        <f t="shared" si="7"/>
        <v>65.49135779519591</v>
      </c>
      <c r="I31" s="80"/>
      <c r="J31" s="88">
        <v>0.2</v>
      </c>
      <c r="K31" s="88">
        <v>1</v>
      </c>
      <c r="L31" s="88">
        <v>1</v>
      </c>
      <c r="M31" s="88">
        <v>0.8</v>
      </c>
      <c r="N31" s="88">
        <v>1</v>
      </c>
      <c r="O31" s="79">
        <v>1</v>
      </c>
      <c r="P31" s="89">
        <v>0.6</v>
      </c>
      <c r="Q31" s="89">
        <v>1</v>
      </c>
      <c r="R31" s="88">
        <v>1</v>
      </c>
      <c r="S31" s="88"/>
      <c r="T31" s="88">
        <v>1</v>
      </c>
      <c r="U31" s="88"/>
      <c r="V31" s="79"/>
      <c r="W31" s="123">
        <f t="shared" si="0"/>
        <v>5</v>
      </c>
      <c r="X31" s="124">
        <f t="shared" si="1"/>
        <v>3.6</v>
      </c>
      <c r="Y31" s="70">
        <f t="shared" si="2"/>
        <v>8.6</v>
      </c>
      <c r="Z31" s="71">
        <f>'[1]cálculos teóricos'!I116</f>
        <v>11.27174235273929</v>
      </c>
      <c r="AA31" s="72">
        <f t="shared" si="3"/>
        <v>76.296988796146536</v>
      </c>
      <c r="AB31" s="3"/>
    </row>
    <row r="32" spans="1:28" ht="18" customHeight="1">
      <c r="A32" s="92">
        <v>24</v>
      </c>
      <c r="B32" s="77">
        <v>27.6</v>
      </c>
      <c r="C32" s="75">
        <f>'[1]cálculos teóricos'!K117</f>
        <v>0.98320708911994803</v>
      </c>
      <c r="D32" s="59">
        <f t="shared" si="4"/>
        <v>395.20264581019484</v>
      </c>
      <c r="E32" s="60">
        <f t="shared" si="5"/>
        <v>16.546344374781238</v>
      </c>
      <c r="F32" s="61">
        <f t="shared" si="6"/>
        <v>21.012012948476546</v>
      </c>
      <c r="G32" s="62">
        <f>'[1]cálculos teóricos'!T117</f>
        <v>28.266074346361314</v>
      </c>
      <c r="H32" s="76">
        <f t="shared" si="7"/>
        <v>74.33650916998107</v>
      </c>
      <c r="I32" s="80"/>
      <c r="J32" s="88">
        <v>0.2</v>
      </c>
      <c r="K32" s="88">
        <v>1</v>
      </c>
      <c r="L32" s="88">
        <v>1</v>
      </c>
      <c r="M32" s="88">
        <v>1</v>
      </c>
      <c r="N32" s="88">
        <v>1</v>
      </c>
      <c r="O32" s="79">
        <v>1</v>
      </c>
      <c r="P32" s="89">
        <v>1</v>
      </c>
      <c r="Q32" s="89">
        <v>1</v>
      </c>
      <c r="R32" s="88">
        <v>1</v>
      </c>
      <c r="S32" s="88"/>
      <c r="T32" s="88">
        <v>1</v>
      </c>
      <c r="U32" s="88">
        <v>0.1</v>
      </c>
      <c r="V32" s="79"/>
      <c r="W32" s="123">
        <f t="shared" si="0"/>
        <v>5.2</v>
      </c>
      <c r="X32" s="124">
        <f t="shared" si="1"/>
        <v>4.0999999999999996</v>
      </c>
      <c r="Y32" s="70">
        <f t="shared" si="2"/>
        <v>9.3000000000000007</v>
      </c>
      <c r="Z32" s="71">
        <f>'[1]cálculos teóricos'!I117</f>
        <v>11.251221391583176</v>
      </c>
      <c r="AA32" s="72">
        <f t="shared" si="3"/>
        <v>82.657692674656232</v>
      </c>
      <c r="AB32" s="3"/>
    </row>
    <row r="33" spans="1:28" ht="18" customHeight="1">
      <c r="A33" s="92">
        <v>25</v>
      </c>
      <c r="B33" s="77">
        <v>24</v>
      </c>
      <c r="C33" s="75">
        <f>'[1]cálculos teóricos'!K118</f>
        <v>0.98225850203790688</v>
      </c>
      <c r="D33" s="59">
        <f t="shared" si="4"/>
        <v>343.32292066629731</v>
      </c>
      <c r="E33" s="60">
        <f t="shared" si="5"/>
        <v>14.374244042456535</v>
      </c>
      <c r="F33" s="61">
        <f t="shared" si="6"/>
        <v>18.29688753307067</v>
      </c>
      <c r="G33" s="62">
        <f>'[1]cálculos teóricos'!T118</f>
        <v>28.08438781916194</v>
      </c>
      <c r="H33" s="76">
        <f t="shared" si="7"/>
        <v>65.1496755097034</v>
      </c>
      <c r="I33" s="80"/>
      <c r="J33" s="88">
        <v>0.3</v>
      </c>
      <c r="K33" s="88">
        <v>1</v>
      </c>
      <c r="L33" s="88">
        <v>1</v>
      </c>
      <c r="M33" s="88">
        <v>1</v>
      </c>
      <c r="N33" s="88">
        <v>1</v>
      </c>
      <c r="O33" s="79">
        <v>1</v>
      </c>
      <c r="P33" s="80">
        <v>1</v>
      </c>
      <c r="Q33" s="89">
        <v>0.8</v>
      </c>
      <c r="R33" s="88">
        <v>0.7</v>
      </c>
      <c r="S33" s="88">
        <v>0.6</v>
      </c>
      <c r="T33" s="88">
        <v>0.3</v>
      </c>
      <c r="U33" s="88"/>
      <c r="V33" s="79"/>
      <c r="W33" s="123">
        <f t="shared" si="0"/>
        <v>5.3</v>
      </c>
      <c r="X33" s="124">
        <f t="shared" si="1"/>
        <v>3.4</v>
      </c>
      <c r="Y33" s="70">
        <f t="shared" si="2"/>
        <v>8.6999999999999993</v>
      </c>
      <c r="Z33" s="71">
        <f>'[1]cálculos teóricos'!I118</f>
        <v>11.230852727054316</v>
      </c>
      <c r="AA33" s="72">
        <f t="shared" si="3"/>
        <v>77.465177501992571</v>
      </c>
      <c r="AB33" s="3"/>
    </row>
    <row r="34" spans="1:28" ht="18" customHeight="1">
      <c r="A34" s="92">
        <v>26</v>
      </c>
      <c r="B34" s="77">
        <v>11.4</v>
      </c>
      <c r="C34" s="75">
        <f>'[1]cálculos teóricos'!K119</f>
        <v>0.98131291575291579</v>
      </c>
      <c r="D34" s="59">
        <f t="shared" si="4"/>
        <v>162.92139739367053</v>
      </c>
      <c r="E34" s="60">
        <f t="shared" si="5"/>
        <v>6.8211930660781981</v>
      </c>
      <c r="F34" s="61">
        <f t="shared" si="6"/>
        <v>8.855573812597747</v>
      </c>
      <c r="G34" s="62">
        <f>'[1]cálculos teóricos'!T119</f>
        <v>27.904081206131991</v>
      </c>
      <c r="H34" s="76">
        <f t="shared" si="7"/>
        <v>31.735765629336374</v>
      </c>
      <c r="I34" s="80"/>
      <c r="J34" s="88"/>
      <c r="K34" s="88">
        <v>0.3</v>
      </c>
      <c r="L34" s="88">
        <v>0.2</v>
      </c>
      <c r="M34" s="88">
        <v>0.2</v>
      </c>
      <c r="N34" s="88"/>
      <c r="O34" s="79"/>
      <c r="P34" s="89"/>
      <c r="Q34" s="88"/>
      <c r="R34" s="88"/>
      <c r="S34" s="88"/>
      <c r="T34" s="88"/>
      <c r="U34" s="88"/>
      <c r="V34" s="79"/>
      <c r="W34" s="123">
        <f t="shared" si="0"/>
        <v>0.7</v>
      </c>
      <c r="X34" s="124">
        <f t="shared" si="1"/>
        <v>0</v>
      </c>
      <c r="Y34" s="70">
        <f t="shared" si="2"/>
        <v>0.7</v>
      </c>
      <c r="Z34" s="71">
        <f>'[1]cálculos teóricos'!I119</f>
        <v>11.210642015179907</v>
      </c>
      <c r="AA34" s="72">
        <f t="shared" si="3"/>
        <v>6.2440670128629243</v>
      </c>
      <c r="AB34" s="3"/>
    </row>
    <row r="35" spans="1:28" ht="18" customHeight="1">
      <c r="A35" s="92">
        <v>27</v>
      </c>
      <c r="B35" s="77">
        <v>15.2</v>
      </c>
      <c r="C35" s="75">
        <f>'[1]cálculos teóricos'!K120</f>
        <v>0.98037082064520997</v>
      </c>
      <c r="D35" s="59">
        <f t="shared" si="4"/>
        <v>217.01998278629102</v>
      </c>
      <c r="E35" s="60">
        <f t="shared" si="5"/>
        <v>9.0861926392964332</v>
      </c>
      <c r="F35" s="61">
        <f t="shared" si="6"/>
        <v>11.686823279120542</v>
      </c>
      <c r="G35" s="62">
        <f>'[1]cálculos teóricos'!T120</f>
        <v>27.725228666343192</v>
      </c>
      <c r="H35" s="76">
        <f t="shared" si="7"/>
        <v>42.152306189299942</v>
      </c>
      <c r="I35" s="80"/>
      <c r="J35" s="88"/>
      <c r="K35" s="88">
        <v>0.6</v>
      </c>
      <c r="L35" s="88">
        <v>0.8</v>
      </c>
      <c r="M35" s="88">
        <v>1</v>
      </c>
      <c r="N35" s="88">
        <v>1</v>
      </c>
      <c r="O35" s="79">
        <v>1</v>
      </c>
      <c r="P35" s="89">
        <v>0.2</v>
      </c>
      <c r="Q35" s="88">
        <v>0.7</v>
      </c>
      <c r="R35" s="88">
        <v>0.2</v>
      </c>
      <c r="S35" s="88"/>
      <c r="T35" s="88"/>
      <c r="U35" s="88"/>
      <c r="V35" s="79"/>
      <c r="W35" s="123">
        <f t="shared" si="0"/>
        <v>4.4000000000000004</v>
      </c>
      <c r="X35" s="124">
        <f t="shared" si="1"/>
        <v>1.0999999999999999</v>
      </c>
      <c r="Y35" s="70">
        <f t="shared" si="2"/>
        <v>5.5</v>
      </c>
      <c r="Z35" s="71">
        <f>'[1]cálculos teóricos'!I120</f>
        <v>11.190595036682291</v>
      </c>
      <c r="AA35" s="72">
        <f t="shared" si="3"/>
        <v>49.148414199345396</v>
      </c>
      <c r="AB35" s="3"/>
    </row>
    <row r="36" spans="1:28" ht="18" customHeight="1">
      <c r="A36" s="92">
        <v>28</v>
      </c>
      <c r="B36" s="77">
        <v>7.2</v>
      </c>
      <c r="C36" s="75">
        <f>'[1]cálculos teóricos'!K121</f>
        <v>0.97943271164497014</v>
      </c>
      <c r="D36" s="59">
        <f t="shared" si="4"/>
        <v>102.70057173149897</v>
      </c>
      <c r="E36" s="60">
        <f t="shared" si="5"/>
        <v>4.2998675372543991</v>
      </c>
      <c r="F36" s="61">
        <f t="shared" si="6"/>
        <v>5.7039169015679985</v>
      </c>
      <c r="G36" s="62">
        <f>'[1]cálculos teóricos'!T121</f>
        <v>27.547904105531607</v>
      </c>
      <c r="H36" s="76">
        <f t="shared" si="7"/>
        <v>20.705447789121113</v>
      </c>
      <c r="I36" s="80"/>
      <c r="J36" s="88"/>
      <c r="K36" s="88"/>
      <c r="L36" s="88"/>
      <c r="M36" s="88"/>
      <c r="N36" s="88"/>
      <c r="O36" s="79"/>
      <c r="P36" s="89"/>
      <c r="Q36" s="88"/>
      <c r="R36" s="88"/>
      <c r="S36" s="88"/>
      <c r="T36" s="88">
        <v>0.1</v>
      </c>
      <c r="U36" s="88"/>
      <c r="V36" s="79"/>
      <c r="W36" s="123">
        <f t="shared" si="0"/>
        <v>0</v>
      </c>
      <c r="X36" s="124">
        <f t="shared" si="1"/>
        <v>0.1</v>
      </c>
      <c r="Y36" s="70">
        <f t="shared" si="2"/>
        <v>0.1</v>
      </c>
      <c r="Z36" s="71">
        <f>'[1]cálculos teóricos'!I121</f>
        <v>11.170717696758381</v>
      </c>
      <c r="AA36" s="72">
        <f t="shared" si="3"/>
        <v>0.89519762932527513</v>
      </c>
      <c r="AB36" s="3"/>
    </row>
    <row r="37" spans="1:28" ht="18" customHeight="1">
      <c r="A37" s="92">
        <v>29</v>
      </c>
      <c r="B37" s="77">
        <v>14</v>
      </c>
      <c r="C37" s="75">
        <f>'[1]cálculos teóricos'!K122</f>
        <v>0.97849908791898976</v>
      </c>
      <c r="D37" s="59">
        <f t="shared" si="4"/>
        <v>199.50520053671491</v>
      </c>
      <c r="E37" s="60">
        <f t="shared" si="5"/>
        <v>8.3528837360711794</v>
      </c>
      <c r="F37" s="61">
        <f t="shared" si="6"/>
        <v>10.770187150088976</v>
      </c>
      <c r="G37" s="62">
        <f>'[1]cálculos teóricos'!T122</f>
        <v>27.372181135458487</v>
      </c>
      <c r="H37" s="76">
        <f t="shared" si="7"/>
        <v>39.347201075390565</v>
      </c>
      <c r="I37" s="80"/>
      <c r="J37" s="88"/>
      <c r="K37" s="88"/>
      <c r="L37" s="88"/>
      <c r="M37" s="88">
        <v>0.2</v>
      </c>
      <c r="N37" s="88">
        <v>0.3</v>
      </c>
      <c r="O37" s="79">
        <v>0.2</v>
      </c>
      <c r="P37" s="89">
        <v>0.6</v>
      </c>
      <c r="Q37" s="88">
        <v>0.5</v>
      </c>
      <c r="R37" s="88">
        <v>0.9</v>
      </c>
      <c r="S37" s="88">
        <v>0.8</v>
      </c>
      <c r="T37" s="88"/>
      <c r="U37" s="88"/>
      <c r="V37" s="79"/>
      <c r="W37" s="123">
        <f t="shared" si="0"/>
        <v>0.7</v>
      </c>
      <c r="X37" s="124">
        <f t="shared" si="1"/>
        <v>2.8</v>
      </c>
      <c r="Y37" s="70">
        <f t="shared" si="2"/>
        <v>3.5</v>
      </c>
      <c r="Z37" s="71">
        <f>'[1]cálculos teóricos'!I122</f>
        <v>11.15101602443325</v>
      </c>
      <c r="AA37" s="72">
        <f t="shared" si="3"/>
        <v>31.387274418143321</v>
      </c>
      <c r="AB37" s="3"/>
    </row>
    <row r="38" spans="1:28" ht="18" customHeight="1">
      <c r="A38" s="81">
        <v>30</v>
      </c>
      <c r="B38" s="77">
        <v>21.7</v>
      </c>
      <c r="C38" s="75">
        <f>'[1]cálculos teóricos'!K123</f>
        <v>0.97757045254197084</v>
      </c>
      <c r="D38" s="59">
        <f t="shared" si="4"/>
        <v>308.93958609741134</v>
      </c>
      <c r="E38" s="60">
        <f t="shared" si="5"/>
        <v>12.934682590726418</v>
      </c>
      <c r="F38" s="61">
        <f t="shared" si="6"/>
        <v>16.497435718408024</v>
      </c>
      <c r="G38" s="62">
        <f>'[1]cálculos teóricos'!T123</f>
        <v>27.198133032696809</v>
      </c>
      <c r="H38" s="76">
        <f t="shared" si="7"/>
        <v>60.656500571474091</v>
      </c>
      <c r="I38" s="80"/>
      <c r="J38" s="88"/>
      <c r="K38" s="88">
        <v>0.6</v>
      </c>
      <c r="L38" s="88">
        <v>1</v>
      </c>
      <c r="M38" s="88">
        <v>1</v>
      </c>
      <c r="N38" s="88">
        <v>1</v>
      </c>
      <c r="O38" s="79">
        <v>1</v>
      </c>
      <c r="P38" s="89">
        <v>1</v>
      </c>
      <c r="Q38" s="88">
        <v>1</v>
      </c>
      <c r="R38" s="88">
        <v>1</v>
      </c>
      <c r="S38" s="88">
        <v>1</v>
      </c>
      <c r="T38" s="88">
        <v>0.2</v>
      </c>
      <c r="U38" s="88"/>
      <c r="V38" s="79"/>
      <c r="W38" s="123">
        <f t="shared" si="0"/>
        <v>4.5999999999999996</v>
      </c>
      <c r="X38" s="124">
        <f t="shared" si="1"/>
        <v>4.2</v>
      </c>
      <c r="Y38" s="132">
        <f t="shared" si="2"/>
        <v>8.8000000000000007</v>
      </c>
      <c r="Z38" s="71">
        <f>'[1]cálculos teóricos'!I123</f>
        <v>11.131496171473273</v>
      </c>
      <c r="AA38" s="72">
        <f t="shared" si="3"/>
        <v>79.054961385620331</v>
      </c>
      <c r="AB38" s="3"/>
    </row>
    <row r="39" spans="1:28" ht="18" customHeight="1" thickBot="1">
      <c r="A39" s="93"/>
      <c r="B39" s="94"/>
      <c r="C39" s="95"/>
      <c r="D39" s="96"/>
      <c r="E39" s="129"/>
      <c r="F39" s="98"/>
      <c r="G39" s="99"/>
      <c r="H39" s="100"/>
      <c r="I39" s="101"/>
      <c r="J39" s="101"/>
      <c r="K39" s="101"/>
      <c r="L39" s="101"/>
      <c r="M39" s="101"/>
      <c r="N39" s="101"/>
      <c r="O39" s="102"/>
      <c r="P39" s="101"/>
      <c r="Q39" s="101"/>
      <c r="R39" s="101"/>
      <c r="S39" s="101"/>
      <c r="T39" s="101"/>
      <c r="U39" s="101"/>
      <c r="V39" s="102"/>
      <c r="W39" s="123"/>
      <c r="X39" s="124"/>
      <c r="Y39" s="106"/>
      <c r="Z39" s="162"/>
      <c r="AA39" s="163"/>
      <c r="AB39" s="3"/>
    </row>
    <row r="40" spans="1:28" s="113" customFormat="1" ht="15.75" thickTop="1">
      <c r="A40" s="109"/>
      <c r="B40" s="109"/>
      <c r="C40" s="109"/>
      <c r="D40" s="109"/>
      <c r="E40" s="109"/>
      <c r="F40" s="109"/>
      <c r="G40" s="109"/>
      <c r="H40" s="109"/>
      <c r="I40" s="110">
        <f>SUM(I9:I39)</f>
        <v>0</v>
      </c>
      <c r="J40" s="110">
        <f t="shared" ref="J40:V40" si="8">SUM(J9:J39)</f>
        <v>3.4000000000000004</v>
      </c>
      <c r="K40" s="110">
        <f t="shared" si="8"/>
        <v>14.100000000000001</v>
      </c>
      <c r="L40" s="110">
        <f t="shared" si="8"/>
        <v>18.200000000000003</v>
      </c>
      <c r="M40" s="110">
        <f t="shared" si="8"/>
        <v>20.100000000000001</v>
      </c>
      <c r="N40" s="110">
        <f t="shared" si="8"/>
        <v>21.400000000000002</v>
      </c>
      <c r="O40" s="110">
        <f t="shared" si="8"/>
        <v>22.399999999999995</v>
      </c>
      <c r="P40" s="110">
        <f t="shared" si="8"/>
        <v>19.3</v>
      </c>
      <c r="Q40" s="110">
        <f t="shared" si="8"/>
        <v>19.100000000000001</v>
      </c>
      <c r="R40" s="110">
        <f t="shared" si="8"/>
        <v>17.7</v>
      </c>
      <c r="S40" s="110">
        <f t="shared" si="8"/>
        <v>13.200000000000001</v>
      </c>
      <c r="T40" s="110">
        <f t="shared" si="8"/>
        <v>11.9</v>
      </c>
      <c r="U40" s="110">
        <f t="shared" si="8"/>
        <v>0.7</v>
      </c>
      <c r="V40" s="110">
        <f t="shared" si="8"/>
        <v>0</v>
      </c>
      <c r="W40" s="111">
        <f>SUM(I40:O40)</f>
        <v>99.6</v>
      </c>
      <c r="X40" s="111">
        <f>SUM(P40:V40)</f>
        <v>81.90000000000002</v>
      </c>
      <c r="Y40" s="111">
        <f>W40+X40</f>
        <v>181.5</v>
      </c>
      <c r="Z40" s="111">
        <f>SUM(Z9:Z39)</f>
        <v>343.02294632938839</v>
      </c>
      <c r="AA40" s="111">
        <f>SUM(AA9:AA39)</f>
        <v>1587.5601215900854</v>
      </c>
      <c r="AB40" s="109"/>
    </row>
    <row r="41" spans="1:28" s="113" customFormat="1" ht="15">
      <c r="A41" s="109"/>
      <c r="B41" s="109" t="s">
        <v>51</v>
      </c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</row>
    <row r="42" spans="1:28" s="113" customFormat="1" ht="15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</row>
    <row r="43" spans="1:28" s="113" customFormat="1" ht="15">
      <c r="A43" s="109"/>
      <c r="B43" s="109" t="s">
        <v>52</v>
      </c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</row>
    <row r="44" spans="1:28" s="113" customFormat="1" ht="15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</row>
    <row r="45" spans="1:28" s="113" customFormat="1" ht="15">
      <c r="A45" s="109"/>
      <c r="B45" s="109" t="s">
        <v>53</v>
      </c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</row>
    <row r="46" spans="1:28" s="113" customFormat="1" ht="15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</row>
    <row r="47" spans="1:28" s="113" customFormat="1" ht="15">
      <c r="A47" s="109"/>
      <c r="B47" s="109" t="s">
        <v>54</v>
      </c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</row>
    <row r="48" spans="1:28" s="113" customFormat="1" ht="15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</row>
    <row r="49" spans="1:28" s="113" customFormat="1" ht="15">
      <c r="A49" s="109"/>
      <c r="B49" s="109" t="s">
        <v>55</v>
      </c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9" t="s">
        <v>56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9" t="s">
        <v>57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13" t="s">
        <v>58</v>
      </c>
    </row>
    <row r="56" spans="1:28" ht="15">
      <c r="B56" s="113" t="s">
        <v>70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55"/>
  <sheetViews>
    <sheetView zoomScale="75" zoomScaleNormal="75" workbookViewId="0">
      <selection activeCell="A2" sqref="A2"/>
    </sheetView>
  </sheetViews>
  <sheetFormatPr defaultColWidth="11.42578125" defaultRowHeight="12.75"/>
  <cols>
    <col min="1" max="1" width="8.7109375" style="8" customWidth="1"/>
    <col min="2" max="8" width="12.7109375" style="8" customWidth="1"/>
    <col min="9" max="25" width="8.7109375" style="8" customWidth="1"/>
    <col min="26" max="27" width="12.7109375" style="8" customWidth="1"/>
    <col min="28" max="16384" width="11.42578125" style="8"/>
  </cols>
  <sheetData>
    <row r="1" spans="1:29" ht="18" customHeight="1">
      <c r="A1" s="1" t="s">
        <v>71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7" t="s">
        <v>2</v>
      </c>
      <c r="Y1" s="6"/>
      <c r="Z1" s="6"/>
      <c r="AA1" s="6"/>
      <c r="AB1" s="3"/>
    </row>
    <row r="2" spans="1:29" ht="18" customHeight="1">
      <c r="A2" s="3"/>
      <c r="B2" s="9" t="s">
        <v>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9" t="s">
        <v>67</v>
      </c>
      <c r="W2" s="164"/>
      <c r="X2" s="3"/>
      <c r="Y2" s="3"/>
      <c r="Z2" s="3"/>
      <c r="AA2" s="3"/>
      <c r="AB2" s="3"/>
    </row>
    <row r="3" spans="1:29" ht="18" customHeight="1">
      <c r="A3" s="3"/>
      <c r="B3" s="9" t="s">
        <v>68</v>
      </c>
      <c r="C3" s="3"/>
      <c r="D3" s="3"/>
      <c r="E3" s="3"/>
      <c r="F3" s="3"/>
      <c r="G3" s="4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9" t="s">
        <v>72</v>
      </c>
      <c r="W3" s="3"/>
      <c r="X3" s="6"/>
      <c r="Y3" s="6"/>
      <c r="Z3" s="6"/>
      <c r="AA3" s="6"/>
      <c r="AB3" s="3"/>
    </row>
    <row r="4" spans="1:29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9" ht="18" customHeight="1" thickTop="1" thickBot="1">
      <c r="A5" s="11" t="s">
        <v>8</v>
      </c>
      <c r="B5" s="12"/>
      <c r="C5" s="13" t="s">
        <v>9</v>
      </c>
      <c r="D5" s="14"/>
      <c r="E5" s="15"/>
      <c r="F5" s="14"/>
      <c r="G5" s="14"/>
      <c r="H5" s="16"/>
      <c r="I5" s="17" t="s">
        <v>10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3"/>
      <c r="Y5" s="18"/>
      <c r="Z5" s="15"/>
      <c r="AA5" s="19"/>
      <c r="AB5" s="3"/>
    </row>
    <row r="6" spans="1:29" ht="18" customHeight="1">
      <c r="A6" s="20"/>
      <c r="B6" s="21" t="s">
        <v>11</v>
      </c>
      <c r="C6" s="22" t="s">
        <v>12</v>
      </c>
      <c r="D6" s="23" t="s">
        <v>13</v>
      </c>
      <c r="E6" s="22" t="s">
        <v>13</v>
      </c>
      <c r="F6" s="24" t="s">
        <v>14</v>
      </c>
      <c r="G6" s="24" t="s">
        <v>15</v>
      </c>
      <c r="H6" s="24" t="s">
        <v>16</v>
      </c>
      <c r="I6" s="25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8"/>
      <c r="W6" s="29"/>
      <c r="X6" s="30"/>
      <c r="Y6" s="31"/>
      <c r="Z6" s="32" t="s">
        <v>17</v>
      </c>
      <c r="AA6" s="33" t="s">
        <v>18</v>
      </c>
      <c r="AB6" s="3"/>
    </row>
    <row r="7" spans="1:29" ht="18" customHeight="1" thickBot="1">
      <c r="A7" s="34"/>
      <c r="B7" s="35" t="s">
        <v>19</v>
      </c>
      <c r="C7" s="36" t="s">
        <v>20</v>
      </c>
      <c r="D7" s="23" t="s">
        <v>21</v>
      </c>
      <c r="E7" s="24" t="s">
        <v>21</v>
      </c>
      <c r="F7" s="24" t="s">
        <v>22</v>
      </c>
      <c r="G7" s="24" t="s">
        <v>23</v>
      </c>
      <c r="H7" s="24" t="s">
        <v>24</v>
      </c>
      <c r="I7" s="37" t="s">
        <v>25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8"/>
      <c r="W7" s="39"/>
      <c r="X7" s="40" t="s">
        <v>26</v>
      </c>
      <c r="Y7" s="41"/>
      <c r="Z7" s="42" t="s">
        <v>27</v>
      </c>
      <c r="AA7" s="43" t="s">
        <v>28</v>
      </c>
      <c r="AB7" s="3"/>
    </row>
    <row r="8" spans="1:29" ht="18" customHeight="1" thickBot="1">
      <c r="A8" s="44"/>
      <c r="B8" s="45" t="s">
        <v>29</v>
      </c>
      <c r="C8" s="46" t="s">
        <v>30</v>
      </c>
      <c r="D8" s="46" t="s">
        <v>31</v>
      </c>
      <c r="E8" s="47" t="s">
        <v>32</v>
      </c>
      <c r="F8" s="47" t="s">
        <v>32</v>
      </c>
      <c r="G8" s="46" t="s">
        <v>32</v>
      </c>
      <c r="H8" s="24" t="s">
        <v>33</v>
      </c>
      <c r="I8" s="48" t="s">
        <v>34</v>
      </c>
      <c r="J8" s="49" t="s">
        <v>35</v>
      </c>
      <c r="K8" s="49" t="s">
        <v>36</v>
      </c>
      <c r="L8" s="49" t="s">
        <v>37</v>
      </c>
      <c r="M8" s="49" t="s">
        <v>38</v>
      </c>
      <c r="N8" s="49" t="s">
        <v>39</v>
      </c>
      <c r="O8" s="50" t="s">
        <v>40</v>
      </c>
      <c r="P8" s="49" t="s">
        <v>41</v>
      </c>
      <c r="Q8" s="49" t="s">
        <v>42</v>
      </c>
      <c r="R8" s="49" t="s">
        <v>43</v>
      </c>
      <c r="S8" s="49" t="s">
        <v>44</v>
      </c>
      <c r="T8" s="49" t="s">
        <v>45</v>
      </c>
      <c r="U8" s="49" t="s">
        <v>46</v>
      </c>
      <c r="V8" s="51" t="s">
        <v>47</v>
      </c>
      <c r="W8" s="54" t="s">
        <v>48</v>
      </c>
      <c r="X8" s="117" t="s">
        <v>49</v>
      </c>
      <c r="Y8" s="53" t="s">
        <v>50</v>
      </c>
      <c r="Z8" s="54" t="s">
        <v>50</v>
      </c>
      <c r="AA8" s="55" t="s">
        <v>50</v>
      </c>
      <c r="AB8" s="165"/>
    </row>
    <row r="9" spans="1:29" ht="18" customHeight="1">
      <c r="A9" s="118">
        <v>1</v>
      </c>
      <c r="B9" s="57">
        <v>20.3</v>
      </c>
      <c r="C9" s="75">
        <f>'[1]cálculos teóricos'!K124</f>
        <v>0.97664731215234668</v>
      </c>
      <c r="D9" s="59">
        <f>IF(B9&gt;0,B9*C9*14.25*1.022,-999)</f>
        <v>288.73508354977326</v>
      </c>
      <c r="E9" s="60">
        <f>IF(B9&gt;0,D9*4.1868/100,-999)</f>
        <v>12.088760478061907</v>
      </c>
      <c r="F9" s="61">
        <f>IF(B9&gt;0,(7.86+1.25*D9)*4.1868/100,-999)</f>
        <v>15.440033077577384</v>
      </c>
      <c r="G9" s="62">
        <f>'[1]cálculos teóricos'!T124</f>
        <v>27.025832696871763</v>
      </c>
      <c r="H9" s="63">
        <f>IF(B9&gt;0,100*F9/G9,-999)</f>
        <v>57.130647002653006</v>
      </c>
      <c r="I9" s="64"/>
      <c r="J9" s="64"/>
      <c r="K9" s="64">
        <v>0.2</v>
      </c>
      <c r="L9" s="64">
        <v>1</v>
      </c>
      <c r="M9" s="64">
        <v>1</v>
      </c>
      <c r="N9" s="158">
        <v>1</v>
      </c>
      <c r="O9" s="65">
        <v>0.8</v>
      </c>
      <c r="P9" s="64">
        <v>1</v>
      </c>
      <c r="Q9" s="64">
        <v>1</v>
      </c>
      <c r="R9" s="64">
        <v>0.6</v>
      </c>
      <c r="S9" s="64">
        <v>0.3</v>
      </c>
      <c r="T9" s="64"/>
      <c r="U9" s="64"/>
      <c r="V9" s="65"/>
      <c r="W9" s="123">
        <f t="shared" ref="W9:W40" si="0">SUM(I9:O9)</f>
        <v>4</v>
      </c>
      <c r="X9" s="124">
        <f>SUM(P9:V9)</f>
        <v>2.9</v>
      </c>
      <c r="Y9" s="125">
        <f>W9+X9</f>
        <v>6.9</v>
      </c>
      <c r="Z9" s="71">
        <f>'[1]cálculos teóricos'!I124</f>
        <v>11.112164410845079</v>
      </c>
      <c r="AA9" s="72">
        <f>100*Y9/Z9</f>
        <v>62.094113665793536</v>
      </c>
      <c r="AB9" s="166"/>
      <c r="AC9" s="167"/>
    </row>
    <row r="10" spans="1:29" ht="18" customHeight="1">
      <c r="A10" s="118">
        <v>2</v>
      </c>
      <c r="B10" s="57">
        <v>19.2</v>
      </c>
      <c r="C10" s="75">
        <f>'[1]cálculos teóricos'!K125</f>
        <v>0.97573017659260319</v>
      </c>
      <c r="D10" s="59">
        <f>IF(B10&gt;0,B10*C10*14.25*1.022,-999)</f>
        <v>272.83289139468246</v>
      </c>
      <c r="E10" s="60">
        <f>IF(B10&gt;0,D10*4.1868/100,-999)</f>
        <v>11.422967496912566</v>
      </c>
      <c r="F10" s="61">
        <f>IF(B10&gt;0,(7.86+1.25*D10)*4.1868/100,-999)</f>
        <v>14.607791851140707</v>
      </c>
      <c r="G10" s="62">
        <f>'[1]cálculos teóricos'!T125</f>
        <v>26.855352608387982</v>
      </c>
      <c r="H10" s="76">
        <f>IF(B10&gt;0,100*F10/G10,-999)</f>
        <v>54.394340168068098</v>
      </c>
      <c r="I10" s="57"/>
      <c r="J10" s="89"/>
      <c r="K10" s="89"/>
      <c r="L10" s="89">
        <v>0.8</v>
      </c>
      <c r="M10" s="89">
        <v>1</v>
      </c>
      <c r="N10" s="89">
        <v>1</v>
      </c>
      <c r="O10" s="78">
        <v>1</v>
      </c>
      <c r="P10" s="80">
        <v>0.9</v>
      </c>
      <c r="Q10" s="80">
        <v>0.7</v>
      </c>
      <c r="R10" s="77">
        <v>0.4</v>
      </c>
      <c r="S10" s="77">
        <v>0.2</v>
      </c>
      <c r="T10" s="77"/>
      <c r="U10" s="77"/>
      <c r="V10" s="79"/>
      <c r="W10" s="123">
        <f t="shared" si="0"/>
        <v>3.8</v>
      </c>
      <c r="X10" s="124">
        <f t="shared" ref="X10:X39" si="1">SUM(P10:V10)</f>
        <v>2.2000000000000002</v>
      </c>
      <c r="Y10" s="70">
        <f t="shared" ref="Y10:Y39" si="2">W10+X10</f>
        <v>6</v>
      </c>
      <c r="Z10" s="71">
        <f>'[1]cálculos teóricos'!I125</f>
        <v>11.093027134706757</v>
      </c>
      <c r="AA10" s="72">
        <f t="shared" ref="AA10:AA39" si="3">100*Y10/Z10</f>
        <v>54.088031401526081</v>
      </c>
      <c r="AB10" s="166"/>
      <c r="AC10" s="167"/>
    </row>
    <row r="11" spans="1:29" ht="18" customHeight="1">
      <c r="A11" s="118">
        <v>3</v>
      </c>
      <c r="B11" s="57">
        <v>19.399999999999999</v>
      </c>
      <c r="C11" s="75">
        <f>'[1]cálculos teóricos'!K126</f>
        <v>0.97481955853411284</v>
      </c>
      <c r="D11" s="59">
        <f t="shared" ref="D11:D39" si="4">IF(B11&gt;0,B11*C11*14.25*1.022,-999)</f>
        <v>275.41762202980414</v>
      </c>
      <c r="E11" s="60">
        <f t="shared" ref="E11:E39" si="5">IF(B11&gt;0,D11*4.1868/100,-999)</f>
        <v>11.531184999143839</v>
      </c>
      <c r="F11" s="61">
        <f t="shared" ref="F11:F39" si="6">IF(B11&gt;0,(7.86+1.25*D11)*4.1868/100,-999)</f>
        <v>14.743063728929799</v>
      </c>
      <c r="G11" s="62">
        <f>'[1]cálculos teóricos'!T126</f>
        <v>26.686764785681291</v>
      </c>
      <c r="H11" s="76">
        <f t="shared" ref="H11:H39" si="7">IF(B11&gt;0,100*F11/G11,-999)</f>
        <v>55.24485207304015</v>
      </c>
      <c r="I11" s="57"/>
      <c r="J11" s="89"/>
      <c r="K11" s="89"/>
      <c r="L11" s="89"/>
      <c r="M11" s="89">
        <v>0.2</v>
      </c>
      <c r="N11" s="89">
        <v>0.8</v>
      </c>
      <c r="O11" s="78">
        <v>1</v>
      </c>
      <c r="P11" s="80">
        <v>1</v>
      </c>
      <c r="Q11" s="80">
        <v>1</v>
      </c>
      <c r="R11" s="77">
        <v>1</v>
      </c>
      <c r="S11" s="77">
        <v>0.9</v>
      </c>
      <c r="T11" s="77">
        <v>0.7</v>
      </c>
      <c r="U11" s="77"/>
      <c r="V11" s="79"/>
      <c r="W11" s="123">
        <f t="shared" si="0"/>
        <v>2</v>
      </c>
      <c r="X11" s="124">
        <f t="shared" si="1"/>
        <v>4.5999999999999996</v>
      </c>
      <c r="Y11" s="70">
        <f t="shared" si="2"/>
        <v>6.6</v>
      </c>
      <c r="Z11" s="71">
        <f>'[1]cálculos teóricos'!I126</f>
        <v>11.074090851918852</v>
      </c>
      <c r="AA11" s="72">
        <f t="shared" si="3"/>
        <v>59.598571912170939</v>
      </c>
      <c r="AB11" s="166"/>
      <c r="AC11" s="167"/>
    </row>
    <row r="12" spans="1:29" ht="18" customHeight="1">
      <c r="A12" s="118">
        <v>4</v>
      </c>
      <c r="B12" s="57">
        <v>23.6</v>
      </c>
      <c r="C12" s="75">
        <f>'[1]cálculos teóricos'!K127</f>
        <v>0.97391597308657185</v>
      </c>
      <c r="D12" s="59">
        <f t="shared" si="4"/>
        <v>334.73355646749246</v>
      </c>
      <c r="E12" s="60">
        <f t="shared" si="5"/>
        <v>14.014624542180975</v>
      </c>
      <c r="F12" s="61">
        <f t="shared" si="6"/>
        <v>17.847363157726218</v>
      </c>
      <c r="G12" s="62">
        <f>'[1]cálculos teóricos'!T127</f>
        <v>26.520140742037025</v>
      </c>
      <c r="H12" s="76">
        <f t="shared" si="7"/>
        <v>67.297392315254186</v>
      </c>
      <c r="I12" s="57"/>
      <c r="J12" s="89"/>
      <c r="K12" s="89"/>
      <c r="L12" s="89">
        <v>0.8</v>
      </c>
      <c r="M12" s="89">
        <v>1</v>
      </c>
      <c r="N12" s="89">
        <v>1</v>
      </c>
      <c r="O12" s="78">
        <v>1</v>
      </c>
      <c r="P12" s="80">
        <v>1</v>
      </c>
      <c r="Q12" s="80">
        <v>1</v>
      </c>
      <c r="R12" s="77">
        <v>1</v>
      </c>
      <c r="S12" s="77">
        <v>1</v>
      </c>
      <c r="T12" s="77">
        <v>0.9</v>
      </c>
      <c r="U12" s="77"/>
      <c r="V12" s="79"/>
      <c r="W12" s="123">
        <f t="shared" si="0"/>
        <v>3.8</v>
      </c>
      <c r="X12" s="124">
        <f t="shared" si="1"/>
        <v>4.9000000000000004</v>
      </c>
      <c r="Y12" s="70">
        <f t="shared" si="2"/>
        <v>8.6999999999999993</v>
      </c>
      <c r="Z12" s="71">
        <f>'[1]cálculos teóricos'!I127</f>
        <v>11.055362185063325</v>
      </c>
      <c r="AA12" s="72">
        <f t="shared" si="3"/>
        <v>78.694843772322457</v>
      </c>
      <c r="AB12" s="166"/>
      <c r="AC12" s="167"/>
    </row>
    <row r="13" spans="1:29" ht="18" customHeight="1">
      <c r="A13" s="73">
        <v>5</v>
      </c>
      <c r="B13" s="57">
        <v>21.3</v>
      </c>
      <c r="C13" s="75">
        <f>'[1]cálculos teóricos'!K128</f>
        <v>0.97301993739218018</v>
      </c>
      <c r="D13" s="59">
        <f t="shared" si="4"/>
        <v>301.83326577989465</v>
      </c>
      <c r="E13" s="60">
        <f t="shared" si="5"/>
        <v>12.637155171672628</v>
      </c>
      <c r="F13" s="61">
        <f t="shared" si="6"/>
        <v>16.125526444590786</v>
      </c>
      <c r="G13" s="62">
        <f>'[1]cálculos teóricos'!T128</f>
        <v>26.355551442021564</v>
      </c>
      <c r="H13" s="76">
        <f t="shared" si="7"/>
        <v>61.184553395001558</v>
      </c>
      <c r="I13" s="57"/>
      <c r="J13" s="89"/>
      <c r="K13" s="89"/>
      <c r="L13" s="89">
        <v>1</v>
      </c>
      <c r="M13" s="89">
        <v>1</v>
      </c>
      <c r="N13" s="89">
        <v>1</v>
      </c>
      <c r="O13" s="78">
        <v>1</v>
      </c>
      <c r="P13" s="80">
        <v>1</v>
      </c>
      <c r="Q13" s="80">
        <v>1</v>
      </c>
      <c r="R13" s="77">
        <v>1</v>
      </c>
      <c r="S13" s="77">
        <v>0.5</v>
      </c>
      <c r="T13" s="77"/>
      <c r="U13" s="77"/>
      <c r="V13" s="79"/>
      <c r="W13" s="123">
        <f t="shared" si="0"/>
        <v>4</v>
      </c>
      <c r="X13" s="124">
        <f t="shared" si="1"/>
        <v>3.5</v>
      </c>
      <c r="Y13" s="70">
        <f t="shared" si="2"/>
        <v>7.5</v>
      </c>
      <c r="Z13" s="71">
        <f>'[1]cálculos teóricos'!I128</f>
        <v>11.036847866959667</v>
      </c>
      <c r="AA13" s="72">
        <f t="shared" si="3"/>
        <v>67.954184839788269</v>
      </c>
      <c r="AB13" s="166"/>
      <c r="AC13" s="167"/>
    </row>
    <row r="14" spans="1:29" ht="18" customHeight="1">
      <c r="A14" s="118">
        <v>6</v>
      </c>
      <c r="B14" s="57">
        <v>16.100000000000001</v>
      </c>
      <c r="C14" s="75">
        <f>'[1]cálculos teóricos'!K129</f>
        <v>0.97213197020477449</v>
      </c>
      <c r="D14" s="59">
        <f t="shared" si="4"/>
        <v>227.93806756404348</v>
      </c>
      <c r="E14" s="60">
        <f t="shared" si="5"/>
        <v>9.5433110127713725</v>
      </c>
      <c r="F14" s="61">
        <f t="shared" si="6"/>
        <v>12.258221245964215</v>
      </c>
      <c r="G14" s="62">
        <f>'[1]cálculos teóricos'!T129</f>
        <v>26.193067257577663</v>
      </c>
      <c r="H14" s="76">
        <f t="shared" si="7"/>
        <v>46.799487533930971</v>
      </c>
      <c r="I14" s="57"/>
      <c r="J14" s="89"/>
      <c r="K14" s="89"/>
      <c r="L14" s="89"/>
      <c r="M14" s="89"/>
      <c r="N14" s="89"/>
      <c r="O14" s="78"/>
      <c r="P14" s="80">
        <v>1</v>
      </c>
      <c r="Q14" s="80">
        <v>1</v>
      </c>
      <c r="R14" s="77">
        <v>1</v>
      </c>
      <c r="S14" s="77">
        <v>0.3</v>
      </c>
      <c r="T14" s="77"/>
      <c r="U14" s="77"/>
      <c r="V14" s="79"/>
      <c r="W14" s="123">
        <f t="shared" si="0"/>
        <v>0</v>
      </c>
      <c r="X14" s="124">
        <f t="shared" si="1"/>
        <v>3.3</v>
      </c>
      <c r="Y14" s="70">
        <f t="shared" si="2"/>
        <v>3.3</v>
      </c>
      <c r="Z14" s="71">
        <f>'[1]cálculos teóricos'!I129</f>
        <v>11.018554736668527</v>
      </c>
      <c r="AA14" s="72">
        <f t="shared" si="3"/>
        <v>29.949481387227369</v>
      </c>
      <c r="AB14" s="166"/>
      <c r="AC14" s="167"/>
    </row>
    <row r="15" spans="1:29" ht="18" customHeight="1">
      <c r="A15" s="73">
        <v>7</v>
      </c>
      <c r="B15" s="57">
        <v>22.8</v>
      </c>
      <c r="C15" s="75">
        <f>'[1]cálculos teóricos'!K130</f>
        <v>0.97125259145418985</v>
      </c>
      <c r="D15" s="59">
        <f t="shared" si="4"/>
        <v>322.50228623666254</v>
      </c>
      <c r="E15" s="60">
        <f t="shared" si="5"/>
        <v>13.502525720156587</v>
      </c>
      <c r="F15" s="61">
        <f t="shared" si="6"/>
        <v>17.207239630195733</v>
      </c>
      <c r="G15" s="62">
        <f>'[1]cálculos teóricos'!T130</f>
        <v>26.032757923837824</v>
      </c>
      <c r="H15" s="76">
        <f t="shared" si="7"/>
        <v>66.098412164157651</v>
      </c>
      <c r="I15" s="57"/>
      <c r="J15" s="89"/>
      <c r="K15" s="89"/>
      <c r="L15" s="89">
        <v>0.7</v>
      </c>
      <c r="M15" s="89">
        <v>1</v>
      </c>
      <c r="N15" s="89">
        <v>1</v>
      </c>
      <c r="O15" s="78">
        <v>1</v>
      </c>
      <c r="P15" s="80">
        <v>1</v>
      </c>
      <c r="Q15" s="80">
        <v>1</v>
      </c>
      <c r="R15" s="77">
        <v>1</v>
      </c>
      <c r="S15" s="77">
        <v>1</v>
      </c>
      <c r="T15" s="77">
        <v>0.1</v>
      </c>
      <c r="U15" s="77"/>
      <c r="V15" s="79"/>
      <c r="W15" s="123">
        <f t="shared" si="0"/>
        <v>3.7</v>
      </c>
      <c r="X15" s="124">
        <f t="shared" si="1"/>
        <v>4.0999999999999996</v>
      </c>
      <c r="Y15" s="70">
        <f t="shared" si="2"/>
        <v>7.8</v>
      </c>
      <c r="Z15" s="71">
        <f>'[1]cálculos teóricos'!I130</f>
        <v>11.000489734974462</v>
      </c>
      <c r="AA15" s="72">
        <f t="shared" si="3"/>
        <v>70.905934080380362</v>
      </c>
      <c r="AB15" s="166"/>
      <c r="AC15" s="167"/>
    </row>
    <row r="16" spans="1:29" ht="18" customHeight="1">
      <c r="A16" s="81">
        <v>8</v>
      </c>
      <c r="B16" s="77">
        <v>22.4</v>
      </c>
      <c r="C16" s="75">
        <f>'[1]cálculos teóricos'!K131</f>
        <v>0.97038232179618111</v>
      </c>
      <c r="D16" s="59">
        <f t="shared" si="4"/>
        <v>316.56044993392254</v>
      </c>
      <c r="E16" s="60">
        <f t="shared" si="5"/>
        <v>13.25375291783347</v>
      </c>
      <c r="F16" s="61">
        <f t="shared" si="6"/>
        <v>16.896273627291833</v>
      </c>
      <c r="G16" s="62">
        <f>'[1]cálculos teóricos'!T131</f>
        <v>25.874692494713734</v>
      </c>
      <c r="H16" s="76">
        <f t="shared" si="7"/>
        <v>65.300384268310765</v>
      </c>
      <c r="I16" s="80"/>
      <c r="J16" s="88"/>
      <c r="K16" s="88">
        <v>0.8</v>
      </c>
      <c r="L16" s="88">
        <v>1</v>
      </c>
      <c r="M16" s="88">
        <v>1</v>
      </c>
      <c r="N16" s="89">
        <v>1</v>
      </c>
      <c r="O16" s="79">
        <v>1</v>
      </c>
      <c r="P16" s="89">
        <v>1</v>
      </c>
      <c r="Q16" s="89">
        <v>1</v>
      </c>
      <c r="R16" s="88">
        <v>1</v>
      </c>
      <c r="S16" s="88">
        <v>1</v>
      </c>
      <c r="T16" s="88">
        <v>0.1</v>
      </c>
      <c r="U16" s="88"/>
      <c r="V16" s="79"/>
      <c r="W16" s="123">
        <f t="shared" si="0"/>
        <v>4.8</v>
      </c>
      <c r="X16" s="124">
        <f t="shared" si="1"/>
        <v>4.0999999999999996</v>
      </c>
      <c r="Y16" s="70">
        <f t="shared" si="2"/>
        <v>8.8999999999999986</v>
      </c>
      <c r="Z16" s="71">
        <f>'[1]cálculos teóricos'!I131</f>
        <v>10.982659899340732</v>
      </c>
      <c r="AA16" s="72">
        <f t="shared" si="3"/>
        <v>81.036835170815493</v>
      </c>
      <c r="AB16" s="166"/>
      <c r="AC16" s="167"/>
    </row>
    <row r="17" spans="1:29" ht="18" customHeight="1">
      <c r="A17" s="81">
        <v>9</v>
      </c>
      <c r="B17" s="77">
        <v>16.7</v>
      </c>
      <c r="C17" s="75">
        <f>'[1]cálculos teóricos'!K132</f>
        <v>0.96952168214831635</v>
      </c>
      <c r="D17" s="59">
        <f t="shared" si="4"/>
        <v>235.79780460004898</v>
      </c>
      <c r="E17" s="60">
        <f t="shared" si="5"/>
        <v>9.8723824829948494</v>
      </c>
      <c r="F17" s="61">
        <f t="shared" si="6"/>
        <v>12.669560583743564</v>
      </c>
      <c r="G17" s="62">
        <f>'[1]cálculos teóricos'!T132</f>
        <v>25.718939298322645</v>
      </c>
      <c r="H17" s="76">
        <f t="shared" si="7"/>
        <v>49.261598376142423</v>
      </c>
      <c r="I17" s="80"/>
      <c r="J17" s="88"/>
      <c r="K17" s="88">
        <v>0.5</v>
      </c>
      <c r="L17" s="88">
        <v>0.8</v>
      </c>
      <c r="M17" s="88">
        <v>1</v>
      </c>
      <c r="N17" s="89">
        <v>1</v>
      </c>
      <c r="O17" s="79">
        <v>0.8</v>
      </c>
      <c r="P17" s="89">
        <v>1</v>
      </c>
      <c r="Q17" s="89">
        <v>0.6</v>
      </c>
      <c r="R17" s="88">
        <v>0.2</v>
      </c>
      <c r="S17" s="88"/>
      <c r="T17" s="88"/>
      <c r="U17" s="88"/>
      <c r="V17" s="79"/>
      <c r="W17" s="123">
        <f t="shared" si="0"/>
        <v>4.0999999999999996</v>
      </c>
      <c r="X17" s="124">
        <f t="shared" si="1"/>
        <v>1.8</v>
      </c>
      <c r="Y17" s="70">
        <f t="shared" si="2"/>
        <v>5.8999999999999995</v>
      </c>
      <c r="Z17" s="71">
        <f>'[1]cálculos teóricos'!I132</f>
        <v>10.965072358330648</v>
      </c>
      <c r="AA17" s="72">
        <f t="shared" si="3"/>
        <v>53.807214464184639</v>
      </c>
      <c r="AB17" s="166"/>
      <c r="AC17" s="167"/>
    </row>
    <row r="18" spans="1:29" ht="18" customHeight="1">
      <c r="A18" s="81">
        <v>10</v>
      </c>
      <c r="B18" s="77">
        <v>8</v>
      </c>
      <c r="C18" s="75">
        <f>'[1]cálculos teóricos'!K133</f>
        <v>0.96867119321230488</v>
      </c>
      <c r="D18" s="59">
        <f t="shared" si="4"/>
        <v>112.85794337877923</v>
      </c>
      <c r="E18" s="60">
        <f t="shared" si="5"/>
        <v>4.7251363733827283</v>
      </c>
      <c r="F18" s="61">
        <f t="shared" si="6"/>
        <v>6.2355029467284115</v>
      </c>
      <c r="G18" s="62">
        <f>'[1]cálculos teóricos'!T133</f>
        <v>25.565565892314495</v>
      </c>
      <c r="H18" s="76">
        <f t="shared" si="7"/>
        <v>24.390240266901053</v>
      </c>
      <c r="I18" s="80"/>
      <c r="J18" s="88"/>
      <c r="K18" s="88"/>
      <c r="L18" s="88"/>
      <c r="M18" s="88"/>
      <c r="N18" s="89"/>
      <c r="O18" s="78"/>
      <c r="P18" s="89"/>
      <c r="Q18" s="89"/>
      <c r="R18" s="88"/>
      <c r="S18" s="88"/>
      <c r="T18" s="88"/>
      <c r="U18" s="88"/>
      <c r="V18" s="79"/>
      <c r="W18" s="123">
        <f t="shared" si="0"/>
        <v>0</v>
      </c>
      <c r="X18" s="124">
        <f t="shared" si="1"/>
        <v>0</v>
      </c>
      <c r="Y18" s="70">
        <f t="shared" si="2"/>
        <v>0</v>
      </c>
      <c r="Z18" s="71">
        <f>'[1]cálculos teóricos'!I133</f>
        <v>10.947734325491757</v>
      </c>
      <c r="AA18" s="72">
        <f t="shared" si="3"/>
        <v>0</v>
      </c>
      <c r="AB18" s="166"/>
      <c r="AC18" s="167"/>
    </row>
    <row r="19" spans="1:29" ht="18" customHeight="1">
      <c r="A19" s="92">
        <v>11</v>
      </c>
      <c r="B19" s="77">
        <v>19.899999999999999</v>
      </c>
      <c r="C19" s="75">
        <f>'[1]cálculos teóricos'!K134</f>
        <v>0.9678313749832993</v>
      </c>
      <c r="D19" s="59">
        <f t="shared" si="4"/>
        <v>280.4907433684287</v>
      </c>
      <c r="E19" s="60">
        <f t="shared" si="5"/>
        <v>11.743586443349372</v>
      </c>
      <c r="F19" s="61">
        <f t="shared" si="6"/>
        <v>15.008565534186717</v>
      </c>
      <c r="G19" s="62">
        <f>'[1]cálculos teóricos'!T134</f>
        <v>25.414639019166131</v>
      </c>
      <c r="H19" s="76">
        <f t="shared" si="7"/>
        <v>59.054805078554118</v>
      </c>
      <c r="I19" s="80"/>
      <c r="J19" s="88"/>
      <c r="K19" s="88">
        <v>0.4</v>
      </c>
      <c r="L19" s="88">
        <v>1</v>
      </c>
      <c r="M19" s="88">
        <v>0.8</v>
      </c>
      <c r="N19" s="88">
        <v>0.8</v>
      </c>
      <c r="O19" s="79">
        <v>1</v>
      </c>
      <c r="P19" s="89">
        <v>1</v>
      </c>
      <c r="Q19" s="89">
        <v>1</v>
      </c>
      <c r="R19" s="88">
        <v>0.9</v>
      </c>
      <c r="S19" s="88">
        <v>0.3</v>
      </c>
      <c r="T19" s="88">
        <v>0.8</v>
      </c>
      <c r="U19" s="88"/>
      <c r="V19" s="79"/>
      <c r="W19" s="123">
        <f t="shared" si="0"/>
        <v>4</v>
      </c>
      <c r="X19" s="124">
        <f t="shared" si="1"/>
        <v>4</v>
      </c>
      <c r="Y19" s="70">
        <f t="shared" si="2"/>
        <v>8</v>
      </c>
      <c r="Z19" s="71">
        <f>'[1]cálculos teóricos'!I134</f>
        <v>10.930653092700721</v>
      </c>
      <c r="AA19" s="72">
        <f t="shared" si="3"/>
        <v>73.188673468580262</v>
      </c>
      <c r="AB19" s="166"/>
      <c r="AC19" s="167"/>
    </row>
    <row r="20" spans="1:29" ht="18" customHeight="1">
      <c r="A20" s="92">
        <v>12</v>
      </c>
      <c r="B20" s="77">
        <v>17.2</v>
      </c>
      <c r="C20" s="75">
        <f>'[1]cálculos teóricos'!K135</f>
        <v>0.96700274624676985</v>
      </c>
      <c r="D20" s="59">
        <f t="shared" si="4"/>
        <v>242.22664531339512</v>
      </c>
      <c r="E20" s="60">
        <f t="shared" si="5"/>
        <v>10.141545185981226</v>
      </c>
      <c r="F20" s="61">
        <f t="shared" si="6"/>
        <v>13.006013962476537</v>
      </c>
      <c r="G20" s="62">
        <f>'[1]cálculos teóricos'!T135</f>
        <v>25.26622456151059</v>
      </c>
      <c r="H20" s="76">
        <f t="shared" si="7"/>
        <v>51.475890000159751</v>
      </c>
      <c r="I20" s="80"/>
      <c r="J20" s="88"/>
      <c r="K20" s="88">
        <v>0.3</v>
      </c>
      <c r="L20" s="88"/>
      <c r="M20" s="88">
        <v>0.8</v>
      </c>
      <c r="N20" s="88">
        <v>0.2</v>
      </c>
      <c r="O20" s="79">
        <v>0.6</v>
      </c>
      <c r="P20" s="89">
        <v>0.6</v>
      </c>
      <c r="Q20" s="89">
        <v>1</v>
      </c>
      <c r="R20" s="88">
        <v>0.7</v>
      </c>
      <c r="S20" s="88">
        <v>0.2</v>
      </c>
      <c r="T20" s="88">
        <v>0.6</v>
      </c>
      <c r="U20" s="88"/>
      <c r="V20" s="79"/>
      <c r="W20" s="123">
        <f t="shared" si="0"/>
        <v>1.9</v>
      </c>
      <c r="X20" s="124">
        <f t="shared" si="1"/>
        <v>3.1</v>
      </c>
      <c r="Y20" s="70">
        <f t="shared" si="2"/>
        <v>5</v>
      </c>
      <c r="Z20" s="71">
        <f>'[1]cálculos teóricos'!I135</f>
        <v>10.913836022969011</v>
      </c>
      <c r="AA20" s="72">
        <f t="shared" si="3"/>
        <v>45.813405932406475</v>
      </c>
      <c r="AB20" s="166"/>
      <c r="AC20" s="167"/>
    </row>
    <row r="21" spans="1:29" ht="18" customHeight="1">
      <c r="A21" s="92">
        <v>13</v>
      </c>
      <c r="B21" s="77">
        <v>15.5</v>
      </c>
      <c r="C21" s="75">
        <f>'[1]cálculos teóricos'!K136</f>
        <v>0.96618582406361775</v>
      </c>
      <c r="D21" s="59">
        <f t="shared" si="4"/>
        <v>218.1012323556327</v>
      </c>
      <c r="E21" s="60">
        <f t="shared" si="5"/>
        <v>9.1314623962656292</v>
      </c>
      <c r="F21" s="61">
        <f t="shared" si="6"/>
        <v>11.743410475332036</v>
      </c>
      <c r="G21" s="62">
        <f>'[1]cálculos teóricos'!T136</f>
        <v>25.120387497571706</v>
      </c>
      <c r="H21" s="76">
        <f t="shared" si="7"/>
        <v>46.748524386684835</v>
      </c>
      <c r="I21" s="80"/>
      <c r="J21" s="88"/>
      <c r="K21" s="88">
        <v>0.2</v>
      </c>
      <c r="L21" s="88">
        <v>0.2</v>
      </c>
      <c r="M21" s="88"/>
      <c r="N21" s="88">
        <v>0.2</v>
      </c>
      <c r="O21" s="79">
        <v>0.5</v>
      </c>
      <c r="P21" s="89">
        <v>1</v>
      </c>
      <c r="Q21" s="89">
        <v>0.9</v>
      </c>
      <c r="R21" s="88">
        <v>0.8</v>
      </c>
      <c r="S21" s="88">
        <v>1</v>
      </c>
      <c r="T21" s="88">
        <v>0.9</v>
      </c>
      <c r="U21" s="88"/>
      <c r="V21" s="79"/>
      <c r="W21" s="123">
        <f t="shared" si="0"/>
        <v>1.1000000000000001</v>
      </c>
      <c r="X21" s="124">
        <f t="shared" si="1"/>
        <v>4.6000000000000005</v>
      </c>
      <c r="Y21" s="70">
        <f t="shared" si="2"/>
        <v>5.7000000000000011</v>
      </c>
      <c r="Z21" s="71">
        <f>'[1]cálculos teóricos'!I136</f>
        <v>10.897290542711382</v>
      </c>
      <c r="AA21" s="72">
        <f t="shared" si="3"/>
        <v>52.306580040782968</v>
      </c>
      <c r="AB21" s="166"/>
      <c r="AC21" s="167"/>
    </row>
    <row r="22" spans="1:29" ht="18" customHeight="1">
      <c r="A22" s="92">
        <v>14</v>
      </c>
      <c r="B22" s="77">
        <v>23.3</v>
      </c>
      <c r="C22" s="75">
        <f>'[1]cálculos teóricos'!K137</f>
        <v>0.96538112324425585</v>
      </c>
      <c r="D22" s="59">
        <f t="shared" si="4"/>
        <v>327.58234212896792</v>
      </c>
      <c r="E22" s="60">
        <f t="shared" si="5"/>
        <v>13.715217500255628</v>
      </c>
      <c r="F22" s="61">
        <f t="shared" si="6"/>
        <v>17.473104355319535</v>
      </c>
      <c r="G22" s="62">
        <f>'[1]cálculos teóricos'!T137</f>
        <v>24.977191856775008</v>
      </c>
      <c r="H22" s="76">
        <f t="shared" si="7"/>
        <v>69.956240299207195</v>
      </c>
      <c r="I22" s="80"/>
      <c r="J22" s="88"/>
      <c r="K22" s="88"/>
      <c r="L22" s="88">
        <v>0.4</v>
      </c>
      <c r="M22" s="88">
        <v>1</v>
      </c>
      <c r="N22" s="88">
        <v>1</v>
      </c>
      <c r="O22" s="79">
        <v>1</v>
      </c>
      <c r="P22" s="89">
        <v>1</v>
      </c>
      <c r="Q22" s="89">
        <v>1</v>
      </c>
      <c r="R22" s="88">
        <v>1</v>
      </c>
      <c r="S22" s="88">
        <v>1</v>
      </c>
      <c r="T22" s="88">
        <v>1</v>
      </c>
      <c r="U22" s="88"/>
      <c r="V22" s="79"/>
      <c r="W22" s="123">
        <f t="shared" si="0"/>
        <v>3.4</v>
      </c>
      <c r="X22" s="124">
        <f t="shared" si="1"/>
        <v>5</v>
      </c>
      <c r="Y22" s="70">
        <f t="shared" si="2"/>
        <v>8.4</v>
      </c>
      <c r="Z22" s="71">
        <f>'[1]cálculos teóricos'!I137</f>
        <v>10.881024133481446</v>
      </c>
      <c r="AA22" s="72">
        <f t="shared" si="3"/>
        <v>77.198615653767249</v>
      </c>
      <c r="AB22" s="166"/>
      <c r="AC22" s="167"/>
    </row>
    <row r="23" spans="1:29" ht="18" customHeight="1">
      <c r="A23" s="92">
        <v>15</v>
      </c>
      <c r="B23" s="77">
        <v>23.6</v>
      </c>
      <c r="C23" s="75">
        <f>'[1]cálculos teóricos'!K138</f>
        <v>0.96458915581244764</v>
      </c>
      <c r="D23" s="59">
        <f t="shared" si="4"/>
        <v>331.52794242792015</v>
      </c>
      <c r="E23" s="60">
        <f t="shared" si="5"/>
        <v>13.880411893572161</v>
      </c>
      <c r="F23" s="61">
        <f t="shared" si="6"/>
        <v>17.679597346965203</v>
      </c>
      <c r="G23" s="62">
        <f>'[1]cálculos teóricos'!T138</f>
        <v>24.836700675606831</v>
      </c>
      <c r="H23" s="76">
        <f t="shared" si="7"/>
        <v>71.1833571531064</v>
      </c>
      <c r="I23" s="80"/>
      <c r="J23" s="88"/>
      <c r="K23" s="88">
        <v>0.9</v>
      </c>
      <c r="L23" s="88">
        <v>1</v>
      </c>
      <c r="M23" s="88">
        <v>1</v>
      </c>
      <c r="N23" s="88">
        <v>1</v>
      </c>
      <c r="O23" s="79">
        <v>1</v>
      </c>
      <c r="P23" s="89">
        <v>1</v>
      </c>
      <c r="Q23" s="89">
        <v>1</v>
      </c>
      <c r="R23" s="88">
        <v>1</v>
      </c>
      <c r="S23" s="88">
        <v>1</v>
      </c>
      <c r="T23" s="88">
        <v>0.5</v>
      </c>
      <c r="U23" s="88"/>
      <c r="V23" s="79"/>
      <c r="W23" s="123">
        <f t="shared" si="0"/>
        <v>4.9000000000000004</v>
      </c>
      <c r="X23" s="124">
        <f t="shared" si="1"/>
        <v>4.5</v>
      </c>
      <c r="Y23" s="70">
        <f t="shared" si="2"/>
        <v>9.4</v>
      </c>
      <c r="Z23" s="71">
        <f>'[1]cálculos teóricos'!I138</f>
        <v>10.865044323181046</v>
      </c>
      <c r="AA23" s="72">
        <f t="shared" si="3"/>
        <v>86.515983924195226</v>
      </c>
      <c r="AB23" s="166"/>
      <c r="AC23" s="167"/>
    </row>
    <row r="24" spans="1:29" ht="18" customHeight="1">
      <c r="A24" s="92">
        <v>16</v>
      </c>
      <c r="B24" s="77">
        <v>24.3</v>
      </c>
      <c r="C24" s="75">
        <f>'[1]cálculos teóricos'!K139</f>
        <v>0.96381043045975534</v>
      </c>
      <c r="D24" s="59">
        <f t="shared" si="4"/>
        <v>341.08581285721579</v>
      </c>
      <c r="E24" s="60">
        <f t="shared" si="5"/>
        <v>14.28058081270591</v>
      </c>
      <c r="F24" s="61">
        <f t="shared" si="6"/>
        <v>18.179808495882391</v>
      </c>
      <c r="G24" s="62">
        <f>'[1]cálculos teóricos'!T139</f>
        <v>24.698975953794339</v>
      </c>
      <c r="H24" s="76">
        <f t="shared" si="7"/>
        <v>73.605515183675251</v>
      </c>
      <c r="I24" s="80"/>
      <c r="J24" s="88">
        <v>0.1</v>
      </c>
      <c r="K24" s="88">
        <v>1</v>
      </c>
      <c r="L24" s="88">
        <v>1</v>
      </c>
      <c r="M24" s="88">
        <v>1</v>
      </c>
      <c r="N24" s="88">
        <v>1</v>
      </c>
      <c r="O24" s="79">
        <v>1</v>
      </c>
      <c r="P24" s="89">
        <v>1</v>
      </c>
      <c r="Q24" s="89">
        <v>1</v>
      </c>
      <c r="R24" s="88">
        <v>1</v>
      </c>
      <c r="S24" s="88">
        <v>1</v>
      </c>
      <c r="T24" s="88">
        <v>0.9</v>
      </c>
      <c r="U24" s="88"/>
      <c r="V24" s="79"/>
      <c r="W24" s="123">
        <f t="shared" si="0"/>
        <v>5.0999999999999996</v>
      </c>
      <c r="X24" s="124">
        <f t="shared" si="1"/>
        <v>4.9000000000000004</v>
      </c>
      <c r="Y24" s="70">
        <f t="shared" si="2"/>
        <v>10</v>
      </c>
      <c r="Z24" s="71">
        <f>'[1]cálculos teóricos'!I139</f>
        <v>10.849358676752436</v>
      </c>
      <c r="AA24" s="72">
        <f t="shared" si="3"/>
        <v>92.171346693769038</v>
      </c>
      <c r="AB24" s="166"/>
      <c r="AC24" s="167"/>
    </row>
    <row r="25" spans="1:29" ht="18" customHeight="1">
      <c r="A25" s="92">
        <v>17</v>
      </c>
      <c r="B25" s="77">
        <v>18.600000000000001</v>
      </c>
      <c r="C25" s="75">
        <f>'[1]cálculos teóricos'!K140</f>
        <v>0.96304545199151148</v>
      </c>
      <c r="D25" s="59">
        <f t="shared" si="4"/>
        <v>260.87081138545784</v>
      </c>
      <c r="E25" s="60">
        <f t="shared" si="5"/>
        <v>10.922139131086348</v>
      </c>
      <c r="F25" s="61">
        <f t="shared" si="6"/>
        <v>13.981756393857935</v>
      </c>
      <c r="G25" s="62">
        <f>'[1]cálculos teóricos'!T140</f>
        <v>24.564078610878632</v>
      </c>
      <c r="H25" s="76">
        <f t="shared" si="7"/>
        <v>56.919523078166144</v>
      </c>
      <c r="I25" s="80"/>
      <c r="J25" s="88"/>
      <c r="K25" s="88"/>
      <c r="L25" s="88">
        <v>0.4</v>
      </c>
      <c r="M25" s="88">
        <v>0.1</v>
      </c>
      <c r="N25" s="88">
        <v>0.1</v>
      </c>
      <c r="O25" s="79">
        <v>0.9</v>
      </c>
      <c r="P25" s="89">
        <v>1</v>
      </c>
      <c r="Q25" s="89">
        <v>1</v>
      </c>
      <c r="R25" s="88">
        <v>1</v>
      </c>
      <c r="S25" s="88">
        <v>0.8</v>
      </c>
      <c r="T25" s="88">
        <v>0.1</v>
      </c>
      <c r="U25" s="88"/>
      <c r="V25" s="79"/>
      <c r="W25" s="123">
        <f t="shared" si="0"/>
        <v>1.5</v>
      </c>
      <c r="X25" s="124">
        <f t="shared" si="1"/>
        <v>3.9</v>
      </c>
      <c r="Y25" s="70">
        <f t="shared" si="2"/>
        <v>5.4</v>
      </c>
      <c r="Z25" s="71">
        <f>'[1]cálculos teóricos'!I140</f>
        <v>10.833974786365069</v>
      </c>
      <c r="AA25" s="72">
        <f t="shared" si="3"/>
        <v>49.843202577839541</v>
      </c>
      <c r="AB25" s="166"/>
      <c r="AC25" s="167"/>
    </row>
    <row r="26" spans="1:29" ht="18" customHeight="1">
      <c r="A26" s="92">
        <v>18</v>
      </c>
      <c r="B26" s="77">
        <v>23.6</v>
      </c>
      <c r="C26" s="75">
        <f>'[1]cálculos teóricos'!K141</f>
        <v>0.96229472076527511</v>
      </c>
      <c r="D26" s="59">
        <f t="shared" si="4"/>
        <v>330.73934831441602</v>
      </c>
      <c r="E26" s="60">
        <f t="shared" si="5"/>
        <v>13.847395035227969</v>
      </c>
      <c r="F26" s="61">
        <f t="shared" si="6"/>
        <v>17.638326274034963</v>
      </c>
      <c r="G26" s="62">
        <f>'[1]cálculos teóricos'!T141</f>
        <v>24.432068443253335</v>
      </c>
      <c r="H26" s="76">
        <f t="shared" si="7"/>
        <v>72.193340138196959</v>
      </c>
      <c r="I26" s="80"/>
      <c r="J26" s="88"/>
      <c r="K26" s="88">
        <v>0.3</v>
      </c>
      <c r="L26" s="88">
        <v>0.6</v>
      </c>
      <c r="M26" s="88">
        <v>0.8</v>
      </c>
      <c r="N26" s="88">
        <v>1</v>
      </c>
      <c r="O26" s="79">
        <v>1</v>
      </c>
      <c r="P26" s="89">
        <v>1</v>
      </c>
      <c r="Q26" s="89">
        <v>1</v>
      </c>
      <c r="R26" s="88">
        <v>1</v>
      </c>
      <c r="S26" s="88">
        <v>1</v>
      </c>
      <c r="T26" s="88">
        <v>0.9</v>
      </c>
      <c r="U26" s="88"/>
      <c r="V26" s="79"/>
      <c r="W26" s="123">
        <f t="shared" si="0"/>
        <v>3.7</v>
      </c>
      <c r="X26" s="124">
        <f t="shared" si="1"/>
        <v>4.9000000000000004</v>
      </c>
      <c r="Y26" s="70">
        <f t="shared" si="2"/>
        <v>8.6000000000000014</v>
      </c>
      <c r="Z26" s="71">
        <f>'[1]cálculos teóricos'!I141</f>
        <v>10.818900261111278</v>
      </c>
      <c r="AA26" s="72">
        <f t="shared" si="3"/>
        <v>79.490519299016455</v>
      </c>
      <c r="AB26" s="166"/>
      <c r="AC26" s="167"/>
    </row>
    <row r="27" spans="1:29" ht="18" customHeight="1">
      <c r="A27" s="92">
        <v>19</v>
      </c>
      <c r="B27" s="77">
        <v>23.3</v>
      </c>
      <c r="C27" s="75">
        <f>'[1]cálculos teóricos'!K142</f>
        <v>0.96155873212279996</v>
      </c>
      <c r="D27" s="59">
        <f t="shared" si="4"/>
        <v>326.28529186980029</v>
      </c>
      <c r="E27" s="60">
        <f t="shared" si="5"/>
        <v>13.660912600004799</v>
      </c>
      <c r="F27" s="61">
        <f t="shared" si="6"/>
        <v>17.405223230006001</v>
      </c>
      <c r="G27" s="62">
        <f>'[1]cálculos teóricos'!T142</f>
        <v>24.3030040817398</v>
      </c>
      <c r="H27" s="76">
        <f t="shared" si="7"/>
        <v>71.61757933902301</v>
      </c>
      <c r="I27" s="80"/>
      <c r="J27" s="88"/>
      <c r="K27" s="88"/>
      <c r="L27" s="88">
        <v>0.3</v>
      </c>
      <c r="M27" s="88">
        <v>1</v>
      </c>
      <c r="N27" s="88">
        <v>1</v>
      </c>
      <c r="O27" s="79">
        <v>1</v>
      </c>
      <c r="P27" s="89">
        <v>1</v>
      </c>
      <c r="Q27" s="89">
        <v>1</v>
      </c>
      <c r="R27" s="88">
        <v>1</v>
      </c>
      <c r="S27" s="88">
        <v>1</v>
      </c>
      <c r="T27" s="88">
        <v>0.8</v>
      </c>
      <c r="U27" s="88"/>
      <c r="V27" s="79"/>
      <c r="W27" s="123">
        <f t="shared" si="0"/>
        <v>3.3</v>
      </c>
      <c r="X27" s="124">
        <f t="shared" si="1"/>
        <v>4.8</v>
      </c>
      <c r="Y27" s="70">
        <f t="shared" si="2"/>
        <v>8.1</v>
      </c>
      <c r="Z27" s="71">
        <f>'[1]cálculos teóricos'!I142</f>
        <v>10.804142716228</v>
      </c>
      <c r="AA27" s="72">
        <f t="shared" si="3"/>
        <v>74.971242168373678</v>
      </c>
      <c r="AB27" s="166"/>
      <c r="AC27" s="167"/>
    </row>
    <row r="28" spans="1:29" ht="18" customHeight="1">
      <c r="A28" s="92">
        <v>20</v>
      </c>
      <c r="B28" s="77">
        <v>22.5</v>
      </c>
      <c r="C28" s="75">
        <f>'[1]cálculos teóricos'!K143</f>
        <v>0.9608379758165817</v>
      </c>
      <c r="D28" s="59">
        <f t="shared" si="4"/>
        <v>314.84618686810768</v>
      </c>
      <c r="E28" s="60">
        <f t="shared" si="5"/>
        <v>13.181980151793931</v>
      </c>
      <c r="F28" s="61">
        <f t="shared" si="6"/>
        <v>16.806557669742414</v>
      </c>
      <c r="G28" s="62">
        <f>'[1]cálculos teóricos'!T143</f>
        <v>24.176942949769266</v>
      </c>
      <c r="H28" s="76">
        <f t="shared" si="7"/>
        <v>69.514817091061587</v>
      </c>
      <c r="I28" s="80"/>
      <c r="J28" s="88"/>
      <c r="K28" s="88"/>
      <c r="L28" s="88">
        <v>0.1</v>
      </c>
      <c r="M28" s="88">
        <v>1</v>
      </c>
      <c r="N28" s="88">
        <v>1</v>
      </c>
      <c r="O28" s="79">
        <v>1</v>
      </c>
      <c r="P28" s="89">
        <v>1</v>
      </c>
      <c r="Q28" s="89">
        <v>1</v>
      </c>
      <c r="R28" s="88">
        <v>1</v>
      </c>
      <c r="S28" s="88">
        <v>1</v>
      </c>
      <c r="T28" s="88">
        <v>0.6</v>
      </c>
      <c r="U28" s="88"/>
      <c r="V28" s="79"/>
      <c r="W28" s="123">
        <f t="shared" si="0"/>
        <v>3.1</v>
      </c>
      <c r="X28" s="124">
        <f t="shared" si="1"/>
        <v>4.5999999999999996</v>
      </c>
      <c r="Y28" s="70">
        <f t="shared" si="2"/>
        <v>7.6999999999999993</v>
      </c>
      <c r="Z28" s="71">
        <f>'[1]cálculos teóricos'!I143</f>
        <v>10.78970976186449</v>
      </c>
      <c r="AA28" s="72">
        <f t="shared" si="3"/>
        <v>71.364292181566697</v>
      </c>
      <c r="AB28" s="166"/>
      <c r="AC28" s="167"/>
    </row>
    <row r="29" spans="1:29" ht="18" customHeight="1">
      <c r="A29" s="92">
        <v>21</v>
      </c>
      <c r="B29" s="77">
        <v>20.8</v>
      </c>
      <c r="C29" s="75">
        <f>'[1]cálculos teóricos'!K144</f>
        <v>0.96013293543210909</v>
      </c>
      <c r="D29" s="59">
        <f t="shared" si="4"/>
        <v>290.84423690744285</v>
      </c>
      <c r="E29" s="60">
        <f t="shared" si="5"/>
        <v>12.177066510840817</v>
      </c>
      <c r="F29" s="61">
        <f t="shared" si="6"/>
        <v>15.550415618551021</v>
      </c>
      <c r="G29" s="62">
        <f>'[1]cálculos teóricos'!T144</f>
        <v>24.053941222240866</v>
      </c>
      <c r="H29" s="76">
        <f t="shared" si="7"/>
        <v>64.648098516898031</v>
      </c>
      <c r="I29" s="80"/>
      <c r="J29" s="88"/>
      <c r="K29" s="88">
        <v>1</v>
      </c>
      <c r="L29" s="88">
        <v>0.7</v>
      </c>
      <c r="M29" s="88">
        <v>0.6</v>
      </c>
      <c r="N29" s="88">
        <v>1</v>
      </c>
      <c r="O29" s="79">
        <v>1</v>
      </c>
      <c r="P29" s="89">
        <v>1</v>
      </c>
      <c r="Q29" s="89">
        <v>1</v>
      </c>
      <c r="R29" s="88">
        <v>1</v>
      </c>
      <c r="S29" s="88">
        <v>0.8</v>
      </c>
      <c r="T29" s="88">
        <v>0.3</v>
      </c>
      <c r="U29" s="88"/>
      <c r="V29" s="79"/>
      <c r="W29" s="123">
        <f t="shared" si="0"/>
        <v>4.3</v>
      </c>
      <c r="X29" s="124">
        <f t="shared" si="1"/>
        <v>4.0999999999999996</v>
      </c>
      <c r="Y29" s="70">
        <f t="shared" si="2"/>
        <v>8.3999999999999986</v>
      </c>
      <c r="Z29" s="71">
        <f>'[1]cálculos teóricos'!I144</f>
        <v>10.775608991418745</v>
      </c>
      <c r="AA29" s="72">
        <f t="shared" si="3"/>
        <v>77.953830792203178</v>
      </c>
      <c r="AB29" s="166"/>
      <c r="AC29" s="167"/>
    </row>
    <row r="30" spans="1:29" ht="18" customHeight="1">
      <c r="A30" s="92">
        <v>22</v>
      </c>
      <c r="B30" s="77">
        <v>17.5</v>
      </c>
      <c r="C30" s="75">
        <f>'[1]cálculos teóricos'!K145</f>
        <v>0.95944408780698176</v>
      </c>
      <c r="D30" s="59">
        <f t="shared" si="4"/>
        <v>244.52511952359714</v>
      </c>
      <c r="E30" s="60">
        <f t="shared" si="5"/>
        <v>10.237777704213965</v>
      </c>
      <c r="F30" s="61">
        <f t="shared" si="6"/>
        <v>13.126304610267457</v>
      </c>
      <c r="G30" s="62">
        <f>'[1]cálculos teóricos'!T145</f>
        <v>23.934053785122181</v>
      </c>
      <c r="H30" s="76">
        <f t="shared" si="7"/>
        <v>54.843632959607511</v>
      </c>
      <c r="I30" s="80"/>
      <c r="J30" s="88"/>
      <c r="K30" s="88">
        <v>0.3</v>
      </c>
      <c r="L30" s="88">
        <v>0.5</v>
      </c>
      <c r="M30" s="88">
        <v>1</v>
      </c>
      <c r="N30" s="88">
        <v>0.9</v>
      </c>
      <c r="O30" s="79">
        <v>0.7</v>
      </c>
      <c r="P30" s="89">
        <v>0.8</v>
      </c>
      <c r="Q30" s="89">
        <v>0.5</v>
      </c>
      <c r="R30" s="88"/>
      <c r="S30" s="88"/>
      <c r="T30" s="88"/>
      <c r="U30" s="161"/>
      <c r="V30" s="79"/>
      <c r="W30" s="123">
        <f t="shared" si="0"/>
        <v>3.4000000000000004</v>
      </c>
      <c r="X30" s="124">
        <f t="shared" si="1"/>
        <v>1.3</v>
      </c>
      <c r="Y30" s="70">
        <f t="shared" si="2"/>
        <v>4.7</v>
      </c>
      <c r="Z30" s="71">
        <f>'[1]cálculos teóricos'!I145</f>
        <v>10.761847969468413</v>
      </c>
      <c r="AA30" s="72">
        <f t="shared" si="3"/>
        <v>43.672796840598366</v>
      </c>
      <c r="AB30" s="166"/>
      <c r="AC30" s="167"/>
    </row>
    <row r="31" spans="1:29" ht="18" customHeight="1">
      <c r="A31" s="92">
        <v>23</v>
      </c>
      <c r="B31" s="77">
        <v>21</v>
      </c>
      <c r="C31" s="75">
        <f>'[1]cálculos teóricos'!K146</f>
        <v>0.95877190244810251</v>
      </c>
      <c r="D31" s="59">
        <f t="shared" si="4"/>
        <v>293.22456662736175</v>
      </c>
      <c r="E31" s="60">
        <f t="shared" si="5"/>
        <v>12.276726155554382</v>
      </c>
      <c r="F31" s="61">
        <f t="shared" si="6"/>
        <v>15.674990174442978</v>
      </c>
      <c r="G31" s="62">
        <f>'[1]cálculos teóricos'!T146</f>
        <v>23.81733419585737</v>
      </c>
      <c r="H31" s="76">
        <f t="shared" si="7"/>
        <v>65.813369563287992</v>
      </c>
      <c r="I31" s="80"/>
      <c r="J31" s="88"/>
      <c r="K31" s="88">
        <v>0.8</v>
      </c>
      <c r="L31" s="88">
        <v>1</v>
      </c>
      <c r="M31" s="88">
        <v>1</v>
      </c>
      <c r="N31" s="88">
        <v>1</v>
      </c>
      <c r="O31" s="79">
        <v>1</v>
      </c>
      <c r="P31" s="89">
        <v>1</v>
      </c>
      <c r="Q31" s="89">
        <v>1</v>
      </c>
      <c r="R31" s="88">
        <v>1</v>
      </c>
      <c r="S31" s="88">
        <v>1</v>
      </c>
      <c r="T31" s="88">
        <v>0.7</v>
      </c>
      <c r="U31" s="88"/>
      <c r="V31" s="79"/>
      <c r="W31" s="123">
        <f t="shared" si="0"/>
        <v>4.8</v>
      </c>
      <c r="X31" s="124">
        <f t="shared" si="1"/>
        <v>4.7</v>
      </c>
      <c r="Y31" s="70">
        <f t="shared" si="2"/>
        <v>9.5</v>
      </c>
      <c r="Z31" s="71">
        <f>'[1]cálculos teóricos'!I146</f>
        <v>10.748434219324782</v>
      </c>
      <c r="AA31" s="72">
        <f t="shared" si="3"/>
        <v>88.384966648628676</v>
      </c>
      <c r="AB31" s="166"/>
      <c r="AC31" s="167"/>
    </row>
    <row r="32" spans="1:29" ht="18" customHeight="1">
      <c r="A32" s="92">
        <v>24</v>
      </c>
      <c r="B32" s="77">
        <v>21.5</v>
      </c>
      <c r="C32" s="75">
        <f>'[1]cálculos teóricos'!K147</f>
        <v>0.95811684094818839</v>
      </c>
      <c r="D32" s="59">
        <f t="shared" si="4"/>
        <v>300.00099418270224</v>
      </c>
      <c r="E32" s="60">
        <f t="shared" si="5"/>
        <v>12.560441624441378</v>
      </c>
      <c r="F32" s="61">
        <f t="shared" si="6"/>
        <v>16.029634510551723</v>
      </c>
      <c r="G32" s="62">
        <f>'[1]cálculos teóricos'!T147</f>
        <v>23.703834644645326</v>
      </c>
      <c r="H32" s="76">
        <f t="shared" si="7"/>
        <v>67.624647028040258</v>
      </c>
      <c r="I32" s="80"/>
      <c r="J32" s="88"/>
      <c r="K32" s="88">
        <v>0.9</v>
      </c>
      <c r="L32" s="88">
        <v>1</v>
      </c>
      <c r="M32" s="88">
        <v>1</v>
      </c>
      <c r="N32" s="88">
        <v>1</v>
      </c>
      <c r="O32" s="79">
        <v>1</v>
      </c>
      <c r="P32" s="89">
        <v>1</v>
      </c>
      <c r="Q32" s="89">
        <v>1</v>
      </c>
      <c r="R32" s="88">
        <v>1</v>
      </c>
      <c r="S32" s="88">
        <v>1</v>
      </c>
      <c r="T32" s="88">
        <v>0.3</v>
      </c>
      <c r="U32" s="88"/>
      <c r="V32" s="79"/>
      <c r="W32" s="123">
        <f t="shared" si="0"/>
        <v>4.9000000000000004</v>
      </c>
      <c r="X32" s="124">
        <f t="shared" si="1"/>
        <v>4.3</v>
      </c>
      <c r="Y32" s="70">
        <f t="shared" si="2"/>
        <v>9.1999999999999993</v>
      </c>
      <c r="Z32" s="71">
        <f>'[1]cálculos teóricos'!I147</f>
        <v>10.735375210241287</v>
      </c>
      <c r="AA32" s="72">
        <f t="shared" si="3"/>
        <v>85.697982788933388</v>
      </c>
      <c r="AB32" s="166"/>
      <c r="AC32" s="167"/>
    </row>
    <row r="33" spans="1:29" ht="18" customHeight="1">
      <c r="A33" s="168">
        <v>25</v>
      </c>
      <c r="B33" s="83">
        <v>-99</v>
      </c>
      <c r="C33" s="75">
        <f>'[1]cálculos teóricos'!K148</f>
        <v>0.95747935640287785</v>
      </c>
      <c r="D33" s="59">
        <f t="shared" si="4"/>
        <v>-999</v>
      </c>
      <c r="E33" s="60">
        <f t="shared" si="5"/>
        <v>-999</v>
      </c>
      <c r="F33" s="61">
        <f t="shared" si="6"/>
        <v>-999</v>
      </c>
      <c r="G33" s="62">
        <f>'[1]cálculos teóricos'!T148</f>
        <v>23.593605916647533</v>
      </c>
      <c r="H33" s="76">
        <f t="shared" si="7"/>
        <v>-999</v>
      </c>
      <c r="I33" s="80"/>
      <c r="J33" s="88"/>
      <c r="K33" s="88">
        <v>0.2</v>
      </c>
      <c r="L33" s="88">
        <v>0.7</v>
      </c>
      <c r="M33" s="88">
        <v>1</v>
      </c>
      <c r="N33" s="88">
        <v>1</v>
      </c>
      <c r="O33" s="79">
        <v>1</v>
      </c>
      <c r="P33" s="89">
        <v>1</v>
      </c>
      <c r="Q33" s="89">
        <v>1</v>
      </c>
      <c r="R33" s="88">
        <v>1</v>
      </c>
      <c r="S33" s="88">
        <v>0.4</v>
      </c>
      <c r="T33" s="88"/>
      <c r="U33" s="88"/>
      <c r="V33" s="79"/>
      <c r="W33" s="123">
        <f t="shared" si="0"/>
        <v>3.9</v>
      </c>
      <c r="X33" s="124">
        <f t="shared" si="1"/>
        <v>3.4</v>
      </c>
      <c r="Y33" s="70">
        <f t="shared" si="2"/>
        <v>7.3</v>
      </c>
      <c r="Z33" s="71">
        <f>'[1]cálculos teóricos'!I148</f>
        <v>10.722678344310896</v>
      </c>
      <c r="AA33" s="72">
        <f t="shared" si="3"/>
        <v>68.080005438875659</v>
      </c>
      <c r="AB33" s="166"/>
      <c r="AC33" s="167"/>
    </row>
    <row r="34" spans="1:29" ht="18" customHeight="1">
      <c r="A34" s="92">
        <v>26</v>
      </c>
      <c r="B34" s="77">
        <v>22.8</v>
      </c>
      <c r="C34" s="75">
        <f>'[1]cálculos teóricos'!K149</f>
        <v>0.95685989282974016</v>
      </c>
      <c r="D34" s="59">
        <f t="shared" si="4"/>
        <v>317.72322232235103</v>
      </c>
      <c r="E34" s="60">
        <f t="shared" si="5"/>
        <v>13.302435872192193</v>
      </c>
      <c r="F34" s="61">
        <f t="shared" si="6"/>
        <v>16.957127320240239</v>
      </c>
      <c r="G34" s="62">
        <f>'[1]cálculos teóricos'!T149</f>
        <v>23.486697355182486</v>
      </c>
      <c r="H34" s="76">
        <f t="shared" si="7"/>
        <v>72.19885820386979</v>
      </c>
      <c r="I34" s="80"/>
      <c r="J34" s="88">
        <v>0.3</v>
      </c>
      <c r="K34" s="88">
        <v>1</v>
      </c>
      <c r="L34" s="88">
        <v>1</v>
      </c>
      <c r="M34" s="88">
        <v>1</v>
      </c>
      <c r="N34" s="88">
        <v>1</v>
      </c>
      <c r="O34" s="79">
        <v>1</v>
      </c>
      <c r="P34" s="89">
        <v>1</v>
      </c>
      <c r="Q34" s="89">
        <v>1</v>
      </c>
      <c r="R34" s="88">
        <v>1</v>
      </c>
      <c r="S34" s="88">
        <v>0.9</v>
      </c>
      <c r="T34" s="88"/>
      <c r="U34" s="88"/>
      <c r="V34" s="79"/>
      <c r="W34" s="123">
        <f t="shared" si="0"/>
        <v>5.3</v>
      </c>
      <c r="X34" s="124">
        <f t="shared" si="1"/>
        <v>3.9</v>
      </c>
      <c r="Y34" s="70">
        <f t="shared" si="2"/>
        <v>9.1999999999999993</v>
      </c>
      <c r="Z34" s="71">
        <f>'[1]cálculos teóricos'!I149</f>
        <v>10.710350943089647</v>
      </c>
      <c r="AA34" s="72">
        <f t="shared" si="3"/>
        <v>85.898212382441756</v>
      </c>
      <c r="AB34" s="166"/>
      <c r="AC34" s="167"/>
    </row>
    <row r="35" spans="1:29" ht="18" customHeight="1">
      <c r="A35" s="92">
        <v>27</v>
      </c>
      <c r="B35" s="77">
        <v>21.1</v>
      </c>
      <c r="C35" s="75">
        <f>'[1]cálculos teóricos'!K150</f>
        <v>0.95625888459052066</v>
      </c>
      <c r="D35" s="59">
        <f t="shared" si="4"/>
        <v>293.8486492069884</v>
      </c>
      <c r="E35" s="60">
        <f t="shared" si="5"/>
        <v>12.302855244998192</v>
      </c>
      <c r="F35" s="61">
        <f t="shared" si="6"/>
        <v>15.707651536247736</v>
      </c>
      <c r="G35" s="62">
        <f>'[1]cálculos teóricos'!T150</f>
        <v>23.38315682596054</v>
      </c>
      <c r="H35" s="76">
        <f t="shared" si="7"/>
        <v>67.175068161920393</v>
      </c>
      <c r="I35" s="80"/>
      <c r="J35" s="88">
        <v>0.1</v>
      </c>
      <c r="K35" s="88">
        <v>1</v>
      </c>
      <c r="L35" s="88">
        <v>1</v>
      </c>
      <c r="M35" s="88">
        <v>1</v>
      </c>
      <c r="N35" s="88">
        <v>1</v>
      </c>
      <c r="O35" s="79">
        <v>1</v>
      </c>
      <c r="P35" s="89">
        <v>1</v>
      </c>
      <c r="Q35" s="89">
        <v>1</v>
      </c>
      <c r="R35" s="88">
        <v>1</v>
      </c>
      <c r="S35" s="88">
        <v>1</v>
      </c>
      <c r="T35" s="88">
        <v>0.2</v>
      </c>
      <c r="U35" s="88"/>
      <c r="V35" s="79"/>
      <c r="W35" s="123">
        <f t="shared" si="0"/>
        <v>5.0999999999999996</v>
      </c>
      <c r="X35" s="124">
        <f t="shared" si="1"/>
        <v>4.2</v>
      </c>
      <c r="Y35" s="70">
        <f t="shared" si="2"/>
        <v>9.3000000000000007</v>
      </c>
      <c r="Z35" s="71">
        <f>'[1]cálculos teóricos'!I150</f>
        <v>10.698400233986028</v>
      </c>
      <c r="AA35" s="72">
        <f t="shared" si="3"/>
        <v>86.928884661244268</v>
      </c>
      <c r="AB35" s="166"/>
      <c r="AC35" s="167"/>
    </row>
    <row r="36" spans="1:29" ht="18" customHeight="1">
      <c r="A36" s="92">
        <v>28</v>
      </c>
      <c r="B36" s="77">
        <v>7.9</v>
      </c>
      <c r="C36" s="75">
        <f>'[1]cálculos teóricos'!K151</f>
        <v>0.95567675581796974</v>
      </c>
      <c r="D36" s="59">
        <f t="shared" si="4"/>
        <v>109.95218762350451</v>
      </c>
      <c r="E36" s="60">
        <f t="shared" si="5"/>
        <v>4.6034781914208871</v>
      </c>
      <c r="F36" s="61">
        <f t="shared" si="6"/>
        <v>6.0834302192761083</v>
      </c>
      <c r="G36" s="62">
        <f>'[1]cálculos teóricos'!T151</f>
        <v>23.283030682409645</v>
      </c>
      <c r="H36" s="76">
        <f t="shared" si="7"/>
        <v>26.128171638205789</v>
      </c>
      <c r="I36" s="80"/>
      <c r="J36" s="88"/>
      <c r="K36" s="88"/>
      <c r="L36" s="88">
        <v>0.1</v>
      </c>
      <c r="M36" s="88">
        <v>0.2</v>
      </c>
      <c r="N36" s="88"/>
      <c r="O36" s="79"/>
      <c r="P36" s="89"/>
      <c r="Q36" s="89"/>
      <c r="R36" s="88"/>
      <c r="S36" s="88"/>
      <c r="T36" s="88"/>
      <c r="U36" s="88"/>
      <c r="V36" s="79"/>
      <c r="W36" s="123">
        <f t="shared" si="0"/>
        <v>0.30000000000000004</v>
      </c>
      <c r="X36" s="124">
        <f t="shared" si="1"/>
        <v>0</v>
      </c>
      <c r="Y36" s="70">
        <f t="shared" si="2"/>
        <v>0.30000000000000004</v>
      </c>
      <c r="Z36" s="71">
        <f>'[1]cálculos teóricos'!I151</f>
        <v>10.686833336458804</v>
      </c>
      <c r="AA36" s="72">
        <f t="shared" si="3"/>
        <v>2.807192650572468</v>
      </c>
      <c r="AB36" s="166"/>
      <c r="AC36" s="167"/>
    </row>
    <row r="37" spans="1:29" ht="18" customHeight="1">
      <c r="A37" s="92">
        <v>29</v>
      </c>
      <c r="B37" s="77">
        <v>14.3</v>
      </c>
      <c r="C37" s="75">
        <f>'[1]cálculos teóricos'!K152</f>
        <v>0.95511391984862659</v>
      </c>
      <c r="D37" s="59">
        <f t="shared" si="4"/>
        <v>198.91016247553131</v>
      </c>
      <c r="E37" s="60">
        <f t="shared" si="5"/>
        <v>8.3279706825255442</v>
      </c>
      <c r="F37" s="61">
        <f t="shared" si="6"/>
        <v>10.739045833156931</v>
      </c>
      <c r="G37" s="62">
        <f>'[1]cálculos teóricos'!T152</f>
        <v>23.186363732139114</v>
      </c>
      <c r="H37" s="76">
        <f t="shared" si="7"/>
        <v>46.316213948939783</v>
      </c>
      <c r="I37" s="80"/>
      <c r="J37" s="88"/>
      <c r="K37" s="88"/>
      <c r="L37" s="88"/>
      <c r="M37" s="88">
        <v>0.2</v>
      </c>
      <c r="N37" s="88">
        <v>0.5</v>
      </c>
      <c r="O37" s="79">
        <v>1</v>
      </c>
      <c r="P37" s="89">
        <v>1</v>
      </c>
      <c r="Q37" s="89">
        <v>0.6</v>
      </c>
      <c r="R37" s="88">
        <v>0.3</v>
      </c>
      <c r="S37" s="88"/>
      <c r="T37" s="88"/>
      <c r="U37" s="88"/>
      <c r="V37" s="79"/>
      <c r="W37" s="123">
        <f t="shared" si="0"/>
        <v>1.7</v>
      </c>
      <c r="X37" s="124">
        <f t="shared" si="1"/>
        <v>1.9000000000000001</v>
      </c>
      <c r="Y37" s="70">
        <f t="shared" si="2"/>
        <v>3.6</v>
      </c>
      <c r="Z37" s="71">
        <f>'[1]cálculos teóricos'!I152</f>
        <v>10.675657248068191</v>
      </c>
      <c r="AA37" s="72">
        <f t="shared" si="3"/>
        <v>33.721577195178654</v>
      </c>
      <c r="AB37" s="166"/>
      <c r="AC37" s="167"/>
    </row>
    <row r="38" spans="1:29" ht="18" customHeight="1">
      <c r="A38" s="81">
        <v>30</v>
      </c>
      <c r="B38" s="77">
        <v>8.5</v>
      </c>
      <c r="C38" s="75">
        <f>'[1]cálculos teóricos'!K153</f>
        <v>0.95457077866293116</v>
      </c>
      <c r="D38" s="59">
        <f t="shared" si="4"/>
        <v>118.16607804798959</v>
      </c>
      <c r="E38" s="60">
        <f t="shared" si="5"/>
        <v>4.9473773557132281</v>
      </c>
      <c r="F38" s="61">
        <f t="shared" si="6"/>
        <v>6.5133041746415357</v>
      </c>
      <c r="G38" s="62">
        <f>'[1]cálculos teóricos'!T153</f>
        <v>23.093199204585154</v>
      </c>
      <c r="H38" s="76">
        <f t="shared" si="7"/>
        <v>28.204425540781372</v>
      </c>
      <c r="I38" s="80"/>
      <c r="J38" s="88"/>
      <c r="K38" s="88"/>
      <c r="L38" s="88"/>
      <c r="M38" s="88">
        <v>0.1</v>
      </c>
      <c r="N38" s="88">
        <v>0.2</v>
      </c>
      <c r="O38" s="79"/>
      <c r="P38" s="89"/>
      <c r="Q38" s="89">
        <v>0.1</v>
      </c>
      <c r="R38" s="88"/>
      <c r="S38" s="88"/>
      <c r="T38" s="88"/>
      <c r="U38" s="88"/>
      <c r="V38" s="79"/>
      <c r="W38" s="123">
        <f t="shared" si="0"/>
        <v>0.30000000000000004</v>
      </c>
      <c r="X38" s="124">
        <f t="shared" si="1"/>
        <v>0.1</v>
      </c>
      <c r="Y38" s="132">
        <f t="shared" si="2"/>
        <v>0.4</v>
      </c>
      <c r="Z38" s="71">
        <f>'[1]cálculos teóricos'!I153</f>
        <v>10.66487883042762</v>
      </c>
      <c r="AA38" s="72">
        <f t="shared" si="3"/>
        <v>3.7506286415441776</v>
      </c>
      <c r="AB38" s="166"/>
      <c r="AC38" s="167"/>
    </row>
    <row r="39" spans="1:29" ht="18" customHeight="1" thickBot="1">
      <c r="A39" s="93">
        <v>31</v>
      </c>
      <c r="B39" s="94">
        <v>4.3</v>
      </c>
      <c r="C39" s="95">
        <f>'[1]cálculos teóricos'!K154</f>
        <v>0.95404772233404822</v>
      </c>
      <c r="D39" s="96">
        <f t="shared" si="4"/>
        <v>59.745378218111227</v>
      </c>
      <c r="E39" s="97">
        <f t="shared" si="5"/>
        <v>2.5014194952358806</v>
      </c>
      <c r="F39" s="98">
        <f t="shared" si="6"/>
        <v>3.4558568490448511</v>
      </c>
      <c r="G39" s="99">
        <f>'[1]cálculos teóricos'!T154</f>
        <v>23.003578719878121</v>
      </c>
      <c r="H39" s="100">
        <f t="shared" si="7"/>
        <v>15.023127014835026</v>
      </c>
      <c r="I39" s="101"/>
      <c r="J39" s="94"/>
      <c r="K39" s="94"/>
      <c r="L39" s="94"/>
      <c r="M39" s="94"/>
      <c r="N39" s="94"/>
      <c r="O39" s="102"/>
      <c r="P39" s="101"/>
      <c r="Q39" s="101"/>
      <c r="R39" s="94"/>
      <c r="S39" s="94"/>
      <c r="T39" s="94"/>
      <c r="U39" s="94"/>
      <c r="V39" s="102"/>
      <c r="W39" s="123">
        <f t="shared" si="0"/>
        <v>0</v>
      </c>
      <c r="X39" s="124">
        <f t="shared" si="1"/>
        <v>0</v>
      </c>
      <c r="Y39" s="106">
        <f t="shared" si="2"/>
        <v>0</v>
      </c>
      <c r="Z39" s="107">
        <f>'[1]cálculos teóricos'!I154</f>
        <v>10.654504795105451</v>
      </c>
      <c r="AA39" s="108">
        <f t="shared" si="3"/>
        <v>0</v>
      </c>
      <c r="AB39" s="166"/>
      <c r="AC39" s="167"/>
    </row>
    <row r="40" spans="1:29" s="113" customFormat="1" ht="15.75" thickTop="1">
      <c r="A40" s="109"/>
      <c r="B40" s="109"/>
      <c r="C40" s="109"/>
      <c r="D40" s="109"/>
      <c r="E40" s="109"/>
      <c r="F40" s="109"/>
      <c r="G40" s="109"/>
      <c r="H40" s="109"/>
      <c r="I40" s="110">
        <f>SUM(I9:I39)</f>
        <v>0</v>
      </c>
      <c r="J40" s="110">
        <f t="shared" ref="J40:V40" si="8">SUM(J9:J39)</f>
        <v>0.5</v>
      </c>
      <c r="K40" s="110">
        <f t="shared" si="8"/>
        <v>9.8000000000000007</v>
      </c>
      <c r="L40" s="110">
        <f t="shared" si="8"/>
        <v>17.100000000000001</v>
      </c>
      <c r="M40" s="110">
        <f t="shared" si="8"/>
        <v>21.8</v>
      </c>
      <c r="N40" s="110">
        <f t="shared" si="8"/>
        <v>22.699999999999996</v>
      </c>
      <c r="O40" s="110">
        <f t="shared" si="8"/>
        <v>24.3</v>
      </c>
      <c r="P40" s="110">
        <f t="shared" si="8"/>
        <v>26.3</v>
      </c>
      <c r="Q40" s="110">
        <f t="shared" si="8"/>
        <v>25.400000000000006</v>
      </c>
      <c r="R40" s="110">
        <f t="shared" si="8"/>
        <v>22.900000000000002</v>
      </c>
      <c r="S40" s="110">
        <f t="shared" si="8"/>
        <v>18.599999999999998</v>
      </c>
      <c r="T40" s="110">
        <f t="shared" si="8"/>
        <v>10.4</v>
      </c>
      <c r="U40" s="110">
        <f t="shared" si="8"/>
        <v>0</v>
      </c>
      <c r="V40" s="110">
        <f t="shared" si="8"/>
        <v>0</v>
      </c>
      <c r="W40" s="111">
        <f t="shared" si="0"/>
        <v>96.2</v>
      </c>
      <c r="X40" s="111">
        <f>SUM(P40:V40)</f>
        <v>103.60000000000001</v>
      </c>
      <c r="Y40" s="111">
        <f>W40+X40</f>
        <v>199.8</v>
      </c>
      <c r="Z40" s="111">
        <f>SUM(Z9:Z39)</f>
        <v>336.70450794356452</v>
      </c>
      <c r="AA40" s="111">
        <f>SUM(AA9:AA39)</f>
        <v>1837.889150674727</v>
      </c>
      <c r="AB40" s="109"/>
    </row>
    <row r="41" spans="1:29" s="113" customFormat="1" ht="15">
      <c r="A41" s="109"/>
      <c r="B41" s="109" t="s">
        <v>51</v>
      </c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</row>
    <row r="42" spans="1:29" s="113" customFormat="1" ht="15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</row>
    <row r="43" spans="1:29" s="113" customFormat="1" ht="15">
      <c r="A43" s="109"/>
      <c r="B43" s="109" t="s">
        <v>52</v>
      </c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</row>
    <row r="44" spans="1:29" s="113" customFormat="1" ht="15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</row>
    <row r="45" spans="1:29" s="113" customFormat="1" ht="15">
      <c r="A45" s="109"/>
      <c r="B45" s="109" t="s">
        <v>53</v>
      </c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</row>
    <row r="46" spans="1:29" s="113" customFormat="1" ht="15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</row>
    <row r="47" spans="1:29" s="113" customFormat="1" ht="15">
      <c r="A47" s="109"/>
      <c r="B47" s="109" t="s">
        <v>54</v>
      </c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</row>
    <row r="48" spans="1:29" s="113" customFormat="1" ht="15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</row>
    <row r="49" spans="1:28" s="113" customFormat="1" ht="15">
      <c r="A49" s="109"/>
      <c r="B49" s="109" t="s">
        <v>55</v>
      </c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9" t="s">
        <v>56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9" t="s">
        <v>57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13" t="s">
        <v>58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55"/>
  <sheetViews>
    <sheetView zoomScale="75" zoomScaleNormal="75" workbookViewId="0">
      <selection activeCell="A2" sqref="A2"/>
    </sheetView>
  </sheetViews>
  <sheetFormatPr defaultColWidth="11.42578125" defaultRowHeight="12.75"/>
  <cols>
    <col min="1" max="1" width="8.7109375" style="8" customWidth="1"/>
    <col min="2" max="8" width="12.7109375" style="8" customWidth="1"/>
    <col min="9" max="25" width="8.7109375" style="8" customWidth="1"/>
    <col min="26" max="27" width="12.7109375" style="8" customWidth="1"/>
    <col min="28" max="16384" width="11.42578125" style="8"/>
  </cols>
  <sheetData>
    <row r="1" spans="1:28" ht="18" customHeight="1">
      <c r="A1" s="1" t="s">
        <v>73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7" t="s">
        <v>2</v>
      </c>
      <c r="Y1" s="6"/>
      <c r="Z1" s="6"/>
      <c r="AA1" s="6"/>
      <c r="AB1" s="3"/>
    </row>
    <row r="2" spans="1:28" ht="18" customHeight="1">
      <c r="A2" s="3"/>
      <c r="B2" s="9" t="s">
        <v>74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9" t="s">
        <v>67</v>
      </c>
      <c r="W2" s="3"/>
      <c r="X2" s="3"/>
      <c r="Y2" s="3"/>
      <c r="Z2" s="3"/>
      <c r="AA2" s="3"/>
      <c r="AB2" s="3"/>
    </row>
    <row r="3" spans="1:28" ht="18" customHeight="1">
      <c r="A3" s="3"/>
      <c r="B3" s="9" t="s">
        <v>68</v>
      </c>
      <c r="C3" s="3"/>
      <c r="D3" s="3"/>
      <c r="E3" s="3"/>
      <c r="F3" s="3"/>
      <c r="G3" s="4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9" t="s">
        <v>75</v>
      </c>
      <c r="W3" s="3"/>
      <c r="X3" s="3"/>
      <c r="Y3" s="6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1" t="s">
        <v>8</v>
      </c>
      <c r="B5" s="12"/>
      <c r="C5" s="13" t="s">
        <v>9</v>
      </c>
      <c r="D5" s="14"/>
      <c r="E5" s="15"/>
      <c r="F5" s="14"/>
      <c r="G5" s="14"/>
      <c r="H5" s="16"/>
      <c r="I5" s="17" t="s">
        <v>10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3"/>
      <c r="Y5" s="18"/>
      <c r="Z5" s="15"/>
      <c r="AA5" s="19"/>
      <c r="AB5" s="3"/>
    </row>
    <row r="6" spans="1:28" ht="18" customHeight="1">
      <c r="A6" s="20"/>
      <c r="B6" s="21" t="s">
        <v>11</v>
      </c>
      <c r="C6" s="22" t="s">
        <v>12</v>
      </c>
      <c r="D6" s="23" t="s">
        <v>13</v>
      </c>
      <c r="E6" s="22" t="s">
        <v>13</v>
      </c>
      <c r="F6" s="24" t="s">
        <v>14</v>
      </c>
      <c r="G6" s="24" t="s">
        <v>15</v>
      </c>
      <c r="H6" s="24" t="s">
        <v>16</v>
      </c>
      <c r="I6" s="25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8"/>
      <c r="W6" s="29"/>
      <c r="X6" s="30"/>
      <c r="Y6" s="31"/>
      <c r="Z6" s="32" t="s">
        <v>17</v>
      </c>
      <c r="AA6" s="33" t="s">
        <v>18</v>
      </c>
      <c r="AB6" s="3"/>
    </row>
    <row r="7" spans="1:28" ht="18" customHeight="1" thickBot="1">
      <c r="A7" s="34"/>
      <c r="B7" s="35" t="s">
        <v>19</v>
      </c>
      <c r="C7" s="36" t="s">
        <v>20</v>
      </c>
      <c r="D7" s="23" t="s">
        <v>21</v>
      </c>
      <c r="E7" s="24" t="s">
        <v>21</v>
      </c>
      <c r="F7" s="24" t="s">
        <v>22</v>
      </c>
      <c r="G7" s="24" t="s">
        <v>23</v>
      </c>
      <c r="H7" s="24" t="s">
        <v>24</v>
      </c>
      <c r="I7" s="37" t="s">
        <v>25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8"/>
      <c r="W7" s="39"/>
      <c r="X7" s="40" t="s">
        <v>26</v>
      </c>
      <c r="Y7" s="41"/>
      <c r="Z7" s="42" t="s">
        <v>27</v>
      </c>
      <c r="AA7" s="43" t="s">
        <v>28</v>
      </c>
      <c r="AB7" s="3"/>
    </row>
    <row r="8" spans="1:28" ht="18" customHeight="1" thickBot="1">
      <c r="A8" s="137"/>
      <c r="B8" s="45" t="s">
        <v>29</v>
      </c>
      <c r="C8" s="46" t="s">
        <v>30</v>
      </c>
      <c r="D8" s="46" t="s">
        <v>31</v>
      </c>
      <c r="E8" s="47" t="s">
        <v>32</v>
      </c>
      <c r="F8" s="47" t="s">
        <v>32</v>
      </c>
      <c r="G8" s="46" t="s">
        <v>32</v>
      </c>
      <c r="H8" s="24" t="s">
        <v>33</v>
      </c>
      <c r="I8" s="48" t="s">
        <v>34</v>
      </c>
      <c r="J8" s="49" t="s">
        <v>35</v>
      </c>
      <c r="K8" s="49" t="s">
        <v>36</v>
      </c>
      <c r="L8" s="49" t="s">
        <v>37</v>
      </c>
      <c r="M8" s="49" t="s">
        <v>38</v>
      </c>
      <c r="N8" s="49" t="s">
        <v>39</v>
      </c>
      <c r="O8" s="50" t="s">
        <v>40</v>
      </c>
      <c r="P8" s="49" t="s">
        <v>41</v>
      </c>
      <c r="Q8" s="49" t="s">
        <v>42</v>
      </c>
      <c r="R8" s="49" t="s">
        <v>43</v>
      </c>
      <c r="S8" s="49" t="s">
        <v>44</v>
      </c>
      <c r="T8" s="49" t="s">
        <v>45</v>
      </c>
      <c r="U8" s="49" t="s">
        <v>46</v>
      </c>
      <c r="V8" s="51" t="s">
        <v>47</v>
      </c>
      <c r="W8" s="54" t="s">
        <v>48</v>
      </c>
      <c r="X8" s="117" t="s">
        <v>49</v>
      </c>
      <c r="Y8" s="169" t="s">
        <v>50</v>
      </c>
      <c r="Z8" s="54" t="s">
        <v>50</v>
      </c>
      <c r="AA8" s="55" t="s">
        <v>50</v>
      </c>
      <c r="AB8" s="3"/>
    </row>
    <row r="9" spans="1:28" ht="18" customHeight="1">
      <c r="A9" s="73">
        <v>1</v>
      </c>
      <c r="B9" s="57">
        <v>13.8</v>
      </c>
      <c r="C9" s="75">
        <f>'[1]cálculos teóricos'!K155</f>
        <v>0.95354512848678641</v>
      </c>
      <c r="D9" s="59">
        <f>IF(B9&gt;0,B9*C9*14.25*1.022,-999)</f>
        <v>191.63997180629895</v>
      </c>
      <c r="E9" s="60">
        <f>IF(B9&gt;0,D9*4.1868/100,-999)</f>
        <v>8.0235823395861239</v>
      </c>
      <c r="F9" s="61">
        <f>IF(B9&gt;0,(7.86+1.25*D9)*4.1868/100,-999)</f>
        <v>10.358560404482654</v>
      </c>
      <c r="G9" s="62">
        <f>'[1]cálculos teóricos'!T155</f>
        <v>22.917542258968254</v>
      </c>
      <c r="H9" s="63">
        <f>IF(B9&gt;0,100*F9/G9,-999)</f>
        <v>45.199263897633131</v>
      </c>
      <c r="I9" s="170"/>
      <c r="J9" s="64"/>
      <c r="K9" s="64"/>
      <c r="L9" s="171">
        <v>0.7</v>
      </c>
      <c r="M9" s="171">
        <v>1</v>
      </c>
      <c r="N9" s="171">
        <v>0.8</v>
      </c>
      <c r="O9" s="172">
        <v>0.3</v>
      </c>
      <c r="P9" s="171"/>
      <c r="Q9" s="171"/>
      <c r="R9" s="171">
        <v>0.5</v>
      </c>
      <c r="S9" s="64">
        <v>0.1</v>
      </c>
      <c r="T9" s="64">
        <v>0.2</v>
      </c>
      <c r="U9" s="64"/>
      <c r="V9" s="65"/>
      <c r="W9" s="124">
        <f t="shared" ref="W9:W38" si="0">SUM(I9:O9)</f>
        <v>2.8</v>
      </c>
      <c r="X9" s="124">
        <f>SUM(P9:V9)</f>
        <v>0.8</v>
      </c>
      <c r="Y9" s="125">
        <f>W9+X9</f>
        <v>3.5999999999999996</v>
      </c>
      <c r="Z9" s="71">
        <f>'[1]cálculos teóricos'!I155</f>
        <v>10.64454168952793</v>
      </c>
      <c r="AA9" s="72">
        <f>100*Y9/Z9</f>
        <v>33.820150317431413</v>
      </c>
      <c r="AB9" s="3"/>
    </row>
    <row r="10" spans="1:28" ht="18" customHeight="1">
      <c r="A10" s="73">
        <v>2</v>
      </c>
      <c r="B10" s="57">
        <v>17.7</v>
      </c>
      <c r="C10" s="75">
        <f>'[1]cálculos teóricos'!K156</f>
        <v>0.95306336176798911</v>
      </c>
      <c r="D10" s="59">
        <f>IF(B10&gt;0,B10*C10*14.25*1.022,-999)</f>
        <v>245.67490736321352</v>
      </c>
      <c r="E10" s="60">
        <f>IF(B10&gt;0,D10*4.1868/100,-999)</f>
        <v>10.285917021483023</v>
      </c>
      <c r="F10" s="61">
        <f>IF(B10&gt;0,(7.86+1.25*D10)*4.1868/100,-999)</f>
        <v>13.186478756853781</v>
      </c>
      <c r="G10" s="62">
        <f>'[1]cálculos teóricos'!T156</f>
        <v>22.835128135042794</v>
      </c>
      <c r="H10" s="76">
        <f>IF(B10&gt;0,100*F10/G10,-999)</f>
        <v>57.746462725636327</v>
      </c>
      <c r="I10" s="173"/>
      <c r="J10" s="80"/>
      <c r="K10" s="77"/>
      <c r="L10" s="77">
        <v>0.6</v>
      </c>
      <c r="M10" s="80">
        <v>1</v>
      </c>
      <c r="N10" s="80">
        <v>0.8</v>
      </c>
      <c r="O10" s="78">
        <v>0.4</v>
      </c>
      <c r="P10" s="80">
        <v>0.8</v>
      </c>
      <c r="Q10" s="80">
        <v>1</v>
      </c>
      <c r="R10" s="80">
        <v>1</v>
      </c>
      <c r="S10" s="77">
        <v>0.2</v>
      </c>
      <c r="T10" s="89">
        <v>0.6</v>
      </c>
      <c r="U10" s="89"/>
      <c r="V10" s="79"/>
      <c r="W10" s="124">
        <f t="shared" si="0"/>
        <v>2.8000000000000003</v>
      </c>
      <c r="X10" s="124">
        <f t="shared" ref="X10:X38" si="1">SUM(P10:V10)</f>
        <v>3.6</v>
      </c>
      <c r="Y10" s="132">
        <f t="shared" ref="Y10:Y19" si="2">W10+X10</f>
        <v>6.4</v>
      </c>
      <c r="Z10" s="71">
        <f>'[1]cálculos teóricos'!I156</f>
        <v>10.634995882936208</v>
      </c>
      <c r="AA10" s="72">
        <f t="shared" ref="AA10:AA38" si="3">100*Y10/Z10</f>
        <v>60.178678679779885</v>
      </c>
      <c r="AB10" s="3"/>
    </row>
    <row r="11" spans="1:28" ht="18" customHeight="1">
      <c r="A11" s="73">
        <v>3</v>
      </c>
      <c r="B11" s="57">
        <v>21.2</v>
      </c>
      <c r="C11" s="75">
        <f>'[1]cálculos teóricos'!K157</f>
        <v>0.95260277332976384</v>
      </c>
      <c r="D11" s="59">
        <f t="shared" ref="D11:D38" si="4">IF(B11&gt;0,B11*C11*14.25*1.022,-999)</f>
        <v>294.11248637502592</v>
      </c>
      <c r="E11" s="60">
        <f t="shared" ref="E11:E38" si="5">IF(B11&gt;0,D11*4.1868/100,-999)</f>
        <v>12.313901579549587</v>
      </c>
      <c r="F11" s="61">
        <f t="shared" ref="F11:F38" si="6">IF(B11&gt;0,(7.86+1.25*D11)*4.1868/100,-999)</f>
        <v>15.721459454436983</v>
      </c>
      <c r="G11" s="62">
        <f>'[1]cálculos teóricos'!T157</f>
        <v>22.756372966264053</v>
      </c>
      <c r="H11" s="76">
        <f t="shared" ref="H11:H38" si="7">IF(B11&gt;0,100*F11/G11,-999)</f>
        <v>69.085963205752464</v>
      </c>
      <c r="I11" s="173"/>
      <c r="J11" s="80"/>
      <c r="K11" s="77"/>
      <c r="L11" s="77">
        <v>0.5</v>
      </c>
      <c r="M11" s="80">
        <v>1</v>
      </c>
      <c r="N11" s="80">
        <v>1</v>
      </c>
      <c r="O11" s="78">
        <v>1</v>
      </c>
      <c r="P11" s="80">
        <v>1</v>
      </c>
      <c r="Q11" s="80">
        <v>1</v>
      </c>
      <c r="R11" s="80">
        <v>1</v>
      </c>
      <c r="S11" s="77">
        <v>1</v>
      </c>
      <c r="T11" s="89">
        <v>0.5</v>
      </c>
      <c r="U11" s="89"/>
      <c r="V11" s="79"/>
      <c r="W11" s="124">
        <f t="shared" si="0"/>
        <v>3.5</v>
      </c>
      <c r="X11" s="124">
        <f t="shared" si="1"/>
        <v>4.5</v>
      </c>
      <c r="Y11" s="70">
        <f t="shared" si="2"/>
        <v>8</v>
      </c>
      <c r="Z11" s="71">
        <f>'[1]cálculos teóricos'!I157</f>
        <v>10.625873552451839</v>
      </c>
      <c r="AA11" s="72">
        <f t="shared" si="3"/>
        <v>75.287927721990073</v>
      </c>
      <c r="AB11" s="3"/>
    </row>
    <row r="12" spans="1:28" ht="18" customHeight="1">
      <c r="A12" s="73">
        <v>4</v>
      </c>
      <c r="B12" s="57">
        <v>22</v>
      </c>
      <c r="C12" s="75">
        <f>'[1]cálculos teóricos'!K158</f>
        <v>0.95216370032690345</v>
      </c>
      <c r="D12" s="59">
        <f t="shared" si="4"/>
        <v>305.07039309363893</v>
      </c>
      <c r="E12" s="60">
        <f t="shared" si="5"/>
        <v>12.772687218044474</v>
      </c>
      <c r="F12" s="61">
        <f t="shared" si="6"/>
        <v>16.294941502555591</v>
      </c>
      <c r="G12" s="62">
        <f>'[1]cálculos teóricos'!T158</f>
        <v>22.681311649854528</v>
      </c>
      <c r="H12" s="76">
        <f t="shared" si="7"/>
        <v>71.84302986577984</v>
      </c>
      <c r="I12" s="173"/>
      <c r="J12" s="80"/>
      <c r="K12" s="77">
        <v>0.7</v>
      </c>
      <c r="L12" s="77">
        <v>1</v>
      </c>
      <c r="M12" s="80">
        <v>1</v>
      </c>
      <c r="N12" s="80">
        <v>1</v>
      </c>
      <c r="O12" s="78">
        <v>1</v>
      </c>
      <c r="P12" s="80">
        <v>1</v>
      </c>
      <c r="Q12" s="80">
        <v>1</v>
      </c>
      <c r="R12" s="80">
        <v>1</v>
      </c>
      <c r="S12" s="77">
        <v>1</v>
      </c>
      <c r="T12" s="89">
        <v>0.7</v>
      </c>
      <c r="U12" s="89"/>
      <c r="V12" s="79"/>
      <c r="W12" s="124">
        <f t="shared" si="0"/>
        <v>4.7</v>
      </c>
      <c r="X12" s="124">
        <f t="shared" si="1"/>
        <v>4.7</v>
      </c>
      <c r="Y12" s="70">
        <f t="shared" si="2"/>
        <v>9.4</v>
      </c>
      <c r="Z12" s="71">
        <f>'[1]cálculos teóricos'!I158</f>
        <v>10.617180669306048</v>
      </c>
      <c r="AA12" s="72">
        <f t="shared" si="3"/>
        <v>88.535744966412025</v>
      </c>
      <c r="AB12" s="3"/>
    </row>
    <row r="13" spans="1:28" ht="18" customHeight="1">
      <c r="A13" s="73">
        <v>5</v>
      </c>
      <c r="B13" s="57">
        <v>21.2</v>
      </c>
      <c r="C13" s="75">
        <f>'[1]cálculos teóricos'!K159</f>
        <v>0.95174646542982722</v>
      </c>
      <c r="D13" s="59">
        <f t="shared" si="4"/>
        <v>293.84810456489049</v>
      </c>
      <c r="E13" s="60">
        <f t="shared" si="5"/>
        <v>12.302832441922835</v>
      </c>
      <c r="F13" s="61">
        <f t="shared" si="6"/>
        <v>15.707623032403545</v>
      </c>
      <c r="G13" s="62">
        <f>'[1]cálculos teóricos'!T159</f>
        <v>22.609977337551737</v>
      </c>
      <c r="H13" s="76">
        <f t="shared" si="7"/>
        <v>69.472086583278298</v>
      </c>
      <c r="I13" s="173"/>
      <c r="J13" s="80"/>
      <c r="K13" s="77">
        <v>0.3</v>
      </c>
      <c r="L13" s="77">
        <v>1</v>
      </c>
      <c r="M13" s="80">
        <v>1</v>
      </c>
      <c r="N13" s="80">
        <v>1</v>
      </c>
      <c r="O13" s="78">
        <v>1</v>
      </c>
      <c r="P13" s="80">
        <v>1</v>
      </c>
      <c r="Q13" s="80">
        <v>1</v>
      </c>
      <c r="R13" s="80">
        <v>1</v>
      </c>
      <c r="S13" s="77">
        <v>0.9</v>
      </c>
      <c r="T13" s="89"/>
      <c r="U13" s="89"/>
      <c r="V13" s="79"/>
      <c r="W13" s="124">
        <f t="shared" si="0"/>
        <v>4.3</v>
      </c>
      <c r="X13" s="124">
        <f t="shared" si="1"/>
        <v>3.9</v>
      </c>
      <c r="Y13" s="70">
        <f t="shared" si="2"/>
        <v>8.1999999999999993</v>
      </c>
      <c r="Z13" s="71">
        <f>'[1]cálculos teóricos'!I159</f>
        <v>10.608922985289027</v>
      </c>
      <c r="AA13" s="72">
        <f t="shared" si="3"/>
        <v>77.29342565094133</v>
      </c>
      <c r="AB13" s="3"/>
    </row>
    <row r="14" spans="1:28" ht="18" customHeight="1">
      <c r="A14" s="73">
        <v>6</v>
      </c>
      <c r="B14" s="57">
        <v>21.5</v>
      </c>
      <c r="C14" s="75">
        <f>'[1]cálculos teóricos'!K160</f>
        <v>0.95135137635435019</v>
      </c>
      <c r="D14" s="59">
        <f t="shared" si="4"/>
        <v>297.88262404503649</v>
      </c>
      <c r="E14" s="60">
        <f t="shared" si="5"/>
        <v>12.471749703517586</v>
      </c>
      <c r="F14" s="61">
        <f t="shared" si="6"/>
        <v>15.918769609396984</v>
      </c>
      <c r="G14" s="62">
        <f>'[1]cálculos teóricos'!T160</f>
        <v>22.542401412452758</v>
      </c>
      <c r="H14" s="76">
        <f t="shared" si="7"/>
        <v>70.617008889759276</v>
      </c>
      <c r="I14" s="173"/>
      <c r="J14" s="80"/>
      <c r="K14" s="77">
        <v>0.7</v>
      </c>
      <c r="L14" s="77">
        <v>1</v>
      </c>
      <c r="M14" s="77">
        <v>1</v>
      </c>
      <c r="N14" s="77">
        <v>1</v>
      </c>
      <c r="O14" s="78">
        <v>1</v>
      </c>
      <c r="P14" s="80">
        <v>1</v>
      </c>
      <c r="Q14" s="80">
        <v>1</v>
      </c>
      <c r="R14" s="77">
        <v>1</v>
      </c>
      <c r="S14" s="77">
        <v>1</v>
      </c>
      <c r="T14" s="89">
        <v>0.4</v>
      </c>
      <c r="U14" s="89"/>
      <c r="V14" s="79"/>
      <c r="W14" s="124">
        <f t="shared" si="0"/>
        <v>4.7</v>
      </c>
      <c r="X14" s="124">
        <f t="shared" si="1"/>
        <v>4.4000000000000004</v>
      </c>
      <c r="Y14" s="70">
        <f t="shared" si="2"/>
        <v>9.1000000000000014</v>
      </c>
      <c r="Z14" s="71">
        <f>'[1]cálculos teóricos'!I160</f>
        <v>10.601106019475857</v>
      </c>
      <c r="AA14" s="72">
        <f t="shared" si="3"/>
        <v>85.840099922422297</v>
      </c>
      <c r="AB14" s="3"/>
    </row>
    <row r="15" spans="1:28" ht="18" customHeight="1">
      <c r="A15" s="73">
        <v>7</v>
      </c>
      <c r="B15" s="57">
        <v>22.3</v>
      </c>
      <c r="C15" s="75">
        <f>'[1]cálculos teóricos'!K161</f>
        <v>0.9509787254095502</v>
      </c>
      <c r="D15" s="59">
        <f t="shared" si="4"/>
        <v>308.84560428529426</v>
      </c>
      <c r="E15" s="60">
        <f t="shared" si="5"/>
        <v>12.9307477602167</v>
      </c>
      <c r="F15" s="61">
        <f t="shared" si="6"/>
        <v>16.492517180270873</v>
      </c>
      <c r="G15" s="62">
        <f>'[1]cálculos teóricos'!T161</f>
        <v>22.478613467264381</v>
      </c>
      <c r="H15" s="76">
        <f t="shared" si="7"/>
        <v>73.369815288157938</v>
      </c>
      <c r="I15" s="173"/>
      <c r="J15" s="80"/>
      <c r="K15" s="77">
        <v>0.9</v>
      </c>
      <c r="L15" s="77">
        <v>1</v>
      </c>
      <c r="M15" s="77">
        <v>1</v>
      </c>
      <c r="N15" s="77">
        <v>1</v>
      </c>
      <c r="O15" s="78">
        <v>1</v>
      </c>
      <c r="P15" s="80">
        <v>1</v>
      </c>
      <c r="Q15" s="80">
        <v>1</v>
      </c>
      <c r="R15" s="77">
        <v>1</v>
      </c>
      <c r="S15" s="89">
        <v>1</v>
      </c>
      <c r="T15" s="89">
        <v>0.4</v>
      </c>
      <c r="U15" s="89"/>
      <c r="V15" s="79"/>
      <c r="W15" s="124">
        <f t="shared" si="0"/>
        <v>4.9000000000000004</v>
      </c>
      <c r="X15" s="124">
        <f t="shared" si="1"/>
        <v>4.4000000000000004</v>
      </c>
      <c r="Y15" s="70">
        <f t="shared" si="2"/>
        <v>9.3000000000000007</v>
      </c>
      <c r="Z15" s="71">
        <f>'[1]cálculos teóricos'!I161</f>
        <v>10.593735045285838</v>
      </c>
      <c r="AA15" s="72">
        <f t="shared" si="3"/>
        <v>87.78773454541377</v>
      </c>
      <c r="AB15" s="3"/>
    </row>
    <row r="16" spans="1:28" ht="18" customHeight="1">
      <c r="A16" s="81">
        <v>8</v>
      </c>
      <c r="B16" s="77">
        <v>21.5</v>
      </c>
      <c r="C16" s="75">
        <f>'[1]cálculos teóricos'!K162</f>
        <v>0.95062878906497217</v>
      </c>
      <c r="D16" s="59">
        <f t="shared" si="4"/>
        <v>297.65637094527602</v>
      </c>
      <c r="E16" s="60">
        <f t="shared" si="5"/>
        <v>12.462276938736816</v>
      </c>
      <c r="F16" s="61">
        <f t="shared" si="6"/>
        <v>15.906928653421021</v>
      </c>
      <c r="G16" s="62">
        <f>'[1]cálculos teóricos'!T162</f>
        <v>22.418641283973457</v>
      </c>
      <c r="H16" s="76">
        <f t="shared" si="7"/>
        <v>70.954026392279616</v>
      </c>
      <c r="I16" s="174"/>
      <c r="J16" s="89"/>
      <c r="K16" s="88">
        <v>0.7</v>
      </c>
      <c r="L16" s="77">
        <v>1</v>
      </c>
      <c r="M16" s="77">
        <v>1</v>
      </c>
      <c r="N16" s="77">
        <v>1</v>
      </c>
      <c r="O16" s="78">
        <v>1</v>
      </c>
      <c r="P16" s="80">
        <v>1</v>
      </c>
      <c r="Q16" s="80">
        <v>1</v>
      </c>
      <c r="R16" s="88">
        <v>1</v>
      </c>
      <c r="S16" s="88">
        <v>1</v>
      </c>
      <c r="T16" s="88">
        <v>0.3</v>
      </c>
      <c r="U16" s="88"/>
      <c r="V16" s="79"/>
      <c r="W16" s="124">
        <f t="shared" si="0"/>
        <v>4.7</v>
      </c>
      <c r="X16" s="124">
        <f t="shared" si="1"/>
        <v>4.3</v>
      </c>
      <c r="Y16" s="70">
        <f t="shared" si="2"/>
        <v>9</v>
      </c>
      <c r="Z16" s="71">
        <f>'[1]cálculos teóricos'!I162</f>
        <v>10.586815077931689</v>
      </c>
      <c r="AA16" s="72">
        <f t="shared" si="3"/>
        <v>85.011402709400116</v>
      </c>
      <c r="AB16" s="3"/>
    </row>
    <row r="17" spans="1:28" ht="18" customHeight="1">
      <c r="A17" s="81">
        <v>9</v>
      </c>
      <c r="B17" s="77">
        <v>22.4</v>
      </c>
      <c r="C17" s="75">
        <f>'[1]cálculos teóricos'!K163</f>
        <v>0.95030182753836612</v>
      </c>
      <c r="D17" s="59">
        <f t="shared" si="4"/>
        <v>310.00974290395186</v>
      </c>
      <c r="E17" s="60">
        <f t="shared" si="5"/>
        <v>12.979487915902656</v>
      </c>
      <c r="F17" s="61">
        <f t="shared" si="6"/>
        <v>16.553442374878323</v>
      </c>
      <c r="G17" s="62">
        <f>'[1]cálculos teóricos'!T163</f>
        <v>22.362510814947974</v>
      </c>
      <c r="H17" s="76">
        <f t="shared" si="7"/>
        <v>74.023183317203163</v>
      </c>
      <c r="I17" s="174"/>
      <c r="J17" s="89"/>
      <c r="K17" s="88">
        <v>0.9</v>
      </c>
      <c r="L17" s="88">
        <v>1</v>
      </c>
      <c r="M17" s="88">
        <v>1</v>
      </c>
      <c r="N17" s="88">
        <v>1</v>
      </c>
      <c r="O17" s="79">
        <v>1</v>
      </c>
      <c r="P17" s="89">
        <v>1</v>
      </c>
      <c r="Q17" s="89">
        <v>1</v>
      </c>
      <c r="R17" s="88">
        <v>1</v>
      </c>
      <c r="S17" s="88">
        <v>1</v>
      </c>
      <c r="T17" s="88">
        <v>0.3</v>
      </c>
      <c r="U17" s="88"/>
      <c r="V17" s="79"/>
      <c r="W17" s="124">
        <f t="shared" si="0"/>
        <v>4.9000000000000004</v>
      </c>
      <c r="X17" s="124">
        <f t="shared" si="1"/>
        <v>4.3</v>
      </c>
      <c r="Y17" s="70">
        <f t="shared" si="2"/>
        <v>9.1999999999999993</v>
      </c>
      <c r="Z17" s="71">
        <f>'[1]cálculos teóricos'!I163</f>
        <v>10.580350862314617</v>
      </c>
      <c r="AA17" s="72">
        <f t="shared" si="3"/>
        <v>86.953638113919368</v>
      </c>
      <c r="AB17" s="3"/>
    </row>
    <row r="18" spans="1:28" ht="18" customHeight="1">
      <c r="A18" s="81">
        <v>10</v>
      </c>
      <c r="B18" s="77">
        <v>21.9</v>
      </c>
      <c r="C18" s="75">
        <f>'[1]cálculos teóricos'!K164</f>
        <v>0.94999808440510503</v>
      </c>
      <c r="D18" s="59">
        <f t="shared" si="4"/>
        <v>302.99300653891908</v>
      </c>
      <c r="E18" s="60">
        <f t="shared" si="5"/>
        <v>12.685711197771463</v>
      </c>
      <c r="F18" s="61">
        <f t="shared" si="6"/>
        <v>16.186221477214328</v>
      </c>
      <c r="G18" s="62">
        <f>'[1]cálculos teóricos'!T164</f>
        <v>22.310246165477785</v>
      </c>
      <c r="H18" s="76">
        <f t="shared" si="7"/>
        <v>72.550618030653595</v>
      </c>
      <c r="I18" s="174"/>
      <c r="J18" s="89"/>
      <c r="K18" s="88">
        <v>0.4</v>
      </c>
      <c r="L18" s="88">
        <v>1</v>
      </c>
      <c r="M18" s="88">
        <v>1</v>
      </c>
      <c r="N18" s="88">
        <v>1</v>
      </c>
      <c r="O18" s="79">
        <v>1</v>
      </c>
      <c r="P18" s="80">
        <v>1</v>
      </c>
      <c r="Q18" s="89">
        <v>1</v>
      </c>
      <c r="R18" s="88">
        <v>1</v>
      </c>
      <c r="S18" s="88">
        <v>1</v>
      </c>
      <c r="T18" s="88">
        <v>0.6</v>
      </c>
      <c r="U18" s="88"/>
      <c r="V18" s="79"/>
      <c r="W18" s="124">
        <f t="shared" si="0"/>
        <v>4.4000000000000004</v>
      </c>
      <c r="X18" s="124">
        <f t="shared" si="1"/>
        <v>4.5999999999999996</v>
      </c>
      <c r="Y18" s="70">
        <f t="shared" si="2"/>
        <v>9</v>
      </c>
      <c r="Z18" s="71">
        <f>'[1]cálculos teóricos'!I164</f>
        <v>10.57434686142002</v>
      </c>
      <c r="AA18" s="72">
        <f t="shared" si="3"/>
        <v>85.111639687516345</v>
      </c>
      <c r="AB18" s="3"/>
    </row>
    <row r="19" spans="1:28" ht="18" customHeight="1">
      <c r="A19" s="81">
        <v>11</v>
      </c>
      <c r="B19" s="77">
        <v>21.2</v>
      </c>
      <c r="C19" s="75">
        <f>'[1]cálculos teóricos'!K165</f>
        <v>0.94971778623038505</v>
      </c>
      <c r="D19" s="59">
        <f t="shared" si="4"/>
        <v>293.22175757104367</v>
      </c>
      <c r="E19" s="60">
        <f t="shared" si="5"/>
        <v>12.276608545984457</v>
      </c>
      <c r="F19" s="61">
        <f t="shared" si="6"/>
        <v>15.674843162480572</v>
      </c>
      <c r="G19" s="62">
        <f>'[1]cálculos teóricos'!T165</f>
        <v>22.261869577761775</v>
      </c>
      <c r="H19" s="76">
        <f t="shared" si="7"/>
        <v>70.411171477434067</v>
      </c>
      <c r="I19" s="174"/>
      <c r="J19" s="89"/>
      <c r="K19" s="88">
        <v>0.4</v>
      </c>
      <c r="L19" s="88">
        <v>1</v>
      </c>
      <c r="M19" s="88">
        <v>1</v>
      </c>
      <c r="N19" s="88">
        <v>1</v>
      </c>
      <c r="O19" s="79">
        <v>1</v>
      </c>
      <c r="P19" s="80">
        <v>1</v>
      </c>
      <c r="Q19" s="89">
        <v>1</v>
      </c>
      <c r="R19" s="88">
        <v>1</v>
      </c>
      <c r="S19" s="88">
        <v>1</v>
      </c>
      <c r="T19" s="88">
        <v>0.7</v>
      </c>
      <c r="U19" s="88"/>
      <c r="V19" s="79"/>
      <c r="W19" s="124">
        <f t="shared" si="0"/>
        <v>4.4000000000000004</v>
      </c>
      <c r="X19" s="124">
        <f t="shared" si="1"/>
        <v>4.7</v>
      </c>
      <c r="Y19" s="70">
        <f t="shared" si="2"/>
        <v>9.1000000000000014</v>
      </c>
      <c r="Z19" s="71">
        <f>'[1]cálculos teóricos'!I165</f>
        <v>10.568807245267474</v>
      </c>
      <c r="AA19" s="72">
        <f t="shared" si="3"/>
        <v>86.102431322842236</v>
      </c>
      <c r="AB19" s="3"/>
    </row>
    <row r="20" spans="1:28" ht="18" customHeight="1">
      <c r="A20" s="81">
        <v>12</v>
      </c>
      <c r="B20" s="77">
        <v>18.7</v>
      </c>
      <c r="C20" s="75">
        <f>'[1]cálculos teóricos'!K166</f>
        <v>0.94946114222524891</v>
      </c>
      <c r="D20" s="59">
        <f t="shared" si="4"/>
        <v>258.57382634771159</v>
      </c>
      <c r="E20" s="60">
        <f t="shared" si="5"/>
        <v>10.825968961525989</v>
      </c>
      <c r="F20" s="61">
        <f t="shared" si="6"/>
        <v>13.861543681907484</v>
      </c>
      <c r="G20" s="62">
        <f>'[1]cálculos teóricos'!T166</f>
        <v>22.217401416345737</v>
      </c>
      <c r="H20" s="76">
        <f t="shared" si="7"/>
        <v>62.390481326539394</v>
      </c>
      <c r="I20" s="174"/>
      <c r="J20" s="89"/>
      <c r="K20" s="88">
        <v>0.3</v>
      </c>
      <c r="L20" s="88">
        <v>0.7</v>
      </c>
      <c r="M20" s="88">
        <v>1</v>
      </c>
      <c r="N20" s="88">
        <v>1</v>
      </c>
      <c r="O20" s="79">
        <v>1</v>
      </c>
      <c r="P20" s="80">
        <v>1</v>
      </c>
      <c r="Q20" s="89">
        <v>1</v>
      </c>
      <c r="R20" s="88">
        <v>0.6</v>
      </c>
      <c r="S20" s="88">
        <v>0.5</v>
      </c>
      <c r="T20" s="88"/>
      <c r="U20" s="88"/>
      <c r="V20" s="79"/>
      <c r="W20" s="124">
        <f t="shared" si="0"/>
        <v>4</v>
      </c>
      <c r="X20" s="124">
        <f t="shared" si="1"/>
        <v>3.1</v>
      </c>
      <c r="Y20" s="70">
        <f>W20+X20</f>
        <v>7.1</v>
      </c>
      <c r="Z20" s="71">
        <f>'[1]cálculos teóricos'!I166</f>
        <v>10.563735880466673</v>
      </c>
      <c r="AA20" s="72">
        <f t="shared" si="3"/>
        <v>67.21107078347687</v>
      </c>
      <c r="AB20" s="3"/>
    </row>
    <row r="21" spans="1:28" ht="18" customHeight="1">
      <c r="A21" s="81">
        <v>13</v>
      </c>
      <c r="B21" s="175">
        <v>7.6</v>
      </c>
      <c r="C21" s="75">
        <f>'[1]cálculos teóricos'!K167</f>
        <v>0.9492283439274154</v>
      </c>
      <c r="D21" s="59">
        <f t="shared" si="4"/>
        <v>105.06306109958055</v>
      </c>
      <c r="E21" s="60">
        <f t="shared" si="5"/>
        <v>4.3987802421172377</v>
      </c>
      <c r="F21" s="61">
        <f t="shared" si="6"/>
        <v>5.8275577826465481</v>
      </c>
      <c r="G21" s="62">
        <f>'[1]cálculos teóricos'!T167</f>
        <v>22.176860155014239</v>
      </c>
      <c r="H21" s="76">
        <f t="shared" si="7"/>
        <v>26.277650406380562</v>
      </c>
      <c r="I21" s="174"/>
      <c r="J21" s="89"/>
      <c r="K21" s="88"/>
      <c r="L21" s="88"/>
      <c r="M21" s="88"/>
      <c r="N21" s="88"/>
      <c r="O21" s="79"/>
      <c r="P21" s="80"/>
      <c r="Q21" s="89"/>
      <c r="R21" s="88"/>
      <c r="S21" s="88"/>
      <c r="T21" s="88"/>
      <c r="U21" s="88"/>
      <c r="V21" s="79"/>
      <c r="W21" s="124">
        <f t="shared" si="0"/>
        <v>0</v>
      </c>
      <c r="X21" s="124">
        <f t="shared" si="1"/>
        <v>0</v>
      </c>
      <c r="Y21" s="70">
        <f>W21+X21</f>
        <v>0</v>
      </c>
      <c r="Z21" s="71">
        <f>'[1]cálculos teóricos'!I167</f>
        <v>10.559136320429129</v>
      </c>
      <c r="AA21" s="72">
        <f t="shared" si="3"/>
        <v>0</v>
      </c>
      <c r="AB21" s="3"/>
    </row>
    <row r="22" spans="1:28" ht="18" customHeight="1">
      <c r="A22" s="81">
        <v>14</v>
      </c>
      <c r="B22" s="77">
        <v>5.7</v>
      </c>
      <c r="C22" s="75">
        <f>'[1]cálculos teóricos'!K168</f>
        <v>0.94901956490783757</v>
      </c>
      <c r="D22" s="59">
        <f t="shared" si="4"/>
        <v>78.779964671151177</v>
      </c>
      <c r="E22" s="60">
        <f t="shared" si="5"/>
        <v>3.2983595608517571</v>
      </c>
      <c r="F22" s="61">
        <f t="shared" si="6"/>
        <v>4.4520319310646963</v>
      </c>
      <c r="G22" s="62">
        <f>'[1]cálculos teóricos'!T168</f>
        <v>22.140262365137801</v>
      </c>
      <c r="H22" s="76">
        <f t="shared" si="7"/>
        <v>20.108307018415893</v>
      </c>
      <c r="I22" s="174"/>
      <c r="J22" s="89"/>
      <c r="K22" s="88"/>
      <c r="L22" s="88"/>
      <c r="M22" s="88"/>
      <c r="N22" s="88"/>
      <c r="O22" s="79"/>
      <c r="P22" s="80"/>
      <c r="Q22" s="89"/>
      <c r="R22" s="88"/>
      <c r="S22" s="88"/>
      <c r="T22" s="88"/>
      <c r="U22" s="88"/>
      <c r="V22" s="79"/>
      <c r="W22" s="124">
        <f t="shared" si="0"/>
        <v>0</v>
      </c>
      <c r="X22" s="124">
        <f t="shared" si="1"/>
        <v>0</v>
      </c>
      <c r="Y22" s="70">
        <f>W22+X22</f>
        <v>0</v>
      </c>
      <c r="Z22" s="71">
        <f>'[1]cálculos teóricos'!I168</f>
        <v>10.555011796282567</v>
      </c>
      <c r="AA22" s="72">
        <f t="shared" si="3"/>
        <v>0</v>
      </c>
      <c r="AB22" s="3"/>
    </row>
    <row r="23" spans="1:28" ht="18" customHeight="1">
      <c r="A23" s="81">
        <v>15</v>
      </c>
      <c r="B23" s="77">
        <v>4.3</v>
      </c>
      <c r="C23" s="75">
        <f>'[1]cálculos teóricos'!K169</f>
        <v>0.94883496050383698</v>
      </c>
      <c r="D23" s="59">
        <f t="shared" si="4"/>
        <v>59.418939173379812</v>
      </c>
      <c r="E23" s="60">
        <f t="shared" si="5"/>
        <v>2.4877521453110658</v>
      </c>
      <c r="F23" s="61">
        <f t="shared" si="6"/>
        <v>3.4387726616388323</v>
      </c>
      <c r="G23" s="62">
        <f>'[1]cálculos teóricos'!T169</f>
        <v>22.107622705475894</v>
      </c>
      <c r="H23" s="76">
        <f t="shared" si="7"/>
        <v>15.55469218672288</v>
      </c>
      <c r="I23" s="174"/>
      <c r="J23" s="89"/>
      <c r="K23" s="88"/>
      <c r="L23" s="88"/>
      <c r="M23" s="88"/>
      <c r="N23" s="88"/>
      <c r="O23" s="79"/>
      <c r="P23" s="80"/>
      <c r="Q23" s="89"/>
      <c r="R23" s="88"/>
      <c r="S23" s="88"/>
      <c r="T23" s="88"/>
      <c r="U23" s="88"/>
      <c r="V23" s="79"/>
      <c r="W23" s="124">
        <f t="shared" si="0"/>
        <v>0</v>
      </c>
      <c r="X23" s="124">
        <f t="shared" si="1"/>
        <v>0</v>
      </c>
      <c r="Y23" s="70">
        <f>W23+X23</f>
        <v>0</v>
      </c>
      <c r="Z23" s="71">
        <f>'[1]cálculos teóricos'!I169</f>
        <v>10.551365208532534</v>
      </c>
      <c r="AA23" s="72">
        <f t="shared" si="3"/>
        <v>0</v>
      </c>
      <c r="AB23" s="3"/>
    </row>
    <row r="24" spans="1:28" ht="18" customHeight="1">
      <c r="A24" s="81">
        <v>16</v>
      </c>
      <c r="B24" s="77">
        <v>13.7</v>
      </c>
      <c r="C24" s="75">
        <f>'[1]cálculos teóricos'!K170</f>
        <v>0.9486746675795964</v>
      </c>
      <c r="D24" s="59">
        <f t="shared" si="4"/>
        <v>189.27952224174769</v>
      </c>
      <c r="E24" s="60">
        <f t="shared" si="5"/>
        <v>7.9247550372174915</v>
      </c>
      <c r="F24" s="61">
        <f t="shared" si="6"/>
        <v>10.235026276521866</v>
      </c>
      <c r="G24" s="62">
        <f>'[1]cálculos teóricos'!T170</f>
        <v>22.078953913434933</v>
      </c>
      <c r="H24" s="76">
        <f t="shared" si="7"/>
        <v>46.356481908746161</v>
      </c>
      <c r="I24" s="174"/>
      <c r="J24" s="89"/>
      <c r="K24" s="88"/>
      <c r="L24" s="88"/>
      <c r="M24" s="88"/>
      <c r="N24" s="88"/>
      <c r="O24" s="79"/>
      <c r="P24" s="89">
        <v>0.6</v>
      </c>
      <c r="Q24" s="88">
        <v>1</v>
      </c>
      <c r="R24" s="88">
        <v>1</v>
      </c>
      <c r="S24" s="88">
        <v>1</v>
      </c>
      <c r="T24" s="88">
        <v>0.4</v>
      </c>
      <c r="U24" s="88"/>
      <c r="V24" s="79"/>
      <c r="W24" s="124">
        <f t="shared" si="0"/>
        <v>0</v>
      </c>
      <c r="X24" s="124">
        <f t="shared" si="1"/>
        <v>4</v>
      </c>
      <c r="Y24" s="70">
        <f>W24+X24</f>
        <v>4</v>
      </c>
      <c r="Z24" s="71">
        <f>'[1]cálculos teóricos'!I170</f>
        <v>10.54819911951218</v>
      </c>
      <c r="AA24" s="72">
        <f t="shared" si="3"/>
        <v>37.921165069786689</v>
      </c>
      <c r="AB24" s="3"/>
    </row>
    <row r="25" spans="1:28" ht="18" customHeight="1">
      <c r="A25" s="92">
        <v>17</v>
      </c>
      <c r="B25" s="77">
        <v>20.8</v>
      </c>
      <c r="C25" s="75">
        <f>'[1]cálculos teóricos'!K171</f>
        <v>0.94853880431471793</v>
      </c>
      <c r="D25" s="59">
        <f t="shared" si="4"/>
        <v>287.33213343405788</v>
      </c>
      <c r="E25" s="60">
        <f t="shared" si="5"/>
        <v>12.030021762617134</v>
      </c>
      <c r="F25" s="61">
        <f t="shared" si="6"/>
        <v>15.36660968327142</v>
      </c>
      <c r="G25" s="62">
        <f>'[1]cálculos teóricos'!T171</f>
        <v>22.054266797780116</v>
      </c>
      <c r="H25" s="76">
        <f t="shared" si="7"/>
        <v>69.676357070361348</v>
      </c>
      <c r="I25" s="174"/>
      <c r="J25" s="89"/>
      <c r="K25" s="88">
        <v>0.4</v>
      </c>
      <c r="L25" s="88">
        <v>0.7</v>
      </c>
      <c r="M25" s="88">
        <v>1</v>
      </c>
      <c r="N25" s="88">
        <v>1</v>
      </c>
      <c r="O25" s="79">
        <v>1</v>
      </c>
      <c r="P25" s="89">
        <v>1</v>
      </c>
      <c r="Q25" s="88">
        <v>1</v>
      </c>
      <c r="R25" s="88">
        <v>1</v>
      </c>
      <c r="S25" s="88">
        <v>0.6</v>
      </c>
      <c r="T25" s="88"/>
      <c r="U25" s="88"/>
      <c r="V25" s="79"/>
      <c r="W25" s="124">
        <f t="shared" si="0"/>
        <v>4.0999999999999996</v>
      </c>
      <c r="X25" s="124">
        <f t="shared" si="1"/>
        <v>3.6</v>
      </c>
      <c r="Y25" s="70">
        <f t="shared" ref="Y25:Y33" si="8">W25+X25</f>
        <v>7.6999999999999993</v>
      </c>
      <c r="Z25" s="71">
        <f>'[1]cálculos teóricos'!I171</f>
        <v>10.545515746657909</v>
      </c>
      <c r="AA25" s="72">
        <f t="shared" si="3"/>
        <v>73.0168176216539</v>
      </c>
      <c r="AB25" s="3"/>
    </row>
    <row r="26" spans="1:28" ht="18" customHeight="1">
      <c r="A26" s="92">
        <v>18</v>
      </c>
      <c r="B26" s="77">
        <v>15.7</v>
      </c>
      <c r="C26" s="75">
        <f>'[1]cálculos teóricos'!K172</f>
        <v>0.94842747002147099</v>
      </c>
      <c r="D26" s="59">
        <f t="shared" si="4"/>
        <v>216.85504831662575</v>
      </c>
      <c r="E26" s="60">
        <f t="shared" si="5"/>
        <v>9.0792871629204868</v>
      </c>
      <c r="F26" s="61">
        <f t="shared" si="6"/>
        <v>11.678191433650609</v>
      </c>
      <c r="G26" s="62">
        <f>'[1]cálculos teóricos'!T172</f>
        <v>22.033570232799129</v>
      </c>
      <c r="H26" s="76">
        <f t="shared" si="7"/>
        <v>53.001811827419942</v>
      </c>
      <c r="I26" s="174"/>
      <c r="J26" s="89"/>
      <c r="K26" s="88"/>
      <c r="L26" s="88">
        <v>0.3</v>
      </c>
      <c r="M26" s="88">
        <v>1</v>
      </c>
      <c r="N26" s="88">
        <v>0.5</v>
      </c>
      <c r="O26" s="79">
        <v>0.5</v>
      </c>
      <c r="P26" s="89">
        <v>1</v>
      </c>
      <c r="Q26" s="88">
        <v>0.7</v>
      </c>
      <c r="R26" s="88">
        <v>0.7</v>
      </c>
      <c r="S26" s="88">
        <v>0.4</v>
      </c>
      <c r="T26" s="88"/>
      <c r="U26" s="88"/>
      <c r="V26" s="79"/>
      <c r="W26" s="124">
        <f t="shared" si="0"/>
        <v>2.2999999999999998</v>
      </c>
      <c r="X26" s="124">
        <f t="shared" si="1"/>
        <v>2.8</v>
      </c>
      <c r="Y26" s="70">
        <f t="shared" si="8"/>
        <v>5.0999999999999996</v>
      </c>
      <c r="Z26" s="71">
        <f>'[1]cálculos teóricos'!I172</f>
        <v>10.543316956644638</v>
      </c>
      <c r="AA26" s="72">
        <f t="shared" si="3"/>
        <v>48.371874059859913</v>
      </c>
      <c r="AB26" s="3"/>
    </row>
    <row r="27" spans="1:28" ht="18" customHeight="1">
      <c r="A27" s="92">
        <v>19</v>
      </c>
      <c r="B27" s="77">
        <v>18.7</v>
      </c>
      <c r="C27" s="75">
        <f>'[1]cálculos teóricos'!K173</f>
        <v>0.94834074499127929</v>
      </c>
      <c r="D27" s="59">
        <f t="shared" si="4"/>
        <v>258.26870022202525</v>
      </c>
      <c r="E27" s="60">
        <f t="shared" si="5"/>
        <v>10.813193940895752</v>
      </c>
      <c r="F27" s="61">
        <f t="shared" si="6"/>
        <v>13.84557490611969</v>
      </c>
      <c r="G27" s="62">
        <f>'[1]cálculos teóricos'!T173</f>
        <v>22.016871153915464</v>
      </c>
      <c r="H27" s="76">
        <f t="shared" si="7"/>
        <v>62.886205807029057</v>
      </c>
      <c r="I27" s="174"/>
      <c r="J27" s="89"/>
      <c r="K27" s="88">
        <v>0.3</v>
      </c>
      <c r="L27" s="88">
        <v>1</v>
      </c>
      <c r="M27" s="88">
        <v>1</v>
      </c>
      <c r="N27" s="88">
        <v>0.6</v>
      </c>
      <c r="O27" s="79">
        <v>1</v>
      </c>
      <c r="P27" s="89">
        <v>1</v>
      </c>
      <c r="Q27" s="88">
        <v>1</v>
      </c>
      <c r="R27" s="88">
        <v>1</v>
      </c>
      <c r="S27" s="88">
        <v>0.6</v>
      </c>
      <c r="T27" s="88"/>
      <c r="U27" s="88"/>
      <c r="V27" s="79"/>
      <c r="W27" s="124">
        <f t="shared" si="0"/>
        <v>3.9</v>
      </c>
      <c r="X27" s="124">
        <f t="shared" si="1"/>
        <v>3.6</v>
      </c>
      <c r="Y27" s="70">
        <f t="shared" si="8"/>
        <v>7.5</v>
      </c>
      <c r="Z27" s="71">
        <f>'[1]cálculos teóricos'!I173</f>
        <v>10.541604260410397</v>
      </c>
      <c r="AA27" s="72">
        <f t="shared" si="3"/>
        <v>71.146666244782907</v>
      </c>
      <c r="AB27" s="3"/>
    </row>
    <row r="28" spans="1:28" ht="18" customHeight="1">
      <c r="A28" s="92">
        <v>20</v>
      </c>
      <c r="B28" s="77">
        <v>23.7</v>
      </c>
      <c r="C28" s="75">
        <f>'[1]cálculos teóricos'!K174</f>
        <v>0.94827869037091239</v>
      </c>
      <c r="D28" s="59">
        <f t="shared" si="4"/>
        <v>327.30308396103777</v>
      </c>
      <c r="E28" s="60">
        <f t="shared" si="5"/>
        <v>13.703525519280729</v>
      </c>
      <c r="F28" s="61">
        <f t="shared" si="6"/>
        <v>17.458489379100914</v>
      </c>
      <c r="G28" s="62">
        <f>'[1]cálculos teóricos'!T174</f>
        <v>22.004174554749007</v>
      </c>
      <c r="H28" s="76">
        <f t="shared" si="7"/>
        <v>79.341714617206449</v>
      </c>
      <c r="I28" s="174"/>
      <c r="J28" s="89"/>
      <c r="K28" s="88">
        <v>0.1</v>
      </c>
      <c r="L28" s="88">
        <v>0.8</v>
      </c>
      <c r="M28" s="88">
        <v>1</v>
      </c>
      <c r="N28" s="88">
        <v>1</v>
      </c>
      <c r="O28" s="79">
        <v>1</v>
      </c>
      <c r="P28" s="89">
        <v>1</v>
      </c>
      <c r="Q28" s="88">
        <v>1</v>
      </c>
      <c r="R28" s="88">
        <v>1</v>
      </c>
      <c r="S28" s="88">
        <v>1</v>
      </c>
      <c r="T28" s="88"/>
      <c r="U28" s="88"/>
      <c r="V28" s="79"/>
      <c r="W28" s="124">
        <f t="shared" si="0"/>
        <v>3.9</v>
      </c>
      <c r="X28" s="124">
        <f t="shared" si="1"/>
        <v>4</v>
      </c>
      <c r="Y28" s="70">
        <f t="shared" si="8"/>
        <v>7.9</v>
      </c>
      <c r="Z28" s="71">
        <f>'[1]cálculos teóricos'!I174</f>
        <v>10.540378809095687</v>
      </c>
      <c r="AA28" s="72">
        <f t="shared" si="3"/>
        <v>74.949867960938889</v>
      </c>
      <c r="AB28" s="3"/>
    </row>
    <row r="29" spans="1:28" ht="18" customHeight="1">
      <c r="A29" s="92">
        <v>21</v>
      </c>
      <c r="B29" s="77">
        <v>22.4</v>
      </c>
      <c r="C29" s="75">
        <f>'[1]cálculos teóricos'!K175</f>
        <v>0.94824134806875726</v>
      </c>
      <c r="D29" s="59">
        <f t="shared" si="4"/>
        <v>309.33756834622534</v>
      </c>
      <c r="E29" s="60">
        <f t="shared" si="5"/>
        <v>12.951345311519763</v>
      </c>
      <c r="F29" s="61">
        <f t="shared" si="6"/>
        <v>16.518264119399706</v>
      </c>
      <c r="G29" s="62">
        <f>'[1]cálculos teóricos'!T175</f>
        <v>21.995483485621605</v>
      </c>
      <c r="H29" s="76">
        <f t="shared" si="7"/>
        <v>75.098436141208978</v>
      </c>
      <c r="I29" s="174"/>
      <c r="J29" s="89"/>
      <c r="K29" s="88">
        <v>1</v>
      </c>
      <c r="L29" s="88">
        <v>1</v>
      </c>
      <c r="M29" s="88">
        <v>1</v>
      </c>
      <c r="N29" s="88">
        <v>1</v>
      </c>
      <c r="O29" s="79">
        <v>1</v>
      </c>
      <c r="P29" s="89">
        <v>1</v>
      </c>
      <c r="Q29" s="88">
        <v>1</v>
      </c>
      <c r="R29" s="88">
        <v>1</v>
      </c>
      <c r="S29" s="88">
        <v>1</v>
      </c>
      <c r="T29" s="88">
        <v>0.2</v>
      </c>
      <c r="U29" s="88"/>
      <c r="V29" s="79"/>
      <c r="W29" s="124">
        <f t="shared" si="0"/>
        <v>5</v>
      </c>
      <c r="X29" s="124">
        <f t="shared" si="1"/>
        <v>4.2</v>
      </c>
      <c r="Y29" s="70">
        <f t="shared" si="8"/>
        <v>9.1999999999999993</v>
      </c>
      <c r="Z29" s="71">
        <f>'[1]cálculos teóricos'!I175</f>
        <v>10.539641390918483</v>
      </c>
      <c r="AA29" s="72">
        <f t="shared" si="3"/>
        <v>87.289497419971127</v>
      </c>
      <c r="AB29" s="3"/>
    </row>
    <row r="30" spans="1:28" ht="18" customHeight="1">
      <c r="A30" s="92">
        <v>22</v>
      </c>
      <c r="B30" s="77">
        <v>21.1</v>
      </c>
      <c r="C30" s="75">
        <f>'[1]cálculos teóricos'!K176</f>
        <v>0.94822874069146967</v>
      </c>
      <c r="D30" s="59">
        <f t="shared" si="4"/>
        <v>291.38106749277068</v>
      </c>
      <c r="E30" s="60">
        <f t="shared" si="5"/>
        <v>12.199542533787323</v>
      </c>
      <c r="F30" s="61">
        <f t="shared" si="6"/>
        <v>15.578510647234152</v>
      </c>
      <c r="G30" s="62">
        <f>'[1]cálculos teóricos'!T176</f>
        <v>21.990799053505</v>
      </c>
      <c r="H30" s="76">
        <f t="shared" si="7"/>
        <v>70.841039515347546</v>
      </c>
      <c r="I30" s="174"/>
      <c r="J30" s="89"/>
      <c r="K30" s="88">
        <v>0.9</v>
      </c>
      <c r="L30" s="88">
        <v>1</v>
      </c>
      <c r="M30" s="88">
        <v>1</v>
      </c>
      <c r="N30" s="88">
        <v>1</v>
      </c>
      <c r="O30" s="79">
        <v>1</v>
      </c>
      <c r="P30" s="89">
        <v>1</v>
      </c>
      <c r="Q30" s="88">
        <v>1</v>
      </c>
      <c r="R30" s="88">
        <v>1</v>
      </c>
      <c r="S30" s="88">
        <v>1</v>
      </c>
      <c r="T30" s="88">
        <v>0.2</v>
      </c>
      <c r="U30" s="88"/>
      <c r="V30" s="79"/>
      <c r="W30" s="124">
        <f t="shared" si="0"/>
        <v>4.9000000000000004</v>
      </c>
      <c r="X30" s="124">
        <f t="shared" si="1"/>
        <v>4.2</v>
      </c>
      <c r="Y30" s="70">
        <f t="shared" si="8"/>
        <v>9.1000000000000014</v>
      </c>
      <c r="Z30" s="71">
        <f>'[1]cálculos teóricos'!I176</f>
        <v>10.539392429001008</v>
      </c>
      <c r="AA30" s="72">
        <f t="shared" si="3"/>
        <v>86.342738078143256</v>
      </c>
      <c r="AB30" s="3"/>
    </row>
    <row r="31" spans="1:28" ht="18" customHeight="1">
      <c r="A31" s="92">
        <v>23</v>
      </c>
      <c r="B31" s="77">
        <v>17.3</v>
      </c>
      <c r="C31" s="75">
        <f>'[1]cálculos teóricos'!K177</f>
        <v>0.9482408715112014</v>
      </c>
      <c r="D31" s="59">
        <f t="shared" si="4"/>
        <v>238.90791262798351</v>
      </c>
      <c r="E31" s="60">
        <f t="shared" si="5"/>
        <v>10.002596485908413</v>
      </c>
      <c r="F31" s="61">
        <f t="shared" si="6"/>
        <v>12.832328087385518</v>
      </c>
      <c r="G31" s="62">
        <f>'[1]cálculos teóricos'!T177</f>
        <v>21.990120423409326</v>
      </c>
      <c r="H31" s="76">
        <f t="shared" si="7"/>
        <v>58.354969596824091</v>
      </c>
      <c r="I31" s="174"/>
      <c r="J31" s="89"/>
      <c r="K31" s="88">
        <v>0.5</v>
      </c>
      <c r="L31" s="88">
        <v>1</v>
      </c>
      <c r="M31" s="88">
        <v>1</v>
      </c>
      <c r="N31" s="88">
        <v>1</v>
      </c>
      <c r="O31" s="79">
        <v>1</v>
      </c>
      <c r="P31" s="89">
        <v>1</v>
      </c>
      <c r="Q31" s="88">
        <v>1</v>
      </c>
      <c r="R31" s="88">
        <v>1</v>
      </c>
      <c r="S31" s="88">
        <v>1</v>
      </c>
      <c r="T31" s="88">
        <v>0.5</v>
      </c>
      <c r="U31" s="88"/>
      <c r="V31" s="79"/>
      <c r="W31" s="124">
        <f t="shared" si="0"/>
        <v>4.5</v>
      </c>
      <c r="X31" s="124">
        <f t="shared" si="1"/>
        <v>4.5</v>
      </c>
      <c r="Y31" s="70">
        <f t="shared" si="8"/>
        <v>9</v>
      </c>
      <c r="Z31" s="71">
        <f>'[1]cálculos teóricos'!I177</f>
        <v>10.539631980159754</v>
      </c>
      <c r="AA31" s="72">
        <f t="shared" si="3"/>
        <v>85.391975895761618</v>
      </c>
      <c r="AB31" s="3"/>
    </row>
    <row r="32" spans="1:28" ht="18" customHeight="1">
      <c r="A32" s="92">
        <v>24</v>
      </c>
      <c r="B32" s="77">
        <v>20.5</v>
      </c>
      <c r="C32" s="75">
        <f>'[1]cálculos teóricos'!K178</f>
        <v>0.94827772446352887</v>
      </c>
      <c r="D32" s="59">
        <f t="shared" si="4"/>
        <v>283.10997412460432</v>
      </c>
      <c r="E32" s="60">
        <f t="shared" si="5"/>
        <v>11.853248396648933</v>
      </c>
      <c r="F32" s="61">
        <f t="shared" si="6"/>
        <v>15.145642975811167</v>
      </c>
      <c r="G32" s="62">
        <f>'[1]cálculos teóricos'!T178</f>
        <v>21.993444821210002</v>
      </c>
      <c r="H32" s="76">
        <f t="shared" si="7"/>
        <v>68.864350714195709</v>
      </c>
      <c r="I32" s="174"/>
      <c r="J32" s="89"/>
      <c r="K32" s="88">
        <v>0.6</v>
      </c>
      <c r="L32" s="88">
        <v>1</v>
      </c>
      <c r="M32" s="88">
        <v>1</v>
      </c>
      <c r="N32" s="88">
        <v>1</v>
      </c>
      <c r="O32" s="79">
        <v>1</v>
      </c>
      <c r="P32" s="89">
        <v>1</v>
      </c>
      <c r="Q32" s="88">
        <v>1</v>
      </c>
      <c r="R32" s="88">
        <v>1</v>
      </c>
      <c r="S32" s="88">
        <v>1</v>
      </c>
      <c r="T32" s="88">
        <v>0.2</v>
      </c>
      <c r="U32" s="88"/>
      <c r="V32" s="79"/>
      <c r="W32" s="124">
        <f t="shared" si="0"/>
        <v>4.5999999999999996</v>
      </c>
      <c r="X32" s="124">
        <f t="shared" si="1"/>
        <v>4.2</v>
      </c>
      <c r="Y32" s="70">
        <f t="shared" si="8"/>
        <v>8.8000000000000007</v>
      </c>
      <c r="Z32" s="71">
        <f>'[1]cálculos teóricos'!I178</f>
        <v>10.540359734665067</v>
      </c>
      <c r="AA32" s="72">
        <f t="shared" si="3"/>
        <v>83.488611598887061</v>
      </c>
      <c r="AB32" s="3"/>
    </row>
    <row r="33" spans="1:28" ht="18" customHeight="1">
      <c r="A33" s="92">
        <v>25</v>
      </c>
      <c r="B33" s="77">
        <v>20.3</v>
      </c>
      <c r="C33" s="75">
        <f>'[1]cálculos teóricos'!K179</f>
        <v>0.94833926417610326</v>
      </c>
      <c r="D33" s="59">
        <f t="shared" si="4"/>
        <v>280.36611913872218</v>
      </c>
      <c r="E33" s="60">
        <f t="shared" si="5"/>
        <v>11.73836867610002</v>
      </c>
      <c r="F33" s="61">
        <f t="shared" si="6"/>
        <v>15.002043325125026</v>
      </c>
      <c r="G33" s="62">
        <f>'[1]cálculos teóricos'!T179</f>
        <v>22.000767537911535</v>
      </c>
      <c r="H33" s="76">
        <f t="shared" si="7"/>
        <v>68.188727049061498</v>
      </c>
      <c r="I33" s="174"/>
      <c r="J33" s="89"/>
      <c r="K33" s="88">
        <v>0.5</v>
      </c>
      <c r="L33" s="88">
        <v>1</v>
      </c>
      <c r="M33" s="88">
        <v>1</v>
      </c>
      <c r="N33" s="88">
        <v>1</v>
      </c>
      <c r="O33" s="79">
        <v>1</v>
      </c>
      <c r="P33" s="89">
        <v>1</v>
      </c>
      <c r="Q33" s="88">
        <v>1</v>
      </c>
      <c r="R33" s="88">
        <v>1</v>
      </c>
      <c r="S33" s="88">
        <v>1</v>
      </c>
      <c r="T33" s="88">
        <v>0.2</v>
      </c>
      <c r="U33" s="88"/>
      <c r="V33" s="79"/>
      <c r="W33" s="124">
        <f t="shared" si="0"/>
        <v>4.5</v>
      </c>
      <c r="X33" s="124">
        <f t="shared" si="1"/>
        <v>4.2</v>
      </c>
      <c r="Y33" s="70">
        <f t="shared" si="8"/>
        <v>8.6999999999999993</v>
      </c>
      <c r="Z33" s="71">
        <f>'[1]cálculos teóricos'!I179</f>
        <v>10.541575016971914</v>
      </c>
      <c r="AA33" s="72">
        <f t="shared" si="3"/>
        <v>82.530361791222063</v>
      </c>
      <c r="AB33" s="3"/>
    </row>
    <row r="34" spans="1:28" ht="18" customHeight="1">
      <c r="A34" s="92">
        <v>26</v>
      </c>
      <c r="B34" s="77">
        <v>22.4</v>
      </c>
      <c r="C34" s="75">
        <f>'[1]cálculos teóricos'!K180</f>
        <v>0.94842543602796126</v>
      </c>
      <c r="D34" s="59">
        <f t="shared" si="4"/>
        <v>309.39762196208801</v>
      </c>
      <c r="E34" s="60">
        <f t="shared" si="5"/>
        <v>12.9538596363087</v>
      </c>
      <c r="F34" s="61">
        <f t="shared" si="6"/>
        <v>16.521407025385876</v>
      </c>
      <c r="G34" s="62">
        <f>'[1]cálculos teóricos'!T180</f>
        <v>22.012081935346771</v>
      </c>
      <c r="H34" s="76">
        <f t="shared" si="7"/>
        <v>75.056085443948731</v>
      </c>
      <c r="I34" s="174"/>
      <c r="J34" s="89"/>
      <c r="K34" s="88">
        <v>0.7</v>
      </c>
      <c r="L34" s="88">
        <v>1</v>
      </c>
      <c r="M34" s="88">
        <v>1</v>
      </c>
      <c r="N34" s="88">
        <v>1</v>
      </c>
      <c r="O34" s="79">
        <v>1</v>
      </c>
      <c r="P34" s="89">
        <v>1</v>
      </c>
      <c r="Q34" s="88">
        <v>1</v>
      </c>
      <c r="R34" s="88">
        <v>1</v>
      </c>
      <c r="S34" s="88">
        <v>1</v>
      </c>
      <c r="T34" s="88">
        <v>0.4</v>
      </c>
      <c r="U34" s="88"/>
      <c r="V34" s="79"/>
      <c r="W34" s="124">
        <f t="shared" si="0"/>
        <v>4.7</v>
      </c>
      <c r="X34" s="124">
        <f t="shared" si="1"/>
        <v>4.4000000000000004</v>
      </c>
      <c r="Y34" s="70">
        <f>W34+X34</f>
        <v>9.1000000000000014</v>
      </c>
      <c r="Z34" s="71">
        <f>'[1]cálculos teóricos'!I180</f>
        <v>10.543276787418177</v>
      </c>
      <c r="AA34" s="72">
        <f t="shared" si="3"/>
        <v>86.310927650685301</v>
      </c>
      <c r="AB34" s="3"/>
    </row>
    <row r="35" spans="1:28" ht="18" customHeight="1">
      <c r="A35" s="92">
        <v>27</v>
      </c>
      <c r="B35" s="77">
        <v>22.7</v>
      </c>
      <c r="C35" s="75">
        <f>'[1]cálculos teóricos'!K181</f>
        <v>0.94853616623934689</v>
      </c>
      <c r="D35" s="59">
        <f t="shared" si="4"/>
        <v>313.57794657450671</v>
      </c>
      <c r="E35" s="60">
        <f t="shared" si="5"/>
        <v>13.128881467181447</v>
      </c>
      <c r="F35" s="61">
        <f t="shared" si="6"/>
        <v>16.740184313976808</v>
      </c>
      <c r="G35" s="62">
        <f>'[1]cálculos teóricos'!T181</f>
        <v>22.027379453310431</v>
      </c>
      <c r="H35" s="76">
        <f t="shared" si="7"/>
        <v>75.997166841655215</v>
      </c>
      <c r="I35" s="174"/>
      <c r="J35" s="89"/>
      <c r="K35" s="88">
        <v>0.7</v>
      </c>
      <c r="L35" s="88">
        <v>1</v>
      </c>
      <c r="M35" s="88">
        <v>1</v>
      </c>
      <c r="N35" s="88">
        <v>1</v>
      </c>
      <c r="O35" s="79">
        <v>1</v>
      </c>
      <c r="P35" s="89">
        <v>1</v>
      </c>
      <c r="Q35" s="88">
        <v>1</v>
      </c>
      <c r="R35" s="88">
        <v>1</v>
      </c>
      <c r="S35" s="88">
        <v>1</v>
      </c>
      <c r="T35" s="88">
        <v>0.4</v>
      </c>
      <c r="U35" s="88"/>
      <c r="V35" s="79"/>
      <c r="W35" s="124">
        <f t="shared" si="0"/>
        <v>4.7</v>
      </c>
      <c r="X35" s="124">
        <f t="shared" si="1"/>
        <v>4.4000000000000004</v>
      </c>
      <c r="Y35" s="70">
        <f>W35+X35</f>
        <v>9.1000000000000014</v>
      </c>
      <c r="Z35" s="71">
        <f>'[1]cálculos teóricos'!I181</f>
        <v>10.545463644882119</v>
      </c>
      <c r="AA35" s="72">
        <f t="shared" si="3"/>
        <v>86.293028988027245</v>
      </c>
      <c r="AB35" s="3"/>
    </row>
    <row r="36" spans="1:28" ht="18" customHeight="1">
      <c r="A36" s="92">
        <v>28</v>
      </c>
      <c r="B36" s="83">
        <v>-99</v>
      </c>
      <c r="C36" s="75">
        <f>'[1]cálculos teóricos'!K182</f>
        <v>0.94867136199179813</v>
      </c>
      <c r="D36" s="59">
        <f t="shared" si="4"/>
        <v>-999</v>
      </c>
      <c r="E36" s="60">
        <f t="shared" si="5"/>
        <v>-999</v>
      </c>
      <c r="F36" s="61">
        <f t="shared" si="6"/>
        <v>-999</v>
      </c>
      <c r="G36" s="62">
        <f>'[1]cálculos teóricos'!T182</f>
        <v>22.046649618125883</v>
      </c>
      <c r="H36" s="76">
        <f t="shared" si="7"/>
        <v>-999</v>
      </c>
      <c r="I36" s="174"/>
      <c r="J36" s="89"/>
      <c r="K36" s="88">
        <v>0.8</v>
      </c>
      <c r="L36" s="88">
        <v>1</v>
      </c>
      <c r="M36" s="88">
        <v>1</v>
      </c>
      <c r="N36" s="88">
        <v>1</v>
      </c>
      <c r="O36" s="79">
        <v>1</v>
      </c>
      <c r="P36" s="89">
        <v>1</v>
      </c>
      <c r="Q36" s="88">
        <v>1</v>
      </c>
      <c r="R36" s="88">
        <v>1</v>
      </c>
      <c r="S36" s="88">
        <v>1</v>
      </c>
      <c r="T36" s="88">
        <v>0.3</v>
      </c>
      <c r="U36" s="88"/>
      <c r="V36" s="79"/>
      <c r="W36" s="124">
        <f t="shared" si="0"/>
        <v>4.8</v>
      </c>
      <c r="X36" s="124">
        <f t="shared" si="1"/>
        <v>4.3</v>
      </c>
      <c r="Y36" s="70">
        <f>W36+X36</f>
        <v>9.1</v>
      </c>
      <c r="Z36" s="71">
        <f>'[1]cálculos teóricos'!I182</f>
        <v>10.548133830385645</v>
      </c>
      <c r="AA36" s="72">
        <f t="shared" si="3"/>
        <v>86.271184517833333</v>
      </c>
      <c r="AB36" s="3"/>
    </row>
    <row r="37" spans="1:28" ht="18" customHeight="1">
      <c r="A37" s="92">
        <v>29</v>
      </c>
      <c r="B37" s="77">
        <v>18.2</v>
      </c>
      <c r="C37" s="75">
        <f>'[1]cálculos teóricos'!K183</f>
        <v>0.94883091157817412</v>
      </c>
      <c r="D37" s="59">
        <f t="shared" si="4"/>
        <v>251.49304144999104</v>
      </c>
      <c r="E37" s="60">
        <f t="shared" si="5"/>
        <v>10.529510659428224</v>
      </c>
      <c r="F37" s="61">
        <f t="shared" si="6"/>
        <v>13.490970804285283</v>
      </c>
      <c r="G37" s="62">
        <f>'[1]cálculos teóricos'!T183</f>
        <v>22.069880052644166</v>
      </c>
      <c r="H37" s="76">
        <f t="shared" si="7"/>
        <v>61.128428301851805</v>
      </c>
      <c r="I37" s="174"/>
      <c r="J37" s="89"/>
      <c r="K37" s="88">
        <v>0.9</v>
      </c>
      <c r="L37" s="88">
        <v>0.8</v>
      </c>
      <c r="M37" s="88">
        <v>1</v>
      </c>
      <c r="N37" s="88">
        <v>1</v>
      </c>
      <c r="O37" s="79">
        <v>1</v>
      </c>
      <c r="P37" s="89">
        <v>0.8</v>
      </c>
      <c r="Q37" s="88">
        <v>1</v>
      </c>
      <c r="R37" s="88">
        <v>0.8</v>
      </c>
      <c r="S37" s="88">
        <v>0.2</v>
      </c>
      <c r="T37" s="88"/>
      <c r="U37" s="88"/>
      <c r="V37" s="79"/>
      <c r="W37" s="124">
        <f t="shared" si="0"/>
        <v>4.7</v>
      </c>
      <c r="X37" s="124">
        <f t="shared" si="1"/>
        <v>2.8000000000000003</v>
      </c>
      <c r="Y37" s="70">
        <f>W37+X37</f>
        <v>7.5</v>
      </c>
      <c r="Z37" s="71">
        <f>'[1]cálculos teóricos'!I183</f>
        <v>10.551285231625181</v>
      </c>
      <c r="AA37" s="72">
        <f t="shared" si="3"/>
        <v>71.081388052333025</v>
      </c>
      <c r="AB37" s="3"/>
    </row>
    <row r="38" spans="1:28" ht="18" customHeight="1">
      <c r="A38" s="81">
        <v>30</v>
      </c>
      <c r="B38" s="77">
        <v>14.6</v>
      </c>
      <c r="C38" s="75">
        <f>'[1]cálculos teóricos'!K184</f>
        <v>0.94901468458220362</v>
      </c>
      <c r="D38" s="59">
        <f t="shared" si="4"/>
        <v>201.78624024012865</v>
      </c>
      <c r="E38" s="60">
        <f t="shared" si="5"/>
        <v>8.4483863063737061</v>
      </c>
      <c r="F38" s="61">
        <f t="shared" si="6"/>
        <v>10.889565362967133</v>
      </c>
      <c r="G38" s="62">
        <f>'[1]cálculos teóricos'!T184</f>
        <v>22.097056487674202</v>
      </c>
      <c r="H38" s="76">
        <f t="shared" si="7"/>
        <v>49.280615130985261</v>
      </c>
      <c r="I38" s="174"/>
      <c r="J38" s="89"/>
      <c r="K38" s="88"/>
      <c r="L38" s="88"/>
      <c r="M38" s="88"/>
      <c r="N38" s="88"/>
      <c r="O38" s="79">
        <v>0.2</v>
      </c>
      <c r="P38" s="89">
        <v>0.7</v>
      </c>
      <c r="Q38" s="88">
        <v>0.8</v>
      </c>
      <c r="R38" s="88">
        <v>1</v>
      </c>
      <c r="S38" s="88">
        <v>0.5</v>
      </c>
      <c r="T38" s="88"/>
      <c r="U38" s="88"/>
      <c r="V38" s="79"/>
      <c r="W38" s="124">
        <f t="shared" si="0"/>
        <v>0.2</v>
      </c>
      <c r="X38" s="124">
        <f t="shared" si="1"/>
        <v>3</v>
      </c>
      <c r="Y38" s="70">
        <f>W38+X38</f>
        <v>3.2</v>
      </c>
      <c r="Z38" s="71">
        <f>'[1]cálculos teóricos'!I184</f>
        <v>10.554915388407521</v>
      </c>
      <c r="AA38" s="72">
        <f t="shared" si="3"/>
        <v>30.317628159431433</v>
      </c>
      <c r="AB38" s="3"/>
    </row>
    <row r="39" spans="1:28" ht="18" customHeight="1" thickBot="1">
      <c r="A39" s="93"/>
      <c r="B39" s="94"/>
      <c r="C39" s="95"/>
      <c r="D39" s="96"/>
      <c r="E39" s="129"/>
      <c r="F39" s="98"/>
      <c r="G39" s="99"/>
      <c r="H39" s="100"/>
      <c r="I39" s="101"/>
      <c r="J39" s="94"/>
      <c r="K39" s="94"/>
      <c r="L39" s="94"/>
      <c r="M39" s="94"/>
      <c r="N39" s="94"/>
      <c r="O39" s="102"/>
      <c r="P39" s="101"/>
      <c r="Q39" s="94"/>
      <c r="R39" s="94"/>
      <c r="S39" s="94"/>
      <c r="T39" s="94"/>
      <c r="U39" s="94"/>
      <c r="V39" s="176"/>
      <c r="W39" s="124"/>
      <c r="X39" s="177"/>
      <c r="Y39" s="106"/>
      <c r="Z39" s="178"/>
      <c r="AA39" s="134"/>
      <c r="AB39" s="3"/>
    </row>
    <row r="40" spans="1:28" s="113" customFormat="1" ht="15.75" thickTop="1">
      <c r="A40" s="109"/>
      <c r="B40" s="109"/>
      <c r="C40" s="109"/>
      <c r="D40" s="109"/>
      <c r="E40" s="109"/>
      <c r="F40" s="109"/>
      <c r="G40" s="109"/>
      <c r="H40" s="109"/>
      <c r="I40" s="111">
        <f>SUM(I9:I39)</f>
        <v>0</v>
      </c>
      <c r="J40" s="111">
        <f t="shared" ref="J40:AA40" si="9">SUM(J9:J39)</f>
        <v>0</v>
      </c>
      <c r="K40" s="111">
        <f t="shared" si="9"/>
        <v>12.7</v>
      </c>
      <c r="L40" s="111">
        <f t="shared" si="9"/>
        <v>22.1</v>
      </c>
      <c r="M40" s="111">
        <f t="shared" si="9"/>
        <v>25</v>
      </c>
      <c r="N40" s="111">
        <f t="shared" si="9"/>
        <v>23.7</v>
      </c>
      <c r="O40" s="111">
        <f t="shared" si="9"/>
        <v>23.4</v>
      </c>
      <c r="P40" s="111">
        <f t="shared" si="9"/>
        <v>24.9</v>
      </c>
      <c r="Q40" s="111">
        <f t="shared" si="9"/>
        <v>25.5</v>
      </c>
      <c r="R40" s="111">
        <f t="shared" si="9"/>
        <v>25.599999999999998</v>
      </c>
      <c r="S40" s="111">
        <f t="shared" si="9"/>
        <v>21.999999999999996</v>
      </c>
      <c r="T40" s="111">
        <f t="shared" si="9"/>
        <v>7.5000000000000009</v>
      </c>
      <c r="U40" s="111">
        <f t="shared" si="9"/>
        <v>0</v>
      </c>
      <c r="V40" s="111">
        <f t="shared" si="9"/>
        <v>0</v>
      </c>
      <c r="W40" s="111">
        <f>SUM(I40:O40)</f>
        <v>106.9</v>
      </c>
      <c r="X40" s="111">
        <f>SUM(P40:V40)</f>
        <v>105.5</v>
      </c>
      <c r="Y40" s="111">
        <f>W40+X40</f>
        <v>212.4</v>
      </c>
      <c r="Z40" s="111">
        <f t="shared" si="9"/>
        <v>317.02861542367316</v>
      </c>
      <c r="AA40" s="111">
        <f t="shared" si="9"/>
        <v>2009.8576775308636</v>
      </c>
      <c r="AB40" s="109"/>
    </row>
    <row r="41" spans="1:28" s="113" customFormat="1" ht="15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</row>
    <row r="42" spans="1:28" s="113" customFormat="1" ht="15">
      <c r="A42" s="109"/>
      <c r="B42" s="109" t="s">
        <v>51</v>
      </c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</row>
    <row r="43" spans="1:28" s="113" customFormat="1" ht="15">
      <c r="A43" s="109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</row>
    <row r="44" spans="1:28" s="113" customFormat="1" ht="15">
      <c r="A44" s="109"/>
      <c r="B44" s="109" t="s">
        <v>52</v>
      </c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</row>
    <row r="45" spans="1:28" s="113" customFormat="1" ht="15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</row>
    <row r="46" spans="1:28" s="113" customFormat="1" ht="15">
      <c r="A46" s="109"/>
      <c r="B46" s="109" t="s">
        <v>53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</row>
    <row r="47" spans="1:28" s="113" customFormat="1" ht="15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</row>
    <row r="48" spans="1:28" s="113" customFormat="1" ht="15">
      <c r="A48" s="109"/>
      <c r="B48" s="109" t="s">
        <v>54</v>
      </c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</row>
    <row r="49" spans="1:28" s="113" customFormat="1" ht="15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</row>
    <row r="50" spans="1:28" ht="15">
      <c r="A50" s="3"/>
      <c r="B50" s="109" t="s">
        <v>55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5">
      <c r="A52" s="3"/>
      <c r="B52" s="109" t="s">
        <v>56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5">
      <c r="A54" s="3"/>
      <c r="B54" s="109" t="s">
        <v>57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13" t="s">
        <v>58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scale="50" firstPageNumber="0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55"/>
  <sheetViews>
    <sheetView zoomScale="75" zoomScaleNormal="75" workbookViewId="0">
      <selection activeCell="A2" sqref="A2"/>
    </sheetView>
  </sheetViews>
  <sheetFormatPr defaultColWidth="11.42578125" defaultRowHeight="12.75"/>
  <cols>
    <col min="1" max="1" width="8.7109375" style="8" customWidth="1"/>
    <col min="2" max="8" width="12.7109375" style="8" customWidth="1"/>
    <col min="9" max="25" width="8.7109375" style="8" customWidth="1"/>
    <col min="26" max="27" width="12.7109375" style="8" customWidth="1"/>
    <col min="28" max="16384" width="11.42578125" style="8"/>
  </cols>
  <sheetData>
    <row r="1" spans="1:28" ht="18" customHeight="1">
      <c r="A1" s="1" t="s">
        <v>76</v>
      </c>
      <c r="B1" s="2"/>
      <c r="C1" s="3"/>
      <c r="D1" s="179"/>
      <c r="E1" s="180"/>
      <c r="F1" s="155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181"/>
      <c r="S1" s="181"/>
      <c r="T1" s="181"/>
      <c r="U1" s="181"/>
      <c r="V1" s="7"/>
      <c r="W1" s="7"/>
      <c r="X1" s="7" t="s">
        <v>2</v>
      </c>
      <c r="Y1" s="6"/>
      <c r="Z1" s="6"/>
      <c r="AA1" s="6"/>
      <c r="AB1" s="3"/>
    </row>
    <row r="2" spans="1:28" ht="18" customHeight="1">
      <c r="A2" s="3"/>
      <c r="B2" s="9" t="s">
        <v>74</v>
      </c>
      <c r="C2" s="3"/>
      <c r="D2" s="3"/>
      <c r="E2" s="179"/>
      <c r="F2" s="180"/>
      <c r="G2" s="155"/>
      <c r="H2" s="3"/>
      <c r="I2" s="3"/>
      <c r="J2" s="3"/>
      <c r="K2" s="3"/>
      <c r="L2" s="3"/>
      <c r="M2" s="3"/>
      <c r="N2" s="3"/>
      <c r="O2" s="3"/>
      <c r="P2" s="181"/>
      <c r="Q2" s="181"/>
      <c r="R2" s="181"/>
      <c r="S2" s="181"/>
      <c r="T2" s="181"/>
      <c r="U2" s="3"/>
      <c r="V2" s="9" t="s">
        <v>4</v>
      </c>
      <c r="W2" s="3"/>
      <c r="X2" s="3"/>
      <c r="Y2" s="3"/>
      <c r="Z2" s="3"/>
      <c r="AA2" s="3"/>
      <c r="AB2" s="3"/>
    </row>
    <row r="3" spans="1:28" ht="18" customHeight="1">
      <c r="A3" s="3"/>
      <c r="B3" s="9" t="s">
        <v>77</v>
      </c>
      <c r="C3" s="3"/>
      <c r="D3" s="3"/>
      <c r="E3" s="3"/>
      <c r="F3" s="3"/>
      <c r="G3" s="4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9" t="s">
        <v>78</v>
      </c>
      <c r="W3" s="3"/>
      <c r="X3" s="157"/>
      <c r="Y3" s="6"/>
      <c r="Z3" s="6"/>
      <c r="AA3" s="6"/>
      <c r="AB3" s="3"/>
    </row>
    <row r="4" spans="1:28" ht="18" customHeight="1" thickBot="1">
      <c r="A4" s="3"/>
      <c r="B4" s="3"/>
      <c r="C4" s="3"/>
      <c r="D4" s="179"/>
      <c r="E4" s="180"/>
      <c r="F4" s="15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1" t="s">
        <v>8</v>
      </c>
      <c r="B5" s="12"/>
      <c r="C5" s="13" t="s">
        <v>9</v>
      </c>
      <c r="D5" s="14"/>
      <c r="E5" s="15"/>
      <c r="F5" s="14"/>
      <c r="G5" s="14"/>
      <c r="H5" s="16"/>
      <c r="I5" s="17" t="s">
        <v>10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3"/>
      <c r="Y5" s="18"/>
      <c r="Z5" s="15"/>
      <c r="AA5" s="19"/>
      <c r="AB5" s="3"/>
    </row>
    <row r="6" spans="1:28" ht="18" customHeight="1">
      <c r="A6" s="20"/>
      <c r="B6" s="21" t="s">
        <v>11</v>
      </c>
      <c r="C6" s="22" t="s">
        <v>12</v>
      </c>
      <c r="D6" s="23" t="s">
        <v>13</v>
      </c>
      <c r="E6" s="22" t="s">
        <v>13</v>
      </c>
      <c r="F6" s="24" t="s">
        <v>14</v>
      </c>
      <c r="G6" s="24" t="s">
        <v>15</v>
      </c>
      <c r="H6" s="24" t="s">
        <v>16</v>
      </c>
      <c r="I6" s="25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8"/>
      <c r="W6" s="29"/>
      <c r="X6" s="30"/>
      <c r="Y6" s="31"/>
      <c r="Z6" s="32" t="s">
        <v>17</v>
      </c>
      <c r="AA6" s="33" t="s">
        <v>18</v>
      </c>
      <c r="AB6" s="3"/>
    </row>
    <row r="7" spans="1:28" ht="18" customHeight="1" thickBot="1">
      <c r="A7" s="34"/>
      <c r="B7" s="35" t="s">
        <v>19</v>
      </c>
      <c r="C7" s="36" t="s">
        <v>20</v>
      </c>
      <c r="D7" s="23" t="s">
        <v>21</v>
      </c>
      <c r="E7" s="24" t="s">
        <v>21</v>
      </c>
      <c r="F7" s="24" t="s">
        <v>22</v>
      </c>
      <c r="G7" s="24" t="s">
        <v>23</v>
      </c>
      <c r="H7" s="24" t="s">
        <v>24</v>
      </c>
      <c r="I7" s="37" t="s">
        <v>25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8"/>
      <c r="W7" s="39"/>
      <c r="X7" s="40" t="s">
        <v>26</v>
      </c>
      <c r="Y7" s="41"/>
      <c r="Z7" s="42" t="s">
        <v>27</v>
      </c>
      <c r="AA7" s="43" t="s">
        <v>28</v>
      </c>
      <c r="AB7" s="3"/>
    </row>
    <row r="8" spans="1:28" ht="18" customHeight="1" thickBot="1">
      <c r="A8" s="44"/>
      <c r="B8" s="45" t="s">
        <v>29</v>
      </c>
      <c r="C8" s="46" t="s">
        <v>30</v>
      </c>
      <c r="D8" s="46" t="s">
        <v>31</v>
      </c>
      <c r="E8" s="47" t="s">
        <v>32</v>
      </c>
      <c r="F8" s="47" t="s">
        <v>32</v>
      </c>
      <c r="G8" s="46" t="s">
        <v>32</v>
      </c>
      <c r="H8" s="24" t="s">
        <v>33</v>
      </c>
      <c r="I8" s="48" t="s">
        <v>34</v>
      </c>
      <c r="J8" s="49" t="s">
        <v>35</v>
      </c>
      <c r="K8" s="49" t="s">
        <v>36</v>
      </c>
      <c r="L8" s="49" t="s">
        <v>37</v>
      </c>
      <c r="M8" s="49" t="s">
        <v>38</v>
      </c>
      <c r="N8" s="117" t="s">
        <v>39</v>
      </c>
      <c r="O8" s="182" t="s">
        <v>40</v>
      </c>
      <c r="P8" s="183" t="s">
        <v>41</v>
      </c>
      <c r="Q8" s="49" t="s">
        <v>42</v>
      </c>
      <c r="R8" s="49" t="s">
        <v>43</v>
      </c>
      <c r="S8" s="49" t="s">
        <v>44</v>
      </c>
      <c r="T8" s="49" t="s">
        <v>45</v>
      </c>
      <c r="U8" s="49" t="s">
        <v>46</v>
      </c>
      <c r="V8" s="51" t="s">
        <v>47</v>
      </c>
      <c r="W8" s="54" t="s">
        <v>48</v>
      </c>
      <c r="X8" s="117" t="s">
        <v>49</v>
      </c>
      <c r="Y8" s="169" t="s">
        <v>50</v>
      </c>
      <c r="Z8" s="54" t="s">
        <v>50</v>
      </c>
      <c r="AA8" s="55" t="s">
        <v>50</v>
      </c>
      <c r="AB8" s="181"/>
    </row>
    <row r="9" spans="1:28" ht="18" customHeight="1">
      <c r="A9" s="118">
        <v>1</v>
      </c>
      <c r="B9" s="57">
        <v>18.3</v>
      </c>
      <c r="C9" s="75">
        <f>'[1]cálculos teóricos'!K185</f>
        <v>0.94922253208705598</v>
      </c>
      <c r="D9" s="59">
        <f>IF(B9&gt;0,B9*C9*14.25*1.022,-999)</f>
        <v>252.97924293271208</v>
      </c>
      <c r="E9" s="60">
        <f>IF(B9&gt;0,D9*4.1868/100,-999)</f>
        <v>10.59173494310679</v>
      </c>
      <c r="F9" s="61">
        <f>IF(B9&gt;0,(7.86+1.25*D9)*4.1868/100,-999)</f>
        <v>13.568751158883488</v>
      </c>
      <c r="G9" s="62">
        <f>'[1]cálculos teóricos'!T185</f>
        <v>22.12816277484286</v>
      </c>
      <c r="H9" s="63">
        <f>IF(B9&gt;0,100*F9/G9,-999)</f>
        <v>61.318923296739193</v>
      </c>
      <c r="I9" s="170"/>
      <c r="J9" s="64"/>
      <c r="K9" s="171"/>
      <c r="L9" s="171">
        <v>0.7</v>
      </c>
      <c r="M9" s="171">
        <v>1</v>
      </c>
      <c r="N9" s="184">
        <v>1</v>
      </c>
      <c r="O9" s="185">
        <v>1</v>
      </c>
      <c r="P9" s="186">
        <v>1</v>
      </c>
      <c r="Q9" s="171">
        <v>1</v>
      </c>
      <c r="R9" s="171">
        <v>0.9</v>
      </c>
      <c r="S9" s="171">
        <v>0.9</v>
      </c>
      <c r="T9" s="171"/>
      <c r="U9" s="64"/>
      <c r="V9" s="65"/>
      <c r="W9" s="59">
        <f t="shared" ref="W9:W40" si="0">SUM(I9:O9)</f>
        <v>3.7</v>
      </c>
      <c r="X9" s="124">
        <f>SUM(P9:V9)</f>
        <v>3.8</v>
      </c>
      <c r="Y9" s="125">
        <f>W9+X9</f>
        <v>7.5</v>
      </c>
      <c r="Z9" s="71">
        <f>'[1]cálculos teóricos'!I185</f>
        <v>10.559021498963354</v>
      </c>
      <c r="AA9" s="72">
        <f>100*Y9/Z9</f>
        <v>71.029308925418164</v>
      </c>
      <c r="AB9" s="3"/>
    </row>
    <row r="10" spans="1:28" ht="18" customHeight="1">
      <c r="A10" s="118">
        <v>2</v>
      </c>
      <c r="B10" s="187">
        <v>20.9</v>
      </c>
      <c r="C10" s="75">
        <f>'[1]cálculos teóricos'!K186</f>
        <v>0.94945428691235023</v>
      </c>
      <c r="D10" s="59">
        <f>IF(B10&gt;0,B10*C10*14.25*1.022,-999)</f>
        <v>288.99218990566345</v>
      </c>
      <c r="E10" s="60">
        <f>IF(B10&gt;0,D10*4.1868/100,-999)</f>
        <v>12.099525006970316</v>
      </c>
      <c r="F10" s="61">
        <f>IF(B10&gt;0,(7.86+1.25*D10)*4.1868/100,-999)</f>
        <v>15.453488738712897</v>
      </c>
      <c r="G10" s="62">
        <f>'[1]cálculos teóricos'!T186</f>
        <v>22.16318090088307</v>
      </c>
      <c r="H10" s="76">
        <f>IF(B10&gt;0,100*F10/G10,-999)</f>
        <v>69.72595137775177</v>
      </c>
      <c r="I10" s="173"/>
      <c r="J10" s="80"/>
      <c r="K10" s="175">
        <v>1</v>
      </c>
      <c r="L10" s="175">
        <v>1</v>
      </c>
      <c r="M10" s="188">
        <v>1</v>
      </c>
      <c r="N10" s="175">
        <v>1</v>
      </c>
      <c r="O10" s="189">
        <v>1</v>
      </c>
      <c r="P10" s="190">
        <v>1</v>
      </c>
      <c r="Q10" s="188">
        <v>1</v>
      </c>
      <c r="R10" s="188">
        <v>1</v>
      </c>
      <c r="S10" s="188">
        <v>1</v>
      </c>
      <c r="T10" s="188">
        <v>0.2</v>
      </c>
      <c r="U10" s="89"/>
      <c r="V10" s="79"/>
      <c r="W10" s="59">
        <f t="shared" si="0"/>
        <v>5</v>
      </c>
      <c r="X10" s="124">
        <f>SUM(P10:V10)</f>
        <v>4.2</v>
      </c>
      <c r="Y10" s="70">
        <f>W10+X10</f>
        <v>9.1999999999999993</v>
      </c>
      <c r="Z10" s="71">
        <f>'[1]cálculos teóricos'!I186</f>
        <v>10.563600427107158</v>
      </c>
      <c r="AA10" s="72">
        <f t="shared" ref="AA10:AA39" si="1">100*Y10/Z10</f>
        <v>87.09151830839761</v>
      </c>
      <c r="AB10" s="181"/>
    </row>
    <row r="11" spans="1:28" ht="18" customHeight="1">
      <c r="A11" s="118">
        <v>3</v>
      </c>
      <c r="B11" s="187">
        <v>13.1</v>
      </c>
      <c r="C11" s="75">
        <f>'[1]cálculos teóricos'!K187</f>
        <v>0.94970976387893824</v>
      </c>
      <c r="D11" s="59">
        <f t="shared" ref="D11:D39" si="2">IF(B11&gt;0,B11*C11*14.25*1.022,-999)</f>
        <v>181.18738571588705</v>
      </c>
      <c r="E11" s="60">
        <f t="shared" ref="E11:E39" si="3">IF(B11&gt;0,D11*4.1868/100,-999)</f>
        <v>7.5859534651527589</v>
      </c>
      <c r="F11" s="61">
        <f t="shared" ref="F11:F39" si="4">IF(B11&gt;0,(7.86+1.25*D11)*4.1868/100,-999)</f>
        <v>9.8115243114409498</v>
      </c>
      <c r="G11" s="62">
        <f>'[1]cálculos teóricos'!T187</f>
        <v>22.20209100334764</v>
      </c>
      <c r="H11" s="76">
        <f t="shared" ref="H11:H39" si="5">IF(B11&gt;0,100*F11/G11,-999)</f>
        <v>44.191893051702039</v>
      </c>
      <c r="I11" s="173"/>
      <c r="J11" s="80"/>
      <c r="K11" s="175">
        <v>0.4</v>
      </c>
      <c r="L11" s="188">
        <v>1</v>
      </c>
      <c r="M11" s="188">
        <v>0.7</v>
      </c>
      <c r="N11" s="175">
        <v>0.4</v>
      </c>
      <c r="O11" s="189">
        <v>0.5</v>
      </c>
      <c r="P11" s="190"/>
      <c r="Q11" s="188">
        <v>0.3</v>
      </c>
      <c r="R11" s="188"/>
      <c r="S11" s="188"/>
      <c r="T11" s="191"/>
      <c r="U11" s="89"/>
      <c r="V11" s="79"/>
      <c r="W11" s="59">
        <f t="shared" si="0"/>
        <v>2.9999999999999996</v>
      </c>
      <c r="X11" s="124">
        <f t="shared" ref="X11:X16" si="6">SUM(P11:V11)</f>
        <v>0.3</v>
      </c>
      <c r="Y11" s="70">
        <f t="shared" ref="Y11:Y16" si="7">W11+X11</f>
        <v>3.2999999999999994</v>
      </c>
      <c r="Z11" s="71">
        <f>'[1]cálculos teóricos'!I187</f>
        <v>10.568648710207977</v>
      </c>
      <c r="AA11" s="72">
        <f t="shared" si="1"/>
        <v>31.224426986702824</v>
      </c>
      <c r="AB11" s="181"/>
    </row>
    <row r="12" spans="1:28" ht="18" customHeight="1">
      <c r="A12" s="73">
        <v>4</v>
      </c>
      <c r="B12" s="57">
        <v>22.9</v>
      </c>
      <c r="C12" s="75">
        <f>'[1]cálculos teóricos'!K188</f>
        <v>0.9499887601007182</v>
      </c>
      <c r="D12" s="59">
        <f t="shared" si="2"/>
        <v>316.82519394694395</v>
      </c>
      <c r="E12" s="60">
        <f t="shared" si="3"/>
        <v>13.264837220170648</v>
      </c>
      <c r="F12" s="61">
        <f t="shared" si="4"/>
        <v>16.91012900521331</v>
      </c>
      <c r="G12" s="62">
        <f>'[1]cálculos teóricos'!T188</f>
        <v>22.244871387745548</v>
      </c>
      <c r="H12" s="76">
        <f t="shared" si="5"/>
        <v>76.018101927660112</v>
      </c>
      <c r="I12" s="173"/>
      <c r="J12" s="80"/>
      <c r="K12" s="77">
        <v>0.8</v>
      </c>
      <c r="L12" s="77">
        <v>1</v>
      </c>
      <c r="M12" s="80">
        <v>1</v>
      </c>
      <c r="N12" s="77">
        <v>1</v>
      </c>
      <c r="O12" s="192">
        <v>1</v>
      </c>
      <c r="P12" s="193">
        <v>1</v>
      </c>
      <c r="Q12" s="80">
        <v>1</v>
      </c>
      <c r="R12" s="80">
        <v>1</v>
      </c>
      <c r="S12" s="77">
        <v>1</v>
      </c>
      <c r="T12" s="89">
        <v>0.5</v>
      </c>
      <c r="U12" s="89"/>
      <c r="V12" s="79"/>
      <c r="W12" s="59">
        <f t="shared" si="0"/>
        <v>4.8</v>
      </c>
      <c r="X12" s="124">
        <f t="shared" si="6"/>
        <v>4.5</v>
      </c>
      <c r="Y12" s="70">
        <f t="shared" si="7"/>
        <v>9.3000000000000007</v>
      </c>
      <c r="Z12" s="71">
        <f>'[1]cálculos teóricos'!I188</f>
        <v>10.57416256793211</v>
      </c>
      <c r="AA12" s="72">
        <f t="shared" si="1"/>
        <v>87.950227171689065</v>
      </c>
      <c r="AB12" s="181"/>
    </row>
    <row r="13" spans="1:28" ht="18" customHeight="1">
      <c r="A13" s="73">
        <v>5</v>
      </c>
      <c r="B13" s="57">
        <v>23.5</v>
      </c>
      <c r="C13" s="75">
        <f>'[1]cálculos teóricos'!K189</f>
        <v>0.95029105530266378</v>
      </c>
      <c r="D13" s="59">
        <f t="shared" si="2"/>
        <v>325.22974892165814</v>
      </c>
      <c r="E13" s="60">
        <f t="shared" si="3"/>
        <v>13.616719127851981</v>
      </c>
      <c r="F13" s="61">
        <f t="shared" si="4"/>
        <v>17.349981389814978</v>
      </c>
      <c r="G13" s="62">
        <f>'[1]cálculos teóricos'!T189</f>
        <v>22.291498546096314</v>
      </c>
      <c r="H13" s="76">
        <f t="shared" si="5"/>
        <v>77.832279215940403</v>
      </c>
      <c r="I13" s="173"/>
      <c r="J13" s="80">
        <v>0.1</v>
      </c>
      <c r="K13" s="77">
        <v>1</v>
      </c>
      <c r="L13" s="77">
        <v>1</v>
      </c>
      <c r="M13" s="80">
        <v>1</v>
      </c>
      <c r="N13" s="77">
        <v>1</v>
      </c>
      <c r="O13" s="192">
        <v>1</v>
      </c>
      <c r="P13" s="193">
        <v>1</v>
      </c>
      <c r="Q13" s="80">
        <v>1</v>
      </c>
      <c r="R13" s="80">
        <v>1</v>
      </c>
      <c r="S13" s="77">
        <v>1</v>
      </c>
      <c r="T13" s="89">
        <v>0.5</v>
      </c>
      <c r="U13" s="89"/>
      <c r="V13" s="79"/>
      <c r="W13" s="59">
        <f t="shared" si="0"/>
        <v>5.0999999999999996</v>
      </c>
      <c r="X13" s="124">
        <f t="shared" si="6"/>
        <v>4.5</v>
      </c>
      <c r="Y13" s="70">
        <f t="shared" si="7"/>
        <v>9.6</v>
      </c>
      <c r="Z13" s="71">
        <f>'[1]cálculos teóricos'!I189</f>
        <v>10.580137911715219</v>
      </c>
      <c r="AA13" s="72">
        <f t="shared" si="1"/>
        <v>90.736057318970026</v>
      </c>
      <c r="AB13" s="181"/>
    </row>
    <row r="14" spans="1:28" ht="18" customHeight="1">
      <c r="A14" s="73">
        <v>6</v>
      </c>
      <c r="B14" s="57">
        <v>22</v>
      </c>
      <c r="C14" s="75">
        <f>'[1]cálculos teóricos'!K190</f>
        <v>0.95061641216417903</v>
      </c>
      <c r="D14" s="59">
        <f t="shared" si="2"/>
        <v>304.57464660816646</v>
      </c>
      <c r="E14" s="60">
        <f t="shared" si="3"/>
        <v>12.751931304190714</v>
      </c>
      <c r="F14" s="61">
        <f t="shared" si="4"/>
        <v>16.268996610238393</v>
      </c>
      <c r="G14" s="62">
        <f>'[1]cálculos teóricos'!T190</f>
        <v>22.341947176896817</v>
      </c>
      <c r="H14" s="76">
        <f t="shared" si="5"/>
        <v>72.818167912695216</v>
      </c>
      <c r="I14" s="173"/>
      <c r="J14" s="80"/>
      <c r="K14" s="77">
        <v>1</v>
      </c>
      <c r="L14" s="77">
        <v>1</v>
      </c>
      <c r="M14" s="80">
        <v>1</v>
      </c>
      <c r="N14" s="77">
        <v>1</v>
      </c>
      <c r="O14" s="192">
        <v>1</v>
      </c>
      <c r="P14" s="193">
        <v>1</v>
      </c>
      <c r="Q14" s="80">
        <v>1</v>
      </c>
      <c r="R14" s="80">
        <v>1</v>
      </c>
      <c r="S14" s="77">
        <v>1</v>
      </c>
      <c r="T14" s="89">
        <v>0.4</v>
      </c>
      <c r="U14" s="89"/>
      <c r="V14" s="79"/>
      <c r="W14" s="59">
        <f t="shared" si="0"/>
        <v>5</v>
      </c>
      <c r="X14" s="124">
        <f t="shared" si="6"/>
        <v>4.4000000000000004</v>
      </c>
      <c r="Y14" s="70">
        <f t="shared" si="7"/>
        <v>9.4</v>
      </c>
      <c r="Z14" s="71">
        <f>'[1]cálculos teóricos'!I190</f>
        <v>10.586570354918337</v>
      </c>
      <c r="AA14" s="72">
        <f t="shared" si="1"/>
        <v>88.791739768988762</v>
      </c>
      <c r="AB14" s="181"/>
    </row>
    <row r="15" spans="1:28" ht="18" customHeight="1">
      <c r="A15" s="73">
        <v>7</v>
      </c>
      <c r="B15" s="57">
        <v>22</v>
      </c>
      <c r="C15" s="75">
        <f>'[1]cálculos teóricos'!K191</f>
        <v>0.95096457668682222</v>
      </c>
      <c r="D15" s="59">
        <f t="shared" si="2"/>
        <v>304.68619747672778</v>
      </c>
      <c r="E15" s="60">
        <f t="shared" si="3"/>
        <v>12.75660171595564</v>
      </c>
      <c r="F15" s="61">
        <f t="shared" si="4"/>
        <v>16.27483462494455</v>
      </c>
      <c r="G15" s="62">
        <f>'[1]cálculos teóricos'!T191</f>
        <v>22.396190206493252</v>
      </c>
      <c r="H15" s="76">
        <f t="shared" si="5"/>
        <v>72.667871074902919</v>
      </c>
      <c r="I15" s="173"/>
      <c r="J15" s="80"/>
      <c r="K15" s="77">
        <v>0.5</v>
      </c>
      <c r="L15" s="77">
        <v>1</v>
      </c>
      <c r="M15" s="77">
        <v>1</v>
      </c>
      <c r="N15" s="77">
        <v>1</v>
      </c>
      <c r="O15" s="192">
        <v>1</v>
      </c>
      <c r="P15" s="193">
        <v>1</v>
      </c>
      <c r="Q15" s="80">
        <v>1</v>
      </c>
      <c r="R15" s="77">
        <v>1</v>
      </c>
      <c r="S15" s="89">
        <v>1</v>
      </c>
      <c r="T15" s="89">
        <v>0.3</v>
      </c>
      <c r="U15" s="89"/>
      <c r="V15" s="79"/>
      <c r="W15" s="59">
        <f t="shared" si="0"/>
        <v>4.5</v>
      </c>
      <c r="X15" s="124">
        <f t="shared" si="6"/>
        <v>4.3</v>
      </c>
      <c r="Y15" s="70">
        <f t="shared" si="7"/>
        <v>8.8000000000000007</v>
      </c>
      <c r="Z15" s="71">
        <f>'[1]cálculos teóricos'!I191</f>
        <v>10.593455223619625</v>
      </c>
      <c r="AA15" s="72">
        <f t="shared" si="1"/>
        <v>83.070158076272804</v>
      </c>
      <c r="AB15" s="181"/>
    </row>
    <row r="16" spans="1:28" ht="18" customHeight="1">
      <c r="A16" s="81">
        <v>8</v>
      </c>
      <c r="B16" s="77">
        <v>20.6</v>
      </c>
      <c r="C16" s="75">
        <f>'[1]cálculos teóricos'!K192</f>
        <v>0.95133527858537681</v>
      </c>
      <c r="D16" s="59">
        <f t="shared" si="2"/>
        <v>285.40828939136964</v>
      </c>
      <c r="E16" s="60">
        <f t="shared" si="3"/>
        <v>11.949474260237864</v>
      </c>
      <c r="F16" s="61">
        <f t="shared" si="4"/>
        <v>15.26592530529733</v>
      </c>
      <c r="G16" s="62">
        <f>'[1]cálculos teóricos'!T192</f>
        <v>22.454198811849096</v>
      </c>
      <c r="H16" s="76">
        <f t="shared" si="5"/>
        <v>67.986951719878292</v>
      </c>
      <c r="I16" s="174"/>
      <c r="J16" s="89"/>
      <c r="K16" s="77">
        <v>0.8</v>
      </c>
      <c r="L16" s="77">
        <v>1</v>
      </c>
      <c r="M16" s="80">
        <v>1</v>
      </c>
      <c r="N16" s="77">
        <v>1</v>
      </c>
      <c r="O16" s="192">
        <v>1</v>
      </c>
      <c r="P16" s="193">
        <v>1</v>
      </c>
      <c r="Q16" s="80">
        <v>1</v>
      </c>
      <c r="R16" s="80">
        <v>1</v>
      </c>
      <c r="S16" s="77">
        <v>0.9</v>
      </c>
      <c r="T16" s="88"/>
      <c r="U16" s="88"/>
      <c r="V16" s="79"/>
      <c r="W16" s="59">
        <f t="shared" si="0"/>
        <v>4.8</v>
      </c>
      <c r="X16" s="124">
        <f t="shared" si="6"/>
        <v>3.9</v>
      </c>
      <c r="Y16" s="70">
        <f t="shared" si="7"/>
        <v>8.6999999999999993</v>
      </c>
      <c r="Z16" s="71">
        <f>'[1]cálculos teóricos'!I192</f>
        <v>10.600787567991276</v>
      </c>
      <c r="AA16" s="72">
        <f t="shared" si="1"/>
        <v>82.069374036598546</v>
      </c>
      <c r="AB16" s="181"/>
    </row>
    <row r="17" spans="1:28" ht="18" customHeight="1">
      <c r="A17" s="81">
        <v>9</v>
      </c>
      <c r="B17" s="77">
        <v>8.1</v>
      </c>
      <c r="C17" s="75">
        <f>'[1]cálculos teóricos'!K193</f>
        <v>0.95172823170119347</v>
      </c>
      <c r="D17" s="59">
        <f t="shared" si="2"/>
        <v>112.27000222928068</v>
      </c>
      <c r="E17" s="60">
        <f t="shared" si="3"/>
        <v>4.7005204533355229</v>
      </c>
      <c r="F17" s="61">
        <f t="shared" si="4"/>
        <v>6.2047330466694053</v>
      </c>
      <c r="G17" s="62">
        <f>'[1]cálculos teóricos'!T193</f>
        <v>22.515942444697764</v>
      </c>
      <c r="H17" s="76">
        <f t="shared" si="5"/>
        <v>27.557065674284249</v>
      </c>
      <c r="I17" s="174"/>
      <c r="J17" s="89"/>
      <c r="K17" s="88"/>
      <c r="L17" s="77"/>
      <c r="M17" s="80"/>
      <c r="N17" s="77"/>
      <c r="O17" s="192"/>
      <c r="P17" s="193"/>
      <c r="Q17" s="80"/>
      <c r="R17" s="80"/>
      <c r="S17" s="77"/>
      <c r="T17" s="88"/>
      <c r="U17" s="88"/>
      <c r="V17" s="79"/>
      <c r="W17" s="59">
        <f t="shared" si="0"/>
        <v>0</v>
      </c>
      <c r="X17" s="124">
        <f>SUM(P17:V17)</f>
        <v>0</v>
      </c>
      <c r="Y17" s="70">
        <f>W17+X17</f>
        <v>0</v>
      </c>
      <c r="Z17" s="71">
        <f>'[1]cálculos teóricos'!I193</f>
        <v>10.608562174209084</v>
      </c>
      <c r="AA17" s="72">
        <f t="shared" si="1"/>
        <v>0</v>
      </c>
      <c r="AB17" s="181"/>
    </row>
    <row r="18" spans="1:28" ht="18" customHeight="1">
      <c r="A18" s="81">
        <v>10</v>
      </c>
      <c r="B18" s="77">
        <v>10.7</v>
      </c>
      <c r="C18" s="75">
        <f>'[1]cálculos teóricos'!K194</f>
        <v>0.95214313443666077</v>
      </c>
      <c r="D18" s="59">
        <f t="shared" si="2"/>
        <v>148.37194096054091</v>
      </c>
      <c r="E18" s="60">
        <f t="shared" si="3"/>
        <v>6.2120364241359267</v>
      </c>
      <c r="F18" s="61">
        <f t="shared" si="4"/>
        <v>8.0941280101699089</v>
      </c>
      <c r="G18" s="62">
        <f>'[1]cálculos teóricos'!T194</f>
        <v>22.581388857066401</v>
      </c>
      <c r="H18" s="76">
        <f t="shared" si="5"/>
        <v>35.844243511341915</v>
      </c>
      <c r="I18" s="174"/>
      <c r="J18" s="89"/>
      <c r="K18" s="88"/>
      <c r="L18" s="88"/>
      <c r="M18" s="88"/>
      <c r="N18" s="88"/>
      <c r="O18" s="194"/>
      <c r="P18" s="195"/>
      <c r="Q18" s="89">
        <v>0.2</v>
      </c>
      <c r="R18" s="88"/>
      <c r="S18" s="88"/>
      <c r="T18" s="88"/>
      <c r="U18" s="88"/>
      <c r="V18" s="79"/>
      <c r="W18" s="59">
        <f t="shared" si="0"/>
        <v>0</v>
      </c>
      <c r="X18" s="124">
        <f>SUM(P18:V18)</f>
        <v>0.2</v>
      </c>
      <c r="Y18" s="70">
        <f>W18+X18</f>
        <v>0.2</v>
      </c>
      <c r="Z18" s="71">
        <f>'[1]cálculos teóricos'!I194</f>
        <v>10.616773576840487</v>
      </c>
      <c r="AA18" s="72">
        <f t="shared" si="1"/>
        <v>1.883811485216955</v>
      </c>
      <c r="AB18" s="181"/>
    </row>
    <row r="19" spans="1:28" ht="18" customHeight="1">
      <c r="A19" s="81">
        <v>11</v>
      </c>
      <c r="B19" s="77">
        <v>15.5</v>
      </c>
      <c r="C19" s="75">
        <f>'[1]cálculos teóricos'!K195</f>
        <v>0.95257967020962231</v>
      </c>
      <c r="D19" s="59">
        <f t="shared" si="2"/>
        <v>215.02985742001644</v>
      </c>
      <c r="E19" s="60">
        <f t="shared" si="3"/>
        <v>9.002870070461249</v>
      </c>
      <c r="F19" s="61">
        <f t="shared" si="4"/>
        <v>11.58267006807656</v>
      </c>
      <c r="G19" s="62">
        <f>'[1]cálculos teóricos'!T195</f>
        <v>22.650504128154459</v>
      </c>
      <c r="H19" s="76">
        <f t="shared" si="5"/>
        <v>51.136478033967286</v>
      </c>
      <c r="I19" s="174"/>
      <c r="J19" s="89"/>
      <c r="K19" s="88">
        <v>0.2</v>
      </c>
      <c r="L19" s="88">
        <v>0.6</v>
      </c>
      <c r="M19" s="88">
        <v>0.6</v>
      </c>
      <c r="N19" s="88">
        <v>0.5</v>
      </c>
      <c r="O19" s="194">
        <v>1</v>
      </c>
      <c r="P19" s="195">
        <v>0.7</v>
      </c>
      <c r="Q19" s="88">
        <v>0.2</v>
      </c>
      <c r="R19" s="88">
        <v>0.4</v>
      </c>
      <c r="S19" s="88">
        <v>0.3</v>
      </c>
      <c r="T19" s="88"/>
      <c r="U19" s="88"/>
      <c r="V19" s="79"/>
      <c r="W19" s="59">
        <f t="shared" si="0"/>
        <v>2.9</v>
      </c>
      <c r="X19" s="124">
        <f>SUM(P19:V19)</f>
        <v>1.5999999999999999</v>
      </c>
      <c r="Y19" s="70">
        <f>W19+X19</f>
        <v>4.5</v>
      </c>
      <c r="Z19" s="71">
        <f>'[1]cálculos teóricos'!I195</f>
        <v>10.625416071655851</v>
      </c>
      <c r="AA19" s="72">
        <f t="shared" si="1"/>
        <v>42.351282713569312</v>
      </c>
      <c r="AB19" s="181"/>
    </row>
    <row r="20" spans="1:28" ht="18" customHeight="1">
      <c r="A20" s="81">
        <v>12</v>
      </c>
      <c r="B20" s="77">
        <v>19.899999999999999</v>
      </c>
      <c r="C20" s="75">
        <f>'[1]cálculos teóricos'!K196</f>
        <v>0.95303750792650499</v>
      </c>
      <c r="D20" s="59">
        <f t="shared" si="2"/>
        <v>276.20327875908436</v>
      </c>
      <c r="E20" s="60">
        <f t="shared" si="3"/>
        <v>11.564078875085343</v>
      </c>
      <c r="F20" s="61">
        <f t="shared" si="4"/>
        <v>14.784181073856677</v>
      </c>
      <c r="G20" s="62">
        <f>'[1]cálculos teóricos'!T196</f>
        <v>22.723252692547995</v>
      </c>
      <c r="H20" s="76">
        <f t="shared" si="5"/>
        <v>65.061904974128524</v>
      </c>
      <c r="I20" s="174"/>
      <c r="J20" s="89"/>
      <c r="K20" s="88"/>
      <c r="L20" s="88">
        <v>0.3</v>
      </c>
      <c r="M20" s="88">
        <v>0.8</v>
      </c>
      <c r="N20" s="88">
        <v>1</v>
      </c>
      <c r="O20" s="194">
        <v>1</v>
      </c>
      <c r="P20" s="195">
        <v>1</v>
      </c>
      <c r="Q20" s="88">
        <v>1</v>
      </c>
      <c r="R20" s="88">
        <v>1</v>
      </c>
      <c r="S20" s="88">
        <v>0.9</v>
      </c>
      <c r="T20" s="88"/>
      <c r="U20" s="88"/>
      <c r="V20" s="79"/>
      <c r="W20" s="59">
        <f t="shared" si="0"/>
        <v>3.1</v>
      </c>
      <c r="X20" s="124">
        <f>SUM(P20:V20)</f>
        <v>3.9</v>
      </c>
      <c r="Y20" s="70">
        <f>W20+X20</f>
        <v>7</v>
      </c>
      <c r="Z20" s="71">
        <f>'[1]cálculos teóricos'!I196</f>
        <v>10.634483728806718</v>
      </c>
      <c r="AA20" s="72">
        <f t="shared" si="1"/>
        <v>65.823599701773787</v>
      </c>
      <c r="AB20" s="181"/>
    </row>
    <row r="21" spans="1:28" ht="18" customHeight="1">
      <c r="A21" s="81">
        <v>13</v>
      </c>
      <c r="B21" s="77">
        <v>23.8</v>
      </c>
      <c r="C21" s="75">
        <f>'[1]cálculos teóricos'!K197</f>
        <v>0.95351630247288299</v>
      </c>
      <c r="D21" s="59">
        <f t="shared" si="2"/>
        <v>330.49952517131919</v>
      </c>
      <c r="E21" s="60">
        <f t="shared" si="3"/>
        <v>13.837354119872792</v>
      </c>
      <c r="F21" s="61">
        <f t="shared" si="4"/>
        <v>17.625775129840989</v>
      </c>
      <c r="G21" s="62">
        <f>'[1]cálculos teóricos'!T197</f>
        <v>22.79959736974741</v>
      </c>
      <c r="H21" s="76">
        <f t="shared" si="5"/>
        <v>77.307396459678174</v>
      </c>
      <c r="I21" s="174"/>
      <c r="J21" s="89"/>
      <c r="K21" s="88">
        <v>1</v>
      </c>
      <c r="L21" s="88">
        <v>1</v>
      </c>
      <c r="M21" s="88">
        <v>1</v>
      </c>
      <c r="N21" s="88">
        <v>1</v>
      </c>
      <c r="O21" s="194">
        <v>1</v>
      </c>
      <c r="P21" s="195">
        <v>1</v>
      </c>
      <c r="Q21" s="88">
        <v>1</v>
      </c>
      <c r="R21" s="88">
        <v>1</v>
      </c>
      <c r="S21" s="88">
        <v>1</v>
      </c>
      <c r="T21" s="88">
        <v>0.7</v>
      </c>
      <c r="U21" s="88"/>
      <c r="V21" s="79"/>
      <c r="W21" s="59">
        <f t="shared" si="0"/>
        <v>5</v>
      </c>
      <c r="X21" s="124">
        <f>SUM(P21:V21)</f>
        <v>4.7</v>
      </c>
      <c r="Y21" s="70">
        <f>W21+X21</f>
        <v>9.6999999999999993</v>
      </c>
      <c r="Z21" s="71">
        <f>'[1]cálculos teóricos'!I197</f>
        <v>10.643970406314452</v>
      </c>
      <c r="AA21" s="72">
        <f t="shared" si="1"/>
        <v>91.131407075742615</v>
      </c>
      <c r="AB21" s="181"/>
    </row>
    <row r="22" spans="1:28" ht="18" customHeight="1">
      <c r="A22" s="81">
        <v>14</v>
      </c>
      <c r="B22" s="77">
        <v>23.4</v>
      </c>
      <c r="C22" s="75">
        <f>'[1]cálculos teóricos'!K198</f>
        <v>0.95401569522016727</v>
      </c>
      <c r="D22" s="59">
        <f t="shared" si="2"/>
        <v>325.11509730973034</v>
      </c>
      <c r="E22" s="60">
        <f t="shared" si="3"/>
        <v>13.611918894163789</v>
      </c>
      <c r="F22" s="61">
        <f t="shared" si="4"/>
        <v>17.343981097704738</v>
      </c>
      <c r="G22" s="62">
        <f>'[1]cálculos teóricos'!T198</f>
        <v>22.879499394983263</v>
      </c>
      <c r="H22" s="76">
        <f t="shared" si="5"/>
        <v>75.805771788467169</v>
      </c>
      <c r="I22" s="174"/>
      <c r="J22" s="89">
        <v>0.1</v>
      </c>
      <c r="K22" s="88">
        <v>1</v>
      </c>
      <c r="L22" s="88">
        <v>1</v>
      </c>
      <c r="M22" s="88">
        <v>1</v>
      </c>
      <c r="N22" s="88">
        <v>1</v>
      </c>
      <c r="O22" s="194">
        <v>1</v>
      </c>
      <c r="P22" s="195">
        <v>1</v>
      </c>
      <c r="Q22" s="88">
        <v>1</v>
      </c>
      <c r="R22" s="88">
        <v>1</v>
      </c>
      <c r="S22" s="88">
        <v>1</v>
      </c>
      <c r="T22" s="88">
        <v>0.7</v>
      </c>
      <c r="U22" s="88"/>
      <c r="V22" s="79"/>
      <c r="W22" s="59">
        <f t="shared" si="0"/>
        <v>5.0999999999999996</v>
      </c>
      <c r="X22" s="124">
        <f t="shared" ref="X22:X36" si="8">SUM(P22:V22)</f>
        <v>4.7</v>
      </c>
      <c r="Y22" s="70">
        <f t="shared" ref="Y22:Y36" si="9">W22+X22</f>
        <v>9.8000000000000007</v>
      </c>
      <c r="Z22" s="71">
        <f>'[1]cálculos teóricos'!I198</f>
        <v>10.653869763812521</v>
      </c>
      <c r="AA22" s="72">
        <f t="shared" si="1"/>
        <v>91.985355718230963</v>
      </c>
      <c r="AB22" s="181"/>
    </row>
    <row r="23" spans="1:28" ht="18" customHeight="1">
      <c r="A23" s="81">
        <v>15</v>
      </c>
      <c r="B23" s="77">
        <v>24</v>
      </c>
      <c r="C23" s="75">
        <f>'[1]cálculos teóricos'!K199</f>
        <v>0.95453531454708007</v>
      </c>
      <c r="D23" s="59">
        <f t="shared" si="2"/>
        <v>333.63300128175365</v>
      </c>
      <c r="E23" s="60">
        <f t="shared" si="3"/>
        <v>13.968546497664461</v>
      </c>
      <c r="F23" s="61">
        <f t="shared" si="4"/>
        <v>17.789765602080578</v>
      </c>
      <c r="G23" s="62">
        <f>'[1]cálculos teóricos'!T199</f>
        <v>22.962918451291131</v>
      </c>
      <c r="H23" s="76">
        <f t="shared" si="5"/>
        <v>77.471710052083196</v>
      </c>
      <c r="I23" s="174"/>
      <c r="J23" s="89"/>
      <c r="K23" s="88">
        <v>0.7</v>
      </c>
      <c r="L23" s="88">
        <v>1</v>
      </c>
      <c r="M23" s="88">
        <v>1</v>
      </c>
      <c r="N23" s="88">
        <v>1</v>
      </c>
      <c r="O23" s="194">
        <v>1</v>
      </c>
      <c r="P23" s="195">
        <v>1</v>
      </c>
      <c r="Q23" s="88">
        <v>1</v>
      </c>
      <c r="R23" s="88">
        <v>1</v>
      </c>
      <c r="S23" s="88">
        <v>1</v>
      </c>
      <c r="T23" s="88">
        <v>0.6</v>
      </c>
      <c r="U23" s="88"/>
      <c r="V23" s="79"/>
      <c r="W23" s="59">
        <f t="shared" si="0"/>
        <v>4.7</v>
      </c>
      <c r="X23" s="124">
        <f t="shared" si="8"/>
        <v>4.5999999999999996</v>
      </c>
      <c r="Y23" s="70">
        <f t="shared" si="9"/>
        <v>9.3000000000000007</v>
      </c>
      <c r="Z23" s="71">
        <f>'[1]cálculos teóricos'!I199</f>
        <v>10.664175276485974</v>
      </c>
      <c r="AA23" s="72">
        <f t="shared" si="1"/>
        <v>87.207868952661372</v>
      </c>
      <c r="AB23" s="181"/>
    </row>
    <row r="24" spans="1:28" ht="18" customHeight="1">
      <c r="A24" s="81">
        <v>16</v>
      </c>
      <c r="B24" s="77">
        <v>19.8</v>
      </c>
      <c r="C24" s="75">
        <f>'[1]cálculos teóricos'!K200</f>
        <v>0.95507477637454152</v>
      </c>
      <c r="D24" s="59">
        <f t="shared" si="2"/>
        <v>275.40278381346661</v>
      </c>
      <c r="E24" s="60">
        <f t="shared" si="3"/>
        <v>11.53056375270222</v>
      </c>
      <c r="F24" s="61">
        <f t="shared" si="4"/>
        <v>14.742287170877775</v>
      </c>
      <c r="G24" s="62">
        <f>'[1]cálculos teóricos'!T200</f>
        <v>23.049812702813032</v>
      </c>
      <c r="H24" s="76">
        <f t="shared" si="5"/>
        <v>63.958381618773871</v>
      </c>
      <c r="I24" s="174"/>
      <c r="J24" s="89"/>
      <c r="K24" s="88">
        <v>0.6</v>
      </c>
      <c r="L24" s="88">
        <v>1</v>
      </c>
      <c r="M24" s="88">
        <v>0.8</v>
      </c>
      <c r="N24" s="88">
        <v>1</v>
      </c>
      <c r="O24" s="194">
        <v>1</v>
      </c>
      <c r="P24" s="195">
        <v>1</v>
      </c>
      <c r="Q24" s="88">
        <v>1</v>
      </c>
      <c r="R24" s="88">
        <v>1</v>
      </c>
      <c r="S24" s="88">
        <v>0.9</v>
      </c>
      <c r="T24" s="88">
        <v>0.2</v>
      </c>
      <c r="U24" s="88"/>
      <c r="V24" s="79"/>
      <c r="W24" s="59">
        <f t="shared" si="0"/>
        <v>4.4000000000000004</v>
      </c>
      <c r="X24" s="124">
        <f t="shared" si="8"/>
        <v>4.0999999999999996</v>
      </c>
      <c r="Y24" s="70">
        <f t="shared" si="9"/>
        <v>8.5</v>
      </c>
      <c r="Z24" s="71">
        <f>'[1]cálculos teóricos'!I200</f>
        <v>10.674880249152137</v>
      </c>
      <c r="AA24" s="72">
        <f t="shared" si="1"/>
        <v>79.626185976888323</v>
      </c>
      <c r="AB24" s="181"/>
    </row>
    <row r="25" spans="1:28" ht="18" customHeight="1">
      <c r="A25" s="81">
        <v>17</v>
      </c>
      <c r="B25" s="77">
        <v>18.399999999999999</v>
      </c>
      <c r="C25" s="75">
        <f>'[1]cálculos teóricos'!K201</f>
        <v>0.9556336847125847</v>
      </c>
      <c r="D25" s="59">
        <f t="shared" si="2"/>
        <v>256.07962947853582</v>
      </c>
      <c r="E25" s="60">
        <f t="shared" si="3"/>
        <v>10.721541927007339</v>
      </c>
      <c r="F25" s="61">
        <f t="shared" si="4"/>
        <v>13.731009888759175</v>
      </c>
      <c r="G25" s="62">
        <f>'[1]cálculos teóricos'!T201</f>
        <v>23.140138829289349</v>
      </c>
      <c r="H25" s="76">
        <f t="shared" si="5"/>
        <v>59.338493991139394</v>
      </c>
      <c r="I25" s="174"/>
      <c r="J25" s="89"/>
      <c r="K25" s="88"/>
      <c r="L25" s="88">
        <v>0.7</v>
      </c>
      <c r="M25" s="88">
        <v>0.7</v>
      </c>
      <c r="N25" s="88">
        <v>0.4</v>
      </c>
      <c r="O25" s="194">
        <v>1</v>
      </c>
      <c r="P25" s="195">
        <v>1</v>
      </c>
      <c r="Q25" s="88">
        <v>1</v>
      </c>
      <c r="R25" s="88">
        <v>1</v>
      </c>
      <c r="S25" s="88">
        <v>0.6</v>
      </c>
      <c r="T25" s="88"/>
      <c r="U25" s="88"/>
      <c r="V25" s="79"/>
      <c r="W25" s="59">
        <f t="shared" si="0"/>
        <v>2.8</v>
      </c>
      <c r="X25" s="124">
        <f t="shared" si="8"/>
        <v>3.6</v>
      </c>
      <c r="Y25" s="70">
        <f t="shared" si="9"/>
        <v>6.4</v>
      </c>
      <c r="Z25" s="71">
        <f>'[1]cálculos teóricos'!I201</f>
        <v>10.685977830427753</v>
      </c>
      <c r="AA25" s="72">
        <f t="shared" si="1"/>
        <v>59.891571006036912</v>
      </c>
      <c r="AB25" s="181"/>
    </row>
    <row r="26" spans="1:28" ht="18" customHeight="1">
      <c r="A26" s="92">
        <v>18</v>
      </c>
      <c r="B26" s="77">
        <v>6.1</v>
      </c>
      <c r="C26" s="75">
        <f>'[1]cálculos teóricos'!K202</f>
        <v>0.95621163221789329</v>
      </c>
      <c r="D26" s="59">
        <f t="shared" si="2"/>
        <v>84.947307445412264</v>
      </c>
      <c r="E26" s="60">
        <f t="shared" si="3"/>
        <v>3.5565738681245205</v>
      </c>
      <c r="F26" s="61">
        <f t="shared" si="4"/>
        <v>4.7747998151556503</v>
      </c>
      <c r="G26" s="62">
        <f>'[1]cálculos teóricos'!T202</f>
        <v>23.233852061700922</v>
      </c>
      <c r="H26" s="76">
        <f t="shared" si="5"/>
        <v>20.551046819423078</v>
      </c>
      <c r="I26" s="174"/>
      <c r="J26" s="89"/>
      <c r="K26" s="88"/>
      <c r="L26" s="88"/>
      <c r="M26" s="88"/>
      <c r="N26" s="88"/>
      <c r="O26" s="194"/>
      <c r="P26" s="195"/>
      <c r="Q26" s="88"/>
      <c r="R26" s="88"/>
      <c r="S26" s="88"/>
      <c r="T26" s="88"/>
      <c r="U26" s="88"/>
      <c r="V26" s="79"/>
      <c r="W26" s="59">
        <f t="shared" si="0"/>
        <v>0</v>
      </c>
      <c r="X26" s="124">
        <f t="shared" si="8"/>
        <v>0</v>
      </c>
      <c r="Y26" s="70">
        <f t="shared" si="9"/>
        <v>0</v>
      </c>
      <c r="Z26" s="71">
        <f>'[1]cálculos teóricos'!I202</f>
        <v>10.69746102692859</v>
      </c>
      <c r="AA26" s="72">
        <f t="shared" si="1"/>
        <v>0</v>
      </c>
      <c r="AB26" s="181"/>
    </row>
    <row r="27" spans="1:28" ht="18" customHeight="1">
      <c r="A27" s="92">
        <v>19</v>
      </c>
      <c r="B27" s="77">
        <v>8.9</v>
      </c>
      <c r="C27" s="75">
        <f>'[1]cálculos teóricos'!K203</f>
        <v>0.95680820076054496</v>
      </c>
      <c r="D27" s="59">
        <f t="shared" si="2"/>
        <v>124.01683846280817</v>
      </c>
      <c r="E27" s="60">
        <f t="shared" si="3"/>
        <v>5.1923369927608523</v>
      </c>
      <c r="F27" s="61">
        <f t="shared" si="4"/>
        <v>6.8195037209510652</v>
      </c>
      <c r="G27" s="62">
        <f>'[1]cálculos teóricos'!T203</f>
        <v>23.330906219017812</v>
      </c>
      <c r="H27" s="76">
        <f t="shared" si="5"/>
        <v>29.22948494556228</v>
      </c>
      <c r="I27" s="174"/>
      <c r="J27" s="89"/>
      <c r="K27" s="88"/>
      <c r="L27" s="88"/>
      <c r="M27" s="88"/>
      <c r="N27" s="88"/>
      <c r="O27" s="194"/>
      <c r="P27" s="195"/>
      <c r="Q27" s="88"/>
      <c r="R27" s="88"/>
      <c r="S27" s="88"/>
      <c r="T27" s="88"/>
      <c r="U27" s="88"/>
      <c r="V27" s="79"/>
      <c r="W27" s="59">
        <f t="shared" si="0"/>
        <v>0</v>
      </c>
      <c r="X27" s="124">
        <f t="shared" si="8"/>
        <v>0</v>
      </c>
      <c r="Y27" s="70">
        <f t="shared" si="9"/>
        <v>0</v>
      </c>
      <c r="Z27" s="71">
        <f>'[1]cálculos teóricos'!I203</f>
        <v>10.709322717449501</v>
      </c>
      <c r="AA27" s="72">
        <f t="shared" si="1"/>
        <v>0</v>
      </c>
      <c r="AB27" s="181"/>
    </row>
    <row r="28" spans="1:28" ht="18" customHeight="1">
      <c r="A28" s="92">
        <v>20</v>
      </c>
      <c r="B28" s="77">
        <v>20.7</v>
      </c>
      <c r="C28" s="75">
        <f>'[1]cálculos teóricos'!K204</f>
        <v>0.95742296199854815</v>
      </c>
      <c r="D28" s="59">
        <f t="shared" si="2"/>
        <v>288.62898665626318</v>
      </c>
      <c r="E28" s="60">
        <f t="shared" si="3"/>
        <v>12.084318413324427</v>
      </c>
      <c r="F28" s="61">
        <f t="shared" si="4"/>
        <v>15.434480496655533</v>
      </c>
      <c r="G28" s="62">
        <f>'[1]cálculos teóricos'!T204</f>
        <v>23.431253746006767</v>
      </c>
      <c r="H28" s="76">
        <f t="shared" si="5"/>
        <v>65.871338614502989</v>
      </c>
      <c r="I28" s="174"/>
      <c r="J28" s="89"/>
      <c r="K28" s="88"/>
      <c r="L28" s="88">
        <v>0.2</v>
      </c>
      <c r="M28" s="88">
        <v>0.8</v>
      </c>
      <c r="N28" s="88">
        <v>1</v>
      </c>
      <c r="O28" s="194">
        <v>1</v>
      </c>
      <c r="P28" s="195">
        <v>1</v>
      </c>
      <c r="Q28" s="88">
        <v>1</v>
      </c>
      <c r="R28" s="88">
        <v>1</v>
      </c>
      <c r="S28" s="88">
        <v>1</v>
      </c>
      <c r="T28" s="88"/>
      <c r="U28" s="88"/>
      <c r="V28" s="79"/>
      <c r="W28" s="59">
        <f t="shared" si="0"/>
        <v>3</v>
      </c>
      <c r="X28" s="124">
        <f t="shared" si="8"/>
        <v>4</v>
      </c>
      <c r="Y28" s="70">
        <f t="shared" si="9"/>
        <v>7</v>
      </c>
      <c r="Z28" s="71">
        <f>'[1]cálculos teóricos'!I204</f>
        <v>10.721555667074277</v>
      </c>
      <c r="AA28" s="72">
        <f t="shared" si="1"/>
        <v>65.289032835942692</v>
      </c>
      <c r="AB28" s="181"/>
    </row>
    <row r="29" spans="1:28" ht="18" customHeight="1">
      <c r="A29" s="92">
        <v>21</v>
      </c>
      <c r="B29" s="77">
        <v>21.3</v>
      </c>
      <c r="C29" s="75">
        <f>'[1]cálculos teóricos'!K205</f>
        <v>0.95805547795874668</v>
      </c>
      <c r="D29" s="59">
        <f t="shared" si="2"/>
        <v>297.19125230427204</v>
      </c>
      <c r="E29" s="60">
        <f t="shared" si="3"/>
        <v>12.442803351475261</v>
      </c>
      <c r="F29" s="61">
        <f t="shared" si="4"/>
        <v>15.882586669344077</v>
      </c>
      <c r="G29" s="62">
        <f>'[1]cálculos teóricos'!T205</f>
        <v>23.534845752045989</v>
      </c>
      <c r="H29" s="76">
        <f t="shared" si="5"/>
        <v>67.485407963480426</v>
      </c>
      <c r="I29" s="174"/>
      <c r="J29" s="89"/>
      <c r="K29" s="88">
        <v>0.6</v>
      </c>
      <c r="L29" s="88">
        <v>0.9</v>
      </c>
      <c r="M29" s="88">
        <v>0.9</v>
      </c>
      <c r="N29" s="88">
        <v>1</v>
      </c>
      <c r="O29" s="194">
        <v>1</v>
      </c>
      <c r="P29" s="195">
        <v>1</v>
      </c>
      <c r="Q29" s="88">
        <v>1</v>
      </c>
      <c r="R29" s="88">
        <v>1</v>
      </c>
      <c r="S29" s="88">
        <v>1</v>
      </c>
      <c r="T29" s="88"/>
      <c r="U29" s="88"/>
      <c r="V29" s="79"/>
      <c r="W29" s="59">
        <f t="shared" si="0"/>
        <v>4.4000000000000004</v>
      </c>
      <c r="X29" s="124">
        <f t="shared" si="8"/>
        <v>4</v>
      </c>
      <c r="Y29" s="70">
        <f t="shared" si="9"/>
        <v>8.4</v>
      </c>
      <c r="Z29" s="71">
        <f>'[1]cálculos teóricos'!I205</f>
        <v>10.734152541166916</v>
      </c>
      <c r="AA29" s="72">
        <f t="shared" si="1"/>
        <v>78.254896861069128</v>
      </c>
      <c r="AB29" s="3"/>
    </row>
    <row r="30" spans="1:28" ht="18" customHeight="1">
      <c r="A30" s="92">
        <v>22</v>
      </c>
      <c r="B30" s="77">
        <v>18.8</v>
      </c>
      <c r="C30" s="75">
        <f>'[1]cálculos teóricos'!K206</f>
        <v>0.9587053016226873</v>
      </c>
      <c r="D30" s="59">
        <f t="shared" si="2"/>
        <v>262.4875676114217</v>
      </c>
      <c r="E30" s="60">
        <f t="shared" si="3"/>
        <v>10.989829480755004</v>
      </c>
      <c r="F30" s="61">
        <f t="shared" si="4"/>
        <v>14.066369330943752</v>
      </c>
      <c r="G30" s="62">
        <f>'[1]cálculos teóricos'!T206</f>
        <v>23.641632050891843</v>
      </c>
      <c r="H30" s="76">
        <f t="shared" si="5"/>
        <v>59.498300712336487</v>
      </c>
      <c r="I30" s="174"/>
      <c r="J30" s="89"/>
      <c r="K30" s="88"/>
      <c r="L30" s="88"/>
      <c r="M30" s="88">
        <v>0.3</v>
      </c>
      <c r="N30" s="88">
        <v>0.2</v>
      </c>
      <c r="O30" s="194">
        <v>0.9</v>
      </c>
      <c r="P30" s="195">
        <v>1</v>
      </c>
      <c r="Q30" s="88">
        <v>1</v>
      </c>
      <c r="R30" s="88">
        <v>1</v>
      </c>
      <c r="S30" s="88">
        <v>1</v>
      </c>
      <c r="T30" s="88">
        <v>0.9</v>
      </c>
      <c r="U30" s="88"/>
      <c r="V30" s="79"/>
      <c r="W30" s="59">
        <f t="shared" si="0"/>
        <v>1.4</v>
      </c>
      <c r="X30" s="124">
        <f t="shared" si="8"/>
        <v>4.9000000000000004</v>
      </c>
      <c r="Y30" s="70">
        <f t="shared" si="9"/>
        <v>6.3000000000000007</v>
      </c>
      <c r="Z30" s="71">
        <f>'[1]cálculos teóricos'!I206</f>
        <v>10.747105919197939</v>
      </c>
      <c r="AA30" s="72">
        <f t="shared" si="1"/>
        <v>58.620432769217302</v>
      </c>
      <c r="AB30" s="3"/>
    </row>
    <row r="31" spans="1:28" ht="18" customHeight="1">
      <c r="A31" s="92">
        <v>23</v>
      </c>
      <c r="B31" s="77">
        <v>21.8</v>
      </c>
      <c r="C31" s="75">
        <f>'[1]cálculos teóricos'!K207</f>
        <v>0.95937197751604364</v>
      </c>
      <c r="D31" s="59">
        <f t="shared" si="2"/>
        <v>304.58554072129692</v>
      </c>
      <c r="E31" s="60">
        <f t="shared" si="3"/>
        <v>12.752387418919259</v>
      </c>
      <c r="F31" s="61">
        <f t="shared" si="4"/>
        <v>16.269566753649073</v>
      </c>
      <c r="G31" s="62">
        <f>'[1]cálculos teóricos'!T207</f>
        <v>23.751561201338504</v>
      </c>
      <c r="H31" s="76">
        <f t="shared" si="5"/>
        <v>68.498936199327446</v>
      </c>
      <c r="I31" s="174"/>
      <c r="J31" s="89">
        <v>0.2</v>
      </c>
      <c r="K31" s="88">
        <v>1</v>
      </c>
      <c r="L31" s="88">
        <v>1</v>
      </c>
      <c r="M31" s="88">
        <v>0.9</v>
      </c>
      <c r="N31" s="88">
        <v>1</v>
      </c>
      <c r="O31" s="194">
        <v>1</v>
      </c>
      <c r="P31" s="195">
        <v>0.9</v>
      </c>
      <c r="Q31" s="88">
        <v>0.7</v>
      </c>
      <c r="R31" s="88">
        <v>1</v>
      </c>
      <c r="S31" s="88">
        <v>0.9</v>
      </c>
      <c r="T31" s="88"/>
      <c r="U31" s="88"/>
      <c r="V31" s="79"/>
      <c r="W31" s="59">
        <f t="shared" si="0"/>
        <v>5.0999999999999996</v>
      </c>
      <c r="X31" s="124">
        <f t="shared" si="8"/>
        <v>3.5</v>
      </c>
      <c r="Y31" s="70">
        <f t="shared" si="9"/>
        <v>8.6</v>
      </c>
      <c r="Z31" s="71">
        <f>'[1]cálculos teóricos'!I207</f>
        <v>10.760408308361818</v>
      </c>
      <c r="AA31" s="72">
        <f t="shared" si="1"/>
        <v>79.922617744133518</v>
      </c>
      <c r="AB31" s="3"/>
    </row>
    <row r="32" spans="1:28" ht="18" customHeight="1">
      <c r="A32" s="92">
        <v>24</v>
      </c>
      <c r="B32" s="77">
        <v>20.9</v>
      </c>
      <c r="C32" s="75">
        <f>'[1]cálculos teóricos'!K208</f>
        <v>0.96005504230021532</v>
      </c>
      <c r="D32" s="59">
        <f t="shared" si="2"/>
        <v>292.21881761846896</v>
      </c>
      <c r="E32" s="60">
        <f t="shared" si="3"/>
        <v>12.234617456050056</v>
      </c>
      <c r="F32" s="61">
        <f t="shared" si="4"/>
        <v>15.622354300062575</v>
      </c>
      <c r="G32" s="62">
        <f>'[1]cálculos teóricos'!T208</f>
        <v>23.864580548707934</v>
      </c>
      <c r="H32" s="76">
        <f t="shared" si="5"/>
        <v>65.462513653559242</v>
      </c>
      <c r="I32" s="174"/>
      <c r="J32" s="89">
        <v>0.2</v>
      </c>
      <c r="K32" s="88">
        <v>1</v>
      </c>
      <c r="L32" s="88">
        <v>1</v>
      </c>
      <c r="M32" s="88">
        <v>1</v>
      </c>
      <c r="N32" s="88">
        <v>1</v>
      </c>
      <c r="O32" s="194">
        <v>1</v>
      </c>
      <c r="P32" s="195">
        <v>1</v>
      </c>
      <c r="Q32" s="88">
        <v>1</v>
      </c>
      <c r="R32" s="88">
        <v>1</v>
      </c>
      <c r="S32" s="88">
        <v>0.9</v>
      </c>
      <c r="T32" s="88">
        <v>0.3</v>
      </c>
      <c r="U32" s="88"/>
      <c r="V32" s="79"/>
      <c r="W32" s="59">
        <f t="shared" si="0"/>
        <v>5.2</v>
      </c>
      <c r="X32" s="124">
        <f t="shared" si="8"/>
        <v>4.2</v>
      </c>
      <c r="Y32" s="70">
        <f t="shared" si="9"/>
        <v>9.4</v>
      </c>
      <c r="Z32" s="71">
        <f>'[1]cálculos teóricos'!I208</f>
        <v>10.774052156944194</v>
      </c>
      <c r="AA32" s="72">
        <f t="shared" si="1"/>
        <v>87.246653933649498</v>
      </c>
      <c r="AB32" s="3"/>
    </row>
    <row r="33" spans="1:28" ht="18" customHeight="1">
      <c r="A33" s="92">
        <v>25</v>
      </c>
      <c r="B33" s="77">
        <v>21.1</v>
      </c>
      <c r="C33" s="75">
        <f>'[1]cálculos teóricos'!K209</f>
        <v>0.96075402536473475</v>
      </c>
      <c r="D33" s="59">
        <f t="shared" si="2"/>
        <v>295.22996034122554</v>
      </c>
      <c r="E33" s="60">
        <f t="shared" si="3"/>
        <v>12.36068797956643</v>
      </c>
      <c r="F33" s="61">
        <f t="shared" si="4"/>
        <v>15.779942454458038</v>
      </c>
      <c r="G33" s="62">
        <f>'[1]cálculos teóricos'!T209</f>
        <v>23.980636267104472</v>
      </c>
      <c r="H33" s="76">
        <f t="shared" si="5"/>
        <v>65.802851428526239</v>
      </c>
      <c r="I33" s="174"/>
      <c r="J33" s="89"/>
      <c r="K33" s="88">
        <v>0.9</v>
      </c>
      <c r="L33" s="88">
        <v>1</v>
      </c>
      <c r="M33" s="88">
        <v>1</v>
      </c>
      <c r="N33" s="88">
        <v>1</v>
      </c>
      <c r="O33" s="194">
        <v>1</v>
      </c>
      <c r="P33" s="195">
        <v>1</v>
      </c>
      <c r="Q33" s="88">
        <v>1</v>
      </c>
      <c r="R33" s="88">
        <v>0.8</v>
      </c>
      <c r="S33" s="88">
        <v>0.5</v>
      </c>
      <c r="T33" s="88">
        <v>0.7</v>
      </c>
      <c r="U33" s="88"/>
      <c r="V33" s="79"/>
      <c r="W33" s="59">
        <f t="shared" si="0"/>
        <v>4.9000000000000004</v>
      </c>
      <c r="X33" s="124">
        <f t="shared" si="8"/>
        <v>4</v>
      </c>
      <c r="Y33" s="70">
        <f t="shared" si="9"/>
        <v>8.9</v>
      </c>
      <c r="Z33" s="71">
        <f>'[1]cálculos teóricos'!I209</f>
        <v>10.788029867400006</v>
      </c>
      <c r="AA33" s="72">
        <f t="shared" si="1"/>
        <v>82.498844639785602</v>
      </c>
      <c r="AB33" s="3"/>
    </row>
    <row r="34" spans="1:28" ht="18" customHeight="1">
      <c r="A34" s="92">
        <v>26</v>
      </c>
      <c r="B34" s="77">
        <v>22.3</v>
      </c>
      <c r="C34" s="75">
        <f>'[1]cálculos teóricos'!K210</f>
        <v>0.96146844941914744</v>
      </c>
      <c r="D34" s="59">
        <f t="shared" si="2"/>
        <v>312.25231051748136</v>
      </c>
      <c r="E34" s="60">
        <f t="shared" si="3"/>
        <v>13.07337973674591</v>
      </c>
      <c r="F34" s="61">
        <f t="shared" si="4"/>
        <v>16.670807150932387</v>
      </c>
      <c r="G34" s="62">
        <f>'[1]cálculos teóricos'!T210</f>
        <v>24.099673402364708</v>
      </c>
      <c r="H34" s="76">
        <f t="shared" si="5"/>
        <v>69.174411090967794</v>
      </c>
      <c r="I34" s="174"/>
      <c r="J34" s="191"/>
      <c r="K34" s="196">
        <v>1</v>
      </c>
      <c r="L34" s="196">
        <v>1</v>
      </c>
      <c r="M34" s="196">
        <v>1</v>
      </c>
      <c r="N34" s="196">
        <v>1</v>
      </c>
      <c r="O34" s="197">
        <v>1</v>
      </c>
      <c r="P34" s="198">
        <v>1</v>
      </c>
      <c r="Q34" s="196">
        <v>1</v>
      </c>
      <c r="R34" s="196">
        <v>1</v>
      </c>
      <c r="S34" s="196">
        <v>1</v>
      </c>
      <c r="T34" s="196">
        <v>0.8</v>
      </c>
      <c r="U34" s="88"/>
      <c r="V34" s="79"/>
      <c r="W34" s="59">
        <f t="shared" si="0"/>
        <v>5</v>
      </c>
      <c r="X34" s="124">
        <f t="shared" si="8"/>
        <v>4.8</v>
      </c>
      <c r="Y34" s="70">
        <f t="shared" si="9"/>
        <v>9.8000000000000007</v>
      </c>
      <c r="Z34" s="71">
        <f>'[1]cálculos teóricos'!I210</f>
        <v>10.802333809106663</v>
      </c>
      <c r="AA34" s="72">
        <f t="shared" si="1"/>
        <v>90.721136498654886</v>
      </c>
      <c r="AB34" s="7"/>
    </row>
    <row r="35" spans="1:28" ht="18" customHeight="1">
      <c r="A35" s="92">
        <v>27</v>
      </c>
      <c r="B35" s="77">
        <v>16.899999999999999</v>
      </c>
      <c r="C35" s="75">
        <f>'[1]cálculos teóricos'!K211</f>
        <v>0.96219783108305346</v>
      </c>
      <c r="D35" s="59">
        <f t="shared" si="2"/>
        <v>236.819161109329</v>
      </c>
      <c r="E35" s="60">
        <f t="shared" si="3"/>
        <v>9.9151446373253869</v>
      </c>
      <c r="F35" s="61">
        <f t="shared" si="4"/>
        <v>12.723013276656731</v>
      </c>
      <c r="G35" s="62">
        <f>'[1]cálculos teóricos'!T211</f>
        <v>24.221635915630831</v>
      </c>
      <c r="H35" s="76">
        <f t="shared" si="5"/>
        <v>52.527473045064852</v>
      </c>
      <c r="I35" s="174"/>
      <c r="J35" s="89">
        <v>0.1</v>
      </c>
      <c r="K35" s="88">
        <v>1</v>
      </c>
      <c r="L35" s="88">
        <v>1</v>
      </c>
      <c r="M35" s="88">
        <v>1</v>
      </c>
      <c r="N35" s="88">
        <v>1</v>
      </c>
      <c r="O35" s="194">
        <v>1</v>
      </c>
      <c r="P35" s="195">
        <v>0.5</v>
      </c>
      <c r="Q35" s="88">
        <v>0.9</v>
      </c>
      <c r="R35" s="88"/>
      <c r="S35" s="88"/>
      <c r="T35" s="88"/>
      <c r="U35" s="88"/>
      <c r="V35" s="79"/>
      <c r="W35" s="59">
        <f t="shared" si="0"/>
        <v>5.0999999999999996</v>
      </c>
      <c r="X35" s="124">
        <f t="shared" si="8"/>
        <v>1.4</v>
      </c>
      <c r="Y35" s="70">
        <f t="shared" si="9"/>
        <v>6.5</v>
      </c>
      <c r="Z35" s="71">
        <f>'[1]cálculos teóricos'!I211</f>
        <v>10.81695633075898</v>
      </c>
      <c r="AA35" s="72">
        <f t="shared" si="1"/>
        <v>60.090840724915104</v>
      </c>
      <c r="AB35" s="3"/>
    </row>
    <row r="36" spans="1:28" ht="18" customHeight="1">
      <c r="A36" s="92">
        <v>28</v>
      </c>
      <c r="B36" s="77">
        <v>16.5</v>
      </c>
      <c r="C36" s="75">
        <f>'[1]cálculos teóricos'!K212</f>
        <v>0.96294168147303771</v>
      </c>
      <c r="D36" s="59">
        <f t="shared" si="2"/>
        <v>231.39271943918766</v>
      </c>
      <c r="E36" s="60">
        <f t="shared" si="3"/>
        <v>9.6879503774799076</v>
      </c>
      <c r="F36" s="61">
        <f t="shared" si="4"/>
        <v>12.439020451849885</v>
      </c>
      <c r="G36" s="62">
        <f>'[1]cálculos teóricos'!T212</f>
        <v>24.346466727472635</v>
      </c>
      <c r="H36" s="76">
        <f t="shared" si="5"/>
        <v>51.09168649023578</v>
      </c>
      <c r="I36" s="174"/>
      <c r="J36" s="89"/>
      <c r="K36" s="88"/>
      <c r="L36" s="88">
        <v>0.6</v>
      </c>
      <c r="M36" s="88">
        <v>1</v>
      </c>
      <c r="N36" s="88">
        <v>0.7</v>
      </c>
      <c r="O36" s="194">
        <v>0.8</v>
      </c>
      <c r="P36" s="195">
        <v>1</v>
      </c>
      <c r="Q36" s="88">
        <v>0.2</v>
      </c>
      <c r="R36" s="88"/>
      <c r="S36" s="88"/>
      <c r="T36" s="88"/>
      <c r="U36" s="88"/>
      <c r="V36" s="79"/>
      <c r="W36" s="59">
        <f t="shared" si="0"/>
        <v>3.0999999999999996</v>
      </c>
      <c r="X36" s="124">
        <f t="shared" si="8"/>
        <v>1.2</v>
      </c>
      <c r="Y36" s="70">
        <f t="shared" si="9"/>
        <v>4.3</v>
      </c>
      <c r="Z36" s="71">
        <f>'[1]cálculos teóricos'!I212</f>
        <v>10.831889772375648</v>
      </c>
      <c r="AA36" s="72">
        <f t="shared" si="1"/>
        <v>39.69759746786017</v>
      </c>
      <c r="AB36" s="3"/>
    </row>
    <row r="37" spans="1:28" ht="18" customHeight="1">
      <c r="A37" s="92">
        <v>29</v>
      </c>
      <c r="B37" s="77">
        <v>12.6</v>
      </c>
      <c r="C37" s="75">
        <f>'[1]cálculos teóricos'!K213</f>
        <v>0.96369950678525729</v>
      </c>
      <c r="D37" s="59">
        <f t="shared" si="2"/>
        <v>176.83895586504539</v>
      </c>
      <c r="E37" s="60">
        <f t="shared" si="3"/>
        <v>7.4038934041577207</v>
      </c>
      <c r="F37" s="61">
        <f t="shared" si="4"/>
        <v>9.5839492351971494</v>
      </c>
      <c r="G37" s="62">
        <f>'[1]cálculos teóricos'!T213</f>
        <v>24.474107762481303</v>
      </c>
      <c r="H37" s="76">
        <f t="shared" si="5"/>
        <v>39.159544969763104</v>
      </c>
      <c r="I37" s="174"/>
      <c r="J37" s="89"/>
      <c r="K37" s="88"/>
      <c r="L37" s="88"/>
      <c r="M37" s="88"/>
      <c r="N37" s="88">
        <v>0.3</v>
      </c>
      <c r="O37" s="194">
        <v>0.1</v>
      </c>
      <c r="P37" s="195">
        <v>0.4</v>
      </c>
      <c r="Q37" s="88"/>
      <c r="R37" s="88"/>
      <c r="S37" s="88"/>
      <c r="T37" s="88"/>
      <c r="U37" s="88"/>
      <c r="V37" s="79"/>
      <c r="W37" s="59">
        <f t="shared" si="0"/>
        <v>0.4</v>
      </c>
      <c r="X37" s="124">
        <f>SUM(P37:V37)</f>
        <v>0.4</v>
      </c>
      <c r="Y37" s="70">
        <f>W37+X37</f>
        <v>0.8</v>
      </c>
      <c r="Z37" s="71">
        <f>'[1]cálculos teóricos'!I213</f>
        <v>10.84712647688978</v>
      </c>
      <c r="AA37" s="72">
        <f t="shared" si="1"/>
        <v>7.3752251502223256</v>
      </c>
      <c r="AB37" s="3"/>
    </row>
    <row r="38" spans="1:28" ht="18" customHeight="1">
      <c r="A38" s="81">
        <v>30</v>
      </c>
      <c r="B38" s="77">
        <v>16.7</v>
      </c>
      <c r="C38" s="75">
        <f>'[1]cálculos teóricos'!K214</f>
        <v>0.96447080887248837</v>
      </c>
      <c r="D38" s="59">
        <f t="shared" si="2"/>
        <v>234.56937943774187</v>
      </c>
      <c r="E38" s="60">
        <f t="shared" si="3"/>
        <v>9.8209507782993768</v>
      </c>
      <c r="F38" s="61">
        <f t="shared" si="4"/>
        <v>12.605270952874221</v>
      </c>
      <c r="G38" s="62">
        <f>'[1]cálculos teóricos'!T214</f>
        <v>24.60449999425596</v>
      </c>
      <c r="H38" s="76">
        <f t="shared" si="5"/>
        <v>51.231567216635099</v>
      </c>
      <c r="I38" s="174"/>
      <c r="J38" s="89"/>
      <c r="K38" s="88"/>
      <c r="L38" s="88">
        <v>0.1</v>
      </c>
      <c r="M38" s="88">
        <v>0.7</v>
      </c>
      <c r="N38" s="88">
        <v>0.3</v>
      </c>
      <c r="O38" s="194">
        <v>0.9</v>
      </c>
      <c r="P38" s="195">
        <v>0.1</v>
      </c>
      <c r="Q38" s="88">
        <v>0.1</v>
      </c>
      <c r="R38" s="88">
        <v>0.1</v>
      </c>
      <c r="S38" s="88">
        <v>0.1</v>
      </c>
      <c r="T38" s="88">
        <v>0.2</v>
      </c>
      <c r="U38" s="88"/>
      <c r="V38" s="79"/>
      <c r="W38" s="59">
        <f t="shared" si="0"/>
        <v>2</v>
      </c>
      <c r="X38" s="124">
        <f>SUM(P38:V38)</f>
        <v>0.60000000000000009</v>
      </c>
      <c r="Y38" s="70">
        <f>W38+X38</f>
        <v>2.6</v>
      </c>
      <c r="Z38" s="71">
        <f>'[1]cálculos teóricos'!I214</f>
        <v>10.86265880129913</v>
      </c>
      <c r="AA38" s="72">
        <f t="shared" si="1"/>
        <v>23.935208198650688</v>
      </c>
      <c r="AB38" s="3"/>
    </row>
    <row r="39" spans="1:28" ht="18" customHeight="1" thickBot="1">
      <c r="A39" s="93">
        <v>31</v>
      </c>
      <c r="B39" s="94">
        <v>22.4</v>
      </c>
      <c r="C39" s="95">
        <f>'[1]cálculos teóricos'!K215</f>
        <v>0.96525508581449126</v>
      </c>
      <c r="D39" s="96">
        <f t="shared" si="2"/>
        <v>314.88783070660924</v>
      </c>
      <c r="E39" s="97">
        <f t="shared" si="3"/>
        <v>13.183723696024314</v>
      </c>
      <c r="F39" s="98">
        <f t="shared" si="4"/>
        <v>16.808737100030395</v>
      </c>
      <c r="G39" s="99">
        <f>'[1]cálculos teóricos'!T215</f>
        <v>24.7375834907022</v>
      </c>
      <c r="H39" s="100">
        <f t="shared" si="5"/>
        <v>67.948177340555844</v>
      </c>
      <c r="I39" s="199"/>
      <c r="J39" s="101"/>
      <c r="K39" s="94"/>
      <c r="L39" s="94">
        <v>0.1</v>
      </c>
      <c r="M39" s="94">
        <v>0.2</v>
      </c>
      <c r="N39" s="94">
        <v>1</v>
      </c>
      <c r="O39" s="200">
        <v>1</v>
      </c>
      <c r="P39" s="201">
        <v>1</v>
      </c>
      <c r="Q39" s="94">
        <v>1</v>
      </c>
      <c r="R39" s="94">
        <v>1</v>
      </c>
      <c r="S39" s="94">
        <v>1</v>
      </c>
      <c r="T39" s="94">
        <v>0.6</v>
      </c>
      <c r="U39" s="94"/>
      <c r="V39" s="79"/>
      <c r="W39" s="59">
        <f t="shared" si="0"/>
        <v>2.2999999999999998</v>
      </c>
      <c r="X39" s="124">
        <f>SUM(P39:V39)</f>
        <v>4.5999999999999996</v>
      </c>
      <c r="Y39" s="70">
        <f>W39+X39</f>
        <v>6.8999999999999995</v>
      </c>
      <c r="Z39" s="107">
        <f>'[1]cálculos teóricos'!I215</f>
        <v>10.87847912735425</v>
      </c>
      <c r="AA39" s="108">
        <f t="shared" si="1"/>
        <v>63.427983996859915</v>
      </c>
      <c r="AB39" s="3"/>
    </row>
    <row r="40" spans="1:28" s="113" customFormat="1" ht="15.75" thickTop="1">
      <c r="A40" s="109"/>
      <c r="B40" s="109"/>
      <c r="C40" s="109"/>
      <c r="D40" s="109"/>
      <c r="E40" s="109"/>
      <c r="F40" s="109"/>
      <c r="G40" s="109"/>
      <c r="H40" s="109"/>
      <c r="I40" s="111">
        <f>SUM(I9:I39)</f>
        <v>0</v>
      </c>
      <c r="J40" s="111">
        <f t="shared" ref="J40:V40" si="10">SUM(J9:J39)</f>
        <v>0.70000000000000007</v>
      </c>
      <c r="K40" s="111">
        <f t="shared" si="10"/>
        <v>14.5</v>
      </c>
      <c r="L40" s="111">
        <f t="shared" si="10"/>
        <v>20.200000000000003</v>
      </c>
      <c r="M40" s="111">
        <f t="shared" si="10"/>
        <v>22.400000000000002</v>
      </c>
      <c r="N40" s="111">
        <f t="shared" si="10"/>
        <v>22.8</v>
      </c>
      <c r="O40" s="111">
        <f t="shared" si="10"/>
        <v>25.2</v>
      </c>
      <c r="P40" s="111">
        <f t="shared" si="10"/>
        <v>23.599999999999998</v>
      </c>
      <c r="Q40" s="111">
        <f t="shared" si="10"/>
        <v>22.599999999999998</v>
      </c>
      <c r="R40" s="111">
        <f t="shared" si="10"/>
        <v>21.200000000000003</v>
      </c>
      <c r="S40" s="111">
        <f t="shared" si="10"/>
        <v>19.899999999999999</v>
      </c>
      <c r="T40" s="111">
        <f t="shared" si="10"/>
        <v>7.6</v>
      </c>
      <c r="U40" s="111">
        <f t="shared" si="10"/>
        <v>0</v>
      </c>
      <c r="V40" s="136">
        <f t="shared" si="10"/>
        <v>0</v>
      </c>
      <c r="W40" s="136">
        <f t="shared" si="0"/>
        <v>105.80000000000001</v>
      </c>
      <c r="X40" s="136">
        <f>SUM(P40:V40)</f>
        <v>94.9</v>
      </c>
      <c r="Y40" s="136">
        <f>W40+X40</f>
        <v>200.70000000000002</v>
      </c>
      <c r="Z40" s="136">
        <f>SUM(Z9:Z39)</f>
        <v>331.40602586246763</v>
      </c>
      <c r="AA40" s="136">
        <f>SUM(AA9:AA39)</f>
        <v>1878.9443640441186</v>
      </c>
      <c r="AB40" s="109"/>
    </row>
    <row r="41" spans="1:28" s="113" customFormat="1" ht="15">
      <c r="A41" s="109"/>
      <c r="B41" s="109" t="s">
        <v>51</v>
      </c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</row>
    <row r="42" spans="1:28" s="113" customFormat="1" ht="15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</row>
    <row r="43" spans="1:28" s="113" customFormat="1" ht="15">
      <c r="A43" s="109"/>
      <c r="B43" s="109" t="s">
        <v>52</v>
      </c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</row>
    <row r="44" spans="1:28" s="113" customFormat="1" ht="15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</row>
    <row r="45" spans="1:28" s="113" customFormat="1" ht="15">
      <c r="A45" s="109"/>
      <c r="B45" s="109" t="s">
        <v>53</v>
      </c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</row>
    <row r="46" spans="1:28" s="113" customFormat="1" ht="15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</row>
    <row r="47" spans="1:28" s="113" customFormat="1" ht="15">
      <c r="A47" s="109"/>
      <c r="B47" s="109" t="s">
        <v>54</v>
      </c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</row>
    <row r="48" spans="1:28" s="113" customFormat="1" ht="15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</row>
    <row r="49" spans="1:28" s="113" customFormat="1" ht="15">
      <c r="A49" s="109"/>
      <c r="B49" s="109" t="s">
        <v>55</v>
      </c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9" t="s">
        <v>56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9" t="s">
        <v>57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202"/>
      <c r="C54" s="20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13" t="s">
        <v>58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55"/>
  <sheetViews>
    <sheetView zoomScale="75" zoomScaleNormal="75" workbookViewId="0">
      <selection activeCell="A2" sqref="A2"/>
    </sheetView>
  </sheetViews>
  <sheetFormatPr defaultColWidth="11.42578125" defaultRowHeight="12.75"/>
  <cols>
    <col min="1" max="1" width="8.7109375" style="8" customWidth="1"/>
    <col min="2" max="8" width="12.7109375" style="8" customWidth="1"/>
    <col min="9" max="25" width="8.7109375" style="8" customWidth="1"/>
    <col min="26" max="27" width="12.7109375" style="8" customWidth="1"/>
    <col min="28" max="16384" width="11.42578125" style="8"/>
  </cols>
  <sheetData>
    <row r="1" spans="1:28" ht="18" customHeight="1">
      <c r="A1" s="1" t="s">
        <v>79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7" t="s">
        <v>2</v>
      </c>
      <c r="Y1" s="6"/>
      <c r="Z1" s="6"/>
      <c r="AA1" s="6"/>
      <c r="AB1" s="3"/>
    </row>
    <row r="2" spans="1:28" ht="18" customHeight="1">
      <c r="A2" s="3"/>
      <c r="B2" s="9" t="s">
        <v>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181"/>
      <c r="S2" s="181"/>
      <c r="T2" s="3"/>
      <c r="U2" s="3"/>
      <c r="V2" s="9" t="s">
        <v>67</v>
      </c>
      <c r="W2" s="3"/>
      <c r="X2" s="3"/>
      <c r="Y2" s="3"/>
      <c r="Z2" s="3"/>
      <c r="AA2" s="3"/>
      <c r="AB2" s="3"/>
    </row>
    <row r="3" spans="1:28" ht="18" customHeight="1">
      <c r="A3" s="3"/>
      <c r="B3" s="9" t="s">
        <v>77</v>
      </c>
      <c r="C3" s="3"/>
      <c r="D3" s="3"/>
      <c r="E3" s="3"/>
      <c r="F3" s="3"/>
      <c r="G3" s="4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9" t="s">
        <v>80</v>
      </c>
      <c r="W3" s="3"/>
      <c r="X3" s="6"/>
      <c r="Y3" s="6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1" t="s">
        <v>8</v>
      </c>
      <c r="B5" s="12"/>
      <c r="C5" s="13" t="s">
        <v>9</v>
      </c>
      <c r="D5" s="14"/>
      <c r="E5" s="15"/>
      <c r="F5" s="14"/>
      <c r="G5" s="14"/>
      <c r="H5" s="16"/>
      <c r="I5" s="17" t="s">
        <v>10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3"/>
      <c r="Y5" s="18"/>
      <c r="Z5" s="15"/>
      <c r="AA5" s="19"/>
      <c r="AB5" s="3"/>
    </row>
    <row r="6" spans="1:28" ht="18" customHeight="1">
      <c r="A6" s="20"/>
      <c r="B6" s="21" t="s">
        <v>11</v>
      </c>
      <c r="C6" s="22" t="s">
        <v>12</v>
      </c>
      <c r="D6" s="23" t="s">
        <v>13</v>
      </c>
      <c r="E6" s="22" t="s">
        <v>13</v>
      </c>
      <c r="F6" s="24" t="s">
        <v>14</v>
      </c>
      <c r="G6" s="24" t="s">
        <v>15</v>
      </c>
      <c r="H6" s="24" t="s">
        <v>16</v>
      </c>
      <c r="I6" s="25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8"/>
      <c r="W6" s="29"/>
      <c r="X6" s="30"/>
      <c r="Y6" s="31"/>
      <c r="Z6" s="32" t="s">
        <v>17</v>
      </c>
      <c r="AA6" s="33" t="s">
        <v>18</v>
      </c>
      <c r="AB6" s="3"/>
    </row>
    <row r="7" spans="1:28" ht="18" customHeight="1" thickBot="1">
      <c r="A7" s="34"/>
      <c r="B7" s="35" t="s">
        <v>19</v>
      </c>
      <c r="C7" s="36" t="s">
        <v>20</v>
      </c>
      <c r="D7" s="23" t="s">
        <v>21</v>
      </c>
      <c r="E7" s="24" t="s">
        <v>21</v>
      </c>
      <c r="F7" s="24" t="s">
        <v>22</v>
      </c>
      <c r="G7" s="24" t="s">
        <v>23</v>
      </c>
      <c r="H7" s="24" t="s">
        <v>24</v>
      </c>
      <c r="I7" s="37" t="s">
        <v>25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8"/>
      <c r="W7" s="39"/>
      <c r="X7" s="40" t="s">
        <v>26</v>
      </c>
      <c r="Y7" s="41"/>
      <c r="Z7" s="42" t="s">
        <v>27</v>
      </c>
      <c r="AA7" s="43" t="s">
        <v>28</v>
      </c>
      <c r="AB7" s="3"/>
    </row>
    <row r="8" spans="1:28" ht="18" customHeight="1" thickBot="1">
      <c r="A8" s="137"/>
      <c r="B8" s="45" t="s">
        <v>29</v>
      </c>
      <c r="C8" s="46" t="s">
        <v>30</v>
      </c>
      <c r="D8" s="46" t="s">
        <v>31</v>
      </c>
      <c r="E8" s="47" t="s">
        <v>32</v>
      </c>
      <c r="F8" s="47" t="s">
        <v>32</v>
      </c>
      <c r="G8" s="46" t="s">
        <v>32</v>
      </c>
      <c r="H8" s="24" t="s">
        <v>33</v>
      </c>
      <c r="I8" s="48" t="s">
        <v>34</v>
      </c>
      <c r="J8" s="49" t="s">
        <v>35</v>
      </c>
      <c r="K8" s="49" t="s">
        <v>36</v>
      </c>
      <c r="L8" s="49" t="s">
        <v>37</v>
      </c>
      <c r="M8" s="49" t="s">
        <v>38</v>
      </c>
      <c r="N8" s="49" t="s">
        <v>39</v>
      </c>
      <c r="O8" s="50" t="s">
        <v>40</v>
      </c>
      <c r="P8" s="49" t="s">
        <v>41</v>
      </c>
      <c r="Q8" s="49" t="s">
        <v>42</v>
      </c>
      <c r="R8" s="49" t="s">
        <v>43</v>
      </c>
      <c r="S8" s="49" t="s">
        <v>44</v>
      </c>
      <c r="T8" s="49" t="s">
        <v>45</v>
      </c>
      <c r="U8" s="49" t="s">
        <v>46</v>
      </c>
      <c r="V8" s="51" t="s">
        <v>47</v>
      </c>
      <c r="W8" s="54" t="s">
        <v>48</v>
      </c>
      <c r="X8" s="117" t="s">
        <v>49</v>
      </c>
      <c r="Y8" s="53" t="s">
        <v>50</v>
      </c>
      <c r="Z8" s="54" t="s">
        <v>50</v>
      </c>
      <c r="AA8" s="55" t="s">
        <v>50</v>
      </c>
      <c r="AB8" s="3"/>
    </row>
    <row r="9" spans="1:28" ht="18" customHeight="1">
      <c r="A9" s="73">
        <v>1</v>
      </c>
      <c r="B9" s="57">
        <v>21.7</v>
      </c>
      <c r="C9" s="75">
        <f>'[1]cálculos teóricos'!K216</f>
        <v>0.96605183248059556</v>
      </c>
      <c r="D9" s="59">
        <f>IF(B9&gt;0,B9*C9*14.25*1.022,-999)</f>
        <v>305.29938021258602</v>
      </c>
      <c r="E9" s="60">
        <f>IF(B9&gt;0,D9*4.1868/100,-999)</f>
        <v>12.782274450740552</v>
      </c>
      <c r="F9" s="61">
        <f>IF(B9&gt;0,(7.86+1.25*D9)*4.1868/100,-999)</f>
        <v>16.306925543425692</v>
      </c>
      <c r="G9" s="62">
        <f>'[1]cálculos teóricos'!T216</f>
        <v>24.873297459560863</v>
      </c>
      <c r="H9" s="63">
        <f>IF(B9&gt;0,100*F9/G9,-999)</f>
        <v>65.559966747221893</v>
      </c>
      <c r="I9" s="57"/>
      <c r="J9" s="64"/>
      <c r="K9" s="64"/>
      <c r="L9" s="64">
        <v>0.7</v>
      </c>
      <c r="M9" s="64">
        <v>1</v>
      </c>
      <c r="N9" s="64">
        <v>1</v>
      </c>
      <c r="O9" s="65">
        <v>1</v>
      </c>
      <c r="P9" s="64">
        <v>1</v>
      </c>
      <c r="Q9" s="64">
        <v>1</v>
      </c>
      <c r="R9" s="64">
        <v>1</v>
      </c>
      <c r="S9" s="64">
        <v>1</v>
      </c>
      <c r="T9" s="64">
        <v>0.6</v>
      </c>
      <c r="U9" s="64"/>
      <c r="V9" s="65"/>
      <c r="W9" s="59">
        <f t="shared" ref="W9:W40" si="0">SUM(I9:O9)</f>
        <v>3.7</v>
      </c>
      <c r="X9" s="203">
        <f>SUM(P9:V9)</f>
        <v>4.5999999999999996</v>
      </c>
      <c r="Y9" s="125">
        <f>W9+X9</f>
        <v>8.3000000000000007</v>
      </c>
      <c r="Z9" s="71">
        <f>'[1]cálculos teóricos'!I216</f>
        <v>10.894579871765924</v>
      </c>
      <c r="AA9" s="72">
        <f>100*Y9/Z9</f>
        <v>76.184672540792874</v>
      </c>
      <c r="AB9" s="3"/>
    </row>
    <row r="10" spans="1:28" ht="18" customHeight="1">
      <c r="A10" s="73">
        <v>2</v>
      </c>
      <c r="B10" s="57">
        <v>23.6</v>
      </c>
      <c r="C10" s="75">
        <f>'[1]cálculos teóricos'!K217</f>
        <v>0.96686054108346287</v>
      </c>
      <c r="D10" s="59">
        <f>IF(B10&gt;0,B10*C10*14.25*1.022,-999)</f>
        <v>332.30861436562873</v>
      </c>
      <c r="E10" s="60">
        <f>IF(B10&gt;0,D10*4.1868/100,-999)</f>
        <v>13.913097066260143</v>
      </c>
      <c r="F10" s="61">
        <f>IF(B10&gt;0,(7.86+1.25*D10)*4.1868/100,-999)</f>
        <v>17.720453812825177</v>
      </c>
      <c r="G10" s="62">
        <f>'[1]cálculos teóricos'!T217</f>
        <v>25.01158029408397</v>
      </c>
      <c r="H10" s="76">
        <f>IF(B10&gt;0,100*F10/G10,-999)</f>
        <v>70.848997162392905</v>
      </c>
      <c r="I10" s="57"/>
      <c r="J10" s="80"/>
      <c r="K10" s="77">
        <v>0.3</v>
      </c>
      <c r="L10" s="77">
        <v>1</v>
      </c>
      <c r="M10" s="77">
        <v>1</v>
      </c>
      <c r="N10" s="77">
        <v>1</v>
      </c>
      <c r="O10" s="78">
        <v>1</v>
      </c>
      <c r="P10" s="80">
        <v>1</v>
      </c>
      <c r="Q10" s="77">
        <v>1</v>
      </c>
      <c r="R10" s="77">
        <v>1</v>
      </c>
      <c r="S10" s="77">
        <v>1</v>
      </c>
      <c r="T10" s="89">
        <v>0.8</v>
      </c>
      <c r="U10" s="89"/>
      <c r="V10" s="79"/>
      <c r="W10" s="59">
        <f t="shared" si="0"/>
        <v>4.3</v>
      </c>
      <c r="X10" s="124">
        <f t="shared" ref="X10:X36" si="1">SUM(P10:V10)</f>
        <v>4.8</v>
      </c>
      <c r="Y10" s="132">
        <f t="shared" ref="Y10:Y36" si="2">W10+X10</f>
        <v>9.1</v>
      </c>
      <c r="Z10" s="71">
        <f>'[1]cálculos teóricos'!I217</f>
        <v>10.910953495915864</v>
      </c>
      <c r="AA10" s="72">
        <f t="shared" ref="AA10:AA39" si="3">100*Y10/Z10</f>
        <v>83.402426776049126</v>
      </c>
      <c r="AB10" s="3"/>
    </row>
    <row r="11" spans="1:28" ht="18" customHeight="1">
      <c r="A11" s="73">
        <v>3</v>
      </c>
      <c r="B11" s="57">
        <v>23.3</v>
      </c>
      <c r="C11" s="75">
        <f>'[1]cálculos teóricos'!K218</f>
        <v>0.96768070172304144</v>
      </c>
      <c r="D11" s="59">
        <f t="shared" ref="D11:D39" si="4">IF(B11&gt;0,B11*C11*14.25*1.022,-999)</f>
        <v>328.36265705936393</v>
      </c>
      <c r="E11" s="60">
        <f t="shared" ref="E11:E39" si="5">IF(B11&gt;0,D11*4.1868/100,-999)</f>
        <v>13.747887725761448</v>
      </c>
      <c r="F11" s="61">
        <f t="shared" ref="F11:F39" si="6">IF(B11&gt;0,(7.86+1.25*D11)*4.1868/100,-999)</f>
        <v>17.513942137201813</v>
      </c>
      <c r="G11" s="62">
        <f>'[1]cálculos teóricos'!T218</f>
        <v>25.152369618774994</v>
      </c>
      <c r="H11" s="76">
        <f t="shared" ref="H11:H39" si="7">IF(B11&gt;0,100*F11/G11,-999)</f>
        <v>69.631380274121469</v>
      </c>
      <c r="I11" s="57"/>
      <c r="J11" s="80"/>
      <c r="K11" s="77">
        <v>0.8</v>
      </c>
      <c r="L11" s="77">
        <v>1</v>
      </c>
      <c r="M11" s="77">
        <v>1</v>
      </c>
      <c r="N11" s="77">
        <v>1</v>
      </c>
      <c r="O11" s="78">
        <v>1</v>
      </c>
      <c r="P11" s="80">
        <v>1</v>
      </c>
      <c r="Q11" s="80">
        <v>1</v>
      </c>
      <c r="R11" s="77">
        <v>1</v>
      </c>
      <c r="S11" s="89">
        <v>1</v>
      </c>
      <c r="T11" s="89">
        <v>0.9</v>
      </c>
      <c r="U11" s="89"/>
      <c r="V11" s="79"/>
      <c r="W11" s="59">
        <f t="shared" si="0"/>
        <v>4.8</v>
      </c>
      <c r="X11" s="124">
        <f t="shared" si="1"/>
        <v>4.9000000000000004</v>
      </c>
      <c r="Y11" s="70">
        <f t="shared" si="2"/>
        <v>9.6999999999999993</v>
      </c>
      <c r="Z11" s="71">
        <f>'[1]cálculos teóricos'!I218</f>
        <v>10.927592515057382</v>
      </c>
      <c r="AA11" s="72">
        <f t="shared" si="3"/>
        <v>88.766121052136086</v>
      </c>
      <c r="AB11" s="3"/>
    </row>
    <row r="12" spans="1:28" ht="18" customHeight="1">
      <c r="A12" s="73">
        <v>4</v>
      </c>
      <c r="B12" s="57">
        <v>23.1</v>
      </c>
      <c r="C12" s="75">
        <f>'[1]cálculos teóricos'!K219</f>
        <v>0.96851180291978101</v>
      </c>
      <c r="D12" s="59">
        <f t="shared" si="4"/>
        <v>325.82368992609349</v>
      </c>
      <c r="E12" s="60">
        <f t="shared" si="5"/>
        <v>13.641586249825682</v>
      </c>
      <c r="F12" s="61">
        <f t="shared" si="6"/>
        <v>17.381065292282102</v>
      </c>
      <c r="G12" s="62">
        <f>'[1]cálculos teóricos'!T219</f>
        <v>25.295602335109727</v>
      </c>
      <c r="H12" s="76">
        <f t="shared" si="7"/>
        <v>68.711806352828262</v>
      </c>
      <c r="I12" s="57"/>
      <c r="J12" s="80"/>
      <c r="K12" s="77"/>
      <c r="L12" s="77">
        <v>0.9</v>
      </c>
      <c r="M12" s="77">
        <v>1</v>
      </c>
      <c r="N12" s="77">
        <v>1</v>
      </c>
      <c r="O12" s="78">
        <v>1</v>
      </c>
      <c r="P12" s="80">
        <v>1</v>
      </c>
      <c r="Q12" s="80">
        <v>1</v>
      </c>
      <c r="R12" s="77">
        <v>1</v>
      </c>
      <c r="S12" s="77">
        <v>1</v>
      </c>
      <c r="T12" s="89">
        <v>0.7</v>
      </c>
      <c r="U12" s="89"/>
      <c r="V12" s="79"/>
      <c r="W12" s="59">
        <f t="shared" si="0"/>
        <v>3.9</v>
      </c>
      <c r="X12" s="124">
        <f t="shared" si="1"/>
        <v>4.7</v>
      </c>
      <c r="Y12" s="204">
        <f t="shared" si="2"/>
        <v>8.6</v>
      </c>
      <c r="Z12" s="71">
        <f>'[1]cálculos teóricos'!I219</f>
        <v>10.944489506995499</v>
      </c>
      <c r="AA12" s="72">
        <f t="shared" si="3"/>
        <v>78.578356665270249</v>
      </c>
      <c r="AB12" s="3"/>
    </row>
    <row r="13" spans="1:28" ht="18" customHeight="1">
      <c r="A13" s="73">
        <v>5</v>
      </c>
      <c r="B13" s="57">
        <v>24</v>
      </c>
      <c r="C13" s="75">
        <f>'[1]cálculos teóricos'!K220</f>
        <v>0.96935333213624431</v>
      </c>
      <c r="D13" s="59">
        <f t="shared" si="4"/>
        <v>338.8122540615887</v>
      </c>
      <c r="E13" s="60">
        <f t="shared" si="5"/>
        <v>14.185391453050595</v>
      </c>
      <c r="F13" s="61">
        <f t="shared" si="6"/>
        <v>18.060821796313245</v>
      </c>
      <c r="G13" s="62">
        <f>'[1]cálculos teóricos'!T220</f>
        <v>25.441214667155272</v>
      </c>
      <c r="H13" s="76">
        <f t="shared" si="7"/>
        <v>70.990406836312943</v>
      </c>
      <c r="I13" s="57"/>
      <c r="J13" s="80"/>
      <c r="K13" s="77">
        <v>0.5</v>
      </c>
      <c r="L13" s="77">
        <v>1</v>
      </c>
      <c r="M13" s="77">
        <v>1</v>
      </c>
      <c r="N13" s="77">
        <v>1</v>
      </c>
      <c r="O13" s="78">
        <v>1</v>
      </c>
      <c r="P13" s="80">
        <v>1</v>
      </c>
      <c r="Q13" s="80">
        <v>1</v>
      </c>
      <c r="R13" s="77">
        <v>1</v>
      </c>
      <c r="S13" s="89">
        <v>1</v>
      </c>
      <c r="T13" s="89">
        <v>1</v>
      </c>
      <c r="U13" s="89"/>
      <c r="V13" s="79"/>
      <c r="W13" s="59">
        <f t="shared" si="0"/>
        <v>4.5</v>
      </c>
      <c r="X13" s="124">
        <f t="shared" si="1"/>
        <v>5</v>
      </c>
      <c r="Y13" s="132">
        <f t="shared" si="2"/>
        <v>9.5</v>
      </c>
      <c r="Z13" s="71">
        <f>'[1]cálculos teóricos'!I220</f>
        <v>10.961637120238258</v>
      </c>
      <c r="AA13" s="72">
        <f t="shared" si="3"/>
        <v>86.66588663531229</v>
      </c>
      <c r="AB13" s="3"/>
    </row>
    <row r="14" spans="1:28" ht="18" customHeight="1">
      <c r="A14" s="73">
        <v>6</v>
      </c>
      <c r="B14" s="57">
        <v>24.6</v>
      </c>
      <c r="C14" s="75">
        <f>'[1]cálculos teóricos'!K221</f>
        <v>0.9702047762863053</v>
      </c>
      <c r="D14" s="59">
        <f t="shared" si="4"/>
        <v>347.58760058236197</v>
      </c>
      <c r="E14" s="60">
        <f t="shared" si="5"/>
        <v>14.55279766118233</v>
      </c>
      <c r="F14" s="61">
        <f t="shared" si="6"/>
        <v>18.520079556477913</v>
      </c>
      <c r="G14" s="62">
        <f>'[1]cálculos teóricos'!T221</f>
        <v>25.589142207004898</v>
      </c>
      <c r="H14" s="76">
        <f t="shared" si="7"/>
        <v>72.374757257037459</v>
      </c>
      <c r="I14" s="57"/>
      <c r="J14" s="80"/>
      <c r="K14" s="77">
        <v>0.9</v>
      </c>
      <c r="L14" s="77">
        <v>1</v>
      </c>
      <c r="M14" s="77">
        <v>1</v>
      </c>
      <c r="N14" s="77">
        <v>1</v>
      </c>
      <c r="O14" s="78">
        <v>1</v>
      </c>
      <c r="P14" s="80">
        <v>1</v>
      </c>
      <c r="Q14" s="80">
        <v>1</v>
      </c>
      <c r="R14" s="77">
        <v>1</v>
      </c>
      <c r="S14" s="89">
        <v>1</v>
      </c>
      <c r="T14" s="89">
        <v>1</v>
      </c>
      <c r="U14" s="89"/>
      <c r="V14" s="79"/>
      <c r="W14" s="59">
        <f t="shared" si="0"/>
        <v>4.9000000000000004</v>
      </c>
      <c r="X14" s="124">
        <f t="shared" si="1"/>
        <v>5</v>
      </c>
      <c r="Y14" s="132">
        <f t="shared" si="2"/>
        <v>9.9</v>
      </c>
      <c r="Z14" s="71">
        <f>'[1]cálculos teóricos'!I221</f>
        <v>10.979028081613723</v>
      </c>
      <c r="AA14" s="72">
        <f t="shared" si="3"/>
        <v>90.171916187911549</v>
      </c>
      <c r="AB14" s="3"/>
    </row>
    <row r="15" spans="1:28" ht="18" customHeight="1">
      <c r="A15" s="73">
        <v>7</v>
      </c>
      <c r="B15" s="57">
        <v>25.2</v>
      </c>
      <c r="C15" s="75">
        <f>'[1]cálculos teóricos'!K222</f>
        <v>0.97106562223120196</v>
      </c>
      <c r="D15" s="59">
        <f t="shared" si="4"/>
        <v>356.38127757197555</v>
      </c>
      <c r="E15" s="60">
        <f t="shared" si="5"/>
        <v>14.920971329383471</v>
      </c>
      <c r="F15" s="61">
        <f t="shared" si="6"/>
        <v>18.980296641729339</v>
      </c>
      <c r="G15" s="62">
        <f>'[1]cálculos teóricos'!T222</f>
        <v>25.7393199599484</v>
      </c>
      <c r="H15" s="76">
        <f t="shared" si="7"/>
        <v>73.740474384185674</v>
      </c>
      <c r="I15" s="57"/>
      <c r="J15" s="89">
        <v>0.2</v>
      </c>
      <c r="K15" s="88">
        <v>1</v>
      </c>
      <c r="L15" s="88">
        <v>1</v>
      </c>
      <c r="M15" s="88">
        <v>1</v>
      </c>
      <c r="N15" s="88">
        <v>1</v>
      </c>
      <c r="O15" s="79">
        <v>1</v>
      </c>
      <c r="P15" s="89">
        <v>1</v>
      </c>
      <c r="Q15" s="89">
        <v>1</v>
      </c>
      <c r="R15" s="88">
        <v>1</v>
      </c>
      <c r="S15" s="88">
        <v>1</v>
      </c>
      <c r="T15" s="88">
        <v>0.8</v>
      </c>
      <c r="U15" s="88"/>
      <c r="V15" s="79"/>
      <c r="W15" s="59">
        <f t="shared" si="0"/>
        <v>5.2</v>
      </c>
      <c r="X15" s="124">
        <f t="shared" si="1"/>
        <v>4.8</v>
      </c>
      <c r="Y15" s="132">
        <f t="shared" si="2"/>
        <v>10</v>
      </c>
      <c r="Z15" s="71">
        <f>'[1]cálculos teóricos'!I222</f>
        <v>10.996655203349142</v>
      </c>
      <c r="AA15" s="72">
        <f t="shared" si="3"/>
        <v>90.936742264633324</v>
      </c>
      <c r="AB15" s="3"/>
    </row>
    <row r="16" spans="1:28" ht="18" customHeight="1">
      <c r="A16" s="81">
        <v>8</v>
      </c>
      <c r="B16" s="77">
        <v>9.1</v>
      </c>
      <c r="C16" s="75">
        <f>'[1]cálculos teóricos'!K223</f>
        <v>0.97193535726175861</v>
      </c>
      <c r="D16" s="59">
        <f t="shared" si="4"/>
        <v>128.80850323688276</v>
      </c>
      <c r="E16" s="60">
        <f t="shared" si="5"/>
        <v>5.3929544135218066</v>
      </c>
      <c r="F16" s="61">
        <f t="shared" si="6"/>
        <v>7.0702754969022585</v>
      </c>
      <c r="G16" s="62">
        <f>'[1]cálculos teóricos'!T223</f>
        <v>25.891682389298744</v>
      </c>
      <c r="H16" s="76">
        <f t="shared" si="7"/>
        <v>27.307130493090185</v>
      </c>
      <c r="I16" s="77"/>
      <c r="J16" s="89"/>
      <c r="K16" s="88"/>
      <c r="L16" s="88"/>
      <c r="M16" s="88"/>
      <c r="N16" s="88">
        <v>0.1</v>
      </c>
      <c r="O16" s="79"/>
      <c r="P16" s="89"/>
      <c r="Q16" s="89"/>
      <c r="R16" s="88"/>
      <c r="S16" s="88"/>
      <c r="T16" s="88"/>
      <c r="U16" s="88"/>
      <c r="V16" s="79"/>
      <c r="W16" s="59">
        <f t="shared" si="0"/>
        <v>0.1</v>
      </c>
      <c r="X16" s="124">
        <f t="shared" si="1"/>
        <v>0</v>
      </c>
      <c r="Y16" s="132">
        <f t="shared" si="2"/>
        <v>0.1</v>
      </c>
      <c r="Z16" s="71">
        <f>'[1]cálculos teóricos'!I223</f>
        <v>11.014511389611176</v>
      </c>
      <c r="AA16" s="72">
        <f t="shared" si="3"/>
        <v>0.90789320073080526</v>
      </c>
      <c r="AB16" s="3"/>
    </row>
    <row r="17" spans="1:28" ht="18" customHeight="1">
      <c r="A17" s="81">
        <v>9</v>
      </c>
      <c r="B17" s="77">
        <v>15.9</v>
      </c>
      <c r="C17" s="75">
        <f>'[1]cálculos teóricos'!K224</f>
        <v>0.97281346956618042</v>
      </c>
      <c r="D17" s="59">
        <f t="shared" si="4"/>
        <v>225.26434652803042</v>
      </c>
      <c r="E17" s="60">
        <f t="shared" si="5"/>
        <v>9.4313676604355763</v>
      </c>
      <c r="F17" s="61">
        <f t="shared" si="6"/>
        <v>12.118292055544471</v>
      </c>
      <c r="G17" s="62">
        <f>'[1]cálculos teóricos'!T224</f>
        <v>26.046163460798493</v>
      </c>
      <c r="H17" s="76">
        <f t="shared" si="7"/>
        <v>46.526207492260596</v>
      </c>
      <c r="I17" s="77"/>
      <c r="J17" s="89"/>
      <c r="K17" s="88"/>
      <c r="L17" s="88">
        <v>0.2</v>
      </c>
      <c r="M17" s="88">
        <v>0.1</v>
      </c>
      <c r="N17" s="88">
        <v>0.6</v>
      </c>
      <c r="O17" s="79">
        <v>0.8</v>
      </c>
      <c r="P17" s="80">
        <v>0.5</v>
      </c>
      <c r="Q17" s="89">
        <v>1</v>
      </c>
      <c r="R17" s="88">
        <v>0.7</v>
      </c>
      <c r="S17" s="88"/>
      <c r="T17" s="88"/>
      <c r="U17" s="88"/>
      <c r="V17" s="79"/>
      <c r="W17" s="59">
        <f t="shared" si="0"/>
        <v>1.7000000000000002</v>
      </c>
      <c r="X17" s="124">
        <f t="shared" si="1"/>
        <v>2.2000000000000002</v>
      </c>
      <c r="Y17" s="132">
        <f t="shared" si="2"/>
        <v>3.9000000000000004</v>
      </c>
      <c r="Z17" s="71">
        <f>'[1]cálculos teóricos'!I224</f>
        <v>11.032589642507965</v>
      </c>
      <c r="AA17" s="72">
        <f t="shared" si="3"/>
        <v>35.349814743163414</v>
      </c>
      <c r="AB17" s="3"/>
    </row>
    <row r="18" spans="1:28" ht="18" customHeight="1">
      <c r="A18" s="81">
        <v>10</v>
      </c>
      <c r="B18" s="77">
        <v>20.9</v>
      </c>
      <c r="C18" s="75">
        <f>'[1]cálculos teóricos'!K225</f>
        <v>0.97369944868287672</v>
      </c>
      <c r="D18" s="59">
        <f t="shared" si="4"/>
        <v>296.37186314666525</v>
      </c>
      <c r="E18" s="60">
        <f t="shared" si="5"/>
        <v>12.408497166224581</v>
      </c>
      <c r="F18" s="61">
        <f t="shared" si="6"/>
        <v>15.839703937780726</v>
      </c>
      <c r="G18" s="62">
        <f>'[1]cálculos teóricos'!T225</f>
        <v>26.202696686531851</v>
      </c>
      <c r="H18" s="76">
        <f t="shared" si="7"/>
        <v>60.450663255291239</v>
      </c>
      <c r="I18" s="77"/>
      <c r="J18" s="89"/>
      <c r="K18" s="88">
        <v>0.9</v>
      </c>
      <c r="L18" s="88">
        <v>0.7</v>
      </c>
      <c r="M18" s="88">
        <v>0.9</v>
      </c>
      <c r="N18" s="88">
        <v>1</v>
      </c>
      <c r="O18" s="79">
        <v>0.9</v>
      </c>
      <c r="P18" s="89">
        <v>0.7</v>
      </c>
      <c r="Q18" s="88">
        <v>0.4</v>
      </c>
      <c r="R18" s="88">
        <v>0.9</v>
      </c>
      <c r="S18" s="88">
        <v>0.7</v>
      </c>
      <c r="T18" s="88">
        <v>0.7</v>
      </c>
      <c r="U18" s="88"/>
      <c r="V18" s="79"/>
      <c r="W18" s="59">
        <f t="shared" si="0"/>
        <v>4.4000000000000004</v>
      </c>
      <c r="X18" s="124">
        <f t="shared" si="1"/>
        <v>3.4000000000000004</v>
      </c>
      <c r="Y18" s="132">
        <f t="shared" si="2"/>
        <v>7.8000000000000007</v>
      </c>
      <c r="Z18" s="71">
        <f>'[1]cálculos teóricos'!I225</f>
        <v>11.050883067555807</v>
      </c>
      <c r="AA18" s="72">
        <f t="shared" si="3"/>
        <v>70.582594642594259</v>
      </c>
      <c r="AB18" s="3"/>
    </row>
    <row r="19" spans="1:28" ht="18" customHeight="1">
      <c r="A19" s="81">
        <v>11</v>
      </c>
      <c r="B19" s="77">
        <v>22.8</v>
      </c>
      <c r="C19" s="75">
        <f>'[1]cálculos teóricos'!K226</f>
        <v>0.97459278593784082</v>
      </c>
      <c r="D19" s="59">
        <f t="shared" si="4"/>
        <v>323.61139046653102</v>
      </c>
      <c r="E19" s="60">
        <f t="shared" si="5"/>
        <v>13.54896169605272</v>
      </c>
      <c r="F19" s="61">
        <f t="shared" si="6"/>
        <v>17.2652846000659</v>
      </c>
      <c r="G19" s="62">
        <f>'[1]cálculos teóricos'!T226</f>
        <v>26.361215168271393</v>
      </c>
      <c r="H19" s="76">
        <f t="shared" si="7"/>
        <v>65.495025513264494</v>
      </c>
      <c r="I19" s="77"/>
      <c r="J19" s="89">
        <v>0.2</v>
      </c>
      <c r="K19" s="88">
        <v>1</v>
      </c>
      <c r="L19" s="88">
        <v>1</v>
      </c>
      <c r="M19" s="88">
        <v>1</v>
      </c>
      <c r="N19" s="88">
        <v>1</v>
      </c>
      <c r="O19" s="79">
        <v>1</v>
      </c>
      <c r="P19" s="89">
        <v>1</v>
      </c>
      <c r="Q19" s="88">
        <v>0.8</v>
      </c>
      <c r="R19" s="88">
        <v>0.9</v>
      </c>
      <c r="S19" s="88">
        <v>0.9</v>
      </c>
      <c r="T19" s="88"/>
      <c r="U19" s="88"/>
      <c r="V19" s="79"/>
      <c r="W19" s="59">
        <f t="shared" si="0"/>
        <v>5.2</v>
      </c>
      <c r="X19" s="124">
        <f t="shared" si="1"/>
        <v>3.6</v>
      </c>
      <c r="Y19" s="132">
        <f t="shared" si="2"/>
        <v>8.8000000000000007</v>
      </c>
      <c r="Z19" s="71">
        <f>'[1]cálculos teóricos'!I226</f>
        <v>11.069384878614876</v>
      </c>
      <c r="AA19" s="72">
        <f t="shared" si="3"/>
        <v>79.498545732210133</v>
      </c>
      <c r="AB19" s="3"/>
    </row>
    <row r="20" spans="1:28" ht="18" customHeight="1">
      <c r="A20" s="81">
        <v>12</v>
      </c>
      <c r="B20" s="77">
        <v>17.899999999999999</v>
      </c>
      <c r="C20" s="75">
        <f>'[1]cálculos teóricos'!K227</f>
        <v>0.97549297486618836</v>
      </c>
      <c r="D20" s="59">
        <f t="shared" si="4"/>
        <v>254.29799571640083</v>
      </c>
      <c r="E20" s="60">
        <f t="shared" si="5"/>
        <v>10.646948484654269</v>
      </c>
      <c r="F20" s="61">
        <f t="shared" si="6"/>
        <v>13.637768085817838</v>
      </c>
      <c r="G20" s="62">
        <f>'[1]cálculos teóricos'!T227</f>
        <v>26.521651640191784</v>
      </c>
      <c r="H20" s="76">
        <f t="shared" si="7"/>
        <v>51.42126241169202</v>
      </c>
      <c r="I20" s="77"/>
      <c r="J20" s="89">
        <v>0.2</v>
      </c>
      <c r="K20" s="88">
        <v>1</v>
      </c>
      <c r="L20" s="88">
        <v>1</v>
      </c>
      <c r="M20" s="88">
        <v>1</v>
      </c>
      <c r="N20" s="88">
        <v>1</v>
      </c>
      <c r="O20" s="79">
        <v>1</v>
      </c>
      <c r="P20" s="89">
        <v>0.1</v>
      </c>
      <c r="Q20" s="88"/>
      <c r="R20" s="88"/>
      <c r="S20" s="88"/>
      <c r="T20" s="88"/>
      <c r="U20" s="88"/>
      <c r="V20" s="79"/>
      <c r="W20" s="59">
        <f t="shared" si="0"/>
        <v>5.2</v>
      </c>
      <c r="X20" s="124">
        <f t="shared" si="1"/>
        <v>0.1</v>
      </c>
      <c r="Y20" s="70">
        <f t="shared" si="2"/>
        <v>5.3</v>
      </c>
      <c r="Z20" s="71">
        <f>'[1]cálculos teóricos'!I227</f>
        <v>11.088088402300205</v>
      </c>
      <c r="AA20" s="72">
        <f t="shared" si="3"/>
        <v>47.799041707680871</v>
      </c>
      <c r="AB20" s="3"/>
    </row>
    <row r="21" spans="1:28" ht="18" customHeight="1">
      <c r="A21" s="81">
        <v>13</v>
      </c>
      <c r="B21" s="77">
        <v>9.4</v>
      </c>
      <c r="C21" s="75">
        <f>'[1]cálculos teóricos'!K228</f>
        <v>0.97639951161751659</v>
      </c>
      <c r="D21" s="59">
        <f t="shared" si="4"/>
        <v>133.66606630195201</v>
      </c>
      <c r="E21" s="60">
        <f t="shared" si="5"/>
        <v>5.5963308639301275</v>
      </c>
      <c r="F21" s="61">
        <f t="shared" si="6"/>
        <v>7.3244960599126587</v>
      </c>
      <c r="G21" s="62">
        <f>'[1]cálculos teóricos'!T228</f>
        <v>26.683938510886904</v>
      </c>
      <c r="H21" s="76">
        <f t="shared" si="7"/>
        <v>27.449081614860955</v>
      </c>
      <c r="I21" s="77"/>
      <c r="J21" s="89"/>
      <c r="K21" s="88"/>
      <c r="L21" s="88"/>
      <c r="M21" s="88"/>
      <c r="N21" s="88"/>
      <c r="O21" s="79"/>
      <c r="P21" s="89"/>
      <c r="Q21" s="88"/>
      <c r="R21" s="88"/>
      <c r="S21" s="88"/>
      <c r="T21" s="88"/>
      <c r="U21" s="88"/>
      <c r="V21" s="79"/>
      <c r="W21" s="59">
        <f t="shared" si="0"/>
        <v>0</v>
      </c>
      <c r="X21" s="124">
        <f t="shared" si="1"/>
        <v>0</v>
      </c>
      <c r="Y21" s="205">
        <f t="shared" si="2"/>
        <v>0</v>
      </c>
      <c r="Z21" s="71">
        <f>'[1]cálculos teóricos'!I228</f>
        <v>11.106987081875399</v>
      </c>
      <c r="AA21" s="72">
        <f t="shared" si="3"/>
        <v>0</v>
      </c>
      <c r="AB21" s="3"/>
    </row>
    <row r="22" spans="1:28" ht="18" customHeight="1">
      <c r="A22" s="81">
        <v>14</v>
      </c>
      <c r="B22" s="77">
        <v>7.1</v>
      </c>
      <c r="C22" s="75">
        <f>'[1]cálculos teóricos'!K229</f>
        <v>0.97731189534482377</v>
      </c>
      <c r="D22" s="59">
        <f t="shared" si="4"/>
        <v>101.05488069376582</v>
      </c>
      <c r="E22" s="60">
        <f t="shared" si="5"/>
        <v>4.2309657448865874</v>
      </c>
      <c r="F22" s="61">
        <f t="shared" si="6"/>
        <v>5.6177896611082341</v>
      </c>
      <c r="G22" s="62">
        <f>'[1]cálculos teóricos'!T229</f>
        <v>26.848007904630741</v>
      </c>
      <c r="H22" s="76">
        <f t="shared" si="7"/>
        <v>20.924418977615385</v>
      </c>
      <c r="I22" s="77"/>
      <c r="J22" s="89"/>
      <c r="K22" s="88"/>
      <c r="L22" s="88"/>
      <c r="M22" s="88"/>
      <c r="N22" s="88"/>
      <c r="O22" s="79"/>
      <c r="P22" s="89"/>
      <c r="Q22" s="88"/>
      <c r="R22" s="88"/>
      <c r="S22" s="88"/>
      <c r="T22" s="88"/>
      <c r="U22" s="88"/>
      <c r="V22" s="79"/>
      <c r="W22" s="59">
        <f t="shared" si="0"/>
        <v>0</v>
      </c>
      <c r="X22" s="69">
        <f t="shared" si="1"/>
        <v>0</v>
      </c>
      <c r="Y22" s="205">
        <f t="shared" si="2"/>
        <v>0</v>
      </c>
      <c r="Z22" s="71">
        <f>'[1]cálculos teóricos'!I229</f>
        <v>11.126074480638078</v>
      </c>
      <c r="AA22" s="72">
        <f t="shared" si="3"/>
        <v>0</v>
      </c>
      <c r="AB22" s="3"/>
    </row>
    <row r="23" spans="1:28" ht="18" customHeight="1">
      <c r="A23" s="81">
        <v>15</v>
      </c>
      <c r="B23" s="77">
        <v>16</v>
      </c>
      <c r="C23" s="75">
        <f>'[1]cálculos teóricos'!K230</f>
        <v>0.97822962857678464</v>
      </c>
      <c r="D23" s="59">
        <f t="shared" si="4"/>
        <v>227.94315513244806</v>
      </c>
      <c r="E23" s="60">
        <f t="shared" si="5"/>
        <v>9.5435240190853339</v>
      </c>
      <c r="F23" s="61">
        <f t="shared" si="6"/>
        <v>12.258487503856671</v>
      </c>
      <c r="G23" s="62">
        <f>'[1]cálculos teóricos'!T230</f>
        <v>27.01379170182711</v>
      </c>
      <c r="H23" s="76">
        <f t="shared" si="7"/>
        <v>45.378625996540698</v>
      </c>
      <c r="I23" s="77"/>
      <c r="J23" s="89"/>
      <c r="K23" s="88"/>
      <c r="L23" s="88"/>
      <c r="M23" s="88"/>
      <c r="N23" s="88"/>
      <c r="O23" s="79">
        <v>0.2</v>
      </c>
      <c r="P23" s="89">
        <v>1</v>
      </c>
      <c r="Q23" s="89">
        <v>1</v>
      </c>
      <c r="R23" s="89">
        <v>0.3</v>
      </c>
      <c r="S23" s="89"/>
      <c r="T23" s="88"/>
      <c r="U23" s="88"/>
      <c r="V23" s="79"/>
      <c r="W23" s="59">
        <f t="shared" si="0"/>
        <v>0.2</v>
      </c>
      <c r="X23" s="124">
        <f t="shared" si="1"/>
        <v>2.2999999999999998</v>
      </c>
      <c r="Y23" s="205">
        <f t="shared" si="2"/>
        <v>2.5</v>
      </c>
      <c r="Z23" s="71">
        <f>'[1]cálculos teóricos'!I230</f>
        <v>11.145344284807122</v>
      </c>
      <c r="AA23" s="72">
        <f t="shared" si="3"/>
        <v>22.430890747878447</v>
      </c>
      <c r="AB23" s="3"/>
    </row>
    <row r="24" spans="1:28" ht="18" customHeight="1">
      <c r="A24" s="81">
        <v>16</v>
      </c>
      <c r="B24" s="77">
        <v>19.3</v>
      </c>
      <c r="C24" s="75">
        <f>'[1]cálculos teóricos'!K231</f>
        <v>0.97915221757325832</v>
      </c>
      <c r="D24" s="59">
        <f t="shared" si="4"/>
        <v>275.21574808812323</v>
      </c>
      <c r="E24" s="60">
        <f t="shared" si="5"/>
        <v>11.522732940953542</v>
      </c>
      <c r="F24" s="61">
        <f t="shared" si="6"/>
        <v>14.732498656191931</v>
      </c>
      <c r="G24" s="62">
        <f>'[1]cálculos teóricos'!T231</f>
        <v>27.181221578598191</v>
      </c>
      <c r="H24" s="76">
        <f t="shared" si="7"/>
        <v>54.20101746932496</v>
      </c>
      <c r="I24" s="77"/>
      <c r="J24" s="89"/>
      <c r="K24" s="88"/>
      <c r="L24" s="88">
        <v>0.6</v>
      </c>
      <c r="M24" s="88">
        <v>0.5</v>
      </c>
      <c r="N24" s="88">
        <v>0.9</v>
      </c>
      <c r="O24" s="79">
        <v>0.5</v>
      </c>
      <c r="P24" s="89">
        <v>1</v>
      </c>
      <c r="Q24" s="88">
        <v>0.8</v>
      </c>
      <c r="R24" s="88">
        <v>0.5</v>
      </c>
      <c r="S24" s="88">
        <v>0.7</v>
      </c>
      <c r="T24" s="88"/>
      <c r="U24" s="88"/>
      <c r="V24" s="79"/>
      <c r="W24" s="59">
        <f t="shared" si="0"/>
        <v>2.5</v>
      </c>
      <c r="X24" s="124">
        <f t="shared" si="1"/>
        <v>3</v>
      </c>
      <c r="Y24" s="205">
        <f t="shared" si="2"/>
        <v>5.5</v>
      </c>
      <c r="Z24" s="71">
        <f>'[1]cálculos teóricos'!I231</f>
        <v>11.16479030592296</v>
      </c>
      <c r="AA24" s="72">
        <f t="shared" si="3"/>
        <v>49.262008952216782</v>
      </c>
      <c r="AB24" s="3"/>
    </row>
    <row r="25" spans="1:28" ht="18" customHeight="1">
      <c r="A25" s="92">
        <v>17</v>
      </c>
      <c r="B25" s="77">
        <v>25.8</v>
      </c>
      <c r="C25" s="75">
        <f>'[1]cálculos teóricos'!K232</f>
        <v>0.98007917266395439</v>
      </c>
      <c r="D25" s="59">
        <f t="shared" si="4"/>
        <v>368.25328220216073</v>
      </c>
      <c r="E25" s="60">
        <f t="shared" si="5"/>
        <v>15.418028419240066</v>
      </c>
      <c r="F25" s="61">
        <f t="shared" si="6"/>
        <v>19.601618004050081</v>
      </c>
      <c r="G25" s="62">
        <f>'[1]cálculos teóricos'!T232</f>
        <v>27.350229045466691</v>
      </c>
      <c r="H25" s="76">
        <f t="shared" si="7"/>
        <v>71.668935464725308</v>
      </c>
      <c r="I25" s="77"/>
      <c r="J25" s="89">
        <v>0.1</v>
      </c>
      <c r="K25" s="88">
        <v>0.8</v>
      </c>
      <c r="L25" s="88">
        <v>1</v>
      </c>
      <c r="M25" s="88">
        <v>1</v>
      </c>
      <c r="N25" s="88">
        <v>1</v>
      </c>
      <c r="O25" s="78">
        <v>1</v>
      </c>
      <c r="P25" s="89">
        <v>1</v>
      </c>
      <c r="Q25" s="88">
        <v>1</v>
      </c>
      <c r="R25" s="88">
        <v>1</v>
      </c>
      <c r="S25" s="88">
        <v>1</v>
      </c>
      <c r="T25" s="88">
        <v>0.7</v>
      </c>
      <c r="U25" s="88"/>
      <c r="V25" s="79"/>
      <c r="W25" s="59">
        <f t="shared" si="0"/>
        <v>4.9000000000000004</v>
      </c>
      <c r="X25" s="124">
        <f t="shared" si="1"/>
        <v>4.7</v>
      </c>
      <c r="Y25" s="204">
        <f t="shared" si="2"/>
        <v>9.6000000000000014</v>
      </c>
      <c r="Z25" s="71">
        <f>'[1]cálculos teóricos'!I232</f>
        <v>11.184406482772879</v>
      </c>
      <c r="AA25" s="72">
        <f t="shared" si="3"/>
        <v>85.833790239890618</v>
      </c>
      <c r="AB25" s="3"/>
    </row>
    <row r="26" spans="1:28" ht="18" customHeight="1">
      <c r="A26" s="92">
        <v>18</v>
      </c>
      <c r="B26" s="77">
        <v>26.6</v>
      </c>
      <c r="C26" s="75">
        <f>'[1]cálculos teóricos'!K233</f>
        <v>0.98101000857026255</v>
      </c>
      <c r="D26" s="59">
        <f t="shared" si="4"/>
        <v>380.03258431102631</v>
      </c>
      <c r="E26" s="60">
        <f t="shared" si="5"/>
        <v>15.911204239934049</v>
      </c>
      <c r="F26" s="61">
        <f t="shared" si="6"/>
        <v>20.21808777991756</v>
      </c>
      <c r="G26" s="62">
        <f>'[1]cálculos teóricos'!T233</f>
        <v>27.520745485092121</v>
      </c>
      <c r="H26" s="76">
        <f t="shared" si="7"/>
        <v>73.464898655705454</v>
      </c>
      <c r="I26" s="77"/>
      <c r="J26" s="89">
        <v>0.4</v>
      </c>
      <c r="K26" s="88">
        <v>1</v>
      </c>
      <c r="L26" s="88">
        <v>1</v>
      </c>
      <c r="M26" s="88">
        <v>1</v>
      </c>
      <c r="N26" s="88">
        <v>1</v>
      </c>
      <c r="O26" s="78">
        <v>1</v>
      </c>
      <c r="P26" s="89">
        <v>1</v>
      </c>
      <c r="Q26" s="88">
        <v>1</v>
      </c>
      <c r="R26" s="88">
        <v>1</v>
      </c>
      <c r="S26" s="88">
        <v>0.9</v>
      </c>
      <c r="T26" s="88">
        <v>0.5</v>
      </c>
      <c r="U26" s="88"/>
      <c r="V26" s="79"/>
      <c r="W26" s="59">
        <f t="shared" si="0"/>
        <v>5.4</v>
      </c>
      <c r="X26" s="124">
        <f t="shared" si="1"/>
        <v>4.4000000000000004</v>
      </c>
      <c r="Y26" s="70">
        <f t="shared" si="2"/>
        <v>9.8000000000000007</v>
      </c>
      <c r="Z26" s="71">
        <f>'[1]cálculos teóricos'!I233</f>
        <v>11.204186882854412</v>
      </c>
      <c r="AA26" s="72">
        <f t="shared" si="3"/>
        <v>87.467302201079704</v>
      </c>
      <c r="AB26" s="3"/>
    </row>
    <row r="27" spans="1:28" ht="18" customHeight="1">
      <c r="A27" s="92">
        <v>19</v>
      </c>
      <c r="B27" s="77">
        <v>22.5</v>
      </c>
      <c r="C27" s="75">
        <f>'[1]cálculos teóricos'!K234</f>
        <v>0.98194424471029895</v>
      </c>
      <c r="D27" s="59">
        <f t="shared" si="4"/>
        <v>321.76226267636491</v>
      </c>
      <c r="E27" s="60">
        <f t="shared" si="5"/>
        <v>13.471542413734046</v>
      </c>
      <c r="F27" s="61">
        <f t="shared" si="6"/>
        <v>17.16851049716756</v>
      </c>
      <c r="G27" s="62">
        <f>'[1]cálculos teóricos'!T234</f>
        <v>27.692702189027393</v>
      </c>
      <c r="H27" s="76">
        <f t="shared" si="7"/>
        <v>61.996515832861533</v>
      </c>
      <c r="I27" s="77"/>
      <c r="J27" s="89"/>
      <c r="K27" s="88">
        <v>0.8</v>
      </c>
      <c r="L27" s="88">
        <v>0.8</v>
      </c>
      <c r="M27" s="88">
        <v>0.5</v>
      </c>
      <c r="N27" s="88">
        <v>1</v>
      </c>
      <c r="O27" s="78">
        <v>1</v>
      </c>
      <c r="P27" s="89">
        <v>1</v>
      </c>
      <c r="Q27" s="88">
        <v>1</v>
      </c>
      <c r="R27" s="88">
        <v>0.6</v>
      </c>
      <c r="S27" s="88"/>
      <c r="T27" s="88"/>
      <c r="U27" s="88"/>
      <c r="V27" s="79"/>
      <c r="W27" s="59">
        <f t="shared" si="0"/>
        <v>4.0999999999999996</v>
      </c>
      <c r="X27" s="124">
        <f t="shared" si="1"/>
        <v>2.6</v>
      </c>
      <c r="Y27" s="70">
        <f t="shared" si="2"/>
        <v>6.6999999999999993</v>
      </c>
      <c r="Z27" s="71">
        <f>'[1]cálculos teóricos'!I234</f>
        <v>11.224125703390222</v>
      </c>
      <c r="AA27" s="72">
        <f t="shared" si="3"/>
        <v>59.692845367691127</v>
      </c>
      <c r="AB27" s="3"/>
    </row>
    <row r="28" spans="1:28" ht="18" customHeight="1">
      <c r="A28" s="92">
        <v>20</v>
      </c>
      <c r="B28" s="77">
        <v>19.8</v>
      </c>
      <c r="C28" s="75">
        <f>'[1]cálculos teóricos'!K235</f>
        <v>0.98288140548729619</v>
      </c>
      <c r="D28" s="59">
        <f t="shared" si="4"/>
        <v>283.42102830652198</v>
      </c>
      <c r="E28" s="60">
        <f t="shared" si="5"/>
        <v>11.866271613137462</v>
      </c>
      <c r="F28" s="61">
        <f t="shared" si="6"/>
        <v>15.161921996421826</v>
      </c>
      <c r="G28" s="62">
        <f>'[1]cálculos teóricos'!T235</f>
        <v>27.866030393466986</v>
      </c>
      <c r="H28" s="76">
        <f t="shared" si="7"/>
        <v>54.410053324195196</v>
      </c>
      <c r="I28" s="77"/>
      <c r="J28" s="89"/>
      <c r="K28" s="88"/>
      <c r="L28" s="88"/>
      <c r="M28" s="88">
        <v>0.1</v>
      </c>
      <c r="N28" s="88">
        <v>0.5</v>
      </c>
      <c r="O28" s="78">
        <v>1</v>
      </c>
      <c r="P28" s="89">
        <v>1</v>
      </c>
      <c r="Q28" s="88">
        <v>1</v>
      </c>
      <c r="R28" s="88">
        <v>1</v>
      </c>
      <c r="S28" s="88">
        <v>0.2</v>
      </c>
      <c r="T28" s="88"/>
      <c r="U28" s="88"/>
      <c r="V28" s="79"/>
      <c r="W28" s="59">
        <f t="shared" si="0"/>
        <v>1.6</v>
      </c>
      <c r="X28" s="124">
        <f t="shared" si="1"/>
        <v>3.2</v>
      </c>
      <c r="Y28" s="70">
        <f t="shared" si="2"/>
        <v>4.8000000000000007</v>
      </c>
      <c r="Z28" s="71">
        <f>'[1]cálculos teóricos'!I235</f>
        <v>11.244217271908742</v>
      </c>
      <c r="AA28" s="72">
        <f t="shared" si="3"/>
        <v>42.688609477440181</v>
      </c>
      <c r="AB28" s="3"/>
    </row>
    <row r="29" spans="1:28" ht="18" customHeight="1">
      <c r="A29" s="92">
        <v>21</v>
      </c>
      <c r="B29" s="77">
        <v>24.2</v>
      </c>
      <c r="C29" s="75">
        <f>'[1]cálculos teóricos'!K236</f>
        <v>0.98382102056150911</v>
      </c>
      <c r="D29" s="59">
        <f t="shared" si="4"/>
        <v>346.7346338773304</v>
      </c>
      <c r="E29" s="60">
        <f t="shared" si="5"/>
        <v>14.517085651176069</v>
      </c>
      <c r="F29" s="61">
        <f t="shared" si="6"/>
        <v>18.475439543970086</v>
      </c>
      <c r="G29" s="62">
        <f>'[1]cálculos teóricos'!T236</f>
        <v>28.040661313965174</v>
      </c>
      <c r="H29" s="76">
        <f t="shared" si="7"/>
        <v>65.888030731888307</v>
      </c>
      <c r="I29" s="77"/>
      <c r="J29" s="89">
        <v>0.1</v>
      </c>
      <c r="K29" s="88">
        <v>0.8</v>
      </c>
      <c r="L29" s="88">
        <v>1</v>
      </c>
      <c r="M29" s="88">
        <v>1</v>
      </c>
      <c r="N29" s="88">
        <v>1</v>
      </c>
      <c r="O29" s="78">
        <v>1</v>
      </c>
      <c r="P29" s="89">
        <v>1</v>
      </c>
      <c r="Q29" s="88">
        <v>0.9</v>
      </c>
      <c r="R29" s="88">
        <v>0.7</v>
      </c>
      <c r="S29" s="88">
        <v>1</v>
      </c>
      <c r="T29" s="88">
        <v>0.8</v>
      </c>
      <c r="U29" s="88"/>
      <c r="V29" s="79"/>
      <c r="W29" s="59">
        <f t="shared" si="0"/>
        <v>4.9000000000000004</v>
      </c>
      <c r="X29" s="124">
        <f t="shared" si="1"/>
        <v>4.3999999999999995</v>
      </c>
      <c r="Y29" s="70">
        <f t="shared" si="2"/>
        <v>9.3000000000000007</v>
      </c>
      <c r="Z29" s="71">
        <f>'[1]cálculos teóricos'!I236</f>
        <v>11.264456046405073</v>
      </c>
      <c r="AA29" s="72">
        <f t="shared" si="3"/>
        <v>82.560577818295926</v>
      </c>
      <c r="AB29" s="3"/>
    </row>
    <row r="30" spans="1:28" ht="18" customHeight="1">
      <c r="A30" s="92">
        <v>22</v>
      </c>
      <c r="B30" s="77">
        <v>27.4</v>
      </c>
      <c r="C30" s="75">
        <f>'[1]cálculos teóricos'!K237</f>
        <v>0.98476262510587231</v>
      </c>
      <c r="D30" s="59">
        <f t="shared" si="4"/>
        <v>392.95957944598479</v>
      </c>
      <c r="E30" s="60">
        <f t="shared" si="5"/>
        <v>16.45243167224449</v>
      </c>
      <c r="F30" s="61">
        <f t="shared" si="6"/>
        <v>20.894622070305612</v>
      </c>
      <c r="G30" s="62">
        <f>'[1]cálculos teóricos'!T237</f>
        <v>28.216526179107174</v>
      </c>
      <c r="H30" s="76">
        <f t="shared" si="7"/>
        <v>74.05100804285739</v>
      </c>
      <c r="I30" s="77"/>
      <c r="J30" s="89">
        <v>0.4</v>
      </c>
      <c r="K30" s="88">
        <v>1</v>
      </c>
      <c r="L30" s="88">
        <v>1</v>
      </c>
      <c r="M30" s="88">
        <v>1</v>
      </c>
      <c r="N30" s="88">
        <v>1</v>
      </c>
      <c r="O30" s="79">
        <v>1</v>
      </c>
      <c r="P30" s="89">
        <v>1</v>
      </c>
      <c r="Q30" s="88">
        <v>1</v>
      </c>
      <c r="R30" s="88">
        <v>1</v>
      </c>
      <c r="S30" s="88">
        <v>1</v>
      </c>
      <c r="T30" s="88">
        <v>1</v>
      </c>
      <c r="U30" s="88">
        <v>0.1</v>
      </c>
      <c r="V30" s="79"/>
      <c r="W30" s="59">
        <f t="shared" si="0"/>
        <v>5.4</v>
      </c>
      <c r="X30" s="124">
        <f t="shared" si="1"/>
        <v>5.0999999999999996</v>
      </c>
      <c r="Y30" s="70">
        <f t="shared" si="2"/>
        <v>10.5</v>
      </c>
      <c r="Z30" s="71">
        <f>'[1]cálculos teóricos'!I237</f>
        <v>11.284836615097095</v>
      </c>
      <c r="AA30" s="72">
        <f t="shared" si="3"/>
        <v>93.045210649774717</v>
      </c>
      <c r="AB30" s="3"/>
    </row>
    <row r="31" spans="1:28" ht="18" customHeight="1">
      <c r="A31" s="92">
        <v>23</v>
      </c>
      <c r="B31" s="77">
        <v>25.6</v>
      </c>
      <c r="C31" s="75">
        <f>'[1]cálculos teóricos'!K238</f>
        <v>0.98570576004569876</v>
      </c>
      <c r="D31" s="59">
        <f t="shared" si="4"/>
        <v>367.49634141249368</v>
      </c>
      <c r="E31" s="60">
        <f t="shared" si="5"/>
        <v>15.386336822258286</v>
      </c>
      <c r="F31" s="61">
        <f t="shared" si="6"/>
        <v>19.562003507822855</v>
      </c>
      <c r="G31" s="62">
        <f>'[1]cálculos teóricos'!T238</f>
        <v>28.393556263123799</v>
      </c>
      <c r="H31" s="76">
        <f t="shared" si="7"/>
        <v>68.895925985957092</v>
      </c>
      <c r="I31" s="77"/>
      <c r="J31" s="89">
        <v>0.1</v>
      </c>
      <c r="K31" s="88">
        <v>1</v>
      </c>
      <c r="L31" s="88">
        <v>1</v>
      </c>
      <c r="M31" s="88">
        <v>1</v>
      </c>
      <c r="N31" s="88">
        <v>1</v>
      </c>
      <c r="O31" s="79">
        <v>1</v>
      </c>
      <c r="P31" s="89">
        <v>1</v>
      </c>
      <c r="Q31" s="88">
        <v>1</v>
      </c>
      <c r="R31" s="88">
        <v>1</v>
      </c>
      <c r="S31" s="88">
        <v>1</v>
      </c>
      <c r="T31" s="88">
        <v>1</v>
      </c>
      <c r="U31" s="88"/>
      <c r="V31" s="79"/>
      <c r="W31" s="59">
        <f t="shared" si="0"/>
        <v>5.0999999999999996</v>
      </c>
      <c r="X31" s="124">
        <f t="shared" si="1"/>
        <v>5</v>
      </c>
      <c r="Y31" s="70">
        <f t="shared" si="2"/>
        <v>10.1</v>
      </c>
      <c r="Z31" s="71">
        <f>'[1]cálculos teóricos'!I238</f>
        <v>11.30535369579199</v>
      </c>
      <c r="AA31" s="72">
        <f t="shared" si="3"/>
        <v>89.338204462894083</v>
      </c>
      <c r="AB31" s="3"/>
    </row>
    <row r="32" spans="1:28" ht="18" customHeight="1">
      <c r="A32" s="81">
        <v>24</v>
      </c>
      <c r="B32" s="77">
        <v>19.7</v>
      </c>
      <c r="C32" s="75">
        <f>'[1]cálculos teóricos'!K239</f>
        <v>0.98664997228275131</v>
      </c>
      <c r="D32" s="59">
        <f t="shared" si="4"/>
        <v>283.07081436539499</v>
      </c>
      <c r="E32" s="60">
        <f t="shared" si="5"/>
        <v>11.851608855850357</v>
      </c>
      <c r="F32" s="61">
        <f t="shared" si="6"/>
        <v>15.14359354981295</v>
      </c>
      <c r="G32" s="62">
        <f>'[1]cálculos teóricos'!T239</f>
        <v>28.571682917445187</v>
      </c>
      <c r="H32" s="76">
        <f t="shared" si="7"/>
        <v>53.002105593740275</v>
      </c>
      <c r="I32" s="206"/>
      <c r="J32" s="89">
        <v>0.2</v>
      </c>
      <c r="K32" s="88">
        <v>1</v>
      </c>
      <c r="L32" s="88">
        <v>1</v>
      </c>
      <c r="M32" s="88">
        <v>1</v>
      </c>
      <c r="N32" s="88">
        <v>1</v>
      </c>
      <c r="O32" s="79">
        <v>1</v>
      </c>
      <c r="P32" s="89">
        <v>1</v>
      </c>
      <c r="Q32" s="88">
        <v>1</v>
      </c>
      <c r="R32" s="88"/>
      <c r="S32" s="88"/>
      <c r="T32" s="88"/>
      <c r="U32" s="88"/>
      <c r="V32" s="79"/>
      <c r="W32" s="59">
        <f t="shared" si="0"/>
        <v>5.2</v>
      </c>
      <c r="X32" s="124">
        <f t="shared" si="1"/>
        <v>2</v>
      </c>
      <c r="Y32" s="70">
        <f t="shared" si="2"/>
        <v>7.2</v>
      </c>
      <c r="Z32" s="71">
        <f>'[1]cálculos teóricos'!I239</f>
        <v>11.326002134878424</v>
      </c>
      <c r="AA32" s="72">
        <f t="shared" si="3"/>
        <v>63.570533664545231</v>
      </c>
      <c r="AB32" s="3"/>
    </row>
    <row r="33" spans="1:28" ht="18" customHeight="1">
      <c r="A33" s="92">
        <v>25</v>
      </c>
      <c r="B33" s="77">
        <v>8.3000000000000007</v>
      </c>
      <c r="C33" s="75">
        <f>'[1]cálculos teóricos'!K240</f>
        <v>0.98759481490407497</v>
      </c>
      <c r="D33" s="59">
        <f t="shared" si="4"/>
        <v>119.37754782090063</v>
      </c>
      <c r="E33" s="60">
        <f t="shared" si="5"/>
        <v>4.9980991721654675</v>
      </c>
      <c r="F33" s="61">
        <f t="shared" si="6"/>
        <v>6.5767064452068347</v>
      </c>
      <c r="G33" s="62">
        <f>'[1]cálculos teóricos'!T240</f>
        <v>28.750837601195709</v>
      </c>
      <c r="H33" s="76">
        <f t="shared" si="7"/>
        <v>22.874834244597167</v>
      </c>
      <c r="I33" s="206"/>
      <c r="J33" s="89"/>
      <c r="K33" s="88"/>
      <c r="L33" s="88"/>
      <c r="M33" s="88"/>
      <c r="N33" s="88"/>
      <c r="O33" s="79"/>
      <c r="P33" s="89"/>
      <c r="Q33" s="88"/>
      <c r="R33" s="88"/>
      <c r="S33" s="88"/>
      <c r="T33" s="88"/>
      <c r="U33" s="88"/>
      <c r="V33" s="79"/>
      <c r="W33" s="59">
        <f t="shared" si="0"/>
        <v>0</v>
      </c>
      <c r="X33" s="124">
        <f t="shared" si="1"/>
        <v>0</v>
      </c>
      <c r="Y33" s="70">
        <f t="shared" si="2"/>
        <v>0</v>
      </c>
      <c r="Z33" s="71">
        <f>'[1]cálculos teóricos'!I240</f>
        <v>11.346776905959914</v>
      </c>
      <c r="AA33" s="72">
        <f t="shared" si="3"/>
        <v>0</v>
      </c>
      <c r="AB33" s="3"/>
    </row>
    <row r="34" spans="1:28" ht="18" customHeight="1">
      <c r="A34" s="81">
        <v>26</v>
      </c>
      <c r="B34" s="77">
        <v>8</v>
      </c>
      <c r="C34" s="75">
        <f>'[1]cálculos teóricos'!K241</f>
        <v>0.98853984737601885</v>
      </c>
      <c r="D34" s="59">
        <f t="shared" si="4"/>
        <v>115.17280053808521</v>
      </c>
      <c r="E34" s="60">
        <f t="shared" si="5"/>
        <v>4.8220548129285516</v>
      </c>
      <c r="F34" s="61">
        <f t="shared" si="6"/>
        <v>6.3566509961606901</v>
      </c>
      <c r="G34" s="62">
        <f>'[1]cálculos teóricos'!T241</f>
        <v>28.930951910638235</v>
      </c>
      <c r="H34" s="76">
        <f t="shared" si="7"/>
        <v>21.9718003603721</v>
      </c>
      <c r="I34" s="206"/>
      <c r="J34" s="89"/>
      <c r="K34" s="88"/>
      <c r="L34" s="88"/>
      <c r="M34" s="88"/>
      <c r="N34" s="88"/>
      <c r="O34" s="79"/>
      <c r="P34" s="89"/>
      <c r="Q34" s="88"/>
      <c r="R34" s="88"/>
      <c r="S34" s="88"/>
      <c r="T34" s="88"/>
      <c r="U34" s="88"/>
      <c r="V34" s="79"/>
      <c r="W34" s="59">
        <f t="shared" si="0"/>
        <v>0</v>
      </c>
      <c r="X34" s="124">
        <f t="shared" si="1"/>
        <v>0</v>
      </c>
      <c r="Y34" s="70">
        <f t="shared" si="2"/>
        <v>0</v>
      </c>
      <c r="Z34" s="71">
        <f>'[1]cálculos teóricos'!I241</f>
        <v>11.367673108144633</v>
      </c>
      <c r="AA34" s="72">
        <f t="shared" si="3"/>
        <v>0</v>
      </c>
      <c r="AB34" s="3"/>
    </row>
    <row r="35" spans="1:28" ht="18" customHeight="1">
      <c r="A35" s="92">
        <v>27</v>
      </c>
      <c r="B35" s="77">
        <v>5.0999999999999996</v>
      </c>
      <c r="C35" s="75">
        <f>'[1]cálculos teóricos'!K242</f>
        <v>0.98948463572391299</v>
      </c>
      <c r="D35" s="59">
        <f t="shared" si="4"/>
        <v>73.492833411062549</v>
      </c>
      <c r="E35" s="60">
        <f t="shared" si="5"/>
        <v>3.0769979492543666</v>
      </c>
      <c r="F35" s="61">
        <f t="shared" si="6"/>
        <v>4.175329916567958</v>
      </c>
      <c r="G35" s="62">
        <f>'[1]cálculos teóricos'!T242</f>
        <v>29.111957607581996</v>
      </c>
      <c r="H35" s="76">
        <f t="shared" si="7"/>
        <v>14.34231930689719</v>
      </c>
      <c r="I35" s="206"/>
      <c r="J35" s="89"/>
      <c r="K35" s="88"/>
      <c r="L35" s="88"/>
      <c r="M35" s="88"/>
      <c r="N35" s="88"/>
      <c r="O35" s="79"/>
      <c r="P35" s="89"/>
      <c r="Q35" s="88"/>
      <c r="R35" s="88"/>
      <c r="S35" s="88"/>
      <c r="T35" s="88"/>
      <c r="U35" s="88"/>
      <c r="V35" s="79"/>
      <c r="W35" s="59">
        <f t="shared" si="0"/>
        <v>0</v>
      </c>
      <c r="X35" s="124">
        <f t="shared" si="1"/>
        <v>0</v>
      </c>
      <c r="Y35" s="70">
        <f t="shared" si="2"/>
        <v>0</v>
      </c>
      <c r="Z35" s="71">
        <f>'[1]cálculos teóricos'!I242</f>
        <v>11.388685964007152</v>
      </c>
      <c r="AA35" s="72">
        <f t="shared" si="3"/>
        <v>0</v>
      </c>
      <c r="AB35" s="3"/>
    </row>
    <row r="36" spans="1:28" ht="18" customHeight="1">
      <c r="A36" s="92">
        <v>28</v>
      </c>
      <c r="B36" s="77">
        <v>7.6</v>
      </c>
      <c r="C36" s="75">
        <f>'[1]cálculos teóricos'!K243</f>
        <v>0.99042875269791231</v>
      </c>
      <c r="D36" s="59">
        <f t="shared" si="4"/>
        <v>109.62322946336194</v>
      </c>
      <c r="E36" s="60">
        <f t="shared" si="5"/>
        <v>4.5897053711720375</v>
      </c>
      <c r="F36" s="61">
        <f t="shared" si="6"/>
        <v>6.0662141939650471</v>
      </c>
      <c r="G36" s="62">
        <f>'[1]cálculos teóricos'!T243</f>
        <v>29.29378664677364</v>
      </c>
      <c r="H36" s="76">
        <f t="shared" si="7"/>
        <v>20.708194086042365</v>
      </c>
      <c r="I36" s="206"/>
      <c r="J36" s="89"/>
      <c r="K36" s="88"/>
      <c r="L36" s="88"/>
      <c r="M36" s="88"/>
      <c r="N36" s="88"/>
      <c r="O36" s="79"/>
      <c r="P36" s="89"/>
      <c r="Q36" s="88"/>
      <c r="R36" s="88"/>
      <c r="S36" s="88"/>
      <c r="T36" s="88"/>
      <c r="U36" s="88"/>
      <c r="V36" s="79"/>
      <c r="W36" s="59">
        <f t="shared" si="0"/>
        <v>0</v>
      </c>
      <c r="X36" s="124">
        <f t="shared" si="1"/>
        <v>0</v>
      </c>
      <c r="Y36" s="70">
        <f t="shared" si="2"/>
        <v>0</v>
      </c>
      <c r="Z36" s="71">
        <f>'[1]cálculos teóricos'!I243</f>
        <v>11.409810817237096</v>
      </c>
      <c r="AA36" s="72">
        <f t="shared" si="3"/>
        <v>0</v>
      </c>
      <c r="AB36" s="3"/>
    </row>
    <row r="37" spans="1:28" ht="18" customHeight="1">
      <c r="A37" s="92">
        <v>29</v>
      </c>
      <c r="B37" s="77">
        <v>21.7</v>
      </c>
      <c r="C37" s="75">
        <f>'[1]cálculos teóricos'!K244</f>
        <v>0.99137177792554487</v>
      </c>
      <c r="D37" s="59">
        <f t="shared" si="4"/>
        <v>313.30119066566522</v>
      </c>
      <c r="E37" s="60">
        <f t="shared" si="5"/>
        <v>13.117294250790071</v>
      </c>
      <c r="F37" s="61">
        <f t="shared" si="6"/>
        <v>16.725700293487588</v>
      </c>
      <c r="G37" s="62">
        <f>'[1]cálculos teóricos'!T244</f>
        <v>29.476371202297315</v>
      </c>
      <c r="H37" s="76">
        <f t="shared" si="7"/>
        <v>56.742738713319049</v>
      </c>
      <c r="I37" s="206"/>
      <c r="J37" s="89"/>
      <c r="K37" s="88"/>
      <c r="L37" s="88">
        <v>0.3</v>
      </c>
      <c r="M37" s="88">
        <v>1</v>
      </c>
      <c r="N37" s="88">
        <v>1</v>
      </c>
      <c r="O37" s="79">
        <v>0.4</v>
      </c>
      <c r="P37" s="89">
        <v>0.7</v>
      </c>
      <c r="Q37" s="88">
        <v>0.6</v>
      </c>
      <c r="R37" s="88">
        <v>1</v>
      </c>
      <c r="S37" s="88">
        <v>0.7</v>
      </c>
      <c r="T37" s="88">
        <v>0.5</v>
      </c>
      <c r="U37" s="88"/>
      <c r="V37" s="79"/>
      <c r="W37" s="59">
        <f t="shared" si="0"/>
        <v>2.6999999999999997</v>
      </c>
      <c r="X37" s="124">
        <f>SUM(P37:V37)</f>
        <v>3.5</v>
      </c>
      <c r="Y37" s="70">
        <f>W37+X37</f>
        <v>6.1999999999999993</v>
      </c>
      <c r="Z37" s="71">
        <f>'[1]cálculos teóricos'!I244</f>
        <v>11.431043129989952</v>
      </c>
      <c r="AA37" s="72">
        <f t="shared" si="3"/>
        <v>54.238269679290845</v>
      </c>
      <c r="AB37" s="3"/>
    </row>
    <row r="38" spans="1:28" ht="18" customHeight="1">
      <c r="A38" s="81">
        <v>30</v>
      </c>
      <c r="B38" s="77">
        <v>25.6</v>
      </c>
      <c r="C38" s="75">
        <f>'[1]cálculos teóricos'!K245</f>
        <v>0.9923132980515369</v>
      </c>
      <c r="D38" s="59">
        <f t="shared" si="4"/>
        <v>369.95980073404309</v>
      </c>
      <c r="E38" s="60">
        <f t="shared" si="5"/>
        <v>15.489476937132915</v>
      </c>
      <c r="F38" s="61">
        <f t="shared" si="6"/>
        <v>19.690928651416144</v>
      </c>
      <c r="G38" s="62">
        <f>'[1]cálculos teóricos'!T245</f>
        <v>29.659643693014726</v>
      </c>
      <c r="H38" s="76">
        <f t="shared" si="7"/>
        <v>66.389633183805373</v>
      </c>
      <c r="I38" s="206"/>
      <c r="J38" s="89"/>
      <c r="K38" s="88">
        <v>0.6</v>
      </c>
      <c r="L38" s="88">
        <v>1</v>
      </c>
      <c r="M38" s="88">
        <v>1</v>
      </c>
      <c r="N38" s="88">
        <v>1</v>
      </c>
      <c r="O38" s="79">
        <v>1</v>
      </c>
      <c r="P38" s="89">
        <v>1</v>
      </c>
      <c r="Q38" s="88">
        <v>1</v>
      </c>
      <c r="R38" s="88">
        <v>1</v>
      </c>
      <c r="S38" s="88">
        <v>1</v>
      </c>
      <c r="T38" s="88">
        <v>1</v>
      </c>
      <c r="U38" s="88">
        <v>0.2</v>
      </c>
      <c r="V38" s="79"/>
      <c r="W38" s="59">
        <f t="shared" si="0"/>
        <v>4.5999999999999996</v>
      </c>
      <c r="X38" s="124">
        <f>SUM(P38:V38)</f>
        <v>5.2</v>
      </c>
      <c r="Y38" s="70">
        <f>W38+X38</f>
        <v>9.8000000000000007</v>
      </c>
      <c r="Z38" s="71">
        <f>'[1]cálculos teóricos'!I245</f>
        <v>11.452378479954556</v>
      </c>
      <c r="AA38" s="72">
        <f t="shared" si="3"/>
        <v>85.571744045599246</v>
      </c>
      <c r="AB38" s="3"/>
    </row>
    <row r="39" spans="1:28" ht="18" customHeight="1" thickBot="1">
      <c r="A39" s="93">
        <v>31</v>
      </c>
      <c r="B39" s="94">
        <v>28.7</v>
      </c>
      <c r="C39" s="95">
        <f>'[1]cálculos teóricos'!K246</f>
        <v>0.99325290686551726</v>
      </c>
      <c r="D39" s="96">
        <f t="shared" si="4"/>
        <v>415.15235095220208</v>
      </c>
      <c r="E39" s="97">
        <f t="shared" si="5"/>
        <v>17.381598629666797</v>
      </c>
      <c r="F39" s="98">
        <f t="shared" si="6"/>
        <v>22.056080767083493</v>
      </c>
      <c r="G39" s="99">
        <f>'[1]cálculos teóricos'!T246</f>
        <v>29.843536807081268</v>
      </c>
      <c r="H39" s="100">
        <f t="shared" si="7"/>
        <v>73.905720054769219</v>
      </c>
      <c r="I39" s="207"/>
      <c r="J39" s="89">
        <v>0.2</v>
      </c>
      <c r="K39" s="88">
        <v>1</v>
      </c>
      <c r="L39" s="88">
        <v>1</v>
      </c>
      <c r="M39" s="88">
        <v>1</v>
      </c>
      <c r="N39" s="88">
        <v>1</v>
      </c>
      <c r="O39" s="208">
        <v>1</v>
      </c>
      <c r="P39" s="89">
        <v>1</v>
      </c>
      <c r="Q39" s="88">
        <v>1</v>
      </c>
      <c r="R39" s="88">
        <v>1</v>
      </c>
      <c r="S39" s="88">
        <v>1</v>
      </c>
      <c r="T39" s="88">
        <v>0.3</v>
      </c>
      <c r="U39" s="88"/>
      <c r="V39" s="79"/>
      <c r="W39" s="209">
        <f t="shared" si="0"/>
        <v>5.2</v>
      </c>
      <c r="X39" s="131">
        <f>SUM(P39:V39)</f>
        <v>4.3</v>
      </c>
      <c r="Y39" s="132">
        <f>W39+X39</f>
        <v>9.5</v>
      </c>
      <c r="Z39" s="107">
        <f>'[1]cálculos teóricos'!I246</f>
        <v>11.473812557151932</v>
      </c>
      <c r="AA39" s="108">
        <f t="shared" si="3"/>
        <v>82.797238953310227</v>
      </c>
      <c r="AB39" s="3"/>
    </row>
    <row r="40" spans="1:28" s="113" customFormat="1" ht="15.75" thickTop="1">
      <c r="A40" s="109"/>
      <c r="B40" s="109"/>
      <c r="C40" s="109"/>
      <c r="D40" s="109"/>
      <c r="E40" s="109"/>
      <c r="F40" s="109"/>
      <c r="G40" s="109"/>
      <c r="H40" s="109"/>
      <c r="I40" s="136">
        <f>SUM(I9:I39)</f>
        <v>0</v>
      </c>
      <c r="J40" s="136">
        <f t="shared" ref="J40:AA40" si="8">SUM(J9:J39)</f>
        <v>2.1</v>
      </c>
      <c r="K40" s="136">
        <f t="shared" si="8"/>
        <v>14.4</v>
      </c>
      <c r="L40" s="136">
        <f t="shared" si="8"/>
        <v>19.2</v>
      </c>
      <c r="M40" s="136">
        <f t="shared" si="8"/>
        <v>20.100000000000001</v>
      </c>
      <c r="N40" s="136">
        <f t="shared" si="8"/>
        <v>22.1</v>
      </c>
      <c r="O40" s="136">
        <f t="shared" si="8"/>
        <v>21.799999999999997</v>
      </c>
      <c r="P40" s="136">
        <f t="shared" si="8"/>
        <v>21.999999999999996</v>
      </c>
      <c r="Q40" s="136">
        <f t="shared" si="8"/>
        <v>21.500000000000004</v>
      </c>
      <c r="R40" s="136">
        <f t="shared" si="8"/>
        <v>19.600000000000001</v>
      </c>
      <c r="S40" s="136">
        <f t="shared" si="8"/>
        <v>17.099999999999998</v>
      </c>
      <c r="T40" s="136">
        <f t="shared" si="8"/>
        <v>12.3</v>
      </c>
      <c r="U40" s="136">
        <f t="shared" si="8"/>
        <v>0.30000000000000004</v>
      </c>
      <c r="V40" s="136">
        <f t="shared" si="8"/>
        <v>0</v>
      </c>
      <c r="W40" s="111">
        <f t="shared" si="0"/>
        <v>99.7</v>
      </c>
      <c r="X40" s="111">
        <f>SUM(P40:V40)</f>
        <v>92.8</v>
      </c>
      <c r="Y40" s="111">
        <f>W40+X40</f>
        <v>192.5</v>
      </c>
      <c r="Z40" s="111">
        <f t="shared" si="8"/>
        <v>346.32135512431353</v>
      </c>
      <c r="AA40" s="111">
        <f t="shared" si="8"/>
        <v>1727.3412384083922</v>
      </c>
      <c r="AB40" s="109"/>
    </row>
    <row r="41" spans="1:28" s="113" customFormat="1" ht="15">
      <c r="A41" s="109"/>
      <c r="B41" s="109" t="s">
        <v>51</v>
      </c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210"/>
      <c r="X41" s="210"/>
      <c r="Y41" s="210"/>
      <c r="Z41" s="109"/>
      <c r="AA41" s="109"/>
      <c r="AB41" s="109"/>
    </row>
    <row r="42" spans="1:28" s="113" customFormat="1" ht="15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</row>
    <row r="43" spans="1:28" s="113" customFormat="1" ht="15">
      <c r="A43" s="109"/>
      <c r="B43" s="109" t="s">
        <v>52</v>
      </c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</row>
    <row r="44" spans="1:28" s="113" customFormat="1" ht="15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</row>
    <row r="45" spans="1:28" s="113" customFormat="1" ht="15">
      <c r="A45" s="109"/>
      <c r="B45" s="109" t="s">
        <v>53</v>
      </c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</row>
    <row r="46" spans="1:28" s="113" customFormat="1" ht="15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</row>
    <row r="47" spans="1:28" s="113" customFormat="1" ht="15">
      <c r="A47" s="109"/>
      <c r="B47" s="109" t="s">
        <v>54</v>
      </c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</row>
    <row r="48" spans="1:28" s="113" customFormat="1" ht="15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</row>
    <row r="49" spans="1:28" s="113" customFormat="1" ht="15">
      <c r="A49" s="109"/>
      <c r="B49" s="109" t="s">
        <v>55</v>
      </c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9" t="s">
        <v>56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9" t="s">
        <v>57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13" t="s">
        <v>58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55"/>
  <sheetViews>
    <sheetView zoomScale="75" zoomScaleNormal="75" workbookViewId="0">
      <selection activeCell="A2" sqref="A2"/>
    </sheetView>
  </sheetViews>
  <sheetFormatPr defaultColWidth="11.42578125" defaultRowHeight="12.75"/>
  <cols>
    <col min="1" max="1" width="8.7109375" style="8" customWidth="1"/>
    <col min="2" max="2" width="12.7109375" style="8" customWidth="1"/>
    <col min="3" max="3" width="13.42578125" style="8" customWidth="1"/>
    <col min="4" max="8" width="12.7109375" style="8" customWidth="1"/>
    <col min="9" max="25" width="8.7109375" style="8" customWidth="1"/>
    <col min="26" max="27" width="12.7109375" style="8" customWidth="1"/>
    <col min="28" max="16384" width="11.42578125" style="8"/>
  </cols>
  <sheetData>
    <row r="1" spans="1:28" ht="18" customHeight="1">
      <c r="A1" s="1" t="s">
        <v>81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7" t="s">
        <v>2</v>
      </c>
      <c r="Y1" s="6"/>
      <c r="Z1" s="6"/>
      <c r="AA1" s="6"/>
      <c r="AB1" s="3"/>
    </row>
    <row r="2" spans="1:28" ht="18" customHeight="1">
      <c r="A2" s="3"/>
      <c r="B2" s="9" t="s">
        <v>74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155"/>
      <c r="S2" s="155"/>
      <c r="T2" s="155"/>
      <c r="U2" s="3"/>
      <c r="V2" s="9" t="s">
        <v>74</v>
      </c>
      <c r="W2" s="3"/>
      <c r="X2" s="116"/>
      <c r="Y2" s="3"/>
      <c r="Z2" s="3"/>
      <c r="AA2" s="3"/>
      <c r="AB2" s="3"/>
    </row>
    <row r="3" spans="1:28" ht="18" customHeight="1">
      <c r="A3" s="3"/>
      <c r="B3" s="9" t="s">
        <v>77</v>
      </c>
      <c r="C3" s="3"/>
      <c r="D3" s="155"/>
      <c r="E3" s="156"/>
      <c r="F3" s="3"/>
      <c r="G3" s="4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155"/>
      <c r="S3" s="155"/>
      <c r="T3" s="181"/>
      <c r="U3" s="3"/>
      <c r="V3" s="9" t="s">
        <v>82</v>
      </c>
      <c r="W3" s="3"/>
      <c r="X3" s="6"/>
      <c r="Y3" s="6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thickTop="1" thickBot="1">
      <c r="A5" s="11" t="s">
        <v>8</v>
      </c>
      <c r="B5" s="12"/>
      <c r="C5" s="13" t="s">
        <v>9</v>
      </c>
      <c r="D5" s="14"/>
      <c r="E5" s="15"/>
      <c r="F5" s="14"/>
      <c r="G5" s="14"/>
      <c r="H5" s="16"/>
      <c r="I5" s="17" t="s">
        <v>10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3"/>
      <c r="Y5" s="18"/>
      <c r="Z5" s="15"/>
      <c r="AA5" s="19"/>
      <c r="AB5" s="3"/>
    </row>
    <row r="6" spans="1:28" ht="18" customHeight="1">
      <c r="A6" s="20"/>
      <c r="B6" s="21" t="s">
        <v>11</v>
      </c>
      <c r="C6" s="22" t="s">
        <v>12</v>
      </c>
      <c r="D6" s="23" t="s">
        <v>13</v>
      </c>
      <c r="E6" s="22" t="s">
        <v>13</v>
      </c>
      <c r="F6" s="24" t="s">
        <v>14</v>
      </c>
      <c r="G6" s="24" t="s">
        <v>15</v>
      </c>
      <c r="H6" s="24" t="s">
        <v>16</v>
      </c>
      <c r="I6" s="25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8"/>
      <c r="W6" s="29"/>
      <c r="X6" s="30"/>
      <c r="Y6" s="31"/>
      <c r="Z6" s="32" t="s">
        <v>17</v>
      </c>
      <c r="AA6" s="33" t="s">
        <v>18</v>
      </c>
      <c r="AB6" s="3"/>
    </row>
    <row r="7" spans="1:28" ht="18" customHeight="1" thickBot="1">
      <c r="A7" s="34"/>
      <c r="B7" s="35" t="s">
        <v>19</v>
      </c>
      <c r="C7" s="36" t="s">
        <v>20</v>
      </c>
      <c r="D7" s="23" t="s">
        <v>21</v>
      </c>
      <c r="E7" s="24" t="s">
        <v>21</v>
      </c>
      <c r="F7" s="24" t="s">
        <v>22</v>
      </c>
      <c r="G7" s="24" t="s">
        <v>23</v>
      </c>
      <c r="H7" s="24" t="s">
        <v>24</v>
      </c>
      <c r="I7" s="37" t="s">
        <v>25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8"/>
      <c r="W7" s="39"/>
      <c r="X7" s="40" t="s">
        <v>26</v>
      </c>
      <c r="Y7" s="41"/>
      <c r="Z7" s="42" t="s">
        <v>27</v>
      </c>
      <c r="AA7" s="43" t="s">
        <v>28</v>
      </c>
      <c r="AB7" s="3"/>
    </row>
    <row r="8" spans="1:28" ht="18" customHeight="1" thickBot="1">
      <c r="A8" s="44"/>
      <c r="B8" s="45" t="s">
        <v>29</v>
      </c>
      <c r="C8" s="46" t="s">
        <v>30</v>
      </c>
      <c r="D8" s="46" t="s">
        <v>31</v>
      </c>
      <c r="E8" s="47" t="s">
        <v>32</v>
      </c>
      <c r="F8" s="47" t="s">
        <v>32</v>
      </c>
      <c r="G8" s="46" t="s">
        <v>32</v>
      </c>
      <c r="H8" s="24" t="s">
        <v>33</v>
      </c>
      <c r="I8" s="48" t="s">
        <v>34</v>
      </c>
      <c r="J8" s="49" t="s">
        <v>35</v>
      </c>
      <c r="K8" s="49" t="s">
        <v>36</v>
      </c>
      <c r="L8" s="49" t="s">
        <v>37</v>
      </c>
      <c r="M8" s="49" t="s">
        <v>38</v>
      </c>
      <c r="N8" s="49" t="s">
        <v>39</v>
      </c>
      <c r="O8" s="50" t="s">
        <v>40</v>
      </c>
      <c r="P8" s="49" t="s">
        <v>41</v>
      </c>
      <c r="Q8" s="49" t="s">
        <v>42</v>
      </c>
      <c r="R8" s="49" t="s">
        <v>43</v>
      </c>
      <c r="S8" s="49" t="s">
        <v>44</v>
      </c>
      <c r="T8" s="49" t="s">
        <v>45</v>
      </c>
      <c r="U8" s="49" t="s">
        <v>46</v>
      </c>
      <c r="V8" s="51" t="s">
        <v>47</v>
      </c>
      <c r="W8" s="54" t="s">
        <v>48</v>
      </c>
      <c r="X8" s="117" t="s">
        <v>49</v>
      </c>
      <c r="Y8" s="169" t="s">
        <v>50</v>
      </c>
      <c r="Z8" s="54" t="s">
        <v>50</v>
      </c>
      <c r="AA8" s="55" t="s">
        <v>50</v>
      </c>
      <c r="AB8" s="3"/>
    </row>
    <row r="9" spans="1:28" ht="18" customHeight="1">
      <c r="A9" s="118">
        <v>1</v>
      </c>
      <c r="B9" s="57">
        <v>28.7</v>
      </c>
      <c r="C9" s="75">
        <f>'[1]cálculos teóricos'!K247</f>
        <v>0.99419020541821523</v>
      </c>
      <c r="D9" s="59">
        <f>IF(B9&gt;0,B9*C9*14.25*1.022,-999)</f>
        <v>415.5441159246547</v>
      </c>
      <c r="E9" s="60">
        <f>IF(B9&gt;0,D9*4.1868/100,-999)</f>
        <v>17.398001045533441</v>
      </c>
      <c r="F9" s="61">
        <f>IF(B9&gt;0,(7.86+1.25*D9)*4.1868/100,-999)</f>
        <v>22.076583786916803</v>
      </c>
      <c r="G9" s="62">
        <f>'[1]cálculos teóricos'!T247</f>
        <v>30.02798352557965</v>
      </c>
      <c r="H9" s="63">
        <f>IF(B9&gt;0,100*F9/G9,-999)</f>
        <v>73.520034297709785</v>
      </c>
      <c r="I9" s="64"/>
      <c r="J9" s="64">
        <v>0.3</v>
      </c>
      <c r="K9" s="171">
        <v>1</v>
      </c>
      <c r="L9" s="171">
        <v>1</v>
      </c>
      <c r="M9" s="171">
        <v>1</v>
      </c>
      <c r="N9" s="171">
        <v>1</v>
      </c>
      <c r="O9" s="172">
        <v>1</v>
      </c>
      <c r="P9" s="171">
        <v>1</v>
      </c>
      <c r="Q9" s="171">
        <v>1</v>
      </c>
      <c r="R9" s="171">
        <v>1</v>
      </c>
      <c r="S9" s="171">
        <v>1</v>
      </c>
      <c r="T9" s="64">
        <v>0.7</v>
      </c>
      <c r="U9" s="64"/>
      <c r="V9" s="211"/>
      <c r="W9" s="59">
        <f t="shared" ref="W9:W38" si="0">SUM(I9:O9)</f>
        <v>5.3</v>
      </c>
      <c r="X9" s="124">
        <f>SUM(P9:V9)</f>
        <v>4.7</v>
      </c>
      <c r="Y9" s="125">
        <f t="shared" ref="Y9:Y16" si="1">W9+X9</f>
        <v>10</v>
      </c>
      <c r="Z9" s="71">
        <f>'[1]cálculos teóricos'!I247</f>
        <v>11.495341160479503</v>
      </c>
      <c r="AA9" s="72">
        <f>100*Y9/Z9</f>
        <v>86.991763536166957</v>
      </c>
      <c r="AB9" s="3"/>
    </row>
    <row r="10" spans="1:28" ht="18" customHeight="1">
      <c r="A10" s="118">
        <v>2</v>
      </c>
      <c r="B10" s="57">
        <v>20.5</v>
      </c>
      <c r="C10" s="75">
        <f>'[1]cálculos teóricos'!K248</f>
        <v>0.99512480212680143</v>
      </c>
      <c r="D10" s="59">
        <f>IF(B10&gt;0,B10*C10*14.25*1.022,-999)</f>
        <v>297.09625114336035</v>
      </c>
      <c r="E10" s="60">
        <f>IF(B10&gt;0,D10*4.1868/100,-999)</f>
        <v>12.438825842870211</v>
      </c>
      <c r="F10" s="61">
        <f>IF(B10&gt;0,(7.86+1.25*D10)*4.1868/100,-999)</f>
        <v>15.877614783587765</v>
      </c>
      <c r="G10" s="62">
        <f>'[1]cálculos teóricos'!T248</f>
        <v>30.21291714531624</v>
      </c>
      <c r="H10" s="76">
        <f>IF(B10&gt;0,100*F10/G10,-999)</f>
        <v>52.55240567211893</v>
      </c>
      <c r="I10" s="57"/>
      <c r="J10" s="77"/>
      <c r="K10" s="77">
        <v>0.6</v>
      </c>
      <c r="L10" s="80">
        <v>0.7</v>
      </c>
      <c r="M10" s="80">
        <v>1</v>
      </c>
      <c r="N10" s="80">
        <v>1</v>
      </c>
      <c r="O10" s="78">
        <v>1</v>
      </c>
      <c r="P10" s="80">
        <v>0.2</v>
      </c>
      <c r="Q10" s="80"/>
      <c r="R10" s="80">
        <v>0.3</v>
      </c>
      <c r="S10" s="80">
        <v>0.2</v>
      </c>
      <c r="T10" s="89"/>
      <c r="U10" s="89"/>
      <c r="V10" s="212"/>
      <c r="W10" s="59">
        <f t="shared" si="0"/>
        <v>4.3</v>
      </c>
      <c r="X10" s="124">
        <f t="shared" ref="X10:X38" si="2">SUM(P10:V10)</f>
        <v>0.7</v>
      </c>
      <c r="Y10" s="70">
        <f t="shared" si="1"/>
        <v>5</v>
      </c>
      <c r="Z10" s="71">
        <f>'[1]cálculos teóricos'!I248</f>
        <v>11.516960194014535</v>
      </c>
      <c r="AA10" s="72">
        <f t="shared" ref="AA10:AA38" si="3">100*Y10/Z10</f>
        <v>43.414233580476761</v>
      </c>
      <c r="AB10" s="3"/>
    </row>
    <row r="11" spans="1:28" ht="18" customHeight="1">
      <c r="A11" s="118">
        <v>3</v>
      </c>
      <c r="B11" s="57">
        <v>27</v>
      </c>
      <c r="C11" s="75">
        <f>'[1]cálculos teóricos'!K249</f>
        <v>0.99605631287002294</v>
      </c>
      <c r="D11" s="59">
        <f t="shared" ref="D11:D38" si="4">IF(B11&gt;0,B11*C11*14.25*1.022,-999)</f>
        <v>391.66378503702964</v>
      </c>
      <c r="E11" s="60">
        <f t="shared" ref="E11:E38" si="5">IF(B11&gt;0,D11*4.1868/100,-999)</f>
        <v>16.398179351930356</v>
      </c>
      <c r="F11" s="61">
        <f t="shared" ref="F11:F38" si="6">IF(B11&gt;0,(7.86+1.25*D11)*4.1868/100,-999)</f>
        <v>20.826806669912944</v>
      </c>
      <c r="G11" s="62">
        <f>'[1]cálculos teóricos'!T249</f>
        <v>30.398271300830679</v>
      </c>
      <c r="H11" s="76">
        <f t="shared" ref="H11:H38" si="7">IF(B11&gt;0,100*F11/G11,-999)</f>
        <v>68.513128473012273</v>
      </c>
      <c r="I11" s="57"/>
      <c r="J11" s="77">
        <v>0.1</v>
      </c>
      <c r="K11" s="77">
        <v>0.9</v>
      </c>
      <c r="L11" s="80">
        <v>1</v>
      </c>
      <c r="M11" s="80">
        <v>0.8</v>
      </c>
      <c r="N11" s="80">
        <v>1</v>
      </c>
      <c r="O11" s="78">
        <v>1</v>
      </c>
      <c r="P11" s="80">
        <v>1</v>
      </c>
      <c r="Q11" s="80">
        <v>0.4</v>
      </c>
      <c r="R11" s="80">
        <v>1</v>
      </c>
      <c r="S11" s="80">
        <v>1</v>
      </c>
      <c r="T11" s="89">
        <v>1</v>
      </c>
      <c r="U11" s="89">
        <v>0.1</v>
      </c>
      <c r="V11" s="212"/>
      <c r="W11" s="59">
        <f t="shared" si="0"/>
        <v>4.8</v>
      </c>
      <c r="X11" s="124">
        <f t="shared" si="2"/>
        <v>4.5</v>
      </c>
      <c r="Y11" s="70">
        <f t="shared" si="1"/>
        <v>9.3000000000000007</v>
      </c>
      <c r="Z11" s="71">
        <f>'[1]cálculos teóricos'!I249</f>
        <v>11.538665663090258</v>
      </c>
      <c r="AA11" s="72">
        <f t="shared" si="3"/>
        <v>80.598574146651345</v>
      </c>
      <c r="AB11" s="3"/>
    </row>
    <row r="12" spans="1:28" ht="18" customHeight="1">
      <c r="A12" s="118">
        <v>4</v>
      </c>
      <c r="B12" s="57">
        <v>24.8</v>
      </c>
      <c r="C12" s="75">
        <f>'[1]cálculos teóricos'!K250</f>
        <v>0.99698436107380495</v>
      </c>
      <c r="D12" s="59">
        <f t="shared" si="4"/>
        <v>360.0856272139593</v>
      </c>
      <c r="E12" s="60">
        <f t="shared" si="5"/>
        <v>15.076065040194049</v>
      </c>
      <c r="F12" s="61">
        <f t="shared" si="6"/>
        <v>19.174163780242559</v>
      </c>
      <c r="G12" s="62">
        <f>'[1]cálculos teóricos'!T250</f>
        <v>30.583979985672055</v>
      </c>
      <c r="H12" s="76">
        <f t="shared" si="7"/>
        <v>62.69348786268251</v>
      </c>
      <c r="I12" s="57"/>
      <c r="J12" s="77">
        <v>0.1</v>
      </c>
      <c r="K12" s="77">
        <v>0.7</v>
      </c>
      <c r="L12" s="80">
        <v>1</v>
      </c>
      <c r="M12" s="80">
        <v>1</v>
      </c>
      <c r="N12" s="80">
        <v>1</v>
      </c>
      <c r="O12" s="78">
        <v>1</v>
      </c>
      <c r="P12" s="80">
        <v>1</v>
      </c>
      <c r="Q12" s="80">
        <v>0.7</v>
      </c>
      <c r="R12" s="80">
        <v>0.3</v>
      </c>
      <c r="S12" s="80">
        <v>0.6</v>
      </c>
      <c r="T12" s="89">
        <v>0.6</v>
      </c>
      <c r="U12" s="89"/>
      <c r="V12" s="212"/>
      <c r="W12" s="59">
        <f t="shared" si="0"/>
        <v>4.8</v>
      </c>
      <c r="X12" s="124">
        <f t="shared" si="2"/>
        <v>3.2</v>
      </c>
      <c r="Y12" s="70">
        <f t="shared" si="1"/>
        <v>8</v>
      </c>
      <c r="Z12" s="71">
        <f>'[1]cálculos teóricos'!I250</f>
        <v>11.560453670157653</v>
      </c>
      <c r="AA12" s="72">
        <f t="shared" si="3"/>
        <v>69.201436450987501</v>
      </c>
      <c r="AB12" s="3"/>
    </row>
    <row r="13" spans="1:28" ht="18" customHeight="1">
      <c r="A13" s="73">
        <v>5</v>
      </c>
      <c r="B13" s="57">
        <v>9.1</v>
      </c>
      <c r="C13" s="75">
        <f>'[1]cálculos teóricos'!K251</f>
        <v>0.99790857778799535</v>
      </c>
      <c r="D13" s="59">
        <f t="shared" si="4"/>
        <v>132.25067831080077</v>
      </c>
      <c r="E13" s="60">
        <f t="shared" si="5"/>
        <v>5.5370713995166065</v>
      </c>
      <c r="F13" s="61">
        <f t="shared" si="6"/>
        <v>7.2504217293957591</v>
      </c>
      <c r="G13" s="62">
        <f>'[1]cálculos teóricos'!T251</f>
        <v>30.769977572999139</v>
      </c>
      <c r="H13" s="76">
        <f t="shared" si="7"/>
        <v>23.563298712827315</v>
      </c>
      <c r="I13" s="57"/>
      <c r="J13" s="77"/>
      <c r="K13" s="77"/>
      <c r="L13" s="77"/>
      <c r="M13" s="77">
        <v>0.3</v>
      </c>
      <c r="N13" s="77">
        <v>0.2</v>
      </c>
      <c r="O13" s="78"/>
      <c r="P13" s="80"/>
      <c r="Q13" s="80"/>
      <c r="R13" s="77"/>
      <c r="S13" s="77"/>
      <c r="T13" s="77"/>
      <c r="U13" s="89"/>
      <c r="V13" s="212"/>
      <c r="W13" s="59">
        <f t="shared" si="0"/>
        <v>0.5</v>
      </c>
      <c r="X13" s="124">
        <f t="shared" si="2"/>
        <v>0</v>
      </c>
      <c r="Y13" s="70">
        <f t="shared" si="1"/>
        <v>0.5</v>
      </c>
      <c r="Z13" s="71">
        <f>'[1]cálculos teóricos'!I251</f>
        <v>11.582320410445583</v>
      </c>
      <c r="AA13" s="72">
        <f t="shared" si="3"/>
        <v>4.3169242628538589</v>
      </c>
      <c r="AB13" s="3"/>
    </row>
    <row r="14" spans="1:28" ht="18" customHeight="1">
      <c r="A14" s="118">
        <v>6</v>
      </c>
      <c r="B14" s="57">
        <v>14.1</v>
      </c>
      <c r="C14" s="75">
        <f>'[1]cálculos teóricos'!K252</f>
        <v>0.99882860175493227</v>
      </c>
      <c r="D14" s="59">
        <f t="shared" si="4"/>
        <v>205.10480881737718</v>
      </c>
      <c r="E14" s="60">
        <f t="shared" si="5"/>
        <v>8.5873281355659472</v>
      </c>
      <c r="F14" s="61">
        <f t="shared" si="6"/>
        <v>11.063242649457434</v>
      </c>
      <c r="G14" s="62">
        <f>'[1]cálculos teóricos'!T252</f>
        <v>30.956198835564976</v>
      </c>
      <c r="H14" s="76">
        <f t="shared" si="7"/>
        <v>35.738375723143015</v>
      </c>
      <c r="I14" s="57"/>
      <c r="J14" s="77"/>
      <c r="K14" s="77"/>
      <c r="L14" s="77"/>
      <c r="M14" s="77"/>
      <c r="N14" s="77"/>
      <c r="O14" s="78">
        <v>0.1</v>
      </c>
      <c r="P14" s="80">
        <v>0.4</v>
      </c>
      <c r="Q14" s="80">
        <v>0.3</v>
      </c>
      <c r="R14" s="77"/>
      <c r="S14" s="77"/>
      <c r="T14" s="77"/>
      <c r="U14" s="89"/>
      <c r="V14" s="212"/>
      <c r="W14" s="59">
        <f t="shared" si="0"/>
        <v>0.1</v>
      </c>
      <c r="X14" s="124">
        <f t="shared" si="2"/>
        <v>0.7</v>
      </c>
      <c r="Y14" s="70">
        <f t="shared" si="1"/>
        <v>0.79999999999999993</v>
      </c>
      <c r="Z14" s="71">
        <f>'[1]cálculos teóricos'!I252</f>
        <v>11.604262167431463</v>
      </c>
      <c r="AA14" s="72">
        <f t="shared" si="3"/>
        <v>6.8940186670832118</v>
      </c>
      <c r="AB14" s="3"/>
    </row>
    <row r="15" spans="1:28" ht="18" customHeight="1">
      <c r="A15" s="73">
        <v>7</v>
      </c>
      <c r="B15" s="57">
        <v>25.9</v>
      </c>
      <c r="C15" s="75">
        <f>'[1]cálculos teóricos'!K253</f>
        <v>0.99974407947051991</v>
      </c>
      <c r="D15" s="59">
        <f t="shared" si="4"/>
        <v>377.09811814545492</v>
      </c>
      <c r="E15" s="60">
        <f t="shared" si="5"/>
        <v>15.788344010513907</v>
      </c>
      <c r="F15" s="61">
        <f t="shared" si="6"/>
        <v>20.064512493142384</v>
      </c>
      <c r="G15" s="62">
        <f>'[1]cálculos teóricos'!T253</f>
        <v>31.142578965148473</v>
      </c>
      <c r="H15" s="76">
        <f t="shared" si="7"/>
        <v>64.427909183746451</v>
      </c>
      <c r="I15" s="57"/>
      <c r="J15" s="77"/>
      <c r="K15" s="77"/>
      <c r="L15" s="77"/>
      <c r="M15" s="77">
        <v>0.8</v>
      </c>
      <c r="N15" s="77">
        <v>1</v>
      </c>
      <c r="O15" s="78">
        <v>1</v>
      </c>
      <c r="P15" s="80">
        <v>1</v>
      </c>
      <c r="Q15" s="80">
        <v>1</v>
      </c>
      <c r="R15" s="77">
        <v>1</v>
      </c>
      <c r="S15" s="77">
        <v>0.8</v>
      </c>
      <c r="T15" s="89"/>
      <c r="U15" s="89"/>
      <c r="V15" s="212"/>
      <c r="W15" s="59">
        <f t="shared" si="0"/>
        <v>2.8</v>
      </c>
      <c r="X15" s="124">
        <f t="shared" si="2"/>
        <v>3.8</v>
      </c>
      <c r="Y15" s="70">
        <f t="shared" si="1"/>
        <v>6.6</v>
      </c>
      <c r="Z15" s="71">
        <f>'[1]cálculos teóricos'!I253</f>
        <v>11.626275308134208</v>
      </c>
      <c r="AA15" s="72">
        <f t="shared" si="3"/>
        <v>56.767965879686123</v>
      </c>
      <c r="AB15" s="3"/>
    </row>
    <row r="16" spans="1:28" ht="18" customHeight="1">
      <c r="A16" s="81">
        <v>8</v>
      </c>
      <c r="B16" s="77">
        <v>29.5</v>
      </c>
      <c r="C16" s="75">
        <f>'[1]cálculos teóricos'!K254</f>
        <v>1.0006546652384873</v>
      </c>
      <c r="D16" s="59">
        <f t="shared" si="4"/>
        <v>429.90450940742096</v>
      </c>
      <c r="E16" s="60">
        <f t="shared" si="5"/>
        <v>17.999241999869902</v>
      </c>
      <c r="F16" s="61">
        <f t="shared" si="6"/>
        <v>22.828134979837372</v>
      </c>
      <c r="G16" s="62">
        <f>'[1]cálculos teóricos'!T254</f>
        <v>31.329053591497956</v>
      </c>
      <c r="H16" s="76">
        <f t="shared" si="7"/>
        <v>72.865702480181042</v>
      </c>
      <c r="I16" s="80"/>
      <c r="J16" s="88">
        <v>0.3</v>
      </c>
      <c r="K16" s="88">
        <v>1</v>
      </c>
      <c r="L16" s="88">
        <v>1</v>
      </c>
      <c r="M16" s="88">
        <v>1</v>
      </c>
      <c r="N16" s="88">
        <v>1</v>
      </c>
      <c r="O16" s="79">
        <v>1</v>
      </c>
      <c r="P16" s="89">
        <v>1</v>
      </c>
      <c r="Q16" s="89">
        <v>1</v>
      </c>
      <c r="R16" s="88">
        <v>1</v>
      </c>
      <c r="S16" s="88">
        <v>1</v>
      </c>
      <c r="T16" s="88">
        <v>0.7</v>
      </c>
      <c r="U16" s="88"/>
      <c r="V16" s="212"/>
      <c r="W16" s="59">
        <f t="shared" si="0"/>
        <v>5.3</v>
      </c>
      <c r="X16" s="124">
        <f t="shared" si="2"/>
        <v>4.7</v>
      </c>
      <c r="Y16" s="70">
        <f t="shared" si="1"/>
        <v>10</v>
      </c>
      <c r="Z16" s="71">
        <f>'[1]cálculos teóricos'!I254</f>
        <v>11.648356278240907</v>
      </c>
      <c r="AA16" s="72">
        <f t="shared" si="3"/>
        <v>85.849022481223102</v>
      </c>
      <c r="AB16" s="3"/>
    </row>
    <row r="17" spans="1:28" ht="18" customHeight="1">
      <c r="A17" s="81">
        <v>9</v>
      </c>
      <c r="B17" s="77">
        <v>15.1</v>
      </c>
      <c r="C17" s="75">
        <f>'[1]cálculos teóricos'!K255</f>
        <v>1.0015600212185085</v>
      </c>
      <c r="D17" s="59">
        <f t="shared" si="4"/>
        <v>220.2519124721378</v>
      </c>
      <c r="E17" s="60">
        <f t="shared" si="5"/>
        <v>9.2215070713834653</v>
      </c>
      <c r="F17" s="61">
        <f t="shared" si="6"/>
        <v>11.855966319229331</v>
      </c>
      <c r="G17" s="62">
        <f>'[1]cálculos teóricos'!T255</f>
        <v>31.515558800853107</v>
      </c>
      <c r="H17" s="76">
        <f t="shared" si="7"/>
        <v>37.619406954346616</v>
      </c>
      <c r="I17" s="80"/>
      <c r="J17" s="88">
        <v>0.1</v>
      </c>
      <c r="K17" s="88">
        <v>0.6</v>
      </c>
      <c r="L17" s="88">
        <v>1</v>
      </c>
      <c r="M17" s="88">
        <v>1</v>
      </c>
      <c r="N17" s="88">
        <v>1</v>
      </c>
      <c r="O17" s="79">
        <v>0.4</v>
      </c>
      <c r="P17" s="89"/>
      <c r="Q17" s="89"/>
      <c r="R17" s="88"/>
      <c r="S17" s="88"/>
      <c r="T17" s="88"/>
      <c r="U17" s="88"/>
      <c r="V17" s="212"/>
      <c r="W17" s="59">
        <f t="shared" si="0"/>
        <v>4.1000000000000005</v>
      </c>
      <c r="X17" s="124">
        <f t="shared" si="2"/>
        <v>0</v>
      </c>
      <c r="Y17" s="70">
        <f>W17+X17</f>
        <v>4.1000000000000005</v>
      </c>
      <c r="Z17" s="71">
        <f>'[1]cálculos teóricos'!I255</f>
        <v>11.670501597078111</v>
      </c>
      <c r="AA17" s="72">
        <f t="shared" si="3"/>
        <v>35.131309189199705</v>
      </c>
      <c r="AB17" s="3"/>
    </row>
    <row r="18" spans="1:28" ht="18" customHeight="1">
      <c r="A18" s="81">
        <v>10</v>
      </c>
      <c r="B18" s="77">
        <v>22.4</v>
      </c>
      <c r="C18" s="75">
        <f>'[1]cálculos teóricos'!K256</f>
        <v>1.0024598174688395</v>
      </c>
      <c r="D18" s="59">
        <f t="shared" si="4"/>
        <v>327.02484755824673</v>
      </c>
      <c r="E18" s="60">
        <f t="shared" si="5"/>
        <v>13.691876317568674</v>
      </c>
      <c r="F18" s="61">
        <f t="shared" si="6"/>
        <v>17.443927876960842</v>
      </c>
      <c r="G18" s="62">
        <f>'[1]cálculos teóricos'!T256</f>
        <v>31.702031154112685</v>
      </c>
      <c r="H18" s="76">
        <f t="shared" si="7"/>
        <v>55.024637986635291</v>
      </c>
      <c r="I18" s="80"/>
      <c r="J18" s="88"/>
      <c r="K18" s="88"/>
      <c r="L18" s="88"/>
      <c r="M18" s="88"/>
      <c r="N18" s="88">
        <v>1</v>
      </c>
      <c r="O18" s="79">
        <v>1</v>
      </c>
      <c r="P18" s="89">
        <v>1</v>
      </c>
      <c r="Q18" s="89">
        <v>1</v>
      </c>
      <c r="R18" s="88">
        <v>1</v>
      </c>
      <c r="S18" s="88">
        <v>1</v>
      </c>
      <c r="T18" s="88">
        <v>0.6</v>
      </c>
      <c r="U18" s="88"/>
      <c r="V18" s="212"/>
      <c r="W18" s="59">
        <f t="shared" si="0"/>
        <v>2</v>
      </c>
      <c r="X18" s="124">
        <f t="shared" si="2"/>
        <v>4.5999999999999996</v>
      </c>
      <c r="Y18" s="70">
        <f>W18+X18</f>
        <v>6.6</v>
      </c>
      <c r="Z18" s="71">
        <f>'[1]cálculos teóricos'!I256</f>
        <v>11.692707852438252</v>
      </c>
      <c r="AA18" s="72">
        <f t="shared" si="3"/>
        <v>56.445436619916215</v>
      </c>
      <c r="AB18" s="3"/>
    </row>
    <row r="19" spans="1:28" ht="18" customHeight="1">
      <c r="A19" s="92">
        <v>11</v>
      </c>
      <c r="B19" s="77">
        <v>30.6</v>
      </c>
      <c r="C19" s="75">
        <f>'[1]cálculos teóricos'!K257</f>
        <v>1.0033537319841259</v>
      </c>
      <c r="D19" s="59">
        <f t="shared" si="4"/>
        <v>447.13766751797505</v>
      </c>
      <c r="E19" s="60">
        <f t="shared" si="5"/>
        <v>18.720759863642581</v>
      </c>
      <c r="F19" s="61">
        <f t="shared" si="6"/>
        <v>23.73003230955322</v>
      </c>
      <c r="G19" s="62">
        <f>'[1]cálculos teóricos'!T257</f>
        <v>31.888407704716052</v>
      </c>
      <c r="H19" s="76">
        <f t="shared" si="7"/>
        <v>74.415858356087597</v>
      </c>
      <c r="I19" s="80"/>
      <c r="J19" s="88"/>
      <c r="K19" s="88">
        <v>0.7</v>
      </c>
      <c r="L19" s="88">
        <v>1</v>
      </c>
      <c r="M19" s="88">
        <v>1</v>
      </c>
      <c r="N19" s="88">
        <v>1</v>
      </c>
      <c r="O19" s="79">
        <v>1</v>
      </c>
      <c r="P19" s="89">
        <v>1</v>
      </c>
      <c r="Q19" s="89">
        <v>1</v>
      </c>
      <c r="R19" s="88">
        <v>1</v>
      </c>
      <c r="S19" s="88">
        <v>1</v>
      </c>
      <c r="T19" s="88">
        <v>1</v>
      </c>
      <c r="U19" s="88">
        <v>0.1</v>
      </c>
      <c r="V19" s="212"/>
      <c r="W19" s="59">
        <f t="shared" si="0"/>
        <v>4.7</v>
      </c>
      <c r="X19" s="124">
        <f t="shared" si="2"/>
        <v>5.0999999999999996</v>
      </c>
      <c r="Y19" s="70">
        <f t="shared" ref="Y19:Y38" si="8">W19+X19</f>
        <v>9.8000000000000007</v>
      </c>
      <c r="Z19" s="71">
        <f>'[1]cálculos teóricos'!I257</f>
        <v>11.714971695271378</v>
      </c>
      <c r="AA19" s="72">
        <f t="shared" si="3"/>
        <v>83.65363788250265</v>
      </c>
      <c r="AB19" s="3"/>
    </row>
    <row r="20" spans="1:28" ht="18" customHeight="1">
      <c r="A20" s="81">
        <v>12</v>
      </c>
      <c r="B20" s="77">
        <v>26.3</v>
      </c>
      <c r="C20" s="75">
        <f>'[1]cálculos teóricos'!K258</f>
        <v>1.0042414507290078</v>
      </c>
      <c r="D20" s="59">
        <f t="shared" si="4"/>
        <v>384.64461067029714</v>
      </c>
      <c r="E20" s="60">
        <f t="shared" si="5"/>
        <v>16.104300559544001</v>
      </c>
      <c r="F20" s="61">
        <f t="shared" si="6"/>
        <v>20.459458179430001</v>
      </c>
      <c r="G20" s="62">
        <f>'[1]cálculos teóricos'!T258</f>
        <v>32.074626016306389</v>
      </c>
      <c r="H20" s="76">
        <f t="shared" si="7"/>
        <v>63.78705138768769</v>
      </c>
      <c r="I20" s="80"/>
      <c r="J20" s="88">
        <v>0.6</v>
      </c>
      <c r="K20" s="88">
        <v>1</v>
      </c>
      <c r="L20" s="88">
        <v>1</v>
      </c>
      <c r="M20" s="88">
        <v>1</v>
      </c>
      <c r="N20" s="88">
        <v>1</v>
      </c>
      <c r="O20" s="79">
        <v>1</v>
      </c>
      <c r="P20" s="89">
        <v>1</v>
      </c>
      <c r="Q20" s="89">
        <v>1</v>
      </c>
      <c r="R20" s="88">
        <v>1</v>
      </c>
      <c r="S20" s="88">
        <v>1</v>
      </c>
      <c r="T20" s="88">
        <v>1</v>
      </c>
      <c r="U20" s="88">
        <v>0.3</v>
      </c>
      <c r="V20" s="212"/>
      <c r="W20" s="59">
        <f t="shared" si="0"/>
        <v>5.6</v>
      </c>
      <c r="X20" s="124">
        <f t="shared" si="2"/>
        <v>5.3</v>
      </c>
      <c r="Y20" s="70">
        <f t="shared" si="8"/>
        <v>10.899999999999999</v>
      </c>
      <c r="Z20" s="71">
        <f>'[1]cálculos teóricos'!I258</f>
        <v>11.737289834251907</v>
      </c>
      <c r="AA20" s="72">
        <f t="shared" si="3"/>
        <v>92.866412552849127</v>
      </c>
      <c r="AB20" s="3"/>
    </row>
    <row r="21" spans="1:28" ht="18" customHeight="1">
      <c r="A21" s="81">
        <v>13</v>
      </c>
      <c r="B21" s="77">
        <v>31.3</v>
      </c>
      <c r="C21" s="75">
        <f>'[1]cálculos teóricos'!K259</f>
        <v>1.0051226676681373</v>
      </c>
      <c r="D21" s="59">
        <f t="shared" si="4"/>
        <v>458.17265427930789</v>
      </c>
      <c r="E21" s="60">
        <f t="shared" si="5"/>
        <v>19.182772689366061</v>
      </c>
      <c r="F21" s="61">
        <f t="shared" si="6"/>
        <v>24.30754834170758</v>
      </c>
      <c r="G21" s="62">
        <f>'[1]cálculos teóricos'!T259</f>
        <v>32.260624180242964</v>
      </c>
      <c r="H21" s="76">
        <f t="shared" si="7"/>
        <v>75.347421072509803</v>
      </c>
      <c r="I21" s="80"/>
      <c r="J21" s="88">
        <v>0.6</v>
      </c>
      <c r="K21" s="88">
        <v>1</v>
      </c>
      <c r="L21" s="88">
        <v>1</v>
      </c>
      <c r="M21" s="88">
        <v>1</v>
      </c>
      <c r="N21" s="88">
        <v>1</v>
      </c>
      <c r="O21" s="79">
        <v>1</v>
      </c>
      <c r="P21" s="89">
        <v>1</v>
      </c>
      <c r="Q21" s="89">
        <v>1</v>
      </c>
      <c r="R21" s="88">
        <v>1</v>
      </c>
      <c r="S21" s="88">
        <v>1</v>
      </c>
      <c r="T21" s="88">
        <v>1</v>
      </c>
      <c r="U21" s="88">
        <v>0.2</v>
      </c>
      <c r="V21" s="212"/>
      <c r="W21" s="59">
        <f t="shared" si="0"/>
        <v>5.6</v>
      </c>
      <c r="X21" s="124">
        <f t="shared" si="2"/>
        <v>5.2</v>
      </c>
      <c r="Y21" s="70">
        <f t="shared" si="8"/>
        <v>10.8</v>
      </c>
      <c r="Z21" s="71">
        <f>'[1]cálculos teóricos'!I259</f>
        <v>11.759659030229781</v>
      </c>
      <c r="AA21" s="72">
        <f t="shared" si="3"/>
        <v>91.839397487947153</v>
      </c>
      <c r="AB21" s="3"/>
    </row>
    <row r="22" spans="1:28" ht="18" customHeight="1">
      <c r="A22" s="81">
        <v>14</v>
      </c>
      <c r="B22" s="77">
        <v>2.9</v>
      </c>
      <c r="C22" s="75">
        <f>'[1]cálculos teóricos'!K260</f>
        <v>1.0059970847931912</v>
      </c>
      <c r="D22" s="59">
        <f t="shared" si="4"/>
        <v>42.487431778718353</v>
      </c>
      <c r="E22" s="60">
        <f t="shared" si="5"/>
        <v>1.7788637937113798</v>
      </c>
      <c r="F22" s="61">
        <f t="shared" si="6"/>
        <v>2.552662222139225</v>
      </c>
      <c r="G22" s="62">
        <f>'[1]cálculos teóricos'!T260</f>
        <v>32.446340833028621</v>
      </c>
      <c r="H22" s="76">
        <f t="shared" si="7"/>
        <v>7.867334671960152</v>
      </c>
      <c r="I22" s="80"/>
      <c r="J22" s="88"/>
      <c r="K22" s="88"/>
      <c r="L22" s="88"/>
      <c r="M22" s="88"/>
      <c r="N22" s="88"/>
      <c r="O22" s="79"/>
      <c r="P22" s="89"/>
      <c r="Q22" s="88"/>
      <c r="R22" s="88"/>
      <c r="S22" s="88"/>
      <c r="T22" s="88"/>
      <c r="U22" s="88"/>
      <c r="V22" s="212"/>
      <c r="W22" s="59">
        <f t="shared" si="0"/>
        <v>0</v>
      </c>
      <c r="X22" s="124">
        <f t="shared" si="2"/>
        <v>0</v>
      </c>
      <c r="Y22" s="70">
        <f t="shared" si="8"/>
        <v>0</v>
      </c>
      <c r="Z22" s="71">
        <f>'[1]cálculos teóricos'!I260</f>
        <v>11.782076090575021</v>
      </c>
      <c r="AA22" s="72">
        <f t="shared" si="3"/>
        <v>0</v>
      </c>
      <c r="AB22" s="3"/>
    </row>
    <row r="23" spans="1:28" ht="18" customHeight="1">
      <c r="A23" s="81">
        <v>15</v>
      </c>
      <c r="B23" s="77">
        <v>23.3</v>
      </c>
      <c r="C23" s="75">
        <f>'[1]cálculos teóricos'!K261</f>
        <v>1.0068644121474433</v>
      </c>
      <c r="D23" s="59">
        <f t="shared" si="4"/>
        <v>341.65884788500654</v>
      </c>
      <c r="E23" s="60">
        <f t="shared" si="5"/>
        <v>14.304572643249452</v>
      </c>
      <c r="F23" s="61">
        <f t="shared" si="6"/>
        <v>18.209798284061819</v>
      </c>
      <c r="G23" s="62">
        <f>'[1]cálculos teóricos'!T261</f>
        <v>32.63171517371709</v>
      </c>
      <c r="H23" s="76">
        <f t="shared" si="7"/>
        <v>55.803987584228274</v>
      </c>
      <c r="I23" s="80"/>
      <c r="J23" s="88"/>
      <c r="K23" s="88"/>
      <c r="L23" s="88">
        <v>0.6</v>
      </c>
      <c r="M23" s="88">
        <v>0.5</v>
      </c>
      <c r="N23" s="88">
        <v>0.9</v>
      </c>
      <c r="O23" s="79">
        <v>0.9</v>
      </c>
      <c r="P23" s="89">
        <v>1</v>
      </c>
      <c r="Q23" s="88">
        <v>1</v>
      </c>
      <c r="R23" s="88">
        <v>0.7</v>
      </c>
      <c r="S23" s="88">
        <v>0.4</v>
      </c>
      <c r="T23" s="88"/>
      <c r="U23" s="88"/>
      <c r="V23" s="212"/>
      <c r="W23" s="59">
        <f t="shared" si="0"/>
        <v>2.9</v>
      </c>
      <c r="X23" s="124">
        <f t="shared" si="2"/>
        <v>3.1</v>
      </c>
      <c r="Y23" s="70">
        <f t="shared" si="8"/>
        <v>6</v>
      </c>
      <c r="Z23" s="71">
        <f>'[1]cálculos teóricos'!I261</f>
        <v>11.804537863424434</v>
      </c>
      <c r="AA23" s="72">
        <f t="shared" si="3"/>
        <v>50.827911006923841</v>
      </c>
      <c r="AB23" s="3"/>
    </row>
    <row r="24" spans="1:28" ht="18" customHeight="1">
      <c r="A24" s="81">
        <v>16</v>
      </c>
      <c r="B24" s="77">
        <v>30.2</v>
      </c>
      <c r="C24" s="75">
        <f>'[1]cálculos teóricos'!K262</f>
        <v>1.0077243678484233</v>
      </c>
      <c r="D24" s="59">
        <f t="shared" si="4"/>
        <v>443.2150137010475</v>
      </c>
      <c r="E24" s="60">
        <f t="shared" si="5"/>
        <v>18.556526193635456</v>
      </c>
      <c r="F24" s="61">
        <f t="shared" si="6"/>
        <v>23.524740222044318</v>
      </c>
      <c r="G24" s="62">
        <f>'[1]cálculos teóricos'!T262</f>
        <v>32.816686981362338</v>
      </c>
      <c r="H24" s="76">
        <f t="shared" si="7"/>
        <v>71.685299114455958</v>
      </c>
      <c r="I24" s="80"/>
      <c r="J24" s="88"/>
      <c r="K24" s="88"/>
      <c r="L24" s="88">
        <v>1</v>
      </c>
      <c r="M24" s="88">
        <v>1</v>
      </c>
      <c r="N24" s="88">
        <v>1</v>
      </c>
      <c r="O24" s="79">
        <v>1</v>
      </c>
      <c r="P24" s="89">
        <v>1</v>
      </c>
      <c r="Q24" s="88">
        <v>1</v>
      </c>
      <c r="R24" s="88">
        <v>1</v>
      </c>
      <c r="S24" s="88">
        <v>1</v>
      </c>
      <c r="T24" s="88">
        <v>1</v>
      </c>
      <c r="U24" s="88">
        <v>0.3</v>
      </c>
      <c r="V24" s="212"/>
      <c r="W24" s="59">
        <f t="shared" si="0"/>
        <v>4</v>
      </c>
      <c r="X24" s="124">
        <f t="shared" si="2"/>
        <v>5.3</v>
      </c>
      <c r="Y24" s="70">
        <f t="shared" si="8"/>
        <v>9.3000000000000007</v>
      </c>
      <c r="Z24" s="71">
        <f>'[1]cálculos teóricos'!I262</f>
        <v>11.827041231838793</v>
      </c>
      <c r="AA24" s="72">
        <f t="shared" si="3"/>
        <v>78.633360767899319</v>
      </c>
      <c r="AB24" s="3"/>
    </row>
    <row r="25" spans="1:28" ht="18" customHeight="1">
      <c r="A25" s="81">
        <v>17</v>
      </c>
      <c r="B25" s="77">
        <v>27</v>
      </c>
      <c r="C25" s="75">
        <f>'[1]cálculos teóricos'!K263</f>
        <v>1.0085766781091658</v>
      </c>
      <c r="D25" s="59">
        <f t="shared" si="4"/>
        <v>396.58697419435663</v>
      </c>
      <c r="E25" s="60">
        <f t="shared" si="5"/>
        <v>16.604303435569321</v>
      </c>
      <c r="F25" s="61">
        <f t="shared" si="6"/>
        <v>21.084461774461651</v>
      </c>
      <c r="G25" s="62">
        <f>'[1]cálculos teóricos'!T263</f>
        <v>33.001196632569247</v>
      </c>
      <c r="H25" s="76">
        <f t="shared" si="7"/>
        <v>63.889991654584918</v>
      </c>
      <c r="I25" s="80"/>
      <c r="J25" s="88">
        <v>0.5</v>
      </c>
      <c r="K25" s="88">
        <v>1</v>
      </c>
      <c r="L25" s="88">
        <v>1</v>
      </c>
      <c r="M25" s="88">
        <v>1</v>
      </c>
      <c r="N25" s="88">
        <v>1</v>
      </c>
      <c r="O25" s="79">
        <v>1</v>
      </c>
      <c r="P25" s="89">
        <v>1</v>
      </c>
      <c r="Q25" s="88">
        <v>1</v>
      </c>
      <c r="R25" s="88">
        <v>1</v>
      </c>
      <c r="S25" s="88">
        <v>1</v>
      </c>
      <c r="T25" s="88">
        <v>1</v>
      </c>
      <c r="U25" s="88">
        <v>0.5</v>
      </c>
      <c r="V25" s="212"/>
      <c r="W25" s="59">
        <f t="shared" si="0"/>
        <v>5.5</v>
      </c>
      <c r="X25" s="124">
        <f t="shared" si="2"/>
        <v>5.5</v>
      </c>
      <c r="Y25" s="70">
        <f t="shared" si="8"/>
        <v>11</v>
      </c>
      <c r="Z25" s="71">
        <f>'[1]cálculos teóricos'!I263</f>
        <v>11.849583107878678</v>
      </c>
      <c r="AA25" s="72">
        <f t="shared" si="3"/>
        <v>92.830270059764402</v>
      </c>
      <c r="AB25" s="3"/>
    </row>
    <row r="26" spans="1:28" ht="18" customHeight="1">
      <c r="A26" s="81">
        <v>18</v>
      </c>
      <c r="B26" s="77">
        <v>29.8</v>
      </c>
      <c r="C26" s="75">
        <f>'[1]cálculos teóricos'!K264</f>
        <v>1.0094210772585084</v>
      </c>
      <c r="D26" s="59">
        <f t="shared" si="4"/>
        <v>438.08097498789778</v>
      </c>
      <c r="E26" s="60">
        <f t="shared" si="5"/>
        <v>18.341574260793305</v>
      </c>
      <c r="F26" s="61">
        <f t="shared" si="6"/>
        <v>23.256050305991629</v>
      </c>
      <c r="G26" s="62">
        <f>'[1]cálculos teóricos'!T264</f>
        <v>33.185185119202401</v>
      </c>
      <c r="H26" s="76">
        <f t="shared" si="7"/>
        <v>70.079616016770871</v>
      </c>
      <c r="I26" s="80"/>
      <c r="J26" s="88">
        <v>0.5</v>
      </c>
      <c r="K26" s="88">
        <v>1</v>
      </c>
      <c r="L26" s="88">
        <v>1</v>
      </c>
      <c r="M26" s="88">
        <v>1</v>
      </c>
      <c r="N26" s="88">
        <v>1</v>
      </c>
      <c r="O26" s="79">
        <v>1</v>
      </c>
      <c r="P26" s="89">
        <v>1</v>
      </c>
      <c r="Q26" s="88">
        <v>1</v>
      </c>
      <c r="R26" s="88">
        <v>1</v>
      </c>
      <c r="S26" s="88">
        <v>0.8</v>
      </c>
      <c r="T26" s="88">
        <v>0.5</v>
      </c>
      <c r="U26" s="88"/>
      <c r="V26" s="212"/>
      <c r="W26" s="59">
        <f t="shared" si="0"/>
        <v>5.5</v>
      </c>
      <c r="X26" s="124">
        <f t="shared" si="2"/>
        <v>4.3</v>
      </c>
      <c r="Y26" s="70">
        <f t="shared" si="8"/>
        <v>9.8000000000000007</v>
      </c>
      <c r="Z26" s="71">
        <f>'[1]cálculos teóricos'!I264</f>
        <v>11.872160426606762</v>
      </c>
      <c r="AA26" s="72">
        <f t="shared" si="3"/>
        <v>82.546054364605524</v>
      </c>
      <c r="AB26" s="3"/>
    </row>
    <row r="27" spans="1:28" ht="18" customHeight="1">
      <c r="A27" s="81">
        <v>19</v>
      </c>
      <c r="B27" s="77">
        <v>28.6</v>
      </c>
      <c r="C27" s="75">
        <f>'[1]cálculos teóricos'!K265</f>
        <v>1.0102573077608699</v>
      </c>
      <c r="D27" s="59">
        <f t="shared" si="4"/>
        <v>420.78843382505721</v>
      </c>
      <c r="E27" s="60">
        <f t="shared" si="5"/>
        <v>17.617570147387493</v>
      </c>
      <c r="F27" s="61">
        <f t="shared" si="6"/>
        <v>22.351045164234371</v>
      </c>
      <c r="G27" s="62">
        <f>'[1]cálculos teóricos'!T265</f>
        <v>33.368594066304397</v>
      </c>
      <c r="H27" s="76">
        <f t="shared" si="7"/>
        <v>66.982280163863578</v>
      </c>
      <c r="I27" s="80"/>
      <c r="J27" s="88"/>
      <c r="K27" s="88"/>
      <c r="L27" s="88"/>
      <c r="M27" s="88">
        <v>1</v>
      </c>
      <c r="N27" s="88">
        <v>1</v>
      </c>
      <c r="O27" s="79">
        <v>1</v>
      </c>
      <c r="P27" s="89">
        <v>1</v>
      </c>
      <c r="Q27" s="88">
        <v>1</v>
      </c>
      <c r="R27" s="88">
        <v>1</v>
      </c>
      <c r="S27" s="88">
        <v>1</v>
      </c>
      <c r="T27" s="88">
        <v>0.1</v>
      </c>
      <c r="U27" s="88"/>
      <c r="V27" s="212"/>
      <c r="W27" s="59">
        <f t="shared" si="0"/>
        <v>3</v>
      </c>
      <c r="X27" s="124">
        <f t="shared" si="2"/>
        <v>4.0999999999999996</v>
      </c>
      <c r="Y27" s="70">
        <f t="shared" si="8"/>
        <v>7.1</v>
      </c>
      <c r="Z27" s="71">
        <f>'[1]cálculos teóricos'!I265</f>
        <v>11.894770140024326</v>
      </c>
      <c r="AA27" s="72">
        <f t="shared" si="3"/>
        <v>59.690098391304261</v>
      </c>
      <c r="AB27" s="3"/>
    </row>
    <row r="28" spans="1:28" ht="18" customHeight="1">
      <c r="A28" s="81">
        <v>20</v>
      </c>
      <c r="B28" s="77">
        <v>27.7</v>
      </c>
      <c r="C28" s="75">
        <f>'[1]cálculos teóricos'!K266</f>
        <v>1.0110851202358924</v>
      </c>
      <c r="D28" s="59">
        <f t="shared" si="4"/>
        <v>407.88078671498511</v>
      </c>
      <c r="E28" s="60">
        <f t="shared" si="5"/>
        <v>17.077152778182995</v>
      </c>
      <c r="F28" s="61">
        <f t="shared" si="6"/>
        <v>21.675523452728743</v>
      </c>
      <c r="G28" s="62">
        <f>'[1]cálculos teóricos'!T266</f>
        <v>33.551365750272652</v>
      </c>
      <c r="H28" s="76">
        <f t="shared" si="7"/>
        <v>64.603997387357026</v>
      </c>
      <c r="I28" s="80"/>
      <c r="J28" s="88"/>
      <c r="K28" s="88"/>
      <c r="L28" s="88"/>
      <c r="M28" s="88">
        <v>0.2</v>
      </c>
      <c r="N28" s="88">
        <v>1</v>
      </c>
      <c r="O28" s="79">
        <v>1</v>
      </c>
      <c r="P28" s="89">
        <v>0.9</v>
      </c>
      <c r="Q28" s="88">
        <v>1</v>
      </c>
      <c r="R28" s="88">
        <v>0.3</v>
      </c>
      <c r="S28" s="88"/>
      <c r="T28" s="88"/>
      <c r="U28" s="88"/>
      <c r="V28" s="212"/>
      <c r="W28" s="59">
        <f t="shared" si="0"/>
        <v>2.2000000000000002</v>
      </c>
      <c r="X28" s="124">
        <f t="shared" si="2"/>
        <v>2.1999999999999997</v>
      </c>
      <c r="Y28" s="70">
        <f t="shared" si="8"/>
        <v>4.4000000000000004</v>
      </c>
      <c r="Z28" s="71">
        <f>'[1]cálculos teóricos'!I266</f>
        <v>11.917409210949348</v>
      </c>
      <c r="AA28" s="72">
        <f t="shared" si="3"/>
        <v>36.920776337506446</v>
      </c>
      <c r="AB28" s="3"/>
    </row>
    <row r="29" spans="1:28" ht="18" customHeight="1">
      <c r="A29" s="81">
        <v>21</v>
      </c>
      <c r="B29" s="77">
        <v>25</v>
      </c>
      <c r="C29" s="75">
        <f>'[1]cálculos teóricos'!K267</f>
        <v>1.0119042734782999</v>
      </c>
      <c r="D29" s="59">
        <f t="shared" si="4"/>
        <v>368.42169717003054</v>
      </c>
      <c r="E29" s="60">
        <f t="shared" si="5"/>
        <v>15.425079617114839</v>
      </c>
      <c r="F29" s="61">
        <f t="shared" si="6"/>
        <v>19.610432001393548</v>
      </c>
      <c r="G29" s="62">
        <f>'[1]cálculos teóricos'!T267</f>
        <v>33.733443117336968</v>
      </c>
      <c r="H29" s="76">
        <f t="shared" si="7"/>
        <v>58.133502510198731</v>
      </c>
      <c r="I29" s="80"/>
      <c r="J29" s="88">
        <v>0.4</v>
      </c>
      <c r="K29" s="88">
        <v>1</v>
      </c>
      <c r="L29" s="88">
        <v>1</v>
      </c>
      <c r="M29" s="88">
        <v>1</v>
      </c>
      <c r="N29" s="88">
        <v>1</v>
      </c>
      <c r="O29" s="79">
        <v>1</v>
      </c>
      <c r="P29" s="89">
        <v>1</v>
      </c>
      <c r="Q29" s="89">
        <v>1</v>
      </c>
      <c r="R29" s="89">
        <v>1</v>
      </c>
      <c r="S29" s="89">
        <v>1</v>
      </c>
      <c r="T29" s="88">
        <v>0.6</v>
      </c>
      <c r="U29" s="88"/>
      <c r="V29" s="212"/>
      <c r="W29" s="59">
        <f t="shared" si="0"/>
        <v>5.4</v>
      </c>
      <c r="X29" s="124">
        <f t="shared" si="2"/>
        <v>4.5999999999999996</v>
      </c>
      <c r="Y29" s="70">
        <f t="shared" si="8"/>
        <v>10</v>
      </c>
      <c r="Z29" s="71">
        <f>'[1]cálculos teóricos'!I267</f>
        <v>11.940074606843586</v>
      </c>
      <c r="AA29" s="72">
        <f t="shared" si="3"/>
        <v>83.751570482385333</v>
      </c>
      <c r="AB29" s="3"/>
    </row>
    <row r="30" spans="1:28" ht="18" customHeight="1">
      <c r="A30" s="81">
        <v>22</v>
      </c>
      <c r="B30" s="77">
        <v>27.8</v>
      </c>
      <c r="C30" s="75">
        <f>'[1]cálculos teóricos'!K268</f>
        <v>1.0127145344782673</v>
      </c>
      <c r="D30" s="59">
        <f t="shared" si="4"/>
        <v>410.01297381590405</v>
      </c>
      <c r="E30" s="60">
        <f t="shared" si="5"/>
        <v>17.16642318772427</v>
      </c>
      <c r="F30" s="61">
        <f t="shared" si="6"/>
        <v>21.787111464655336</v>
      </c>
      <c r="G30" s="62">
        <f>'[1]cálculos teóricos'!T268</f>
        <v>33.914769802376469</v>
      </c>
      <c r="H30" s="76">
        <f t="shared" si="7"/>
        <v>64.24077648649903</v>
      </c>
      <c r="I30" s="80"/>
      <c r="J30" s="88">
        <v>0.3</v>
      </c>
      <c r="K30" s="88">
        <v>1</v>
      </c>
      <c r="L30" s="88">
        <v>1</v>
      </c>
      <c r="M30" s="88">
        <v>1</v>
      </c>
      <c r="N30" s="88">
        <v>1</v>
      </c>
      <c r="O30" s="79">
        <v>1</v>
      </c>
      <c r="P30" s="89">
        <v>1</v>
      </c>
      <c r="Q30" s="88">
        <v>1</v>
      </c>
      <c r="R30" s="88">
        <v>1</v>
      </c>
      <c r="S30" s="88">
        <v>0.5</v>
      </c>
      <c r="T30" s="88"/>
      <c r="U30" s="88"/>
      <c r="V30" s="212"/>
      <c r="W30" s="59">
        <f t="shared" si="0"/>
        <v>5.3</v>
      </c>
      <c r="X30" s="124">
        <f t="shared" si="2"/>
        <v>3.5</v>
      </c>
      <c r="Y30" s="70">
        <f t="shared" si="8"/>
        <v>8.8000000000000007</v>
      </c>
      <c r="Z30" s="71">
        <f>'[1]cálculos teóricos'!I268</f>
        <v>11.962763293595893</v>
      </c>
      <c r="AA30" s="72">
        <f t="shared" si="3"/>
        <v>73.561599306332212</v>
      </c>
      <c r="AB30" s="3"/>
    </row>
    <row r="31" spans="1:28" ht="18" customHeight="1">
      <c r="A31" s="81">
        <v>23</v>
      </c>
      <c r="B31" s="77">
        <v>29.3</v>
      </c>
      <c r="C31" s="75">
        <f>'[1]cálculos teóricos'!K269</f>
        <v>1.0135156784425661</v>
      </c>
      <c r="D31" s="59">
        <f t="shared" si="4"/>
        <v>432.47783258185052</v>
      </c>
      <c r="E31" s="60">
        <f t="shared" si="5"/>
        <v>18.106981894536915</v>
      </c>
      <c r="F31" s="61">
        <f t="shared" si="6"/>
        <v>22.962809848171148</v>
      </c>
      <c r="G31" s="62">
        <f>'[1]cálculos teóricos'!T269</f>
        <v>34.095290148107495</v>
      </c>
      <c r="H31" s="76">
        <f t="shared" si="7"/>
        <v>67.348920476764818</v>
      </c>
      <c r="I31" s="80"/>
      <c r="J31" s="88">
        <v>0.3</v>
      </c>
      <c r="K31" s="88">
        <v>1</v>
      </c>
      <c r="L31" s="88">
        <v>1</v>
      </c>
      <c r="M31" s="88">
        <v>1</v>
      </c>
      <c r="N31" s="88">
        <v>1</v>
      </c>
      <c r="O31" s="79">
        <v>1</v>
      </c>
      <c r="P31" s="89">
        <v>1</v>
      </c>
      <c r="Q31" s="88">
        <v>1</v>
      </c>
      <c r="R31" s="88">
        <v>1</v>
      </c>
      <c r="S31" s="88">
        <v>1</v>
      </c>
      <c r="T31" s="88">
        <v>1</v>
      </c>
      <c r="U31" s="88">
        <v>0.5</v>
      </c>
      <c r="V31" s="212"/>
      <c r="W31" s="59">
        <f t="shared" si="0"/>
        <v>5.3</v>
      </c>
      <c r="X31" s="124">
        <f t="shared" si="2"/>
        <v>5.5</v>
      </c>
      <c r="Y31" s="70">
        <f t="shared" si="8"/>
        <v>10.8</v>
      </c>
      <c r="Z31" s="71">
        <f>'[1]cálculos teóricos'!I269</f>
        <v>11.985472229268808</v>
      </c>
      <c r="AA31" s="72">
        <f t="shared" si="3"/>
        <v>90.109090350450629</v>
      </c>
      <c r="AB31" s="3"/>
    </row>
    <row r="32" spans="1:28" ht="18" customHeight="1">
      <c r="A32" s="81">
        <v>24</v>
      </c>
      <c r="B32" s="77">
        <v>30</v>
      </c>
      <c r="C32" s="75">
        <f>'[1]cálculos teóricos'!K270</f>
        <v>1.0143074888166961</v>
      </c>
      <c r="D32" s="59">
        <f t="shared" si="4"/>
        <v>443.15601340145861</v>
      </c>
      <c r="E32" s="60">
        <f t="shared" si="5"/>
        <v>18.554055969092268</v>
      </c>
      <c r="F32" s="61">
        <f t="shared" si="6"/>
        <v>23.521652441365337</v>
      </c>
      <c r="G32" s="62">
        <f>'[1]cálculos teóricos'!T270</f>
        <v>34.274949224668816</v>
      </c>
      <c r="H32" s="76">
        <f t="shared" si="7"/>
        <v>68.626366992357276</v>
      </c>
      <c r="I32" s="80"/>
      <c r="J32" s="88">
        <v>0.6</v>
      </c>
      <c r="K32" s="88">
        <v>1</v>
      </c>
      <c r="L32" s="88">
        <v>1</v>
      </c>
      <c r="M32" s="88">
        <v>1</v>
      </c>
      <c r="N32" s="88">
        <v>1</v>
      </c>
      <c r="O32" s="79">
        <v>1</v>
      </c>
      <c r="P32" s="89">
        <v>1</v>
      </c>
      <c r="Q32" s="88">
        <v>1</v>
      </c>
      <c r="R32" s="88">
        <v>1</v>
      </c>
      <c r="S32" s="88">
        <v>1</v>
      </c>
      <c r="T32" s="88">
        <v>0.4</v>
      </c>
      <c r="U32" s="88"/>
      <c r="V32" s="212"/>
      <c r="W32" s="59">
        <f t="shared" si="0"/>
        <v>5.6</v>
      </c>
      <c r="X32" s="124">
        <f t="shared" si="2"/>
        <v>4.4000000000000004</v>
      </c>
      <c r="Y32" s="70">
        <f t="shared" si="8"/>
        <v>10</v>
      </c>
      <c r="Z32" s="71">
        <f>'[1]cálculos teóricos'!I270</f>
        <v>12.008198357815731</v>
      </c>
      <c r="AA32" s="72">
        <f t="shared" si="3"/>
        <v>83.276439162843587</v>
      </c>
      <c r="AB32" s="3"/>
    </row>
    <row r="33" spans="1:28" ht="18" customHeight="1">
      <c r="A33" s="81">
        <v>25</v>
      </c>
      <c r="B33" s="77">
        <v>22.4</v>
      </c>
      <c r="C33" s="75">
        <f>'[1]cálculos teóricos'!K271</f>
        <v>1.0150897573081683</v>
      </c>
      <c r="D33" s="59">
        <f t="shared" si="4"/>
        <v>331.14501684448817</v>
      </c>
      <c r="E33" s="60">
        <f t="shared" si="5"/>
        <v>13.864379565245031</v>
      </c>
      <c r="F33" s="61">
        <f t="shared" si="6"/>
        <v>17.659556936556285</v>
      </c>
      <c r="G33" s="62">
        <f>'[1]cálculos teóricos'!T271</f>
        <v>34.453692849623536</v>
      </c>
      <c r="H33" s="76">
        <f t="shared" si="7"/>
        <v>51.255919107519546</v>
      </c>
      <c r="I33" s="82"/>
      <c r="J33" s="88"/>
      <c r="K33" s="88"/>
      <c r="L33" s="88"/>
      <c r="M33" s="88">
        <v>0.7</v>
      </c>
      <c r="N33" s="88">
        <v>1</v>
      </c>
      <c r="O33" s="79">
        <v>1</v>
      </c>
      <c r="P33" s="89">
        <v>1</v>
      </c>
      <c r="Q33" s="88">
        <v>0.7</v>
      </c>
      <c r="R33" s="88"/>
      <c r="S33" s="88"/>
      <c r="T33" s="88"/>
      <c r="U33" s="88"/>
      <c r="V33" s="212"/>
      <c r="W33" s="59">
        <f t="shared" si="0"/>
        <v>2.7</v>
      </c>
      <c r="X33" s="124">
        <f t="shared" si="2"/>
        <v>1.7</v>
      </c>
      <c r="Y33" s="70">
        <f t="shared" si="8"/>
        <v>4.4000000000000004</v>
      </c>
      <c r="Z33" s="71">
        <f>'[1]cálculos teóricos'!I271</f>
        <v>12.030938602775587</v>
      </c>
      <c r="AA33" s="72">
        <f t="shared" si="3"/>
        <v>36.572375151053492</v>
      </c>
      <c r="AB33" s="3"/>
    </row>
    <row r="34" spans="1:28" ht="18" customHeight="1">
      <c r="A34" s="81">
        <v>26</v>
      </c>
      <c r="B34" s="77">
        <v>26.9</v>
      </c>
      <c r="C34" s="75">
        <f>'[1]cálculos teóricos'!K272</f>
        <v>1.0158622839110589</v>
      </c>
      <c r="D34" s="59">
        <f t="shared" si="4"/>
        <v>397.97232899977121</v>
      </c>
      <c r="E34" s="60">
        <f t="shared" si="5"/>
        <v>16.662305470562423</v>
      </c>
      <c r="F34" s="61">
        <f t="shared" si="6"/>
        <v>21.156964318203027</v>
      </c>
      <c r="G34" s="62">
        <f>'[1]cálculos teóricos'!T272</f>
        <v>34.631467608390317</v>
      </c>
      <c r="H34" s="76">
        <f t="shared" si="7"/>
        <v>61.09173471203755</v>
      </c>
      <c r="I34" s="82"/>
      <c r="J34" s="88">
        <v>0.1</v>
      </c>
      <c r="K34" s="88">
        <v>0.8</v>
      </c>
      <c r="L34" s="88">
        <v>0.1</v>
      </c>
      <c r="M34" s="88">
        <v>0.9</v>
      </c>
      <c r="N34" s="88">
        <v>1</v>
      </c>
      <c r="O34" s="79">
        <v>1</v>
      </c>
      <c r="P34" s="89">
        <v>1</v>
      </c>
      <c r="Q34" s="88">
        <v>1</v>
      </c>
      <c r="R34" s="88">
        <v>0.5</v>
      </c>
      <c r="S34" s="88">
        <v>0.9</v>
      </c>
      <c r="T34" s="88">
        <v>0.8</v>
      </c>
      <c r="U34" s="88">
        <v>0.2</v>
      </c>
      <c r="V34" s="212"/>
      <c r="W34" s="59">
        <f t="shared" si="0"/>
        <v>3.9</v>
      </c>
      <c r="X34" s="124">
        <f t="shared" si="2"/>
        <v>4.4000000000000004</v>
      </c>
      <c r="Y34" s="70">
        <f t="shared" si="8"/>
        <v>8.3000000000000007</v>
      </c>
      <c r="Z34" s="71">
        <f>'[1]cálculos teóricos'!I272</f>
        <v>12.053689860952399</v>
      </c>
      <c r="AA34" s="72">
        <f t="shared" si="3"/>
        <v>68.858582689169936</v>
      </c>
      <c r="AB34" s="3"/>
    </row>
    <row r="35" spans="1:28" ht="18" customHeight="1">
      <c r="A35" s="81">
        <v>27</v>
      </c>
      <c r="B35" s="77">
        <v>15</v>
      </c>
      <c r="C35" s="75">
        <f>'[1]cálculos teóricos'!K273</f>
        <v>1.0166248769318984</v>
      </c>
      <c r="D35" s="59">
        <f t="shared" si="4"/>
        <v>222.08424592796553</v>
      </c>
      <c r="E35" s="60">
        <f t="shared" si="5"/>
        <v>9.2982232085120611</v>
      </c>
      <c r="F35" s="61">
        <f t="shared" si="6"/>
        <v>11.951861490640077</v>
      </c>
      <c r="G35" s="62">
        <f>'[1]cálculos teóricos'!T273</f>
        <v>34.808220875109512</v>
      </c>
      <c r="H35" s="76">
        <f t="shared" si="7"/>
        <v>34.336318232186791</v>
      </c>
      <c r="I35" s="82"/>
      <c r="J35" s="88"/>
      <c r="K35" s="88">
        <v>0.1</v>
      </c>
      <c r="L35" s="88">
        <v>0.3</v>
      </c>
      <c r="M35" s="88">
        <v>1</v>
      </c>
      <c r="N35" s="88"/>
      <c r="O35" s="79">
        <v>0.4</v>
      </c>
      <c r="P35" s="89">
        <v>0.2</v>
      </c>
      <c r="Q35" s="88">
        <v>0.6</v>
      </c>
      <c r="R35" s="88">
        <v>0.7</v>
      </c>
      <c r="S35" s="88"/>
      <c r="T35" s="88">
        <v>0.2</v>
      </c>
      <c r="U35" s="88"/>
      <c r="V35" s="212"/>
      <c r="W35" s="59">
        <f t="shared" si="0"/>
        <v>1.7999999999999998</v>
      </c>
      <c r="X35" s="124">
        <f t="shared" si="2"/>
        <v>1.7</v>
      </c>
      <c r="Y35" s="70">
        <f t="shared" si="8"/>
        <v>3.5</v>
      </c>
      <c r="Z35" s="71">
        <f>'[1]cálculos teóricos'!I273</f>
        <v>12.076448996086873</v>
      </c>
      <c r="AA35" s="72">
        <f t="shared" si="3"/>
        <v>28.982029412239505</v>
      </c>
      <c r="AB35" s="3"/>
    </row>
    <row r="36" spans="1:28" ht="18" customHeight="1">
      <c r="A36" s="81">
        <v>28</v>
      </c>
      <c r="B36" s="77">
        <v>9.6</v>
      </c>
      <c r="C36" s="75">
        <f>'[1]cálculos teóricos'!K274</f>
        <v>1.0173773530169188</v>
      </c>
      <c r="D36" s="59">
        <f t="shared" si="4"/>
        <v>142.23912077435421</v>
      </c>
      <c r="E36" s="60">
        <f t="shared" si="5"/>
        <v>5.9552675085806621</v>
      </c>
      <c r="F36" s="61">
        <f t="shared" si="6"/>
        <v>7.7731668657258277</v>
      </c>
      <c r="G36" s="62">
        <f>'[1]cálculos teóricos'!T274</f>
        <v>34.983900833942378</v>
      </c>
      <c r="H36" s="76">
        <f t="shared" si="7"/>
        <v>22.219268521891301</v>
      </c>
      <c r="I36" s="82"/>
      <c r="J36" s="88"/>
      <c r="K36" s="88"/>
      <c r="L36" s="88"/>
      <c r="M36" s="88"/>
      <c r="N36" s="88"/>
      <c r="O36" s="79"/>
      <c r="P36" s="89"/>
      <c r="Q36" s="88"/>
      <c r="R36" s="88"/>
      <c r="S36" s="88"/>
      <c r="T36" s="88"/>
      <c r="U36" s="88"/>
      <c r="V36" s="212"/>
      <c r="W36" s="59">
        <f t="shared" si="0"/>
        <v>0</v>
      </c>
      <c r="X36" s="124">
        <f t="shared" si="2"/>
        <v>0</v>
      </c>
      <c r="Y36" s="70">
        <f t="shared" si="8"/>
        <v>0</v>
      </c>
      <c r="Z36" s="71">
        <f>'[1]cálculos teóricos'!I274</f>
        <v>12.099212832527423</v>
      </c>
      <c r="AA36" s="72">
        <f t="shared" si="3"/>
        <v>0</v>
      </c>
      <c r="AB36" s="3"/>
    </row>
    <row r="37" spans="1:28" ht="18" customHeight="1">
      <c r="A37" s="92">
        <v>29</v>
      </c>
      <c r="B37" s="77">
        <v>13.9</v>
      </c>
      <c r="C37" s="75">
        <f>'[1]cálculos teóricos'!K275</f>
        <v>1.0181195371806306</v>
      </c>
      <c r="D37" s="59">
        <f t="shared" si="4"/>
        <v>206.10063592824861</v>
      </c>
      <c r="E37" s="60">
        <f t="shared" si="5"/>
        <v>8.6290214250439128</v>
      </c>
      <c r="F37" s="61">
        <f t="shared" si="6"/>
        <v>11.115359261304894</v>
      </c>
      <c r="G37" s="62">
        <f>'[1]cálculos teóricos'!T275</f>
        <v>35.158456500793754</v>
      </c>
      <c r="H37" s="76">
        <f t="shared" si="7"/>
        <v>31.615037654039071</v>
      </c>
      <c r="I37" s="80"/>
      <c r="J37" s="88"/>
      <c r="K37" s="88"/>
      <c r="L37" s="88"/>
      <c r="M37" s="88">
        <v>0.1</v>
      </c>
      <c r="N37" s="88"/>
      <c r="O37" s="79">
        <v>0.1</v>
      </c>
      <c r="P37" s="89"/>
      <c r="Q37" s="88"/>
      <c r="R37" s="88"/>
      <c r="S37" s="88"/>
      <c r="T37" s="88"/>
      <c r="U37" s="88"/>
      <c r="V37" s="212"/>
      <c r="W37" s="59">
        <f t="shared" si="0"/>
        <v>0.2</v>
      </c>
      <c r="X37" s="124">
        <f t="shared" si="2"/>
        <v>0</v>
      </c>
      <c r="Y37" s="70">
        <f t="shared" si="8"/>
        <v>0.2</v>
      </c>
      <c r="Z37" s="71">
        <f>'[1]cálculos teóricos'!I275</f>
        <v>12.121978148908402</v>
      </c>
      <c r="AA37" s="72">
        <f t="shared" si="3"/>
        <v>1.6498957310693569</v>
      </c>
      <c r="AB37" s="3"/>
    </row>
    <row r="38" spans="1:28" ht="18" customHeight="1">
      <c r="A38" s="81">
        <v>30</v>
      </c>
      <c r="B38" s="77">
        <v>24</v>
      </c>
      <c r="C38" s="75">
        <f>'[1]cálculos teóricos'!K276</f>
        <v>1.018851262835645</v>
      </c>
      <c r="D38" s="59">
        <f t="shared" si="4"/>
        <v>356.11296879136597</v>
      </c>
      <c r="E38" s="60">
        <f t="shared" si="5"/>
        <v>14.909737777356911</v>
      </c>
      <c r="F38" s="61">
        <f t="shared" si="6"/>
        <v>18.96625470169614</v>
      </c>
      <c r="G38" s="62">
        <f>'[1]cálculos teóricos'!T276</f>
        <v>35.331837745441064</v>
      </c>
      <c r="H38" s="76">
        <f t="shared" si="7"/>
        <v>53.680351524153011</v>
      </c>
      <c r="I38" s="80"/>
      <c r="J38" s="88"/>
      <c r="K38" s="88"/>
      <c r="L38" s="88">
        <v>0.1</v>
      </c>
      <c r="M38" s="88">
        <v>0.4</v>
      </c>
      <c r="N38" s="88">
        <v>1</v>
      </c>
      <c r="O38" s="79">
        <v>1</v>
      </c>
      <c r="P38" s="89">
        <v>1</v>
      </c>
      <c r="Q38" s="88">
        <v>0.8</v>
      </c>
      <c r="R38" s="88">
        <v>0.9</v>
      </c>
      <c r="S38" s="88"/>
      <c r="T38" s="88"/>
      <c r="U38" s="88"/>
      <c r="V38" s="212"/>
      <c r="W38" s="59">
        <f t="shared" si="0"/>
        <v>2.5</v>
      </c>
      <c r="X38" s="124">
        <f t="shared" si="2"/>
        <v>2.7</v>
      </c>
      <c r="Y38" s="70">
        <f t="shared" si="8"/>
        <v>5.2</v>
      </c>
      <c r="Z38" s="71">
        <f>'[1]cálculos teóricos'!I276</f>
        <v>12.144741671843036</v>
      </c>
      <c r="AA38" s="72">
        <f t="shared" si="3"/>
        <v>42.816884380965753</v>
      </c>
      <c r="AB38" s="3"/>
    </row>
    <row r="39" spans="1:28" ht="18" customHeight="1" thickBot="1">
      <c r="A39" s="93"/>
      <c r="B39" s="94"/>
      <c r="C39" s="95"/>
      <c r="D39" s="96"/>
      <c r="E39" s="129"/>
      <c r="F39" s="98"/>
      <c r="G39" s="99"/>
      <c r="H39" s="100"/>
      <c r="I39" s="101"/>
      <c r="J39" s="88"/>
      <c r="K39" s="88"/>
      <c r="L39" s="88"/>
      <c r="M39" s="88"/>
      <c r="N39" s="88"/>
      <c r="O39" s="102"/>
      <c r="P39" s="89"/>
      <c r="Q39" s="88"/>
      <c r="R39" s="88"/>
      <c r="S39" s="88"/>
      <c r="T39" s="88"/>
      <c r="U39" s="88"/>
      <c r="V39" s="213"/>
      <c r="W39" s="59"/>
      <c r="X39" s="96"/>
      <c r="Y39" s="214"/>
      <c r="Z39" s="178"/>
      <c r="AA39" s="134"/>
      <c r="AB39" s="3"/>
    </row>
    <row r="40" spans="1:28" s="113" customFormat="1" ht="15.75" thickTop="1">
      <c r="A40" s="109"/>
      <c r="B40" s="109"/>
      <c r="C40" s="109"/>
      <c r="D40" s="109"/>
      <c r="E40" s="109"/>
      <c r="F40" s="109"/>
      <c r="G40" s="109"/>
      <c r="H40" s="109"/>
      <c r="I40" s="110">
        <f>SUM(I9:I39)</f>
        <v>0</v>
      </c>
      <c r="J40" s="111">
        <f t="shared" ref="J40:AA40" si="9">SUM(J9:J39)</f>
        <v>4.7999999999999989</v>
      </c>
      <c r="K40" s="111">
        <f t="shared" si="9"/>
        <v>14.4</v>
      </c>
      <c r="L40" s="111">
        <f t="shared" si="9"/>
        <v>16.8</v>
      </c>
      <c r="M40" s="111">
        <f t="shared" si="9"/>
        <v>21.699999999999996</v>
      </c>
      <c r="N40" s="111">
        <f t="shared" si="9"/>
        <v>24.1</v>
      </c>
      <c r="O40" s="111">
        <f t="shared" si="9"/>
        <v>23.9</v>
      </c>
      <c r="P40" s="111">
        <f t="shared" si="9"/>
        <v>22.7</v>
      </c>
      <c r="Q40" s="111">
        <f t="shared" si="9"/>
        <v>21.5</v>
      </c>
      <c r="R40" s="111">
        <f t="shared" si="9"/>
        <v>19.7</v>
      </c>
      <c r="S40" s="111">
        <f t="shared" si="9"/>
        <v>17.200000000000003</v>
      </c>
      <c r="T40" s="111">
        <f t="shared" si="9"/>
        <v>12.2</v>
      </c>
      <c r="U40" s="111">
        <f t="shared" si="9"/>
        <v>2.2000000000000002</v>
      </c>
      <c r="V40" s="111">
        <f t="shared" si="9"/>
        <v>0</v>
      </c>
      <c r="W40" s="111">
        <f>SUM(I40:O40)</f>
        <v>105.69999999999999</v>
      </c>
      <c r="X40" s="111">
        <f>SUM(P40:V40)</f>
        <v>95.500000000000014</v>
      </c>
      <c r="Y40" s="111">
        <f>W40+X40</f>
        <v>201.2</v>
      </c>
      <c r="Z40" s="111">
        <f t="shared" si="9"/>
        <v>354.51886153317855</v>
      </c>
      <c r="AA40" s="111">
        <f t="shared" si="9"/>
        <v>1704.9970703320573</v>
      </c>
      <c r="AB40" s="109"/>
    </row>
    <row r="41" spans="1:28" s="113" customFormat="1" ht="15">
      <c r="A41" s="109"/>
      <c r="B41" s="109" t="s">
        <v>51</v>
      </c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</row>
    <row r="42" spans="1:28" s="113" customFormat="1" ht="15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</row>
    <row r="43" spans="1:28" s="113" customFormat="1" ht="15">
      <c r="A43" s="109"/>
      <c r="B43" s="109" t="s">
        <v>52</v>
      </c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</row>
    <row r="44" spans="1:28" s="113" customFormat="1" ht="15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</row>
    <row r="45" spans="1:28" s="113" customFormat="1" ht="15">
      <c r="A45" s="109"/>
      <c r="B45" s="109" t="s">
        <v>53</v>
      </c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</row>
    <row r="46" spans="1:28" s="113" customFormat="1" ht="15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</row>
    <row r="47" spans="1:28" s="113" customFormat="1" ht="15">
      <c r="A47" s="109"/>
      <c r="B47" s="109" t="s">
        <v>54</v>
      </c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</row>
    <row r="48" spans="1:28" s="113" customFormat="1" ht="15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</row>
    <row r="49" spans="1:28" s="113" customFormat="1" ht="15">
      <c r="A49" s="109"/>
      <c r="B49" s="109" t="s">
        <v>55</v>
      </c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9" t="s">
        <v>56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9" t="s">
        <v>57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13" t="s">
        <v>58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55"/>
  <sheetViews>
    <sheetView zoomScale="75" zoomScaleNormal="75" workbookViewId="0">
      <selection activeCell="A2" sqref="A2"/>
    </sheetView>
  </sheetViews>
  <sheetFormatPr defaultColWidth="11.42578125" defaultRowHeight="12.75"/>
  <cols>
    <col min="1" max="1" width="8.7109375" style="8" customWidth="1"/>
    <col min="2" max="2" width="12.7109375" style="8" customWidth="1"/>
    <col min="3" max="3" width="13.42578125" style="8" customWidth="1"/>
    <col min="4" max="8" width="12.7109375" style="8" customWidth="1"/>
    <col min="9" max="25" width="8.7109375" style="8" customWidth="1"/>
    <col min="26" max="27" width="12.7109375" style="8" customWidth="1"/>
    <col min="28" max="16384" width="11.42578125" style="8"/>
  </cols>
  <sheetData>
    <row r="1" spans="1:28" ht="18" customHeight="1">
      <c r="A1" s="1" t="s">
        <v>83</v>
      </c>
      <c r="B1" s="2"/>
      <c r="C1" s="3"/>
      <c r="D1" s="4"/>
      <c r="E1" s="3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7" t="s">
        <v>2</v>
      </c>
      <c r="Y1" s="6"/>
      <c r="Z1" s="6"/>
      <c r="AA1" s="6"/>
      <c r="AB1" s="3"/>
    </row>
    <row r="2" spans="1:28" ht="18" customHeight="1">
      <c r="A2" s="3"/>
      <c r="B2" s="9" t="s">
        <v>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9" t="s">
        <v>84</v>
      </c>
      <c r="X2" s="3"/>
      <c r="Y2" s="3"/>
      <c r="Z2" s="3"/>
      <c r="AA2" s="3"/>
      <c r="AB2" s="3"/>
    </row>
    <row r="3" spans="1:28" ht="18" customHeight="1">
      <c r="A3" s="3"/>
      <c r="B3" s="9" t="s">
        <v>77</v>
      </c>
      <c r="C3" s="3"/>
      <c r="D3" s="3"/>
      <c r="E3" s="3"/>
      <c r="F3" s="3"/>
      <c r="G3" s="4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9" t="s">
        <v>78</v>
      </c>
      <c r="X3" s="3"/>
      <c r="Y3" s="3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10"/>
      <c r="X4" s="3"/>
      <c r="Y4" s="116"/>
      <c r="Z4" s="3"/>
      <c r="AA4" s="3"/>
      <c r="AB4" s="3"/>
    </row>
    <row r="5" spans="1:28" ht="18" customHeight="1" thickTop="1" thickBot="1">
      <c r="A5" s="11" t="s">
        <v>8</v>
      </c>
      <c r="B5" s="12"/>
      <c r="C5" s="13" t="s">
        <v>9</v>
      </c>
      <c r="D5" s="14"/>
      <c r="E5" s="15"/>
      <c r="F5" s="14"/>
      <c r="G5" s="14"/>
      <c r="H5" s="16"/>
      <c r="I5" s="17" t="s">
        <v>10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3"/>
      <c r="Y5" s="18"/>
      <c r="Z5" s="15"/>
      <c r="AA5" s="19"/>
      <c r="AB5" s="3"/>
    </row>
    <row r="6" spans="1:28" ht="18" customHeight="1">
      <c r="A6" s="20"/>
      <c r="B6" s="21" t="s">
        <v>11</v>
      </c>
      <c r="C6" s="22" t="s">
        <v>12</v>
      </c>
      <c r="D6" s="23" t="s">
        <v>13</v>
      </c>
      <c r="E6" s="22" t="s">
        <v>13</v>
      </c>
      <c r="F6" s="24" t="s">
        <v>14</v>
      </c>
      <c r="G6" s="24" t="s">
        <v>15</v>
      </c>
      <c r="H6" s="24" t="s">
        <v>16</v>
      </c>
      <c r="I6" s="25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8"/>
      <c r="W6" s="29"/>
      <c r="X6" s="30"/>
      <c r="Y6" s="31"/>
      <c r="Z6" s="32" t="s">
        <v>17</v>
      </c>
      <c r="AA6" s="33" t="s">
        <v>18</v>
      </c>
      <c r="AB6" s="3"/>
    </row>
    <row r="7" spans="1:28" ht="18" customHeight="1" thickBot="1">
      <c r="A7" s="34"/>
      <c r="B7" s="35" t="s">
        <v>19</v>
      </c>
      <c r="C7" s="36" t="s">
        <v>20</v>
      </c>
      <c r="D7" s="23" t="s">
        <v>21</v>
      </c>
      <c r="E7" s="24" t="s">
        <v>21</v>
      </c>
      <c r="F7" s="24" t="s">
        <v>22</v>
      </c>
      <c r="G7" s="24" t="s">
        <v>23</v>
      </c>
      <c r="H7" s="24" t="s">
        <v>24</v>
      </c>
      <c r="I7" s="37" t="s">
        <v>25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8"/>
      <c r="W7" s="39"/>
      <c r="X7" s="40" t="s">
        <v>26</v>
      </c>
      <c r="Y7" s="41"/>
      <c r="Z7" s="42" t="s">
        <v>27</v>
      </c>
      <c r="AA7" s="43" t="s">
        <v>28</v>
      </c>
      <c r="AB7" s="3"/>
    </row>
    <row r="8" spans="1:28" ht="18" customHeight="1" thickBot="1">
      <c r="A8" s="44"/>
      <c r="B8" s="45" t="s">
        <v>29</v>
      </c>
      <c r="C8" s="46" t="s">
        <v>30</v>
      </c>
      <c r="D8" s="46" t="s">
        <v>31</v>
      </c>
      <c r="E8" s="47" t="s">
        <v>32</v>
      </c>
      <c r="F8" s="47" t="s">
        <v>32</v>
      </c>
      <c r="G8" s="46" t="s">
        <v>32</v>
      </c>
      <c r="H8" s="24" t="s">
        <v>33</v>
      </c>
      <c r="I8" s="48" t="s">
        <v>34</v>
      </c>
      <c r="J8" s="49" t="s">
        <v>35</v>
      </c>
      <c r="K8" s="49" t="s">
        <v>36</v>
      </c>
      <c r="L8" s="49" t="s">
        <v>37</v>
      </c>
      <c r="M8" s="49" t="s">
        <v>38</v>
      </c>
      <c r="N8" s="49" t="s">
        <v>39</v>
      </c>
      <c r="O8" s="117" t="s">
        <v>40</v>
      </c>
      <c r="P8" s="49" t="s">
        <v>41</v>
      </c>
      <c r="Q8" s="49" t="s">
        <v>42</v>
      </c>
      <c r="R8" s="49" t="s">
        <v>43</v>
      </c>
      <c r="S8" s="49" t="s">
        <v>44</v>
      </c>
      <c r="T8" s="49" t="s">
        <v>45</v>
      </c>
      <c r="U8" s="49" t="s">
        <v>46</v>
      </c>
      <c r="V8" s="51" t="s">
        <v>47</v>
      </c>
      <c r="W8" s="54" t="s">
        <v>48</v>
      </c>
      <c r="X8" s="117" t="s">
        <v>49</v>
      </c>
      <c r="Y8" s="53" t="s">
        <v>50</v>
      </c>
      <c r="Z8" s="54" t="s">
        <v>50</v>
      </c>
      <c r="AA8" s="55" t="s">
        <v>50</v>
      </c>
      <c r="AB8" s="3"/>
    </row>
    <row r="9" spans="1:28" ht="18" customHeight="1">
      <c r="A9" s="118">
        <v>1</v>
      </c>
      <c r="B9" s="57">
        <v>7.8</v>
      </c>
      <c r="C9" s="75">
        <f>'[1]cálculos teóricos'!K277</f>
        <v>1.01957237182362</v>
      </c>
      <c r="D9" s="59">
        <f>IF(B9&gt;0,B9*C9*14.25*1.022,-999)</f>
        <v>115.81862944901566</v>
      </c>
      <c r="E9" s="60">
        <f>IF(B9&gt;0,D9*4.1868/100,-999)</f>
        <v>4.8490943777713875</v>
      </c>
      <c r="F9" s="61">
        <f>IF(B9&gt;0,(7.86+1.25*D9)*4.1868/100,-999)</f>
        <v>6.3904504522142354</v>
      </c>
      <c r="G9" s="62">
        <f>'[1]cálculos teóricos'!T277</f>
        <v>35.503995314044545</v>
      </c>
      <c r="H9" s="63">
        <f>IF(B9&gt;0,100*F9/G9,-999)</f>
        <v>17.999243171616584</v>
      </c>
      <c r="I9" s="64"/>
      <c r="J9" s="64"/>
      <c r="K9" s="64"/>
      <c r="L9" s="64"/>
      <c r="M9" s="64"/>
      <c r="N9" s="64"/>
      <c r="O9" s="65"/>
      <c r="P9" s="80">
        <v>0.2</v>
      </c>
      <c r="Q9" s="77">
        <v>0.1</v>
      </c>
      <c r="R9" s="77"/>
      <c r="S9" s="77"/>
      <c r="T9" s="89"/>
      <c r="U9" s="64"/>
      <c r="V9" s="65"/>
      <c r="W9" s="124">
        <f t="shared" ref="W9:W40" si="0">SUM(I9:O9)</f>
        <v>0</v>
      </c>
      <c r="X9" s="124">
        <f>SUM(P9:V9)</f>
        <v>0.30000000000000004</v>
      </c>
      <c r="Y9" s="125">
        <f>W9+X9</f>
        <v>0.30000000000000004</v>
      </c>
      <c r="Z9" s="71">
        <f>'[1]cálculos teóricos'!I277</f>
        <v>12.167500069639472</v>
      </c>
      <c r="AA9" s="72">
        <f>100*Y9/Z9</f>
        <v>2.4655845348919661</v>
      </c>
      <c r="AB9" s="3"/>
    </row>
    <row r="10" spans="1:28" ht="18" customHeight="1">
      <c r="A10" s="118">
        <v>2</v>
      </c>
      <c r="B10" s="57">
        <v>10.8</v>
      </c>
      <c r="C10" s="75">
        <f>'[1]cálculos teóricos'!K278</f>
        <v>1.020282714447148</v>
      </c>
      <c r="D10" s="59">
        <f>IF(B10&gt;0,B10*C10*14.25*1.022,-999)</f>
        <v>160.47598296799123</v>
      </c>
      <c r="E10" s="60">
        <f>IF(B10&gt;0,D10*4.1868/100,-999)</f>
        <v>6.7188084549038569</v>
      </c>
      <c r="F10" s="61">
        <f>IF(B10&gt;0,(7.86+1.25*D10)*4.1868/100,-999)</f>
        <v>8.7275930486298208</v>
      </c>
      <c r="G10" s="62">
        <f>'[1]cálculos teóricos'!T278</f>
        <v>35.67488085200516</v>
      </c>
      <c r="H10" s="76">
        <f>IF(B10&gt;0,100*F10/G10,-999)</f>
        <v>24.464252830543856</v>
      </c>
      <c r="I10" s="57"/>
      <c r="J10" s="77"/>
      <c r="K10" s="77"/>
      <c r="L10" s="77"/>
      <c r="M10" s="77"/>
      <c r="N10" s="77"/>
      <c r="O10" s="78"/>
      <c r="P10" s="80"/>
      <c r="Q10" s="77"/>
      <c r="R10" s="77"/>
      <c r="S10" s="77"/>
      <c r="T10" s="89"/>
      <c r="U10" s="89"/>
      <c r="V10" s="79"/>
      <c r="W10" s="124">
        <f t="shared" si="0"/>
        <v>0</v>
      </c>
      <c r="X10" s="124">
        <f t="shared" ref="X10:X39" si="1">SUM(P10:V10)</f>
        <v>0</v>
      </c>
      <c r="Y10" s="70">
        <f t="shared" ref="Y10:Y29" si="2">W10+X10</f>
        <v>0</v>
      </c>
      <c r="Z10" s="71">
        <f>'[1]cálculos teóricos'!I278</f>
        <v>12.190249946048064</v>
      </c>
      <c r="AA10" s="72">
        <f t="shared" ref="AA10:AA39" si="3">100*Y10/Z10</f>
        <v>0</v>
      </c>
      <c r="AB10" s="3"/>
    </row>
    <row r="11" spans="1:28" ht="18" customHeight="1">
      <c r="A11" s="118">
        <v>3</v>
      </c>
      <c r="B11" s="57">
        <v>21.2</v>
      </c>
      <c r="C11" s="75">
        <f>'[1]cálculos teóricos'!K279</f>
        <v>1.0209821495023679</v>
      </c>
      <c r="D11" s="59">
        <f t="shared" ref="D11:D39" si="4">IF(B11&gt;0,B11*C11*14.25*1.022,-999)</f>
        <v>315.22435892668796</v>
      </c>
      <c r="E11" s="60">
        <f t="shared" ref="E11:E39" si="5">IF(B11&gt;0,D11*4.1868/100,-999)</f>
        <v>13.197813459542571</v>
      </c>
      <c r="F11" s="61">
        <f t="shared" ref="F11:F39" si="6">IF(B11&gt;0,(7.86+1.25*D11)*4.1868/100,-999)</f>
        <v>16.826349304428213</v>
      </c>
      <c r="G11" s="62">
        <f>'[1]cálculos teóricos'!T279</f>
        <v>35.84444692712988</v>
      </c>
      <c r="H11" s="76">
        <f t="shared" ref="H11:H39" si="7">IF(B11&gt;0,100*F11/G11,-999)</f>
        <v>46.942694746093899</v>
      </c>
      <c r="I11" s="57"/>
      <c r="J11" s="77"/>
      <c r="K11" s="77"/>
      <c r="L11" s="77"/>
      <c r="M11" s="77"/>
      <c r="N11" s="77">
        <v>0.4</v>
      </c>
      <c r="O11" s="78">
        <v>0.6</v>
      </c>
      <c r="P11" s="80">
        <v>0.9</v>
      </c>
      <c r="Q11" s="77">
        <v>1</v>
      </c>
      <c r="R11" s="77">
        <v>1</v>
      </c>
      <c r="S11" s="77">
        <v>0.7</v>
      </c>
      <c r="T11" s="89">
        <v>0.7</v>
      </c>
      <c r="U11" s="89">
        <v>0.3</v>
      </c>
      <c r="V11" s="79"/>
      <c r="W11" s="124">
        <f t="shared" si="0"/>
        <v>1</v>
      </c>
      <c r="X11" s="124">
        <f t="shared" si="1"/>
        <v>4.5999999999999996</v>
      </c>
      <c r="Y11" s="70">
        <f t="shared" si="2"/>
        <v>5.6</v>
      </c>
      <c r="Z11" s="71">
        <f>'[1]cálculos teóricos'!I279</f>
        <v>12.212987834048798</v>
      </c>
      <c r="AA11" s="72">
        <f t="shared" si="3"/>
        <v>45.852825500961067</v>
      </c>
      <c r="AB11" s="3"/>
    </row>
    <row r="12" spans="1:28" ht="18" customHeight="1">
      <c r="A12" s="118">
        <v>4</v>
      </c>
      <c r="B12" s="57">
        <v>14.8</v>
      </c>
      <c r="C12" s="75">
        <f>'[1]cálculos teóricos'!K280</f>
        <v>1.0216705443120255</v>
      </c>
      <c r="D12" s="59">
        <f t="shared" si="4"/>
        <v>220.21066478690514</v>
      </c>
      <c r="E12" s="60">
        <f t="shared" si="5"/>
        <v>9.2197801132981443</v>
      </c>
      <c r="F12" s="61">
        <f t="shared" si="6"/>
        <v>11.85380762162268</v>
      </c>
      <c r="G12" s="62">
        <f>'[1]cálculos teóricos'!T280</f>
        <v>36.012647053054536</v>
      </c>
      <c r="H12" s="76">
        <f t="shared" si="7"/>
        <v>32.915679883679246</v>
      </c>
      <c r="I12" s="57"/>
      <c r="J12" s="77"/>
      <c r="K12" s="77"/>
      <c r="L12" s="77">
        <v>0.1</v>
      </c>
      <c r="M12" s="77"/>
      <c r="N12" s="77"/>
      <c r="O12" s="78"/>
      <c r="P12" s="80">
        <v>0.3</v>
      </c>
      <c r="Q12" s="80"/>
      <c r="R12" s="77"/>
      <c r="S12" s="77"/>
      <c r="T12" s="89"/>
      <c r="U12" s="89"/>
      <c r="V12" s="79"/>
      <c r="W12" s="124">
        <f t="shared" si="0"/>
        <v>0.1</v>
      </c>
      <c r="X12" s="124">
        <f t="shared" si="1"/>
        <v>0.3</v>
      </c>
      <c r="Y12" s="70">
        <f t="shared" si="2"/>
        <v>0.4</v>
      </c>
      <c r="Z12" s="71">
        <f>'[1]cálculos teóricos'!I280</f>
        <v>12.235710189687937</v>
      </c>
      <c r="AA12" s="72">
        <f t="shared" si="3"/>
        <v>3.2691195999159381</v>
      </c>
      <c r="AB12" s="3"/>
    </row>
    <row r="13" spans="1:28" ht="18" customHeight="1">
      <c r="A13" s="73">
        <v>5</v>
      </c>
      <c r="B13" s="57">
        <v>21</v>
      </c>
      <c r="C13" s="75">
        <f>'[1]cálculos teóricos'!K281</f>
        <v>1.0223477747586711</v>
      </c>
      <c r="D13" s="59">
        <f t="shared" si="4"/>
        <v>312.66819817165606</v>
      </c>
      <c r="E13" s="60">
        <f t="shared" si="5"/>
        <v>13.090792121050894</v>
      </c>
      <c r="F13" s="61">
        <f t="shared" si="6"/>
        <v>16.69257263131362</v>
      </c>
      <c r="G13" s="62">
        <f>'[1]cálculos teóricos'!T281</f>
        <v>36.179435712867594</v>
      </c>
      <c r="H13" s="76">
        <f t="shared" si="7"/>
        <v>46.138289065068896</v>
      </c>
      <c r="I13" s="57"/>
      <c r="J13" s="77"/>
      <c r="K13" s="77">
        <v>0.3</v>
      </c>
      <c r="L13" s="77">
        <v>0.8</v>
      </c>
      <c r="M13" s="77">
        <v>0.4</v>
      </c>
      <c r="N13" s="77">
        <v>0.3</v>
      </c>
      <c r="O13" s="78">
        <v>0.9</v>
      </c>
      <c r="P13" s="80">
        <v>1</v>
      </c>
      <c r="Q13" s="80">
        <v>0.5</v>
      </c>
      <c r="R13" s="77">
        <v>0.5</v>
      </c>
      <c r="S13" s="77"/>
      <c r="T13" s="89"/>
      <c r="U13" s="89"/>
      <c r="V13" s="79"/>
      <c r="W13" s="124">
        <f t="shared" si="0"/>
        <v>2.7</v>
      </c>
      <c r="X13" s="124">
        <f t="shared" si="1"/>
        <v>2</v>
      </c>
      <c r="Y13" s="70">
        <f t="shared" si="2"/>
        <v>4.7</v>
      </c>
      <c r="Z13" s="71">
        <f>'[1]cálculos teóricos'!I281</f>
        <v>12.25841338597343</v>
      </c>
      <c r="AA13" s="72">
        <f t="shared" si="3"/>
        <v>38.341014061231846</v>
      </c>
      <c r="AB13" s="3"/>
    </row>
    <row r="14" spans="1:28" ht="18" customHeight="1">
      <c r="A14" s="73">
        <v>6</v>
      </c>
      <c r="B14" s="57">
        <v>29.3</v>
      </c>
      <c r="C14" s="75">
        <f>'[1]cálculos teóricos'!K282</f>
        <v>1.0230137253176346</v>
      </c>
      <c r="D14" s="59">
        <f t="shared" si="4"/>
        <v>436.53074938783675</v>
      </c>
      <c r="E14" s="60">
        <f t="shared" si="5"/>
        <v>18.276669415369948</v>
      </c>
      <c r="F14" s="61">
        <f t="shared" si="6"/>
        <v>23.174919249212437</v>
      </c>
      <c r="G14" s="62">
        <f>'[1]cálculos teóricos'!T282</f>
        <v>36.344768382870527</v>
      </c>
      <c r="H14" s="76">
        <f t="shared" si="7"/>
        <v>63.764113187016186</v>
      </c>
      <c r="I14" s="57"/>
      <c r="J14" s="77"/>
      <c r="K14" s="77">
        <v>0.3</v>
      </c>
      <c r="L14" s="77">
        <v>1</v>
      </c>
      <c r="M14" s="77">
        <v>1</v>
      </c>
      <c r="N14" s="77">
        <v>1</v>
      </c>
      <c r="O14" s="78">
        <v>1</v>
      </c>
      <c r="P14" s="80">
        <v>1</v>
      </c>
      <c r="Q14" s="89">
        <v>1</v>
      </c>
      <c r="R14" s="89">
        <v>1</v>
      </c>
      <c r="S14" s="89">
        <v>0.5</v>
      </c>
      <c r="T14" s="89">
        <v>0.2</v>
      </c>
      <c r="U14" s="89"/>
      <c r="V14" s="79"/>
      <c r="W14" s="124">
        <f t="shared" si="0"/>
        <v>4.3</v>
      </c>
      <c r="X14" s="124">
        <f t="shared" si="1"/>
        <v>3.7</v>
      </c>
      <c r="Y14" s="70">
        <f t="shared" si="2"/>
        <v>8</v>
      </c>
      <c r="Z14" s="71">
        <f>'[1]cálculos teóricos'!I282</f>
        <v>12.281093706839203</v>
      </c>
      <c r="AA14" s="72">
        <f t="shared" si="3"/>
        <v>65.140778101423408</v>
      </c>
      <c r="AB14" s="3"/>
    </row>
    <row r="15" spans="1:28" ht="18" customHeight="1">
      <c r="A15" s="73">
        <v>7</v>
      </c>
      <c r="B15" s="57">
        <v>20.399999999999999</v>
      </c>
      <c r="C15" s="75">
        <f>'[1]cálculos teóricos'!K283</f>
        <v>1.0236682890893776</v>
      </c>
      <c r="D15" s="59">
        <f t="shared" si="4"/>
        <v>304.12713981432427</v>
      </c>
      <c r="E15" s="60">
        <f t="shared" si="5"/>
        <v>12.733195089746127</v>
      </c>
      <c r="F15" s="61">
        <f t="shared" si="6"/>
        <v>16.245576342182659</v>
      </c>
      <c r="G15" s="62">
        <f>'[1]cálculos teóricos'!T283</f>
        <v>36.508601556402283</v>
      </c>
      <c r="H15" s="76">
        <f t="shared" si="7"/>
        <v>44.497941990697186</v>
      </c>
      <c r="I15" s="57"/>
      <c r="J15" s="77">
        <v>0.1</v>
      </c>
      <c r="K15" s="77">
        <v>1</v>
      </c>
      <c r="L15" s="77">
        <v>1</v>
      </c>
      <c r="M15" s="77">
        <v>0.5</v>
      </c>
      <c r="N15" s="77">
        <v>1</v>
      </c>
      <c r="O15" s="78">
        <v>0.6</v>
      </c>
      <c r="P15" s="80">
        <v>0.8</v>
      </c>
      <c r="Q15" s="89">
        <v>0.2</v>
      </c>
      <c r="R15" s="89"/>
      <c r="S15" s="89"/>
      <c r="T15" s="89"/>
      <c r="U15" s="89"/>
      <c r="V15" s="79"/>
      <c r="W15" s="124">
        <f t="shared" si="0"/>
        <v>4.2</v>
      </c>
      <c r="X15" s="124">
        <f t="shared" si="1"/>
        <v>1</v>
      </c>
      <c r="Y15" s="70">
        <f t="shared" si="2"/>
        <v>5.2</v>
      </c>
      <c r="Z15" s="71">
        <f>'[1]cálculos teóricos'!I283</f>
        <v>12.303747341188917</v>
      </c>
      <c r="AA15" s="72">
        <f t="shared" si="3"/>
        <v>42.263546672419899</v>
      </c>
      <c r="AB15" s="3"/>
    </row>
    <row r="16" spans="1:28" ht="18" customHeight="1">
      <c r="A16" s="81">
        <v>8</v>
      </c>
      <c r="B16" s="77">
        <v>12.5</v>
      </c>
      <c r="C16" s="75">
        <f>'[1]cálculos teóricos'!K284</f>
        <v>1.0243113678307814</v>
      </c>
      <c r="D16" s="59">
        <f t="shared" si="4"/>
        <v>186.46948256754482</v>
      </c>
      <c r="E16" s="60">
        <f t="shared" si="5"/>
        <v>7.8071042961379655</v>
      </c>
      <c r="F16" s="61">
        <f t="shared" si="6"/>
        <v>10.087962850172458</v>
      </c>
      <c r="G16" s="62">
        <f>'[1]cálculos teóricos'!T284</f>
        <v>36.670892767648695</v>
      </c>
      <c r="H16" s="76">
        <f t="shared" si="7"/>
        <v>27.509455289488137</v>
      </c>
      <c r="I16" s="80"/>
      <c r="J16" s="88"/>
      <c r="K16" s="88"/>
      <c r="L16" s="88"/>
      <c r="M16" s="88"/>
      <c r="N16" s="88"/>
      <c r="O16" s="78"/>
      <c r="P16" s="89"/>
      <c r="Q16" s="89"/>
      <c r="R16" s="88">
        <v>0.2</v>
      </c>
      <c r="S16" s="88">
        <v>0.1</v>
      </c>
      <c r="T16" s="88"/>
      <c r="U16" s="88"/>
      <c r="V16" s="79"/>
      <c r="W16" s="124">
        <f t="shared" si="0"/>
        <v>0</v>
      </c>
      <c r="X16" s="124">
        <f t="shared" si="1"/>
        <v>0.30000000000000004</v>
      </c>
      <c r="Y16" s="70">
        <f t="shared" si="2"/>
        <v>0.30000000000000004</v>
      </c>
      <c r="Z16" s="71">
        <f>'[1]cálculos teóricos'!I284</f>
        <v>12.326370377030226</v>
      </c>
      <c r="AA16" s="72">
        <f t="shared" si="3"/>
        <v>2.43380647200931</v>
      </c>
      <c r="AB16" s="3"/>
    </row>
    <row r="17" spans="1:28" ht="18" customHeight="1">
      <c r="A17" s="81">
        <v>9</v>
      </c>
      <c r="B17" s="77">
        <v>15.5</v>
      </c>
      <c r="C17" s="75">
        <f>'[1]cálculos teóricos'!K285</f>
        <v>1.0249428719848979</v>
      </c>
      <c r="D17" s="59">
        <f t="shared" si="4"/>
        <v>231.36471050035695</v>
      </c>
      <c r="E17" s="60">
        <f t="shared" si="5"/>
        <v>9.6867776992289443</v>
      </c>
      <c r="F17" s="61">
        <f t="shared" si="6"/>
        <v>12.43755460403618</v>
      </c>
      <c r="G17" s="62">
        <f>'[1]cálculos teóricos'!T285</f>
        <v>36.831600615350567</v>
      </c>
      <c r="H17" s="76">
        <f t="shared" si="7"/>
        <v>33.768705123427331</v>
      </c>
      <c r="I17" s="80"/>
      <c r="J17" s="88"/>
      <c r="K17" s="88"/>
      <c r="L17" s="88">
        <v>0.2</v>
      </c>
      <c r="M17" s="88">
        <v>0.5</v>
      </c>
      <c r="N17" s="88">
        <v>0.9</v>
      </c>
      <c r="O17" s="78">
        <v>0.4</v>
      </c>
      <c r="P17" s="89">
        <v>0.3</v>
      </c>
      <c r="Q17" s="89">
        <v>0.3</v>
      </c>
      <c r="R17" s="88"/>
      <c r="S17" s="88"/>
      <c r="T17" s="88"/>
      <c r="U17" s="88"/>
      <c r="V17" s="79"/>
      <c r="W17" s="124">
        <f t="shared" si="0"/>
        <v>2</v>
      </c>
      <c r="X17" s="124">
        <f t="shared" si="1"/>
        <v>0.6</v>
      </c>
      <c r="Y17" s="70">
        <f t="shared" si="2"/>
        <v>2.6</v>
      </c>
      <c r="Z17" s="71">
        <f>'[1]cálculos teóricos'!I285</f>
        <v>12.348958795711455</v>
      </c>
      <c r="AA17" s="72">
        <f t="shared" si="3"/>
        <v>21.054406634694804</v>
      </c>
      <c r="AB17" s="3"/>
    </row>
    <row r="18" spans="1:28" ht="18" customHeight="1">
      <c r="A18" s="81">
        <v>10</v>
      </c>
      <c r="B18" s="77">
        <v>22.8</v>
      </c>
      <c r="C18" s="75">
        <f>'[1]cálculos teóricos'!K286</f>
        <v>1.025562720708646</v>
      </c>
      <c r="D18" s="59">
        <f t="shared" si="4"/>
        <v>340.53584517332035</v>
      </c>
      <c r="E18" s="60">
        <f t="shared" si="5"/>
        <v>14.257554765716577</v>
      </c>
      <c r="F18" s="61">
        <f t="shared" si="6"/>
        <v>18.151025937145722</v>
      </c>
      <c r="G18" s="62">
        <f>'[1]cálculos teóricos'!T286</f>
        <v>36.990684786317473</v>
      </c>
      <c r="H18" s="76">
        <f t="shared" si="7"/>
        <v>49.069180638309312</v>
      </c>
      <c r="I18" s="80"/>
      <c r="J18" s="88"/>
      <c r="K18" s="88"/>
      <c r="L18" s="88">
        <v>0.5</v>
      </c>
      <c r="M18" s="88">
        <v>0.6</v>
      </c>
      <c r="N18" s="88">
        <v>0.5</v>
      </c>
      <c r="O18" s="78">
        <v>0.6</v>
      </c>
      <c r="P18" s="80">
        <v>0.9</v>
      </c>
      <c r="Q18" s="89">
        <v>0.9</v>
      </c>
      <c r="R18" s="88">
        <v>0.5</v>
      </c>
      <c r="S18" s="88"/>
      <c r="T18" s="88"/>
      <c r="U18" s="88"/>
      <c r="V18" s="79"/>
      <c r="W18" s="124">
        <f t="shared" si="0"/>
        <v>2.2000000000000002</v>
      </c>
      <c r="X18" s="124">
        <f t="shared" si="1"/>
        <v>2.2999999999999998</v>
      </c>
      <c r="Y18" s="70">
        <f t="shared" si="2"/>
        <v>4.5</v>
      </c>
      <c r="Z18" s="71">
        <f>'[1]cálculos teóricos'!I286</f>
        <v>12.371508466272868</v>
      </c>
      <c r="AA18" s="72">
        <f t="shared" si="3"/>
        <v>36.373899046085391</v>
      </c>
      <c r="AB18" s="3"/>
    </row>
    <row r="19" spans="1:28" ht="18" customHeight="1">
      <c r="A19" s="81">
        <v>11</v>
      </c>
      <c r="B19" s="77">
        <v>32</v>
      </c>
      <c r="C19" s="75">
        <f>'[1]cálculos teóricos'!K287</f>
        <v>1.0261708418979132</v>
      </c>
      <c r="D19" s="59">
        <f t="shared" si="4"/>
        <v>478.22844979136829</v>
      </c>
      <c r="E19" s="60">
        <f t="shared" si="5"/>
        <v>20.022468735865008</v>
      </c>
      <c r="F19" s="61">
        <f t="shared" si="6"/>
        <v>25.357168399831256</v>
      </c>
      <c r="G19" s="62">
        <f>'[1]cálculos teóricos'!T287</f>
        <v>37.148106078648368</v>
      </c>
      <c r="H19" s="76">
        <f t="shared" si="7"/>
        <v>68.259653254317072</v>
      </c>
      <c r="I19" s="80"/>
      <c r="J19" s="88"/>
      <c r="K19" s="88">
        <v>0.3</v>
      </c>
      <c r="L19" s="88">
        <v>1</v>
      </c>
      <c r="M19" s="88">
        <v>1</v>
      </c>
      <c r="N19" s="88">
        <v>1</v>
      </c>
      <c r="O19" s="78">
        <v>1</v>
      </c>
      <c r="P19" s="89">
        <v>1</v>
      </c>
      <c r="Q19" s="88">
        <v>1</v>
      </c>
      <c r="R19" s="88">
        <v>1</v>
      </c>
      <c r="S19" s="88">
        <v>1</v>
      </c>
      <c r="T19" s="88">
        <v>1</v>
      </c>
      <c r="U19" s="88">
        <v>0.7</v>
      </c>
      <c r="V19" s="79"/>
      <c r="W19" s="124">
        <f t="shared" si="0"/>
        <v>4.3</v>
      </c>
      <c r="X19" s="124">
        <f t="shared" si="1"/>
        <v>5.7</v>
      </c>
      <c r="Y19" s="70">
        <f t="shared" si="2"/>
        <v>10</v>
      </c>
      <c r="Z19" s="71">
        <f>'[1]cálculos teóricos'!I287</f>
        <v>12.394015139925731</v>
      </c>
      <c r="AA19" s="72">
        <f t="shared" si="3"/>
        <v>80.68410347334725</v>
      </c>
      <c r="AB19" s="3"/>
    </row>
    <row r="20" spans="1:28" ht="18" customHeight="1">
      <c r="A20" s="81">
        <v>12</v>
      </c>
      <c r="B20" s="77">
        <v>10.6</v>
      </c>
      <c r="C20" s="75">
        <f>'[1]cálculos teóricos'!K288</f>
        <v>1.0267671722094867</v>
      </c>
      <c r="D20" s="59">
        <f t="shared" si="4"/>
        <v>158.50523135221229</v>
      </c>
      <c r="E20" s="60">
        <f t="shared" si="5"/>
        <v>6.6362970262544243</v>
      </c>
      <c r="F20" s="61">
        <f t="shared" si="6"/>
        <v>8.62445376281803</v>
      </c>
      <c r="G20" s="62">
        <f>'[1]cálculos teóricos'!T288</f>
        <v>37.303826424554515</v>
      </c>
      <c r="H20" s="76">
        <f t="shared" si="7"/>
        <v>23.119488238721676</v>
      </c>
      <c r="I20" s="80"/>
      <c r="J20" s="88"/>
      <c r="K20" s="88"/>
      <c r="L20" s="88">
        <v>0.7</v>
      </c>
      <c r="M20" s="88"/>
      <c r="N20" s="88">
        <v>0.2</v>
      </c>
      <c r="O20" s="78"/>
      <c r="P20" s="89">
        <v>0.2</v>
      </c>
      <c r="Q20" s="88"/>
      <c r="R20" s="88"/>
      <c r="S20" s="88"/>
      <c r="T20" s="88"/>
      <c r="U20" s="88"/>
      <c r="V20" s="79"/>
      <c r="W20" s="124">
        <f t="shared" si="0"/>
        <v>0.89999999999999991</v>
      </c>
      <c r="X20" s="124">
        <f t="shared" si="1"/>
        <v>0.2</v>
      </c>
      <c r="Y20" s="70">
        <f t="shared" si="2"/>
        <v>1.0999999999999999</v>
      </c>
      <c r="Z20" s="71">
        <f>'[1]cálculos teóricos'!I288</f>
        <v>12.416474444672822</v>
      </c>
      <c r="AA20" s="72">
        <f t="shared" si="3"/>
        <v>8.8591975516201789</v>
      </c>
      <c r="AB20" s="3"/>
    </row>
    <row r="21" spans="1:28" ht="18" customHeight="1">
      <c r="A21" s="81">
        <v>13</v>
      </c>
      <c r="B21" s="77">
        <v>8.8000000000000007</v>
      </c>
      <c r="C21" s="75">
        <f>'[1]cálculos teóricos'!K289</f>
        <v>1.0273516570792156</v>
      </c>
      <c r="D21" s="59">
        <f t="shared" si="4"/>
        <v>131.66415554928381</v>
      </c>
      <c r="E21" s="60">
        <f t="shared" si="5"/>
        <v>5.5125148645374145</v>
      </c>
      <c r="F21" s="61">
        <f t="shared" si="6"/>
        <v>7.2197260606717677</v>
      </c>
      <c r="G21" s="62">
        <f>'[1]cálculos teóricos'!T289</f>
        <v>37.457808912674437</v>
      </c>
      <c r="H21" s="76">
        <f t="shared" si="7"/>
        <v>19.274288246552672</v>
      </c>
      <c r="I21" s="80"/>
      <c r="J21" s="88"/>
      <c r="K21" s="88"/>
      <c r="L21" s="88"/>
      <c r="M21" s="88"/>
      <c r="N21" s="88"/>
      <c r="O21" s="78"/>
      <c r="P21" s="89"/>
      <c r="Q21" s="88"/>
      <c r="R21" s="88"/>
      <c r="S21" s="88"/>
      <c r="T21" s="88"/>
      <c r="U21" s="88"/>
      <c r="V21" s="79"/>
      <c r="W21" s="124">
        <f t="shared" si="0"/>
        <v>0</v>
      </c>
      <c r="X21" s="124">
        <f t="shared" si="1"/>
        <v>0</v>
      </c>
      <c r="Y21" s="70">
        <f t="shared" si="2"/>
        <v>0</v>
      </c>
      <c r="Z21" s="71">
        <f>'[1]cálculos teóricos'!I289</f>
        <v>12.438881880084809</v>
      </c>
      <c r="AA21" s="72">
        <f t="shared" si="3"/>
        <v>0</v>
      </c>
      <c r="AB21" s="3"/>
    </row>
    <row r="22" spans="1:28" ht="18" customHeight="1">
      <c r="A22" s="81">
        <v>14</v>
      </c>
      <c r="B22" s="77">
        <v>8.1999999999999993</v>
      </c>
      <c r="C22" s="75">
        <f>'[1]cálculos teóricos'!K290</f>
        <v>1.0279242507357855</v>
      </c>
      <c r="D22" s="59">
        <f t="shared" si="4"/>
        <v>122.75543356984302</v>
      </c>
      <c r="E22" s="60">
        <f t="shared" si="5"/>
        <v>5.1395244927021873</v>
      </c>
      <c r="F22" s="61">
        <f t="shared" si="6"/>
        <v>6.7534880958777341</v>
      </c>
      <c r="G22" s="62">
        <f>'[1]cálculos teóricos'!T290</f>
        <v>37.610017809767371</v>
      </c>
      <c r="H22" s="76">
        <f t="shared" si="7"/>
        <v>17.956620308017627</v>
      </c>
      <c r="I22" s="80"/>
      <c r="J22" s="88"/>
      <c r="K22" s="88"/>
      <c r="L22" s="88"/>
      <c r="M22" s="88"/>
      <c r="N22" s="88"/>
      <c r="O22" s="78"/>
      <c r="P22" s="89"/>
      <c r="Q22" s="88"/>
      <c r="R22" s="88"/>
      <c r="S22" s="88"/>
      <c r="T22" s="88"/>
      <c r="U22" s="88"/>
      <c r="V22" s="79"/>
      <c r="W22" s="124">
        <f t="shared" si="0"/>
        <v>0</v>
      </c>
      <c r="X22" s="124">
        <f t="shared" si="1"/>
        <v>0</v>
      </c>
      <c r="Y22" s="70">
        <f t="shared" si="2"/>
        <v>0</v>
      </c>
      <c r="Z22" s="71">
        <f>'[1]cálculos teóricos'!I290</f>
        <v>12.461232812247786</v>
      </c>
      <c r="AA22" s="72">
        <f t="shared" si="3"/>
        <v>0</v>
      </c>
      <c r="AB22" s="3"/>
    </row>
    <row r="23" spans="1:28" ht="18" customHeight="1">
      <c r="A23" s="81">
        <v>15</v>
      </c>
      <c r="B23" s="77">
        <v>24.9</v>
      </c>
      <c r="C23" s="75">
        <f>'[1]cálculos teóricos'!K291</f>
        <v>1.0284849162094551</v>
      </c>
      <c r="D23" s="59">
        <f t="shared" si="4"/>
        <v>372.96066792268834</v>
      </c>
      <c r="E23" s="60">
        <f t="shared" si="5"/>
        <v>15.615117244587116</v>
      </c>
      <c r="F23" s="61">
        <f t="shared" si="6"/>
        <v>19.847979035733896</v>
      </c>
      <c r="G23" s="62">
        <f>'[1]cálculos teóricos'!T291</f>
        <v>37.760418581666087</v>
      </c>
      <c r="H23" s="76">
        <f t="shared" si="7"/>
        <v>52.562921125484394</v>
      </c>
      <c r="I23" s="80"/>
      <c r="J23" s="88"/>
      <c r="K23" s="88"/>
      <c r="L23" s="88"/>
      <c r="M23" s="88">
        <v>0.1</v>
      </c>
      <c r="N23" s="88">
        <v>0.3</v>
      </c>
      <c r="O23" s="78">
        <v>0.8</v>
      </c>
      <c r="P23" s="89">
        <v>1</v>
      </c>
      <c r="Q23" s="88">
        <v>0.9</v>
      </c>
      <c r="R23" s="88">
        <v>1</v>
      </c>
      <c r="S23" s="88">
        <v>0.5</v>
      </c>
      <c r="T23" s="88"/>
      <c r="U23" s="88"/>
      <c r="V23" s="79"/>
      <c r="W23" s="124">
        <f t="shared" si="0"/>
        <v>1.2000000000000002</v>
      </c>
      <c r="X23" s="124">
        <f t="shared" si="1"/>
        <v>3.4</v>
      </c>
      <c r="Y23" s="70">
        <f t="shared" si="2"/>
        <v>4.5999999999999996</v>
      </c>
      <c r="Z23" s="71">
        <f>'[1]cálculos teóricos'!I291</f>
        <v>12.483522468897803</v>
      </c>
      <c r="AA23" s="72">
        <f t="shared" si="3"/>
        <v>36.84857388177668</v>
      </c>
      <c r="AB23" s="3"/>
    </row>
    <row r="24" spans="1:28" ht="18" customHeight="1">
      <c r="A24" s="81">
        <v>16</v>
      </c>
      <c r="B24" s="77">
        <v>28.8</v>
      </c>
      <c r="C24" s="75">
        <f>'[1]cálculos teóricos'!K292</f>
        <v>1.0290336253351089</v>
      </c>
      <c r="D24" s="59">
        <f t="shared" si="4"/>
        <v>431.60633863395435</v>
      </c>
      <c r="E24" s="60">
        <f t="shared" si="5"/>
        <v>18.0704941859264</v>
      </c>
      <c r="F24" s="61">
        <f t="shared" si="6"/>
        <v>22.917200212408002</v>
      </c>
      <c r="G24" s="62">
        <f>'[1]cálculos teóricos'!T292</f>
        <v>37.908977913368176</v>
      </c>
      <c r="H24" s="76">
        <f t="shared" si="7"/>
        <v>60.453226316941951</v>
      </c>
      <c r="I24" s="80"/>
      <c r="J24" s="88">
        <v>0.1</v>
      </c>
      <c r="K24" s="88">
        <v>0.1</v>
      </c>
      <c r="L24" s="88">
        <v>0.1</v>
      </c>
      <c r="M24" s="88">
        <v>1</v>
      </c>
      <c r="N24" s="88">
        <v>1</v>
      </c>
      <c r="O24" s="78">
        <v>1</v>
      </c>
      <c r="P24" s="89">
        <v>1</v>
      </c>
      <c r="Q24" s="88">
        <v>1</v>
      </c>
      <c r="R24" s="88">
        <v>1</v>
      </c>
      <c r="S24" s="88">
        <v>0.5</v>
      </c>
      <c r="T24" s="88"/>
      <c r="U24" s="88"/>
      <c r="V24" s="79"/>
      <c r="W24" s="124">
        <f t="shared" si="0"/>
        <v>3.3</v>
      </c>
      <c r="X24" s="124">
        <f t="shared" si="1"/>
        <v>3.5</v>
      </c>
      <c r="Y24" s="70">
        <f t="shared" si="2"/>
        <v>6.8</v>
      </c>
      <c r="Z24" s="71">
        <f>'[1]cálculos teóricos'!I292</f>
        <v>12.505745934759188</v>
      </c>
      <c r="AA24" s="72">
        <f t="shared" si="3"/>
        <v>54.375005181415766</v>
      </c>
      <c r="AB24" s="3"/>
    </row>
    <row r="25" spans="1:28" ht="18" customHeight="1">
      <c r="A25" s="81">
        <v>17</v>
      </c>
      <c r="B25" s="77">
        <v>13.8</v>
      </c>
      <c r="C25" s="75">
        <f>'[1]cálculos teóricos'!K293</f>
        <v>1.0295703587489491</v>
      </c>
      <c r="D25" s="59">
        <f t="shared" si="4"/>
        <v>206.91924129103643</v>
      </c>
      <c r="E25" s="60">
        <f t="shared" si="5"/>
        <v>8.6632947943731136</v>
      </c>
      <c r="F25" s="61">
        <f t="shared" si="6"/>
        <v>11.158200972966393</v>
      </c>
      <c r="G25" s="62">
        <f>'[1]cálculos teóricos'!T293</f>
        <v>38.055663728141198</v>
      </c>
      <c r="H25" s="76">
        <f t="shared" si="7"/>
        <v>29.32073673100907</v>
      </c>
      <c r="I25" s="80"/>
      <c r="J25" s="88"/>
      <c r="K25" s="88"/>
      <c r="L25" s="88"/>
      <c r="M25" s="88"/>
      <c r="N25" s="88"/>
      <c r="O25" s="78"/>
      <c r="P25" s="89"/>
      <c r="Q25" s="88"/>
      <c r="R25" s="88"/>
      <c r="S25" s="88"/>
      <c r="T25" s="88">
        <v>0.1</v>
      </c>
      <c r="U25" s="88"/>
      <c r="V25" s="79"/>
      <c r="W25" s="124">
        <f t="shared" si="0"/>
        <v>0</v>
      </c>
      <c r="X25" s="124">
        <f t="shared" si="1"/>
        <v>0.1</v>
      </c>
      <c r="Y25" s="70">
        <f t="shared" si="2"/>
        <v>0.1</v>
      </c>
      <c r="Z25" s="71">
        <f>'[1]cálculos teóricos'!I293</f>
        <v>12.527898147104127</v>
      </c>
      <c r="AA25" s="72">
        <f t="shared" si="3"/>
        <v>0.79821849464122119</v>
      </c>
      <c r="AB25" s="3"/>
    </row>
    <row r="26" spans="1:28" ht="18" customHeight="1">
      <c r="A26" s="81">
        <v>18</v>
      </c>
      <c r="B26" s="77">
        <v>11.3</v>
      </c>
      <c r="C26" s="75">
        <f>'[1]cálculos teóricos'!K294</f>
        <v>1.0300951058781556</v>
      </c>
      <c r="D26" s="59">
        <f t="shared" si="4"/>
        <v>169.52022784135866</v>
      </c>
      <c r="E26" s="60">
        <f t="shared" si="5"/>
        <v>7.0974728992620042</v>
      </c>
      <c r="F26" s="61">
        <f t="shared" si="6"/>
        <v>9.2009236040775058</v>
      </c>
      <c r="G26" s="62">
        <f>'[1]cálculos teóricos'!T294</f>
        <v>38.200445205516317</v>
      </c>
      <c r="H26" s="76">
        <f t="shared" si="7"/>
        <v>24.085906733748878</v>
      </c>
      <c r="I26" s="80"/>
      <c r="J26" s="88"/>
      <c r="K26" s="88"/>
      <c r="L26" s="88"/>
      <c r="M26" s="88"/>
      <c r="N26" s="88"/>
      <c r="O26" s="78"/>
      <c r="P26" s="89"/>
      <c r="Q26" s="88"/>
      <c r="R26" s="88"/>
      <c r="S26" s="88"/>
      <c r="T26" s="88"/>
      <c r="U26" s="88"/>
      <c r="V26" s="79"/>
      <c r="W26" s="124">
        <f t="shared" si="0"/>
        <v>0</v>
      </c>
      <c r="X26" s="124">
        <f t="shared" si="1"/>
        <v>0</v>
      </c>
      <c r="Y26" s="70">
        <f t="shared" si="2"/>
        <v>0</v>
      </c>
      <c r="Z26" s="71">
        <f>'[1]cálculos teóricos'!I294</f>
        <v>12.549973891551732</v>
      </c>
      <c r="AA26" s="72">
        <f t="shared" si="3"/>
        <v>0</v>
      </c>
      <c r="AB26" s="3"/>
    </row>
    <row r="27" spans="1:28" ht="18" customHeight="1">
      <c r="A27" s="81">
        <v>19</v>
      </c>
      <c r="B27" s="77">
        <v>10.9</v>
      </c>
      <c r="C27" s="75">
        <f>'[1]cálculos teóricos'!K295</f>
        <v>1.0306078649228301</v>
      </c>
      <c r="D27" s="59">
        <f t="shared" si="4"/>
        <v>163.60090828475964</v>
      </c>
      <c r="E27" s="60">
        <f t="shared" si="5"/>
        <v>6.8496428280663171</v>
      </c>
      <c r="F27" s="61">
        <f t="shared" si="6"/>
        <v>8.8911360150828962</v>
      </c>
      <c r="G27" s="62">
        <f>'[1]cálculos teóricos'!T295</f>
        <v>38.34329279804254</v>
      </c>
      <c r="H27" s="76">
        <f t="shared" si="7"/>
        <v>23.188243278722261</v>
      </c>
      <c r="I27" s="80"/>
      <c r="J27" s="88"/>
      <c r="K27" s="88"/>
      <c r="L27" s="88"/>
      <c r="M27" s="88"/>
      <c r="N27" s="88"/>
      <c r="O27" s="78"/>
      <c r="P27" s="89"/>
      <c r="Q27" s="89"/>
      <c r="R27" s="88"/>
      <c r="S27" s="88"/>
      <c r="T27" s="88"/>
      <c r="U27" s="88"/>
      <c r="V27" s="79"/>
      <c r="W27" s="124">
        <f t="shared" si="0"/>
        <v>0</v>
      </c>
      <c r="X27" s="124">
        <f t="shared" si="1"/>
        <v>0</v>
      </c>
      <c r="Y27" s="70">
        <f t="shared" si="2"/>
        <v>0</v>
      </c>
      <c r="Z27" s="71">
        <f>'[1]cálculos teóricos'!I295</f>
        <v>12.571967798125707</v>
      </c>
      <c r="AA27" s="72">
        <f t="shared" si="3"/>
        <v>0</v>
      </c>
      <c r="AB27" s="3"/>
    </row>
    <row r="28" spans="1:28" ht="18" customHeight="1">
      <c r="A28" s="81">
        <v>20</v>
      </c>
      <c r="B28" s="77">
        <v>11.2</v>
      </c>
      <c r="C28" s="75">
        <f>'[1]cálculos teóricos'!K296</f>
        <v>1.0311086428295455</v>
      </c>
      <c r="D28" s="59">
        <f t="shared" si="4"/>
        <v>168.18536806229855</v>
      </c>
      <c r="E28" s="60">
        <f t="shared" si="5"/>
        <v>7.041584990032316</v>
      </c>
      <c r="F28" s="61">
        <f t="shared" si="6"/>
        <v>9.1310637175403944</v>
      </c>
      <c r="G28" s="62">
        <f>'[1]cálculos teóricos'!T296</f>
        <v>38.484178246675384</v>
      </c>
      <c r="H28" s="76">
        <f t="shared" si="7"/>
        <v>23.726799255039879</v>
      </c>
      <c r="I28" s="80"/>
      <c r="J28" s="88"/>
      <c r="K28" s="88"/>
      <c r="L28" s="88"/>
      <c r="M28" s="88">
        <v>0.3</v>
      </c>
      <c r="N28" s="88"/>
      <c r="O28" s="78"/>
      <c r="P28" s="89"/>
      <c r="Q28" s="89"/>
      <c r="R28" s="88"/>
      <c r="S28" s="88"/>
      <c r="T28" s="88"/>
      <c r="U28" s="88"/>
      <c r="V28" s="79"/>
      <c r="W28" s="124">
        <f t="shared" si="0"/>
        <v>0.3</v>
      </c>
      <c r="X28" s="124">
        <f t="shared" si="1"/>
        <v>0</v>
      </c>
      <c r="Y28" s="70">
        <f t="shared" si="2"/>
        <v>0.3</v>
      </c>
      <c r="Z28" s="71">
        <f>'[1]cálculos teóricos'!I296</f>
        <v>12.593874337590313</v>
      </c>
      <c r="AA28" s="72">
        <f t="shared" si="3"/>
        <v>2.3821104765557113</v>
      </c>
      <c r="AB28" s="3"/>
    </row>
    <row r="29" spans="1:28" ht="18" customHeight="1">
      <c r="A29" s="81">
        <v>21</v>
      </c>
      <c r="B29" s="77">
        <v>16.100000000000001</v>
      </c>
      <c r="C29" s="75">
        <f>'[1]cálculos teóricos'!K297</f>
        <v>1.0315974552558274</v>
      </c>
      <c r="D29" s="59">
        <f t="shared" si="4"/>
        <v>241.88107958785372</v>
      </c>
      <c r="E29" s="60">
        <f t="shared" si="5"/>
        <v>10.127077040184259</v>
      </c>
      <c r="F29" s="61">
        <f t="shared" si="6"/>
        <v>12.987928780230325</v>
      </c>
      <c r="G29" s="62">
        <f>'[1]cálculos teóricos'!T297</f>
        <v>38.623074594672374</v>
      </c>
      <c r="H29" s="76">
        <f t="shared" si="7"/>
        <v>33.62738186053646</v>
      </c>
      <c r="I29" s="80"/>
      <c r="J29" s="88"/>
      <c r="K29" s="88"/>
      <c r="L29" s="88">
        <v>0.2</v>
      </c>
      <c r="M29" s="88"/>
      <c r="N29" s="88"/>
      <c r="O29" s="78">
        <v>0.1</v>
      </c>
      <c r="P29" s="89"/>
      <c r="Q29" s="89">
        <v>0.1</v>
      </c>
      <c r="R29" s="88"/>
      <c r="S29" s="88"/>
      <c r="T29" s="88"/>
      <c r="U29" s="88"/>
      <c r="V29" s="79"/>
      <c r="W29" s="124">
        <f t="shared" si="0"/>
        <v>0.30000000000000004</v>
      </c>
      <c r="X29" s="124">
        <f t="shared" si="1"/>
        <v>0.1</v>
      </c>
      <c r="Y29" s="70">
        <f t="shared" si="2"/>
        <v>0.4</v>
      </c>
      <c r="Z29" s="71">
        <f>'[1]cálculos teóricos'!I297</f>
        <v>12.615687818085217</v>
      </c>
      <c r="AA29" s="72">
        <f t="shared" si="3"/>
        <v>3.1706555026399754</v>
      </c>
      <c r="AB29" s="3"/>
    </row>
    <row r="30" spans="1:28" ht="18" customHeight="1">
      <c r="A30" s="81">
        <v>22</v>
      </c>
      <c r="B30" s="77">
        <v>30.9</v>
      </c>
      <c r="C30" s="75">
        <f>'[1]cálculos teóricos'!K298</f>
        <v>1.0320743265248982</v>
      </c>
      <c r="D30" s="59">
        <f t="shared" si="4"/>
        <v>464.44598663927144</v>
      </c>
      <c r="E30" s="60">
        <f t="shared" si="5"/>
        <v>19.445424568613017</v>
      </c>
      <c r="F30" s="61">
        <f t="shared" si="6"/>
        <v>24.635863190766273</v>
      </c>
      <c r="G30" s="62">
        <f>'[1]cálculos teóricos'!T298</f>
        <v>38.759956199870359</v>
      </c>
      <c r="H30" s="76">
        <f t="shared" si="7"/>
        <v>63.560090377111088</v>
      </c>
      <c r="I30" s="80"/>
      <c r="J30" s="88"/>
      <c r="K30" s="88"/>
      <c r="L30" s="88">
        <v>0.3</v>
      </c>
      <c r="M30" s="88">
        <v>1</v>
      </c>
      <c r="N30" s="88">
        <v>1</v>
      </c>
      <c r="O30" s="78">
        <v>1</v>
      </c>
      <c r="P30" s="89">
        <v>1</v>
      </c>
      <c r="Q30" s="89">
        <v>1</v>
      </c>
      <c r="R30" s="88">
        <v>1</v>
      </c>
      <c r="S30" s="88">
        <v>0.4</v>
      </c>
      <c r="T30" s="88"/>
      <c r="U30" s="88"/>
      <c r="V30" s="79"/>
      <c r="W30" s="124">
        <f t="shared" si="0"/>
        <v>3.3</v>
      </c>
      <c r="X30" s="124">
        <f t="shared" si="1"/>
        <v>3.4</v>
      </c>
      <c r="Y30" s="70">
        <f>W30+X30</f>
        <v>6.6999999999999993</v>
      </c>
      <c r="Z30" s="71">
        <f>'[1]cálculos teóricos'!I298</f>
        <v>12.637402382080378</v>
      </c>
      <c r="AA30" s="72">
        <f t="shared" si="3"/>
        <v>53.017224564286131</v>
      </c>
      <c r="AB30" s="3"/>
    </row>
    <row r="31" spans="1:28" ht="18" customHeight="1">
      <c r="A31" s="81">
        <v>23</v>
      </c>
      <c r="B31" s="77">
        <v>35.299999999999997</v>
      </c>
      <c r="C31" s="75">
        <f>'[1]cálculos teóricos'!K299</f>
        <v>1.032539289570032</v>
      </c>
      <c r="D31" s="59">
        <f t="shared" si="4"/>
        <v>530.81972381095659</v>
      </c>
      <c r="E31" s="60">
        <f t="shared" si="5"/>
        <v>22.224360196517132</v>
      </c>
      <c r="F31" s="61">
        <f t="shared" si="6"/>
        <v>28.109532725646414</v>
      </c>
      <c r="G31" s="62">
        <f>'[1]cálculos teóricos'!T299</f>
        <v>38.894798745221976</v>
      </c>
      <c r="H31" s="76">
        <f t="shared" si="7"/>
        <v>72.270672769837958</v>
      </c>
      <c r="I31" s="80"/>
      <c r="J31" s="88"/>
      <c r="K31" s="88">
        <v>0.6</v>
      </c>
      <c r="L31" s="88">
        <v>1</v>
      </c>
      <c r="M31" s="88">
        <v>1</v>
      </c>
      <c r="N31" s="88">
        <v>1</v>
      </c>
      <c r="O31" s="78">
        <v>1</v>
      </c>
      <c r="P31" s="89">
        <v>1</v>
      </c>
      <c r="Q31" s="89">
        <v>1</v>
      </c>
      <c r="R31" s="88">
        <v>1</v>
      </c>
      <c r="S31" s="88">
        <v>1</v>
      </c>
      <c r="T31" s="88">
        <v>0.8</v>
      </c>
      <c r="U31" s="88"/>
      <c r="V31" s="79"/>
      <c r="W31" s="124">
        <f t="shared" si="0"/>
        <v>4.5999999999999996</v>
      </c>
      <c r="X31" s="124">
        <f t="shared" si="1"/>
        <v>4.8</v>
      </c>
      <c r="Y31" s="70">
        <f>W31+X31</f>
        <v>9.3999999999999986</v>
      </c>
      <c r="Z31" s="71">
        <f>'[1]cálculos teóricos'!I299</f>
        <v>12.65901200367289</v>
      </c>
      <c r="AA31" s="72">
        <f t="shared" si="3"/>
        <v>74.255400004934657</v>
      </c>
      <c r="AB31" s="3"/>
    </row>
    <row r="32" spans="1:28" ht="18" customHeight="1">
      <c r="A32" s="81">
        <v>24</v>
      </c>
      <c r="B32" s="77">
        <v>29</v>
      </c>
      <c r="C32" s="75">
        <f>'[1]cálculos teóricos'!K300</f>
        <v>1.0329923858678827</v>
      </c>
      <c r="D32" s="59">
        <f t="shared" si="4"/>
        <v>436.27555373602036</v>
      </c>
      <c r="E32" s="60">
        <f t="shared" si="5"/>
        <v>18.265984883819698</v>
      </c>
      <c r="F32" s="61">
        <f t="shared" si="6"/>
        <v>23.161563584774626</v>
      </c>
      <c r="G32" s="62">
        <f>'[1]cálculos teóricos'!T300</f>
        <v>39.027579247470733</v>
      </c>
      <c r="H32" s="76">
        <f t="shared" si="7"/>
        <v>59.346656983024793</v>
      </c>
      <c r="I32" s="80"/>
      <c r="J32" s="88">
        <v>0.7</v>
      </c>
      <c r="K32" s="88">
        <v>0.3</v>
      </c>
      <c r="L32" s="88">
        <v>1</v>
      </c>
      <c r="M32" s="88">
        <v>1</v>
      </c>
      <c r="N32" s="88">
        <v>1</v>
      </c>
      <c r="O32" s="78">
        <v>1</v>
      </c>
      <c r="P32" s="89">
        <v>1</v>
      </c>
      <c r="Q32" s="89">
        <v>1</v>
      </c>
      <c r="R32" s="88">
        <v>0.5</v>
      </c>
      <c r="S32" s="88"/>
      <c r="T32" s="88"/>
      <c r="U32" s="88"/>
      <c r="V32" s="79"/>
      <c r="W32" s="124">
        <f t="shared" si="0"/>
        <v>5</v>
      </c>
      <c r="X32" s="124">
        <f t="shared" si="1"/>
        <v>2.5</v>
      </c>
      <c r="Y32" s="70">
        <f>W32+X32</f>
        <v>7.5</v>
      </c>
      <c r="Z32" s="71">
        <f>'[1]cálculos teóricos'!I300</f>
        <v>12.680510486248172</v>
      </c>
      <c r="AA32" s="72">
        <f t="shared" si="3"/>
        <v>59.145883820163547</v>
      </c>
      <c r="AB32" s="3"/>
    </row>
    <row r="33" spans="1:28" ht="18" customHeight="1">
      <c r="A33" s="81">
        <v>25</v>
      </c>
      <c r="B33" s="77">
        <v>9.6</v>
      </c>
      <c r="C33" s="75">
        <f>'[1]cálculos teóricos'!K301</f>
        <v>1.0334336653601741</v>
      </c>
      <c r="D33" s="59">
        <f t="shared" si="4"/>
        <v>144.4839473805398</v>
      </c>
      <c r="E33" s="60">
        <f t="shared" si="5"/>
        <v>6.0492539089284403</v>
      </c>
      <c r="F33" s="61">
        <f t="shared" si="6"/>
        <v>7.8906498661605511</v>
      </c>
      <c r="G33" s="62">
        <f>'[1]cálculos teóricos'!T301</f>
        <v>39.158276063849144</v>
      </c>
      <c r="H33" s="76">
        <f t="shared" si="7"/>
        <v>20.150656921909761</v>
      </c>
      <c r="I33" s="80"/>
      <c r="J33" s="88"/>
      <c r="K33" s="88"/>
      <c r="L33" s="88"/>
      <c r="M33" s="88"/>
      <c r="N33" s="88"/>
      <c r="O33" s="79"/>
      <c r="P33" s="80"/>
      <c r="Q33" s="89"/>
      <c r="R33" s="88"/>
      <c r="S33" s="88"/>
      <c r="T33" s="88"/>
      <c r="U33" s="88"/>
      <c r="V33" s="79"/>
      <c r="W33" s="124">
        <f t="shared" si="0"/>
        <v>0</v>
      </c>
      <c r="X33" s="124">
        <f t="shared" si="1"/>
        <v>0</v>
      </c>
      <c r="Y33" s="70">
        <f>W33+X33</f>
        <v>0</v>
      </c>
      <c r="Z33" s="71">
        <f>'[1]cálculos teóricos'!I301</f>
        <v>12.701891460528639</v>
      </c>
      <c r="AA33" s="72">
        <f t="shared" si="3"/>
        <v>0</v>
      </c>
      <c r="AB33" s="3"/>
    </row>
    <row r="34" spans="1:28" ht="18" customHeight="1">
      <c r="A34" s="81">
        <v>26</v>
      </c>
      <c r="B34" s="77">
        <v>10.1</v>
      </c>
      <c r="C34" s="75">
        <f>'[1]cálculos teóricos'!K302</f>
        <v>1.03386318636316</v>
      </c>
      <c r="D34" s="59">
        <f t="shared" si="4"/>
        <v>152.07233179745879</v>
      </c>
      <c r="E34" s="60">
        <f t="shared" si="5"/>
        <v>6.3669643876960036</v>
      </c>
      <c r="F34" s="61">
        <f t="shared" si="6"/>
        <v>8.2877879646200068</v>
      </c>
      <c r="G34" s="62">
        <f>'[1]cálculos teóricos'!T302</f>
        <v>39.286868896688745</v>
      </c>
      <c r="H34" s="76">
        <f t="shared" si="7"/>
        <v>21.09556754551782</v>
      </c>
      <c r="I34" s="80"/>
      <c r="J34" s="88"/>
      <c r="K34" s="88"/>
      <c r="L34" s="88"/>
      <c r="M34" s="88"/>
      <c r="N34" s="88"/>
      <c r="O34" s="78"/>
      <c r="P34" s="80"/>
      <c r="Q34" s="89"/>
      <c r="R34" s="88"/>
      <c r="S34" s="88"/>
      <c r="T34" s="88"/>
      <c r="U34" s="88"/>
      <c r="V34" s="79"/>
      <c r="W34" s="124">
        <f t="shared" si="0"/>
        <v>0</v>
      </c>
      <c r="X34" s="124">
        <f t="shared" si="1"/>
        <v>0</v>
      </c>
      <c r="Y34" s="70">
        <f t="shared" ref="Y34:Y39" si="8">W34+X34</f>
        <v>0</v>
      </c>
      <c r="Z34" s="71">
        <f>'[1]cálculos teóricos'!I302</f>
        <v>12.723148383033188</v>
      </c>
      <c r="AA34" s="72">
        <f t="shared" si="3"/>
        <v>0</v>
      </c>
      <c r="AB34" s="3"/>
    </row>
    <row r="35" spans="1:28" ht="18" customHeight="1">
      <c r="A35" s="81">
        <v>27</v>
      </c>
      <c r="B35" s="77">
        <v>23.6</v>
      </c>
      <c r="C35" s="75">
        <f>'[1]cálculos teóricos'!K303</f>
        <v>1.0342810154643007</v>
      </c>
      <c r="D35" s="59">
        <f t="shared" si="4"/>
        <v>355.48093702165858</v>
      </c>
      <c r="E35" s="60">
        <f t="shared" si="5"/>
        <v>14.8832758712228</v>
      </c>
      <c r="F35" s="61">
        <f t="shared" si="6"/>
        <v>18.933177319028502</v>
      </c>
      <c r="G35" s="62">
        <f>'[1]cálculos teóricos'!T303</f>
        <v>39.413338795836367</v>
      </c>
      <c r="H35" s="76">
        <f t="shared" si="7"/>
        <v>48.037486540035545</v>
      </c>
      <c r="I35" s="80"/>
      <c r="J35" s="88"/>
      <c r="K35" s="88"/>
      <c r="L35" s="88"/>
      <c r="M35" s="88">
        <v>0.7</v>
      </c>
      <c r="N35" s="88">
        <v>1</v>
      </c>
      <c r="O35" s="78">
        <v>1</v>
      </c>
      <c r="P35" s="89">
        <v>0.1</v>
      </c>
      <c r="Q35" s="89"/>
      <c r="R35" s="88"/>
      <c r="S35" s="88"/>
      <c r="T35" s="88"/>
      <c r="U35" s="88"/>
      <c r="V35" s="79"/>
      <c r="W35" s="124">
        <f t="shared" si="0"/>
        <v>2.7</v>
      </c>
      <c r="X35" s="124">
        <f t="shared" si="1"/>
        <v>0.1</v>
      </c>
      <c r="Y35" s="70">
        <f t="shared" si="8"/>
        <v>2.8000000000000003</v>
      </c>
      <c r="Z35" s="71">
        <f>'[1]cálculos teóricos'!I303</f>
        <v>12.744274534971474</v>
      </c>
      <c r="AA35" s="72">
        <f t="shared" si="3"/>
        <v>21.970650367869428</v>
      </c>
      <c r="AB35" s="3"/>
    </row>
    <row r="36" spans="1:28" ht="18" customHeight="1">
      <c r="A36" s="81">
        <v>28</v>
      </c>
      <c r="B36" s="77">
        <v>26.3</v>
      </c>
      <c r="C36" s="75">
        <f>'[1]cálculos teóricos'!K304</f>
        <v>1.034687227405628</v>
      </c>
      <c r="D36" s="59">
        <f t="shared" si="4"/>
        <v>396.30595357526505</v>
      </c>
      <c r="E36" s="60">
        <f t="shared" si="5"/>
        <v>16.592537664289196</v>
      </c>
      <c r="F36" s="61">
        <f t="shared" si="6"/>
        <v>21.069754560361492</v>
      </c>
      <c r="G36" s="62">
        <f>'[1]cálculos teóricos'!T304</f>
        <v>39.537668158777905</v>
      </c>
      <c r="H36" s="76">
        <f t="shared" si="7"/>
        <v>53.290331831781835</v>
      </c>
      <c r="I36" s="80"/>
      <c r="J36" s="88"/>
      <c r="K36" s="88"/>
      <c r="L36" s="88"/>
      <c r="M36" s="88">
        <v>0.6</v>
      </c>
      <c r="N36" s="88">
        <v>1</v>
      </c>
      <c r="O36" s="78">
        <v>1</v>
      </c>
      <c r="P36" s="89">
        <v>0.9</v>
      </c>
      <c r="Q36" s="89">
        <v>0.1</v>
      </c>
      <c r="R36" s="88"/>
      <c r="S36" s="88"/>
      <c r="T36" s="88"/>
      <c r="U36" s="88"/>
      <c r="V36" s="79"/>
      <c r="W36" s="124">
        <f t="shared" si="0"/>
        <v>2.6</v>
      </c>
      <c r="X36" s="124">
        <f t="shared" si="1"/>
        <v>1</v>
      </c>
      <c r="Y36" s="70">
        <f t="shared" si="8"/>
        <v>3.6</v>
      </c>
      <c r="Z36" s="71">
        <f>'[1]cálculos teóricos'!I304</f>
        <v>12.765263021597068</v>
      </c>
      <c r="AA36" s="72">
        <f t="shared" si="3"/>
        <v>28.201534068740266</v>
      </c>
      <c r="AB36" s="3"/>
    </row>
    <row r="37" spans="1:28" ht="18" customHeight="1">
      <c r="A37" s="81">
        <v>29</v>
      </c>
      <c r="B37" s="77">
        <v>15.2</v>
      </c>
      <c r="C37" s="75">
        <f>'[1]cálculos teóricos'!K305</f>
        <v>1.0350819049533166</v>
      </c>
      <c r="D37" s="59">
        <f t="shared" si="4"/>
        <v>229.13111290637192</v>
      </c>
      <c r="E37" s="60">
        <f t="shared" si="5"/>
        <v>9.5932614351639796</v>
      </c>
      <c r="F37" s="61">
        <f t="shared" si="6"/>
        <v>12.320659273954975</v>
      </c>
      <c r="G37" s="62">
        <f>'[1]cálculos teóricos'!T305</f>
        <v>39.659840728377716</v>
      </c>
      <c r="H37" s="76">
        <f t="shared" si="7"/>
        <v>31.06583144984544</v>
      </c>
      <c r="I37" s="80"/>
      <c r="J37" s="88"/>
      <c r="K37" s="88"/>
      <c r="L37" s="88"/>
      <c r="M37" s="88"/>
      <c r="N37" s="88"/>
      <c r="O37" s="78"/>
      <c r="P37" s="80"/>
      <c r="Q37" s="89"/>
      <c r="R37" s="88">
        <v>0.3</v>
      </c>
      <c r="S37" s="88">
        <v>0.1</v>
      </c>
      <c r="T37" s="88"/>
      <c r="U37" s="88"/>
      <c r="V37" s="79"/>
      <c r="W37" s="124">
        <f t="shared" si="0"/>
        <v>0</v>
      </c>
      <c r="X37" s="124">
        <f t="shared" si="1"/>
        <v>0.4</v>
      </c>
      <c r="Y37" s="70">
        <f t="shared" si="8"/>
        <v>0.4</v>
      </c>
      <c r="Z37" s="71">
        <f>'[1]cálculos teóricos'!I305</f>
        <v>12.786106772043812</v>
      </c>
      <c r="AA37" s="72">
        <f t="shared" si="3"/>
        <v>3.1283955869552109</v>
      </c>
      <c r="AB37" s="3"/>
    </row>
    <row r="38" spans="1:28" ht="18" customHeight="1">
      <c r="A38" s="81">
        <v>30</v>
      </c>
      <c r="B38" s="77">
        <v>30.7</v>
      </c>
      <c r="C38" s="75">
        <f>'[1]cálculos teóricos'!K306</f>
        <v>1.0354651387530205</v>
      </c>
      <c r="D38" s="59">
        <f t="shared" si="4"/>
        <v>462.95589403064912</v>
      </c>
      <c r="E38" s="60">
        <f t="shared" si="5"/>
        <v>19.383037371275215</v>
      </c>
      <c r="F38" s="61">
        <f t="shared" si="6"/>
        <v>24.557879194094021</v>
      </c>
      <c r="G38" s="62">
        <f>'[1]cálculos teóricos'!T306</f>
        <v>39.779841588149978</v>
      </c>
      <c r="H38" s="76">
        <f t="shared" si="7"/>
        <v>61.734482123753786</v>
      </c>
      <c r="I38" s="80"/>
      <c r="J38" s="88"/>
      <c r="K38" s="88">
        <v>0.2</v>
      </c>
      <c r="L38" s="88">
        <v>0.2</v>
      </c>
      <c r="M38" s="88">
        <v>1</v>
      </c>
      <c r="N38" s="88">
        <v>0.8</v>
      </c>
      <c r="O38" s="78">
        <v>0.9</v>
      </c>
      <c r="P38" s="89">
        <v>0.7</v>
      </c>
      <c r="Q38" s="88">
        <v>0.6</v>
      </c>
      <c r="R38" s="88">
        <v>0.9</v>
      </c>
      <c r="S38" s="88">
        <v>0.1</v>
      </c>
      <c r="T38" s="88">
        <v>0.6</v>
      </c>
      <c r="U38" s="88">
        <v>0.2</v>
      </c>
      <c r="V38" s="79"/>
      <c r="W38" s="124">
        <f t="shared" si="0"/>
        <v>3.1</v>
      </c>
      <c r="X38" s="124">
        <f t="shared" si="1"/>
        <v>3.1</v>
      </c>
      <c r="Y38" s="70">
        <f t="shared" si="8"/>
        <v>6.2</v>
      </c>
      <c r="Z38" s="71">
        <f>'[1]cálculos teóricos'!I306</f>
        <v>12.806798539669806</v>
      </c>
      <c r="AA38" s="72">
        <f t="shared" si="3"/>
        <v>48.411786761501226</v>
      </c>
      <c r="AB38" s="3"/>
    </row>
    <row r="39" spans="1:28" ht="18" customHeight="1" thickBot="1">
      <c r="A39" s="93">
        <v>31</v>
      </c>
      <c r="B39" s="94">
        <v>13.1</v>
      </c>
      <c r="C39" s="95">
        <f>'[1]cálculos teóricos'!K307</f>
        <v>1.0358370271705748</v>
      </c>
      <c r="D39" s="96">
        <f t="shared" si="4"/>
        <v>197.61890434210252</v>
      </c>
      <c r="E39" s="97">
        <f t="shared" si="5"/>
        <v>8.2739082869951481</v>
      </c>
      <c r="F39" s="98">
        <f t="shared" si="6"/>
        <v>10.671467838743936</v>
      </c>
      <c r="G39" s="99">
        <f>'[1]cálculos teóricos'!T307</f>
        <v>39.897657154987527</v>
      </c>
      <c r="H39" s="100">
        <f t="shared" si="7"/>
        <v>26.747103964749762</v>
      </c>
      <c r="I39" s="101"/>
      <c r="J39" s="94"/>
      <c r="K39" s="94"/>
      <c r="L39" s="94"/>
      <c r="M39" s="94">
        <v>0.2</v>
      </c>
      <c r="N39" s="94"/>
      <c r="O39" s="102"/>
      <c r="P39" s="101">
        <v>0.2</v>
      </c>
      <c r="Q39" s="94">
        <v>0.1</v>
      </c>
      <c r="R39" s="94">
        <v>0.4</v>
      </c>
      <c r="S39" s="94"/>
      <c r="T39" s="94"/>
      <c r="U39" s="94"/>
      <c r="V39" s="79"/>
      <c r="W39" s="124">
        <f t="shared" si="0"/>
        <v>0.2</v>
      </c>
      <c r="X39" s="124">
        <f t="shared" si="1"/>
        <v>0.70000000000000007</v>
      </c>
      <c r="Y39" s="70">
        <f t="shared" si="8"/>
        <v>0.90000000000000013</v>
      </c>
      <c r="Z39" s="107">
        <f>'[1]cálculos teóricos'!I307</f>
        <v>12.82733090293323</v>
      </c>
      <c r="AA39" s="108">
        <f t="shared" si="3"/>
        <v>7.0162686751473515</v>
      </c>
      <c r="AB39" s="3"/>
    </row>
    <row r="40" spans="1:28" s="113" customFormat="1" ht="15.75" thickTop="1">
      <c r="A40" s="109"/>
      <c r="B40" s="109"/>
      <c r="C40" s="109"/>
      <c r="D40" s="109"/>
      <c r="E40" s="109"/>
      <c r="F40" s="109"/>
      <c r="G40" s="109"/>
      <c r="H40" s="109"/>
      <c r="I40" s="110">
        <f>SUM(I9:I39)</f>
        <v>0</v>
      </c>
      <c r="J40" s="111">
        <f t="shared" ref="J40:AA40" si="9">SUM(J9:J39)</f>
        <v>0.89999999999999991</v>
      </c>
      <c r="K40" s="111">
        <f t="shared" si="9"/>
        <v>3.1</v>
      </c>
      <c r="L40" s="111">
        <f t="shared" si="9"/>
        <v>8.1</v>
      </c>
      <c r="M40" s="111">
        <f t="shared" si="9"/>
        <v>10.899999999999997</v>
      </c>
      <c r="N40" s="111">
        <f t="shared" si="9"/>
        <v>12.4</v>
      </c>
      <c r="O40" s="111">
        <f t="shared" si="9"/>
        <v>12.9</v>
      </c>
      <c r="P40" s="111">
        <f t="shared" si="9"/>
        <v>13.5</v>
      </c>
      <c r="Q40" s="111">
        <f t="shared" si="9"/>
        <v>10.799999999999999</v>
      </c>
      <c r="R40" s="111">
        <f t="shared" si="9"/>
        <v>10.3</v>
      </c>
      <c r="S40" s="111">
        <f t="shared" si="9"/>
        <v>4.8999999999999986</v>
      </c>
      <c r="T40" s="111">
        <f t="shared" si="9"/>
        <v>3.4</v>
      </c>
      <c r="U40" s="111">
        <f t="shared" si="9"/>
        <v>1.2</v>
      </c>
      <c r="V40" s="111">
        <f t="shared" si="9"/>
        <v>0</v>
      </c>
      <c r="W40" s="111">
        <f t="shared" si="0"/>
        <v>48.3</v>
      </c>
      <c r="X40" s="111">
        <f>SUM(P40:V40)</f>
        <v>44.099999999999994</v>
      </c>
      <c r="Y40" s="111">
        <f>W40+X40</f>
        <v>92.399999999999991</v>
      </c>
      <c r="Z40" s="111">
        <f t="shared" si="9"/>
        <v>387.58755327226424</v>
      </c>
      <c r="AA40" s="111">
        <f t="shared" si="9"/>
        <v>739.45998903522832</v>
      </c>
      <c r="AB40" s="109"/>
    </row>
    <row r="41" spans="1:28" s="113" customFormat="1" ht="15">
      <c r="A41" s="109"/>
      <c r="B41" s="109" t="s">
        <v>51</v>
      </c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210"/>
      <c r="X41" s="210"/>
      <c r="Y41" s="210"/>
      <c r="Z41" s="109"/>
      <c r="AA41" s="109"/>
      <c r="AB41" s="109"/>
    </row>
    <row r="42" spans="1:28" s="113" customFormat="1" ht="15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</row>
    <row r="43" spans="1:28" s="113" customFormat="1" ht="15">
      <c r="A43" s="109"/>
      <c r="B43" s="109" t="s">
        <v>52</v>
      </c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</row>
    <row r="44" spans="1:28" s="113" customFormat="1" ht="15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</row>
    <row r="45" spans="1:28" s="113" customFormat="1" ht="15">
      <c r="A45" s="109"/>
      <c r="B45" s="109" t="s">
        <v>53</v>
      </c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</row>
    <row r="46" spans="1:28" s="113" customFormat="1" ht="15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</row>
    <row r="47" spans="1:28" s="113" customFormat="1" ht="15">
      <c r="A47" s="109"/>
      <c r="B47" s="109" t="s">
        <v>54</v>
      </c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</row>
    <row r="48" spans="1:28" s="113" customFormat="1" ht="15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</row>
    <row r="49" spans="1:28" s="113" customFormat="1" ht="15">
      <c r="A49" s="109"/>
      <c r="B49" s="109" t="s">
        <v>55</v>
      </c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9" t="s">
        <v>56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9" t="s">
        <v>57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13" t="s">
        <v>58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B55"/>
  <sheetViews>
    <sheetView zoomScale="75" zoomScaleNormal="75" workbookViewId="0">
      <selection activeCell="A2" sqref="A2"/>
    </sheetView>
  </sheetViews>
  <sheetFormatPr defaultColWidth="11.42578125" defaultRowHeight="12.75"/>
  <cols>
    <col min="1" max="1" width="8.7109375" style="8" customWidth="1"/>
    <col min="2" max="8" width="12.7109375" style="8" customWidth="1"/>
    <col min="9" max="25" width="8.7109375" style="8" customWidth="1"/>
    <col min="26" max="27" width="12.7109375" style="8" customWidth="1"/>
    <col min="28" max="16384" width="11.42578125" style="8"/>
  </cols>
  <sheetData>
    <row r="1" spans="1:28" ht="18" customHeight="1">
      <c r="A1" s="1" t="s">
        <v>85</v>
      </c>
      <c r="B1" s="2"/>
      <c r="C1" s="3"/>
      <c r="D1" s="4"/>
      <c r="E1" s="21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7" t="s">
        <v>2</v>
      </c>
      <c r="Y1" s="6"/>
      <c r="Z1" s="6"/>
      <c r="AA1" s="6"/>
      <c r="AB1" s="3"/>
    </row>
    <row r="2" spans="1:28" ht="18" customHeight="1">
      <c r="A2" s="3"/>
      <c r="B2" s="9" t="s">
        <v>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9" t="s">
        <v>67</v>
      </c>
      <c r="W2" s="3"/>
      <c r="X2" s="3"/>
      <c r="Y2" s="3"/>
      <c r="Z2" s="3"/>
      <c r="AA2" s="3"/>
      <c r="AB2" s="3"/>
    </row>
    <row r="3" spans="1:28" ht="18" customHeight="1">
      <c r="A3" s="3"/>
      <c r="B3" s="9" t="s">
        <v>77</v>
      </c>
      <c r="C3" s="3"/>
      <c r="D3" s="3"/>
      <c r="E3" s="3"/>
      <c r="F3" s="3"/>
      <c r="G3" s="4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181"/>
      <c r="T3" s="181"/>
      <c r="U3" s="3"/>
      <c r="V3" s="9" t="s">
        <v>82</v>
      </c>
      <c r="W3" s="3"/>
      <c r="X3" s="3"/>
      <c r="Y3" s="109"/>
      <c r="Z3" s="6"/>
      <c r="AA3" s="6"/>
      <c r="AB3" s="3"/>
    </row>
    <row r="4" spans="1:28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181"/>
      <c r="T4" s="181"/>
      <c r="U4" s="181"/>
      <c r="V4" s="3"/>
      <c r="W4" s="10"/>
      <c r="X4" s="3"/>
      <c r="Y4" s="3"/>
      <c r="Z4" s="3"/>
      <c r="AA4" s="3"/>
      <c r="AB4" s="3"/>
    </row>
    <row r="5" spans="1:28" ht="18" customHeight="1" thickTop="1" thickBot="1">
      <c r="A5" s="11" t="s">
        <v>8</v>
      </c>
      <c r="B5" s="12"/>
      <c r="C5" s="13" t="s">
        <v>9</v>
      </c>
      <c r="D5" s="14"/>
      <c r="E5" s="15"/>
      <c r="F5" s="14"/>
      <c r="G5" s="14"/>
      <c r="H5" s="16"/>
      <c r="I5" s="17" t="s">
        <v>10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3"/>
      <c r="Y5" s="18"/>
      <c r="Z5" s="15"/>
      <c r="AA5" s="19"/>
      <c r="AB5" s="3"/>
    </row>
    <row r="6" spans="1:28" ht="18" customHeight="1">
      <c r="A6" s="20"/>
      <c r="B6" s="21" t="s">
        <v>11</v>
      </c>
      <c r="C6" s="22" t="s">
        <v>12</v>
      </c>
      <c r="D6" s="23" t="s">
        <v>13</v>
      </c>
      <c r="E6" s="22" t="s">
        <v>13</v>
      </c>
      <c r="F6" s="24" t="s">
        <v>14</v>
      </c>
      <c r="G6" s="24" t="s">
        <v>15</v>
      </c>
      <c r="H6" s="24" t="s">
        <v>16</v>
      </c>
      <c r="I6" s="25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8"/>
      <c r="W6" s="29"/>
      <c r="X6" s="30"/>
      <c r="Y6" s="31"/>
      <c r="Z6" s="32" t="s">
        <v>17</v>
      </c>
      <c r="AA6" s="33" t="s">
        <v>18</v>
      </c>
      <c r="AB6" s="3"/>
    </row>
    <row r="7" spans="1:28" ht="18" customHeight="1" thickBot="1">
      <c r="A7" s="34"/>
      <c r="B7" s="35" t="s">
        <v>19</v>
      </c>
      <c r="C7" s="36" t="s">
        <v>20</v>
      </c>
      <c r="D7" s="23" t="s">
        <v>21</v>
      </c>
      <c r="E7" s="24" t="s">
        <v>21</v>
      </c>
      <c r="F7" s="24" t="s">
        <v>22</v>
      </c>
      <c r="G7" s="24" t="s">
        <v>23</v>
      </c>
      <c r="H7" s="24" t="s">
        <v>24</v>
      </c>
      <c r="I7" s="37" t="s">
        <v>25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8"/>
      <c r="W7" s="39"/>
      <c r="X7" s="40" t="s">
        <v>26</v>
      </c>
      <c r="Y7" s="41"/>
      <c r="Z7" s="42" t="s">
        <v>27</v>
      </c>
      <c r="AA7" s="43" t="s">
        <v>28</v>
      </c>
      <c r="AB7" s="3"/>
    </row>
    <row r="8" spans="1:28" ht="18" customHeight="1" thickBot="1">
      <c r="A8" s="44"/>
      <c r="B8" s="45" t="s">
        <v>29</v>
      </c>
      <c r="C8" s="46" t="s">
        <v>30</v>
      </c>
      <c r="D8" s="46" t="s">
        <v>31</v>
      </c>
      <c r="E8" s="47" t="s">
        <v>32</v>
      </c>
      <c r="F8" s="47" t="s">
        <v>32</v>
      </c>
      <c r="G8" s="46" t="s">
        <v>32</v>
      </c>
      <c r="H8" s="24" t="s">
        <v>33</v>
      </c>
      <c r="I8" s="48" t="s">
        <v>34</v>
      </c>
      <c r="J8" s="49" t="s">
        <v>35</v>
      </c>
      <c r="K8" s="49" t="s">
        <v>36</v>
      </c>
      <c r="L8" s="49" t="s">
        <v>37</v>
      </c>
      <c r="M8" s="49" t="s">
        <v>38</v>
      </c>
      <c r="N8" s="49" t="s">
        <v>39</v>
      </c>
      <c r="O8" s="50" t="s">
        <v>40</v>
      </c>
      <c r="P8" s="49" t="s">
        <v>41</v>
      </c>
      <c r="Q8" s="49" t="s">
        <v>42</v>
      </c>
      <c r="R8" s="49" t="s">
        <v>43</v>
      </c>
      <c r="S8" s="49" t="s">
        <v>44</v>
      </c>
      <c r="T8" s="49" t="s">
        <v>45</v>
      </c>
      <c r="U8" s="49" t="s">
        <v>46</v>
      </c>
      <c r="V8" s="51" t="s">
        <v>47</v>
      </c>
      <c r="W8" s="54" t="s">
        <v>48</v>
      </c>
      <c r="X8" s="117" t="s">
        <v>49</v>
      </c>
      <c r="Y8" s="53" t="s">
        <v>50</v>
      </c>
      <c r="Z8" s="54" t="s">
        <v>50</v>
      </c>
      <c r="AA8" s="55" t="s">
        <v>50</v>
      </c>
      <c r="AB8" s="3"/>
    </row>
    <row r="9" spans="1:28" ht="18" customHeight="1">
      <c r="A9" s="118">
        <v>1</v>
      </c>
      <c r="B9" s="57">
        <v>15.9</v>
      </c>
      <c r="C9" s="75">
        <f>'[1]cálculos teóricos'!K308</f>
        <v>1.0361976761177196</v>
      </c>
      <c r="D9" s="59">
        <f>IF(B9&gt;0,B9*C9*14.25*1.022,-999)</f>
        <v>239.94157121263254</v>
      </c>
      <c r="E9" s="60">
        <f>IF(B9&gt;0,D9*4.1868/100,-999)</f>
        <v>10.045873703530498</v>
      </c>
      <c r="F9" s="61">
        <f>IF(B9&gt;0,(7.86+1.25*D9)*4.1868/100,-999)</f>
        <v>12.886424609413123</v>
      </c>
      <c r="G9" s="62">
        <f>'[1]cálculos teóricos'!T308</f>
        <v>40.013275169282224</v>
      </c>
      <c r="H9" s="63">
        <f>IF(B9&gt;0,100*F9/G9,-999)</f>
        <v>32.205373228997502</v>
      </c>
      <c r="I9" s="64"/>
      <c r="J9" s="64"/>
      <c r="K9" s="64"/>
      <c r="L9" s="64"/>
      <c r="M9" s="64">
        <v>0.3</v>
      </c>
      <c r="N9" s="64">
        <v>0.1</v>
      </c>
      <c r="O9" s="65"/>
      <c r="P9" s="64"/>
      <c r="Q9" s="64"/>
      <c r="R9" s="64"/>
      <c r="S9" s="64"/>
      <c r="T9" s="64"/>
      <c r="U9" s="64"/>
      <c r="V9" s="216"/>
      <c r="W9" s="59">
        <f t="shared" ref="W9:W38" si="0">SUM(I9:O9)</f>
        <v>0.4</v>
      </c>
      <c r="X9" s="203">
        <f>SUM(P9:V9)</f>
        <v>0</v>
      </c>
      <c r="Y9" s="217">
        <f>W9+X9</f>
        <v>0.4</v>
      </c>
      <c r="Z9" s="71">
        <f>'[1]cálculos teóricos'!I308</f>
        <v>12.847696266824101</v>
      </c>
      <c r="AA9" s="72">
        <f>100*Y9/Z9</f>
        <v>3.1133986334413741</v>
      </c>
      <c r="AB9" s="3"/>
    </row>
    <row r="10" spans="1:28" ht="18" customHeight="1">
      <c r="A10" s="118">
        <v>2</v>
      </c>
      <c r="B10" s="57">
        <v>15.3</v>
      </c>
      <c r="C10" s="75">
        <f>'[1]cálculos teóricos'!K309</f>
        <v>1.0365471988625521</v>
      </c>
      <c r="D10" s="59">
        <f>IF(B10&gt;0,B10*C10*14.25*1.022,-999)</f>
        <v>230.96505349871211</v>
      </c>
      <c r="E10" s="60">
        <f>IF(B10&gt;0,D10*4.1868/100,-999)</f>
        <v>9.6700448598840794</v>
      </c>
      <c r="F10" s="61">
        <f>IF(B10&gt;0,(7.86+1.25*D10)*4.1868/100,-999)</f>
        <v>12.416638554855099</v>
      </c>
      <c r="G10" s="62">
        <f>'[1]cálculos teóricos'!T309</f>
        <v>40.126684682382106</v>
      </c>
      <c r="H10" s="76">
        <f>IF(B10&gt;0,100*F10/G10,-999)</f>
        <v>30.943594401425116</v>
      </c>
      <c r="I10" s="57"/>
      <c r="J10" s="77"/>
      <c r="K10" s="77"/>
      <c r="L10" s="77"/>
      <c r="M10" s="77">
        <v>0.1</v>
      </c>
      <c r="N10" s="77"/>
      <c r="O10" s="78"/>
      <c r="P10" s="80"/>
      <c r="Q10" s="89"/>
      <c r="R10" s="89"/>
      <c r="S10" s="89"/>
      <c r="T10" s="89"/>
      <c r="U10" s="89"/>
      <c r="V10" s="218"/>
      <c r="W10" s="59">
        <f t="shared" si="0"/>
        <v>0.1</v>
      </c>
      <c r="X10" s="69">
        <f t="shared" ref="X10:X38" si="1">SUM(P10:V10)</f>
        <v>0</v>
      </c>
      <c r="Y10" s="219">
        <f t="shared" ref="Y10:Y35" si="2">W10+X10</f>
        <v>0.1</v>
      </c>
      <c r="Z10" s="71">
        <f>'[1]cálculos teóricos'!I309</f>
        <v>12.867886864875677</v>
      </c>
      <c r="AA10" s="72">
        <f t="shared" ref="AA10:AA38" si="3">100*Y10/Z10</f>
        <v>0.77712837430177506</v>
      </c>
      <c r="AB10" s="3"/>
    </row>
    <row r="11" spans="1:28" ht="18" customHeight="1">
      <c r="A11" s="118">
        <v>3</v>
      </c>
      <c r="B11" s="57">
        <v>26.3</v>
      </c>
      <c r="C11" s="75">
        <f>'[1]cálculos teóricos'!K310</f>
        <v>1.0368857158244706</v>
      </c>
      <c r="D11" s="59">
        <f t="shared" ref="D11:D38" si="4">IF(B11&gt;0,B11*C11*14.25*1.022,-999)</f>
        <v>397.14801871937453</v>
      </c>
      <c r="E11" s="60">
        <f t="shared" ref="E11:E38" si="5">IF(B11&gt;0,D11*4.1868/100,-999)</f>
        <v>16.627793247742773</v>
      </c>
      <c r="F11" s="61">
        <f t="shared" ref="F11:F38" si="6">IF(B11&gt;0,(7.86+1.25*D11)*4.1868/100,-999)</f>
        <v>21.113824039678466</v>
      </c>
      <c r="G11" s="62">
        <f>'[1]cálculos teóricos'!T310</f>
        <v>40.237876041340378</v>
      </c>
      <c r="H11" s="76">
        <f t="shared" ref="H11:H38" si="7">IF(B11&gt;0,100*F11/G11,-999)</f>
        <v>52.472511267707397</v>
      </c>
      <c r="I11" s="57"/>
      <c r="J11" s="77">
        <v>0.4</v>
      </c>
      <c r="K11" s="77">
        <v>1</v>
      </c>
      <c r="L11" s="77">
        <v>1</v>
      </c>
      <c r="M11" s="77">
        <v>1</v>
      </c>
      <c r="N11" s="77">
        <v>0.7</v>
      </c>
      <c r="O11" s="78">
        <v>0.5</v>
      </c>
      <c r="P11" s="80">
        <v>0.5</v>
      </c>
      <c r="Q11" s="89">
        <v>0.3</v>
      </c>
      <c r="R11" s="89">
        <v>0.1</v>
      </c>
      <c r="S11" s="89"/>
      <c r="T11" s="89"/>
      <c r="U11" s="89"/>
      <c r="V11" s="218"/>
      <c r="W11" s="59">
        <f t="shared" si="0"/>
        <v>4.5999999999999996</v>
      </c>
      <c r="X11" s="69">
        <f t="shared" si="1"/>
        <v>0.9</v>
      </c>
      <c r="Y11" s="219">
        <f t="shared" si="2"/>
        <v>5.5</v>
      </c>
      <c r="Z11" s="71">
        <f>'[1]cálculos teóricos'!I310</f>
        <v>12.887894761778501</v>
      </c>
      <c r="AA11" s="72">
        <f t="shared" si="3"/>
        <v>42.675705393803298</v>
      </c>
      <c r="AB11" s="3"/>
    </row>
    <row r="12" spans="1:28" ht="18" customHeight="1">
      <c r="A12" s="118">
        <v>4</v>
      </c>
      <c r="B12" s="57">
        <v>37.4</v>
      </c>
      <c r="C12" s="75">
        <f>'[1]cálculos teóricos'!K311</f>
        <v>1.0372133543534348</v>
      </c>
      <c r="D12" s="59">
        <f t="shared" si="4"/>
        <v>564.94408006112167</v>
      </c>
      <c r="E12" s="60">
        <f t="shared" si="5"/>
        <v>23.653078743999039</v>
      </c>
      <c r="F12" s="61">
        <f t="shared" si="6"/>
        <v>29.895430909998804</v>
      </c>
      <c r="G12" s="62">
        <f>'[1]cálculos teóricos'!T311</f>
        <v>40.346840870923295</v>
      </c>
      <c r="H12" s="76">
        <f t="shared" si="7"/>
        <v>74.096088478499695</v>
      </c>
      <c r="I12" s="57"/>
      <c r="J12" s="77"/>
      <c r="K12" s="77">
        <v>0.7</v>
      </c>
      <c r="L12" s="77">
        <v>0.6</v>
      </c>
      <c r="M12" s="77">
        <v>1</v>
      </c>
      <c r="N12" s="77">
        <v>1</v>
      </c>
      <c r="O12" s="78">
        <v>1</v>
      </c>
      <c r="P12" s="80">
        <v>1</v>
      </c>
      <c r="Q12" s="89">
        <v>1</v>
      </c>
      <c r="R12" s="89">
        <v>1</v>
      </c>
      <c r="S12" s="89">
        <v>1</v>
      </c>
      <c r="T12" s="89">
        <v>1</v>
      </c>
      <c r="U12" s="89">
        <v>0.9</v>
      </c>
      <c r="V12" s="218"/>
      <c r="W12" s="59">
        <f t="shared" si="0"/>
        <v>4.3</v>
      </c>
      <c r="X12" s="69">
        <f t="shared" si="1"/>
        <v>5.9</v>
      </c>
      <c r="Y12" s="219">
        <f t="shared" si="2"/>
        <v>10.199999999999999</v>
      </c>
      <c r="Z12" s="71">
        <f>'[1]cálculos teóricos'!I311</f>
        <v>12.907711856619468</v>
      </c>
      <c r="AA12" s="72">
        <f t="shared" si="3"/>
        <v>79.022526326144543</v>
      </c>
      <c r="AB12" s="3"/>
    </row>
    <row r="13" spans="1:28" ht="18" customHeight="1">
      <c r="A13" s="73">
        <v>5</v>
      </c>
      <c r="B13" s="57">
        <v>38.200000000000003</v>
      </c>
      <c r="C13" s="75">
        <f>'[1]cálculos teóricos'!K312</f>
        <v>1.0375302484934286</v>
      </c>
      <c r="D13" s="59">
        <f t="shared" si="4"/>
        <v>577.20474176428058</v>
      </c>
      <c r="E13" s="60">
        <f t="shared" si="5"/>
        <v>24.166408128186898</v>
      </c>
      <c r="F13" s="61">
        <f t="shared" si="6"/>
        <v>30.537092640233627</v>
      </c>
      <c r="G13" s="62">
        <f>'[1]cálculos teóricos'!T312</f>
        <v>40.453572052854859</v>
      </c>
      <c r="H13" s="76">
        <f t="shared" si="7"/>
        <v>75.486764432903982</v>
      </c>
      <c r="I13" s="57">
        <v>0.2</v>
      </c>
      <c r="J13" s="77">
        <v>1</v>
      </c>
      <c r="K13" s="77">
        <v>1</v>
      </c>
      <c r="L13" s="77">
        <v>1</v>
      </c>
      <c r="M13" s="77">
        <v>1</v>
      </c>
      <c r="N13" s="77">
        <v>1</v>
      </c>
      <c r="O13" s="78">
        <v>1</v>
      </c>
      <c r="P13" s="80">
        <v>0.4</v>
      </c>
      <c r="Q13" s="89">
        <v>1</v>
      </c>
      <c r="R13" s="89">
        <v>1</v>
      </c>
      <c r="S13" s="89">
        <v>1</v>
      </c>
      <c r="T13" s="89">
        <v>1</v>
      </c>
      <c r="U13" s="89">
        <v>0.8</v>
      </c>
      <c r="V13" s="218"/>
      <c r="W13" s="59">
        <f t="shared" si="0"/>
        <v>6.2</v>
      </c>
      <c r="X13" s="69">
        <f t="shared" si="1"/>
        <v>5.2</v>
      </c>
      <c r="Y13" s="219">
        <f t="shared" si="2"/>
        <v>11.4</v>
      </c>
      <c r="Z13" s="71">
        <f>'[1]cálculos teóricos'!I312</f>
        <v>12.927329886767305</v>
      </c>
      <c r="AA13" s="72">
        <f t="shared" si="3"/>
        <v>88.185264086664077</v>
      </c>
      <c r="AB13" s="3"/>
    </row>
    <row r="14" spans="1:28" ht="18" customHeight="1">
      <c r="A14" s="118">
        <v>6</v>
      </c>
      <c r="B14" s="57">
        <v>38.799999999999997</v>
      </c>
      <c r="C14" s="75">
        <f>'[1]cálculos teóricos'!K313</f>
        <v>1.0378365387300734</v>
      </c>
      <c r="D14" s="59">
        <f t="shared" si="4"/>
        <v>586.44385835366245</v>
      </c>
      <c r="E14" s="60">
        <f t="shared" si="5"/>
        <v>24.553231461551139</v>
      </c>
      <c r="F14" s="61">
        <f t="shared" si="6"/>
        <v>31.020621806938927</v>
      </c>
      <c r="G14" s="62">
        <f>'[1]cálculos teóricos'!T313</f>
        <v>40.558063702289274</v>
      </c>
      <c r="H14" s="76">
        <f t="shared" si="7"/>
        <v>76.484474295028988</v>
      </c>
      <c r="I14" s="57"/>
      <c r="J14" s="77">
        <v>0.3</v>
      </c>
      <c r="K14" s="77">
        <v>1</v>
      </c>
      <c r="L14" s="77">
        <v>1</v>
      </c>
      <c r="M14" s="77">
        <v>1</v>
      </c>
      <c r="N14" s="77">
        <v>1</v>
      </c>
      <c r="O14" s="78">
        <v>1</v>
      </c>
      <c r="P14" s="80">
        <v>1</v>
      </c>
      <c r="Q14" s="89">
        <v>1</v>
      </c>
      <c r="R14" s="89">
        <v>1</v>
      </c>
      <c r="S14" s="89">
        <v>1</v>
      </c>
      <c r="T14" s="89">
        <v>1</v>
      </c>
      <c r="U14" s="89">
        <v>0.5</v>
      </c>
      <c r="V14" s="218"/>
      <c r="W14" s="59">
        <f t="shared" si="0"/>
        <v>5.3</v>
      </c>
      <c r="X14" s="69">
        <f t="shared" si="1"/>
        <v>5.5</v>
      </c>
      <c r="Y14" s="219">
        <f t="shared" si="2"/>
        <v>10.8</v>
      </c>
      <c r="Z14" s="71">
        <f>'[1]cálculos teóricos'!I313</f>
        <v>12.946740432424651</v>
      </c>
      <c r="AA14" s="72">
        <f t="shared" si="3"/>
        <v>83.418680218163516</v>
      </c>
      <c r="AB14" s="3"/>
    </row>
    <row r="15" spans="1:28" ht="18" customHeight="1">
      <c r="A15" s="73">
        <v>7</v>
      </c>
      <c r="B15" s="57">
        <v>32.6</v>
      </c>
      <c r="C15" s="75">
        <f>'[1]cálculos teóricos'!K314</f>
        <v>1.0381323717224153</v>
      </c>
      <c r="D15" s="59">
        <f t="shared" si="4"/>
        <v>492.87420993588836</v>
      </c>
      <c r="E15" s="60">
        <f t="shared" si="5"/>
        <v>20.635657421595774</v>
      </c>
      <c r="F15" s="61">
        <f t="shared" si="6"/>
        <v>26.123654256994719</v>
      </c>
      <c r="G15" s="62">
        <f>'[1]cálculos teóricos'!T314</f>
        <v>40.660311141513574</v>
      </c>
      <c r="H15" s="76">
        <f t="shared" si="7"/>
        <v>64.248535054427691</v>
      </c>
      <c r="I15" s="57"/>
      <c r="J15" s="77"/>
      <c r="K15" s="77"/>
      <c r="L15" s="77"/>
      <c r="M15" s="77">
        <v>0.3</v>
      </c>
      <c r="N15" s="77">
        <v>1</v>
      </c>
      <c r="O15" s="78">
        <v>1</v>
      </c>
      <c r="P15" s="80">
        <v>1</v>
      </c>
      <c r="Q15" s="80">
        <v>1</v>
      </c>
      <c r="R15" s="77">
        <v>1</v>
      </c>
      <c r="S15" s="77">
        <v>1</v>
      </c>
      <c r="T15" s="89">
        <v>1</v>
      </c>
      <c r="U15" s="89">
        <v>0.8</v>
      </c>
      <c r="V15" s="218"/>
      <c r="W15" s="59">
        <f t="shared" si="0"/>
        <v>2.2999999999999998</v>
      </c>
      <c r="X15" s="69">
        <f t="shared" si="1"/>
        <v>5.8</v>
      </c>
      <c r="Y15" s="219">
        <f t="shared" si="2"/>
        <v>8.1</v>
      </c>
      <c r="Z15" s="71">
        <f>'[1]cálculos teóricos'!I314</f>
        <v>12.965934921865541</v>
      </c>
      <c r="AA15" s="72">
        <f t="shared" si="3"/>
        <v>62.471391757028584</v>
      </c>
      <c r="AB15" s="3"/>
    </row>
    <row r="16" spans="1:28" ht="18" customHeight="1">
      <c r="A16" s="81">
        <v>8</v>
      </c>
      <c r="B16" s="77">
        <v>37.5</v>
      </c>
      <c r="C16" s="75">
        <f>'[1]cálculos teóricos'!K315</f>
        <v>1.0384179000189673</v>
      </c>
      <c r="D16" s="59">
        <f t="shared" si="4"/>
        <v>567.11246575973371</v>
      </c>
      <c r="E16" s="60">
        <f t="shared" si="5"/>
        <v>23.743864716428529</v>
      </c>
      <c r="F16" s="61">
        <f t="shared" si="6"/>
        <v>30.008913375535663</v>
      </c>
      <c r="G16" s="62">
        <f>'[1]cálculos teóricos'!T315</f>
        <v>40.76031087089649</v>
      </c>
      <c r="H16" s="76">
        <f t="shared" si="7"/>
        <v>73.622876603138238</v>
      </c>
      <c r="I16" s="80">
        <v>0.1</v>
      </c>
      <c r="J16" s="88">
        <v>1</v>
      </c>
      <c r="K16" s="88">
        <v>1</v>
      </c>
      <c r="L16" s="88">
        <v>1</v>
      </c>
      <c r="M16" s="88">
        <v>1</v>
      </c>
      <c r="N16" s="88">
        <v>1</v>
      </c>
      <c r="O16" s="79">
        <v>1</v>
      </c>
      <c r="P16" s="89">
        <v>1</v>
      </c>
      <c r="Q16" s="89">
        <v>1</v>
      </c>
      <c r="R16" s="88">
        <v>1</v>
      </c>
      <c r="S16" s="88">
        <v>0.7</v>
      </c>
      <c r="T16" s="88">
        <v>0.6</v>
      </c>
      <c r="U16" s="88">
        <v>0.4</v>
      </c>
      <c r="V16" s="218"/>
      <c r="W16" s="59">
        <f t="shared" si="0"/>
        <v>6.1</v>
      </c>
      <c r="X16" s="69">
        <f t="shared" si="1"/>
        <v>4.7</v>
      </c>
      <c r="Y16" s="219">
        <f t="shared" si="2"/>
        <v>10.8</v>
      </c>
      <c r="Z16" s="71">
        <f>'[1]cálculos teóricos'!I315</f>
        <v>12.984904637375484</v>
      </c>
      <c r="AA16" s="72">
        <f t="shared" si="3"/>
        <v>83.173502629457133</v>
      </c>
      <c r="AB16" s="3"/>
    </row>
    <row r="17" spans="1:28" ht="18" customHeight="1">
      <c r="A17" s="81">
        <v>9</v>
      </c>
      <c r="B17" s="77">
        <v>29.7</v>
      </c>
      <c r="C17" s="75">
        <f>'[1]cálculos teóricos'!K316</f>
        <v>1.0386932817581682</v>
      </c>
      <c r="D17" s="59">
        <f t="shared" si="4"/>
        <v>449.27218538388701</v>
      </c>
      <c r="E17" s="60">
        <f t="shared" si="5"/>
        <v>18.810127857652581</v>
      </c>
      <c r="F17" s="61">
        <f t="shared" si="6"/>
        <v>23.841742302065722</v>
      </c>
      <c r="G17" s="62">
        <f>'[1]cálculos teóricos'!T316</f>
        <v>40.858060537111371</v>
      </c>
      <c r="H17" s="76">
        <f t="shared" si="7"/>
        <v>58.352604085086888</v>
      </c>
      <c r="I17" s="80">
        <v>0.1</v>
      </c>
      <c r="J17" s="88">
        <v>1</v>
      </c>
      <c r="K17" s="88">
        <v>1</v>
      </c>
      <c r="L17" s="88">
        <v>1</v>
      </c>
      <c r="M17" s="88">
        <v>1</v>
      </c>
      <c r="N17" s="88">
        <v>1</v>
      </c>
      <c r="O17" s="79">
        <v>1</v>
      </c>
      <c r="P17" s="80">
        <v>1</v>
      </c>
      <c r="Q17" s="89">
        <v>1</v>
      </c>
      <c r="R17" s="88"/>
      <c r="S17" s="88"/>
      <c r="T17" s="88"/>
      <c r="U17" s="88"/>
      <c r="V17" s="218"/>
      <c r="W17" s="59">
        <f t="shared" si="0"/>
        <v>6.1</v>
      </c>
      <c r="X17" s="69">
        <f t="shared" si="1"/>
        <v>2</v>
      </c>
      <c r="Y17" s="219">
        <f t="shared" si="2"/>
        <v>8.1</v>
      </c>
      <c r="Z17" s="71">
        <f>'[1]cálculos teóricos'!I316</f>
        <v>13.003640721909486</v>
      </c>
      <c r="AA17" s="72">
        <f t="shared" si="3"/>
        <v>62.29024757929929</v>
      </c>
      <c r="AB17" s="3"/>
    </row>
    <row r="18" spans="1:28" ht="18" customHeight="1">
      <c r="A18" s="81">
        <v>10</v>
      </c>
      <c r="B18" s="77">
        <v>30.7</v>
      </c>
      <c r="C18" s="75">
        <f>'[1]cálculos teóricos'!K317</f>
        <v>1.0389586803534896</v>
      </c>
      <c r="D18" s="59">
        <f t="shared" si="4"/>
        <v>464.51785455877103</v>
      </c>
      <c r="E18" s="60">
        <f t="shared" si="5"/>
        <v>19.448433534666624</v>
      </c>
      <c r="F18" s="61">
        <f t="shared" si="6"/>
        <v>24.639624398333286</v>
      </c>
      <c r="G18" s="62">
        <f>'[1]cálculos teóricos'!T317</f>
        <v>40.95355889867507</v>
      </c>
      <c r="H18" s="76">
        <f t="shared" si="7"/>
        <v>60.164794125207095</v>
      </c>
      <c r="I18" s="80"/>
      <c r="J18" s="88"/>
      <c r="K18" s="88">
        <v>0.4</v>
      </c>
      <c r="L18" s="88">
        <v>1</v>
      </c>
      <c r="M18" s="88">
        <v>1</v>
      </c>
      <c r="N18" s="88">
        <v>1</v>
      </c>
      <c r="O18" s="79">
        <v>1</v>
      </c>
      <c r="P18" s="89">
        <v>1</v>
      </c>
      <c r="Q18" s="88">
        <v>0.7</v>
      </c>
      <c r="R18" s="88">
        <v>0.7</v>
      </c>
      <c r="S18" s="88"/>
      <c r="T18" s="88"/>
      <c r="U18" s="88"/>
      <c r="V18" s="218"/>
      <c r="W18" s="59">
        <f t="shared" si="0"/>
        <v>4.4000000000000004</v>
      </c>
      <c r="X18" s="69">
        <f t="shared" si="1"/>
        <v>2.4</v>
      </c>
      <c r="Y18" s="219">
        <f t="shared" si="2"/>
        <v>6.8000000000000007</v>
      </c>
      <c r="Z18" s="71">
        <f>'[1]cálculos teóricos'!I317</f>
        <v>13.022134186481196</v>
      </c>
      <c r="AA18" s="72">
        <f t="shared" si="3"/>
        <v>52.218783055233416</v>
      </c>
      <c r="AB18" s="3"/>
    </row>
    <row r="19" spans="1:28" ht="18" customHeight="1">
      <c r="A19" s="92">
        <v>11</v>
      </c>
      <c r="B19" s="77">
        <v>35.200000000000003</v>
      </c>
      <c r="C19" s="75">
        <f>'[1]cálculos teóricos'!K318</f>
        <v>1.0392142641634872</v>
      </c>
      <c r="D19" s="59">
        <f t="shared" si="4"/>
        <v>532.73781215230213</v>
      </c>
      <c r="E19" s="60">
        <f t="shared" si="5"/>
        <v>22.304666719192582</v>
      </c>
      <c r="F19" s="61">
        <f t="shared" si="6"/>
        <v>28.209915878990731</v>
      </c>
      <c r="G19" s="62">
        <f>'[1]cálculos teóricos'!T318</f>
        <v>41.046805788856631</v>
      </c>
      <c r="H19" s="76">
        <f t="shared" si="7"/>
        <v>68.72621471230083</v>
      </c>
      <c r="I19" s="80"/>
      <c r="J19" s="88">
        <v>0.7</v>
      </c>
      <c r="K19" s="88">
        <v>1</v>
      </c>
      <c r="L19" s="88">
        <v>1</v>
      </c>
      <c r="M19" s="88">
        <v>1</v>
      </c>
      <c r="N19" s="88">
        <v>0.5</v>
      </c>
      <c r="O19" s="79">
        <v>1</v>
      </c>
      <c r="P19" s="89">
        <v>1</v>
      </c>
      <c r="Q19" s="88">
        <v>1</v>
      </c>
      <c r="R19" s="88">
        <v>1</v>
      </c>
      <c r="S19" s="88">
        <v>1</v>
      </c>
      <c r="T19" s="88"/>
      <c r="U19" s="88"/>
      <c r="V19" s="218"/>
      <c r="W19" s="59">
        <f t="shared" si="0"/>
        <v>5.2</v>
      </c>
      <c r="X19" s="69">
        <f t="shared" si="1"/>
        <v>4</v>
      </c>
      <c r="Y19" s="219">
        <f t="shared" si="2"/>
        <v>9.1999999999999993</v>
      </c>
      <c r="Z19" s="71">
        <f>'[1]cálculos teóricos'!I318</f>
        <v>13.040375918294128</v>
      </c>
      <c r="AA19" s="72">
        <f t="shared" si="3"/>
        <v>70.55011341424192</v>
      </c>
      <c r="AB19" s="3"/>
    </row>
    <row r="20" spans="1:28" ht="18" customHeight="1">
      <c r="A20" s="92">
        <v>12</v>
      </c>
      <c r="B20" s="77">
        <v>33.799999999999997</v>
      </c>
      <c r="C20" s="75">
        <f>'[1]cálculos teóricos'!K319</f>
        <v>1.0394602061471769</v>
      </c>
      <c r="D20" s="59">
        <f t="shared" si="4"/>
        <v>511.67044047318507</v>
      </c>
      <c r="E20" s="60">
        <f t="shared" si="5"/>
        <v>21.422618001731312</v>
      </c>
      <c r="F20" s="61">
        <f t="shared" si="6"/>
        <v>27.107354982164139</v>
      </c>
      <c r="G20" s="62">
        <f>'[1]cálculos teóricos'!T319</f>
        <v>41.137802076023092</v>
      </c>
      <c r="H20" s="76">
        <f t="shared" si="7"/>
        <v>65.894028397699657</v>
      </c>
      <c r="I20" s="80"/>
      <c r="J20" s="88">
        <v>0.5</v>
      </c>
      <c r="K20" s="88">
        <v>1</v>
      </c>
      <c r="L20" s="88">
        <v>1</v>
      </c>
      <c r="M20" s="88">
        <v>1</v>
      </c>
      <c r="N20" s="88">
        <v>1</v>
      </c>
      <c r="O20" s="79">
        <v>1</v>
      </c>
      <c r="P20" s="89">
        <v>1</v>
      </c>
      <c r="Q20" s="88">
        <v>1</v>
      </c>
      <c r="R20" s="88">
        <v>1</v>
      </c>
      <c r="S20" s="88">
        <v>1</v>
      </c>
      <c r="T20" s="88">
        <v>0.9</v>
      </c>
      <c r="U20" s="88">
        <v>0.4</v>
      </c>
      <c r="V20" s="218"/>
      <c r="W20" s="59">
        <f t="shared" si="0"/>
        <v>5.5</v>
      </c>
      <c r="X20" s="69">
        <f t="shared" si="1"/>
        <v>5.3000000000000007</v>
      </c>
      <c r="Y20" s="219">
        <f t="shared" si="2"/>
        <v>10.8</v>
      </c>
      <c r="Z20" s="71">
        <f>'[1]cálculos teóricos'!I319</f>
        <v>13.058356689623087</v>
      </c>
      <c r="AA20" s="72">
        <f t="shared" si="3"/>
        <v>82.705659346725412</v>
      </c>
      <c r="AB20" s="3"/>
    </row>
    <row r="21" spans="1:28" ht="18" customHeight="1">
      <c r="A21" s="92">
        <v>13</v>
      </c>
      <c r="B21" s="77">
        <v>34.4</v>
      </c>
      <c r="C21" s="75">
        <f>'[1]cálculos teóricos'!K320</f>
        <v>1.0396966835051891</v>
      </c>
      <c r="D21" s="59">
        <f t="shared" si="4"/>
        <v>520.87181916783709</v>
      </c>
      <c r="E21" s="60">
        <f t="shared" si="5"/>
        <v>21.807861324919003</v>
      </c>
      <c r="F21" s="61">
        <f t="shared" si="6"/>
        <v>27.588909136148754</v>
      </c>
      <c r="G21" s="62">
        <f>'[1]cálculos teóricos'!T320</f>
        <v>41.226549621502578</v>
      </c>
      <c r="H21" s="76">
        <f t="shared" si="7"/>
        <v>66.920247727350869</v>
      </c>
      <c r="I21" s="80"/>
      <c r="J21" s="88">
        <v>1</v>
      </c>
      <c r="K21" s="88">
        <v>1</v>
      </c>
      <c r="L21" s="88">
        <v>1</v>
      </c>
      <c r="M21" s="88">
        <v>1</v>
      </c>
      <c r="N21" s="88">
        <v>1</v>
      </c>
      <c r="O21" s="79">
        <v>1</v>
      </c>
      <c r="P21" s="89">
        <v>1</v>
      </c>
      <c r="Q21" s="88">
        <v>1</v>
      </c>
      <c r="R21" s="88">
        <v>1</v>
      </c>
      <c r="S21" s="88">
        <v>0.9</v>
      </c>
      <c r="T21" s="88">
        <v>0.6</v>
      </c>
      <c r="U21" s="88"/>
      <c r="V21" s="218"/>
      <c r="W21" s="59">
        <f t="shared" si="0"/>
        <v>6</v>
      </c>
      <c r="X21" s="69">
        <f t="shared" si="1"/>
        <v>4.5</v>
      </c>
      <c r="Y21" s="219">
        <f t="shared" si="2"/>
        <v>10.5</v>
      </c>
      <c r="Z21" s="71">
        <f>'[1]cálculos teóricos'!I320</f>
        <v>13.076067167451267</v>
      </c>
      <c r="AA21" s="72">
        <f t="shared" si="3"/>
        <v>80.299373393679318</v>
      </c>
      <c r="AB21" s="3"/>
    </row>
    <row r="22" spans="1:28" ht="18" customHeight="1">
      <c r="A22" s="92">
        <v>14</v>
      </c>
      <c r="B22" s="77">
        <v>28.2</v>
      </c>
      <c r="C22" s="75">
        <f>'[1]cálculos teóricos'!K321</f>
        <v>1.0399238773072104</v>
      </c>
      <c r="D22" s="59">
        <f t="shared" si="4"/>
        <v>427.08706511801233</v>
      </c>
      <c r="E22" s="60">
        <f t="shared" si="5"/>
        <v>17.881281242360942</v>
      </c>
      <c r="F22" s="61">
        <f t="shared" si="6"/>
        <v>22.68068403295117</v>
      </c>
      <c r="G22" s="62">
        <f>'[1]cálculos teóricos'!T321</f>
        <v>41.31305123505652</v>
      </c>
      <c r="H22" s="76">
        <f t="shared" si="7"/>
        <v>54.89956165161022</v>
      </c>
      <c r="I22" s="80"/>
      <c r="J22" s="88">
        <v>1</v>
      </c>
      <c r="K22" s="88">
        <v>1</v>
      </c>
      <c r="L22" s="88">
        <v>1</v>
      </c>
      <c r="M22" s="88">
        <v>1</v>
      </c>
      <c r="N22" s="88">
        <v>1</v>
      </c>
      <c r="O22" s="79">
        <v>1</v>
      </c>
      <c r="P22" s="89">
        <v>0.9</v>
      </c>
      <c r="Q22" s="88">
        <v>0.7</v>
      </c>
      <c r="R22" s="88">
        <v>0.6</v>
      </c>
      <c r="S22" s="88"/>
      <c r="T22" s="88"/>
      <c r="U22" s="88"/>
      <c r="V22" s="218"/>
      <c r="W22" s="59">
        <f t="shared" si="0"/>
        <v>6</v>
      </c>
      <c r="X22" s="69">
        <f t="shared" si="1"/>
        <v>2.2000000000000002</v>
      </c>
      <c r="Y22" s="219">
        <f t="shared" si="2"/>
        <v>8.1999999999999993</v>
      </c>
      <c r="Z22" s="71">
        <f>'[1]cálculos teóricos'!I321</f>
        <v>13.093497923865337</v>
      </c>
      <c r="AA22" s="72">
        <f t="shared" si="3"/>
        <v>62.626503992137749</v>
      </c>
      <c r="AB22" s="3"/>
    </row>
    <row r="23" spans="1:28" ht="18" customHeight="1">
      <c r="A23" s="92">
        <v>15</v>
      </c>
      <c r="B23" s="77">
        <v>36.1</v>
      </c>
      <c r="C23" s="75">
        <f>'[1]cálculos teóricos'!K322</f>
        <v>1.0401419721063272</v>
      </c>
      <c r="D23" s="59">
        <f t="shared" si="4"/>
        <v>546.84668474881494</v>
      </c>
      <c r="E23" s="60">
        <f t="shared" si="5"/>
        <v>22.89537699706338</v>
      </c>
      <c r="F23" s="61">
        <f t="shared" si="6"/>
        <v>28.948303726329229</v>
      </c>
      <c r="G23" s="62">
        <f>'[1]cálculos teóricos'!T322</f>
        <v>41.397310628066037</v>
      </c>
      <c r="H23" s="76">
        <f t="shared" si="7"/>
        <v>69.927981521348428</v>
      </c>
      <c r="I23" s="80"/>
      <c r="J23" s="88">
        <v>0.8</v>
      </c>
      <c r="K23" s="88">
        <v>1</v>
      </c>
      <c r="L23" s="88">
        <v>1</v>
      </c>
      <c r="M23" s="88">
        <v>1</v>
      </c>
      <c r="N23" s="88">
        <v>0.8</v>
      </c>
      <c r="O23" s="79">
        <v>1</v>
      </c>
      <c r="P23" s="89">
        <v>1</v>
      </c>
      <c r="Q23" s="88">
        <v>1</v>
      </c>
      <c r="R23" s="88">
        <v>1</v>
      </c>
      <c r="S23" s="88">
        <v>1</v>
      </c>
      <c r="T23" s="88">
        <v>1</v>
      </c>
      <c r="U23" s="88">
        <v>0.1</v>
      </c>
      <c r="V23" s="218"/>
      <c r="W23" s="59">
        <f t="shared" si="0"/>
        <v>5.6</v>
      </c>
      <c r="X23" s="69">
        <f t="shared" si="1"/>
        <v>5.0999999999999996</v>
      </c>
      <c r="Y23" s="219">
        <f t="shared" si="2"/>
        <v>10.7</v>
      </c>
      <c r="Z23" s="71">
        <f>'[1]cálculos teóricos'!I322</f>
        <v>13.110639447207307</v>
      </c>
      <c r="AA23" s="72">
        <f t="shared" si="3"/>
        <v>81.613105471214865</v>
      </c>
      <c r="AB23" s="3"/>
    </row>
    <row r="24" spans="1:28" ht="18" customHeight="1">
      <c r="A24" s="92">
        <v>16</v>
      </c>
      <c r="B24" s="77">
        <v>28.4</v>
      </c>
      <c r="C24" s="75">
        <f>'[1]cálculos teóricos'!K323</f>
        <v>1.0403511555409204</v>
      </c>
      <c r="D24" s="59">
        <f t="shared" si="4"/>
        <v>430.29277512565352</v>
      </c>
      <c r="E24" s="60">
        <f t="shared" si="5"/>
        <v>18.01549790896086</v>
      </c>
      <c r="F24" s="61">
        <f t="shared" si="6"/>
        <v>22.848454866201077</v>
      </c>
      <c r="G24" s="62">
        <f>'[1]cálculos teóricos'!T323</f>
        <v>41.479332364548611</v>
      </c>
      <c r="H24" s="76">
        <f t="shared" si="7"/>
        <v>55.083950400631572</v>
      </c>
      <c r="I24" s="80"/>
      <c r="J24" s="88"/>
      <c r="K24" s="88">
        <v>0.3</v>
      </c>
      <c r="L24" s="88">
        <v>0.2</v>
      </c>
      <c r="M24" s="88">
        <v>0.7</v>
      </c>
      <c r="N24" s="88">
        <v>0.8</v>
      </c>
      <c r="O24" s="79">
        <v>0.3</v>
      </c>
      <c r="P24" s="89">
        <v>0.8</v>
      </c>
      <c r="Q24" s="88">
        <v>0.5</v>
      </c>
      <c r="R24" s="88"/>
      <c r="S24" s="88"/>
      <c r="T24" s="88"/>
      <c r="U24" s="88"/>
      <c r="V24" s="218"/>
      <c r="W24" s="59">
        <f t="shared" si="0"/>
        <v>2.2999999999999998</v>
      </c>
      <c r="X24" s="69">
        <f t="shared" si="1"/>
        <v>1.3</v>
      </c>
      <c r="Y24" s="219">
        <f t="shared" si="2"/>
        <v>3.5999999999999996</v>
      </c>
      <c r="Z24" s="71">
        <f>'[1]cálculos teóricos'!I323</f>
        <v>13.127482153978651</v>
      </c>
      <c r="AA24" s="72">
        <f t="shared" si="3"/>
        <v>27.423385214116774</v>
      </c>
      <c r="AB24" s="3"/>
    </row>
    <row r="25" spans="1:28" ht="18" customHeight="1">
      <c r="A25" s="92">
        <v>17</v>
      </c>
      <c r="B25" s="77">
        <v>30.9</v>
      </c>
      <c r="C25" s="75">
        <f>'[1]cálculos teóricos'!K324</f>
        <v>1.0405516179248628</v>
      </c>
      <c r="D25" s="59">
        <f t="shared" si="4"/>
        <v>468.26087076834602</v>
      </c>
      <c r="E25" s="60">
        <f t="shared" si="5"/>
        <v>19.605146137329111</v>
      </c>
      <c r="F25" s="61">
        <f t="shared" si="6"/>
        <v>24.83551515166139</v>
      </c>
      <c r="G25" s="62">
        <f>'[1]cálculos teóricos'!T324</f>
        <v>41.559121810132794</v>
      </c>
      <c r="H25" s="76">
        <f t="shared" si="7"/>
        <v>59.759480157268584</v>
      </c>
      <c r="I25" s="80"/>
      <c r="J25" s="88"/>
      <c r="K25" s="88">
        <v>0.2</v>
      </c>
      <c r="L25" s="88">
        <v>1</v>
      </c>
      <c r="M25" s="88">
        <v>1</v>
      </c>
      <c r="N25" s="88">
        <v>1</v>
      </c>
      <c r="O25" s="79">
        <v>0.9</v>
      </c>
      <c r="P25" s="89">
        <v>0.8</v>
      </c>
      <c r="Q25" s="88">
        <v>0.5</v>
      </c>
      <c r="R25" s="88">
        <v>1</v>
      </c>
      <c r="S25" s="88">
        <v>0.4</v>
      </c>
      <c r="T25" s="88">
        <v>0.2</v>
      </c>
      <c r="U25" s="88"/>
      <c r="V25" s="218"/>
      <c r="W25" s="59">
        <f t="shared" si="0"/>
        <v>4.1000000000000005</v>
      </c>
      <c r="X25" s="69">
        <f t="shared" si="1"/>
        <v>2.9</v>
      </c>
      <c r="Y25" s="219">
        <f t="shared" si="2"/>
        <v>7</v>
      </c>
      <c r="Z25" s="71">
        <f>'[1]cálculos teóricos'!I324</f>
        <v>13.144016401488095</v>
      </c>
      <c r="AA25" s="72">
        <f t="shared" si="3"/>
        <v>53.256172133256754</v>
      </c>
      <c r="AB25" s="3"/>
    </row>
    <row r="26" spans="1:28" ht="18" customHeight="1">
      <c r="A26" s="92">
        <v>18</v>
      </c>
      <c r="B26" s="77">
        <v>31.9</v>
      </c>
      <c r="C26" s="75">
        <f>'[1]cálculos teóricos'!K325</f>
        <v>1.0407435518268184</v>
      </c>
      <c r="D26" s="59">
        <f t="shared" si="4"/>
        <v>483.50411207325283</v>
      </c>
      <c r="E26" s="60">
        <f t="shared" si="5"/>
        <v>20.243350164282948</v>
      </c>
      <c r="F26" s="61">
        <f t="shared" si="6"/>
        <v>25.633270185353691</v>
      </c>
      <c r="G26" s="62">
        <f>'[1]cálculos teóricos'!T325</f>
        <v>41.636685079129691</v>
      </c>
      <c r="H26" s="76">
        <f t="shared" si="7"/>
        <v>61.564147425853356</v>
      </c>
      <c r="I26" s="80"/>
      <c r="J26" s="88">
        <v>0.2</v>
      </c>
      <c r="K26" s="88">
        <v>1</v>
      </c>
      <c r="L26" s="88">
        <v>1</v>
      </c>
      <c r="M26" s="88">
        <v>1</v>
      </c>
      <c r="N26" s="88">
        <v>1</v>
      </c>
      <c r="O26" s="79">
        <v>0.7</v>
      </c>
      <c r="P26" s="89">
        <v>0.5</v>
      </c>
      <c r="Q26" s="88">
        <v>0.2</v>
      </c>
      <c r="R26" s="88">
        <v>0.9</v>
      </c>
      <c r="S26" s="88">
        <v>0.3</v>
      </c>
      <c r="T26" s="88"/>
      <c r="U26" s="88"/>
      <c r="V26" s="218"/>
      <c r="W26" s="59">
        <f t="shared" si="0"/>
        <v>4.9000000000000004</v>
      </c>
      <c r="X26" s="69">
        <f t="shared" si="1"/>
        <v>1.9000000000000001</v>
      </c>
      <c r="Y26" s="219">
        <f t="shared" si="2"/>
        <v>6.8000000000000007</v>
      </c>
      <c r="Z26" s="71">
        <f>'[1]cálculos teóricos'!I325</f>
        <v>13.160232501230519</v>
      </c>
      <c r="AA26" s="72">
        <f t="shared" si="3"/>
        <v>51.670819640642229</v>
      </c>
      <c r="AB26" s="3"/>
    </row>
    <row r="27" spans="1:28" ht="18" customHeight="1">
      <c r="A27" s="81">
        <v>19</v>
      </c>
      <c r="B27" s="77">
        <v>7.2</v>
      </c>
      <c r="C27" s="75">
        <f>'[1]cálculos teóricos'!K326</f>
        <v>1.0409271516395178</v>
      </c>
      <c r="D27" s="59">
        <f t="shared" si="4"/>
        <v>109.14870652489523</v>
      </c>
      <c r="E27" s="60">
        <f t="shared" si="5"/>
        <v>4.5698380447843139</v>
      </c>
      <c r="F27" s="61">
        <f t="shared" si="6"/>
        <v>6.0413800359803931</v>
      </c>
      <c r="G27" s="62">
        <f>'[1]cálculos teóricos'!T326</f>
        <v>41.712028979849315</v>
      </c>
      <c r="H27" s="76">
        <f t="shared" si="7"/>
        <v>14.483543917029129</v>
      </c>
      <c r="I27" s="80"/>
      <c r="J27" s="88"/>
      <c r="K27" s="88"/>
      <c r="L27" s="88"/>
      <c r="M27" s="88">
        <v>0.1</v>
      </c>
      <c r="N27" s="88">
        <v>0.1</v>
      </c>
      <c r="O27" s="79"/>
      <c r="P27" s="89"/>
      <c r="Q27" s="88"/>
      <c r="R27" s="88"/>
      <c r="S27" s="88"/>
      <c r="T27" s="88"/>
      <c r="U27" s="88"/>
      <c r="V27" s="218"/>
      <c r="W27" s="59">
        <f t="shared" si="0"/>
        <v>0.2</v>
      </c>
      <c r="X27" s="69">
        <f t="shared" si="1"/>
        <v>0</v>
      </c>
      <c r="Y27" s="219">
        <f t="shared" si="2"/>
        <v>0.2</v>
      </c>
      <c r="Z27" s="71">
        <f>'[1]cálculos teóricos'!I326</f>
        <v>13.176120732980356</v>
      </c>
      <c r="AA27" s="72">
        <f t="shared" si="3"/>
        <v>1.5178974453337546</v>
      </c>
      <c r="AB27" s="3"/>
    </row>
    <row r="28" spans="1:28" ht="18" customHeight="1">
      <c r="A28" s="81">
        <v>20</v>
      </c>
      <c r="B28" s="77">
        <v>17.100000000000001</v>
      </c>
      <c r="C28" s="75">
        <f>'[1]cálculos teóricos'!K327</f>
        <v>1.0411026131399503</v>
      </c>
      <c r="D28" s="59">
        <f t="shared" si="4"/>
        <v>259.27187420052871</v>
      </c>
      <c r="E28" s="60">
        <f t="shared" si="5"/>
        <v>10.855194829027736</v>
      </c>
      <c r="F28" s="61">
        <f t="shared" si="6"/>
        <v>13.898076016284669</v>
      </c>
      <c r="G28" s="62">
        <f>'[1]cálculos teóricos'!T327</f>
        <v>41.785160958320809</v>
      </c>
      <c r="H28" s="76">
        <f t="shared" si="7"/>
        <v>33.260793299677601</v>
      </c>
      <c r="I28" s="80"/>
      <c r="J28" s="88"/>
      <c r="K28" s="88"/>
      <c r="L28" s="88"/>
      <c r="M28" s="88"/>
      <c r="N28" s="88">
        <v>0.8</v>
      </c>
      <c r="O28" s="79">
        <v>0.4</v>
      </c>
      <c r="P28" s="89">
        <v>0.2</v>
      </c>
      <c r="Q28" s="88"/>
      <c r="R28" s="88"/>
      <c r="S28" s="88"/>
      <c r="T28" s="88"/>
      <c r="U28" s="88"/>
      <c r="V28" s="218"/>
      <c r="W28" s="59">
        <f t="shared" si="0"/>
        <v>1.2000000000000002</v>
      </c>
      <c r="X28" s="69">
        <f t="shared" si="1"/>
        <v>0.2</v>
      </c>
      <c r="Y28" s="219">
        <f t="shared" si="2"/>
        <v>1.4000000000000001</v>
      </c>
      <c r="Z28" s="71">
        <f>'[1]cálculos teóricos'!I327</f>
        <v>13.191671359578162</v>
      </c>
      <c r="AA28" s="72">
        <f t="shared" si="3"/>
        <v>10.612756805705995</v>
      </c>
      <c r="AB28" s="3"/>
    </row>
    <row r="29" spans="1:28" ht="18" customHeight="1">
      <c r="A29" s="81">
        <v>21</v>
      </c>
      <c r="B29" s="77">
        <v>28.2</v>
      </c>
      <c r="C29" s="75">
        <f>'[1]cálculos teóricos'!K328</f>
        <v>1.0412701330414673</v>
      </c>
      <c r="D29" s="59">
        <f t="shared" si="4"/>
        <v>427.63995982789334</v>
      </c>
      <c r="E29" s="60">
        <f t="shared" si="5"/>
        <v>17.90442983807424</v>
      </c>
      <c r="F29" s="61">
        <f t="shared" si="6"/>
        <v>22.709619777592792</v>
      </c>
      <c r="G29" s="62">
        <f>'[1]cálculos teóricos'!T328</f>
        <v>41.856089040582916</v>
      </c>
      <c r="H29" s="76">
        <f t="shared" si="7"/>
        <v>54.256430302348484</v>
      </c>
      <c r="I29" s="80"/>
      <c r="J29" s="88"/>
      <c r="K29" s="88">
        <v>0.2</v>
      </c>
      <c r="L29" s="88">
        <v>1</v>
      </c>
      <c r="M29" s="88">
        <v>1</v>
      </c>
      <c r="N29" s="88">
        <v>0.9</v>
      </c>
      <c r="O29" s="78">
        <v>1</v>
      </c>
      <c r="P29" s="89">
        <v>1</v>
      </c>
      <c r="Q29" s="88">
        <v>0.9</v>
      </c>
      <c r="R29" s="88">
        <v>0.8</v>
      </c>
      <c r="S29" s="88">
        <v>0.4</v>
      </c>
      <c r="T29" s="88"/>
      <c r="U29" s="88"/>
      <c r="V29" s="218"/>
      <c r="W29" s="59">
        <f t="shared" si="0"/>
        <v>4.0999999999999996</v>
      </c>
      <c r="X29" s="69">
        <f t="shared" si="1"/>
        <v>3.1</v>
      </c>
      <c r="Y29" s="219">
        <f t="shared" si="2"/>
        <v>7.1999999999999993</v>
      </c>
      <c r="Z29" s="71">
        <f>'[1]cálculos teóricos'!I328</f>
        <v>13.206874642384781</v>
      </c>
      <c r="AA29" s="72">
        <f t="shared" si="3"/>
        <v>54.51706171945527</v>
      </c>
      <c r="AB29" s="3"/>
    </row>
    <row r="30" spans="1:28" ht="18" customHeight="1">
      <c r="A30" s="92">
        <v>22</v>
      </c>
      <c r="B30" s="77">
        <v>32.6</v>
      </c>
      <c r="C30" s="75">
        <f>'[1]cálculos teóricos'!K329</f>
        <v>1.0414299085388574</v>
      </c>
      <c r="D30" s="59">
        <f t="shared" si="4"/>
        <v>494.4397818199842</v>
      </c>
      <c r="E30" s="60">
        <f t="shared" si="5"/>
        <v>20.701204785239096</v>
      </c>
      <c r="F30" s="61">
        <f t="shared" si="6"/>
        <v>26.205588461548874</v>
      </c>
      <c r="G30" s="62">
        <f>'[1]cálculos teóricos'!T329</f>
        <v>41.924821773720296</v>
      </c>
      <c r="H30" s="76">
        <f t="shared" si="7"/>
        <v>62.506141595514904</v>
      </c>
      <c r="I30" s="80"/>
      <c r="J30" s="88">
        <v>0.3</v>
      </c>
      <c r="K30" s="88">
        <v>0.9</v>
      </c>
      <c r="L30" s="88"/>
      <c r="M30" s="88">
        <v>0.8</v>
      </c>
      <c r="N30" s="88">
        <v>1</v>
      </c>
      <c r="O30" s="79">
        <v>1</v>
      </c>
      <c r="P30" s="89">
        <v>1</v>
      </c>
      <c r="Q30" s="88">
        <v>1</v>
      </c>
      <c r="R30" s="88">
        <v>0.5</v>
      </c>
      <c r="S30" s="88"/>
      <c r="T30" s="88"/>
      <c r="U30" s="88"/>
      <c r="V30" s="218"/>
      <c r="W30" s="59">
        <f t="shared" si="0"/>
        <v>4</v>
      </c>
      <c r="X30" s="69">
        <f t="shared" si="1"/>
        <v>2.5</v>
      </c>
      <c r="Y30" s="219">
        <f t="shared" si="2"/>
        <v>6.5</v>
      </c>
      <c r="Z30" s="71">
        <f>'[1]cálculos teóricos'!I329</f>
        <v>13.221720857372709</v>
      </c>
      <c r="AA30" s="72">
        <f t="shared" si="3"/>
        <v>49.161527989569251</v>
      </c>
      <c r="AB30" s="3"/>
    </row>
    <row r="31" spans="1:28" ht="18" customHeight="1">
      <c r="A31" s="92">
        <v>23</v>
      </c>
      <c r="B31" s="77">
        <v>17.600000000000001</v>
      </c>
      <c r="C31" s="75">
        <f>'[1]cálculos teóricos'!K330</f>
        <v>1.0415821368474991</v>
      </c>
      <c r="D31" s="59">
        <f t="shared" si="4"/>
        <v>266.9758335196226</v>
      </c>
      <c r="E31" s="60">
        <f t="shared" si="5"/>
        <v>11.177744197799559</v>
      </c>
      <c r="F31" s="61">
        <f t="shared" si="6"/>
        <v>14.301262727249448</v>
      </c>
      <c r="G31" s="62">
        <f>'[1]cálculos teóricos'!T330</f>
        <v>41.991368165827453</v>
      </c>
      <c r="H31" s="76">
        <f t="shared" si="7"/>
        <v>34.057625059446877</v>
      </c>
      <c r="I31" s="80"/>
      <c r="J31" s="88"/>
      <c r="K31" s="88"/>
      <c r="L31" s="88"/>
      <c r="M31" s="88"/>
      <c r="N31" s="88"/>
      <c r="O31" s="79">
        <v>0.2</v>
      </c>
      <c r="P31" s="89">
        <v>0.6</v>
      </c>
      <c r="Q31" s="88"/>
      <c r="R31" s="88"/>
      <c r="S31" s="88">
        <v>0.4</v>
      </c>
      <c r="T31" s="88"/>
      <c r="U31" s="88"/>
      <c r="V31" s="218"/>
      <c r="W31" s="59">
        <f t="shared" si="0"/>
        <v>0.2</v>
      </c>
      <c r="X31" s="69">
        <f t="shared" si="1"/>
        <v>1</v>
      </c>
      <c r="Y31" s="219">
        <f t="shared" si="2"/>
        <v>1.2</v>
      </c>
      <c r="Z31" s="71">
        <f>'[1]cálculos teóricos'!I330</f>
        <v>13.236200311819495</v>
      </c>
      <c r="AA31" s="72">
        <f t="shared" si="3"/>
        <v>9.0660459325962233</v>
      </c>
      <c r="AB31" s="3"/>
    </row>
    <row r="32" spans="1:28" ht="18" customHeight="1">
      <c r="A32" s="92">
        <v>24</v>
      </c>
      <c r="B32" s="77">
        <v>8.8000000000000007</v>
      </c>
      <c r="C32" s="75">
        <f>'[1]cálculos teóricos'!K331</f>
        <v>1.0417270147377604</v>
      </c>
      <c r="D32" s="59">
        <f t="shared" si="4"/>
        <v>133.5064841363737</v>
      </c>
      <c r="E32" s="60">
        <f t="shared" si="5"/>
        <v>5.5896494778216939</v>
      </c>
      <c r="F32" s="61">
        <f t="shared" si="6"/>
        <v>7.3161443272771178</v>
      </c>
      <c r="G32" s="62">
        <f>'[1]cálculos teóricos'!T331</f>
        <v>42.055737625089591</v>
      </c>
      <c r="H32" s="76">
        <f t="shared" si="7"/>
        <v>17.39630485737208</v>
      </c>
      <c r="I32" s="80"/>
      <c r="J32" s="88"/>
      <c r="K32" s="88"/>
      <c r="L32" s="88"/>
      <c r="M32" s="88"/>
      <c r="N32" s="88"/>
      <c r="O32" s="79"/>
      <c r="P32" s="89"/>
      <c r="Q32" s="88"/>
      <c r="R32" s="88"/>
      <c r="S32" s="88"/>
      <c r="T32" s="88"/>
      <c r="U32" s="88"/>
      <c r="V32" s="218"/>
      <c r="W32" s="59">
        <f t="shared" si="0"/>
        <v>0</v>
      </c>
      <c r="X32" s="69">
        <f t="shared" si="1"/>
        <v>0</v>
      </c>
      <c r="Y32" s="219">
        <f t="shared" si="2"/>
        <v>0</v>
      </c>
      <c r="Z32" s="71">
        <f>'[1]cálculos teóricos'!I331</f>
        <v>13.250303361563352</v>
      </c>
      <c r="AA32" s="72">
        <f t="shared" si="3"/>
        <v>0</v>
      </c>
      <c r="AB32" s="3"/>
    </row>
    <row r="33" spans="1:28" ht="18" customHeight="1">
      <c r="A33" s="92">
        <v>25</v>
      </c>
      <c r="B33" s="77">
        <v>10.5</v>
      </c>
      <c r="C33" s="75">
        <f>'[1]cálculos teóricos'!K332</f>
        <v>1.0418647380658455</v>
      </c>
      <c r="D33" s="59">
        <f t="shared" si="4"/>
        <v>159.31856968463038</v>
      </c>
      <c r="E33" s="60">
        <f t="shared" si="5"/>
        <v>6.6703498755561039</v>
      </c>
      <c r="F33" s="61">
        <f t="shared" si="6"/>
        <v>8.6670198244451306</v>
      </c>
      <c r="G33" s="62">
        <f>'[1]cálculos teóricos'!T332</f>
        <v>42.117939898174072</v>
      </c>
      <c r="H33" s="76">
        <f t="shared" si="7"/>
        <v>20.57797661851184</v>
      </c>
      <c r="I33" s="80"/>
      <c r="J33" s="88"/>
      <c r="K33" s="88"/>
      <c r="L33" s="88"/>
      <c r="M33" s="88"/>
      <c r="N33" s="88"/>
      <c r="O33" s="79"/>
      <c r="P33" s="89"/>
      <c r="Q33" s="88"/>
      <c r="R33" s="88"/>
      <c r="S33" s="88"/>
      <c r="T33" s="88"/>
      <c r="U33" s="88"/>
      <c r="V33" s="218"/>
      <c r="W33" s="59">
        <f t="shared" si="0"/>
        <v>0</v>
      </c>
      <c r="X33" s="69">
        <f t="shared" si="1"/>
        <v>0</v>
      </c>
      <c r="Y33" s="219">
        <f t="shared" si="2"/>
        <v>0</v>
      </c>
      <c r="Z33" s="71">
        <f>'[1]cálculos teóricos'!I332</f>
        <v>13.264020428776165</v>
      </c>
      <c r="AA33" s="72">
        <f t="shared" si="3"/>
        <v>0</v>
      </c>
      <c r="AB33" s="3"/>
    </row>
    <row r="34" spans="1:28" ht="18" customHeight="1">
      <c r="A34" s="92">
        <v>26</v>
      </c>
      <c r="B34" s="77">
        <v>21.3</v>
      </c>
      <c r="C34" s="75">
        <f>'[1]cálculos teóricos'!K333</f>
        <v>1.0419955013023439</v>
      </c>
      <c r="D34" s="59">
        <f t="shared" si="4"/>
        <v>323.22966159251541</v>
      </c>
      <c r="E34" s="60">
        <f t="shared" si="5"/>
        <v>13.532979471555434</v>
      </c>
      <c r="F34" s="61">
        <f t="shared" si="6"/>
        <v>17.245306819444295</v>
      </c>
      <c r="G34" s="62">
        <f>'[1]cálculos teóricos'!T333</f>
        <v>42.17798500813155</v>
      </c>
      <c r="H34" s="76">
        <f t="shared" si="7"/>
        <v>40.886985985981902</v>
      </c>
      <c r="I34" s="80"/>
      <c r="J34" s="88"/>
      <c r="K34" s="88"/>
      <c r="L34" s="88"/>
      <c r="M34" s="88">
        <v>0.1</v>
      </c>
      <c r="N34" s="88">
        <v>0.1</v>
      </c>
      <c r="O34" s="79"/>
      <c r="P34" s="89"/>
      <c r="Q34" s="88">
        <v>0.1</v>
      </c>
      <c r="R34" s="88"/>
      <c r="S34" s="88"/>
      <c r="T34" s="88"/>
      <c r="U34" s="88"/>
      <c r="V34" s="218"/>
      <c r="W34" s="59">
        <f t="shared" si="0"/>
        <v>0.2</v>
      </c>
      <c r="X34" s="69">
        <f t="shared" si="1"/>
        <v>0.1</v>
      </c>
      <c r="Y34" s="219">
        <f t="shared" si="2"/>
        <v>0.30000000000000004</v>
      </c>
      <c r="Z34" s="71">
        <f>'[1]cálculos teóricos'!I333</f>
        <v>13.277342020204403</v>
      </c>
      <c r="AA34" s="72">
        <f t="shared" si="3"/>
        <v>2.2594883791009068</v>
      </c>
      <c r="AB34" s="3"/>
    </row>
    <row r="35" spans="1:28" ht="18" customHeight="1">
      <c r="A35" s="92">
        <v>27</v>
      </c>
      <c r="B35" s="77">
        <v>19.100000000000001</v>
      </c>
      <c r="C35" s="75">
        <f>'[1]cálculos teóricos'!K334</f>
        <v>1.0421194970597658</v>
      </c>
      <c r="D35" s="59">
        <f t="shared" si="4"/>
        <v>289.87892934271116</v>
      </c>
      <c r="E35" s="60">
        <f t="shared" si="5"/>
        <v>12.13665101372063</v>
      </c>
      <c r="F35" s="61">
        <f t="shared" si="6"/>
        <v>15.499896247150788</v>
      </c>
      <c r="G35" s="62">
        <f>'[1]cálculos teóricos'!T334</f>
        <v>42.235883192008956</v>
      </c>
      <c r="H35" s="76">
        <f t="shared" si="7"/>
        <v>36.698406842083926</v>
      </c>
      <c r="I35" s="80"/>
      <c r="J35" s="88">
        <v>0.1</v>
      </c>
      <c r="K35" s="88">
        <v>0.2</v>
      </c>
      <c r="L35" s="88"/>
      <c r="M35" s="88"/>
      <c r="N35" s="88"/>
      <c r="O35" s="79"/>
      <c r="P35" s="89"/>
      <c r="Q35" s="88"/>
      <c r="R35" s="88">
        <v>0.5</v>
      </c>
      <c r="S35" s="88">
        <v>0.2</v>
      </c>
      <c r="T35" s="88"/>
      <c r="U35" s="88"/>
      <c r="V35" s="218"/>
      <c r="W35" s="59">
        <f t="shared" si="0"/>
        <v>0.30000000000000004</v>
      </c>
      <c r="X35" s="69">
        <f t="shared" si="1"/>
        <v>0.7</v>
      </c>
      <c r="Y35" s="219">
        <f t="shared" si="2"/>
        <v>1</v>
      </c>
      <c r="Z35" s="71">
        <f>'[1]cálculos teóricos'!I334</f>
        <v>13.290258745823692</v>
      </c>
      <c r="AA35" s="72">
        <f t="shared" si="3"/>
        <v>7.524307984705251</v>
      </c>
      <c r="AB35" s="3"/>
    </row>
    <row r="36" spans="1:28" ht="18" customHeight="1">
      <c r="A36" s="92">
        <v>28</v>
      </c>
      <c r="B36" s="77">
        <v>21.5</v>
      </c>
      <c r="C36" s="75">
        <f>'[1]cálculos teóricos'!K335</f>
        <v>1.0422369156203868</v>
      </c>
      <c r="D36" s="59">
        <f t="shared" si="4"/>
        <v>326.34027239370636</v>
      </c>
      <c r="E36" s="60">
        <f t="shared" si="5"/>
        <v>13.663214524579699</v>
      </c>
      <c r="F36" s="61">
        <f t="shared" si="6"/>
        <v>17.408100635724622</v>
      </c>
      <c r="G36" s="62">
        <f>'[1]cálculos teóricos'!T335</f>
        <v>42.291644838379867</v>
      </c>
      <c r="H36" s="76">
        <f t="shared" si="7"/>
        <v>41.162032600649027</v>
      </c>
      <c r="I36" s="80"/>
      <c r="J36" s="88"/>
      <c r="K36" s="88"/>
      <c r="L36" s="88"/>
      <c r="M36" s="88"/>
      <c r="N36" s="88"/>
      <c r="O36" s="79">
        <v>0.3</v>
      </c>
      <c r="P36" s="89">
        <v>0.5</v>
      </c>
      <c r="Q36" s="88"/>
      <c r="R36" s="88">
        <v>0.4</v>
      </c>
      <c r="S36" s="88">
        <v>0.9</v>
      </c>
      <c r="T36" s="88">
        <v>0.1</v>
      </c>
      <c r="U36" s="88"/>
      <c r="V36" s="218"/>
      <c r="W36" s="59">
        <f t="shared" si="0"/>
        <v>0.3</v>
      </c>
      <c r="X36" s="69">
        <f t="shared" si="1"/>
        <v>1.9000000000000001</v>
      </c>
      <c r="Y36" s="219">
        <f>W36+X36</f>
        <v>2.2000000000000002</v>
      </c>
      <c r="Z36" s="71">
        <f>'[1]cálculos teóricos'!I335</f>
        <v>13.302761337848288</v>
      </c>
      <c r="AA36" s="72">
        <f t="shared" si="3"/>
        <v>16.537919790687972</v>
      </c>
      <c r="AB36" s="3"/>
    </row>
    <row r="37" spans="1:28" ht="18" customHeight="1">
      <c r="A37" s="92">
        <v>29</v>
      </c>
      <c r="B37" s="77">
        <v>20.8</v>
      </c>
      <c r="C37" s="75">
        <f>'[1]cálculos teóricos'!K336</f>
        <v>1.0423479444657391</v>
      </c>
      <c r="D37" s="59">
        <f t="shared" si="4"/>
        <v>315.74887321591729</v>
      </c>
      <c r="E37" s="60">
        <f t="shared" si="5"/>
        <v>13.219773823804024</v>
      </c>
      <c r="F37" s="61">
        <f t="shared" si="6"/>
        <v>16.853799759755031</v>
      </c>
      <c r="G37" s="62">
        <f>'[1]cálculos teóricos'!T336</f>
        <v>42.345280424998855</v>
      </c>
      <c r="H37" s="76">
        <f t="shared" si="7"/>
        <v>39.800893017124203</v>
      </c>
      <c r="I37" s="80"/>
      <c r="J37" s="88"/>
      <c r="K37" s="88"/>
      <c r="L37" s="88"/>
      <c r="M37" s="88"/>
      <c r="N37" s="88">
        <v>0.3</v>
      </c>
      <c r="O37" s="79">
        <v>0.7</v>
      </c>
      <c r="P37" s="89">
        <v>0.3</v>
      </c>
      <c r="Q37" s="88">
        <v>0.4</v>
      </c>
      <c r="R37" s="88">
        <v>0.7</v>
      </c>
      <c r="S37" s="88"/>
      <c r="T37" s="88"/>
      <c r="U37" s="88"/>
      <c r="V37" s="218"/>
      <c r="W37" s="59">
        <f t="shared" si="0"/>
        <v>1</v>
      </c>
      <c r="X37" s="69">
        <f t="shared" si="1"/>
        <v>1.4</v>
      </c>
      <c r="Y37" s="219">
        <f>W37+X37</f>
        <v>2.4</v>
      </c>
      <c r="Z37" s="71">
        <f>'[1]cálculos teóricos'!I336</f>
        <v>13.314840670031995</v>
      </c>
      <c r="AA37" s="72">
        <f t="shared" si="3"/>
        <v>18.024999768879944</v>
      </c>
      <c r="AB37" s="3"/>
    </row>
    <row r="38" spans="1:28" ht="18" customHeight="1">
      <c r="A38" s="81">
        <v>30</v>
      </c>
      <c r="B38" s="77">
        <v>35.4</v>
      </c>
      <c r="C38" s="75">
        <f>'[1]cálculos teóricos'!K337</f>
        <v>1.0424527678091269</v>
      </c>
      <c r="D38" s="59">
        <f t="shared" si="4"/>
        <v>537.43433529318293</v>
      </c>
      <c r="E38" s="60">
        <f t="shared" si="5"/>
        <v>22.501300750054984</v>
      </c>
      <c r="F38" s="61">
        <f t="shared" si="6"/>
        <v>28.455708417568726</v>
      </c>
      <c r="G38" s="62">
        <f>'[1]cálculos teóricos'!T337</f>
        <v>42.396800456787844</v>
      </c>
      <c r="H38" s="76">
        <f t="shared" si="7"/>
        <v>67.117584607762282</v>
      </c>
      <c r="I38" s="80">
        <v>0.1</v>
      </c>
      <c r="J38" s="88">
        <v>1</v>
      </c>
      <c r="K38" s="88">
        <v>1</v>
      </c>
      <c r="L38" s="88">
        <v>1</v>
      </c>
      <c r="M38" s="88">
        <v>1</v>
      </c>
      <c r="N38" s="88">
        <v>1</v>
      </c>
      <c r="O38" s="78">
        <v>1</v>
      </c>
      <c r="P38" s="89">
        <v>1</v>
      </c>
      <c r="Q38" s="88">
        <v>1</v>
      </c>
      <c r="R38" s="88">
        <v>0.9</v>
      </c>
      <c r="S38" s="88">
        <v>0.4</v>
      </c>
      <c r="T38" s="88">
        <v>1</v>
      </c>
      <c r="U38" s="88">
        <v>0.2</v>
      </c>
      <c r="V38" s="218"/>
      <c r="W38" s="59">
        <f t="shared" si="0"/>
        <v>6.1</v>
      </c>
      <c r="X38" s="69">
        <f t="shared" si="1"/>
        <v>4.5</v>
      </c>
      <c r="Y38" s="219">
        <f>W38+X38</f>
        <v>10.6</v>
      </c>
      <c r="Z38" s="71">
        <f>'[1]cálculos teóricos'!I337</f>
        <v>13.326487777193289</v>
      </c>
      <c r="AA38" s="72">
        <f t="shared" si="3"/>
        <v>79.540837595188805</v>
      </c>
      <c r="AB38" s="3"/>
    </row>
    <row r="39" spans="1:28" ht="18" customHeight="1" thickBot="1">
      <c r="A39" s="93"/>
      <c r="B39" s="94"/>
      <c r="C39" s="95"/>
      <c r="D39" s="96"/>
      <c r="E39" s="129"/>
      <c r="F39" s="98"/>
      <c r="G39" s="99"/>
      <c r="H39" s="100"/>
      <c r="I39" s="101"/>
      <c r="J39" s="94"/>
      <c r="K39" s="94"/>
      <c r="L39" s="94"/>
      <c r="M39" s="94"/>
      <c r="N39" s="94"/>
      <c r="O39" s="102"/>
      <c r="P39" s="101"/>
      <c r="Q39" s="94"/>
      <c r="R39" s="94"/>
      <c r="S39" s="94"/>
      <c r="T39" s="94"/>
      <c r="U39" s="94"/>
      <c r="V39" s="220"/>
      <c r="W39" s="59"/>
      <c r="X39" s="96"/>
      <c r="Y39" s="221"/>
      <c r="Z39" s="178"/>
      <c r="AA39" s="134"/>
      <c r="AB39" s="3"/>
    </row>
    <row r="40" spans="1:28" s="113" customFormat="1" ht="15.75" thickTop="1">
      <c r="A40" s="109"/>
      <c r="B40" s="109"/>
      <c r="C40" s="109"/>
      <c r="D40" s="109"/>
      <c r="E40" s="109"/>
      <c r="F40" s="109"/>
      <c r="G40" s="109"/>
      <c r="H40" s="109"/>
      <c r="I40" s="111">
        <f>SUM(I9:I39)</f>
        <v>0.5</v>
      </c>
      <c r="J40" s="111">
        <f t="shared" ref="J40:AA40" si="8">SUM(J9:J39)</f>
        <v>9.3000000000000007</v>
      </c>
      <c r="K40" s="111">
        <f t="shared" si="8"/>
        <v>14.9</v>
      </c>
      <c r="L40" s="111">
        <f t="shared" si="8"/>
        <v>15.799999999999999</v>
      </c>
      <c r="M40" s="111">
        <f t="shared" si="8"/>
        <v>18.400000000000002</v>
      </c>
      <c r="N40" s="111">
        <f t="shared" si="8"/>
        <v>19.100000000000005</v>
      </c>
      <c r="O40" s="111">
        <f t="shared" si="8"/>
        <v>19</v>
      </c>
      <c r="P40" s="111">
        <f t="shared" si="8"/>
        <v>18.500000000000004</v>
      </c>
      <c r="Q40" s="111">
        <f t="shared" si="8"/>
        <v>16.299999999999997</v>
      </c>
      <c r="R40" s="111">
        <f t="shared" si="8"/>
        <v>16.100000000000001</v>
      </c>
      <c r="S40" s="111">
        <f t="shared" si="8"/>
        <v>11.600000000000003</v>
      </c>
      <c r="T40" s="111">
        <f t="shared" si="8"/>
        <v>8.3999999999999986</v>
      </c>
      <c r="U40" s="111">
        <f t="shared" si="8"/>
        <v>4.0999999999999996</v>
      </c>
      <c r="V40" s="111">
        <f t="shared" si="8"/>
        <v>0</v>
      </c>
      <c r="W40" s="111">
        <f>SUM(I40:O40)</f>
        <v>97.000000000000014</v>
      </c>
      <c r="X40" s="111">
        <f>SUM(P40:V40)</f>
        <v>75</v>
      </c>
      <c r="Y40" s="111">
        <f>W40+X40</f>
        <v>172</v>
      </c>
      <c r="Z40" s="111">
        <f t="shared" si="8"/>
        <v>393.23114498563649</v>
      </c>
      <c r="AA40" s="111">
        <f t="shared" si="8"/>
        <v>1316.2546040707755</v>
      </c>
      <c r="AB40" s="109"/>
    </row>
    <row r="41" spans="1:28" s="113" customFormat="1" ht="15">
      <c r="A41" s="109"/>
      <c r="B41" s="109" t="s">
        <v>51</v>
      </c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</row>
    <row r="42" spans="1:28" s="113" customFormat="1" ht="15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</row>
    <row r="43" spans="1:28" s="113" customFormat="1" ht="15">
      <c r="A43" s="109"/>
      <c r="B43" s="109" t="s">
        <v>52</v>
      </c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</row>
    <row r="44" spans="1:28" s="113" customFormat="1" ht="15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</row>
    <row r="45" spans="1:28" s="113" customFormat="1" ht="15">
      <c r="A45" s="109"/>
      <c r="B45" s="109" t="s">
        <v>53</v>
      </c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</row>
    <row r="46" spans="1:28" s="113" customFormat="1" ht="15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</row>
    <row r="47" spans="1:28" s="113" customFormat="1" ht="15">
      <c r="A47" s="109"/>
      <c r="B47" s="109" t="s">
        <v>54</v>
      </c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</row>
    <row r="48" spans="1:28" s="113" customFormat="1" ht="15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</row>
    <row r="49" spans="1:28" s="113" customFormat="1" ht="15">
      <c r="A49" s="109"/>
      <c r="B49" s="109" t="s">
        <v>55</v>
      </c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9" t="s">
        <v>56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9" t="s">
        <v>57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13" t="s">
        <v>58</v>
      </c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E61"/>
  <sheetViews>
    <sheetView zoomScale="75" zoomScaleNormal="75" workbookViewId="0">
      <selection activeCell="A2" sqref="A2"/>
    </sheetView>
  </sheetViews>
  <sheetFormatPr defaultColWidth="11.42578125" defaultRowHeight="12.75"/>
  <cols>
    <col min="1" max="1" width="8.7109375" style="8" customWidth="1"/>
    <col min="2" max="8" width="12.7109375" style="8" customWidth="1"/>
    <col min="9" max="25" width="8.7109375" style="8" customWidth="1"/>
    <col min="26" max="27" width="12.7109375" style="8" customWidth="1"/>
    <col min="28" max="16384" width="11.42578125" style="8"/>
  </cols>
  <sheetData>
    <row r="1" spans="1:31" ht="18" customHeight="1">
      <c r="A1" s="1" t="s">
        <v>86</v>
      </c>
      <c r="B1" s="2"/>
      <c r="C1" s="3"/>
      <c r="D1" s="4"/>
      <c r="E1" s="5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6"/>
      <c r="W1" s="6"/>
      <c r="X1" s="7" t="s">
        <v>2</v>
      </c>
      <c r="Y1" s="6"/>
      <c r="Z1" s="6"/>
      <c r="AA1" s="6"/>
      <c r="AB1" s="3"/>
    </row>
    <row r="2" spans="1:31" ht="18" customHeight="1">
      <c r="A2" s="3"/>
      <c r="B2" s="9" t="s">
        <v>74</v>
      </c>
      <c r="C2" s="3"/>
      <c r="D2" s="3"/>
      <c r="E2" s="3"/>
      <c r="F2" s="3"/>
      <c r="G2" s="5"/>
      <c r="H2" s="3"/>
      <c r="I2" s="3"/>
      <c r="J2" s="3"/>
      <c r="K2" s="222"/>
      <c r="L2" s="223"/>
      <c r="M2" s="3"/>
      <c r="N2" s="3"/>
      <c r="O2" s="3"/>
      <c r="P2" s="3"/>
      <c r="Q2" s="3"/>
      <c r="R2" s="3"/>
      <c r="S2" s="3"/>
      <c r="T2" s="10"/>
      <c r="U2" s="3"/>
      <c r="V2" s="9" t="s">
        <v>87</v>
      </c>
      <c r="W2" s="3"/>
      <c r="X2" s="3"/>
      <c r="Y2" s="3"/>
      <c r="Z2" s="3"/>
      <c r="AA2" s="3"/>
      <c r="AB2" s="3"/>
    </row>
    <row r="3" spans="1:31" ht="18" customHeight="1">
      <c r="A3" s="3"/>
      <c r="B3" s="9" t="s">
        <v>77</v>
      </c>
      <c r="C3" s="3"/>
      <c r="D3" s="3"/>
      <c r="E3" s="3"/>
      <c r="F3" s="3"/>
      <c r="G3" s="4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224"/>
      <c r="U3" s="3"/>
      <c r="V3" s="9" t="s">
        <v>82</v>
      </c>
      <c r="W3" s="10"/>
      <c r="X3" s="6"/>
      <c r="Y3" s="6"/>
      <c r="Z3" s="6"/>
      <c r="AA3" s="6"/>
      <c r="AB3" s="3"/>
    </row>
    <row r="4" spans="1:31" ht="18" customHeight="1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31" ht="18" customHeight="1" thickTop="1" thickBot="1">
      <c r="A5" s="11" t="s">
        <v>8</v>
      </c>
      <c r="B5" s="12"/>
      <c r="C5" s="13" t="s">
        <v>9</v>
      </c>
      <c r="D5" s="14"/>
      <c r="E5" s="15"/>
      <c r="F5" s="14"/>
      <c r="G5" s="14"/>
      <c r="H5" s="16"/>
      <c r="I5" s="17" t="s">
        <v>10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3"/>
      <c r="Y5" s="18"/>
      <c r="Z5" s="15"/>
      <c r="AA5" s="19"/>
      <c r="AB5" s="3"/>
    </row>
    <row r="6" spans="1:31" ht="18" customHeight="1">
      <c r="A6" s="20"/>
      <c r="B6" s="21" t="s">
        <v>11</v>
      </c>
      <c r="C6" s="22" t="s">
        <v>12</v>
      </c>
      <c r="D6" s="23" t="s">
        <v>13</v>
      </c>
      <c r="E6" s="22" t="s">
        <v>13</v>
      </c>
      <c r="F6" s="24" t="s">
        <v>14</v>
      </c>
      <c r="G6" s="24" t="s">
        <v>15</v>
      </c>
      <c r="H6" s="24" t="s">
        <v>16</v>
      </c>
      <c r="I6" s="25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8"/>
      <c r="W6" s="29"/>
      <c r="X6" s="30"/>
      <c r="Y6" s="31"/>
      <c r="Z6" s="32" t="s">
        <v>17</v>
      </c>
      <c r="AA6" s="33" t="s">
        <v>18</v>
      </c>
      <c r="AB6" s="3"/>
    </row>
    <row r="7" spans="1:31" ht="18" customHeight="1" thickBot="1">
      <c r="A7" s="34"/>
      <c r="B7" s="35" t="s">
        <v>19</v>
      </c>
      <c r="C7" s="36" t="s">
        <v>20</v>
      </c>
      <c r="D7" s="23" t="s">
        <v>21</v>
      </c>
      <c r="E7" s="24" t="s">
        <v>21</v>
      </c>
      <c r="F7" s="24" t="s">
        <v>22</v>
      </c>
      <c r="G7" s="24" t="s">
        <v>23</v>
      </c>
      <c r="H7" s="24" t="s">
        <v>24</v>
      </c>
      <c r="I7" s="37" t="s">
        <v>25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8"/>
      <c r="W7" s="39"/>
      <c r="X7" s="40" t="s">
        <v>26</v>
      </c>
      <c r="Y7" s="41"/>
      <c r="Z7" s="42" t="s">
        <v>27</v>
      </c>
      <c r="AA7" s="43" t="s">
        <v>28</v>
      </c>
      <c r="AB7" s="3"/>
    </row>
    <row r="8" spans="1:31" ht="18" customHeight="1" thickBot="1">
      <c r="A8" s="44"/>
      <c r="B8" s="45" t="s">
        <v>29</v>
      </c>
      <c r="C8" s="46" t="s">
        <v>30</v>
      </c>
      <c r="D8" s="46" t="s">
        <v>31</v>
      </c>
      <c r="E8" s="47" t="s">
        <v>32</v>
      </c>
      <c r="F8" s="47" t="s">
        <v>32</v>
      </c>
      <c r="G8" s="46" t="s">
        <v>32</v>
      </c>
      <c r="H8" s="24" t="s">
        <v>33</v>
      </c>
      <c r="I8" s="48" t="s">
        <v>34</v>
      </c>
      <c r="J8" s="49" t="s">
        <v>35</v>
      </c>
      <c r="K8" s="49" t="s">
        <v>36</v>
      </c>
      <c r="L8" s="49" t="s">
        <v>37</v>
      </c>
      <c r="M8" s="49" t="s">
        <v>38</v>
      </c>
      <c r="N8" s="49" t="s">
        <v>39</v>
      </c>
      <c r="O8" s="50" t="s">
        <v>40</v>
      </c>
      <c r="P8" s="49" t="s">
        <v>41</v>
      </c>
      <c r="Q8" s="49" t="s">
        <v>42</v>
      </c>
      <c r="R8" s="49" t="s">
        <v>43</v>
      </c>
      <c r="S8" s="49" t="s">
        <v>44</v>
      </c>
      <c r="T8" s="49" t="s">
        <v>45</v>
      </c>
      <c r="U8" s="49" t="s">
        <v>46</v>
      </c>
      <c r="V8" s="51" t="s">
        <v>47</v>
      </c>
      <c r="W8" s="54" t="s">
        <v>48</v>
      </c>
      <c r="X8" s="117" t="s">
        <v>49</v>
      </c>
      <c r="Y8" s="53" t="s">
        <v>50</v>
      </c>
      <c r="Z8" s="54" t="s">
        <v>50</v>
      </c>
      <c r="AA8" s="55" t="s">
        <v>50</v>
      </c>
      <c r="AB8" s="3"/>
    </row>
    <row r="9" spans="1:31" ht="18" customHeight="1">
      <c r="A9" s="118">
        <v>1</v>
      </c>
      <c r="B9" s="57">
        <v>34</v>
      </c>
      <c r="C9" s="75">
        <f>'[1]cálculos teóricos'!K338</f>
        <v>1.0425515661325413</v>
      </c>
      <c r="D9" s="59">
        <f>IF(B9&gt;0,B9*C9*14.25*1.022,-999)</f>
        <v>516.22879093462302</v>
      </c>
      <c r="E9" s="60">
        <f>IF(B9&gt;0,D9*4.1868/100,-999)</f>
        <v>21.613467018850798</v>
      </c>
      <c r="F9" s="61">
        <f>IF(B9&gt;0,(7.86+1.25*D9)*4.1868/100,-999)</f>
        <v>27.345916253563495</v>
      </c>
      <c r="G9" s="62">
        <f>'[1]cálculos teóricos'!T338</f>
        <v>42.446215404362263</v>
      </c>
      <c r="H9" s="63">
        <f>IF(B9&gt;0,100*F9/G9,-999)</f>
        <v>64.424863307726397</v>
      </c>
      <c r="I9" s="64"/>
      <c r="J9" s="64"/>
      <c r="K9" s="64">
        <v>0.7</v>
      </c>
      <c r="L9" s="64">
        <v>0.7</v>
      </c>
      <c r="M9" s="64">
        <v>0.7</v>
      </c>
      <c r="N9" s="64">
        <v>1</v>
      </c>
      <c r="O9" s="65">
        <v>1</v>
      </c>
      <c r="P9" s="64">
        <v>1</v>
      </c>
      <c r="Q9" s="64">
        <v>1</v>
      </c>
      <c r="R9" s="64">
        <v>1</v>
      </c>
      <c r="S9" s="64">
        <v>1</v>
      </c>
      <c r="T9" s="64">
        <v>0.9</v>
      </c>
      <c r="U9" s="64"/>
      <c r="V9" s="211"/>
      <c r="W9" s="59">
        <f t="shared" ref="W9:W40" si="0">SUM(I9:O9)</f>
        <v>4.0999999999999996</v>
      </c>
      <c r="X9" s="203">
        <f>SUM(P9:V9)</f>
        <v>4.9000000000000004</v>
      </c>
      <c r="Y9" s="225">
        <f t="shared" ref="Y9:Y24" si="1">W9+X9</f>
        <v>9</v>
      </c>
      <c r="Z9" s="71">
        <f>'[1]cálculos teóricos'!I338</f>
        <v>13.33769387489302</v>
      </c>
      <c r="AA9" s="72">
        <f>100*Y9/Z9</f>
        <v>67.477931975494442</v>
      </c>
      <c r="AB9" s="3"/>
      <c r="AE9" s="226"/>
    </row>
    <row r="10" spans="1:31" ht="18" customHeight="1">
      <c r="A10" s="118">
        <v>2</v>
      </c>
      <c r="B10" s="57">
        <v>34.9</v>
      </c>
      <c r="C10" s="75">
        <f>'[1]cálculos teóricos'!K339</f>
        <v>1.0426445157293678</v>
      </c>
      <c r="D10" s="59">
        <f>IF(B10&gt;0,B10*C10*14.25*1.022,-999)</f>
        <v>529.94091382838019</v>
      </c>
      <c r="E10" s="60">
        <f>IF(B10&gt;0,D10*4.1868/100,-999)</f>
        <v>22.187566180166623</v>
      </c>
      <c r="F10" s="61">
        <f>IF(B10&gt;0,(7.86+1.25*D10)*4.1868/100,-999)</f>
        <v>28.063540205208273</v>
      </c>
      <c r="G10" s="62">
        <f>'[1]cálculos teóricos'!T339</f>
        <v>42.493535643303574</v>
      </c>
      <c r="H10" s="76">
        <f>IF(B10&gt;0,100*F10/G10,-999)</f>
        <v>66.041904445837091</v>
      </c>
      <c r="I10" s="57"/>
      <c r="J10" s="77">
        <v>0.1</v>
      </c>
      <c r="K10" s="77">
        <v>0.7</v>
      </c>
      <c r="L10" s="77">
        <v>1</v>
      </c>
      <c r="M10" s="77">
        <v>1</v>
      </c>
      <c r="N10" s="77">
        <v>1</v>
      </c>
      <c r="O10" s="78">
        <v>1</v>
      </c>
      <c r="P10" s="80">
        <v>1</v>
      </c>
      <c r="Q10" s="77">
        <v>1</v>
      </c>
      <c r="R10" s="89">
        <v>1</v>
      </c>
      <c r="S10" s="89">
        <v>1</v>
      </c>
      <c r="T10" s="89">
        <v>1</v>
      </c>
      <c r="U10" s="89">
        <v>0.8</v>
      </c>
      <c r="V10" s="212"/>
      <c r="W10" s="59">
        <f t="shared" si="0"/>
        <v>4.8</v>
      </c>
      <c r="X10" s="69">
        <f t="shared" ref="X10:X39" si="2">SUM(P10:V10)</f>
        <v>5.8</v>
      </c>
      <c r="Y10" s="219">
        <f t="shared" si="1"/>
        <v>10.6</v>
      </c>
      <c r="Z10" s="71">
        <f>'[1]cálculos teóricos'!I339</f>
        <v>13.348450379189718</v>
      </c>
      <c r="AA10" s="72">
        <f t="shared" ref="AA10:AA39" si="3">100*Y10/Z10</f>
        <v>79.409966691904842</v>
      </c>
      <c r="AB10" s="3"/>
      <c r="AE10" s="226"/>
    </row>
    <row r="11" spans="1:31" ht="18" customHeight="1">
      <c r="A11" s="118">
        <v>3</v>
      </c>
      <c r="B11" s="57">
        <v>37.9</v>
      </c>
      <c r="C11" s="75">
        <f>'[1]cálculos teóricos'!K340</f>
        <v>1.0427317882542817</v>
      </c>
      <c r="D11" s="59">
        <f t="shared" ref="D11:D39" si="4">IF(B11&gt;0,B11*C11*14.25*1.022,-999)</f>
        <v>575.54274469334268</v>
      </c>
      <c r="E11" s="60">
        <f t="shared" ref="E11:E39" si="5">IF(B11&gt;0,D11*4.1868/100,-999)</f>
        <v>24.096823634820872</v>
      </c>
      <c r="F11" s="61">
        <f t="shared" ref="F11:F39" si="6">IF(B11&gt;0,(7.86+1.25*D11)*4.1868/100,-999)</f>
        <v>30.450112023526088</v>
      </c>
      <c r="G11" s="62">
        <f>'[1]cálculos teóricos'!T340</f>
        <v>42.538771394383659</v>
      </c>
      <c r="H11" s="76">
        <f t="shared" ref="H11:H39" si="7">IF(B11&gt;0,100*F11/G11,-999)</f>
        <v>71.58202041431403</v>
      </c>
      <c r="I11" s="57"/>
      <c r="J11" s="77">
        <v>0.4</v>
      </c>
      <c r="K11" s="77">
        <v>1</v>
      </c>
      <c r="L11" s="77">
        <v>1</v>
      </c>
      <c r="M11" s="77">
        <v>1</v>
      </c>
      <c r="N11" s="77">
        <v>1</v>
      </c>
      <c r="O11" s="78">
        <v>1</v>
      </c>
      <c r="P11" s="80">
        <v>1</v>
      </c>
      <c r="Q11" s="80">
        <v>1</v>
      </c>
      <c r="R11" s="80">
        <v>1</v>
      </c>
      <c r="S11" s="80">
        <v>1</v>
      </c>
      <c r="T11" s="89">
        <v>1</v>
      </c>
      <c r="U11" s="89">
        <v>0.5</v>
      </c>
      <c r="V11" s="212"/>
      <c r="W11" s="59">
        <f t="shared" si="0"/>
        <v>5.4</v>
      </c>
      <c r="X11" s="69">
        <f t="shared" si="2"/>
        <v>5.5</v>
      </c>
      <c r="Y11" s="219">
        <f t="shared" si="1"/>
        <v>10.9</v>
      </c>
      <c r="Z11" s="71">
        <f>'[1]cálculos teóricos'!I340</f>
        <v>13.358748926394169</v>
      </c>
      <c r="AA11" s="72">
        <f t="shared" si="3"/>
        <v>81.594467117080242</v>
      </c>
      <c r="AB11" s="3"/>
      <c r="AE11" s="226"/>
    </row>
    <row r="12" spans="1:31" ht="18" customHeight="1">
      <c r="A12" s="118">
        <v>4</v>
      </c>
      <c r="B12" s="57">
        <v>30.5</v>
      </c>
      <c r="C12" s="75">
        <f>'[1]cálculos teóricos'!K341</f>
        <v>1.0428135502817324</v>
      </c>
      <c r="D12" s="59">
        <f t="shared" si="4"/>
        <v>463.20396175560427</v>
      </c>
      <c r="E12" s="60">
        <f t="shared" si="5"/>
        <v>19.393423470783638</v>
      </c>
      <c r="F12" s="61">
        <f t="shared" si="6"/>
        <v>24.570861818479546</v>
      </c>
      <c r="G12" s="62">
        <f>'[1]cálculos teóricos'!T341</f>
        <v>42.581932664942727</v>
      </c>
      <c r="H12" s="76">
        <f t="shared" si="7"/>
        <v>57.702551952763969</v>
      </c>
      <c r="I12" s="57"/>
      <c r="J12" s="77">
        <v>1</v>
      </c>
      <c r="K12" s="77">
        <v>1</v>
      </c>
      <c r="L12" s="77">
        <v>1</v>
      </c>
      <c r="M12" s="77">
        <v>1</v>
      </c>
      <c r="N12" s="77">
        <v>1</v>
      </c>
      <c r="O12" s="78">
        <v>1</v>
      </c>
      <c r="P12" s="80">
        <v>1</v>
      </c>
      <c r="Q12" s="89">
        <v>0.9</v>
      </c>
      <c r="R12" s="89">
        <v>0.6</v>
      </c>
      <c r="S12" s="89"/>
      <c r="T12" s="89"/>
      <c r="U12" s="89"/>
      <c r="V12" s="212"/>
      <c r="W12" s="59">
        <f t="shared" si="0"/>
        <v>6</v>
      </c>
      <c r="X12" s="69">
        <f t="shared" si="2"/>
        <v>2.5</v>
      </c>
      <c r="Y12" s="219">
        <f t="shared" si="1"/>
        <v>8.5</v>
      </c>
      <c r="Z12" s="71">
        <f>'[1]cálculos teóricos'!I341</f>
        <v>13.368581392741991</v>
      </c>
      <c r="AA12" s="72">
        <f t="shared" si="3"/>
        <v>63.581914567351035</v>
      </c>
      <c r="AB12" s="3"/>
      <c r="AE12" s="226"/>
    </row>
    <row r="13" spans="1:31" ht="18" customHeight="1">
      <c r="A13" s="73">
        <v>5</v>
      </c>
      <c r="B13" s="57">
        <v>30.1</v>
      </c>
      <c r="C13" s="75">
        <f>'[1]cálculos teóricos'!K342</f>
        <v>1.042889962874388</v>
      </c>
      <c r="D13" s="59">
        <f t="shared" si="4"/>
        <v>457.1626520270666</v>
      </c>
      <c r="E13" s="60">
        <f t="shared" si="5"/>
        <v>19.140485915069224</v>
      </c>
      <c r="F13" s="61">
        <f t="shared" si="6"/>
        <v>24.254689873836533</v>
      </c>
      <c r="G13" s="62">
        <f>'[1]cálculos teóricos'!T342</f>
        <v>42.623029191619999</v>
      </c>
      <c r="H13" s="76">
        <f t="shared" si="7"/>
        <v>56.905129301802845</v>
      </c>
      <c r="I13" s="57"/>
      <c r="J13" s="77"/>
      <c r="K13" s="77">
        <v>0.1</v>
      </c>
      <c r="L13" s="77">
        <v>0.8</v>
      </c>
      <c r="M13" s="77">
        <v>1</v>
      </c>
      <c r="N13" s="77">
        <v>1</v>
      </c>
      <c r="O13" s="78">
        <v>1</v>
      </c>
      <c r="P13" s="80">
        <v>0.8</v>
      </c>
      <c r="Q13" s="89">
        <v>1</v>
      </c>
      <c r="R13" s="89">
        <v>0.8</v>
      </c>
      <c r="S13" s="89">
        <v>0.8</v>
      </c>
      <c r="T13" s="89"/>
      <c r="U13" s="89"/>
      <c r="V13" s="212"/>
      <c r="W13" s="59">
        <f t="shared" si="0"/>
        <v>3.9</v>
      </c>
      <c r="X13" s="69">
        <f t="shared" si="2"/>
        <v>3.4000000000000004</v>
      </c>
      <c r="Y13" s="219">
        <f t="shared" si="1"/>
        <v>7.3000000000000007</v>
      </c>
      <c r="Z13" s="71">
        <f>'[1]cálculos teóricos'!I342</f>
        <v>13.37793991390074</v>
      </c>
      <c r="AA13" s="72">
        <f t="shared" si="3"/>
        <v>54.567444965235062</v>
      </c>
      <c r="AB13" s="3"/>
      <c r="AE13" s="226"/>
    </row>
    <row r="14" spans="1:31" ht="18" customHeight="1">
      <c r="A14" s="118">
        <v>6</v>
      </c>
      <c r="B14" s="57">
        <v>33.5</v>
      </c>
      <c r="C14" s="75">
        <f>'[1]cálculos teóricos'!K343</f>
        <v>1.042961181162926</v>
      </c>
      <c r="D14" s="59">
        <f t="shared" si="4"/>
        <v>508.83703292252017</v>
      </c>
      <c r="E14" s="60">
        <f t="shared" si="5"/>
        <v>21.303988894400071</v>
      </c>
      <c r="F14" s="61">
        <f t="shared" si="6"/>
        <v>26.959068598000091</v>
      </c>
      <c r="G14" s="62">
        <f>'[1]cálculos teóricos'!T343</f>
        <v>42.66207038463164</v>
      </c>
      <c r="H14" s="76">
        <f t="shared" si="7"/>
        <v>63.192124420927499</v>
      </c>
      <c r="I14" s="57"/>
      <c r="J14" s="77"/>
      <c r="K14" s="77">
        <v>0.2</v>
      </c>
      <c r="L14" s="77">
        <v>0.3</v>
      </c>
      <c r="M14" s="77">
        <v>0.7</v>
      </c>
      <c r="N14" s="77">
        <v>0.9</v>
      </c>
      <c r="O14" s="78">
        <v>1</v>
      </c>
      <c r="P14" s="80">
        <v>0.9</v>
      </c>
      <c r="Q14" s="80">
        <v>0.9</v>
      </c>
      <c r="R14" s="89">
        <v>1</v>
      </c>
      <c r="S14" s="89">
        <v>1</v>
      </c>
      <c r="T14" s="89">
        <v>1</v>
      </c>
      <c r="U14" s="89">
        <v>0.2</v>
      </c>
      <c r="V14" s="212"/>
      <c r="W14" s="59">
        <f t="shared" si="0"/>
        <v>3.1</v>
      </c>
      <c r="X14" s="69">
        <f t="shared" si="2"/>
        <v>5</v>
      </c>
      <c r="Y14" s="219">
        <f t="shared" si="1"/>
        <v>8.1</v>
      </c>
      <c r="Z14" s="71">
        <f>'[1]cálculos teóricos'!I343</f>
        <v>13.386816904225913</v>
      </c>
      <c r="AA14" s="72">
        <f t="shared" si="3"/>
        <v>60.507289058708309</v>
      </c>
      <c r="AB14" s="3"/>
      <c r="AE14" s="226"/>
    </row>
    <row r="15" spans="1:31" ht="18" customHeight="1">
      <c r="A15" s="73">
        <v>7</v>
      </c>
      <c r="B15" s="74">
        <v>-99</v>
      </c>
      <c r="C15" s="75">
        <f>'[1]cálculos teóricos'!K344</f>
        <v>1.0430273539385098</v>
      </c>
      <c r="D15" s="59">
        <f t="shared" si="4"/>
        <v>-999</v>
      </c>
      <c r="E15" s="60">
        <f t="shared" si="5"/>
        <v>-999</v>
      </c>
      <c r="F15" s="61">
        <f t="shared" si="6"/>
        <v>-999</v>
      </c>
      <c r="G15" s="62">
        <f>'[1]cálculos teóricos'!T344</f>
        <v>42.699065273785024</v>
      </c>
      <c r="H15" s="76">
        <f t="shared" si="7"/>
        <v>-999</v>
      </c>
      <c r="I15" s="57"/>
      <c r="J15" s="77">
        <v>0.9</v>
      </c>
      <c r="K15" s="77">
        <v>1</v>
      </c>
      <c r="L15" s="77">
        <v>1</v>
      </c>
      <c r="M15" s="77">
        <v>1</v>
      </c>
      <c r="N15" s="77">
        <v>1</v>
      </c>
      <c r="O15" s="78">
        <v>1</v>
      </c>
      <c r="P15" s="80">
        <v>1</v>
      </c>
      <c r="Q15" s="89">
        <v>1</v>
      </c>
      <c r="R15" s="89">
        <v>1</v>
      </c>
      <c r="S15" s="89">
        <v>1</v>
      </c>
      <c r="T15" s="89">
        <v>0.1</v>
      </c>
      <c r="U15" s="89"/>
      <c r="V15" s="212"/>
      <c r="W15" s="59">
        <f t="shared" si="0"/>
        <v>5.9</v>
      </c>
      <c r="X15" s="69">
        <f t="shared" si="2"/>
        <v>4.0999999999999996</v>
      </c>
      <c r="Y15" s="219">
        <f t="shared" si="1"/>
        <v>10</v>
      </c>
      <c r="Z15" s="71">
        <f>'[1]cálculos teóricos'!I344</f>
        <v>13.395205075679121</v>
      </c>
      <c r="AA15" s="72">
        <f t="shared" si="3"/>
        <v>74.65357897473632</v>
      </c>
      <c r="AB15" s="3"/>
      <c r="AE15" s="226"/>
    </row>
    <row r="16" spans="1:31" ht="18" customHeight="1">
      <c r="A16" s="81">
        <v>8</v>
      </c>
      <c r="B16" s="77">
        <v>30</v>
      </c>
      <c r="C16" s="75">
        <f>'[1]cálculos teóricos'!K345</f>
        <v>1.0430886232592806</v>
      </c>
      <c r="D16" s="59">
        <f t="shared" si="4"/>
        <v>455.73063494509609</v>
      </c>
      <c r="E16" s="60">
        <f t="shared" si="5"/>
        <v>19.080530223881283</v>
      </c>
      <c r="F16" s="61">
        <f t="shared" si="6"/>
        <v>24.1797452598516</v>
      </c>
      <c r="G16" s="62">
        <f>'[1]cálculos teóricos'!T345</f>
        <v>42.734022456413641</v>
      </c>
      <c r="H16" s="76">
        <f t="shared" si="7"/>
        <v>56.581954775059181</v>
      </c>
      <c r="I16" s="80"/>
      <c r="J16" s="88">
        <v>0.4</v>
      </c>
      <c r="K16" s="88">
        <v>0.9</v>
      </c>
      <c r="L16" s="88">
        <v>1</v>
      </c>
      <c r="M16" s="88">
        <v>1</v>
      </c>
      <c r="N16" s="88">
        <v>1</v>
      </c>
      <c r="O16" s="79">
        <v>1</v>
      </c>
      <c r="P16" s="89">
        <v>1</v>
      </c>
      <c r="Q16" s="89">
        <v>0.8</v>
      </c>
      <c r="R16" s="88">
        <v>0.3</v>
      </c>
      <c r="S16" s="88"/>
      <c r="T16" s="88"/>
      <c r="U16" s="88"/>
      <c r="V16" s="212"/>
      <c r="W16" s="59">
        <f t="shared" si="0"/>
        <v>5.3</v>
      </c>
      <c r="X16" s="69">
        <f t="shared" si="2"/>
        <v>2.1</v>
      </c>
      <c r="Y16" s="219">
        <f t="shared" si="1"/>
        <v>7.4</v>
      </c>
      <c r="Z16" s="71">
        <f>'[1]cálculos teóricos'!I345</f>
        <v>13.40309745632074</v>
      </c>
      <c r="AA16" s="72">
        <f t="shared" si="3"/>
        <v>55.211118356154671</v>
      </c>
      <c r="AB16" s="3"/>
      <c r="AE16" s="226"/>
    </row>
    <row r="17" spans="1:31" ht="18" customHeight="1">
      <c r="A17" s="81">
        <v>9</v>
      </c>
      <c r="B17" s="77">
        <v>13.2</v>
      </c>
      <c r="C17" s="75">
        <f>'[1]cálculos teóricos'!K346</f>
        <v>1.0431451240721528</v>
      </c>
      <c r="D17" s="59">
        <f t="shared" si="4"/>
        <v>200.53234099040731</v>
      </c>
      <c r="E17" s="60">
        <f t="shared" si="5"/>
        <v>8.3958880525863737</v>
      </c>
      <c r="F17" s="61">
        <f t="shared" si="6"/>
        <v>10.823942545732967</v>
      </c>
      <c r="G17" s="62">
        <f>'[1]cálculos teóricos'!T346</f>
        <v>42.766950047409651</v>
      </c>
      <c r="H17" s="76">
        <f t="shared" si="7"/>
        <v>25.309128973971717</v>
      </c>
      <c r="I17" s="80"/>
      <c r="J17" s="88"/>
      <c r="K17" s="88"/>
      <c r="L17" s="88"/>
      <c r="M17" s="88"/>
      <c r="N17" s="88"/>
      <c r="O17" s="79"/>
      <c r="P17" s="89"/>
      <c r="Q17" s="89"/>
      <c r="R17" s="88"/>
      <c r="S17" s="88"/>
      <c r="T17" s="88"/>
      <c r="U17" s="88"/>
      <c r="V17" s="212"/>
      <c r="W17" s="59">
        <f t="shared" si="0"/>
        <v>0</v>
      </c>
      <c r="X17" s="69">
        <f t="shared" si="2"/>
        <v>0</v>
      </c>
      <c r="Y17" s="219">
        <f t="shared" si="1"/>
        <v>0</v>
      </c>
      <c r="Z17" s="71">
        <f>'[1]cálculos teóricos'!I346</f>
        <v>13.410487408289292</v>
      </c>
      <c r="AA17" s="72">
        <f t="shared" si="3"/>
        <v>0</v>
      </c>
      <c r="AB17" s="3"/>
      <c r="AE17" s="226"/>
    </row>
    <row r="18" spans="1:31" ht="18" customHeight="1">
      <c r="A18" s="81">
        <v>10</v>
      </c>
      <c r="B18" s="77">
        <v>30.7</v>
      </c>
      <c r="C18" s="75">
        <f>'[1]cálculos teóricos'!K347</f>
        <v>1.0431969838511672</v>
      </c>
      <c r="D18" s="59">
        <f t="shared" si="4"/>
        <v>466.41279772151574</v>
      </c>
      <c r="E18" s="60">
        <f t="shared" si="5"/>
        <v>19.527771015004422</v>
      </c>
      <c r="F18" s="61">
        <f t="shared" si="6"/>
        <v>24.738796248755524</v>
      </c>
      <c r="G18" s="62">
        <f>'[1]cálculos teóricos'!T347</f>
        <v>42.797855631524406</v>
      </c>
      <c r="H18" s="76">
        <f t="shared" si="7"/>
        <v>57.803821905818133</v>
      </c>
      <c r="I18" s="80"/>
      <c r="J18" s="88">
        <v>0.3</v>
      </c>
      <c r="K18" s="88">
        <v>0.4</v>
      </c>
      <c r="L18" s="88">
        <v>0.5</v>
      </c>
      <c r="M18" s="88">
        <v>1</v>
      </c>
      <c r="N18" s="88">
        <v>1</v>
      </c>
      <c r="O18" s="79">
        <v>0.8</v>
      </c>
      <c r="P18" s="80">
        <v>1</v>
      </c>
      <c r="Q18" s="89">
        <v>0.5</v>
      </c>
      <c r="R18" s="88">
        <v>0.1</v>
      </c>
      <c r="S18" s="88"/>
      <c r="T18" s="88"/>
      <c r="U18" s="88"/>
      <c r="V18" s="212"/>
      <c r="W18" s="59">
        <f t="shared" si="0"/>
        <v>4</v>
      </c>
      <c r="X18" s="69">
        <f t="shared" si="2"/>
        <v>1.6</v>
      </c>
      <c r="Y18" s="219">
        <f t="shared" si="1"/>
        <v>5.6</v>
      </c>
      <c r="Z18" s="71">
        <f>'[1]cálculos teóricos'!I347</f>
        <v>13.417368645180208</v>
      </c>
      <c r="AA18" s="72">
        <f t="shared" si="3"/>
        <v>41.736946700138809</v>
      </c>
      <c r="AB18" s="3"/>
      <c r="AE18" s="226"/>
    </row>
    <row r="19" spans="1:31" ht="18" customHeight="1">
      <c r="A19" s="92">
        <v>11</v>
      </c>
      <c r="B19" s="77">
        <v>20.3</v>
      </c>
      <c r="C19" s="75">
        <f>'[1]cálculos teóricos'!K348</f>
        <v>1.0432443222536116</v>
      </c>
      <c r="D19" s="59">
        <f t="shared" si="4"/>
        <v>308.42376034895165</v>
      </c>
      <c r="E19" s="60">
        <f t="shared" si="5"/>
        <v>12.913085998289908</v>
      </c>
      <c r="F19" s="61">
        <f t="shared" si="6"/>
        <v>16.470439977862384</v>
      </c>
      <c r="G19" s="62">
        <f>'[1]cálculos teóricos'!T348</f>
        <v>42.826746218100261</v>
      </c>
      <c r="H19" s="76">
        <f t="shared" si="7"/>
        <v>38.458303355535634</v>
      </c>
      <c r="I19" s="80"/>
      <c r="J19" s="88"/>
      <c r="K19" s="88">
        <v>0.4</v>
      </c>
      <c r="L19" s="88">
        <v>0.4</v>
      </c>
      <c r="M19" s="88">
        <v>0.8</v>
      </c>
      <c r="N19" s="88">
        <v>0.3</v>
      </c>
      <c r="O19" s="79">
        <v>0.3</v>
      </c>
      <c r="P19" s="89">
        <v>0.3</v>
      </c>
      <c r="Q19" s="88"/>
      <c r="R19" s="88">
        <v>0.1</v>
      </c>
      <c r="S19" s="88">
        <v>0.1</v>
      </c>
      <c r="T19" s="88"/>
      <c r="U19" s="88"/>
      <c r="V19" s="212"/>
      <c r="W19" s="59">
        <f t="shared" si="0"/>
        <v>2.2000000000000002</v>
      </c>
      <c r="X19" s="69">
        <f t="shared" si="2"/>
        <v>0.5</v>
      </c>
      <c r="Y19" s="219">
        <f t="shared" si="1"/>
        <v>2.7</v>
      </c>
      <c r="Z19" s="71">
        <f>'[1]cálculos teóricos'!I348</f>
        <v>13.423735248737781</v>
      </c>
      <c r="AA19" s="72">
        <f t="shared" si="3"/>
        <v>20.113626721399157</v>
      </c>
      <c r="AB19" s="3"/>
      <c r="AE19" s="226"/>
    </row>
    <row r="20" spans="1:31" ht="18" customHeight="1">
      <c r="A20" s="92">
        <v>12</v>
      </c>
      <c r="B20" s="77">
        <v>26.2</v>
      </c>
      <c r="C20" s="75">
        <f>'[1]cálculos teóricos'!K349</f>
        <v>1.043287250795065</v>
      </c>
      <c r="D20" s="59">
        <f t="shared" si="4"/>
        <v>398.08054357619295</v>
      </c>
      <c r="E20" s="60">
        <f t="shared" si="5"/>
        <v>16.666836198448046</v>
      </c>
      <c r="F20" s="61">
        <f t="shared" si="6"/>
        <v>21.162627728060055</v>
      </c>
      <c r="G20" s="62">
        <f>'[1]cálculos teóricos'!T349</f>
        <v>42.853628198387739</v>
      </c>
      <c r="H20" s="76">
        <f t="shared" si="7"/>
        <v>49.383514576850338</v>
      </c>
      <c r="I20" s="80"/>
      <c r="J20" s="88"/>
      <c r="K20" s="88"/>
      <c r="L20" s="88"/>
      <c r="M20" s="88">
        <v>0.1</v>
      </c>
      <c r="N20" s="88">
        <v>0.1</v>
      </c>
      <c r="O20" s="79"/>
      <c r="P20" s="89">
        <v>0.9</v>
      </c>
      <c r="Q20" s="88">
        <v>1</v>
      </c>
      <c r="R20" s="88">
        <v>0.7</v>
      </c>
      <c r="S20" s="88">
        <v>1</v>
      </c>
      <c r="T20" s="88">
        <v>0.8</v>
      </c>
      <c r="U20" s="88">
        <v>0.5</v>
      </c>
      <c r="V20" s="212"/>
      <c r="W20" s="59">
        <f t="shared" si="0"/>
        <v>0.2</v>
      </c>
      <c r="X20" s="69">
        <f t="shared" si="2"/>
        <v>4.8999999999999995</v>
      </c>
      <c r="Y20" s="219">
        <f t="shared" si="1"/>
        <v>5.0999999999999996</v>
      </c>
      <c r="Z20" s="71">
        <f>'[1]cálculos teóricos'!I349</f>
        <v>13.429581684775858</v>
      </c>
      <c r="AA20" s="72">
        <f t="shared" si="3"/>
        <v>37.975866409759426</v>
      </c>
      <c r="AB20" s="3"/>
      <c r="AE20" s="226"/>
    </row>
    <row r="21" spans="1:31" ht="18" customHeight="1">
      <c r="A21" s="92">
        <v>13</v>
      </c>
      <c r="B21" s="77">
        <v>32.6</v>
      </c>
      <c r="C21" s="75">
        <f>'[1]cálculos teóricos'!K350</f>
        <v>1.043325872544469</v>
      </c>
      <c r="D21" s="59">
        <f>IF(B21&gt;0,B21*C21*14.25*1.022,-999)</f>
        <v>495.33992884052481</v>
      </c>
      <c r="E21" s="60">
        <f>IF(B21&gt;0,D21*4.1868/100,-999)</f>
        <v>20.738892140695093</v>
      </c>
      <c r="F21" s="61">
        <f>IF(B21&gt;0,(7.86+1.25*D21)*4.1868/100,-999)</f>
        <v>26.252697655868865</v>
      </c>
      <c r="G21" s="62">
        <f>'[1]cálculos teóricos'!T350</f>
        <v>42.878507305594937</v>
      </c>
      <c r="H21" s="76">
        <f>IF(B21&gt;0,100*F21/G21,-999)</f>
        <v>61.225773249908165</v>
      </c>
      <c r="I21" s="80"/>
      <c r="J21" s="88"/>
      <c r="K21" s="88"/>
      <c r="L21" s="88">
        <v>0.2</v>
      </c>
      <c r="M21" s="88">
        <v>0.4</v>
      </c>
      <c r="N21" s="88">
        <v>1</v>
      </c>
      <c r="O21" s="79">
        <v>1</v>
      </c>
      <c r="P21" s="89">
        <v>1</v>
      </c>
      <c r="Q21" s="88">
        <v>1</v>
      </c>
      <c r="R21" s="88">
        <v>1</v>
      </c>
      <c r="S21" s="88">
        <v>1</v>
      </c>
      <c r="T21" s="88">
        <v>0.4</v>
      </c>
      <c r="U21" s="88"/>
      <c r="V21" s="212"/>
      <c r="W21" s="59">
        <f t="shared" si="0"/>
        <v>2.6</v>
      </c>
      <c r="X21" s="69">
        <f t="shared" si="2"/>
        <v>4.4000000000000004</v>
      </c>
      <c r="Y21" s="219">
        <f t="shared" si="1"/>
        <v>7</v>
      </c>
      <c r="Z21" s="71">
        <f>'[1]cálculos teóricos'!I350</f>
        <v>13.434902818245344</v>
      </c>
      <c r="AA21" s="72">
        <f t="shared" si="3"/>
        <v>52.103093671013468</v>
      </c>
      <c r="AB21" s="3"/>
      <c r="AE21" s="226"/>
    </row>
    <row r="22" spans="1:31" ht="18" customHeight="1">
      <c r="A22" s="92">
        <v>14</v>
      </c>
      <c r="B22" s="77">
        <v>40.700000000000003</v>
      </c>
      <c r="C22" s="75">
        <f>'[1]cálculos teóricos'!K351</f>
        <v>1.0433602818402716</v>
      </c>
      <c r="D22" s="59">
        <f t="shared" si="4"/>
        <v>618.43558280843843</v>
      </c>
      <c r="E22" s="60">
        <f t="shared" si="5"/>
        <v>25.892660981023699</v>
      </c>
      <c r="F22" s="61">
        <f t="shared" si="6"/>
        <v>32.694908706279627</v>
      </c>
      <c r="G22" s="62">
        <f>'[1]cálculos teóricos'!T351</f>
        <v>42.901388577805832</v>
      </c>
      <c r="H22" s="76">
        <f t="shared" si="7"/>
        <v>76.209441675726268</v>
      </c>
      <c r="I22" s="80"/>
      <c r="J22" s="88">
        <v>0.8</v>
      </c>
      <c r="K22" s="88">
        <v>1</v>
      </c>
      <c r="L22" s="88">
        <v>1</v>
      </c>
      <c r="M22" s="88">
        <v>1</v>
      </c>
      <c r="N22" s="88">
        <v>1</v>
      </c>
      <c r="O22" s="79">
        <v>1</v>
      </c>
      <c r="P22" s="89">
        <v>1</v>
      </c>
      <c r="Q22" s="88">
        <v>1</v>
      </c>
      <c r="R22" s="88">
        <v>1</v>
      </c>
      <c r="S22" s="88">
        <v>1</v>
      </c>
      <c r="T22" s="88">
        <v>1</v>
      </c>
      <c r="U22" s="88">
        <v>0.4</v>
      </c>
      <c r="V22" s="212"/>
      <c r="W22" s="59">
        <f t="shared" si="0"/>
        <v>5.8</v>
      </c>
      <c r="X22" s="69">
        <f t="shared" si="2"/>
        <v>5.4</v>
      </c>
      <c r="Y22" s="219">
        <f t="shared" si="1"/>
        <v>11.2</v>
      </c>
      <c r="Z22" s="71">
        <f>'[1]cálculos teóricos'!I351</f>
        <v>13.439693927369586</v>
      </c>
      <c r="AA22" s="72">
        <f t="shared" si="3"/>
        <v>83.335231148318726</v>
      </c>
      <c r="AB22" s="3"/>
      <c r="AE22" s="226"/>
    </row>
    <row r="23" spans="1:31" ht="18" customHeight="1">
      <c r="A23" s="92">
        <v>15</v>
      </c>
      <c r="B23" s="77">
        <v>36.299999999999997</v>
      </c>
      <c r="C23" s="75">
        <f>'[1]cálculos teóricos'!K352</f>
        <v>1.043390564028623</v>
      </c>
      <c r="D23" s="59">
        <f t="shared" si="4"/>
        <v>551.59369079607984</v>
      </c>
      <c r="E23" s="60">
        <f t="shared" si="5"/>
        <v>23.094124646250272</v>
      </c>
      <c r="F23" s="61">
        <f t="shared" si="6"/>
        <v>29.196738287812842</v>
      </c>
      <c r="G23" s="62">
        <f>'[1]cálculos teóricos'!T352</f>
        <v>42.922276323896114</v>
      </c>
      <c r="H23" s="76">
        <f t="shared" si="7"/>
        <v>68.022343613584496</v>
      </c>
      <c r="I23" s="80"/>
      <c r="J23" s="88">
        <v>0.7</v>
      </c>
      <c r="K23" s="88">
        <v>1</v>
      </c>
      <c r="L23" s="88">
        <v>1</v>
      </c>
      <c r="M23" s="88">
        <v>1</v>
      </c>
      <c r="N23" s="88">
        <v>1</v>
      </c>
      <c r="O23" s="79">
        <v>1</v>
      </c>
      <c r="P23" s="89">
        <v>1</v>
      </c>
      <c r="Q23" s="88">
        <v>1</v>
      </c>
      <c r="R23" s="88">
        <v>1</v>
      </c>
      <c r="S23" s="88">
        <v>1</v>
      </c>
      <c r="T23" s="88">
        <v>0.9</v>
      </c>
      <c r="U23" s="88"/>
      <c r="V23" s="212"/>
      <c r="W23" s="59">
        <f t="shared" si="0"/>
        <v>5.7</v>
      </c>
      <c r="X23" s="69">
        <f t="shared" si="2"/>
        <v>4.9000000000000004</v>
      </c>
      <c r="Y23" s="219">
        <f t="shared" si="1"/>
        <v>10.600000000000001</v>
      </c>
      <c r="Z23" s="71">
        <f>'[1]cálculos teóricos'!I352</f>
        <v>13.443950716772623</v>
      </c>
      <c r="AA23" s="72">
        <f t="shared" si="3"/>
        <v>78.845870706558614</v>
      </c>
      <c r="AB23" s="3"/>
      <c r="AE23" s="226"/>
    </row>
    <row r="24" spans="1:31" ht="18" customHeight="1">
      <c r="A24" s="92">
        <v>16</v>
      </c>
      <c r="B24" s="77">
        <v>32</v>
      </c>
      <c r="C24" s="75">
        <f>'[1]cálculos teóricos'!K353</f>
        <v>1.0434167952245224</v>
      </c>
      <c r="D24" s="59">
        <f t="shared" si="4"/>
        <v>486.26561591207462</v>
      </c>
      <c r="E24" s="60">
        <f t="shared" si="5"/>
        <v>20.35896880700674</v>
      </c>
      <c r="F24" s="61">
        <f t="shared" si="6"/>
        <v>25.777793488758427</v>
      </c>
      <c r="G24" s="62">
        <f>'[1]cálculos teóricos'!T353</f>
        <v>42.941174092563962</v>
      </c>
      <c r="H24" s="76">
        <f t="shared" si="7"/>
        <v>60.030481311926479</v>
      </c>
      <c r="I24" s="80"/>
      <c r="J24" s="88">
        <v>0.7</v>
      </c>
      <c r="K24" s="88">
        <v>1</v>
      </c>
      <c r="L24" s="88">
        <v>1</v>
      </c>
      <c r="M24" s="88">
        <v>1</v>
      </c>
      <c r="N24" s="88">
        <v>1</v>
      </c>
      <c r="O24" s="79">
        <v>0.8</v>
      </c>
      <c r="P24" s="89">
        <v>0.9</v>
      </c>
      <c r="Q24" s="88">
        <v>1</v>
      </c>
      <c r="R24" s="88">
        <v>0.9</v>
      </c>
      <c r="S24" s="88"/>
      <c r="T24" s="88"/>
      <c r="U24" s="88"/>
      <c r="V24" s="212"/>
      <c r="W24" s="59">
        <f t="shared" si="0"/>
        <v>5.5</v>
      </c>
      <c r="X24" s="69">
        <f t="shared" si="2"/>
        <v>2.8</v>
      </c>
      <c r="Y24" s="219">
        <f t="shared" si="1"/>
        <v>8.3000000000000007</v>
      </c>
      <c r="Z24" s="71">
        <f>'[1]cálculos teóricos'!I353</f>
        <v>13.447669329529568</v>
      </c>
      <c r="AA24" s="72">
        <f t="shared" si="3"/>
        <v>61.72073239318977</v>
      </c>
      <c r="AB24" s="3"/>
      <c r="AE24" s="226"/>
    </row>
    <row r="25" spans="1:31" ht="18" customHeight="1">
      <c r="A25" s="92">
        <v>17</v>
      </c>
      <c r="B25" s="77">
        <v>30.1</v>
      </c>
      <c r="C25" s="75">
        <f>'[1]cálculos teóricos'!K354</f>
        <v>1.0434390420967636</v>
      </c>
      <c r="D25" s="59">
        <f t="shared" si="4"/>
        <v>457.40334713624418</v>
      </c>
      <c r="E25" s="60">
        <f t="shared" si="5"/>
        <v>19.15056333790027</v>
      </c>
      <c r="F25" s="61">
        <f t="shared" si="6"/>
        <v>24.267286652375336</v>
      </c>
      <c r="G25" s="62">
        <f>'[1]cálculos teóricos'!T354</f>
        <v>42.958084644584673</v>
      </c>
      <c r="H25" s="76">
        <f t="shared" si="7"/>
        <v>56.490616034564027</v>
      </c>
      <c r="I25" s="80"/>
      <c r="J25" s="88">
        <v>0.6</v>
      </c>
      <c r="K25" s="88">
        <v>1</v>
      </c>
      <c r="L25" s="88">
        <v>1</v>
      </c>
      <c r="M25" s="88">
        <v>1</v>
      </c>
      <c r="N25" s="88">
        <v>1</v>
      </c>
      <c r="O25" s="79">
        <v>1</v>
      </c>
      <c r="P25" s="89">
        <v>0.2</v>
      </c>
      <c r="Q25" s="88">
        <v>0.7</v>
      </c>
      <c r="R25" s="88">
        <v>0.5</v>
      </c>
      <c r="S25" s="88"/>
      <c r="T25" s="88"/>
      <c r="U25" s="88"/>
      <c r="V25" s="212"/>
      <c r="W25" s="59">
        <f t="shared" si="0"/>
        <v>5.6</v>
      </c>
      <c r="X25" s="69">
        <f t="shared" si="2"/>
        <v>1.4</v>
      </c>
      <c r="Y25" s="219">
        <f>W25+X25</f>
        <v>7</v>
      </c>
      <c r="Z25" s="71">
        <f>'[1]cálculos teóricos'!I354</f>
        <v>13.450846358073472</v>
      </c>
      <c r="AA25" s="72">
        <f t="shared" si="3"/>
        <v>52.041334899334849</v>
      </c>
      <c r="AB25" s="3"/>
      <c r="AE25" s="226"/>
    </row>
    <row r="26" spans="1:31" ht="18" customHeight="1">
      <c r="A26" s="92">
        <v>18</v>
      </c>
      <c r="B26" s="77">
        <v>40.4</v>
      </c>
      <c r="C26" s="75">
        <f>'[1]cálculos teóricos'!K355</f>
        <v>1.0434573616774252</v>
      </c>
      <c r="D26" s="59">
        <f t="shared" si="4"/>
        <v>613.93420798628301</v>
      </c>
      <c r="E26" s="60">
        <f t="shared" si="5"/>
        <v>25.704197419969695</v>
      </c>
      <c r="F26" s="61">
        <f t="shared" si="6"/>
        <v>32.459329254962121</v>
      </c>
      <c r="G26" s="62">
        <f>'[1]cálculos teóricos'!T355</f>
        <v>42.973009928386787</v>
      </c>
      <c r="H26" s="76">
        <f t="shared" si="7"/>
        <v>75.53422324629949</v>
      </c>
      <c r="I26" s="80"/>
      <c r="J26" s="88">
        <v>0.9</v>
      </c>
      <c r="K26" s="88">
        <v>1</v>
      </c>
      <c r="L26" s="88">
        <v>1</v>
      </c>
      <c r="M26" s="88">
        <v>1</v>
      </c>
      <c r="N26" s="88">
        <v>1</v>
      </c>
      <c r="O26" s="79">
        <v>1</v>
      </c>
      <c r="P26" s="89">
        <v>1</v>
      </c>
      <c r="Q26" s="88">
        <v>1</v>
      </c>
      <c r="R26" s="88">
        <v>1</v>
      </c>
      <c r="S26" s="88">
        <v>1</v>
      </c>
      <c r="T26" s="88">
        <v>1</v>
      </c>
      <c r="U26" s="88">
        <v>0.7</v>
      </c>
      <c r="V26" s="212"/>
      <c r="W26" s="59">
        <f t="shared" si="0"/>
        <v>5.9</v>
      </c>
      <c r="X26" s="69">
        <f t="shared" si="2"/>
        <v>5.7</v>
      </c>
      <c r="Y26" s="219">
        <f t="shared" ref="Y26:Y39" si="8">W26+X26</f>
        <v>11.600000000000001</v>
      </c>
      <c r="Z26" s="71">
        <f>'[1]cálculos teóricos'!I355</f>
        <v>13.453478853898625</v>
      </c>
      <c r="AA26" s="72">
        <f t="shared" si="3"/>
        <v>86.223051494509832</v>
      </c>
      <c r="AB26" s="3"/>
      <c r="AE26" s="226"/>
    </row>
    <row r="27" spans="1:31" ht="18" customHeight="1">
      <c r="A27" s="92">
        <v>19</v>
      </c>
      <c r="B27" s="77">
        <v>36.700000000000003</v>
      </c>
      <c r="C27" s="75">
        <f>'[1]cálculos teóricos'!K356</f>
        <v>1.0434718011965771</v>
      </c>
      <c r="D27" s="59">
        <f t="shared" si="4"/>
        <v>557.71527786585727</v>
      </c>
      <c r="E27" s="60">
        <f t="shared" si="5"/>
        <v>23.350423253687712</v>
      </c>
      <c r="F27" s="61">
        <f t="shared" si="6"/>
        <v>29.517111547109639</v>
      </c>
      <c r="G27" s="62">
        <f>'[1]cálculos teóricos'!T356</f>
        <v>42.985951059037113</v>
      </c>
      <c r="H27" s="76">
        <f t="shared" si="7"/>
        <v>68.666880271116241</v>
      </c>
      <c r="I27" s="80"/>
      <c r="J27" s="88">
        <v>1</v>
      </c>
      <c r="K27" s="88">
        <v>1</v>
      </c>
      <c r="L27" s="88">
        <v>1</v>
      </c>
      <c r="M27" s="88">
        <v>1</v>
      </c>
      <c r="N27" s="88">
        <v>1</v>
      </c>
      <c r="O27" s="79">
        <v>1</v>
      </c>
      <c r="P27" s="89">
        <v>1</v>
      </c>
      <c r="Q27" s="88">
        <v>1</v>
      </c>
      <c r="R27" s="88">
        <v>1</v>
      </c>
      <c r="S27" s="88">
        <v>0.8</v>
      </c>
      <c r="T27" s="88"/>
      <c r="U27" s="88"/>
      <c r="V27" s="212"/>
      <c r="W27" s="59">
        <f t="shared" si="0"/>
        <v>6</v>
      </c>
      <c r="X27" s="69">
        <f t="shared" si="2"/>
        <v>3.8</v>
      </c>
      <c r="Y27" s="219">
        <f t="shared" si="8"/>
        <v>9.8000000000000007</v>
      </c>
      <c r="Z27" s="71">
        <f>'[1]cálculos teóricos'!I356</f>
        <v>13.455564336006312</v>
      </c>
      <c r="AA27" s="72">
        <f t="shared" si="3"/>
        <v>72.832322415313101</v>
      </c>
      <c r="AB27" s="3"/>
      <c r="AE27" s="226"/>
    </row>
    <row r="28" spans="1:31" ht="18" customHeight="1">
      <c r="A28" s="92">
        <v>20</v>
      </c>
      <c r="B28" s="77">
        <v>33.9</v>
      </c>
      <c r="C28" s="75">
        <f>'[1]cálculos teóricos'!K357</f>
        <v>1.0434823979428147</v>
      </c>
      <c r="D28" s="59">
        <f t="shared" si="4"/>
        <v>515.1700250927222</v>
      </c>
      <c r="E28" s="60">
        <f t="shared" si="5"/>
        <v>21.56913861058209</v>
      </c>
      <c r="F28" s="61">
        <f t="shared" si="6"/>
        <v>27.290505743227619</v>
      </c>
      <c r="G28" s="62">
        <f>'[1]cálculos teóricos'!T357</f>
        <v>42.996908300711738</v>
      </c>
      <c r="H28" s="76">
        <f t="shared" si="7"/>
        <v>63.470855979605098</v>
      </c>
      <c r="I28" s="80"/>
      <c r="J28" s="88">
        <v>0.7</v>
      </c>
      <c r="K28" s="88">
        <v>1</v>
      </c>
      <c r="L28" s="88">
        <v>1</v>
      </c>
      <c r="M28" s="88">
        <v>0.8</v>
      </c>
      <c r="N28" s="88">
        <v>1</v>
      </c>
      <c r="O28" s="79">
        <v>1</v>
      </c>
      <c r="P28" s="89">
        <v>1</v>
      </c>
      <c r="Q28" s="88">
        <v>1</v>
      </c>
      <c r="R28" s="88">
        <v>1</v>
      </c>
      <c r="S28" s="88">
        <v>0.5</v>
      </c>
      <c r="T28" s="88"/>
      <c r="U28" s="88"/>
      <c r="V28" s="212"/>
      <c r="W28" s="59">
        <f t="shared" si="0"/>
        <v>5.5</v>
      </c>
      <c r="X28" s="69">
        <f t="shared" si="2"/>
        <v>3.5</v>
      </c>
      <c r="Y28" s="219">
        <f t="shared" si="8"/>
        <v>9</v>
      </c>
      <c r="Z28" s="71">
        <f>'[1]cálculos teóricos'!I357</f>
        <v>13.457100798045776</v>
      </c>
      <c r="AA28" s="72">
        <f t="shared" si="3"/>
        <v>66.87918991664958</v>
      </c>
      <c r="AB28" s="3"/>
      <c r="AE28" s="226"/>
    </row>
    <row r="29" spans="1:31" ht="18" customHeight="1">
      <c r="A29" s="92">
        <v>21</v>
      </c>
      <c r="B29" s="77">
        <v>29.7</v>
      </c>
      <c r="C29" s="75">
        <f>'[1]cálculos teóricos'!K358</f>
        <v>1.0434891791500842</v>
      </c>
      <c r="D29" s="59">
        <f t="shared" si="4"/>
        <v>451.34658341840185</v>
      </c>
      <c r="E29" s="60">
        <f t="shared" si="5"/>
        <v>18.896978754561648</v>
      </c>
      <c r="F29" s="61">
        <f t="shared" si="6"/>
        <v>23.950305923202063</v>
      </c>
      <c r="G29" s="62">
        <f>'[1]cálculos teóricos'!T358</f>
        <v>43.005881052718408</v>
      </c>
      <c r="H29" s="76">
        <f t="shared" si="7"/>
        <v>55.690769115607182</v>
      </c>
      <c r="I29" s="80"/>
      <c r="J29" s="88">
        <v>1</v>
      </c>
      <c r="K29" s="88">
        <v>1</v>
      </c>
      <c r="L29" s="88">
        <v>1</v>
      </c>
      <c r="M29" s="88">
        <v>1</v>
      </c>
      <c r="N29" s="88">
        <v>1</v>
      </c>
      <c r="O29" s="79">
        <v>1</v>
      </c>
      <c r="P29" s="89">
        <v>0.6</v>
      </c>
      <c r="Q29" s="88">
        <v>0.8</v>
      </c>
      <c r="R29" s="88">
        <v>0.3</v>
      </c>
      <c r="S29" s="88">
        <v>0.2</v>
      </c>
      <c r="T29" s="88"/>
      <c r="U29" s="88"/>
      <c r="V29" s="212"/>
      <c r="W29" s="59">
        <f t="shared" si="0"/>
        <v>6</v>
      </c>
      <c r="X29" s="69">
        <f t="shared" si="2"/>
        <v>1.9</v>
      </c>
      <c r="Y29" s="219">
        <f t="shared" si="8"/>
        <v>7.9</v>
      </c>
      <c r="Z29" s="71">
        <f>'[1]cálculos teóricos'!I358</f>
        <v>13.458086714110046</v>
      </c>
      <c r="AA29" s="72">
        <f t="shared" si="3"/>
        <v>58.700766073362381</v>
      </c>
      <c r="AB29" s="3"/>
      <c r="AE29" s="226"/>
    </row>
    <row r="30" spans="1:31" ht="18" customHeight="1">
      <c r="A30" s="92">
        <v>22</v>
      </c>
      <c r="B30" s="77">
        <v>29.8</v>
      </c>
      <c r="C30" s="75">
        <f>'[1]cálculos teóricos'!K359</f>
        <v>1.0434921619112543</v>
      </c>
      <c r="D30" s="59">
        <f t="shared" si="4"/>
        <v>452.86756337983763</v>
      </c>
      <c r="E30" s="60">
        <f t="shared" si="5"/>
        <v>18.960659143587041</v>
      </c>
      <c r="F30" s="61">
        <f t="shared" si="6"/>
        <v>24.0299064094838</v>
      </c>
      <c r="G30" s="62">
        <f>'[1]cálculos teóricos'!T359</f>
        <v>43.012867839125683</v>
      </c>
      <c r="H30" s="76">
        <f t="shared" si="7"/>
        <v>55.866785026655535</v>
      </c>
      <c r="I30" s="80"/>
      <c r="J30" s="88">
        <v>0.9</v>
      </c>
      <c r="K30" s="88">
        <v>1</v>
      </c>
      <c r="L30" s="88">
        <v>1</v>
      </c>
      <c r="M30" s="88">
        <v>1</v>
      </c>
      <c r="N30" s="88">
        <v>1</v>
      </c>
      <c r="O30" s="79">
        <v>1</v>
      </c>
      <c r="P30" s="89">
        <v>1</v>
      </c>
      <c r="Q30" s="88">
        <v>0.9</v>
      </c>
      <c r="R30" s="88">
        <v>0.2</v>
      </c>
      <c r="S30" s="88">
        <v>0.2</v>
      </c>
      <c r="T30" s="88">
        <v>0.1</v>
      </c>
      <c r="U30" s="88"/>
      <c r="V30" s="212"/>
      <c r="W30" s="59">
        <f t="shared" si="0"/>
        <v>5.9</v>
      </c>
      <c r="X30" s="69">
        <f t="shared" si="2"/>
        <v>2.4000000000000004</v>
      </c>
      <c r="Y30" s="219">
        <f t="shared" si="8"/>
        <v>8.3000000000000007</v>
      </c>
      <c r="Z30" s="71">
        <f>'[1]cálculos teóricos'!I359</f>
        <v>13.458521043153825</v>
      </c>
      <c r="AA30" s="72">
        <f t="shared" si="3"/>
        <v>61.670966470882057</v>
      </c>
      <c r="AB30" s="3"/>
      <c r="AE30" s="226"/>
    </row>
    <row r="31" spans="1:31" ht="18" customHeight="1">
      <c r="A31" s="92">
        <v>23</v>
      </c>
      <c r="B31" s="77">
        <v>29.8</v>
      </c>
      <c r="C31" s="75">
        <f>'[1]cálculos teóricos'!K360</f>
        <v>1.0434913531187173</v>
      </c>
      <c r="D31" s="59">
        <f t="shared" si="4"/>
        <v>452.86721237010431</v>
      </c>
      <c r="E31" s="60">
        <f t="shared" si="5"/>
        <v>18.960644447511527</v>
      </c>
      <c r="F31" s="61">
        <f t="shared" si="6"/>
        <v>24.029888039389412</v>
      </c>
      <c r="G31" s="62">
        <f>'[1]cálculos teóricos'!T360</f>
        <v>43.017866302041909</v>
      </c>
      <c r="H31" s="76">
        <f t="shared" si="7"/>
        <v>55.860250879641598</v>
      </c>
      <c r="I31" s="80"/>
      <c r="J31" s="88">
        <v>0.6</v>
      </c>
      <c r="K31" s="88">
        <v>1</v>
      </c>
      <c r="L31" s="88">
        <v>1</v>
      </c>
      <c r="M31" s="88">
        <v>1</v>
      </c>
      <c r="N31" s="88">
        <v>1</v>
      </c>
      <c r="O31" s="79">
        <v>1</v>
      </c>
      <c r="P31" s="89">
        <v>1</v>
      </c>
      <c r="Q31" s="88">
        <v>0.9</v>
      </c>
      <c r="R31" s="88">
        <v>0.9</v>
      </c>
      <c r="S31" s="88">
        <v>0.3</v>
      </c>
      <c r="T31" s="88"/>
      <c r="U31" s="88"/>
      <c r="V31" s="212"/>
      <c r="W31" s="59">
        <f t="shared" si="0"/>
        <v>5.6</v>
      </c>
      <c r="X31" s="69">
        <f t="shared" si="2"/>
        <v>3.0999999999999996</v>
      </c>
      <c r="Y31" s="219">
        <f t="shared" si="8"/>
        <v>8.6999999999999993</v>
      </c>
      <c r="Z31" s="71">
        <f>'[1]cálculos teóricos'!I360</f>
        <v>13.458403232008276</v>
      </c>
      <c r="AA31" s="72">
        <f t="shared" si="3"/>
        <v>64.643627108070945</v>
      </c>
      <c r="AB31" s="3"/>
      <c r="AE31" s="226"/>
    </row>
    <row r="32" spans="1:31" ht="18" customHeight="1">
      <c r="A32" s="92">
        <v>24</v>
      </c>
      <c r="B32" s="77">
        <v>32.4</v>
      </c>
      <c r="C32" s="75">
        <f>'[1]cálculos teóricos'!K361</f>
        <v>1.0434867494322762</v>
      </c>
      <c r="D32" s="59">
        <f t="shared" si="4"/>
        <v>492.37694452156524</v>
      </c>
      <c r="E32" s="60">
        <f t="shared" si="5"/>
        <v>20.614837913228893</v>
      </c>
      <c r="F32" s="61">
        <f t="shared" si="6"/>
        <v>26.097629871536114</v>
      </c>
      <c r="G32" s="62">
        <f>'[1]cálculos teóricos'!T361</f>
        <v>43.020873198576822</v>
      </c>
      <c r="H32" s="76">
        <f t="shared" si="7"/>
        <v>60.662715401135678</v>
      </c>
      <c r="I32" s="80"/>
      <c r="J32" s="88"/>
      <c r="K32" s="88"/>
      <c r="L32" s="88">
        <v>0.4</v>
      </c>
      <c r="M32" s="88">
        <v>0.9</v>
      </c>
      <c r="N32" s="88">
        <v>1</v>
      </c>
      <c r="O32" s="79">
        <v>1</v>
      </c>
      <c r="P32" s="89">
        <v>1</v>
      </c>
      <c r="Q32" s="88">
        <v>1</v>
      </c>
      <c r="R32" s="88">
        <v>1</v>
      </c>
      <c r="S32" s="88">
        <v>1</v>
      </c>
      <c r="T32" s="88">
        <v>0.5</v>
      </c>
      <c r="U32" s="88">
        <v>0.1</v>
      </c>
      <c r="V32" s="212"/>
      <c r="W32" s="59">
        <f t="shared" si="0"/>
        <v>3.3</v>
      </c>
      <c r="X32" s="69">
        <f t="shared" si="2"/>
        <v>4.5999999999999996</v>
      </c>
      <c r="Y32" s="219">
        <f t="shared" si="8"/>
        <v>7.8999999999999995</v>
      </c>
      <c r="Z32" s="71">
        <f>'[1]cálculos teóricos'!I361</f>
        <v>13.457733216975646</v>
      </c>
      <c r="AA32" s="72">
        <f t="shared" si="3"/>
        <v>58.702307978842263</v>
      </c>
      <c r="AB32" s="3"/>
      <c r="AE32" s="226"/>
    </row>
    <row r="33" spans="1:31" ht="18" customHeight="1">
      <c r="A33" s="92">
        <v>25</v>
      </c>
      <c r="B33" s="77">
        <v>31.7</v>
      </c>
      <c r="C33" s="75">
        <f>'[1]cálculos teóricos'!K362</f>
        <v>1.0434783372744176</v>
      </c>
      <c r="D33" s="59">
        <f t="shared" si="4"/>
        <v>481.73528744720255</v>
      </c>
      <c r="E33" s="60">
        <f t="shared" si="5"/>
        <v>20.169293014839475</v>
      </c>
      <c r="F33" s="61">
        <f t="shared" si="6"/>
        <v>25.540698748549342</v>
      </c>
      <c r="G33" s="62">
        <f>'[1]cálculos teóricos'!T362</f>
        <v>43.021884401506568</v>
      </c>
      <c r="H33" s="76">
        <f t="shared" si="7"/>
        <v>59.366759740665714</v>
      </c>
      <c r="I33" s="80"/>
      <c r="J33" s="88">
        <v>0.9</v>
      </c>
      <c r="K33" s="88">
        <v>1</v>
      </c>
      <c r="L33" s="88">
        <v>1</v>
      </c>
      <c r="M33" s="88">
        <v>1</v>
      </c>
      <c r="N33" s="88">
        <v>1</v>
      </c>
      <c r="O33" s="79">
        <v>1</v>
      </c>
      <c r="P33" s="89">
        <v>1</v>
      </c>
      <c r="Q33" s="88">
        <v>1</v>
      </c>
      <c r="R33" s="88">
        <v>0.5</v>
      </c>
      <c r="S33" s="88">
        <v>0.2</v>
      </c>
      <c r="T33" s="88"/>
      <c r="U33" s="88"/>
      <c r="V33" s="212"/>
      <c r="W33" s="59">
        <f t="shared" si="0"/>
        <v>5.9</v>
      </c>
      <c r="X33" s="69">
        <f t="shared" si="2"/>
        <v>2.7</v>
      </c>
      <c r="Y33" s="219">
        <f t="shared" si="8"/>
        <v>8.6000000000000014</v>
      </c>
      <c r="Z33" s="71">
        <f>'[1]cálculos teóricos'!I362</f>
        <v>13.456511423994518</v>
      </c>
      <c r="AA33" s="72">
        <f t="shared" si="3"/>
        <v>63.909580492498264</v>
      </c>
      <c r="AB33" s="3"/>
      <c r="AE33" s="226"/>
    </row>
    <row r="34" spans="1:31" ht="18" customHeight="1">
      <c r="A34" s="92">
        <v>26</v>
      </c>
      <c r="B34" s="77">
        <v>19.399999999999999</v>
      </c>
      <c r="C34" s="75">
        <f>'[1]cálculos teóricos'!K363</f>
        <v>1.0434660928530486</v>
      </c>
      <c r="D34" s="59">
        <f t="shared" si="4"/>
        <v>294.81245779934818</v>
      </c>
      <c r="E34" s="60">
        <f t="shared" si="5"/>
        <v>12.34320798314311</v>
      </c>
      <c r="F34" s="61">
        <f t="shared" si="6"/>
        <v>15.758092458928886</v>
      </c>
      <c r="G34" s="62">
        <f>'[1]cálculos teóricos'!T363</f>
        <v>43.020894903651737</v>
      </c>
      <c r="H34" s="76">
        <f t="shared" si="7"/>
        <v>36.628927627424353</v>
      </c>
      <c r="I34" s="80"/>
      <c r="J34" s="88">
        <v>0.2</v>
      </c>
      <c r="K34" s="88">
        <v>0.9</v>
      </c>
      <c r="L34" s="88">
        <v>0.8</v>
      </c>
      <c r="M34" s="88">
        <v>0.8</v>
      </c>
      <c r="N34" s="88"/>
      <c r="O34" s="79">
        <v>0.1</v>
      </c>
      <c r="P34" s="89">
        <v>0.2</v>
      </c>
      <c r="Q34" s="88">
        <v>0.1</v>
      </c>
      <c r="R34" s="88"/>
      <c r="S34" s="88"/>
      <c r="T34" s="88"/>
      <c r="U34" s="88"/>
      <c r="V34" s="212"/>
      <c r="W34" s="59">
        <f t="shared" si="0"/>
        <v>2.8000000000000003</v>
      </c>
      <c r="X34" s="69">
        <f t="shared" si="2"/>
        <v>0.30000000000000004</v>
      </c>
      <c r="Y34" s="219">
        <f t="shared" si="8"/>
        <v>3.1000000000000005</v>
      </c>
      <c r="Z34" s="71">
        <f>'[1]cálculos teóricos'!I363</f>
        <v>13.454738767374977</v>
      </c>
      <c r="AA34" s="72">
        <f t="shared" si="3"/>
        <v>23.040209502371567</v>
      </c>
      <c r="AB34" s="3"/>
      <c r="AE34" s="226"/>
    </row>
    <row r="35" spans="1:31" ht="18" customHeight="1">
      <c r="A35" s="92">
        <v>27</v>
      </c>
      <c r="B35" s="77">
        <v>34.9</v>
      </c>
      <c r="C35" s="75">
        <f>'[1]cálculos teóricos'!K364</f>
        <v>1.0434499822115912</v>
      </c>
      <c r="D35" s="59">
        <f t="shared" si="4"/>
        <v>530.35030517625398</v>
      </c>
      <c r="E35" s="60">
        <f t="shared" si="5"/>
        <v>22.204706577119399</v>
      </c>
      <c r="F35" s="61">
        <f t="shared" si="6"/>
        <v>28.084965701399252</v>
      </c>
      <c r="G35" s="62">
        <f>'[1]cálculos teóricos'!T364</f>
        <v>43.017898825966327</v>
      </c>
      <c r="H35" s="76">
        <f t="shared" si="7"/>
        <v>65.286698020793835</v>
      </c>
      <c r="I35" s="80"/>
      <c r="J35" s="88">
        <v>0.1</v>
      </c>
      <c r="K35" s="88">
        <v>0.7</v>
      </c>
      <c r="L35" s="88">
        <v>1</v>
      </c>
      <c r="M35" s="88">
        <v>0.9</v>
      </c>
      <c r="N35" s="88">
        <v>0.8</v>
      </c>
      <c r="O35" s="79">
        <v>1</v>
      </c>
      <c r="P35" s="89">
        <v>0.8</v>
      </c>
      <c r="Q35" s="88">
        <v>1</v>
      </c>
      <c r="R35" s="88">
        <v>0.1</v>
      </c>
      <c r="S35" s="88"/>
      <c r="T35" s="88">
        <v>0.2</v>
      </c>
      <c r="U35" s="88">
        <v>0.3</v>
      </c>
      <c r="V35" s="212"/>
      <c r="W35" s="59">
        <f t="shared" si="0"/>
        <v>4.5</v>
      </c>
      <c r="X35" s="69">
        <f t="shared" si="2"/>
        <v>2.4</v>
      </c>
      <c r="Y35" s="219">
        <f t="shared" si="8"/>
        <v>6.9</v>
      </c>
      <c r="Z35" s="71">
        <f>'[1]cálculos teóricos'!I364</f>
        <v>13.45241664711107</v>
      </c>
      <c r="AA35" s="72">
        <f t="shared" si="3"/>
        <v>51.291899299608644</v>
      </c>
      <c r="AB35" s="3"/>
      <c r="AE35" s="226"/>
    </row>
    <row r="36" spans="1:31" ht="18" customHeight="1">
      <c r="A36" s="92">
        <v>28</v>
      </c>
      <c r="B36" s="77">
        <v>40</v>
      </c>
      <c r="C36" s="75">
        <f>'[1]cálculos teóricos'!K365</f>
        <v>1.0434299613063189</v>
      </c>
      <c r="D36" s="59">
        <f t="shared" si="4"/>
        <v>607.839689659383</v>
      </c>
      <c r="E36" s="60">
        <f t="shared" si="5"/>
        <v>25.449032126659045</v>
      </c>
      <c r="F36" s="61">
        <f t="shared" si="6"/>
        <v>32.140372638323811</v>
      </c>
      <c r="G36" s="62">
        <f>'[1]cálculos teóricos'!T365</f>
        <v>43.012889429324311</v>
      </c>
      <c r="H36" s="76">
        <f t="shared" si="7"/>
        <v>74.722654220043879</v>
      </c>
      <c r="I36" s="80"/>
      <c r="J36" s="88">
        <v>1</v>
      </c>
      <c r="K36" s="88">
        <v>1</v>
      </c>
      <c r="L36" s="88">
        <v>1</v>
      </c>
      <c r="M36" s="88">
        <v>1</v>
      </c>
      <c r="N36" s="88">
        <v>1</v>
      </c>
      <c r="O36" s="79">
        <v>1</v>
      </c>
      <c r="P36" s="89">
        <v>1</v>
      </c>
      <c r="Q36" s="88">
        <v>1</v>
      </c>
      <c r="R36" s="88">
        <v>1</v>
      </c>
      <c r="S36" s="88">
        <v>1</v>
      </c>
      <c r="T36" s="88">
        <v>1</v>
      </c>
      <c r="U36" s="88">
        <v>0.5</v>
      </c>
      <c r="V36" s="212"/>
      <c r="W36" s="59">
        <f t="shared" si="0"/>
        <v>6</v>
      </c>
      <c r="X36" s="69">
        <f t="shared" si="2"/>
        <v>5.5</v>
      </c>
      <c r="Y36" s="219">
        <f t="shared" si="8"/>
        <v>11.5</v>
      </c>
      <c r="Z36" s="71">
        <f>'[1]cálculos teóricos'!I365</f>
        <v>13.449546944786</v>
      </c>
      <c r="AA36" s="72">
        <f t="shared" si="3"/>
        <v>85.504738912103036</v>
      </c>
      <c r="AB36" s="3"/>
      <c r="AE36" s="226"/>
    </row>
    <row r="37" spans="1:31" ht="18" customHeight="1">
      <c r="A37" s="92">
        <v>29</v>
      </c>
      <c r="B37" s="77">
        <v>34.1</v>
      </c>
      <c r="C37" s="75">
        <f>'[1]cálculos teóricos'!K366</f>
        <v>1.0434059761106758</v>
      </c>
      <c r="D37" s="59">
        <f t="shared" si="4"/>
        <v>518.17142401829494</v>
      </c>
      <c r="E37" s="60">
        <f t="shared" si="5"/>
        <v>21.69480118079797</v>
      </c>
      <c r="F37" s="61">
        <f t="shared" si="6"/>
        <v>27.447583955997466</v>
      </c>
      <c r="G37" s="62">
        <f>'[1]cálculos teóricos'!T366</f>
        <v>43.005859129978646</v>
      </c>
      <c r="H37" s="76">
        <f t="shared" si="7"/>
        <v>63.822894162028788</v>
      </c>
      <c r="I37" s="80"/>
      <c r="J37" s="88">
        <v>0.9</v>
      </c>
      <c r="K37" s="88">
        <v>1</v>
      </c>
      <c r="L37" s="88">
        <v>1</v>
      </c>
      <c r="M37" s="88">
        <v>1</v>
      </c>
      <c r="N37" s="88">
        <v>1</v>
      </c>
      <c r="O37" s="79">
        <v>1</v>
      </c>
      <c r="P37" s="89">
        <v>1</v>
      </c>
      <c r="Q37" s="88">
        <v>0.9</v>
      </c>
      <c r="R37" s="88">
        <v>0.7</v>
      </c>
      <c r="S37" s="88"/>
      <c r="T37" s="88"/>
      <c r="U37" s="88"/>
      <c r="V37" s="212"/>
      <c r="W37" s="59">
        <f t="shared" si="0"/>
        <v>5.9</v>
      </c>
      <c r="X37" s="69">
        <f t="shared" si="2"/>
        <v>2.5999999999999996</v>
      </c>
      <c r="Y37" s="219">
        <f t="shared" si="8"/>
        <v>8.5</v>
      </c>
      <c r="Z37" s="71">
        <f>'[1]cálculos teóricos'!I366</f>
        <v>13.446132018093639</v>
      </c>
      <c r="AA37" s="72">
        <f t="shared" si="3"/>
        <v>63.215205596390611</v>
      </c>
      <c r="AB37" s="3"/>
      <c r="AE37" s="226"/>
    </row>
    <row r="38" spans="1:31" ht="18" customHeight="1">
      <c r="A38" s="81">
        <v>30</v>
      </c>
      <c r="B38" s="77">
        <v>11.9</v>
      </c>
      <c r="C38" s="75">
        <f>'[1]cálculos teóricos'!K367</f>
        <v>1.0433779627462227</v>
      </c>
      <c r="D38" s="59">
        <f t="shared" si="4"/>
        <v>180.82329602940993</v>
      </c>
      <c r="E38" s="60">
        <f t="shared" si="5"/>
        <v>7.5707097581593352</v>
      </c>
      <c r="F38" s="61">
        <f t="shared" si="6"/>
        <v>9.7924696776991684</v>
      </c>
      <c r="G38" s="62">
        <f>'[1]cálculos teóricos'!T367</f>
        <v>42.996799518656061</v>
      </c>
      <c r="H38" s="76">
        <f t="shared" si="7"/>
        <v>22.774880426740303</v>
      </c>
      <c r="I38" s="80"/>
      <c r="J38" s="88"/>
      <c r="K38" s="88"/>
      <c r="L38" s="88"/>
      <c r="M38" s="88">
        <v>0.7</v>
      </c>
      <c r="N38" s="88"/>
      <c r="O38" s="78"/>
      <c r="P38" s="89"/>
      <c r="Q38" s="88"/>
      <c r="R38" s="88"/>
      <c r="S38" s="88"/>
      <c r="T38" s="88"/>
      <c r="U38" s="88"/>
      <c r="V38" s="212"/>
      <c r="W38" s="59">
        <f t="shared" si="0"/>
        <v>0.7</v>
      </c>
      <c r="X38" s="69">
        <f t="shared" si="2"/>
        <v>0</v>
      </c>
      <c r="Y38" s="219">
        <f t="shared" si="8"/>
        <v>0.7</v>
      </c>
      <c r="Z38" s="71">
        <f>'[1]cálculos teóricos'!I367</f>
        <v>13.44217469400769</v>
      </c>
      <c r="AA38" s="72">
        <f t="shared" si="3"/>
        <v>5.20749072181043</v>
      </c>
      <c r="AB38" s="3"/>
      <c r="AE38" s="226"/>
    </row>
    <row r="39" spans="1:31" ht="18" customHeight="1" thickBot="1">
      <c r="A39" s="93">
        <v>31</v>
      </c>
      <c r="B39" s="94">
        <v>24</v>
      </c>
      <c r="C39" s="95">
        <f>'[1]cálculos teóricos'!K368</f>
        <v>1.0433458476398019</v>
      </c>
      <c r="D39" s="96">
        <f t="shared" si="4"/>
        <v>364.67441405045412</v>
      </c>
      <c r="E39" s="97">
        <f t="shared" si="5"/>
        <v>15.268188367464413</v>
      </c>
      <c r="F39" s="98">
        <f t="shared" si="6"/>
        <v>19.414317939330516</v>
      </c>
      <c r="G39" s="99">
        <f>'[1]cálculos teóricos'!T368</f>
        <v>42.985701383239665</v>
      </c>
      <c r="H39" s="100">
        <f t="shared" si="7"/>
        <v>45.164595003910428</v>
      </c>
      <c r="I39" s="101"/>
      <c r="J39" s="94">
        <v>1</v>
      </c>
      <c r="K39" s="94">
        <v>1</v>
      </c>
      <c r="L39" s="94">
        <v>1</v>
      </c>
      <c r="M39" s="94">
        <v>0.6</v>
      </c>
      <c r="N39" s="94">
        <v>0.6</v>
      </c>
      <c r="O39" s="102">
        <v>0.2</v>
      </c>
      <c r="P39" s="101"/>
      <c r="Q39" s="94"/>
      <c r="R39" s="94">
        <v>0.1</v>
      </c>
      <c r="S39" s="94">
        <v>0.2</v>
      </c>
      <c r="T39" s="94"/>
      <c r="U39" s="94"/>
      <c r="V39" s="213"/>
      <c r="W39" s="59">
        <f t="shared" si="0"/>
        <v>4.4000000000000004</v>
      </c>
      <c r="X39" s="96">
        <f t="shared" si="2"/>
        <v>0.30000000000000004</v>
      </c>
      <c r="Y39" s="227">
        <f t="shared" si="8"/>
        <v>4.7</v>
      </c>
      <c r="Z39" s="107">
        <f>'[1]cálculos teóricos'!I368</f>
        <v>13.437678260637247</v>
      </c>
      <c r="AA39" s="108">
        <f t="shared" si="3"/>
        <v>34.976280193935189</v>
      </c>
      <c r="AB39" s="3"/>
      <c r="AE39" s="226"/>
    </row>
    <row r="40" spans="1:31" s="113" customFormat="1" ht="15.75" thickTop="1">
      <c r="A40" s="109"/>
      <c r="B40" s="109"/>
      <c r="C40" s="109"/>
      <c r="D40" s="109"/>
      <c r="E40" s="109"/>
      <c r="F40" s="109"/>
      <c r="G40" s="109"/>
      <c r="H40" s="109"/>
      <c r="I40" s="111">
        <f>SUM(I9:I39)</f>
        <v>0</v>
      </c>
      <c r="J40" s="111">
        <f t="shared" ref="J40:AA40" si="9">SUM(J9:J39)</f>
        <v>15.1</v>
      </c>
      <c r="K40" s="111">
        <f t="shared" si="9"/>
        <v>22</v>
      </c>
      <c r="L40" s="111">
        <f t="shared" si="9"/>
        <v>24.099999999999998</v>
      </c>
      <c r="M40" s="111">
        <f t="shared" si="9"/>
        <v>26.4</v>
      </c>
      <c r="N40" s="111">
        <f t="shared" si="9"/>
        <v>25.700000000000003</v>
      </c>
      <c r="O40" s="111">
        <f t="shared" si="9"/>
        <v>25.200000000000003</v>
      </c>
      <c r="P40" s="111">
        <f t="shared" si="9"/>
        <v>24.6</v>
      </c>
      <c r="Q40" s="111">
        <f t="shared" si="9"/>
        <v>24.4</v>
      </c>
      <c r="R40" s="111">
        <f t="shared" si="9"/>
        <v>19.8</v>
      </c>
      <c r="S40" s="111">
        <f t="shared" si="9"/>
        <v>15.299999999999997</v>
      </c>
      <c r="T40" s="111">
        <f t="shared" si="9"/>
        <v>9.9</v>
      </c>
      <c r="U40" s="111">
        <f t="shared" si="9"/>
        <v>3.9999999999999996</v>
      </c>
      <c r="V40" s="111"/>
      <c r="W40" s="111">
        <f t="shared" si="0"/>
        <v>138.5</v>
      </c>
      <c r="X40" s="111">
        <f>SUM(P40:V40)</f>
        <v>98</v>
      </c>
      <c r="Y40" s="111">
        <f>W40+X40</f>
        <v>236.5</v>
      </c>
      <c r="Z40" s="111">
        <f t="shared" si="9"/>
        <v>416.21285701052278</v>
      </c>
      <c r="AA40" s="111">
        <f t="shared" si="9"/>
        <v>1761.6740505327255</v>
      </c>
      <c r="AB40" s="109"/>
    </row>
    <row r="41" spans="1:31" s="113" customFormat="1" ht="15">
      <c r="A41" s="109"/>
      <c r="B41" s="109" t="s">
        <v>51</v>
      </c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</row>
    <row r="42" spans="1:31" s="113" customFormat="1" ht="15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</row>
    <row r="43" spans="1:31" s="113" customFormat="1" ht="15">
      <c r="A43" s="109"/>
      <c r="B43" s="109" t="s">
        <v>52</v>
      </c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</row>
    <row r="44" spans="1:31" s="113" customFormat="1" ht="15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</row>
    <row r="45" spans="1:31" s="113" customFormat="1" ht="15">
      <c r="A45" s="109"/>
      <c r="B45" s="109" t="s">
        <v>53</v>
      </c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</row>
    <row r="46" spans="1:31" s="113" customFormat="1" ht="15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</row>
    <row r="47" spans="1:31" s="113" customFormat="1" ht="15">
      <c r="A47" s="109"/>
      <c r="B47" s="109" t="s">
        <v>54</v>
      </c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</row>
    <row r="48" spans="1:31" s="113" customFormat="1" ht="15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</row>
    <row r="49" spans="1:28" s="113" customFormat="1" ht="15">
      <c r="A49" s="109"/>
      <c r="B49" s="109" t="s">
        <v>55</v>
      </c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</row>
    <row r="50" spans="1:2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">
      <c r="A51" s="3"/>
      <c r="B51" s="109" t="s">
        <v>56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">
      <c r="A53" s="3"/>
      <c r="B53" s="109" t="s">
        <v>57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">
      <c r="B55" s="113" t="s">
        <v>58</v>
      </c>
    </row>
    <row r="61" spans="1:28">
      <c r="V61" s="228"/>
    </row>
  </sheetData>
  <sheetProtection selectLockedCells="1" selectUnlockedCells="1"/>
  <mergeCells count="2">
    <mergeCell ref="I5:W5"/>
    <mergeCell ref="I7:U7"/>
  </mergeCells>
  <pageMargins left="0" right="0" top="0.39370078740157483" bottom="0.98425196850393704" header="0.51181102362204722" footer="0.51181102362204722"/>
  <pageSetup paperSize="39" scale="50" firstPageNumber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marco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2026-03-11T22:32:40Z</dcterms:created>
  <dcterms:modified xsi:type="dcterms:W3CDTF">2026-03-11T22:32:52Z</dcterms:modified>
</cp:coreProperties>
</file>