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calcPr calcId="125725"/>
</workbook>
</file>

<file path=xl/calcChain.xml><?xml version="1.0" encoding="utf-8"?>
<calcChain xmlns="http://schemas.openxmlformats.org/spreadsheetml/2006/main">
  <c r="U40" i="12"/>
  <c r="T40"/>
  <c r="S40"/>
  <c r="R40"/>
  <c r="Q40"/>
  <c r="P40"/>
  <c r="X40" s="1"/>
  <c r="O40"/>
  <c r="N40"/>
  <c r="M40"/>
  <c r="L40"/>
  <c r="K40"/>
  <c r="J40"/>
  <c r="I40"/>
  <c r="W40" s="1"/>
  <c r="Y40" s="1"/>
  <c r="AA39"/>
  <c r="Z39"/>
  <c r="Y39"/>
  <c r="X39"/>
  <c r="W39"/>
  <c r="G39"/>
  <c r="C39"/>
  <c r="D39" s="1"/>
  <c r="Z38"/>
  <c r="X38"/>
  <c r="W38"/>
  <c r="Y38" s="1"/>
  <c r="AA38" s="1"/>
  <c r="G38"/>
  <c r="C38"/>
  <c r="D38" s="1"/>
  <c r="Z37"/>
  <c r="Y37"/>
  <c r="AA37" s="1"/>
  <c r="X37"/>
  <c r="W37"/>
  <c r="G37"/>
  <c r="D37"/>
  <c r="F37" s="1"/>
  <c r="H37" s="1"/>
  <c r="C37"/>
  <c r="AA36"/>
  <c r="Z36"/>
  <c r="Y36"/>
  <c r="X36"/>
  <c r="W36"/>
  <c r="G36"/>
  <c r="C36"/>
  <c r="D36" s="1"/>
  <c r="Z35"/>
  <c r="X35"/>
  <c r="W35"/>
  <c r="Y35" s="1"/>
  <c r="AA35" s="1"/>
  <c r="H35"/>
  <c r="G35"/>
  <c r="F35"/>
  <c r="D35"/>
  <c r="E35" s="1"/>
  <c r="C35"/>
  <c r="Z34"/>
  <c r="X34"/>
  <c r="W34"/>
  <c r="Y34" s="1"/>
  <c r="AA34" s="1"/>
  <c r="G34"/>
  <c r="E34"/>
  <c r="D34"/>
  <c r="F34" s="1"/>
  <c r="H34" s="1"/>
  <c r="C34"/>
  <c r="Z33"/>
  <c r="X33"/>
  <c r="W33"/>
  <c r="Y33" s="1"/>
  <c r="AA33" s="1"/>
  <c r="G33"/>
  <c r="C33"/>
  <c r="D33" s="1"/>
  <c r="Z32"/>
  <c r="Y32"/>
  <c r="AA32" s="1"/>
  <c r="X32"/>
  <c r="W32"/>
  <c r="G32"/>
  <c r="C32"/>
  <c r="D32" s="1"/>
  <c r="Z31"/>
  <c r="X31"/>
  <c r="W31"/>
  <c r="Y31" s="1"/>
  <c r="AA31" s="1"/>
  <c r="G31"/>
  <c r="F31"/>
  <c r="H31" s="1"/>
  <c r="E31"/>
  <c r="D31"/>
  <c r="C31"/>
  <c r="Z30"/>
  <c r="X30"/>
  <c r="W30"/>
  <c r="Y30" s="1"/>
  <c r="AA30" s="1"/>
  <c r="G30"/>
  <c r="D30"/>
  <c r="E30" s="1"/>
  <c r="C30"/>
  <c r="Z29"/>
  <c r="Y29"/>
  <c r="AA29" s="1"/>
  <c r="X29"/>
  <c r="W29"/>
  <c r="G29"/>
  <c r="C29"/>
  <c r="D29" s="1"/>
  <c r="Z28"/>
  <c r="AA28" s="1"/>
  <c r="G28"/>
  <c r="D28"/>
  <c r="F28" s="1"/>
  <c r="H28" s="1"/>
  <c r="C28"/>
  <c r="AA27"/>
  <c r="Z27"/>
  <c r="Y27"/>
  <c r="X27"/>
  <c r="W27"/>
  <c r="G27"/>
  <c r="C27"/>
  <c r="D27" s="1"/>
  <c r="Z26"/>
  <c r="X26"/>
  <c r="W26"/>
  <c r="Y26" s="1"/>
  <c r="AA26" s="1"/>
  <c r="H26"/>
  <c r="G26"/>
  <c r="F26"/>
  <c r="D26"/>
  <c r="E26" s="1"/>
  <c r="C26"/>
  <c r="Z25"/>
  <c r="X25"/>
  <c r="W25"/>
  <c r="Y25" s="1"/>
  <c r="AA25" s="1"/>
  <c r="G25"/>
  <c r="E25"/>
  <c r="D25"/>
  <c r="F25" s="1"/>
  <c r="H25" s="1"/>
  <c r="C25"/>
  <c r="AA24"/>
  <c r="Z24"/>
  <c r="G24"/>
  <c r="D24"/>
  <c r="E24" s="1"/>
  <c r="C24"/>
  <c r="Z23"/>
  <c r="X23"/>
  <c r="W23"/>
  <c r="Y23" s="1"/>
  <c r="AA23" s="1"/>
  <c r="H23"/>
  <c r="G23"/>
  <c r="F23"/>
  <c r="E23"/>
  <c r="D23"/>
  <c r="C23"/>
  <c r="Z22"/>
  <c r="X22"/>
  <c r="Y22" s="1"/>
  <c r="AA22" s="1"/>
  <c r="W22"/>
  <c r="G22"/>
  <c r="C22"/>
  <c r="D22" s="1"/>
  <c r="AA21"/>
  <c r="Z21"/>
  <c r="Y21"/>
  <c r="X21"/>
  <c r="W21"/>
  <c r="G21"/>
  <c r="C21"/>
  <c r="D21" s="1"/>
  <c r="Z20"/>
  <c r="X20"/>
  <c r="W20"/>
  <c r="Y20" s="1"/>
  <c r="AA20" s="1"/>
  <c r="G20"/>
  <c r="C20"/>
  <c r="D20" s="1"/>
  <c r="Z19"/>
  <c r="Y19"/>
  <c r="AA19" s="1"/>
  <c r="X19"/>
  <c r="W19"/>
  <c r="G19"/>
  <c r="D19"/>
  <c r="F19" s="1"/>
  <c r="H19" s="1"/>
  <c r="C19"/>
  <c r="AA18"/>
  <c r="Z18"/>
  <c r="Y18"/>
  <c r="X18"/>
  <c r="W18"/>
  <c r="H18"/>
  <c r="G18"/>
  <c r="F18"/>
  <c r="E18"/>
  <c r="D18"/>
  <c r="C18"/>
  <c r="Z17"/>
  <c r="X17"/>
  <c r="W17"/>
  <c r="Y17" s="1"/>
  <c r="AA17" s="1"/>
  <c r="H17"/>
  <c r="G17"/>
  <c r="F17"/>
  <c r="D17"/>
  <c r="E17" s="1"/>
  <c r="C17"/>
  <c r="Z16"/>
  <c r="X16"/>
  <c r="W16"/>
  <c r="Y16" s="1"/>
  <c r="AA16" s="1"/>
  <c r="G16"/>
  <c r="E16"/>
  <c r="D16"/>
  <c r="F16" s="1"/>
  <c r="H16" s="1"/>
  <c r="C16"/>
  <c r="Z15"/>
  <c r="X15"/>
  <c r="W15"/>
  <c r="Y15" s="1"/>
  <c r="AA15" s="1"/>
  <c r="H15"/>
  <c r="G15"/>
  <c r="F15"/>
  <c r="E15"/>
  <c r="D15"/>
  <c r="C15"/>
  <c r="Z14"/>
  <c r="AA14" s="1"/>
  <c r="H14"/>
  <c r="G14"/>
  <c r="F14"/>
  <c r="E14"/>
  <c r="D14"/>
  <c r="C14"/>
  <c r="Z13"/>
  <c r="X13"/>
  <c r="Y13" s="1"/>
  <c r="AA13" s="1"/>
  <c r="W13"/>
  <c r="G13"/>
  <c r="C13"/>
  <c r="D13" s="1"/>
  <c r="AA12"/>
  <c r="Z12"/>
  <c r="Y12"/>
  <c r="X12"/>
  <c r="W12"/>
  <c r="G12"/>
  <c r="C12"/>
  <c r="D12" s="1"/>
  <c r="Z11"/>
  <c r="X11"/>
  <c r="W11"/>
  <c r="Y11" s="1"/>
  <c r="AA11" s="1"/>
  <c r="G11"/>
  <c r="C11"/>
  <c r="D11" s="1"/>
  <c r="Z10"/>
  <c r="Y10"/>
  <c r="AA10" s="1"/>
  <c r="X10"/>
  <c r="W10"/>
  <c r="G10"/>
  <c r="D10"/>
  <c r="F10" s="1"/>
  <c r="H10" s="1"/>
  <c r="C10"/>
  <c r="AA9"/>
  <c r="Z9"/>
  <c r="Z40" s="1"/>
  <c r="Y9"/>
  <c r="X9"/>
  <c r="W9"/>
  <c r="G9"/>
  <c r="C9"/>
  <c r="D9" s="1"/>
  <c r="V40" i="11"/>
  <c r="U40"/>
  <c r="T40"/>
  <c r="S40"/>
  <c r="R40"/>
  <c r="Q40"/>
  <c r="P40"/>
  <c r="O40"/>
  <c r="N40"/>
  <c r="M40"/>
  <c r="L40"/>
  <c r="K40"/>
  <c r="J40"/>
  <c r="I40"/>
  <c r="AA38"/>
  <c r="Z38"/>
  <c r="Y38"/>
  <c r="X38"/>
  <c r="W38"/>
  <c r="G38"/>
  <c r="D38"/>
  <c r="E38" s="1"/>
  <c r="C38"/>
  <c r="Z37"/>
  <c r="X37"/>
  <c r="W37"/>
  <c r="Y37" s="1"/>
  <c r="AA37" s="1"/>
  <c r="H37"/>
  <c r="G37"/>
  <c r="F37"/>
  <c r="E37"/>
  <c r="D37"/>
  <c r="C37"/>
  <c r="Z36"/>
  <c r="X36"/>
  <c r="Y36" s="1"/>
  <c r="AA36" s="1"/>
  <c r="W36"/>
  <c r="G36"/>
  <c r="C36"/>
  <c r="D36" s="1"/>
  <c r="AA35"/>
  <c r="Z35"/>
  <c r="Y35"/>
  <c r="X35"/>
  <c r="W35"/>
  <c r="G35"/>
  <c r="C35"/>
  <c r="D35" s="1"/>
  <c r="Z34"/>
  <c r="X34"/>
  <c r="W34"/>
  <c r="Y34" s="1"/>
  <c r="AA34" s="1"/>
  <c r="G34"/>
  <c r="C34"/>
  <c r="D34" s="1"/>
  <c r="Z33"/>
  <c r="Y33"/>
  <c r="AA33" s="1"/>
  <c r="X33"/>
  <c r="W33"/>
  <c r="G33"/>
  <c r="D33"/>
  <c r="F33" s="1"/>
  <c r="H33" s="1"/>
  <c r="C33"/>
  <c r="AA32"/>
  <c r="Z32"/>
  <c r="Y32"/>
  <c r="X32"/>
  <c r="W32"/>
  <c r="G32"/>
  <c r="C32"/>
  <c r="D32" s="1"/>
  <c r="Z31"/>
  <c r="X31"/>
  <c r="W31"/>
  <c r="Y31" s="1"/>
  <c r="AA31" s="1"/>
  <c r="H31"/>
  <c r="G31"/>
  <c r="F31"/>
  <c r="D31"/>
  <c r="E31" s="1"/>
  <c r="C31"/>
  <c r="Z30"/>
  <c r="X30"/>
  <c r="W30"/>
  <c r="Y30" s="1"/>
  <c r="AA30" s="1"/>
  <c r="G30"/>
  <c r="E30"/>
  <c r="D30"/>
  <c r="F30" s="1"/>
  <c r="H30" s="1"/>
  <c r="C30"/>
  <c r="Z29"/>
  <c r="X29"/>
  <c r="W29"/>
  <c r="Y29" s="1"/>
  <c r="AA29" s="1"/>
  <c r="G29"/>
  <c r="C29"/>
  <c r="D29" s="1"/>
  <c r="Z28"/>
  <c r="Y28"/>
  <c r="AA28" s="1"/>
  <c r="X28"/>
  <c r="W28"/>
  <c r="G28"/>
  <c r="C28"/>
  <c r="D28" s="1"/>
  <c r="Z27"/>
  <c r="X27"/>
  <c r="W27"/>
  <c r="Y27" s="1"/>
  <c r="AA27" s="1"/>
  <c r="G27"/>
  <c r="F27"/>
  <c r="H27" s="1"/>
  <c r="E27"/>
  <c r="D27"/>
  <c r="C27"/>
  <c r="Z26"/>
  <c r="X26"/>
  <c r="W26"/>
  <c r="Y26" s="1"/>
  <c r="AA26" s="1"/>
  <c r="G26"/>
  <c r="D26"/>
  <c r="E26" s="1"/>
  <c r="C26"/>
  <c r="Z25"/>
  <c r="Y25"/>
  <c r="AA25" s="1"/>
  <c r="X25"/>
  <c r="W25"/>
  <c r="G25"/>
  <c r="C25"/>
  <c r="D25" s="1"/>
  <c r="Z24"/>
  <c r="X24"/>
  <c r="Y24" s="1"/>
  <c r="AA24" s="1"/>
  <c r="W24"/>
  <c r="G24"/>
  <c r="F24"/>
  <c r="H24" s="1"/>
  <c r="E24"/>
  <c r="D24"/>
  <c r="C24"/>
  <c r="Z23"/>
  <c r="X23"/>
  <c r="W23"/>
  <c r="Y23" s="1"/>
  <c r="AA23" s="1"/>
  <c r="G23"/>
  <c r="C23"/>
  <c r="D23" s="1"/>
  <c r="AA22"/>
  <c r="Z22"/>
  <c r="Y22"/>
  <c r="X22"/>
  <c r="W22"/>
  <c r="G22"/>
  <c r="D22"/>
  <c r="E22" s="1"/>
  <c r="C22"/>
  <c r="Z21"/>
  <c r="X21"/>
  <c r="W21"/>
  <c r="Y21" s="1"/>
  <c r="AA21" s="1"/>
  <c r="H21"/>
  <c r="G21"/>
  <c r="F21"/>
  <c r="D21"/>
  <c r="E21" s="1"/>
  <c r="C21"/>
  <c r="Z20"/>
  <c r="X20"/>
  <c r="Y20" s="1"/>
  <c r="AA20" s="1"/>
  <c r="W20"/>
  <c r="G20"/>
  <c r="C20"/>
  <c r="D20" s="1"/>
  <c r="Z19"/>
  <c r="X19"/>
  <c r="Y19" s="1"/>
  <c r="AA19" s="1"/>
  <c r="W19"/>
  <c r="G19"/>
  <c r="C19"/>
  <c r="D19" s="1"/>
  <c r="Z18"/>
  <c r="X18"/>
  <c r="W18"/>
  <c r="Y18" s="1"/>
  <c r="AA18" s="1"/>
  <c r="G18"/>
  <c r="C18"/>
  <c r="D18" s="1"/>
  <c r="Z17"/>
  <c r="Y17"/>
  <c r="AA17" s="1"/>
  <c r="X17"/>
  <c r="W17"/>
  <c r="G17"/>
  <c r="D17"/>
  <c r="F17" s="1"/>
  <c r="H17" s="1"/>
  <c r="C17"/>
  <c r="Z16"/>
  <c r="Y16"/>
  <c r="AA16" s="1"/>
  <c r="X16"/>
  <c r="W16"/>
  <c r="G16"/>
  <c r="C16"/>
  <c r="D16" s="1"/>
  <c r="Z15"/>
  <c r="X15"/>
  <c r="W15"/>
  <c r="Y15" s="1"/>
  <c r="AA15" s="1"/>
  <c r="G15"/>
  <c r="F15"/>
  <c r="H15" s="1"/>
  <c r="D15"/>
  <c r="E15" s="1"/>
  <c r="C15"/>
  <c r="Z14"/>
  <c r="X14"/>
  <c r="W14"/>
  <c r="Y14" s="1"/>
  <c r="AA14" s="1"/>
  <c r="G14"/>
  <c r="E14"/>
  <c r="D14"/>
  <c r="F14" s="1"/>
  <c r="H14" s="1"/>
  <c r="C14"/>
  <c r="Z13"/>
  <c r="X13"/>
  <c r="W13"/>
  <c r="Y13" s="1"/>
  <c r="AA13" s="1"/>
  <c r="G13"/>
  <c r="C13"/>
  <c r="D13" s="1"/>
  <c r="Z12"/>
  <c r="Y12"/>
  <c r="AA12" s="1"/>
  <c r="X12"/>
  <c r="W12"/>
  <c r="G12"/>
  <c r="C12"/>
  <c r="D12" s="1"/>
  <c r="Z11"/>
  <c r="X11"/>
  <c r="W11"/>
  <c r="Y11" s="1"/>
  <c r="AA11" s="1"/>
  <c r="G11"/>
  <c r="F11"/>
  <c r="H11" s="1"/>
  <c r="E11"/>
  <c r="D11"/>
  <c r="C11"/>
  <c r="Z10"/>
  <c r="X10"/>
  <c r="W10"/>
  <c r="Y10" s="1"/>
  <c r="AA10" s="1"/>
  <c r="G10"/>
  <c r="D10"/>
  <c r="E10" s="1"/>
  <c r="C10"/>
  <c r="Z9"/>
  <c r="Z40" s="1"/>
  <c r="Y9"/>
  <c r="X9"/>
  <c r="X40" s="1"/>
  <c r="W9"/>
  <c r="W40" s="1"/>
  <c r="G9"/>
  <c r="C9"/>
  <c r="D9" s="1"/>
  <c r="V40" i="10"/>
  <c r="U40"/>
  <c r="T40"/>
  <c r="S40"/>
  <c r="R40"/>
  <c r="Q40"/>
  <c r="X40" s="1"/>
  <c r="P40"/>
  <c r="O40"/>
  <c r="N40"/>
  <c r="M40"/>
  <c r="L40"/>
  <c r="K40"/>
  <c r="J40"/>
  <c r="I40"/>
  <c r="W40" s="1"/>
  <c r="Y40" s="1"/>
  <c r="Z39"/>
  <c r="X39"/>
  <c r="W39"/>
  <c r="Y39" s="1"/>
  <c r="AA39" s="1"/>
  <c r="G39"/>
  <c r="H39" s="1"/>
  <c r="F39"/>
  <c r="D39"/>
  <c r="E39" s="1"/>
  <c r="C39"/>
  <c r="Z38"/>
  <c r="X38"/>
  <c r="W38"/>
  <c r="Y38" s="1"/>
  <c r="AA38" s="1"/>
  <c r="G38"/>
  <c r="E38"/>
  <c r="D38"/>
  <c r="F38" s="1"/>
  <c r="H38" s="1"/>
  <c r="C38"/>
  <c r="Z37"/>
  <c r="X37"/>
  <c r="W37"/>
  <c r="Y37" s="1"/>
  <c r="AA37" s="1"/>
  <c r="G37"/>
  <c r="C37"/>
  <c r="D37" s="1"/>
  <c r="Z36"/>
  <c r="Y36"/>
  <c r="AA36" s="1"/>
  <c r="X36"/>
  <c r="W36"/>
  <c r="G36"/>
  <c r="C36"/>
  <c r="D36" s="1"/>
  <c r="Z35"/>
  <c r="X35"/>
  <c r="W35"/>
  <c r="Y35" s="1"/>
  <c r="AA35" s="1"/>
  <c r="G35"/>
  <c r="C35"/>
  <c r="D35" s="1"/>
  <c r="Z34"/>
  <c r="X34"/>
  <c r="W34"/>
  <c r="Y34" s="1"/>
  <c r="AA34" s="1"/>
  <c r="G34"/>
  <c r="D34"/>
  <c r="E34" s="1"/>
  <c r="C34"/>
  <c r="Z33"/>
  <c r="Y33"/>
  <c r="AA33" s="1"/>
  <c r="X33"/>
  <c r="W33"/>
  <c r="G33"/>
  <c r="C33"/>
  <c r="D33" s="1"/>
  <c r="Z32"/>
  <c r="X32"/>
  <c r="Y32" s="1"/>
  <c r="AA32" s="1"/>
  <c r="W32"/>
  <c r="G32"/>
  <c r="F32"/>
  <c r="H32" s="1"/>
  <c r="D32"/>
  <c r="E32" s="1"/>
  <c r="C32"/>
  <c r="Z31"/>
  <c r="X31"/>
  <c r="W31"/>
  <c r="Y31" s="1"/>
  <c r="AA31" s="1"/>
  <c r="G31"/>
  <c r="C31"/>
  <c r="D31" s="1"/>
  <c r="Z30"/>
  <c r="X30"/>
  <c r="Y30" s="1"/>
  <c r="AA30" s="1"/>
  <c r="W30"/>
  <c r="G30"/>
  <c r="D30"/>
  <c r="E30" s="1"/>
  <c r="C30"/>
  <c r="Z29"/>
  <c r="X29"/>
  <c r="W29"/>
  <c r="Y29" s="1"/>
  <c r="AA29" s="1"/>
  <c r="G29"/>
  <c r="E29"/>
  <c r="D29"/>
  <c r="F29" s="1"/>
  <c r="H29" s="1"/>
  <c r="C29"/>
  <c r="Z28"/>
  <c r="X28"/>
  <c r="Y28" s="1"/>
  <c r="AA28" s="1"/>
  <c r="W28"/>
  <c r="G28"/>
  <c r="C28"/>
  <c r="D28" s="1"/>
  <c r="AA27"/>
  <c r="Z27"/>
  <c r="Y27"/>
  <c r="X27"/>
  <c r="W27"/>
  <c r="G27"/>
  <c r="C27"/>
  <c r="D27" s="1"/>
  <c r="Z26"/>
  <c r="X26"/>
  <c r="W26"/>
  <c r="Y26" s="1"/>
  <c r="AA26" s="1"/>
  <c r="G26"/>
  <c r="C26"/>
  <c r="D26" s="1"/>
  <c r="Z25"/>
  <c r="Y25"/>
  <c r="AA25" s="1"/>
  <c r="X25"/>
  <c r="W25"/>
  <c r="G25"/>
  <c r="D25"/>
  <c r="F25" s="1"/>
  <c r="H25" s="1"/>
  <c r="C25"/>
  <c r="AA24"/>
  <c r="Z24"/>
  <c r="Y24"/>
  <c r="X24"/>
  <c r="W24"/>
  <c r="G24"/>
  <c r="C24"/>
  <c r="D24" s="1"/>
  <c r="Z23"/>
  <c r="X23"/>
  <c r="W23"/>
  <c r="Y23" s="1"/>
  <c r="AA23" s="1"/>
  <c r="H23"/>
  <c r="G23"/>
  <c r="F23"/>
  <c r="D23"/>
  <c r="E23" s="1"/>
  <c r="C23"/>
  <c r="Z22"/>
  <c r="X22"/>
  <c r="W22"/>
  <c r="Y22" s="1"/>
  <c r="AA22" s="1"/>
  <c r="G22"/>
  <c r="E22"/>
  <c r="D22"/>
  <c r="F22" s="1"/>
  <c r="H22" s="1"/>
  <c r="C22"/>
  <c r="Z21"/>
  <c r="X21"/>
  <c r="W21"/>
  <c r="Y21" s="1"/>
  <c r="AA21" s="1"/>
  <c r="G21"/>
  <c r="C21"/>
  <c r="D21" s="1"/>
  <c r="Z20"/>
  <c r="Y20"/>
  <c r="AA20" s="1"/>
  <c r="X20"/>
  <c r="W20"/>
  <c r="G20"/>
  <c r="C20"/>
  <c r="D20" s="1"/>
  <c r="Z19"/>
  <c r="X19"/>
  <c r="W19"/>
  <c r="Y19" s="1"/>
  <c r="AA19" s="1"/>
  <c r="H19"/>
  <c r="G19"/>
  <c r="F19"/>
  <c r="E19"/>
  <c r="D19"/>
  <c r="C19"/>
  <c r="Z18"/>
  <c r="X18"/>
  <c r="W18"/>
  <c r="Y18" s="1"/>
  <c r="AA18" s="1"/>
  <c r="G18"/>
  <c r="D18"/>
  <c r="E18" s="1"/>
  <c r="C18"/>
  <c r="Z17"/>
  <c r="Y17"/>
  <c r="AA17" s="1"/>
  <c r="X17"/>
  <c r="W17"/>
  <c r="G17"/>
  <c r="C17"/>
  <c r="D17" s="1"/>
  <c r="Z16"/>
  <c r="X16"/>
  <c r="Y16" s="1"/>
  <c r="AA16" s="1"/>
  <c r="W16"/>
  <c r="G16"/>
  <c r="C16"/>
  <c r="D16" s="1"/>
  <c r="Z15"/>
  <c r="X15"/>
  <c r="W15"/>
  <c r="Y15" s="1"/>
  <c r="AA15" s="1"/>
  <c r="G15"/>
  <c r="C15"/>
  <c r="D15" s="1"/>
  <c r="Z14"/>
  <c r="X14"/>
  <c r="W14"/>
  <c r="Y14" s="1"/>
  <c r="AA14" s="1"/>
  <c r="G14"/>
  <c r="E14"/>
  <c r="D14"/>
  <c r="F14" s="1"/>
  <c r="H14" s="1"/>
  <c r="C14"/>
  <c r="Z13"/>
  <c r="X13"/>
  <c r="W13"/>
  <c r="Y13" s="1"/>
  <c r="AA13" s="1"/>
  <c r="G13"/>
  <c r="D13"/>
  <c r="E13" s="1"/>
  <c r="C13"/>
  <c r="Z12"/>
  <c r="Y12"/>
  <c r="AA12" s="1"/>
  <c r="X12"/>
  <c r="W12"/>
  <c r="G12"/>
  <c r="C12"/>
  <c r="D12" s="1"/>
  <c r="Z11"/>
  <c r="X11"/>
  <c r="Y11" s="1"/>
  <c r="AA11" s="1"/>
  <c r="W11"/>
  <c r="G11"/>
  <c r="C11"/>
  <c r="D11" s="1"/>
  <c r="Z10"/>
  <c r="X10"/>
  <c r="W10"/>
  <c r="Y10" s="1"/>
  <c r="AA10" s="1"/>
  <c r="G10"/>
  <c r="C10"/>
  <c r="D10" s="1"/>
  <c r="Z9"/>
  <c r="Z40" s="1"/>
  <c r="Y9"/>
  <c r="AA9" s="1"/>
  <c r="X9"/>
  <c r="W9"/>
  <c r="H9"/>
  <c r="G9"/>
  <c r="F9"/>
  <c r="E9"/>
  <c r="D9"/>
  <c r="C9"/>
  <c r="V40" i="9"/>
  <c r="U40"/>
  <c r="T40"/>
  <c r="S40"/>
  <c r="R40"/>
  <c r="Q40"/>
  <c r="P40"/>
  <c r="O40"/>
  <c r="N40"/>
  <c r="M40"/>
  <c r="L40"/>
  <c r="K40"/>
  <c r="J40"/>
  <c r="I40"/>
  <c r="Z38"/>
  <c r="X38"/>
  <c r="W38"/>
  <c r="Y38" s="1"/>
  <c r="AA38" s="1"/>
  <c r="G38"/>
  <c r="C38"/>
  <c r="D38" s="1"/>
  <c r="Z37"/>
  <c r="X37"/>
  <c r="W37"/>
  <c r="Y37" s="1"/>
  <c r="AA37" s="1"/>
  <c r="G37"/>
  <c r="D37"/>
  <c r="E37" s="1"/>
  <c r="C37"/>
  <c r="Z36"/>
  <c r="X36"/>
  <c r="W36"/>
  <c r="Y36" s="1"/>
  <c r="AA36" s="1"/>
  <c r="G36"/>
  <c r="E36"/>
  <c r="D36"/>
  <c r="F36" s="1"/>
  <c r="H36" s="1"/>
  <c r="C36"/>
  <c r="Z35"/>
  <c r="Y35"/>
  <c r="AA35" s="1"/>
  <c r="X35"/>
  <c r="W35"/>
  <c r="G35"/>
  <c r="C35"/>
  <c r="D35" s="1"/>
  <c r="AA34"/>
  <c r="Z34"/>
  <c r="Y34"/>
  <c r="X34"/>
  <c r="W34"/>
  <c r="G34"/>
  <c r="C34"/>
  <c r="D34" s="1"/>
  <c r="Z33"/>
  <c r="X33"/>
  <c r="W33"/>
  <c r="Y33" s="1"/>
  <c r="AA33" s="1"/>
  <c r="G33"/>
  <c r="C33"/>
  <c r="D33" s="1"/>
  <c r="Z32"/>
  <c r="Y32"/>
  <c r="AA32" s="1"/>
  <c r="X32"/>
  <c r="W32"/>
  <c r="G32"/>
  <c r="D32"/>
  <c r="F32" s="1"/>
  <c r="H32" s="1"/>
  <c r="C32"/>
  <c r="Z31"/>
  <c r="Y31"/>
  <c r="AA31" s="1"/>
  <c r="X31"/>
  <c r="W31"/>
  <c r="G31"/>
  <c r="C31"/>
  <c r="D31" s="1"/>
  <c r="Z30"/>
  <c r="X30"/>
  <c r="W30"/>
  <c r="Y30" s="1"/>
  <c r="AA30" s="1"/>
  <c r="H30"/>
  <c r="G30"/>
  <c r="F30"/>
  <c r="D30"/>
  <c r="E30" s="1"/>
  <c r="C30"/>
  <c r="Z29"/>
  <c r="X29"/>
  <c r="W29"/>
  <c r="Y29" s="1"/>
  <c r="AA29" s="1"/>
  <c r="G29"/>
  <c r="C29"/>
  <c r="D29" s="1"/>
  <c r="Z28"/>
  <c r="X28"/>
  <c r="W28"/>
  <c r="Y28" s="1"/>
  <c r="AA28" s="1"/>
  <c r="G28"/>
  <c r="C28"/>
  <c r="D28" s="1"/>
  <c r="Z27"/>
  <c r="X27"/>
  <c r="W27"/>
  <c r="Y27" s="1"/>
  <c r="AA27" s="1"/>
  <c r="G27"/>
  <c r="C27"/>
  <c r="D27" s="1"/>
  <c r="Z26"/>
  <c r="X26"/>
  <c r="W26"/>
  <c r="Y26" s="1"/>
  <c r="AA26" s="1"/>
  <c r="G26"/>
  <c r="D26"/>
  <c r="E26" s="1"/>
  <c r="C26"/>
  <c r="Z25"/>
  <c r="X25"/>
  <c r="W25"/>
  <c r="Y25" s="1"/>
  <c r="AA25" s="1"/>
  <c r="H25"/>
  <c r="G25"/>
  <c r="F25"/>
  <c r="E25"/>
  <c r="D25"/>
  <c r="C25"/>
  <c r="Z24"/>
  <c r="X24"/>
  <c r="Y24" s="1"/>
  <c r="AA24" s="1"/>
  <c r="W24"/>
  <c r="G24"/>
  <c r="D24"/>
  <c r="E24" s="1"/>
  <c r="C24"/>
  <c r="Z23"/>
  <c r="X23"/>
  <c r="Y23" s="1"/>
  <c r="AA23" s="1"/>
  <c r="W23"/>
  <c r="G23"/>
  <c r="C23"/>
  <c r="D23" s="1"/>
  <c r="Z22"/>
  <c r="X22"/>
  <c r="W22"/>
  <c r="Y22" s="1"/>
  <c r="AA22" s="1"/>
  <c r="G22"/>
  <c r="C22"/>
  <c r="D22" s="1"/>
  <c r="Z21"/>
  <c r="Y21"/>
  <c r="AA21" s="1"/>
  <c r="X21"/>
  <c r="W21"/>
  <c r="H21"/>
  <c r="G21"/>
  <c r="F21"/>
  <c r="E21"/>
  <c r="D21"/>
  <c r="C21"/>
  <c r="Z20"/>
  <c r="X20"/>
  <c r="W20"/>
  <c r="Y20" s="1"/>
  <c r="AA20" s="1"/>
  <c r="G20"/>
  <c r="F20"/>
  <c r="H20" s="1"/>
  <c r="D20"/>
  <c r="E20" s="1"/>
  <c r="C20"/>
  <c r="Z19"/>
  <c r="X19"/>
  <c r="Y19" s="1"/>
  <c r="AA19" s="1"/>
  <c r="W19"/>
  <c r="G19"/>
  <c r="C19"/>
  <c r="D19" s="1"/>
  <c r="Z18"/>
  <c r="X18"/>
  <c r="Y18" s="1"/>
  <c r="AA18" s="1"/>
  <c r="W18"/>
  <c r="G18"/>
  <c r="C18"/>
  <c r="D18" s="1"/>
  <c r="Z17"/>
  <c r="X17"/>
  <c r="W17"/>
  <c r="Y17" s="1"/>
  <c r="AA17" s="1"/>
  <c r="G17"/>
  <c r="C17"/>
  <c r="D17" s="1"/>
  <c r="Z16"/>
  <c r="Y16"/>
  <c r="AA16" s="1"/>
  <c r="X16"/>
  <c r="W16"/>
  <c r="G16"/>
  <c r="D16"/>
  <c r="F16" s="1"/>
  <c r="H16" s="1"/>
  <c r="C16"/>
  <c r="AA15"/>
  <c r="Z15"/>
  <c r="Y15"/>
  <c r="X15"/>
  <c r="W15"/>
  <c r="G15"/>
  <c r="C15"/>
  <c r="D15" s="1"/>
  <c r="Z14"/>
  <c r="X14"/>
  <c r="W14"/>
  <c r="Y14" s="1"/>
  <c r="AA14" s="1"/>
  <c r="H14"/>
  <c r="G14"/>
  <c r="F14"/>
  <c r="D14"/>
  <c r="E14" s="1"/>
  <c r="C14"/>
  <c r="Z13"/>
  <c r="X13"/>
  <c r="W13"/>
  <c r="Y13" s="1"/>
  <c r="AA13" s="1"/>
  <c r="G13"/>
  <c r="C13"/>
  <c r="D13" s="1"/>
  <c r="Z12"/>
  <c r="X12"/>
  <c r="W12"/>
  <c r="Y12" s="1"/>
  <c r="AA12" s="1"/>
  <c r="G12"/>
  <c r="C12"/>
  <c r="D12" s="1"/>
  <c r="Z11"/>
  <c r="Z40" s="1"/>
  <c r="X11"/>
  <c r="W11"/>
  <c r="Y11" s="1"/>
  <c r="AA11" s="1"/>
  <c r="G11"/>
  <c r="C11"/>
  <c r="D11" s="1"/>
  <c r="Z10"/>
  <c r="X10"/>
  <c r="W10"/>
  <c r="Y10" s="1"/>
  <c r="AA10" s="1"/>
  <c r="G10"/>
  <c r="D10"/>
  <c r="E10" s="1"/>
  <c r="C10"/>
  <c r="Z9"/>
  <c r="X9"/>
  <c r="X40" s="1"/>
  <c r="W9"/>
  <c r="W40" s="1"/>
  <c r="G9"/>
  <c r="D9"/>
  <c r="E9" s="1"/>
  <c r="C9"/>
  <c r="X40" i="8"/>
  <c r="V40"/>
  <c r="U40"/>
  <c r="T40"/>
  <c r="S40"/>
  <c r="R40"/>
  <c r="Q40"/>
  <c r="P40"/>
  <c r="O40"/>
  <c r="N40"/>
  <c r="M40"/>
  <c r="L40"/>
  <c r="K40"/>
  <c r="J40"/>
  <c r="I40"/>
  <c r="W40" s="1"/>
  <c r="Y40" s="1"/>
  <c r="AA39"/>
  <c r="Z39"/>
  <c r="Y39"/>
  <c r="X39"/>
  <c r="W39"/>
  <c r="H39"/>
  <c r="G39"/>
  <c r="F39"/>
  <c r="E39"/>
  <c r="D39"/>
  <c r="C39"/>
  <c r="Z38"/>
  <c r="X38"/>
  <c r="W38"/>
  <c r="Y38" s="1"/>
  <c r="AA38" s="1"/>
  <c r="H38"/>
  <c r="G38"/>
  <c r="F38"/>
  <c r="D38"/>
  <c r="E38" s="1"/>
  <c r="C38"/>
  <c r="Z37"/>
  <c r="X37"/>
  <c r="W37"/>
  <c r="Y37" s="1"/>
  <c r="AA37" s="1"/>
  <c r="G37"/>
  <c r="C37"/>
  <c r="D37" s="1"/>
  <c r="Z36"/>
  <c r="X36"/>
  <c r="W36"/>
  <c r="Y36" s="1"/>
  <c r="AA36" s="1"/>
  <c r="G36"/>
  <c r="C36"/>
  <c r="D36" s="1"/>
  <c r="Z35"/>
  <c r="X35"/>
  <c r="W35"/>
  <c r="Y35" s="1"/>
  <c r="AA35" s="1"/>
  <c r="G35"/>
  <c r="C35"/>
  <c r="D35" s="1"/>
  <c r="Z34"/>
  <c r="X34"/>
  <c r="W34"/>
  <c r="Y34" s="1"/>
  <c r="AA34" s="1"/>
  <c r="G34"/>
  <c r="D34"/>
  <c r="E34" s="1"/>
  <c r="C34"/>
  <c r="Z33"/>
  <c r="X33"/>
  <c r="W33"/>
  <c r="Y33" s="1"/>
  <c r="AA33" s="1"/>
  <c r="G33"/>
  <c r="D33"/>
  <c r="E33" s="1"/>
  <c r="C33"/>
  <c r="Z32"/>
  <c r="X32"/>
  <c r="Y32" s="1"/>
  <c r="AA32" s="1"/>
  <c r="W32"/>
  <c r="G32"/>
  <c r="C32"/>
  <c r="D32" s="1"/>
  <c r="Z31"/>
  <c r="X31"/>
  <c r="Y31" s="1"/>
  <c r="AA31" s="1"/>
  <c r="W31"/>
  <c r="G31"/>
  <c r="C31"/>
  <c r="D31" s="1"/>
  <c r="Z30"/>
  <c r="X30"/>
  <c r="W30"/>
  <c r="Y30" s="1"/>
  <c r="AA30" s="1"/>
  <c r="G30"/>
  <c r="C30"/>
  <c r="D30" s="1"/>
  <c r="Z29"/>
  <c r="Y29"/>
  <c r="AA29" s="1"/>
  <c r="X29"/>
  <c r="W29"/>
  <c r="G29"/>
  <c r="D29"/>
  <c r="E29" s="1"/>
  <c r="C29"/>
  <c r="Z28"/>
  <c r="X28"/>
  <c r="W28"/>
  <c r="Y28" s="1"/>
  <c r="AA28" s="1"/>
  <c r="G28"/>
  <c r="F28"/>
  <c r="H28" s="1"/>
  <c r="D28"/>
  <c r="E28" s="1"/>
  <c r="C28"/>
  <c r="Z27"/>
  <c r="X27"/>
  <c r="Y27" s="1"/>
  <c r="AA27" s="1"/>
  <c r="W27"/>
  <c r="G27"/>
  <c r="C27"/>
  <c r="D27" s="1"/>
  <c r="Z26"/>
  <c r="X26"/>
  <c r="Y26" s="1"/>
  <c r="AA26" s="1"/>
  <c r="W26"/>
  <c r="G26"/>
  <c r="C26"/>
  <c r="D26" s="1"/>
  <c r="Z25"/>
  <c r="X25"/>
  <c r="W25"/>
  <c r="Y25" s="1"/>
  <c r="AA25" s="1"/>
  <c r="G25"/>
  <c r="C25"/>
  <c r="D25" s="1"/>
  <c r="Z24"/>
  <c r="Y24"/>
  <c r="AA24" s="1"/>
  <c r="X24"/>
  <c r="W24"/>
  <c r="G24"/>
  <c r="D24"/>
  <c r="F24" s="1"/>
  <c r="H24" s="1"/>
  <c r="C24"/>
  <c r="AA23"/>
  <c r="Z23"/>
  <c r="Y23"/>
  <c r="X23"/>
  <c r="W23"/>
  <c r="G23"/>
  <c r="C23"/>
  <c r="D23" s="1"/>
  <c r="Z22"/>
  <c r="X22"/>
  <c r="W22"/>
  <c r="Y22" s="1"/>
  <c r="AA22" s="1"/>
  <c r="H22"/>
  <c r="G22"/>
  <c r="F22"/>
  <c r="D22"/>
  <c r="E22" s="1"/>
  <c r="C22"/>
  <c r="Z21"/>
  <c r="X21"/>
  <c r="W21"/>
  <c r="Y21" s="1"/>
  <c r="AA21" s="1"/>
  <c r="G21"/>
  <c r="C21"/>
  <c r="D21" s="1"/>
  <c r="Z20"/>
  <c r="X20"/>
  <c r="W20"/>
  <c r="Y20" s="1"/>
  <c r="AA20" s="1"/>
  <c r="G20"/>
  <c r="C20"/>
  <c r="D20" s="1"/>
  <c r="Z19"/>
  <c r="X19"/>
  <c r="W19"/>
  <c r="Y19" s="1"/>
  <c r="AA19" s="1"/>
  <c r="G19"/>
  <c r="C19"/>
  <c r="D19" s="1"/>
  <c r="Z18"/>
  <c r="X18"/>
  <c r="W18"/>
  <c r="Y18" s="1"/>
  <c r="AA18" s="1"/>
  <c r="G18"/>
  <c r="D18"/>
  <c r="E18" s="1"/>
  <c r="C18"/>
  <c r="Z17"/>
  <c r="X17"/>
  <c r="W17"/>
  <c r="Y17" s="1"/>
  <c r="AA17" s="1"/>
  <c r="G17"/>
  <c r="D17"/>
  <c r="E17" s="1"/>
  <c r="C17"/>
  <c r="Z16"/>
  <c r="X16"/>
  <c r="Y16" s="1"/>
  <c r="AA16" s="1"/>
  <c r="W16"/>
  <c r="G16"/>
  <c r="C16"/>
  <c r="D16" s="1"/>
  <c r="Z15"/>
  <c r="X15"/>
  <c r="Y15" s="1"/>
  <c r="AA15" s="1"/>
  <c r="W15"/>
  <c r="G15"/>
  <c r="C15"/>
  <c r="D15" s="1"/>
  <c r="Z14"/>
  <c r="X14"/>
  <c r="W14"/>
  <c r="Y14" s="1"/>
  <c r="AA14" s="1"/>
  <c r="G14"/>
  <c r="C14"/>
  <c r="D14" s="1"/>
  <c r="Z13"/>
  <c r="Y13"/>
  <c r="AA13" s="1"/>
  <c r="X13"/>
  <c r="W13"/>
  <c r="G13"/>
  <c r="D13"/>
  <c r="E13" s="1"/>
  <c r="C13"/>
  <c r="Z12"/>
  <c r="X12"/>
  <c r="W12"/>
  <c r="Y12" s="1"/>
  <c r="AA12" s="1"/>
  <c r="G12"/>
  <c r="F12"/>
  <c r="H12" s="1"/>
  <c r="D12"/>
  <c r="E12" s="1"/>
  <c r="C12"/>
  <c r="Z11"/>
  <c r="X11"/>
  <c r="Y11" s="1"/>
  <c r="AA11" s="1"/>
  <c r="W11"/>
  <c r="G11"/>
  <c r="C11"/>
  <c r="D11" s="1"/>
  <c r="Z10"/>
  <c r="Z40" s="1"/>
  <c r="X10"/>
  <c r="Y10" s="1"/>
  <c r="AA10" s="1"/>
  <c r="W10"/>
  <c r="G10"/>
  <c r="C10"/>
  <c r="D10" s="1"/>
  <c r="Z9"/>
  <c r="X9"/>
  <c r="W9"/>
  <c r="Y9" s="1"/>
  <c r="AA9" s="1"/>
  <c r="G9"/>
  <c r="C9"/>
  <c r="D9" s="1"/>
  <c r="V40" i="7"/>
  <c r="U40"/>
  <c r="T40"/>
  <c r="S40"/>
  <c r="R40"/>
  <c r="Q40"/>
  <c r="P40"/>
  <c r="X40" s="1"/>
  <c r="O40"/>
  <c r="N40"/>
  <c r="W40" s="1"/>
  <c r="M40"/>
  <c r="L40"/>
  <c r="K40"/>
  <c r="J40"/>
  <c r="I40"/>
  <c r="Z39"/>
  <c r="X39"/>
  <c r="W39"/>
  <c r="Y39" s="1"/>
  <c r="AA39" s="1"/>
  <c r="G39"/>
  <c r="C39"/>
  <c r="D39" s="1"/>
  <c r="Z38"/>
  <c r="X38"/>
  <c r="W38"/>
  <c r="Y38" s="1"/>
  <c r="AA38" s="1"/>
  <c r="G38"/>
  <c r="C38"/>
  <c r="D38" s="1"/>
  <c r="Z37"/>
  <c r="X37"/>
  <c r="W37"/>
  <c r="Y37" s="1"/>
  <c r="AA37" s="1"/>
  <c r="G37"/>
  <c r="C37"/>
  <c r="D37" s="1"/>
  <c r="Z36"/>
  <c r="X36"/>
  <c r="W36"/>
  <c r="Y36" s="1"/>
  <c r="AA36" s="1"/>
  <c r="G36"/>
  <c r="D36"/>
  <c r="E36" s="1"/>
  <c r="C36"/>
  <c r="Z35"/>
  <c r="X35"/>
  <c r="W35"/>
  <c r="Y35" s="1"/>
  <c r="AA35" s="1"/>
  <c r="G35"/>
  <c r="D35"/>
  <c r="E35" s="1"/>
  <c r="C35"/>
  <c r="Z34"/>
  <c r="X34"/>
  <c r="Y34" s="1"/>
  <c r="AA34" s="1"/>
  <c r="W34"/>
  <c r="G34"/>
  <c r="C34"/>
  <c r="D34" s="1"/>
  <c r="Z33"/>
  <c r="X33"/>
  <c r="Y33" s="1"/>
  <c r="AA33" s="1"/>
  <c r="W33"/>
  <c r="G33"/>
  <c r="F33"/>
  <c r="H33" s="1"/>
  <c r="E33"/>
  <c r="D33"/>
  <c r="C33"/>
  <c r="Z32"/>
  <c r="X32"/>
  <c r="W32"/>
  <c r="Y32" s="1"/>
  <c r="AA32" s="1"/>
  <c r="G32"/>
  <c r="C32"/>
  <c r="D32" s="1"/>
  <c r="Z31"/>
  <c r="Y31"/>
  <c r="AA31" s="1"/>
  <c r="X31"/>
  <c r="W31"/>
  <c r="G31"/>
  <c r="D31"/>
  <c r="E31" s="1"/>
  <c r="C31"/>
  <c r="Z30"/>
  <c r="X30"/>
  <c r="W30"/>
  <c r="Y30" s="1"/>
  <c r="AA30" s="1"/>
  <c r="G30"/>
  <c r="F30"/>
  <c r="H30" s="1"/>
  <c r="E30"/>
  <c r="D30"/>
  <c r="C30"/>
  <c r="Z29"/>
  <c r="X29"/>
  <c r="Y29" s="1"/>
  <c r="AA29" s="1"/>
  <c r="W29"/>
  <c r="G29"/>
  <c r="C29"/>
  <c r="D29" s="1"/>
  <c r="Z28"/>
  <c r="X28"/>
  <c r="Y28" s="1"/>
  <c r="AA28" s="1"/>
  <c r="W28"/>
  <c r="G28"/>
  <c r="C28"/>
  <c r="D28" s="1"/>
  <c r="Z27"/>
  <c r="X27"/>
  <c r="W27"/>
  <c r="Y27" s="1"/>
  <c r="AA27" s="1"/>
  <c r="G27"/>
  <c r="C27"/>
  <c r="D27" s="1"/>
  <c r="Z26"/>
  <c r="Y26"/>
  <c r="AA26" s="1"/>
  <c r="X26"/>
  <c r="W26"/>
  <c r="G26"/>
  <c r="D26"/>
  <c r="F26" s="1"/>
  <c r="H26" s="1"/>
  <c r="C26"/>
  <c r="AA25"/>
  <c r="Z25"/>
  <c r="Y25"/>
  <c r="X25"/>
  <c r="W25"/>
  <c r="G25"/>
  <c r="C25"/>
  <c r="D25" s="1"/>
  <c r="Z24"/>
  <c r="X24"/>
  <c r="W24"/>
  <c r="Y24" s="1"/>
  <c r="AA24" s="1"/>
  <c r="H24"/>
  <c r="G24"/>
  <c r="F24"/>
  <c r="D24"/>
  <c r="E24" s="1"/>
  <c r="C24"/>
  <c r="Z23"/>
  <c r="X23"/>
  <c r="W23"/>
  <c r="Y23" s="1"/>
  <c r="AA23" s="1"/>
  <c r="G23"/>
  <c r="C23"/>
  <c r="D23" s="1"/>
  <c r="Z22"/>
  <c r="X22"/>
  <c r="W22"/>
  <c r="Y22" s="1"/>
  <c r="AA22" s="1"/>
  <c r="G22"/>
  <c r="C22"/>
  <c r="D22" s="1"/>
  <c r="Z21"/>
  <c r="X21"/>
  <c r="W21"/>
  <c r="Y21" s="1"/>
  <c r="AA21" s="1"/>
  <c r="G21"/>
  <c r="C21"/>
  <c r="D21" s="1"/>
  <c r="Z20"/>
  <c r="X20"/>
  <c r="W20"/>
  <c r="Y20" s="1"/>
  <c r="AA20" s="1"/>
  <c r="G20"/>
  <c r="D20"/>
  <c r="E20" s="1"/>
  <c r="C20"/>
  <c r="Z19"/>
  <c r="X19"/>
  <c r="W19"/>
  <c r="Y19" s="1"/>
  <c r="AA19" s="1"/>
  <c r="G19"/>
  <c r="D19"/>
  <c r="E19" s="1"/>
  <c r="C19"/>
  <c r="Z18"/>
  <c r="X18"/>
  <c r="Y18" s="1"/>
  <c r="AA18" s="1"/>
  <c r="W18"/>
  <c r="G18"/>
  <c r="C18"/>
  <c r="D18" s="1"/>
  <c r="Z17"/>
  <c r="Y17"/>
  <c r="AA17" s="1"/>
  <c r="X17"/>
  <c r="W17"/>
  <c r="G17"/>
  <c r="C17"/>
  <c r="D17" s="1"/>
  <c r="Z16"/>
  <c r="X16"/>
  <c r="W16"/>
  <c r="Y16" s="1"/>
  <c r="AA16" s="1"/>
  <c r="G16"/>
  <c r="C16"/>
  <c r="D16" s="1"/>
  <c r="Z15"/>
  <c r="Y15"/>
  <c r="AA15" s="1"/>
  <c r="X15"/>
  <c r="W15"/>
  <c r="G15"/>
  <c r="D15"/>
  <c r="E15" s="1"/>
  <c r="C15"/>
  <c r="Z14"/>
  <c r="X14"/>
  <c r="W14"/>
  <c r="Y14" s="1"/>
  <c r="AA14" s="1"/>
  <c r="G14"/>
  <c r="F14"/>
  <c r="H14" s="1"/>
  <c r="D14"/>
  <c r="E14" s="1"/>
  <c r="C14"/>
  <c r="Z13"/>
  <c r="X13"/>
  <c r="Y13" s="1"/>
  <c r="AA13" s="1"/>
  <c r="W13"/>
  <c r="G13"/>
  <c r="C13"/>
  <c r="D13" s="1"/>
  <c r="Z12"/>
  <c r="X12"/>
  <c r="Y12" s="1"/>
  <c r="AA12" s="1"/>
  <c r="W12"/>
  <c r="G12"/>
  <c r="C12"/>
  <c r="D12" s="1"/>
  <c r="Z11"/>
  <c r="X11"/>
  <c r="W11"/>
  <c r="Y11" s="1"/>
  <c r="AA11" s="1"/>
  <c r="G11"/>
  <c r="C11"/>
  <c r="D11" s="1"/>
  <c r="Z10"/>
  <c r="Y10"/>
  <c r="AA10" s="1"/>
  <c r="X10"/>
  <c r="W10"/>
  <c r="G10"/>
  <c r="D10"/>
  <c r="F10" s="1"/>
  <c r="H10" s="1"/>
  <c r="C10"/>
  <c r="AA9"/>
  <c r="Z9"/>
  <c r="Y9"/>
  <c r="X9"/>
  <c r="W9"/>
  <c r="G9"/>
  <c r="C9"/>
  <c r="D9" s="1"/>
  <c r="V40" i="6"/>
  <c r="U40"/>
  <c r="T40"/>
  <c r="S40"/>
  <c r="R40"/>
  <c r="Q40"/>
  <c r="P40"/>
  <c r="O40"/>
  <c r="N40"/>
  <c r="M40"/>
  <c r="L40"/>
  <c r="K40"/>
  <c r="J40"/>
  <c r="I40"/>
  <c r="Z38"/>
  <c r="Y38"/>
  <c r="AA38" s="1"/>
  <c r="X38"/>
  <c r="W38"/>
  <c r="G38"/>
  <c r="D38"/>
  <c r="E38" s="1"/>
  <c r="C38"/>
  <c r="Z37"/>
  <c r="X37"/>
  <c r="W37"/>
  <c r="Y37" s="1"/>
  <c r="AA37" s="1"/>
  <c r="G37"/>
  <c r="F37"/>
  <c r="H37" s="1"/>
  <c r="D37"/>
  <c r="E37" s="1"/>
  <c r="C37"/>
  <c r="Z36"/>
  <c r="X36"/>
  <c r="Y36" s="1"/>
  <c r="AA36" s="1"/>
  <c r="W36"/>
  <c r="H36"/>
  <c r="G36"/>
  <c r="F36"/>
  <c r="E36"/>
  <c r="D36"/>
  <c r="C36"/>
  <c r="Z35"/>
  <c r="X35"/>
  <c r="Y35" s="1"/>
  <c r="AA35" s="1"/>
  <c r="W35"/>
  <c r="G35"/>
  <c r="C35"/>
  <c r="D35" s="1"/>
  <c r="Z34"/>
  <c r="X34"/>
  <c r="W34"/>
  <c r="Y34" s="1"/>
  <c r="AA34" s="1"/>
  <c r="G34"/>
  <c r="C34"/>
  <c r="D34" s="1"/>
  <c r="Z33"/>
  <c r="Y33"/>
  <c r="AA33" s="1"/>
  <c r="X33"/>
  <c r="W33"/>
  <c r="G33"/>
  <c r="D33"/>
  <c r="F33" s="1"/>
  <c r="H33" s="1"/>
  <c r="C33"/>
  <c r="AA32"/>
  <c r="Z32"/>
  <c r="Y32"/>
  <c r="X32"/>
  <c r="W32"/>
  <c r="G32"/>
  <c r="C32"/>
  <c r="D32" s="1"/>
  <c r="Z31"/>
  <c r="X31"/>
  <c r="W31"/>
  <c r="Y31" s="1"/>
  <c r="AA31" s="1"/>
  <c r="G31"/>
  <c r="C31"/>
  <c r="D31" s="1"/>
  <c r="Z30"/>
  <c r="X30"/>
  <c r="W30"/>
  <c r="Y30" s="1"/>
  <c r="AA30" s="1"/>
  <c r="G30"/>
  <c r="C30"/>
  <c r="D30" s="1"/>
  <c r="Z29"/>
  <c r="X29"/>
  <c r="W29"/>
  <c r="Y29" s="1"/>
  <c r="AA29" s="1"/>
  <c r="G29"/>
  <c r="D29"/>
  <c r="E29" s="1"/>
  <c r="C29"/>
  <c r="Z28"/>
  <c r="X28"/>
  <c r="W28"/>
  <c r="Y28" s="1"/>
  <c r="AA28" s="1"/>
  <c r="G28"/>
  <c r="C28"/>
  <c r="D28" s="1"/>
  <c r="Z27"/>
  <c r="X27"/>
  <c r="Y27" s="1"/>
  <c r="AA27" s="1"/>
  <c r="W27"/>
  <c r="G27"/>
  <c r="D27"/>
  <c r="E27" s="1"/>
  <c r="C27"/>
  <c r="Z26"/>
  <c r="X26"/>
  <c r="W26"/>
  <c r="Y26" s="1"/>
  <c r="AA26" s="1"/>
  <c r="G26"/>
  <c r="C26"/>
  <c r="D26" s="1"/>
  <c r="Z25"/>
  <c r="X25"/>
  <c r="Y25" s="1"/>
  <c r="AA25" s="1"/>
  <c r="W25"/>
  <c r="G25"/>
  <c r="C25"/>
  <c r="D25" s="1"/>
  <c r="Z24"/>
  <c r="Y24"/>
  <c r="AA24" s="1"/>
  <c r="X24"/>
  <c r="W24"/>
  <c r="G24"/>
  <c r="C24"/>
  <c r="D24" s="1"/>
  <c r="Z23"/>
  <c r="X23"/>
  <c r="W23"/>
  <c r="Y23" s="1"/>
  <c r="AA23" s="1"/>
  <c r="G23"/>
  <c r="C23"/>
  <c r="D23" s="1"/>
  <c r="Z22"/>
  <c r="Y22"/>
  <c r="AA22" s="1"/>
  <c r="X22"/>
  <c r="W22"/>
  <c r="G22"/>
  <c r="D22"/>
  <c r="E22" s="1"/>
  <c r="C22"/>
  <c r="Z21"/>
  <c r="X21"/>
  <c r="W21"/>
  <c r="Y21" s="1"/>
  <c r="AA21" s="1"/>
  <c r="G21"/>
  <c r="F21"/>
  <c r="H21" s="1"/>
  <c r="D21"/>
  <c r="E21" s="1"/>
  <c r="C21"/>
  <c r="Z20"/>
  <c r="X20"/>
  <c r="Y20" s="1"/>
  <c r="AA20" s="1"/>
  <c r="W20"/>
  <c r="H20"/>
  <c r="G20"/>
  <c r="F20"/>
  <c r="E20"/>
  <c r="D20"/>
  <c r="C20"/>
  <c r="Z19"/>
  <c r="X19"/>
  <c r="Y19" s="1"/>
  <c r="AA19" s="1"/>
  <c r="W19"/>
  <c r="G19"/>
  <c r="C19"/>
  <c r="D19" s="1"/>
  <c r="Z18"/>
  <c r="X18"/>
  <c r="W18"/>
  <c r="Y18" s="1"/>
  <c r="AA18" s="1"/>
  <c r="G18"/>
  <c r="C18"/>
  <c r="D18" s="1"/>
  <c r="Z17"/>
  <c r="Y17"/>
  <c r="AA17" s="1"/>
  <c r="X17"/>
  <c r="W17"/>
  <c r="H17"/>
  <c r="G17"/>
  <c r="F17"/>
  <c r="E17"/>
  <c r="D17"/>
  <c r="C17"/>
  <c r="AA16"/>
  <c r="Z16"/>
  <c r="Y16"/>
  <c r="X16"/>
  <c r="W16"/>
  <c r="G16"/>
  <c r="F16"/>
  <c r="H16" s="1"/>
  <c r="D16"/>
  <c r="E16" s="1"/>
  <c r="C16"/>
  <c r="Z15"/>
  <c r="X15"/>
  <c r="W15"/>
  <c r="Y15" s="1"/>
  <c r="AA15" s="1"/>
  <c r="H15"/>
  <c r="G15"/>
  <c r="F15"/>
  <c r="E15"/>
  <c r="D15"/>
  <c r="C15"/>
  <c r="Z14"/>
  <c r="X14"/>
  <c r="W14"/>
  <c r="Y14" s="1"/>
  <c r="AA14" s="1"/>
  <c r="G14"/>
  <c r="C14"/>
  <c r="D14" s="1"/>
  <c r="Z13"/>
  <c r="X13"/>
  <c r="W13"/>
  <c r="Y13" s="1"/>
  <c r="AA13" s="1"/>
  <c r="G13"/>
  <c r="E13"/>
  <c r="D13"/>
  <c r="F13" s="1"/>
  <c r="H13" s="1"/>
  <c r="C13"/>
  <c r="Z12"/>
  <c r="X12"/>
  <c r="W12"/>
  <c r="Y12" s="1"/>
  <c r="AA12" s="1"/>
  <c r="G12"/>
  <c r="C12"/>
  <c r="D12" s="1"/>
  <c r="AA11"/>
  <c r="Z11"/>
  <c r="Y11"/>
  <c r="X11"/>
  <c r="W11"/>
  <c r="G11"/>
  <c r="D11"/>
  <c r="E11" s="1"/>
  <c r="C11"/>
  <c r="Z10"/>
  <c r="X10"/>
  <c r="W10"/>
  <c r="Y10" s="1"/>
  <c r="AA10" s="1"/>
  <c r="G10"/>
  <c r="C10"/>
  <c r="D10" s="1"/>
  <c r="Z9"/>
  <c r="Z40" s="1"/>
  <c r="X9"/>
  <c r="Y9" s="1"/>
  <c r="W9"/>
  <c r="W40" s="1"/>
  <c r="G9"/>
  <c r="C9"/>
  <c r="D9" s="1"/>
  <c r="V40" i="5"/>
  <c r="U40"/>
  <c r="T40"/>
  <c r="S40"/>
  <c r="R40"/>
  <c r="Q40"/>
  <c r="P40"/>
  <c r="X40" s="1"/>
  <c r="O40"/>
  <c r="N40"/>
  <c r="M40"/>
  <c r="L40"/>
  <c r="K40"/>
  <c r="J40"/>
  <c r="W40" s="1"/>
  <c r="Y40" s="1"/>
  <c r="I40"/>
  <c r="Z39"/>
  <c r="X39"/>
  <c r="W39"/>
  <c r="Y39" s="1"/>
  <c r="AA39" s="1"/>
  <c r="G39"/>
  <c r="F39"/>
  <c r="H39" s="1"/>
  <c r="D39"/>
  <c r="E39" s="1"/>
  <c r="C39"/>
  <c r="Z38"/>
  <c r="X38"/>
  <c r="Y38" s="1"/>
  <c r="AA38" s="1"/>
  <c r="W38"/>
  <c r="G38"/>
  <c r="C38"/>
  <c r="D38" s="1"/>
  <c r="Z37"/>
  <c r="X37"/>
  <c r="Y37" s="1"/>
  <c r="AA37" s="1"/>
  <c r="W37"/>
  <c r="G37"/>
  <c r="C37"/>
  <c r="D37" s="1"/>
  <c r="Z36"/>
  <c r="X36"/>
  <c r="W36"/>
  <c r="Y36" s="1"/>
  <c r="AA36" s="1"/>
  <c r="G36"/>
  <c r="C36"/>
  <c r="D36" s="1"/>
  <c r="Z35"/>
  <c r="Y35"/>
  <c r="AA35" s="1"/>
  <c r="X35"/>
  <c r="W35"/>
  <c r="G35"/>
  <c r="D35"/>
  <c r="F35" s="1"/>
  <c r="H35" s="1"/>
  <c r="C35"/>
  <c r="AA34"/>
  <c r="Z34"/>
  <c r="Y34"/>
  <c r="X34"/>
  <c r="W34"/>
  <c r="G34"/>
  <c r="F34"/>
  <c r="H34" s="1"/>
  <c r="D34"/>
  <c r="E34" s="1"/>
  <c r="C34"/>
  <c r="Z33"/>
  <c r="X33"/>
  <c r="W33"/>
  <c r="Y33" s="1"/>
  <c r="AA33" s="1"/>
  <c r="G33"/>
  <c r="C33"/>
  <c r="D33" s="1"/>
  <c r="Z32"/>
  <c r="X32"/>
  <c r="W32"/>
  <c r="Y32" s="1"/>
  <c r="AA32" s="1"/>
  <c r="G32"/>
  <c r="C32"/>
  <c r="D32" s="1"/>
  <c r="Z31"/>
  <c r="X31"/>
  <c r="W31"/>
  <c r="Y31" s="1"/>
  <c r="AA31" s="1"/>
  <c r="G31"/>
  <c r="E31"/>
  <c r="D31"/>
  <c r="F31" s="1"/>
  <c r="H31" s="1"/>
  <c r="C31"/>
  <c r="Z30"/>
  <c r="X30"/>
  <c r="W30"/>
  <c r="Y30" s="1"/>
  <c r="AA30" s="1"/>
  <c r="G30"/>
  <c r="C30"/>
  <c r="D30" s="1"/>
  <c r="AA29"/>
  <c r="Z29"/>
  <c r="Y29"/>
  <c r="X29"/>
  <c r="W29"/>
  <c r="G29"/>
  <c r="D29"/>
  <c r="E29" s="1"/>
  <c r="C29"/>
  <c r="Z28"/>
  <c r="X28"/>
  <c r="W28"/>
  <c r="Y28" s="1"/>
  <c r="AA28" s="1"/>
  <c r="G28"/>
  <c r="C28"/>
  <c r="D28" s="1"/>
  <c r="Z27"/>
  <c r="X27"/>
  <c r="Y27" s="1"/>
  <c r="AA27" s="1"/>
  <c r="W27"/>
  <c r="G27"/>
  <c r="C27"/>
  <c r="D27" s="1"/>
  <c r="Z26"/>
  <c r="X26"/>
  <c r="W26"/>
  <c r="Y26" s="1"/>
  <c r="AA26" s="1"/>
  <c r="G26"/>
  <c r="C26"/>
  <c r="D26" s="1"/>
  <c r="Z25"/>
  <c r="X25"/>
  <c r="W25"/>
  <c r="Y25" s="1"/>
  <c r="AA25" s="1"/>
  <c r="G25"/>
  <c r="C25"/>
  <c r="D25" s="1"/>
  <c r="Z24"/>
  <c r="Y24"/>
  <c r="AA24" s="1"/>
  <c r="X24"/>
  <c r="W24"/>
  <c r="G24"/>
  <c r="D24"/>
  <c r="E24" s="1"/>
  <c r="C24"/>
  <c r="Z23"/>
  <c r="X23"/>
  <c r="W23"/>
  <c r="Y23" s="1"/>
  <c r="AA23" s="1"/>
  <c r="G23"/>
  <c r="F23"/>
  <c r="H23" s="1"/>
  <c r="D23"/>
  <c r="E23" s="1"/>
  <c r="C23"/>
  <c r="Z22"/>
  <c r="X22"/>
  <c r="Y22" s="1"/>
  <c r="AA22" s="1"/>
  <c r="W22"/>
  <c r="G22"/>
  <c r="C22"/>
  <c r="D22" s="1"/>
  <c r="Z21"/>
  <c r="X21"/>
  <c r="Y21" s="1"/>
  <c r="AA21" s="1"/>
  <c r="W21"/>
  <c r="G21"/>
  <c r="C21"/>
  <c r="D21" s="1"/>
  <c r="Z20"/>
  <c r="X20"/>
  <c r="W20"/>
  <c r="Y20" s="1"/>
  <c r="AA20" s="1"/>
  <c r="G20"/>
  <c r="C20"/>
  <c r="D20" s="1"/>
  <c r="Z19"/>
  <c r="Y19"/>
  <c r="AA19" s="1"/>
  <c r="X19"/>
  <c r="W19"/>
  <c r="G19"/>
  <c r="D19"/>
  <c r="F19" s="1"/>
  <c r="H19" s="1"/>
  <c r="C19"/>
  <c r="AA18"/>
  <c r="Z18"/>
  <c r="Y18"/>
  <c r="X18"/>
  <c r="W18"/>
  <c r="G18"/>
  <c r="F18"/>
  <c r="H18" s="1"/>
  <c r="D18"/>
  <c r="E18" s="1"/>
  <c r="C18"/>
  <c r="Z17"/>
  <c r="X17"/>
  <c r="W17"/>
  <c r="Y17" s="1"/>
  <c r="AA17" s="1"/>
  <c r="G17"/>
  <c r="C17"/>
  <c r="D17" s="1"/>
  <c r="Z16"/>
  <c r="X16"/>
  <c r="W16"/>
  <c r="Y16" s="1"/>
  <c r="AA16" s="1"/>
  <c r="G16"/>
  <c r="C16"/>
  <c r="D16" s="1"/>
  <c r="Z15"/>
  <c r="X15"/>
  <c r="W15"/>
  <c r="Y15" s="1"/>
  <c r="AA15" s="1"/>
  <c r="G15"/>
  <c r="E15"/>
  <c r="D15"/>
  <c r="F15" s="1"/>
  <c r="H15" s="1"/>
  <c r="C15"/>
  <c r="Z14"/>
  <c r="X14"/>
  <c r="W14"/>
  <c r="Y14" s="1"/>
  <c r="AA14" s="1"/>
  <c r="G14"/>
  <c r="C14"/>
  <c r="D14" s="1"/>
  <c r="AA13"/>
  <c r="Z13"/>
  <c r="Y13"/>
  <c r="X13"/>
  <c r="W13"/>
  <c r="G13"/>
  <c r="D13"/>
  <c r="E13" s="1"/>
  <c r="C13"/>
  <c r="Z12"/>
  <c r="X12"/>
  <c r="W12"/>
  <c r="Y12" s="1"/>
  <c r="AA12" s="1"/>
  <c r="G12"/>
  <c r="C12"/>
  <c r="D12" s="1"/>
  <c r="Z11"/>
  <c r="X11"/>
  <c r="Y11" s="1"/>
  <c r="AA11" s="1"/>
  <c r="W11"/>
  <c r="G11"/>
  <c r="C11"/>
  <c r="D11" s="1"/>
  <c r="Z10"/>
  <c r="X10"/>
  <c r="W10"/>
  <c r="Y10" s="1"/>
  <c r="AA10" s="1"/>
  <c r="G10"/>
  <c r="C10"/>
  <c r="D10" s="1"/>
  <c r="Z9"/>
  <c r="X9"/>
  <c r="W9"/>
  <c r="Y9" s="1"/>
  <c r="AA9" s="1"/>
  <c r="G9"/>
  <c r="C9"/>
  <c r="D9" s="1"/>
  <c r="V40" i="4"/>
  <c r="U40"/>
  <c r="T40"/>
  <c r="S40"/>
  <c r="R40"/>
  <c r="Q40"/>
  <c r="P40"/>
  <c r="O40"/>
  <c r="N40"/>
  <c r="M40"/>
  <c r="L40"/>
  <c r="K40"/>
  <c r="J40"/>
  <c r="I40"/>
  <c r="Z38"/>
  <c r="X38"/>
  <c r="Y38" s="1"/>
  <c r="AA38" s="1"/>
  <c r="W38"/>
  <c r="G38"/>
  <c r="C38"/>
  <c r="D38" s="1"/>
  <c r="Z37"/>
  <c r="X37"/>
  <c r="W37"/>
  <c r="Y37" s="1"/>
  <c r="AA37" s="1"/>
  <c r="G37"/>
  <c r="C37"/>
  <c r="D37" s="1"/>
  <c r="Z36"/>
  <c r="Y36"/>
  <c r="AA36" s="1"/>
  <c r="X36"/>
  <c r="W36"/>
  <c r="G36"/>
  <c r="D36"/>
  <c r="F36" s="1"/>
  <c r="H36" s="1"/>
  <c r="C36"/>
  <c r="AA35"/>
  <c r="Z35"/>
  <c r="Y35"/>
  <c r="X35"/>
  <c r="W35"/>
  <c r="G35"/>
  <c r="F35"/>
  <c r="H35" s="1"/>
  <c r="D35"/>
  <c r="E35" s="1"/>
  <c r="C35"/>
  <c r="Z34"/>
  <c r="X34"/>
  <c r="W34"/>
  <c r="Y34" s="1"/>
  <c r="AA34" s="1"/>
  <c r="G34"/>
  <c r="C34"/>
  <c r="D34" s="1"/>
  <c r="Z33"/>
  <c r="X33"/>
  <c r="W33"/>
  <c r="Y33" s="1"/>
  <c r="AA33" s="1"/>
  <c r="G33"/>
  <c r="C33"/>
  <c r="D33" s="1"/>
  <c r="Z32"/>
  <c r="X32"/>
  <c r="W32"/>
  <c r="Y32" s="1"/>
  <c r="AA32" s="1"/>
  <c r="G32"/>
  <c r="E32"/>
  <c r="D32"/>
  <c r="F32" s="1"/>
  <c r="H32" s="1"/>
  <c r="C32"/>
  <c r="Z31"/>
  <c r="X31"/>
  <c r="W31"/>
  <c r="Y31" s="1"/>
  <c r="AA31" s="1"/>
  <c r="G31"/>
  <c r="C31"/>
  <c r="D31" s="1"/>
  <c r="AA30"/>
  <c r="Z30"/>
  <c r="Y30"/>
  <c r="X30"/>
  <c r="W30"/>
  <c r="G30"/>
  <c r="D30"/>
  <c r="E30" s="1"/>
  <c r="C30"/>
  <c r="Z29"/>
  <c r="X29"/>
  <c r="W29"/>
  <c r="Y29" s="1"/>
  <c r="AA29" s="1"/>
  <c r="G29"/>
  <c r="C29"/>
  <c r="D29" s="1"/>
  <c r="Z28"/>
  <c r="X28"/>
  <c r="Y28" s="1"/>
  <c r="AA28" s="1"/>
  <c r="W28"/>
  <c r="G28"/>
  <c r="C28"/>
  <c r="D28" s="1"/>
  <c r="Z27"/>
  <c r="X27"/>
  <c r="W27"/>
  <c r="Y27" s="1"/>
  <c r="AA27" s="1"/>
  <c r="G27"/>
  <c r="C27"/>
  <c r="D27" s="1"/>
  <c r="Z26"/>
  <c r="X26"/>
  <c r="W26"/>
  <c r="Y26" s="1"/>
  <c r="AA26" s="1"/>
  <c r="G26"/>
  <c r="C26"/>
  <c r="D26" s="1"/>
  <c r="AA25"/>
  <c r="Z25"/>
  <c r="Y25"/>
  <c r="X25"/>
  <c r="W25"/>
  <c r="G25"/>
  <c r="D25"/>
  <c r="E25" s="1"/>
  <c r="C25"/>
  <c r="Z24"/>
  <c r="X24"/>
  <c r="W24"/>
  <c r="Y24" s="1"/>
  <c r="AA24" s="1"/>
  <c r="H24"/>
  <c r="G24"/>
  <c r="F24"/>
  <c r="D24"/>
  <c r="E24" s="1"/>
  <c r="C24"/>
  <c r="Z23"/>
  <c r="X23"/>
  <c r="Y23" s="1"/>
  <c r="AA23" s="1"/>
  <c r="W23"/>
  <c r="G23"/>
  <c r="C23"/>
  <c r="D23" s="1"/>
  <c r="Z22"/>
  <c r="X22"/>
  <c r="Y22" s="1"/>
  <c r="AA22" s="1"/>
  <c r="W22"/>
  <c r="G22"/>
  <c r="C22"/>
  <c r="D22" s="1"/>
  <c r="Z21"/>
  <c r="X21"/>
  <c r="W21"/>
  <c r="Y21" s="1"/>
  <c r="AA21" s="1"/>
  <c r="G21"/>
  <c r="C21"/>
  <c r="D21" s="1"/>
  <c r="Z20"/>
  <c r="Y20"/>
  <c r="AA20" s="1"/>
  <c r="X20"/>
  <c r="W20"/>
  <c r="G20"/>
  <c r="D20"/>
  <c r="F20" s="1"/>
  <c r="H20" s="1"/>
  <c r="C20"/>
  <c r="AA19"/>
  <c r="Z19"/>
  <c r="Y19"/>
  <c r="X19"/>
  <c r="W19"/>
  <c r="G19"/>
  <c r="F19"/>
  <c r="H19" s="1"/>
  <c r="D19"/>
  <c r="E19" s="1"/>
  <c r="C19"/>
  <c r="Z18"/>
  <c r="X18"/>
  <c r="W18"/>
  <c r="Y18" s="1"/>
  <c r="AA18" s="1"/>
  <c r="G18"/>
  <c r="C18"/>
  <c r="D18" s="1"/>
  <c r="Z17"/>
  <c r="X17"/>
  <c r="W17"/>
  <c r="Y17" s="1"/>
  <c r="AA17" s="1"/>
  <c r="G17"/>
  <c r="C17"/>
  <c r="D17" s="1"/>
  <c r="Z16"/>
  <c r="X16"/>
  <c r="W16"/>
  <c r="Y16" s="1"/>
  <c r="AA16" s="1"/>
  <c r="G16"/>
  <c r="E16"/>
  <c r="D16"/>
  <c r="F16" s="1"/>
  <c r="H16" s="1"/>
  <c r="C16"/>
  <c r="Z15"/>
  <c r="X15"/>
  <c r="W15"/>
  <c r="Y15" s="1"/>
  <c r="AA15" s="1"/>
  <c r="G15"/>
  <c r="C15"/>
  <c r="D15" s="1"/>
  <c r="AA14"/>
  <c r="Z14"/>
  <c r="Y14"/>
  <c r="X14"/>
  <c r="W14"/>
  <c r="G14"/>
  <c r="D14"/>
  <c r="E14" s="1"/>
  <c r="C14"/>
  <c r="Z13"/>
  <c r="X13"/>
  <c r="W13"/>
  <c r="Y13" s="1"/>
  <c r="AA13" s="1"/>
  <c r="G13"/>
  <c r="C13"/>
  <c r="D13" s="1"/>
  <c r="Z12"/>
  <c r="X12"/>
  <c r="Y12" s="1"/>
  <c r="AA12" s="1"/>
  <c r="W12"/>
  <c r="G12"/>
  <c r="C12"/>
  <c r="D12" s="1"/>
  <c r="Z11"/>
  <c r="X11"/>
  <c r="W11"/>
  <c r="Y11" s="1"/>
  <c r="AA11" s="1"/>
  <c r="G11"/>
  <c r="C11"/>
  <c r="D11" s="1"/>
  <c r="Z10"/>
  <c r="X10"/>
  <c r="W10"/>
  <c r="Y10" s="1"/>
  <c r="AA10" s="1"/>
  <c r="G10"/>
  <c r="C10"/>
  <c r="D10" s="1"/>
  <c r="Z9"/>
  <c r="Y9"/>
  <c r="X9"/>
  <c r="X40" s="1"/>
  <c r="W9"/>
  <c r="W40" s="1"/>
  <c r="G9"/>
  <c r="D9"/>
  <c r="E9" s="1"/>
  <c r="C9"/>
  <c r="V40" i="3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W39"/>
  <c r="Y39" s="1"/>
  <c r="AA39" s="1"/>
  <c r="G39"/>
  <c r="C39"/>
  <c r="D39" s="1"/>
  <c r="Z38"/>
  <c r="Y38"/>
  <c r="AA38" s="1"/>
  <c r="X38"/>
  <c r="W38"/>
  <c r="G38"/>
  <c r="D38"/>
  <c r="F38" s="1"/>
  <c r="H38" s="1"/>
  <c r="C38"/>
  <c r="AA37"/>
  <c r="Z37"/>
  <c r="Y37"/>
  <c r="X37"/>
  <c r="W37"/>
  <c r="G37"/>
  <c r="F37"/>
  <c r="H37" s="1"/>
  <c r="D37"/>
  <c r="E37" s="1"/>
  <c r="C37"/>
  <c r="Z36"/>
  <c r="X36"/>
  <c r="W36"/>
  <c r="Y36" s="1"/>
  <c r="AA36" s="1"/>
  <c r="G36"/>
  <c r="C36"/>
  <c r="D36" s="1"/>
  <c r="Z35"/>
  <c r="X35"/>
  <c r="W35"/>
  <c r="Y35" s="1"/>
  <c r="AA35" s="1"/>
  <c r="G35"/>
  <c r="C35"/>
  <c r="D35" s="1"/>
  <c r="Z34"/>
  <c r="X34"/>
  <c r="W34"/>
  <c r="Y34" s="1"/>
  <c r="AA34" s="1"/>
  <c r="G34"/>
  <c r="E34"/>
  <c r="D34"/>
  <c r="F34" s="1"/>
  <c r="H34" s="1"/>
  <c r="C34"/>
  <c r="Z33"/>
  <c r="X33"/>
  <c r="W33"/>
  <c r="Y33" s="1"/>
  <c r="AA33" s="1"/>
  <c r="G33"/>
  <c r="C33"/>
  <c r="D33" s="1"/>
  <c r="AA32"/>
  <c r="Z32"/>
  <c r="Y32"/>
  <c r="X32"/>
  <c r="W32"/>
  <c r="G32"/>
  <c r="D32"/>
  <c r="E32" s="1"/>
  <c r="C32"/>
  <c r="Z31"/>
  <c r="X31"/>
  <c r="W31"/>
  <c r="Y31" s="1"/>
  <c r="AA31" s="1"/>
  <c r="G31"/>
  <c r="C31"/>
  <c r="D31" s="1"/>
  <c r="Z30"/>
  <c r="X30"/>
  <c r="Y30" s="1"/>
  <c r="AA30" s="1"/>
  <c r="W30"/>
  <c r="H30"/>
  <c r="G30"/>
  <c r="F30"/>
  <c r="E30"/>
  <c r="D30"/>
  <c r="C30"/>
  <c r="Z29"/>
  <c r="X29"/>
  <c r="W29"/>
  <c r="Y29" s="1"/>
  <c r="AA29" s="1"/>
  <c r="G29"/>
  <c r="C29"/>
  <c r="D29" s="1"/>
  <c r="Z28"/>
  <c r="X28"/>
  <c r="W28"/>
  <c r="Y28" s="1"/>
  <c r="AA28" s="1"/>
  <c r="G28"/>
  <c r="C28"/>
  <c r="D28" s="1"/>
  <c r="Z27"/>
  <c r="Y27"/>
  <c r="AA27" s="1"/>
  <c r="X27"/>
  <c r="W27"/>
  <c r="G27"/>
  <c r="D27"/>
  <c r="E27" s="1"/>
  <c r="C27"/>
  <c r="Z26"/>
  <c r="X26"/>
  <c r="W26"/>
  <c r="Y26" s="1"/>
  <c r="AA26" s="1"/>
  <c r="G26"/>
  <c r="D26"/>
  <c r="E26" s="1"/>
  <c r="C26"/>
  <c r="Z25"/>
  <c r="X25"/>
  <c r="Y25" s="1"/>
  <c r="AA25" s="1"/>
  <c r="W25"/>
  <c r="G25"/>
  <c r="C25"/>
  <c r="D25" s="1"/>
  <c r="Z24"/>
  <c r="X24"/>
  <c r="Y24" s="1"/>
  <c r="AA24" s="1"/>
  <c r="W24"/>
  <c r="G24"/>
  <c r="C24"/>
  <c r="D24" s="1"/>
  <c r="Z23"/>
  <c r="X23"/>
  <c r="W23"/>
  <c r="Y23" s="1"/>
  <c r="AA23" s="1"/>
  <c r="G23"/>
  <c r="C23"/>
  <c r="D23" s="1"/>
  <c r="Z22"/>
  <c r="Y22"/>
  <c r="AA22" s="1"/>
  <c r="X22"/>
  <c r="W22"/>
  <c r="G22"/>
  <c r="D22"/>
  <c r="F22" s="1"/>
  <c r="H22" s="1"/>
  <c r="C22"/>
  <c r="Z21"/>
  <c r="Y21"/>
  <c r="AA21" s="1"/>
  <c r="X21"/>
  <c r="W21"/>
  <c r="G21"/>
  <c r="F21"/>
  <c r="H21" s="1"/>
  <c r="D21"/>
  <c r="E21" s="1"/>
  <c r="C21"/>
  <c r="Z20"/>
  <c r="X20"/>
  <c r="Y20" s="1"/>
  <c r="AA20" s="1"/>
  <c r="W20"/>
  <c r="G20"/>
  <c r="C20"/>
  <c r="D20" s="1"/>
  <c r="Z19"/>
  <c r="X19"/>
  <c r="W19"/>
  <c r="Y19" s="1"/>
  <c r="AA19" s="1"/>
  <c r="G19"/>
  <c r="C19"/>
  <c r="D19" s="1"/>
  <c r="Z18"/>
  <c r="X18"/>
  <c r="W18"/>
  <c r="Y18" s="1"/>
  <c r="AA18" s="1"/>
  <c r="G18"/>
  <c r="D18"/>
  <c r="E18" s="1"/>
  <c r="C18"/>
  <c r="Z17"/>
  <c r="X17"/>
  <c r="W17"/>
  <c r="Y17" s="1"/>
  <c r="AA17" s="1"/>
  <c r="G17"/>
  <c r="C17"/>
  <c r="D17" s="1"/>
  <c r="Z16"/>
  <c r="X16"/>
  <c r="Y16" s="1"/>
  <c r="AA16" s="1"/>
  <c r="W16"/>
  <c r="G16"/>
  <c r="D16"/>
  <c r="E16" s="1"/>
  <c r="C16"/>
  <c r="Z15"/>
  <c r="X15"/>
  <c r="W15"/>
  <c r="Y15" s="1"/>
  <c r="AA15" s="1"/>
  <c r="G15"/>
  <c r="C15"/>
  <c r="D15" s="1"/>
  <c r="Z14"/>
  <c r="X14"/>
  <c r="W14"/>
  <c r="Y14" s="1"/>
  <c r="AA14" s="1"/>
  <c r="G14"/>
  <c r="C14"/>
  <c r="D14" s="1"/>
  <c r="Z13"/>
  <c r="Y13"/>
  <c r="AA13" s="1"/>
  <c r="X13"/>
  <c r="W13"/>
  <c r="G13"/>
  <c r="C13"/>
  <c r="D13" s="1"/>
  <c r="Z12"/>
  <c r="X12"/>
  <c r="W12"/>
  <c r="Y12" s="1"/>
  <c r="AA12" s="1"/>
  <c r="G12"/>
  <c r="C12"/>
  <c r="D12" s="1"/>
  <c r="Z11"/>
  <c r="X11"/>
  <c r="W11"/>
  <c r="Y11" s="1"/>
  <c r="AA11" s="1"/>
  <c r="G11"/>
  <c r="D11"/>
  <c r="E11" s="1"/>
  <c r="C11"/>
  <c r="Z10"/>
  <c r="X10"/>
  <c r="W10"/>
  <c r="Y10" s="1"/>
  <c r="AA10" s="1"/>
  <c r="G10"/>
  <c r="F10"/>
  <c r="H10" s="1"/>
  <c r="D10"/>
  <c r="E10" s="1"/>
  <c r="C10"/>
  <c r="Z9"/>
  <c r="X9"/>
  <c r="Y9" s="1"/>
  <c r="AA9" s="1"/>
  <c r="W9"/>
  <c r="G9"/>
  <c r="C9"/>
  <c r="D9" s="1"/>
  <c r="Z36" i="2"/>
  <c r="X36"/>
  <c r="W36"/>
  <c r="Y36" s="1"/>
  <c r="AA36" s="1"/>
  <c r="G36"/>
  <c r="C36"/>
  <c r="D36" s="1"/>
  <c r="Z35"/>
  <c r="X35"/>
  <c r="W35"/>
  <c r="Y35" s="1"/>
  <c r="AA35" s="1"/>
  <c r="G35"/>
  <c r="C35"/>
  <c r="D35" s="1"/>
  <c r="Z34"/>
  <c r="X34"/>
  <c r="W34"/>
  <c r="Y34" s="1"/>
  <c r="AA34" s="1"/>
  <c r="G34"/>
  <c r="C34"/>
  <c r="D34" s="1"/>
  <c r="Z33"/>
  <c r="X33"/>
  <c r="W33"/>
  <c r="Y33" s="1"/>
  <c r="AA33" s="1"/>
  <c r="G33"/>
  <c r="C33"/>
  <c r="D33" s="1"/>
  <c r="Z32"/>
  <c r="X32"/>
  <c r="W32"/>
  <c r="Y32" s="1"/>
  <c r="AA32" s="1"/>
  <c r="G32"/>
  <c r="D32"/>
  <c r="E32" s="1"/>
  <c r="C32"/>
  <c r="Z31"/>
  <c r="X31"/>
  <c r="W31"/>
  <c r="Y31" s="1"/>
  <c r="AA31" s="1"/>
  <c r="G31"/>
  <c r="F31"/>
  <c r="H31" s="1"/>
  <c r="D31"/>
  <c r="E31" s="1"/>
  <c r="C31"/>
  <c r="Z30"/>
  <c r="X30"/>
  <c r="Y30" s="1"/>
  <c r="AA30" s="1"/>
  <c r="W30"/>
  <c r="G30"/>
  <c r="D30"/>
  <c r="E30" s="1"/>
  <c r="C30"/>
  <c r="Z29"/>
  <c r="X29"/>
  <c r="Y29" s="1"/>
  <c r="AA29" s="1"/>
  <c r="W29"/>
  <c r="G29"/>
  <c r="C29"/>
  <c r="D29" s="1"/>
  <c r="Z28"/>
  <c r="X28"/>
  <c r="W28"/>
  <c r="Y28" s="1"/>
  <c r="AA28" s="1"/>
  <c r="H28"/>
  <c r="G28"/>
  <c r="F28"/>
  <c r="E28"/>
  <c r="D28"/>
  <c r="C28"/>
  <c r="Z27"/>
  <c r="Y27"/>
  <c r="AA27" s="1"/>
  <c r="X27"/>
  <c r="W27"/>
  <c r="H27"/>
  <c r="G27"/>
  <c r="F27"/>
  <c r="E27"/>
  <c r="D27"/>
  <c r="C27"/>
  <c r="AA26"/>
  <c r="Z26"/>
  <c r="Y26"/>
  <c r="X26"/>
  <c r="W26"/>
  <c r="G26"/>
  <c r="F26"/>
  <c r="H26" s="1"/>
  <c r="D26"/>
  <c r="E26" s="1"/>
  <c r="C26"/>
  <c r="Z25"/>
  <c r="Y25"/>
  <c r="AA25" s="1"/>
  <c r="X25"/>
  <c r="W25"/>
  <c r="G25"/>
  <c r="C25"/>
  <c r="D25" s="1"/>
  <c r="Z24"/>
  <c r="X24"/>
  <c r="W24"/>
  <c r="Y24" s="1"/>
  <c r="AA24" s="1"/>
  <c r="G24"/>
  <c r="C24"/>
  <c r="D24" s="1"/>
  <c r="Z23"/>
  <c r="X23"/>
  <c r="W23"/>
  <c r="Y23" s="1"/>
  <c r="AA23" s="1"/>
  <c r="G23"/>
  <c r="D23"/>
  <c r="E23" s="1"/>
  <c r="C23"/>
  <c r="Z22"/>
  <c r="X22"/>
  <c r="W22"/>
  <c r="Y22" s="1"/>
  <c r="AA22" s="1"/>
  <c r="G22"/>
  <c r="C22"/>
  <c r="D22" s="1"/>
  <c r="Z21"/>
  <c r="X21"/>
  <c r="Y21" s="1"/>
  <c r="AA21" s="1"/>
  <c r="W21"/>
  <c r="G21"/>
  <c r="D21"/>
  <c r="E21" s="1"/>
  <c r="C21"/>
  <c r="Z20"/>
  <c r="X20"/>
  <c r="W20"/>
  <c r="Y20" s="1"/>
  <c r="AA20" s="1"/>
  <c r="G20"/>
  <c r="C20"/>
  <c r="D20" s="1"/>
  <c r="Z19"/>
  <c r="X19"/>
  <c r="W19"/>
  <c r="Y19" s="1"/>
  <c r="AA19" s="1"/>
  <c r="G19"/>
  <c r="C19"/>
  <c r="D19" s="1"/>
  <c r="Z18"/>
  <c r="X18"/>
  <c r="W18"/>
  <c r="Y18" s="1"/>
  <c r="AA18" s="1"/>
  <c r="G18"/>
  <c r="C18"/>
  <c r="D18" s="1"/>
  <c r="Z17"/>
  <c r="X17"/>
  <c r="W17"/>
  <c r="Y17" s="1"/>
  <c r="AA17" s="1"/>
  <c r="G17"/>
  <c r="C17"/>
  <c r="D17" s="1"/>
  <c r="Z16"/>
  <c r="Y16"/>
  <c r="AA16" s="1"/>
  <c r="X16"/>
  <c r="W16"/>
  <c r="G16"/>
  <c r="D16"/>
  <c r="E16" s="1"/>
  <c r="C16"/>
  <c r="Z15"/>
  <c r="X15"/>
  <c r="W15"/>
  <c r="Y15" s="1"/>
  <c r="AA15" s="1"/>
  <c r="G15"/>
  <c r="F15"/>
  <c r="H15" s="1"/>
  <c r="D15"/>
  <c r="E15" s="1"/>
  <c r="C15"/>
  <c r="Z14"/>
  <c r="Y14"/>
  <c r="AA14" s="1"/>
  <c r="X14"/>
  <c r="W14"/>
  <c r="G14"/>
  <c r="D14"/>
  <c r="E14" s="1"/>
  <c r="C14"/>
  <c r="Z13"/>
  <c r="X13"/>
  <c r="Y13" s="1"/>
  <c r="AA13" s="1"/>
  <c r="W13"/>
  <c r="G13"/>
  <c r="C13"/>
  <c r="D13" s="1"/>
  <c r="Z12"/>
  <c r="X12"/>
  <c r="W12"/>
  <c r="Y12" s="1"/>
  <c r="AA12" s="1"/>
  <c r="G12"/>
  <c r="C12"/>
  <c r="D12" s="1"/>
  <c r="Z11"/>
  <c r="Y11"/>
  <c r="AA11" s="1"/>
  <c r="X11"/>
  <c r="W11"/>
  <c r="G11"/>
  <c r="E11"/>
  <c r="D11"/>
  <c r="F11" s="1"/>
  <c r="H11" s="1"/>
  <c r="C11"/>
  <c r="AA10"/>
  <c r="Z10"/>
  <c r="Y10"/>
  <c r="X10"/>
  <c r="W10"/>
  <c r="G10"/>
  <c r="F10"/>
  <c r="H10" s="1"/>
  <c r="D10"/>
  <c r="E10" s="1"/>
  <c r="C10"/>
  <c r="Z9"/>
  <c r="Y9"/>
  <c r="AA9" s="1"/>
  <c r="X9"/>
  <c r="X39" s="1"/>
  <c r="W9"/>
  <c r="W39" s="1"/>
  <c r="G9"/>
  <c r="C9"/>
  <c r="D9" s="1"/>
  <c r="V40" i="1"/>
  <c r="U40"/>
  <c r="T40"/>
  <c r="S40"/>
  <c r="R40"/>
  <c r="Q40"/>
  <c r="P40"/>
  <c r="X40" s="1"/>
  <c r="O40"/>
  <c r="N40"/>
  <c r="M40"/>
  <c r="L40"/>
  <c r="K40"/>
  <c r="J40"/>
  <c r="I40"/>
  <c r="W40" s="1"/>
  <c r="Y40" s="1"/>
  <c r="AA39"/>
  <c r="Z39"/>
  <c r="Y39"/>
  <c r="X39"/>
  <c r="W39"/>
  <c r="G39"/>
  <c r="D39"/>
  <c r="E39" s="1"/>
  <c r="C39"/>
  <c r="Z38"/>
  <c r="X38"/>
  <c r="W38"/>
  <c r="Y38" s="1"/>
  <c r="AA38" s="1"/>
  <c r="G38"/>
  <c r="C38"/>
  <c r="D38" s="1"/>
  <c r="Z37"/>
  <c r="X37"/>
  <c r="W37"/>
  <c r="Y37" s="1"/>
  <c r="AA37" s="1"/>
  <c r="G37"/>
  <c r="C37"/>
  <c r="D37" s="1"/>
  <c r="Z36"/>
  <c r="X36"/>
  <c r="W36"/>
  <c r="Y36" s="1"/>
  <c r="AA36" s="1"/>
  <c r="G36"/>
  <c r="C36"/>
  <c r="D36" s="1"/>
  <c r="Z35"/>
  <c r="X35"/>
  <c r="W35"/>
  <c r="Y35" s="1"/>
  <c r="AA35" s="1"/>
  <c r="G35"/>
  <c r="C35"/>
  <c r="D35" s="1"/>
  <c r="Z34"/>
  <c r="X34"/>
  <c r="W34"/>
  <c r="Y34" s="1"/>
  <c r="AA34" s="1"/>
  <c r="G34"/>
  <c r="D34"/>
  <c r="E34" s="1"/>
  <c r="C34"/>
  <c r="Z33"/>
  <c r="X33"/>
  <c r="W33"/>
  <c r="Y33" s="1"/>
  <c r="AA33" s="1"/>
  <c r="G33"/>
  <c r="F33"/>
  <c r="H33" s="1"/>
  <c r="E33"/>
  <c r="D33"/>
  <c r="C33"/>
  <c r="Z32"/>
  <c r="X32"/>
  <c r="Y32" s="1"/>
  <c r="AA32" s="1"/>
  <c r="W32"/>
  <c r="G32"/>
  <c r="D32"/>
  <c r="E32" s="1"/>
  <c r="C32"/>
  <c r="Z31"/>
  <c r="Y31"/>
  <c r="AA31" s="1"/>
  <c r="X31"/>
  <c r="W31"/>
  <c r="G31"/>
  <c r="C31"/>
  <c r="D31" s="1"/>
  <c r="Z30"/>
  <c r="X30"/>
  <c r="W30"/>
  <c r="Y30" s="1"/>
  <c r="AA30" s="1"/>
  <c r="G30"/>
  <c r="C30"/>
  <c r="D30" s="1"/>
  <c r="Z29"/>
  <c r="Y29"/>
  <c r="AA29" s="1"/>
  <c r="X29"/>
  <c r="W29"/>
  <c r="G29"/>
  <c r="C29"/>
  <c r="D29" s="1"/>
  <c r="AA28"/>
  <c r="Z28"/>
  <c r="Y28"/>
  <c r="X28"/>
  <c r="W28"/>
  <c r="G28"/>
  <c r="F28"/>
  <c r="H28" s="1"/>
  <c r="D28"/>
  <c r="E28" s="1"/>
  <c r="C28"/>
  <c r="Z27"/>
  <c r="Y27"/>
  <c r="AA27" s="1"/>
  <c r="X27"/>
  <c r="W27"/>
  <c r="G27"/>
  <c r="C27"/>
  <c r="D27" s="1"/>
  <c r="Z26"/>
  <c r="X26"/>
  <c r="W26"/>
  <c r="Y26" s="1"/>
  <c r="AA26" s="1"/>
  <c r="G26"/>
  <c r="C26"/>
  <c r="D26" s="1"/>
  <c r="Z25"/>
  <c r="X25"/>
  <c r="W25"/>
  <c r="Y25" s="1"/>
  <c r="AA25" s="1"/>
  <c r="G25"/>
  <c r="E25"/>
  <c r="D25"/>
  <c r="F25" s="1"/>
  <c r="H25" s="1"/>
  <c r="C25"/>
  <c r="Z24"/>
  <c r="X24"/>
  <c r="W24"/>
  <c r="Y24" s="1"/>
  <c r="AA24" s="1"/>
  <c r="G24"/>
  <c r="C24"/>
  <c r="D24" s="1"/>
  <c r="AA23"/>
  <c r="Z23"/>
  <c r="Y23"/>
  <c r="X23"/>
  <c r="W23"/>
  <c r="G23"/>
  <c r="D23"/>
  <c r="E23" s="1"/>
  <c r="C23"/>
  <c r="Z22"/>
  <c r="X22"/>
  <c r="W22"/>
  <c r="Y22" s="1"/>
  <c r="AA22" s="1"/>
  <c r="G22"/>
  <c r="C22"/>
  <c r="D22" s="1"/>
  <c r="Z21"/>
  <c r="X21"/>
  <c r="W21"/>
  <c r="Y21" s="1"/>
  <c r="AA21" s="1"/>
  <c r="G21"/>
  <c r="C21"/>
  <c r="D21" s="1"/>
  <c r="Z20"/>
  <c r="X20"/>
  <c r="W20"/>
  <c r="Y20" s="1"/>
  <c r="AA20" s="1"/>
  <c r="G20"/>
  <c r="E20"/>
  <c r="D20"/>
  <c r="F20" s="1"/>
  <c r="H20" s="1"/>
  <c r="C20"/>
  <c r="Z19"/>
  <c r="X19"/>
  <c r="W19"/>
  <c r="Y19" s="1"/>
  <c r="AA19" s="1"/>
  <c r="G19"/>
  <c r="C19"/>
  <c r="D19" s="1"/>
  <c r="Z18"/>
  <c r="X18"/>
  <c r="Y18" s="1"/>
  <c r="AA18" s="1"/>
  <c r="W18"/>
  <c r="G18"/>
  <c r="D18"/>
  <c r="E18" s="1"/>
  <c r="C18"/>
  <c r="Z17"/>
  <c r="X17"/>
  <c r="W17"/>
  <c r="Y17" s="1"/>
  <c r="AA17" s="1"/>
  <c r="G17"/>
  <c r="F17"/>
  <c r="H17" s="1"/>
  <c r="E17"/>
  <c r="D17"/>
  <c r="C17"/>
  <c r="Z16"/>
  <c r="X16"/>
  <c r="Y16" s="1"/>
  <c r="AA16" s="1"/>
  <c r="W16"/>
  <c r="G16"/>
  <c r="D16"/>
  <c r="E16" s="1"/>
  <c r="C16"/>
  <c r="Z15"/>
  <c r="Y15"/>
  <c r="AA15" s="1"/>
  <c r="X15"/>
  <c r="W15"/>
  <c r="G15"/>
  <c r="C15"/>
  <c r="D15" s="1"/>
  <c r="Z14"/>
  <c r="X14"/>
  <c r="W14"/>
  <c r="Y14" s="1"/>
  <c r="AA14" s="1"/>
  <c r="G14"/>
  <c r="C14"/>
  <c r="D14" s="1"/>
  <c r="Z13"/>
  <c r="Y13"/>
  <c r="AA13" s="1"/>
  <c r="X13"/>
  <c r="W13"/>
  <c r="G13"/>
  <c r="E13"/>
  <c r="D13"/>
  <c r="F13" s="1"/>
  <c r="H13" s="1"/>
  <c r="C13"/>
  <c r="Z12"/>
  <c r="AA12" s="1"/>
  <c r="Y12"/>
  <c r="X12"/>
  <c r="W12"/>
  <c r="G12"/>
  <c r="F12"/>
  <c r="H12" s="1"/>
  <c r="D12"/>
  <c r="E12" s="1"/>
  <c r="C12"/>
  <c r="Z11"/>
  <c r="Y11"/>
  <c r="AA11" s="1"/>
  <c r="X11"/>
  <c r="W11"/>
  <c r="G11"/>
  <c r="C11"/>
  <c r="D11" s="1"/>
  <c r="Z10"/>
  <c r="X10"/>
  <c r="W10"/>
  <c r="Y10" s="1"/>
  <c r="AA10" s="1"/>
  <c r="G10"/>
  <c r="C10"/>
  <c r="D10" s="1"/>
  <c r="Z9"/>
  <c r="X9"/>
  <c r="W9"/>
  <c r="Y9" s="1"/>
  <c r="AA9" s="1"/>
  <c r="G9"/>
  <c r="D9"/>
  <c r="E9" s="1"/>
  <c r="C9"/>
  <c r="E18" i="4" l="1"/>
  <c r="F18"/>
  <c r="H18" s="1"/>
  <c r="E31"/>
  <c r="F31"/>
  <c r="H31" s="1"/>
  <c r="E20" i="5"/>
  <c r="F20"/>
  <c r="H20" s="1"/>
  <c r="E9" i="7"/>
  <c r="F9"/>
  <c r="H9" s="1"/>
  <c r="E17"/>
  <c r="F17"/>
  <c r="H17" s="1"/>
  <c r="E28" i="9"/>
  <c r="F28"/>
  <c r="H28" s="1"/>
  <c r="E11" i="10"/>
  <c r="F11"/>
  <c r="H11" s="1"/>
  <c r="E37"/>
  <c r="F37"/>
  <c r="H37" s="1"/>
  <c r="E19" i="11"/>
  <c r="F19"/>
  <c r="H19" s="1"/>
  <c r="E30" i="1"/>
  <c r="F30"/>
  <c r="H30" s="1"/>
  <c r="E12" i="2"/>
  <c r="F12"/>
  <c r="H12" s="1"/>
  <c r="E35" i="3"/>
  <c r="F35"/>
  <c r="H35" s="1"/>
  <c r="E15" i="4"/>
  <c r="F15"/>
  <c r="H15" s="1"/>
  <c r="E23"/>
  <c r="F23"/>
  <c r="H23" s="1"/>
  <c r="E36" i="5"/>
  <c r="F36"/>
  <c r="H36" s="1"/>
  <c r="E11" i="8"/>
  <c r="F11"/>
  <c r="H11" s="1"/>
  <c r="E30"/>
  <c r="F30"/>
  <c r="H30" s="1"/>
  <c r="E36"/>
  <c r="F36"/>
  <c r="H36" s="1"/>
  <c r="E33" i="9"/>
  <c r="F33"/>
  <c r="H33" s="1"/>
  <c r="E26" i="10"/>
  <c r="F26"/>
  <c r="H26" s="1"/>
  <c r="E36" i="11"/>
  <c r="F36"/>
  <c r="H36" s="1"/>
  <c r="E22" i="12"/>
  <c r="F22"/>
  <c r="H22" s="1"/>
  <c r="E35" i="1"/>
  <c r="F35"/>
  <c r="H35" s="1"/>
  <c r="E17" i="2"/>
  <c r="F17"/>
  <c r="H17" s="1"/>
  <c r="E19" i="3"/>
  <c r="F19"/>
  <c r="H19" s="1"/>
  <c r="E28" i="4"/>
  <c r="F28"/>
  <c r="H28" s="1"/>
  <c r="E9" i="5"/>
  <c r="F9"/>
  <c r="H9" s="1"/>
  <c r="E25" i="6"/>
  <c r="F25"/>
  <c r="H25" s="1"/>
  <c r="E28"/>
  <c r="F28"/>
  <c r="H28" s="1"/>
  <c r="E31"/>
  <c r="F31"/>
  <c r="H31" s="1"/>
  <c r="E11" i="7"/>
  <c r="F11"/>
  <c r="H11" s="1"/>
  <c r="E25"/>
  <c r="F25"/>
  <c r="H25" s="1"/>
  <c r="E15" i="9"/>
  <c r="F15"/>
  <c r="H15" s="1"/>
  <c r="E38"/>
  <c r="F38"/>
  <c r="H38" s="1"/>
  <c r="E16" i="11"/>
  <c r="F16"/>
  <c r="H16" s="1"/>
  <c r="E38" i="1"/>
  <c r="F38"/>
  <c r="H38" s="1"/>
  <c r="E20" i="2"/>
  <c r="F20"/>
  <c r="H20" s="1"/>
  <c r="E13" i="3"/>
  <c r="F13"/>
  <c r="H13" s="1"/>
  <c r="E12" i="4"/>
  <c r="F12"/>
  <c r="H12" s="1"/>
  <c r="E12" i="5"/>
  <c r="F12"/>
  <c r="H12" s="1"/>
  <c r="E25"/>
  <c r="F25"/>
  <c r="H25" s="1"/>
  <c r="E38" i="7"/>
  <c r="F38"/>
  <c r="H38" s="1"/>
  <c r="E19" i="8"/>
  <c r="F19"/>
  <c r="H19" s="1"/>
  <c r="E16" i="10"/>
  <c r="F16"/>
  <c r="H16" s="1"/>
  <c r="E21"/>
  <c r="F21"/>
  <c r="H21" s="1"/>
  <c r="E31"/>
  <c r="F31"/>
  <c r="H31" s="1"/>
  <c r="E13" i="12"/>
  <c r="F13"/>
  <c r="H13" s="1"/>
  <c r="E39"/>
  <c r="F39"/>
  <c r="H39" s="1"/>
  <c r="E14" i="1"/>
  <c r="F14"/>
  <c r="H14" s="1"/>
  <c r="E22"/>
  <c r="F22"/>
  <c r="H22" s="1"/>
  <c r="E35" i="2"/>
  <c r="F35"/>
  <c r="H35" s="1"/>
  <c r="E24" i="3"/>
  <c r="F24"/>
  <c r="H24" s="1"/>
  <c r="E33" i="4"/>
  <c r="F33"/>
  <c r="H33" s="1"/>
  <c r="E28" i="5"/>
  <c r="F28"/>
  <c r="H28" s="1"/>
  <c r="E22" i="7"/>
  <c r="F22"/>
  <c r="H22" s="1"/>
  <c r="E27"/>
  <c r="F27"/>
  <c r="H27" s="1"/>
  <c r="E16" i="8"/>
  <c r="F16"/>
  <c r="H16" s="1"/>
  <c r="E27"/>
  <c r="F27"/>
  <c r="H27" s="1"/>
  <c r="E12" i="9"/>
  <c r="F12"/>
  <c r="H12" s="1"/>
  <c r="E17"/>
  <c r="F17"/>
  <c r="H17" s="1"/>
  <c r="E22"/>
  <c r="F22"/>
  <c r="H22" s="1"/>
  <c r="E29" i="12"/>
  <c r="F29"/>
  <c r="H29" s="1"/>
  <c r="Y40" i="7"/>
  <c r="E19" i="1"/>
  <c r="F19"/>
  <c r="H19" s="1"/>
  <c r="E17" i="4"/>
  <c r="F17"/>
  <c r="H17" s="1"/>
  <c r="E38"/>
  <c r="F38"/>
  <c r="H38" s="1"/>
  <c r="E17" i="5"/>
  <c r="F17"/>
  <c r="H17" s="1"/>
  <c r="E16" i="7"/>
  <c r="F16"/>
  <c r="H16" s="1"/>
  <c r="E27" i="9"/>
  <c r="F27"/>
  <c r="H27" s="1"/>
  <c r="E35"/>
  <c r="F35"/>
  <c r="H35" s="1"/>
  <c r="E10" i="10"/>
  <c r="F10"/>
  <c r="H10" s="1"/>
  <c r="E28"/>
  <c r="F28"/>
  <c r="H28" s="1"/>
  <c r="E13" i="11"/>
  <c r="F13"/>
  <c r="H13" s="1"/>
  <c r="E18"/>
  <c r="F18"/>
  <c r="H18" s="1"/>
  <c r="E28"/>
  <c r="F28"/>
  <c r="H28" s="1"/>
  <c r="E27" i="1"/>
  <c r="F27"/>
  <c r="H27" s="1"/>
  <c r="E29" i="2"/>
  <c r="F29"/>
  <c r="H29" s="1"/>
  <c r="E22" i="4"/>
  <c r="F22"/>
  <c r="H22" s="1"/>
  <c r="E14" i="5"/>
  <c r="F14"/>
  <c r="H14" s="1"/>
  <c r="E22"/>
  <c r="F22"/>
  <c r="H22" s="1"/>
  <c r="E33"/>
  <c r="F33"/>
  <c r="H33" s="1"/>
  <c r="E32" i="7"/>
  <c r="F32"/>
  <c r="H32" s="1"/>
  <c r="E10" i="8"/>
  <c r="F10"/>
  <c r="H10" s="1"/>
  <c r="E35"/>
  <c r="F35"/>
  <c r="H35" s="1"/>
  <c r="E36" i="10"/>
  <c r="F36"/>
  <c r="H36" s="1"/>
  <c r="E23" i="11"/>
  <c r="F23"/>
  <c r="H23" s="1"/>
  <c r="E36" i="12"/>
  <c r="F36"/>
  <c r="H36" s="1"/>
  <c r="E32"/>
  <c r="F32"/>
  <c r="H32" s="1"/>
  <c r="E24" i="1"/>
  <c r="F24"/>
  <c r="H24" s="1"/>
  <c r="F29"/>
  <c r="H29" s="1"/>
  <c r="E29"/>
  <c r="E39" i="3"/>
  <c r="F39"/>
  <c r="H39" s="1"/>
  <c r="E27" i="4"/>
  <c r="F27"/>
  <c r="H27" s="1"/>
  <c r="E30" i="5"/>
  <c r="F30"/>
  <c r="H30" s="1"/>
  <c r="E38"/>
  <c r="F38"/>
  <c r="H38" s="1"/>
  <c r="E30" i="6"/>
  <c r="F30"/>
  <c r="H30" s="1"/>
  <c r="E32" i="8"/>
  <c r="F32"/>
  <c r="H32" s="1"/>
  <c r="E33" i="10"/>
  <c r="F33"/>
  <c r="H33" s="1"/>
  <c r="AA40"/>
  <c r="AA40" i="12"/>
  <c r="E37" i="1"/>
  <c r="F37"/>
  <c r="H37" s="1"/>
  <c r="E9" i="2"/>
  <c r="F9"/>
  <c r="H9" s="1"/>
  <c r="E19"/>
  <c r="F19"/>
  <c r="H19" s="1"/>
  <c r="E22"/>
  <c r="F22"/>
  <c r="H22" s="1"/>
  <c r="E25"/>
  <c r="F25"/>
  <c r="H25" s="1"/>
  <c r="E12" i="3"/>
  <c r="F12"/>
  <c r="H12" s="1"/>
  <c r="E15"/>
  <c r="F15"/>
  <c r="H15" s="1"/>
  <c r="E29"/>
  <c r="F29"/>
  <c r="H29" s="1"/>
  <c r="E11" i="4"/>
  <c r="F11"/>
  <c r="H11" s="1"/>
  <c r="E11" i="5"/>
  <c r="F11"/>
  <c r="H11" s="1"/>
  <c r="E10" i="6"/>
  <c r="F10"/>
  <c r="H10" s="1"/>
  <c r="E24"/>
  <c r="F24"/>
  <c r="H24" s="1"/>
  <c r="E13" i="7"/>
  <c r="F13"/>
  <c r="H13" s="1"/>
  <c r="E37"/>
  <c r="F37"/>
  <c r="H37" s="1"/>
  <c r="E15" i="10"/>
  <c r="F15"/>
  <c r="H15" s="1"/>
  <c r="E35" i="11"/>
  <c r="F35"/>
  <c r="H35" s="1"/>
  <c r="E21" i="12"/>
  <c r="F21"/>
  <c r="H21" s="1"/>
  <c r="E38"/>
  <c r="F38"/>
  <c r="H38" s="1"/>
  <c r="E21" i="1"/>
  <c r="F21"/>
  <c r="H21" s="1"/>
  <c r="E34" i="2"/>
  <c r="F34"/>
  <c r="H34" s="1"/>
  <c r="E23" i="3"/>
  <c r="F23"/>
  <c r="H23" s="1"/>
  <c r="E27" i="5"/>
  <c r="F27"/>
  <c r="H27" s="1"/>
  <c r="E19" i="6"/>
  <c r="F19"/>
  <c r="H19" s="1"/>
  <c r="E21" i="7"/>
  <c r="F21"/>
  <c r="H21" s="1"/>
  <c r="E34"/>
  <c r="F34"/>
  <c r="H34" s="1"/>
  <c r="E15" i="8"/>
  <c r="F15"/>
  <c r="H15" s="1"/>
  <c r="E21"/>
  <c r="F21"/>
  <c r="H21" s="1"/>
  <c r="E26"/>
  <c r="F26"/>
  <c r="H26" s="1"/>
  <c r="E11" i="9"/>
  <c r="F11"/>
  <c r="H11" s="1"/>
  <c r="E20" i="10"/>
  <c r="F20"/>
  <c r="H20" s="1"/>
  <c r="E25" i="11"/>
  <c r="F25"/>
  <c r="H25" s="1"/>
  <c r="AA40" i="8"/>
  <c r="E11" i="1"/>
  <c r="F11"/>
  <c r="H11" s="1"/>
  <c r="E9" i="3"/>
  <c r="F9"/>
  <c r="H9" s="1"/>
  <c r="E31"/>
  <c r="F31"/>
  <c r="H31" s="1"/>
  <c r="E37" i="4"/>
  <c r="F37"/>
  <c r="H37" s="1"/>
  <c r="E16" i="5"/>
  <c r="F16"/>
  <c r="H16" s="1"/>
  <c r="Y40" i="6"/>
  <c r="AA9"/>
  <c r="AA40" s="1"/>
  <c r="E35"/>
  <c r="F35"/>
  <c r="H35" s="1"/>
  <c r="E18" i="7"/>
  <c r="F18"/>
  <c r="H18" s="1"/>
  <c r="E29"/>
  <c r="F29"/>
  <c r="H29" s="1"/>
  <c r="E19" i="9"/>
  <c r="F19"/>
  <c r="H19" s="1"/>
  <c r="E12" i="12"/>
  <c r="F12"/>
  <c r="H12" s="1"/>
  <c r="E33"/>
  <c r="F33"/>
  <c r="H33" s="1"/>
  <c r="E26" i="1"/>
  <c r="F26"/>
  <c r="H26" s="1"/>
  <c r="E21" i="4"/>
  <c r="F21"/>
  <c r="H21" s="1"/>
  <c r="E21" i="5"/>
  <c r="F21"/>
  <c r="H21" s="1"/>
  <c r="E32"/>
  <c r="F32"/>
  <c r="H32" s="1"/>
  <c r="E12" i="6"/>
  <c r="F12"/>
  <c r="H12" s="1"/>
  <c r="E9" i="8"/>
  <c r="F9"/>
  <c r="H9" s="1"/>
  <c r="E29" i="9"/>
  <c r="F29"/>
  <c r="H29" s="1"/>
  <c r="E12" i="10"/>
  <c r="F12"/>
  <c r="H12" s="1"/>
  <c r="E35"/>
  <c r="F35"/>
  <c r="H35" s="1"/>
  <c r="E12" i="11"/>
  <c r="F12"/>
  <c r="H12" s="1"/>
  <c r="E20"/>
  <c r="F20"/>
  <c r="H20" s="1"/>
  <c r="E32"/>
  <c r="F32"/>
  <c r="H32" s="1"/>
  <c r="Y40"/>
  <c r="E31" i="1"/>
  <c r="F31"/>
  <c r="H31" s="1"/>
  <c r="E13" i="2"/>
  <c r="F13"/>
  <c r="H13" s="1"/>
  <c r="E36" i="3"/>
  <c r="F36"/>
  <c r="H36" s="1"/>
  <c r="E26" i="4"/>
  <c r="F26"/>
  <c r="H26" s="1"/>
  <c r="E37" i="5"/>
  <c r="F37"/>
  <c r="H37" s="1"/>
  <c r="E23" i="8"/>
  <c r="F23"/>
  <c r="H23" s="1"/>
  <c r="E31"/>
  <c r="F31"/>
  <c r="H31" s="1"/>
  <c r="E37"/>
  <c r="F37"/>
  <c r="H37" s="1"/>
  <c r="E34" i="9"/>
  <c r="F34"/>
  <c r="H34" s="1"/>
  <c r="E27" i="10"/>
  <c r="F27"/>
  <c r="H27" s="1"/>
  <c r="E36" i="1"/>
  <c r="F36"/>
  <c r="H36" s="1"/>
  <c r="E18" i="2"/>
  <c r="F18"/>
  <c r="H18" s="1"/>
  <c r="E24"/>
  <c r="F24"/>
  <c r="H24" s="1"/>
  <c r="E14" i="3"/>
  <c r="F14"/>
  <c r="H14" s="1"/>
  <c r="E17"/>
  <c r="F17"/>
  <c r="H17" s="1"/>
  <c r="E20"/>
  <c r="F20"/>
  <c r="H20" s="1"/>
  <c r="E28"/>
  <c r="F28"/>
  <c r="H28" s="1"/>
  <c r="E33"/>
  <c r="F33"/>
  <c r="H33" s="1"/>
  <c r="E10" i="4"/>
  <c r="F10"/>
  <c r="H10" s="1"/>
  <c r="E29"/>
  <c r="F29"/>
  <c r="H29" s="1"/>
  <c r="E10" i="5"/>
  <c r="F10"/>
  <c r="H10" s="1"/>
  <c r="E9" i="6"/>
  <c r="F9"/>
  <c r="H9" s="1"/>
  <c r="E23"/>
  <c r="F23"/>
  <c r="H23" s="1"/>
  <c r="E26"/>
  <c r="F26"/>
  <c r="H26" s="1"/>
  <c r="E32"/>
  <c r="F32"/>
  <c r="H32" s="1"/>
  <c r="E12" i="7"/>
  <c r="F12"/>
  <c r="H12" s="1"/>
  <c r="E34" i="11"/>
  <c r="F34"/>
  <c r="H34" s="1"/>
  <c r="E9" i="12"/>
  <c r="F9"/>
  <c r="H9" s="1"/>
  <c r="E20"/>
  <c r="F20"/>
  <c r="H20" s="1"/>
  <c r="E33" i="2"/>
  <c r="F33"/>
  <c r="H33" s="1"/>
  <c r="E13" i="4"/>
  <c r="F13"/>
  <c r="H13" s="1"/>
  <c r="E26" i="5"/>
  <c r="F26"/>
  <c r="H26" s="1"/>
  <c r="E18" i="6"/>
  <c r="F18"/>
  <c r="H18" s="1"/>
  <c r="E39" i="7"/>
  <c r="F39"/>
  <c r="H39" s="1"/>
  <c r="E14" i="8"/>
  <c r="F14"/>
  <c r="H14" s="1"/>
  <c r="E20"/>
  <c r="F20"/>
  <c r="H20" s="1"/>
  <c r="E25"/>
  <c r="F25"/>
  <c r="H25" s="1"/>
  <c r="E31" i="9"/>
  <c r="F31"/>
  <c r="H31" s="1"/>
  <c r="E17" i="10"/>
  <c r="F17"/>
  <c r="H17" s="1"/>
  <c r="E10" i="1"/>
  <c r="F10"/>
  <c r="H10" s="1"/>
  <c r="E15"/>
  <c r="F15"/>
  <c r="H15" s="1"/>
  <c r="E36" i="2"/>
  <c r="F36"/>
  <c r="H36" s="1"/>
  <c r="E25" i="3"/>
  <c r="F25"/>
  <c r="H25" s="1"/>
  <c r="E34" i="4"/>
  <c r="F34"/>
  <c r="H34" s="1"/>
  <c r="E14" i="6"/>
  <c r="F14"/>
  <c r="H14" s="1"/>
  <c r="E34"/>
  <c r="F34"/>
  <c r="H34" s="1"/>
  <c r="E23" i="7"/>
  <c r="F23"/>
  <c r="H23" s="1"/>
  <c r="E28"/>
  <c r="F28"/>
  <c r="H28" s="1"/>
  <c r="E13" i="9"/>
  <c r="F13"/>
  <c r="H13" s="1"/>
  <c r="E18"/>
  <c r="F18"/>
  <c r="H18" s="1"/>
  <c r="E23"/>
  <c r="F23"/>
  <c r="H23" s="1"/>
  <c r="E24" i="10"/>
  <c r="F24"/>
  <c r="H24" s="1"/>
  <c r="E9" i="11"/>
  <c r="F9"/>
  <c r="H9" s="1"/>
  <c r="E29"/>
  <c r="F29"/>
  <c r="H29" s="1"/>
  <c r="E11" i="12"/>
  <c r="F11"/>
  <c r="H11" s="1"/>
  <c r="E27"/>
  <c r="F27"/>
  <c r="H27" s="1"/>
  <c r="Y40" i="4"/>
  <c r="E22" i="3"/>
  <c r="E38"/>
  <c r="E20" i="4"/>
  <c r="E36"/>
  <c r="E19" i="5"/>
  <c r="E35"/>
  <c r="E33" i="6"/>
  <c r="E10" i="7"/>
  <c r="E26"/>
  <c r="E24" i="8"/>
  <c r="E16" i="9"/>
  <c r="E32"/>
  <c r="E25" i="10"/>
  <c r="AA9" i="11"/>
  <c r="AA40" s="1"/>
  <c r="E17"/>
  <c r="E33"/>
  <c r="E10" i="12"/>
  <c r="E19"/>
  <c r="E28"/>
  <c r="E37"/>
  <c r="F23" i="1"/>
  <c r="H23" s="1"/>
  <c r="F39"/>
  <c r="H39" s="1"/>
  <c r="F21" i="2"/>
  <c r="H21" s="1"/>
  <c r="F16" i="3"/>
  <c r="H16" s="1"/>
  <c r="F32"/>
  <c r="H32" s="1"/>
  <c r="AA9" i="4"/>
  <c r="F14"/>
  <c r="H14" s="1"/>
  <c r="F30"/>
  <c r="H30" s="1"/>
  <c r="F13" i="5"/>
  <c r="H13" s="1"/>
  <c r="F29"/>
  <c r="H29" s="1"/>
  <c r="F11" i="6"/>
  <c r="H11" s="1"/>
  <c r="F27"/>
  <c r="H27" s="1"/>
  <c r="X40"/>
  <c r="F20" i="7"/>
  <c r="H20" s="1"/>
  <c r="F36"/>
  <c r="H36" s="1"/>
  <c r="F18" i="8"/>
  <c r="H18" s="1"/>
  <c r="F34"/>
  <c r="H34" s="1"/>
  <c r="F10" i="9"/>
  <c r="H10" s="1"/>
  <c r="F26"/>
  <c r="H26" s="1"/>
  <c r="Y39" i="2"/>
  <c r="F26" i="3"/>
  <c r="H26" s="1"/>
  <c r="F13" i="10"/>
  <c r="H13" s="1"/>
  <c r="Y9" i="9"/>
  <c r="F24"/>
  <c r="H24" s="1"/>
  <c r="F18" i="1"/>
  <c r="H18" s="1"/>
  <c r="F34"/>
  <c r="H34" s="1"/>
  <c r="F16" i="2"/>
  <c r="H16" s="1"/>
  <c r="F32"/>
  <c r="H32" s="1"/>
  <c r="F11" i="3"/>
  <c r="H11" s="1"/>
  <c r="F27"/>
  <c r="H27" s="1"/>
  <c r="F9" i="4"/>
  <c r="H9" s="1"/>
  <c r="F25"/>
  <c r="H25" s="1"/>
  <c r="F24" i="5"/>
  <c r="H24" s="1"/>
  <c r="F22" i="6"/>
  <c r="H22" s="1"/>
  <c r="F38"/>
  <c r="H38" s="1"/>
  <c r="F15" i="7"/>
  <c r="H15" s="1"/>
  <c r="F31"/>
  <c r="H31" s="1"/>
  <c r="F13" i="8"/>
  <c r="H13" s="1"/>
  <c r="F29"/>
  <c r="H29" s="1"/>
  <c r="F37" i="9"/>
  <c r="H37" s="1"/>
  <c r="F30" i="10"/>
  <c r="H30" s="1"/>
  <c r="F22" i="11"/>
  <c r="H22" s="1"/>
  <c r="F38"/>
  <c r="H38" s="1"/>
  <c r="F24" i="12"/>
  <c r="H24" s="1"/>
  <c r="F9" i="1"/>
  <c r="H9" s="1"/>
  <c r="F23" i="2"/>
  <c r="H23" s="1"/>
  <c r="F18" i="3"/>
  <c r="H18" s="1"/>
  <c r="F29" i="6"/>
  <c r="H29" s="1"/>
  <c r="F19" i="7"/>
  <c r="H19" s="1"/>
  <c r="F35"/>
  <c r="H35" s="1"/>
  <c r="F17" i="8"/>
  <c r="H17" s="1"/>
  <c r="F33"/>
  <c r="H33" s="1"/>
  <c r="F9" i="9"/>
  <c r="H9" s="1"/>
  <c r="F18" i="10"/>
  <c r="H18" s="1"/>
  <c r="F34"/>
  <c r="H34" s="1"/>
  <c r="F10" i="11"/>
  <c r="H10" s="1"/>
  <c r="F26"/>
  <c r="H26" s="1"/>
  <c r="F30" i="12"/>
  <c r="H30" s="1"/>
  <c r="F16" i="1"/>
  <c r="H16" s="1"/>
  <c r="F32"/>
  <c r="H32" s="1"/>
  <c r="F14" i="2"/>
  <c r="H14" s="1"/>
  <c r="F30"/>
  <c r="H30" s="1"/>
  <c r="Y40" i="9" l="1"/>
  <c r="AA9"/>
  <c r="AA40" s="1"/>
</calcChain>
</file>

<file path=xl/sharedStrings.xml><?xml version="1.0" encoding="utf-8"?>
<sst xmlns="http://schemas.openxmlformats.org/spreadsheetml/2006/main" count="770" uniqueCount="95">
  <si>
    <t>JANEIRO DE 2022</t>
  </si>
  <si>
    <t xml:space="preserve">                     INSTITUTO   ASTRONÔMICO   E   GEOFÍSICO   DA   UNIVERSIDADE   DE   SÃO   PAULO</t>
  </si>
  <si>
    <t>(digitado por Edvaldo Gomes   )</t>
  </si>
  <si>
    <t>(digitado por Edvaldo Gomes  )</t>
  </si>
  <si>
    <t xml:space="preserve">(verificado por Edvaldo Gomes )  </t>
  </si>
  <si>
    <t xml:space="preserve">    DADOS  RELATIVOS  À  IRRADIAÇÃO  SOLAR  GLOBAL  E  À  DURAÇÃO  DO  BRILHO  SOLAR</t>
  </si>
  <si>
    <t>(verificado por Edvaldo Gomes)</t>
  </si>
  <si>
    <t>DIA</t>
  </si>
  <si>
    <t xml:space="preserve">                 IRRADIAÇÃO  SOLAR  GLOBAL</t>
  </si>
  <si>
    <t xml:space="preserve">   DURAÇÃO  DO  BRILHO  SOLAR</t>
  </si>
  <si>
    <t>área</t>
  </si>
  <si>
    <t>fator</t>
  </si>
  <si>
    <t>total</t>
  </si>
  <si>
    <t>estimativa</t>
  </si>
  <si>
    <t>topo da</t>
  </si>
  <si>
    <t>transmissão</t>
  </si>
  <si>
    <t>duração</t>
  </si>
  <si>
    <t>insolação</t>
  </si>
  <si>
    <t>média</t>
  </si>
  <si>
    <t>diário de</t>
  </si>
  <si>
    <t>diário</t>
  </si>
  <si>
    <t>piranômetro</t>
  </si>
  <si>
    <t>atmosfera</t>
  </si>
  <si>
    <t>global</t>
  </si>
  <si>
    <t xml:space="preserve">                duração  horária  (horas)</t>
  </si>
  <si>
    <t>totais  (horas)</t>
  </si>
  <si>
    <t>teórica (hs)</t>
  </si>
  <si>
    <t>relativa (%)</t>
  </si>
  <si>
    <t>(cm2)</t>
  </si>
  <si>
    <t>correção</t>
  </si>
  <si>
    <t>(cal / cm2)</t>
  </si>
  <si>
    <t>(MJ / m2)</t>
  </si>
  <si>
    <t>(%)</t>
  </si>
  <si>
    <t>05h-06h</t>
  </si>
  <si>
    <t>06h-07h</t>
  </si>
  <si>
    <t>07h-08h</t>
  </si>
  <si>
    <t>08h-09h</t>
  </si>
  <si>
    <t>09h-10h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</si>
  <si>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</si>
  <si>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</si>
  <si>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</si>
  <si>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</si>
  <si>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</si>
  <si>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</si>
  <si>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</si>
  <si>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</si>
  <si>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</si>
  <si>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manhã</t>
  </si>
  <si>
    <t>tarde</t>
  </si>
  <si>
    <t>dia</t>
  </si>
  <si>
    <t xml:space="preserve">"área média": valor médio obtido a partir de diversas planimetrias sobre o actinograma </t>
  </si>
  <si>
    <t>"fator diário de correção": fator multiplicativo recomendado pelo fabricante do actinógrafo, dado por 0,734+0,00641*ho-0,000033*ho*ho, sendo ho a elevação solar na passagem meridiana</t>
  </si>
  <si>
    <t>"total diário": produto entre (1) a área média, (2) o fator de correção diário, (3) a constante 14,25 (quantidade de cal/cm2 para cada cm2 de área planimetrada), e (4) o fator 1,022 (obediência à World Radiometric Reference)</t>
  </si>
  <si>
    <t>"estimativa piranômetro": irradiação diária que seria medida com um piranômetro Eppley equipado de filtro Schott WG7, dada por (7,86+1,25*A)*4,1868/100, sendo A a irradiação obtida com o actinógrafo</t>
  </si>
  <si>
    <t>"topo da atmosfera": valor teórico da irradiação diária solar incidente no topo da atmosfera, para uma constante solar de 1367 W/m2</t>
  </si>
  <si>
    <t>"transmissão global": quociente entre as irradiações "estimativa piranômetro" e "topo da atmosfera"</t>
  </si>
  <si>
    <t>"insolação relativa": quociente entre o total diário observado para a duração de brilho solar e o respectivo valor teórico, desprezando-se possíveis efeitos associados à refração atmosférica</t>
  </si>
  <si>
    <r>
      <t xml:space="preserve">(*) valores </t>
    </r>
    <r>
      <rPr>
        <sz val="12"/>
        <color indexed="10"/>
        <rFont val="Arial"/>
        <family val="2"/>
      </rPr>
      <t>-99,0</t>
    </r>
    <r>
      <rPr>
        <sz val="12"/>
        <rFont val="Arial"/>
        <family val="2"/>
      </rPr>
      <t xml:space="preserve"> indicam falha no registro do actinógrafo</t>
    </r>
  </si>
  <si>
    <t>FEVEREIRO DE 2022</t>
  </si>
  <si>
    <t>(digitado por Edvaldo Mendes )</t>
  </si>
  <si>
    <t xml:space="preserve">(verificado por  Edvaldo Gomes )  </t>
  </si>
  <si>
    <t>(verificado por Edvaldo Gomes )</t>
  </si>
  <si>
    <t>MARÇO DE 2022</t>
  </si>
  <si>
    <t>(digitado por Edvaldo Gomes )</t>
  </si>
  <si>
    <t xml:space="preserve">(verificado por Pety / Edvaldo Gomes )  </t>
  </si>
  <si>
    <t>(verificado por Pety / Edvaldo Gomes )</t>
  </si>
  <si>
    <t xml:space="preserve"> </t>
  </si>
  <si>
    <t>ABRIL DE 2022</t>
  </si>
  <si>
    <t>(digitado por Pety / Edvaldo Gomes   )</t>
  </si>
  <si>
    <t>(digitado por Carlos / PETY )</t>
  </si>
  <si>
    <r>
      <t xml:space="preserve">(*) valores </t>
    </r>
    <r>
      <rPr>
        <sz val="12"/>
        <color indexed="10"/>
        <rFont val="Arial"/>
        <family val="2"/>
      </rPr>
      <t>-0,0</t>
    </r>
    <r>
      <rPr>
        <sz val="12"/>
        <rFont val="Arial"/>
        <family val="2"/>
      </rPr>
      <t xml:space="preserve"> indicam falha no registro do heliógrafo</t>
    </r>
  </si>
  <si>
    <t>MAIO DE 2022</t>
  </si>
  <si>
    <t>(digitado por Edvaldo Gomes    )</t>
  </si>
  <si>
    <t>(digitado por Carlos )</t>
  </si>
  <si>
    <t xml:space="preserve">(verificado por Carlos / Edvaldo Gomes  )  </t>
  </si>
  <si>
    <t>(verificado por  Edvaldo Gomes )</t>
  </si>
  <si>
    <t xml:space="preserve"> JUNHO DE 2022 </t>
  </si>
  <si>
    <t xml:space="preserve">(verificado por Carlos / Edvaldo Gomes )  </t>
  </si>
  <si>
    <t>(verificado por Carlos / Edvaldo Gomes )</t>
  </si>
  <si>
    <t>JULHO DE 2022</t>
  </si>
  <si>
    <t>(digitado por Carlos / Edvaldo Gomes)</t>
  </si>
  <si>
    <t>(verificado por Carlos / Edvaldo Gomes)</t>
  </si>
  <si>
    <t xml:space="preserve"> AGOSTO DE 2022</t>
  </si>
  <si>
    <t>SETEMBRO DE 2022</t>
  </si>
  <si>
    <t>(digitado por Edvaldo Gomes)</t>
  </si>
  <si>
    <t xml:space="preserve">(verificado por Edvaldo Gomes)  </t>
  </si>
  <si>
    <t>OUTUBRO DE 2022</t>
  </si>
  <si>
    <t xml:space="preserve">(verificado por Edvaldo Gomes  )  </t>
  </si>
  <si>
    <t>(verificado por Edvaldo Gomes  )</t>
  </si>
  <si>
    <t xml:space="preserve">NOVEMBRO DE 2022 </t>
  </si>
  <si>
    <t>(digitado por Observadores )</t>
  </si>
  <si>
    <t>(digitado por Observadores/Edvaldo Gomes)</t>
  </si>
  <si>
    <t xml:space="preserve">(verificado por Observadores/Edvaldo Gomes )  </t>
  </si>
  <si>
    <t>(verificado por Observadores/Edvaldo Gomes)</t>
  </si>
  <si>
    <t xml:space="preserve">  DEZEMBRO DE 2022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</si>
</sst>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m/d/yyyy"/>
  </numFmts>
  <fonts count="18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rgb="FFFF0000"/>
      <name val="Arial"/>
      <family val="2"/>
    </font>
    <font>
      <sz val="10"/>
      <color indexed="10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0"/>
      <color rgb="FFFF0000"/>
      <name val="Arial"/>
      <family val="2"/>
    </font>
    <font>
      <b/>
      <i/>
      <u/>
      <sz val="10"/>
      <color indexed="10"/>
      <name val="Arial"/>
      <family val="2"/>
    </font>
    <font>
      <i/>
      <u/>
      <sz val="10"/>
      <name val="Arial"/>
      <family val="2"/>
    </font>
    <font>
      <b/>
      <sz val="10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3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7"/>
      </patternFill>
    </fill>
  </fills>
  <borders count="8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/>
      <diagonal/>
    </border>
    <border>
      <left style="double">
        <color indexed="63"/>
      </left>
      <right/>
      <top style="double">
        <color indexed="63"/>
      </top>
      <bottom style="medium">
        <color indexed="63"/>
      </bottom>
      <diagonal/>
    </border>
    <border>
      <left/>
      <right/>
      <top style="double">
        <color indexed="63"/>
      </top>
      <bottom/>
      <diagonal/>
    </border>
    <border>
      <left/>
      <right/>
      <top style="double">
        <color indexed="63"/>
      </top>
      <bottom style="medium">
        <color indexed="63"/>
      </bottom>
      <diagonal/>
    </border>
    <border>
      <left/>
      <right style="double">
        <color indexed="63"/>
      </right>
      <top style="double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double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double">
        <color indexed="63"/>
      </right>
      <top style="medium">
        <color indexed="63"/>
      </top>
      <bottom/>
      <diagonal/>
    </border>
    <border>
      <left style="double">
        <color indexed="63"/>
      </left>
      <right/>
      <top/>
      <bottom/>
      <diagonal/>
    </border>
    <border>
      <left style="double">
        <color indexed="63"/>
      </left>
      <right style="thin">
        <color indexed="63"/>
      </right>
      <top/>
      <bottom/>
      <diagonal/>
    </border>
    <border>
      <left style="double">
        <color indexed="63"/>
      </left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double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double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/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/>
      <bottom/>
      <diagonal/>
    </border>
    <border>
      <left style="medium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double">
        <color indexed="63"/>
      </right>
      <top style="thin">
        <color indexed="63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/>
      <diagonal/>
    </border>
    <border>
      <left style="thin">
        <color indexed="63"/>
      </left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double">
        <color indexed="63"/>
      </left>
      <right style="thin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ill="0" applyBorder="0" applyAlignment="0" applyProtection="0"/>
    <xf numFmtId="0" fontId="1" fillId="0" borderId="0" applyNumberFormat="0"/>
  </cellStyleXfs>
  <cellXfs count="201">
    <xf numFmtId="0" fontId="0" fillId="0" borderId="0" xfId="0"/>
    <xf numFmtId="0" fontId="2" fillId="2" borderId="0" xfId="2" applyFont="1" applyFill="1" applyAlignment="1">
      <alignment horizontal="left"/>
    </xf>
    <xf numFmtId="0" fontId="2" fillId="2" borderId="0" xfId="2" applyFont="1" applyFill="1" applyAlignment="1">
      <alignment horizontal="right"/>
    </xf>
    <xf numFmtId="0" fontId="1" fillId="3" borderId="0" xfId="2" applyFill="1"/>
    <xf numFmtId="0" fontId="2" fillId="3" borderId="0" xfId="2" applyFont="1" applyFill="1" applyAlignment="1">
      <alignment horizontal="left"/>
    </xf>
    <xf numFmtId="0" fontId="3" fillId="3" borderId="0" xfId="2" applyFont="1" applyFill="1" applyAlignment="1">
      <alignment horizontal="center"/>
    </xf>
    <xf numFmtId="0" fontId="2" fillId="3" borderId="0" xfId="2" applyFont="1" applyFill="1"/>
    <xf numFmtId="0" fontId="1" fillId="0" borderId="0" xfId="2"/>
    <xf numFmtId="0" fontId="0" fillId="2" borderId="0" xfId="2" applyFont="1" applyFill="1" applyAlignment="1">
      <alignment horizontal="left"/>
    </xf>
    <xf numFmtId="0" fontId="0" fillId="3" borderId="0" xfId="2" applyFont="1" applyFill="1" applyAlignment="1">
      <alignment horizontal="left"/>
    </xf>
    <xf numFmtId="0" fontId="4" fillId="3" borderId="1" xfId="2" applyFont="1" applyFill="1" applyBorder="1" applyAlignment="1">
      <alignment horizontal="center"/>
    </xf>
    <xf numFmtId="0" fontId="1" fillId="3" borderId="2" xfId="2" applyFill="1" applyBorder="1"/>
    <xf numFmtId="0" fontId="4" fillId="3" borderId="3" xfId="2" applyFont="1" applyFill="1" applyBorder="1" applyAlignment="1">
      <alignment horizontal="left"/>
    </xf>
    <xf numFmtId="0" fontId="1" fillId="3" borderId="4" xfId="2" applyFill="1" applyBorder="1"/>
    <xf numFmtId="0" fontId="4" fillId="3" borderId="4" xfId="2" applyFont="1" applyFill="1" applyBorder="1" applyAlignment="1">
      <alignment horizontal="center"/>
    </xf>
    <xf numFmtId="0" fontId="1" fillId="3" borderId="5" xfId="2" applyFill="1" applyBorder="1"/>
    <xf numFmtId="0" fontId="4" fillId="3" borderId="3" xfId="2" applyFont="1" applyFill="1" applyBorder="1" applyAlignment="1">
      <alignment horizontal="center"/>
    </xf>
    <xf numFmtId="0" fontId="4" fillId="3" borderId="3" xfId="2" applyFont="1" applyFill="1" applyBorder="1"/>
    <xf numFmtId="0" fontId="5" fillId="3" borderId="5" xfId="2" applyFont="1" applyFill="1" applyBorder="1" applyAlignment="1">
      <alignment horizontal="center"/>
    </xf>
    <xf numFmtId="0" fontId="1" fillId="3" borderId="6" xfId="2" applyFill="1" applyBorder="1" applyAlignment="1">
      <alignment horizontal="center" vertical="top" wrapText="1"/>
    </xf>
    <xf numFmtId="0" fontId="5" fillId="3" borderId="7" xfId="2" applyFont="1" applyFill="1" applyBorder="1" applyAlignment="1">
      <alignment horizontal="center"/>
    </xf>
    <xf numFmtId="0" fontId="5" fillId="3" borderId="8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left"/>
    </xf>
    <xf numFmtId="0" fontId="1" fillId="3" borderId="12" xfId="2" applyFill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" fillId="3" borderId="14" xfId="2" applyFill="1" applyBorder="1" applyAlignment="1">
      <alignment horizontal="center"/>
    </xf>
    <xf numFmtId="0" fontId="0" fillId="3" borderId="12" xfId="2" applyFont="1" applyFill="1" applyBorder="1" applyAlignment="1">
      <alignment horizontal="center"/>
    </xf>
    <xf numFmtId="0" fontId="0" fillId="3" borderId="13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center"/>
    </xf>
    <xf numFmtId="0" fontId="5" fillId="3" borderId="15" xfId="2" applyFont="1" applyFill="1" applyBorder="1" applyAlignment="1">
      <alignment horizontal="center"/>
    </xf>
    <xf numFmtId="0" fontId="1" fillId="3" borderId="16" xfId="2" applyFill="1" applyBorder="1" applyAlignment="1">
      <alignment horizontal="center" vertical="top" wrapText="1"/>
    </xf>
    <xf numFmtId="0" fontId="5" fillId="3" borderId="17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18" xfId="2" applyFont="1" applyFill="1" applyBorder="1" applyAlignment="1">
      <alignment horizontal="center"/>
    </xf>
    <xf numFmtId="0" fontId="4" fillId="3" borderId="19" xfId="2" applyFont="1" applyFill="1" applyBorder="1" applyAlignment="1">
      <alignment horizontal="left"/>
    </xf>
    <xf numFmtId="0" fontId="5" fillId="3" borderId="20" xfId="2" applyFont="1" applyFill="1" applyBorder="1" applyAlignment="1">
      <alignment horizontal="left"/>
    </xf>
    <xf numFmtId="0" fontId="5" fillId="3" borderId="21" xfId="2" applyFont="1" applyFill="1" applyBorder="1" applyAlignment="1">
      <alignment horizontal="center"/>
    </xf>
    <xf numFmtId="0" fontId="1" fillId="3" borderId="19" xfId="2" applyFill="1" applyBorder="1" applyAlignment="1">
      <alignment horizontal="center"/>
    </xf>
    <xf numFmtId="0" fontId="5" fillId="3" borderId="20" xfId="2" applyFont="1" applyFill="1" applyBorder="1" applyAlignment="1">
      <alignment horizontal="center"/>
    </xf>
    <xf numFmtId="0" fontId="5" fillId="3" borderId="22" xfId="2" applyFont="1" applyFill="1" applyBorder="1" applyAlignment="1">
      <alignment horizontal="center"/>
    </xf>
    <xf numFmtId="9" fontId="0" fillId="3" borderId="23" xfId="1" applyFont="1" applyFill="1" applyBorder="1" applyAlignment="1">
      <alignment horizontal="center" vertical="top" wrapText="1"/>
    </xf>
    <xf numFmtId="0" fontId="5" fillId="3" borderId="24" xfId="2" applyFont="1" applyFill="1" applyBorder="1" applyAlignment="1">
      <alignment horizontal="center"/>
    </xf>
    <xf numFmtId="0" fontId="5" fillId="3" borderId="25" xfId="2" applyFont="1" applyFill="1" applyBorder="1" applyAlignment="1">
      <alignment horizontal="center"/>
    </xf>
    <xf numFmtId="0" fontId="5" fillId="3" borderId="26" xfId="2" applyFont="1" applyFill="1" applyBorder="1" applyAlignment="1">
      <alignment horizontal="center"/>
    </xf>
    <xf numFmtId="0" fontId="5" fillId="3" borderId="27" xfId="2" applyFont="1" applyFill="1" applyBorder="1" applyAlignment="1">
      <alignment horizontal="center"/>
    </xf>
    <xf numFmtId="0" fontId="5" fillId="3" borderId="28" xfId="2" applyFont="1" applyFill="1" applyBorder="1" applyAlignment="1">
      <alignment horizontal="center"/>
    </xf>
    <xf numFmtId="0" fontId="5" fillId="3" borderId="29" xfId="2" applyFont="1" applyFill="1" applyBorder="1" applyAlignment="1">
      <alignment horizontal="center"/>
    </xf>
    <xf numFmtId="0" fontId="5" fillId="3" borderId="30" xfId="2" applyFont="1" applyFill="1" applyBorder="1" applyAlignment="1">
      <alignment horizontal="left"/>
    </xf>
    <xf numFmtId="0" fontId="5" fillId="3" borderId="31" xfId="2" applyFont="1" applyFill="1" applyBorder="1" applyAlignment="1">
      <alignment horizontal="center"/>
    </xf>
    <xf numFmtId="0" fontId="5" fillId="3" borderId="32" xfId="2" applyFont="1" applyFill="1" applyBorder="1" applyAlignment="1">
      <alignment horizontal="center"/>
    </xf>
    <xf numFmtId="0" fontId="5" fillId="3" borderId="13" xfId="2" applyFont="1" applyFill="1" applyBorder="1" applyAlignment="1">
      <alignment horizontal="center"/>
    </xf>
    <xf numFmtId="0" fontId="5" fillId="3" borderId="33" xfId="2" applyFont="1" applyFill="1" applyBorder="1" applyAlignment="1">
      <alignment horizontal="center"/>
    </xf>
    <xf numFmtId="0" fontId="3" fillId="4" borderId="34" xfId="2" applyFont="1" applyFill="1" applyBorder="1" applyAlignment="1">
      <alignment horizontal="center"/>
    </xf>
    <xf numFmtId="164" fontId="3" fillId="2" borderId="35" xfId="2" applyNumberFormat="1" applyFont="1" applyFill="1" applyBorder="1" applyAlignment="1">
      <alignment horizontal="center"/>
    </xf>
    <xf numFmtId="165" fontId="3" fillId="3" borderId="36" xfId="2" applyNumberFormat="1" applyFont="1" applyFill="1" applyBorder="1" applyAlignment="1">
      <alignment horizontal="center"/>
    </xf>
    <xf numFmtId="164" fontId="3" fillId="3" borderId="35" xfId="2" applyNumberFormat="1" applyFont="1" applyFill="1" applyBorder="1" applyAlignment="1">
      <alignment horizontal="center"/>
    </xf>
    <xf numFmtId="2" fontId="3" fillId="3" borderId="37" xfId="2" applyNumberFormat="1" applyFont="1" applyFill="1" applyBorder="1" applyAlignment="1">
      <alignment horizontal="center"/>
    </xf>
    <xf numFmtId="2" fontId="3" fillId="3" borderId="38" xfId="2" applyNumberFormat="1" applyFont="1" applyFill="1" applyBorder="1" applyAlignment="1">
      <alignment horizontal="center"/>
    </xf>
    <xf numFmtId="2" fontId="3" fillId="3" borderId="39" xfId="2" applyNumberFormat="1" applyFont="1" applyFill="1" applyBorder="1" applyAlignment="1">
      <alignment horizontal="center"/>
    </xf>
    <xf numFmtId="164" fontId="3" fillId="3" borderId="40" xfId="2" applyNumberFormat="1" applyFont="1" applyFill="1" applyBorder="1" applyAlignment="1">
      <alignment horizontal="center"/>
    </xf>
    <xf numFmtId="164" fontId="3" fillId="2" borderId="41" xfId="2" applyNumberFormat="1" applyFont="1" applyFill="1" applyBorder="1" applyAlignment="1">
      <alignment horizontal="center"/>
    </xf>
    <xf numFmtId="164" fontId="3" fillId="2" borderId="42" xfId="2" applyNumberFormat="1" applyFont="1" applyFill="1" applyBorder="1" applyAlignment="1">
      <alignment horizontal="center"/>
    </xf>
    <xf numFmtId="164" fontId="3" fillId="0" borderId="43" xfId="0" applyNumberFormat="1" applyFont="1" applyBorder="1" applyAlignment="1">
      <alignment horizontal="center"/>
    </xf>
    <xf numFmtId="164" fontId="3" fillId="0" borderId="44" xfId="0" applyNumberFormat="1" applyFont="1" applyBorder="1" applyAlignment="1">
      <alignment horizontal="center"/>
    </xf>
    <xf numFmtId="164" fontId="6" fillId="3" borderId="35" xfId="2" applyNumberFormat="1" applyFont="1" applyFill="1" applyBorder="1" applyAlignment="1">
      <alignment horizontal="center"/>
    </xf>
    <xf numFmtId="164" fontId="3" fillId="3" borderId="39" xfId="2" applyNumberFormat="1" applyFont="1" applyFill="1" applyBorder="1" applyAlignment="1">
      <alignment horizontal="center"/>
    </xf>
    <xf numFmtId="164" fontId="3" fillId="3" borderId="42" xfId="2" applyNumberFormat="1" applyFont="1" applyFill="1" applyBorder="1" applyAlignment="1">
      <alignment horizontal="center"/>
    </xf>
    <xf numFmtId="164" fontId="3" fillId="3" borderId="45" xfId="2" applyNumberFormat="1" applyFont="1" applyFill="1" applyBorder="1" applyAlignment="1">
      <alignment horizontal="center"/>
    </xf>
    <xf numFmtId="164" fontId="3" fillId="3" borderId="46" xfId="2" applyNumberFormat="1" applyFont="1" applyFill="1" applyBorder="1" applyAlignment="1">
      <alignment horizontal="center"/>
    </xf>
    <xf numFmtId="0" fontId="3" fillId="5" borderId="34" xfId="2" applyFont="1" applyFill="1" applyBorder="1" applyAlignment="1">
      <alignment horizontal="center"/>
    </xf>
    <xf numFmtId="165" fontId="3" fillId="3" borderId="39" xfId="2" applyNumberFormat="1" applyFont="1" applyFill="1" applyBorder="1" applyAlignment="1">
      <alignment horizontal="center"/>
    </xf>
    <xf numFmtId="164" fontId="3" fillId="3" borderId="47" xfId="2" applyNumberFormat="1" applyFont="1" applyFill="1" applyBorder="1" applyAlignment="1">
      <alignment horizontal="center"/>
    </xf>
    <xf numFmtId="164" fontId="3" fillId="2" borderId="44" xfId="2" applyNumberFormat="1" applyFont="1" applyFill="1" applyBorder="1" applyAlignment="1">
      <alignment horizontal="center"/>
    </xf>
    <xf numFmtId="164" fontId="3" fillId="2" borderId="48" xfId="2" applyNumberFormat="1" applyFont="1" applyFill="1" applyBorder="1" applyAlignment="1">
      <alignment horizontal="center"/>
    </xf>
    <xf numFmtId="164" fontId="3" fillId="2" borderId="49" xfId="2" applyNumberFormat="1" applyFont="1" applyFill="1" applyBorder="1" applyAlignment="1">
      <alignment horizontal="center"/>
    </xf>
    <xf numFmtId="164" fontId="3" fillId="3" borderId="48" xfId="2" applyNumberFormat="1" applyFont="1" applyFill="1" applyBorder="1" applyAlignment="1">
      <alignment horizontal="center"/>
    </xf>
    <xf numFmtId="164" fontId="3" fillId="2" borderId="43" xfId="2" applyNumberFormat="1" applyFont="1" applyFill="1" applyBorder="1" applyAlignment="1">
      <alignment horizontal="center"/>
    </xf>
    <xf numFmtId="0" fontId="3" fillId="5" borderId="50" xfId="2" applyFont="1" applyFill="1" applyBorder="1" applyAlignment="1">
      <alignment horizontal="center"/>
    </xf>
    <xf numFmtId="164" fontId="3" fillId="2" borderId="51" xfId="2" applyNumberFormat="1" applyFont="1" applyFill="1" applyBorder="1" applyAlignment="1">
      <alignment horizontal="center"/>
    </xf>
    <xf numFmtId="164" fontId="3" fillId="2" borderId="52" xfId="2" applyNumberFormat="1" applyFont="1" applyFill="1" applyBorder="1" applyAlignment="1">
      <alignment horizontal="center"/>
    </xf>
    <xf numFmtId="0" fontId="3" fillId="6" borderId="50" xfId="2" applyFont="1" applyFill="1" applyBorder="1" applyAlignment="1">
      <alignment horizontal="center"/>
    </xf>
    <xf numFmtId="0" fontId="3" fillId="4" borderId="50" xfId="2" applyFont="1" applyFill="1" applyBorder="1" applyAlignment="1">
      <alignment horizontal="center"/>
    </xf>
    <xf numFmtId="0" fontId="3" fillId="3" borderId="50" xfId="2" applyFont="1" applyFill="1" applyBorder="1" applyAlignment="1">
      <alignment horizontal="center"/>
    </xf>
    <xf numFmtId="0" fontId="3" fillId="3" borderId="53" xfId="2" applyFont="1" applyFill="1" applyBorder="1" applyAlignment="1">
      <alignment horizontal="center"/>
    </xf>
    <xf numFmtId="164" fontId="3" fillId="2" borderId="54" xfId="2" applyNumberFormat="1" applyFont="1" applyFill="1" applyBorder="1" applyAlignment="1">
      <alignment horizontal="center"/>
    </xf>
    <xf numFmtId="165" fontId="3" fillId="3" borderId="54" xfId="2" applyNumberFormat="1" applyFont="1" applyFill="1" applyBorder="1" applyAlignment="1">
      <alignment horizontal="center"/>
    </xf>
    <xf numFmtId="164" fontId="3" fillId="3" borderId="54" xfId="2" applyNumberFormat="1" applyFont="1" applyFill="1" applyBorder="1" applyAlignment="1">
      <alignment horizontal="center"/>
    </xf>
    <xf numFmtId="2" fontId="3" fillId="3" borderId="55" xfId="2" applyNumberFormat="1" applyFont="1" applyFill="1" applyBorder="1" applyAlignment="1">
      <alignment horizontal="center"/>
    </xf>
    <xf numFmtId="2" fontId="3" fillId="3" borderId="56" xfId="2" applyNumberFormat="1" applyFont="1" applyFill="1" applyBorder="1" applyAlignment="1">
      <alignment horizontal="center"/>
    </xf>
    <xf numFmtId="2" fontId="3" fillId="3" borderId="54" xfId="2" applyNumberFormat="1" applyFont="1" applyFill="1" applyBorder="1" applyAlignment="1">
      <alignment horizontal="center"/>
    </xf>
    <xf numFmtId="164" fontId="3" fillId="3" borderId="57" xfId="2" applyNumberFormat="1" applyFont="1" applyFill="1" applyBorder="1" applyAlignment="1">
      <alignment horizontal="center"/>
    </xf>
    <xf numFmtId="164" fontId="3" fillId="2" borderId="58" xfId="2" applyNumberFormat="1" applyFont="1" applyFill="1" applyBorder="1" applyAlignment="1">
      <alignment horizontal="center"/>
    </xf>
    <xf numFmtId="164" fontId="3" fillId="2" borderId="59" xfId="2" applyNumberFormat="1" applyFont="1" applyFill="1" applyBorder="1" applyAlignment="1">
      <alignment horizontal="center"/>
    </xf>
    <xf numFmtId="164" fontId="3" fillId="0" borderId="58" xfId="0" applyNumberFormat="1" applyFont="1" applyBorder="1" applyAlignment="1">
      <alignment horizontal="center"/>
    </xf>
    <xf numFmtId="164" fontId="3" fillId="0" borderId="54" xfId="0" applyNumberFormat="1" applyFont="1" applyBorder="1" applyAlignment="1">
      <alignment horizontal="center"/>
    </xf>
    <xf numFmtId="164" fontId="3" fillId="3" borderId="60" xfId="2" applyNumberFormat="1" applyFont="1" applyFill="1" applyBorder="1" applyAlignment="1">
      <alignment horizontal="center"/>
    </xf>
    <xf numFmtId="164" fontId="3" fillId="3" borderId="61" xfId="2" applyNumberFormat="1" applyFont="1" applyFill="1" applyBorder="1" applyAlignment="1">
      <alignment horizontal="center"/>
    </xf>
    <xf numFmtId="0" fontId="3" fillId="3" borderId="0" xfId="2" applyFont="1" applyFill="1"/>
    <xf numFmtId="0" fontId="3" fillId="3" borderId="3" xfId="2" applyFont="1" applyFill="1" applyBorder="1" applyAlignment="1">
      <alignment horizontal="center"/>
    </xf>
    <xf numFmtId="164" fontId="6" fillId="3" borderId="3" xfId="2" applyNumberFormat="1" applyFont="1" applyFill="1" applyBorder="1" applyAlignment="1">
      <alignment horizontal="center"/>
    </xf>
    <xf numFmtId="164" fontId="3" fillId="3" borderId="3" xfId="2" applyNumberFormat="1" applyFont="1" applyFill="1" applyBorder="1" applyAlignment="1">
      <alignment horizontal="center"/>
    </xf>
    <xf numFmtId="0" fontId="3" fillId="3" borderId="3" xfId="2" applyFont="1" applyFill="1" applyBorder="1"/>
    <xf numFmtId="0" fontId="3" fillId="0" borderId="0" xfId="2" applyFont="1"/>
    <xf numFmtId="0" fontId="8" fillId="0" borderId="0" xfId="2" applyFont="1"/>
    <xf numFmtId="0" fontId="9" fillId="3" borderId="0" xfId="2" applyFont="1" applyFill="1"/>
    <xf numFmtId="0" fontId="0" fillId="3" borderId="0" xfId="2" applyFont="1" applyFill="1"/>
    <xf numFmtId="0" fontId="3" fillId="3" borderId="34" xfId="2" applyFont="1" applyFill="1" applyBorder="1" applyAlignment="1">
      <alignment horizontal="center"/>
    </xf>
    <xf numFmtId="164" fontId="3" fillId="2" borderId="62" xfId="2" applyNumberFormat="1" applyFont="1" applyFill="1" applyBorder="1" applyAlignment="1">
      <alignment horizontal="center"/>
    </xf>
    <xf numFmtId="164" fontId="6" fillId="2" borderId="44" xfId="0" applyNumberFormat="1" applyFont="1" applyFill="1" applyBorder="1" applyAlignment="1">
      <alignment horizontal="center"/>
    </xf>
    <xf numFmtId="164" fontId="6" fillId="2" borderId="42" xfId="0" applyNumberFormat="1" applyFont="1" applyFill="1" applyBorder="1" applyAlignment="1">
      <alignment horizontal="center"/>
    </xf>
    <xf numFmtId="164" fontId="6" fillId="2" borderId="43" xfId="0" applyNumberFormat="1" applyFont="1" applyFill="1" applyBorder="1" applyAlignment="1">
      <alignment horizontal="center"/>
    </xf>
    <xf numFmtId="165" fontId="3" fillId="3" borderId="44" xfId="2" applyNumberFormat="1" applyFont="1" applyFill="1" applyBorder="1" applyAlignment="1">
      <alignment horizontal="center"/>
    </xf>
    <xf numFmtId="164" fontId="6" fillId="2" borderId="48" xfId="0" applyNumberFormat="1" applyFont="1" applyFill="1" applyBorder="1" applyAlignment="1">
      <alignment horizontal="center"/>
    </xf>
    <xf numFmtId="164" fontId="3" fillId="3" borderId="49" xfId="2" applyNumberFormat="1" applyFont="1" applyFill="1" applyBorder="1" applyAlignment="1">
      <alignment horizontal="center"/>
    </xf>
    <xf numFmtId="164" fontId="10" fillId="2" borderId="44" xfId="2" applyNumberFormat="1" applyFont="1" applyFill="1" applyBorder="1" applyAlignment="1">
      <alignment horizontal="center"/>
    </xf>
    <xf numFmtId="0" fontId="3" fillId="5" borderId="53" xfId="2" applyFont="1" applyFill="1" applyBorder="1" applyAlignment="1">
      <alignment horizontal="center"/>
    </xf>
    <xf numFmtId="2" fontId="3" fillId="3" borderId="58" xfId="2" applyNumberFormat="1" applyFont="1" applyFill="1" applyBorder="1" applyAlignment="1">
      <alignment horizontal="center"/>
    </xf>
    <xf numFmtId="164" fontId="3" fillId="3" borderId="63" xfId="2" applyNumberFormat="1" applyFont="1" applyFill="1" applyBorder="1" applyAlignment="1">
      <alignment horizontal="center"/>
    </xf>
    <xf numFmtId="164" fontId="3" fillId="3" borderId="9" xfId="2" applyNumberFormat="1" applyFont="1" applyFill="1" applyBorder="1" applyAlignment="1">
      <alignment horizontal="center"/>
    </xf>
    <xf numFmtId="164" fontId="3" fillId="3" borderId="59" xfId="2" applyNumberFormat="1" applyFont="1" applyFill="1" applyBorder="1" applyAlignment="1">
      <alignment horizontal="center"/>
    </xf>
    <xf numFmtId="164" fontId="3" fillId="3" borderId="64" xfId="2" applyNumberFormat="1" applyFont="1" applyFill="1" applyBorder="1" applyAlignment="1">
      <alignment horizontal="center"/>
    </xf>
    <xf numFmtId="164" fontId="3" fillId="3" borderId="65" xfId="2" applyNumberFormat="1" applyFont="1" applyFill="1" applyBorder="1" applyAlignment="1">
      <alignment horizontal="center"/>
    </xf>
    <xf numFmtId="164" fontId="3" fillId="3" borderId="0" xfId="2" applyNumberFormat="1" applyFont="1" applyFill="1" applyAlignment="1">
      <alignment horizontal="center"/>
    </xf>
    <xf numFmtId="164" fontId="3" fillId="3" borderId="3" xfId="2" applyNumberFormat="1" applyFont="1" applyFill="1" applyBorder="1"/>
    <xf numFmtId="9" fontId="1" fillId="5" borderId="23" xfId="1" applyFont="1" applyFill="1" applyBorder="1" applyAlignment="1">
      <alignment horizontal="center" vertical="top" wrapText="1"/>
    </xf>
    <xf numFmtId="164" fontId="3" fillId="2" borderId="44" xfId="0" applyNumberFormat="1" applyFont="1" applyFill="1" applyBorder="1" applyAlignment="1">
      <alignment horizontal="center"/>
    </xf>
    <xf numFmtId="164" fontId="3" fillId="2" borderId="42" xfId="0" applyNumberFormat="1" applyFont="1" applyFill="1" applyBorder="1" applyAlignment="1">
      <alignment horizontal="center"/>
    </xf>
    <xf numFmtId="164" fontId="3" fillId="2" borderId="43" xfId="0" applyNumberFormat="1" applyFont="1" applyFill="1" applyBorder="1" applyAlignment="1">
      <alignment horizontal="center"/>
    </xf>
    <xf numFmtId="164" fontId="3" fillId="2" borderId="66" xfId="2" applyNumberFormat="1" applyFont="1" applyFill="1" applyBorder="1" applyAlignment="1">
      <alignment horizontal="center"/>
    </xf>
    <xf numFmtId="164" fontId="3" fillId="2" borderId="48" xfId="0" applyNumberFormat="1" applyFont="1" applyFill="1" applyBorder="1" applyAlignment="1">
      <alignment horizontal="center"/>
    </xf>
    <xf numFmtId="164" fontId="3" fillId="2" borderId="44" xfId="0" quotePrefix="1" applyNumberFormat="1" applyFont="1" applyFill="1" applyBorder="1" applyAlignment="1">
      <alignment horizontal="center"/>
    </xf>
    <xf numFmtId="164" fontId="3" fillId="2" borderId="52" xfId="0" applyNumberFormat="1" applyFont="1" applyFill="1" applyBorder="1" applyAlignment="1">
      <alignment horizontal="center"/>
    </xf>
    <xf numFmtId="164" fontId="3" fillId="2" borderId="51" xfId="0" applyNumberFormat="1" applyFont="1" applyFill="1" applyBorder="1" applyAlignment="1">
      <alignment horizontal="center"/>
    </xf>
    <xf numFmtId="164" fontId="3" fillId="2" borderId="49" xfId="0" applyNumberFormat="1" applyFont="1" applyFill="1" applyBorder="1" applyAlignment="1">
      <alignment horizontal="center"/>
    </xf>
    <xf numFmtId="164" fontId="3" fillId="2" borderId="67" xfId="2" applyNumberFormat="1" applyFont="1" applyFill="1" applyBorder="1" applyAlignment="1">
      <alignment horizontal="center"/>
    </xf>
    <xf numFmtId="164" fontId="3" fillId="2" borderId="58" xfId="0" applyNumberFormat="1" applyFont="1" applyFill="1" applyBorder="1" applyAlignment="1">
      <alignment horizontal="center"/>
    </xf>
    <xf numFmtId="164" fontId="3" fillId="2" borderId="54" xfId="0" applyNumberFormat="1" applyFont="1" applyFill="1" applyBorder="1" applyAlignment="1">
      <alignment horizontal="center"/>
    </xf>
    <xf numFmtId="164" fontId="3" fillId="2" borderId="59" xfId="0" applyNumberFormat="1" applyFont="1" applyFill="1" applyBorder="1" applyAlignment="1">
      <alignment horizontal="center"/>
    </xf>
    <xf numFmtId="0" fontId="11" fillId="3" borderId="0" xfId="2" applyFont="1" applyFill="1"/>
    <xf numFmtId="0" fontId="11" fillId="5" borderId="0" xfId="2" applyFont="1" applyFill="1"/>
    <xf numFmtId="0" fontId="12" fillId="3" borderId="0" xfId="2" applyFont="1" applyFill="1"/>
    <xf numFmtId="164" fontId="3" fillId="2" borderId="36" xfId="2" applyNumberFormat="1" applyFont="1" applyFill="1" applyBorder="1" applyAlignment="1">
      <alignment horizontal="center"/>
    </xf>
    <xf numFmtId="164" fontId="3" fillId="3" borderId="68" xfId="2" applyNumberFormat="1" applyFont="1" applyFill="1" applyBorder="1" applyAlignment="1">
      <alignment horizontal="center"/>
    </xf>
    <xf numFmtId="164" fontId="10" fillId="2" borderId="43" xfId="2" applyNumberFormat="1" applyFont="1" applyFill="1" applyBorder="1" applyAlignment="1">
      <alignment horizontal="center"/>
    </xf>
    <xf numFmtId="164" fontId="10" fillId="2" borderId="51" xfId="2" applyNumberFormat="1" applyFont="1" applyFill="1" applyBorder="1" applyAlignment="1">
      <alignment horizontal="center"/>
    </xf>
    <xf numFmtId="164" fontId="10" fillId="2" borderId="49" xfId="2" applyNumberFormat="1" applyFont="1" applyFill="1" applyBorder="1" applyAlignment="1">
      <alignment horizontal="center"/>
    </xf>
    <xf numFmtId="164" fontId="3" fillId="7" borderId="51" xfId="2" applyNumberFormat="1" applyFont="1" applyFill="1" applyBorder="1" applyAlignment="1">
      <alignment horizontal="center"/>
    </xf>
    <xf numFmtId="164" fontId="3" fillId="3" borderId="69" xfId="2" applyNumberFormat="1" applyFont="1" applyFill="1" applyBorder="1" applyAlignment="1">
      <alignment horizontal="center"/>
    </xf>
    <xf numFmtId="164" fontId="3" fillId="3" borderId="70" xfId="2" applyNumberFormat="1" applyFont="1" applyFill="1" applyBorder="1" applyAlignment="1">
      <alignment horizontal="center"/>
    </xf>
    <xf numFmtId="164" fontId="3" fillId="3" borderId="71" xfId="2" applyNumberFormat="1" applyFont="1" applyFill="1" applyBorder="1" applyAlignment="1">
      <alignment horizontal="center"/>
    </xf>
    <xf numFmtId="0" fontId="1" fillId="3" borderId="0" xfId="2" applyFont="1" applyFill="1"/>
    <xf numFmtId="0" fontId="1" fillId="3" borderId="16" xfId="2" applyFill="1" applyBorder="1"/>
    <xf numFmtId="0" fontId="3" fillId="3" borderId="16" xfId="2" applyFont="1" applyFill="1" applyBorder="1" applyAlignment="1">
      <alignment horizontal="center"/>
    </xf>
    <xf numFmtId="0" fontId="1" fillId="0" borderId="0" xfId="2" applyBorder="1"/>
    <xf numFmtId="166" fontId="1" fillId="3" borderId="0" xfId="2" applyNumberFormat="1" applyFill="1"/>
    <xf numFmtId="0" fontId="5" fillId="3" borderId="30" xfId="2" applyFont="1" applyFill="1" applyBorder="1" applyAlignment="1">
      <alignment horizontal="center"/>
    </xf>
    <xf numFmtId="0" fontId="13" fillId="2" borderId="62" xfId="2" applyFont="1" applyFill="1" applyBorder="1" applyAlignment="1">
      <alignment horizontal="center"/>
    </xf>
    <xf numFmtId="164" fontId="3" fillId="2" borderId="72" xfId="2" applyNumberFormat="1" applyFont="1" applyFill="1" applyBorder="1" applyAlignment="1">
      <alignment horizontal="center"/>
    </xf>
    <xf numFmtId="164" fontId="3" fillId="2" borderId="68" xfId="2" applyNumberFormat="1" applyFont="1" applyFill="1" applyBorder="1" applyAlignment="1">
      <alignment horizontal="center"/>
    </xf>
    <xf numFmtId="0" fontId="13" fillId="2" borderId="73" xfId="2" applyFont="1" applyFill="1" applyBorder="1" applyAlignment="1">
      <alignment horizontal="center"/>
    </xf>
    <xf numFmtId="164" fontId="10" fillId="2" borderId="35" xfId="2" applyNumberFormat="1" applyFont="1" applyFill="1" applyBorder="1" applyAlignment="1">
      <alignment horizontal="center"/>
    </xf>
    <xf numFmtId="0" fontId="13" fillId="2" borderId="74" xfId="2" applyFont="1" applyFill="1" applyBorder="1" applyAlignment="1">
      <alignment horizontal="center"/>
    </xf>
    <xf numFmtId="164" fontId="3" fillId="3" borderId="75" xfId="2" applyNumberFormat="1" applyFont="1" applyFill="1" applyBorder="1" applyAlignment="1">
      <alignment horizontal="center"/>
    </xf>
    <xf numFmtId="0" fontId="14" fillId="3" borderId="0" xfId="2" applyFont="1" applyFill="1"/>
    <xf numFmtId="0" fontId="5" fillId="3" borderId="76" xfId="2" applyFont="1" applyFill="1" applyBorder="1" applyAlignment="1">
      <alignment horizontal="center"/>
    </xf>
    <xf numFmtId="0" fontId="5" fillId="3" borderId="77" xfId="2" applyFont="1" applyFill="1" applyBorder="1" applyAlignment="1">
      <alignment horizontal="center"/>
    </xf>
    <xf numFmtId="164" fontId="3" fillId="2" borderId="78" xfId="2" applyNumberFormat="1" applyFont="1" applyFill="1" applyBorder="1" applyAlignment="1">
      <alignment horizontal="center"/>
    </xf>
    <xf numFmtId="164" fontId="3" fillId="2" borderId="8" xfId="2" applyNumberFormat="1" applyFont="1" applyFill="1" applyBorder="1" applyAlignment="1">
      <alignment horizontal="center"/>
    </xf>
    <xf numFmtId="164" fontId="3" fillId="2" borderId="79" xfId="2" applyNumberFormat="1" applyFont="1" applyFill="1" applyBorder="1" applyAlignment="1">
      <alignment horizontal="center"/>
    </xf>
    <xf numFmtId="164" fontId="3" fillId="2" borderId="80" xfId="2" applyNumberFormat="1" applyFont="1" applyFill="1" applyBorder="1" applyAlignment="1">
      <alignment horizontal="center"/>
    </xf>
    <xf numFmtId="164" fontId="3" fillId="2" borderId="81" xfId="2" applyNumberFormat="1" applyFont="1" applyFill="1" applyBorder="1" applyAlignment="1">
      <alignment horizontal="center"/>
    </xf>
    <xf numFmtId="164" fontId="3" fillId="2" borderId="82" xfId="2" applyNumberFormat="1" applyFont="1" applyFill="1" applyBorder="1" applyAlignment="1">
      <alignment horizontal="center"/>
    </xf>
    <xf numFmtId="164" fontId="3" fillId="2" borderId="83" xfId="2" applyNumberFormat="1" applyFont="1" applyFill="1" applyBorder="1" applyAlignment="1">
      <alignment horizontal="center"/>
    </xf>
    <xf numFmtId="0" fontId="2" fillId="3" borderId="50" xfId="2" applyFont="1" applyFill="1" applyBorder="1" applyAlignment="1">
      <alignment horizontal="center"/>
    </xf>
    <xf numFmtId="0" fontId="13" fillId="2" borderId="67" xfId="2" applyFont="1" applyFill="1" applyBorder="1" applyAlignment="1">
      <alignment horizontal="center"/>
    </xf>
    <xf numFmtId="164" fontId="3" fillId="2" borderId="56" xfId="2" applyNumberFormat="1" applyFont="1" applyFill="1" applyBorder="1" applyAlignment="1">
      <alignment horizontal="center"/>
    </xf>
    <xf numFmtId="164" fontId="3" fillId="2" borderId="84" xfId="2" applyNumberFormat="1" applyFont="1" applyFill="1" applyBorder="1" applyAlignment="1">
      <alignment horizontal="center"/>
    </xf>
    <xf numFmtId="164" fontId="3" fillId="3" borderId="85" xfId="2" applyNumberFormat="1" applyFont="1" applyFill="1" applyBorder="1" applyAlignment="1">
      <alignment horizontal="center"/>
    </xf>
    <xf numFmtId="0" fontId="15" fillId="3" borderId="0" xfId="2" applyFont="1" applyFill="1"/>
    <xf numFmtId="0" fontId="3" fillId="8" borderId="62" xfId="2" applyFont="1" applyFill="1" applyBorder="1" applyAlignment="1">
      <alignment horizontal="center"/>
    </xf>
    <xf numFmtId="164" fontId="3" fillId="3" borderId="36" xfId="2" applyNumberFormat="1" applyFont="1" applyFill="1" applyBorder="1" applyAlignment="1">
      <alignment horizontal="center"/>
    </xf>
    <xf numFmtId="0" fontId="3" fillId="8" borderId="73" xfId="2" applyFont="1" applyFill="1" applyBorder="1" applyAlignment="1">
      <alignment horizontal="center"/>
    </xf>
    <xf numFmtId="0" fontId="3" fillId="8" borderId="74" xfId="2" applyFont="1" applyFill="1" applyBorder="1" applyAlignment="1">
      <alignment horizontal="center"/>
    </xf>
    <xf numFmtId="164" fontId="3" fillId="3" borderId="86" xfId="2" applyNumberFormat="1" applyFont="1" applyFill="1" applyBorder="1" applyAlignment="1">
      <alignment horizontal="center"/>
    </xf>
    <xf numFmtId="164" fontId="3" fillId="3" borderId="44" xfId="2" applyNumberFormat="1" applyFont="1" applyFill="1" applyBorder="1" applyAlignment="1">
      <alignment horizontal="center"/>
    </xf>
    <xf numFmtId="164" fontId="10" fillId="2" borderId="54" xfId="2" applyNumberFormat="1" applyFont="1" applyFill="1" applyBorder="1" applyAlignment="1">
      <alignment horizontal="center"/>
    </xf>
    <xf numFmtId="0" fontId="3" fillId="8" borderId="66" xfId="2" applyFont="1" applyFill="1" applyBorder="1" applyAlignment="1">
      <alignment horizontal="center"/>
    </xf>
    <xf numFmtId="164" fontId="3" fillId="2" borderId="87" xfId="2" applyNumberFormat="1" applyFont="1" applyFill="1" applyBorder="1" applyAlignment="1">
      <alignment horizontal="center"/>
    </xf>
    <xf numFmtId="0" fontId="3" fillId="3" borderId="0" xfId="2" applyFont="1" applyFill="1" applyBorder="1"/>
    <xf numFmtId="0" fontId="2" fillId="3" borderId="0" xfId="2" applyFont="1" applyFill="1" applyAlignment="1">
      <alignment horizontal="center"/>
    </xf>
    <xf numFmtId="0" fontId="4" fillId="3" borderId="0" xfId="2" applyFont="1" applyFill="1"/>
    <xf numFmtId="0" fontId="16" fillId="3" borderId="0" xfId="2" applyFont="1" applyFill="1" applyAlignment="1">
      <alignment horizontal="center"/>
    </xf>
    <xf numFmtId="0" fontId="17" fillId="3" borderId="0" xfId="2" applyFont="1" applyFill="1" applyAlignment="1">
      <alignment horizontal="left"/>
    </xf>
    <xf numFmtId="164" fontId="1" fillId="0" borderId="0" xfId="2" applyNumberFormat="1"/>
    <xf numFmtId="164" fontId="10" fillId="2" borderId="48" xfId="2" applyNumberFormat="1" applyFont="1" applyFill="1" applyBorder="1" applyAlignment="1">
      <alignment horizontal="center"/>
    </xf>
    <xf numFmtId="164" fontId="10" fillId="2" borderId="52" xfId="2" applyNumberFormat="1" applyFont="1" applyFill="1" applyBorder="1" applyAlignment="1">
      <alignment horizontal="center"/>
    </xf>
    <xf numFmtId="164" fontId="10" fillId="3" borderId="48" xfId="2" applyNumberFormat="1" applyFont="1" applyFill="1" applyBorder="1" applyAlignment="1">
      <alignment horizontal="center"/>
    </xf>
    <xf numFmtId="9" fontId="0" fillId="0" borderId="0" xfId="1" applyFont="1"/>
  </cellXfs>
  <cellStyles count="3">
    <cellStyle name="Normal" xfId="0" builtinId="0"/>
    <cellStyle name="Normal_01f1998a" xfId="2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Solar/so2022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irradiação solar - ano"/>
      <sheetName val="transmissão global - ano"/>
      <sheetName val="duração do brilho - ano"/>
      <sheetName val="insolação relativa - ano"/>
      <sheetName val="cálculos teóricos"/>
      <sheetName val="figura 1"/>
      <sheetName val="figura 2"/>
      <sheetName val="figura 3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I3">
            <v>13.432646455605028</v>
          </cell>
          <cell r="K3">
            <v>1.0433095476903587</v>
          </cell>
          <cell r="T3">
            <v>42.972554729067994</v>
          </cell>
        </row>
        <row r="4">
          <cell r="I4">
            <v>13.427083464038553</v>
          </cell>
          <cell r="K4">
            <v>1.0432689705391567</v>
          </cell>
          <cell r="T4">
            <v>42.957348831388643</v>
          </cell>
        </row>
        <row r="5">
          <cell r="I5">
            <v>13.420993894192648</v>
          </cell>
          <cell r="K5">
            <v>1.0432240147113081</v>
          </cell>
          <cell r="T5">
            <v>42.94007223550922</v>
          </cell>
        </row>
        <row r="6">
          <cell r="I6">
            <v>13.414382772748056</v>
          </cell>
          <cell r="K6">
            <v>1.0431745699304664</v>
          </cell>
          <cell r="T6">
            <v>42.920712814194886</v>
          </cell>
        </row>
        <row r="7">
          <cell r="I7">
            <v>13.40725552892793</v>
          </cell>
          <cell r="K7">
            <v>1.0431205173832472</v>
          </cell>
          <cell r="T7">
            <v>42.899257802114548</v>
          </cell>
        </row>
        <row r="8">
          <cell r="I8">
            <v>13.399617979654318</v>
          </cell>
          <cell r="K8">
            <v>1.0430617300197544</v>
          </cell>
          <cell r="T8">
            <v>42.875693838404729</v>
          </cell>
        </row>
        <row r="9">
          <cell r="I9">
            <v>13.391476313835456</v>
          </cell>
          <cell r="K9">
            <v>1.0429980728749551</v>
          </cell>
          <cell r="T9">
            <v>42.850007012169783</v>
          </cell>
        </row>
        <row r="10">
          <cell r="I10">
            <v>13.382837075865469</v>
          </cell>
          <cell r="K10">
            <v>1.0429294034098502</v>
          </cell>
          <cell r="T10">
            <v>42.822182910782871</v>
          </cell>
        </row>
        <row r="11">
          <cell r="I11">
            <v>13.373707148420571</v>
          </cell>
          <cell r="K11">
            <v>1.0428555718713279</v>
          </cell>
          <cell r="T11">
            <v>42.792206670842504</v>
          </cell>
        </row>
        <row r="12">
          <cell r="I12">
            <v>13.364093734637674</v>
          </cell>
          <cell r="K12">
            <v>1.0427764216695341</v>
          </cell>
          <cell r="T12">
            <v>42.760063031628945</v>
          </cell>
        </row>
        <row r="13">
          <cell r="I13">
            <v>13.354004339762858</v>
          </cell>
          <cell r="K13">
            <v>1.0426917897715424</v>
          </cell>
          <cell r="T13">
            <v>42.72573639089709</v>
          </cell>
        </row>
        <row r="14">
          <cell r="I14">
            <v>13.343446752357368</v>
          </cell>
          <cell r="K14">
            <v>1.0426015071100707</v>
          </cell>
          <cell r="T14">
            <v>42.689210862833292</v>
          </cell>
        </row>
        <row r="15">
          <cell r="I15">
            <v>13.332429025149247</v>
          </cell>
          <cell r="K15">
            <v>1.0425053990059436</v>
          </cell>
          <cell r="T15">
            <v>42.6504703379955</v>
          </cell>
        </row>
        <row r="16">
          <cell r="I16">
            <v>13.32095945561748</v>
          </cell>
          <cell r="K16">
            <v>1.0424032856029817</v>
          </cell>
          <cell r="T16">
            <v>42.609498545049341</v>
          </cell>
        </row>
        <row r="17">
          <cell r="I17">
            <v>13.309046566394962</v>
          </cell>
          <cell r="K17">
            <v>1.0422949823139649</v>
          </cell>
          <cell r="T17">
            <v>42.566279114105868</v>
          </cell>
        </row>
        <row r="18">
          <cell r="I18">
            <v>13.296699085574138</v>
          </cell>
          <cell r="K18">
            <v>1.0421803002763004</v>
          </cell>
          <cell r="T18">
            <v>42.520795641460737</v>
          </cell>
        </row>
        <row r="19">
          <cell r="I19">
            <v>13.283925926997437</v>
          </cell>
          <cell r="K19">
            <v>1.0420590468160129</v>
          </cell>
          <cell r="T19">
            <v>42.473031755529334</v>
          </cell>
        </row>
        <row r="20">
          <cell r="I20">
            <v>13.270736170611478</v>
          </cell>
          <cell r="K20">
            <v>1.0419310259186705</v>
          </cell>
          <cell r="T20">
            <v>42.422971183768496</v>
          </cell>
        </row>
        <row r="21">
          <cell r="I21">
            <v>13.257139042960983</v>
          </cell>
          <cell r="K21">
            <v>1.0417960387058549</v>
          </cell>
          <cell r="T21">
            <v>42.370597820371522</v>
          </cell>
        </row>
        <row r="22">
          <cell r="I22">
            <v>13.243143897894775</v>
          </cell>
          <cell r="K22">
            <v>1.0416538839157914</v>
          </cell>
          <cell r="T22">
            <v>42.315895794520593</v>
          </cell>
        </row>
        <row r="23">
          <cell r="I23">
            <v>13.228760197552258</v>
          </cell>
          <cell r="K23">
            <v>1.0415043583867623</v>
          </cell>
          <cell r="T23">
            <v>42.258849538979433</v>
          </cell>
        </row>
        <row r="24">
          <cell r="I24">
            <v>13.213997493694729</v>
          </cell>
          <cell r="K24">
            <v>1.0413472575419567</v>
          </cell>
          <cell r="T24">
            <v>42.199443858808038</v>
          </cell>
        </row>
        <row r="25">
          <cell r="I25">
            <v>13.198865409441321</v>
          </cell>
          <cell r="K25">
            <v>1.041182375874407</v>
          </cell>
          <cell r="T25">
            <v>42.137663999981427</v>
          </cell>
        </row>
        <row r="26">
          <cell r="I26">
            <v>13.183373621464895</v>
          </cell>
          <cell r="K26">
            <v>1.0410095074307182</v>
          </cell>
          <cell r="T26">
            <v>42.073495717695977</v>
          </cell>
        </row>
        <row r="27">
          <cell r="I27">
            <v>13.16753184269853</v>
          </cell>
          <cell r="K27">
            <v>1.0408284462923059</v>
          </cell>
          <cell r="T27">
            <v>42.006925344148755</v>
          </cell>
        </row>
        <row r="28">
          <cell r="I28">
            <v>13.151349805598334</v>
          </cell>
          <cell r="K28">
            <v>1.0406389870529105</v>
          </cell>
          <cell r="T28">
            <v>41.937939855578989</v>
          </cell>
        </row>
        <row r="29">
          <cell r="I29">
            <v>13.134837246003574</v>
          </cell>
          <cell r="K29">
            <v>1.040440925291195</v>
          </cell>
          <cell r="T29">
            <v>41.866526938364217</v>
          </cell>
        </row>
        <row r="30">
          <cell r="I30">
            <v>13.118003887630318</v>
          </cell>
          <cell r="K30">
            <v>1.0402340580372698</v>
          </cell>
          <cell r="T30">
            <v>41.792675053969653</v>
          </cell>
        </row>
        <row r="31">
          <cell r="I31">
            <v>13.100859427229913</v>
          </cell>
          <cell r="K31">
            <v>1.0400181842320544</v>
          </cell>
          <cell r="T31">
            <v>41.716373502555001</v>
          </cell>
        </row>
        <row r="32">
          <cell r="I32">
            <v>13.083413520438963</v>
          </cell>
          <cell r="K32">
            <v>1.0397931051784299</v>
          </cell>
          <cell r="T32">
            <v>41.637612485050042</v>
          </cell>
        </row>
        <row r="33">
          <cell r="I33">
            <v>13.065675768342954</v>
          </cell>
          <cell r="K33">
            <v>1.0395586249831952</v>
          </cell>
          <cell r="T33">
            <v>41.556383163518021</v>
          </cell>
        </row>
        <row r="34">
          <cell r="I34">
            <v>13.047655704771071</v>
          </cell>
          <cell r="K34">
            <v>1.0393145509889044</v>
          </cell>
          <cell r="T34">
            <v>41.472677719635314</v>
          </cell>
        </row>
        <row r="35">
          <cell r="I35">
            <v>13.029362784335678</v>
          </cell>
          <cell r="K35">
            <v>1.03906069419472</v>
          </cell>
          <cell r="T35">
            <v>41.386489411124131</v>
          </cell>
        </row>
        <row r="36">
          <cell r="I36">
            <v>13.010806371225611</v>
          </cell>
          <cell r="K36">
            <v>1.038796869665491</v>
          </cell>
          <cell r="T36">
            <v>41.297812625986587</v>
          </cell>
        </row>
        <row r="37">
          <cell r="I37">
            <v>12.991995728758745</v>
          </cell>
          <cell r="K37">
            <v>1.0385228969283236</v>
          </cell>
          <cell r="T37">
            <v>41.206642934398403</v>
          </cell>
        </row>
        <row r="38">
          <cell r="I38">
            <v>12.972940009695547</v>
          </cell>
          <cell r="K38">
            <v>1.0382386003559865</v>
          </cell>
          <cell r="T38">
            <v>41.112977138132415</v>
          </cell>
        </row>
        <row r="39">
          <cell r="I39">
            <v>12.953648247311923</v>
          </cell>
          <cell r="K39">
            <v>1.0379438095365645</v>
          </cell>
          <cell r="T39">
            <v>41.016813317393655</v>
          </cell>
        </row>
        <row r="40">
          <cell r="I40">
            <v>12.934129347226488</v>
          </cell>
          <cell r="K40">
            <v>1.037638359628839</v>
          </cell>
          <cell r="T40">
            <v>40.9181508749611</v>
          </cell>
        </row>
        <row r="41">
          <cell r="I41">
            <v>12.914392079974427</v>
          </cell>
          <cell r="K41">
            <v>1.0373220917029544</v>
          </cell>
          <cell r="T41">
            <v>40.816990577542512</v>
          </cell>
        </row>
        <row r="42">
          <cell r="I42">
            <v>12.894445074317558</v>
          </cell>
          <cell r="K42">
            <v>1.0369948530659916</v>
          </cell>
          <cell r="T42">
            <v>40.713334594263301</v>
          </cell>
        </row>
        <row r="43">
          <cell r="I43">
            <v>12.874296811277606</v>
          </cell>
          <cell r="K43">
            <v>1.0366564975721508</v>
          </cell>
          <cell r="T43">
            <v>40.607186532222627</v>
          </cell>
        </row>
        <row r="44">
          <cell r="I44">
            <v>12.853955618877693</v>
          </cell>
          <cell r="K44">
            <v>1.0363068859173084</v>
          </cell>
          <cell r="T44">
            <v>40.49855146906372</v>
          </cell>
        </row>
        <row r="45">
          <cell r="I45">
            <v>12.833429667575025</v>
          </cell>
          <cell r="K45">
            <v>1.0359458859177855</v>
          </cell>
          <cell r="T45">
            <v>40.387435982518646</v>
          </cell>
        </row>
        <row r="46">
          <cell r="I46">
            <v>12.812726966366139</v>
          </cell>
          <cell r="K46">
            <v>1.0355733727732386</v>
          </cell>
          <cell r="T46">
            <v>40.273848176901005</v>
          </cell>
        </row>
        <row r="47">
          <cell r="I47">
            <v>12.791855359544524</v>
          </cell>
          <cell r="K47">
            <v>1.0351892293136391</v>
          </cell>
          <cell r="T47">
            <v>40.157797706533401</v>
          </cell>
        </row>
        <row r="48">
          <cell r="I48">
            <v>12.770822524089397</v>
          </cell>
          <cell r="K48">
            <v>1.0347933462303829</v>
          </cell>
          <cell r="T48">
            <v>40.03929579610913</v>
          </cell>
        </row>
        <row r="49">
          <cell r="I49">
            <v>12.749635967663192</v>
          </cell>
          <cell r="K49">
            <v>1.0343856222916303</v>
          </cell>
          <cell r="T49">
            <v>39.918355258000474</v>
          </cell>
        </row>
        <row r="50">
          <cell r="I50">
            <v>12.728303027194645</v>
          </cell>
          <cell r="K50">
            <v>1.0339659645420316</v>
          </cell>
          <cell r="T50">
            <v>39.794990506538213</v>
          </cell>
        </row>
        <row r="51">
          <cell r="I51">
            <v>12.706830868023706</v>
          </cell>
          <cell r="K51">
            <v>1.0335342884870602</v>
          </cell>
          <cell r="T51">
            <v>39.669217569298148</v>
          </cell>
        </row>
        <row r="52">
          <cell r="I52">
            <v>12.685226483584112</v>
          </cell>
          <cell r="K52">
            <v>1.033090518262219</v>
          </cell>
          <cell r="T52">
            <v>39.54105409544276</v>
          </cell>
        </row>
        <row r="53">
          <cell r="I53">
            <v>12.663496695599086</v>
          </cell>
          <cell r="K53">
            <v>1.0326345867874447</v>
          </cell>
          <cell r="T53">
            <v>39.410519361176185</v>
          </cell>
        </row>
        <row r="54">
          <cell r="I54">
            <v>12.641648154765646</v>
          </cell>
          <cell r="K54">
            <v>1.032166435907075</v>
          </cell>
          <cell r="T54">
            <v>39.277634272380226</v>
          </cell>
        </row>
        <row r="55">
          <cell r="I55">
            <v>12.619687341902916</v>
          </cell>
          <cell r="K55">
            <v>1.0316860165157933</v>
          </cell>
          <cell r="T55">
            <v>39.142421364509971</v>
          </cell>
        </row>
        <row r="56">
          <cell r="I56">
            <v>12.597620569540034</v>
          </cell>
          <cell r="K56">
            <v>1.0311932886709996</v>
          </cell>
          <cell r="T56">
            <v>39.004904799834748</v>
          </cell>
        </row>
        <row r="57">
          <cell r="I57">
            <v>12.575453983919491</v>
          </cell>
          <cell r="K57">
            <v>1.0306882216920989</v>
          </cell>
          <cell r="T57">
            <v>38.865110362118791</v>
          </cell>
        </row>
        <row r="58">
          <cell r="I58">
            <v>12.553193567392162</v>
          </cell>
          <cell r="K58">
            <v>1.0301707942472205</v>
          </cell>
          <cell r="T58">
            <v>38.723065448843045</v>
          </cell>
        </row>
        <row r="59">
          <cell r="I59">
            <v>12.530845141180563</v>
          </cell>
          <cell r="K59">
            <v>1.0296409944279203</v>
          </cell>
          <cell r="T59">
            <v>38.578799061075529</v>
          </cell>
        </row>
        <row r="60">
          <cell r="I60">
            <v>12.508414368487685</v>
          </cell>
          <cell r="K60">
            <v>1.0290988198124356</v>
          </cell>
          <cell r="T60">
            <v>38.432341791103383</v>
          </cell>
        </row>
        <row r="61">
          <cell r="I61">
            <v>12.485906757928969</v>
          </cell>
          <cell r="K61">
            <v>1.0285442775180771</v>
          </cell>
          <cell r="T61">
            <v>38.283725807943732</v>
          </cell>
        </row>
        <row r="63">
          <cell r="I63">
            <v>12.463327667266025</v>
          </cell>
          <cell r="K63">
            <v>1.0279773842433713</v>
          </cell>
          <cell r="T63">
            <v>38.132984840855237</v>
          </cell>
        </row>
        <row r="64">
          <cell r="I64">
            <v>12.440682307421085</v>
          </cell>
          <cell r="K64">
            <v>1.027398166300562</v>
          </cell>
          <cell r="T64">
            <v>37.980154160973754</v>
          </cell>
        </row>
        <row r="65">
          <cell r="I65">
            <v>12.417975746751987</v>
          </cell>
          <cell r="K65">
            <v>1.0268066596390977</v>
          </cell>
          <cell r="T65">
            <v>37.825270561198415</v>
          </cell>
        </row>
        <row r="66">
          <cell r="I66">
            <v>12.395212915568337</v>
          </cell>
          <cell r="K66">
            <v>1.0262029098607273</v>
          </cell>
          <cell r="T66">
            <v>37.668372334455164</v>
          </cell>
        </row>
        <row r="67">
          <cell r="I67">
            <v>12.372398610870075</v>
          </cell>
          <cell r="K67">
            <v>1.0255869722268318</v>
          </cell>
          <cell r="T67">
            <v>37.509499250465367</v>
          </cell>
        </row>
        <row r="68">
          <cell r="I68">
            <v>12.349537501290623</v>
          </cell>
          <cell r="K68">
            <v>1.0249589116586053</v>
          </cell>
          <cell r="T68">
            <v>37.348692531146071</v>
          </cell>
        </row>
        <row r="69">
          <cell r="I69">
            <v>12.326634132227381</v>
          </cell>
          <cell r="K69">
            <v>1.0243188027306998</v>
          </cell>
          <cell r="T69">
            <v>37.185994824767818</v>
          </cell>
        </row>
        <row r="70">
          <cell r="I70">
            <v>12.303692931143221</v>
          </cell>
          <cell r="K70">
            <v>1.023666729658925</v>
          </cell>
          <cell r="T70">
            <v>37.021450178993661</v>
          </cell>
        </row>
        <row r="71">
          <cell r="I71">
            <v>12.280718213023388</v>
          </cell>
          <cell r="K71">
            <v>1.0230027862825883</v>
          </cell>
          <cell r="T71">
            <v>36.855104012919824</v>
          </cell>
        </row>
        <row r="72">
          <cell r="I72">
            <v>12.25771418597288</v>
          </cell>
          <cell r="K72">
            <v>1.0223270760420269</v>
          </cell>
          <cell r="T72">
            <v>36.687003088236096</v>
          </cell>
        </row>
        <row r="73">
          <cell r="I73">
            <v>12.234684956940034</v>
          </cell>
          <cell r="K73">
            <v>1.0216397119518779</v>
          </cell>
          <cell r="T73">
            <v>36.517195479618834</v>
          </cell>
        </row>
        <row r="74">
          <cell r="I74">
            <v>12.211634537553067</v>
          </cell>
          <cell r="K74">
            <v>1.0209408165705878</v>
          </cell>
          <cell r="T74">
            <v>36.345730544465582</v>
          </cell>
        </row>
        <row r="75">
          <cell r="I75">
            <v>12.1885668500564</v>
          </cell>
          <cell r="K75">
            <v>1.0202305219666468</v>
          </cell>
          <cell r="T75">
            <v>36.172658892075304</v>
          </cell>
        </row>
        <row r="76">
          <cell r="I76">
            <v>12.165485733334812</v>
          </cell>
          <cell r="K76">
            <v>1.0195089696819948</v>
          </cell>
          <cell r="T76">
            <v>35.998032352371688</v>
          </cell>
        </row>
        <row r="77">
          <cell r="I77">
            <v>12.142394949013712</v>
          </cell>
          <cell r="K77">
            <v>1.0187763106930137</v>
          </cell>
          <cell r="T77">
            <v>35.82190394426226</v>
          </cell>
        </row>
        <row r="78">
          <cell r="I78">
            <v>12.119298187624363</v>
          </cell>
          <cell r="K78">
            <v>1.018032705369482</v>
          </cell>
          <cell r="T78">
            <v>35.644327843718507</v>
          </cell>
        </row>
        <row r="79">
          <cell r="I79">
            <v>12.096199074823641</v>
          </cell>
          <cell r="K79">
            <v>1.0172783234318352</v>
          </cell>
          <cell r="T79">
            <v>35.465359351656311</v>
          </cell>
        </row>
        <row r="80">
          <cell r="I80">
            <v>12.073101177658092</v>
          </cell>
          <cell r="K80">
            <v>1.016513343907022</v>
          </cell>
          <cell r="T80">
            <v>35.285054861688451</v>
          </cell>
        </row>
        <row r="81">
          <cell r="I81">
            <v>12.050008010862662</v>
          </cell>
          <cell r="K81">
            <v>1.0157379550832217</v>
          </cell>
          <cell r="T81">
            <v>35.103471827814516</v>
          </cell>
        </row>
        <row r="82">
          <cell r="I82">
            <v>12.026923043184821</v>
          </cell>
          <cell r="K82">
            <v>1.0149523544636272</v>
          </cell>
          <cell r="T82">
            <v>34.920668732105412</v>
          </cell>
        </row>
        <row r="83">
          <cell r="I83">
            <v>12.003849703725068</v>
          </cell>
          <cell r="K83">
            <v>1.0141567487194687</v>
          </cell>
          <cell r="T83">
            <v>34.736705052432924</v>
          </cell>
        </row>
        <row r="84">
          <cell r="I84">
            <v>11.980791388285134</v>
          </cell>
          <cell r="K84">
            <v>1.0133513536423984</v>
          </cell>
          <cell r="T84">
            <v>34.551641230287451</v>
          </cell>
        </row>
        <row r="85">
          <cell r="I85">
            <v>11.957751465715512</v>
          </cell>
          <cell r="K85">
            <v>1.0125363940963121</v>
          </cell>
          <cell r="T85">
            <v>34.36553863871918</v>
          </cell>
        </row>
        <row r="86">
          <cell r="I86">
            <v>11.934733284254012</v>
          </cell>
          <cell r="K86">
            <v>1.011712103968645</v>
          </cell>
          <cell r="T86">
            <v>34.1784595504311</v>
          </cell>
        </row>
        <row r="87">
          <cell r="I87">
            <v>11.911740177847248</v>
          </cell>
          <cell r="K87">
            <v>1.0108787261211196</v>
          </cell>
          <cell r="T87">
            <v>33.990467106044939</v>
          </cell>
        </row>
        <row r="88">
          <cell r="I88">
            <v>11.888775472447131</v>
          </cell>
          <cell r="K88">
            <v>1.010036512339894</v>
          </cell>
          <cell r="T88">
            <v>33.801625282554461</v>
          </cell>
        </row>
        <row r="89">
          <cell r="I89">
            <v>11.865842492274421</v>
          </cell>
          <cell r="K89">
            <v>1.0091857232849979</v>
          </cell>
          <cell r="T89">
            <v>33.61199886197312</v>
          </cell>
        </row>
        <row r="90">
          <cell r="I90">
            <v>11.842944566041432</v>
          </cell>
          <cell r="K90">
            <v>1.0083266284389116</v>
          </cell>
          <cell r="T90">
            <v>33.421653400177576</v>
          </cell>
        </row>
        <row r="91">
          <cell r="I91">
            <v>11.820085033125993</v>
          </cell>
          <cell r="K91">
            <v>1.0074595060540923</v>
          </cell>
          <cell r="T91">
            <v>33.230655195941289</v>
          </cell>
        </row>
        <row r="92">
          <cell r="I92">
            <v>11.797267249688634</v>
          </cell>
          <cell r="K92">
            <v>1.0065846430992109</v>
          </cell>
          <cell r="T92">
            <v>33.03907126014785</v>
          </cell>
        </row>
        <row r="93">
          <cell r="I93">
            <v>11.774494594725017</v>
          </cell>
          <cell r="K93">
            <v>1.0057023352038255</v>
          </cell>
          <cell r="T93">
            <v>32.846969285166935</v>
          </cell>
        </row>
        <row r="94">
          <cell r="I94">
            <v>11.751770476045246</v>
          </cell>
          <cell r="K94">
            <v>1.0048128866011701</v>
          </cell>
          <cell r="T94">
            <v>32.65441761437198</v>
          </cell>
        </row>
        <row r="95">
          <cell r="I95">
            <v>11.729098336171763</v>
          </cell>
          <cell r="K95">
            <v>1.0039166100687127</v>
          </cell>
          <cell r="T95">
            <v>32.461485211773081</v>
          </cell>
        </row>
        <row r="96">
          <cell r="I96">
            <v>11.706481658147139</v>
          </cell>
          <cell r="K96">
            <v>1.003013826866084</v>
          </cell>
          <cell r="T96">
            <v>32.268241631734995</v>
          </cell>
        </row>
        <row r="97">
          <cell r="I97">
            <v>11.683923971242983</v>
          </cell>
          <cell r="K97">
            <v>1.0021048666699626</v>
          </cell>
          <cell r="T97">
            <v>32.074756988746543</v>
          </cell>
        </row>
        <row r="98">
          <cell r="I98">
            <v>11.661428856560702</v>
          </cell>
          <cell r="K98">
            <v>1.0011900675054584</v>
          </cell>
          <cell r="T98">
            <v>31.881101927204124</v>
          </cell>
        </row>
        <row r="99">
          <cell r="I99">
            <v>11.638999952514853</v>
          </cell>
          <cell r="K99">
            <v>1.0002697756735133</v>
          </cell>
          <cell r="T99">
            <v>31.687347591169619</v>
          </cell>
        </row>
        <row r="100">
          <cell r="I100">
            <v>11.616640960189132</v>
          </cell>
          <cell r="K100">
            <v>0.99934434567381758</v>
          </cell>
          <cell r="T100">
            <v>31.493565594061103</v>
          </cell>
        </row>
        <row r="101">
          <cell r="I101">
            <v>11.594355648555021</v>
          </cell>
          <cell r="K101">
            <v>0.99841414012270413</v>
          </cell>
          <cell r="T101">
            <v>31.299827988232465</v>
          </cell>
        </row>
        <row r="102">
          <cell r="I102">
            <v>11.5721478595426</v>
          </cell>
          <cell r="K102">
            <v>0.99747952966548015</v>
          </cell>
          <cell r="T102">
            <v>31.106207234397623</v>
          </cell>
        </row>
        <row r="103">
          <cell r="I103">
            <v>11.55002151295256</v>
          </cell>
          <cell r="K103">
            <v>0.99654089288262615</v>
          </cell>
          <cell r="T103">
            <v>30.912776170854091</v>
          </cell>
        </row>
        <row r="104">
          <cell r="I104">
            <v>11.527980611198263</v>
          </cell>
          <cell r="K104">
            <v>0.99559861618928736</v>
          </cell>
          <cell r="T104">
            <v>30.719607982460538</v>
          </cell>
        </row>
        <row r="105">
          <cell r="I105">
            <v>11.506029243866161</v>
          </cell>
          <cell r="K105">
            <v>0.99465309372746913</v>
          </cell>
          <cell r="T105">
            <v>30.526776169323703</v>
          </cell>
        </row>
        <row r="106">
          <cell r="I106">
            <v>11.484171592082447</v>
          </cell>
          <cell r="K106">
            <v>0.9937047272503452</v>
          </cell>
          <cell r="T106">
            <v>30.334354515150523</v>
          </cell>
        </row>
        <row r="107">
          <cell r="I107">
            <v>11.462411932673533</v>
          </cell>
          <cell r="K107">
            <v>0.99275392599807921</v>
          </cell>
          <cell r="T107">
            <v>30.142417055223362</v>
          </cell>
        </row>
        <row r="108">
          <cell r="I108">
            <v>11.440754642107416</v>
          </cell>
          <cell r="K108">
            <v>0.99180110656457066</v>
          </cell>
          <cell r="T108">
            <v>29.951038043957332</v>
          </cell>
        </row>
        <row r="109">
          <cell r="I109">
            <v>11.419204200202659</v>
          </cell>
          <cell r="K109">
            <v>0.99084669275453241</v>
          </cell>
          <cell r="T109">
            <v>29.760291922001649</v>
          </cell>
        </row>
        <row r="110">
          <cell r="I110">
            <v>11.397765193591368</v>
          </cell>
          <cell r="K110">
            <v>0.9898911154303186</v>
          </cell>
          <cell r="T110">
            <v>29.570253282849443</v>
          </cell>
        </row>
        <row r="111">
          <cell r="I111">
            <v>11.376442318922143</v>
          </cell>
          <cell r="K111">
            <v>0.98893481234793812</v>
          </cell>
          <cell r="T111">
            <v>29.380996838923444</v>
          </cell>
        </row>
        <row r="112">
          <cell r="I112">
            <v>11.355240385788584</v>
          </cell>
          <cell r="K112">
            <v>0.9879782279816971</v>
          </cell>
          <cell r="T112">
            <v>29.192597387108517</v>
          </cell>
        </row>
        <row r="113">
          <cell r="I113">
            <v>11.334164319368824</v>
          </cell>
          <cell r="K113">
            <v>0.98702181333694017</v>
          </cell>
          <cell r="T113">
            <v>29.005129773706106</v>
          </cell>
        </row>
        <row r="114">
          <cell r="I114">
            <v>11.313219162761063</v>
          </cell>
          <cell r="K114">
            <v>0.98606602575038249</v>
          </cell>
          <cell r="T114">
            <v>28.818668858789103</v>
          </cell>
        </row>
        <row r="115">
          <cell r="I115">
            <v>11.292410079000071</v>
          </cell>
          <cell r="K115">
            <v>0.98511132867754536</v>
          </cell>
          <cell r="T115">
            <v>28.633289479940686</v>
          </cell>
        </row>
        <row r="116">
          <cell r="I116">
            <v>11.27174235273929</v>
          </cell>
          <cell r="K116">
            <v>0.98415819146685024</v>
          </cell>
          <cell r="T116">
            <v>28.449066415364875</v>
          </cell>
        </row>
        <row r="117">
          <cell r="I117">
            <v>11.251221391583176</v>
          </cell>
          <cell r="K117">
            <v>0.98320708911994803</v>
          </cell>
          <cell r="T117">
            <v>28.266074346361314</v>
          </cell>
        </row>
        <row r="118">
          <cell r="I118">
            <v>11.230852727054316</v>
          </cell>
          <cell r="K118">
            <v>0.98225850203790688</v>
          </cell>
          <cell r="T118">
            <v>28.08438781916194</v>
          </cell>
        </row>
        <row r="119">
          <cell r="I119">
            <v>11.210642015179907</v>
          </cell>
          <cell r="K119">
            <v>0.98131291575291579</v>
          </cell>
          <cell r="T119">
            <v>27.904081206131991</v>
          </cell>
        </row>
        <row r="120">
          <cell r="I120">
            <v>11.190595036682291</v>
          </cell>
          <cell r="K120">
            <v>0.98037082064520997</v>
          </cell>
          <cell r="T120">
            <v>27.725228666343192</v>
          </cell>
        </row>
        <row r="121">
          <cell r="I121">
            <v>11.170717696758381</v>
          </cell>
          <cell r="K121">
            <v>0.97943271164497014</v>
          </cell>
          <cell r="T121">
            <v>27.547904105531607</v>
          </cell>
        </row>
        <row r="122">
          <cell r="I122">
            <v>11.15101602443325</v>
          </cell>
          <cell r="K122">
            <v>0.97849908791898976</v>
          </cell>
          <cell r="T122">
            <v>27.372181135458487</v>
          </cell>
        </row>
        <row r="123">
          <cell r="I123">
            <v>11.131496171473273</v>
          </cell>
          <cell r="K123">
            <v>0.97757045254197084</v>
          </cell>
          <cell r="T123">
            <v>27.198133032696809</v>
          </cell>
        </row>
        <row r="124">
          <cell r="I124">
            <v>11.112164410845079</v>
          </cell>
          <cell r="K124">
            <v>0.97664731215234668</v>
          </cell>
          <cell r="T124">
            <v>27.025832696871763</v>
          </cell>
        </row>
        <row r="125">
          <cell r="I125">
            <v>11.093027134706757</v>
          </cell>
          <cell r="K125">
            <v>0.97573017659260319</v>
          </cell>
          <cell r="T125">
            <v>26.855352608387982</v>
          </cell>
        </row>
        <row r="126">
          <cell r="I126">
            <v>11.074090851918852</v>
          </cell>
          <cell r="K126">
            <v>0.97481955853411284</v>
          </cell>
          <cell r="T126">
            <v>26.686764785681291</v>
          </cell>
        </row>
        <row r="127">
          <cell r="I127">
            <v>11.055362185063325</v>
          </cell>
          <cell r="K127">
            <v>0.97391597308657185</v>
          </cell>
          <cell r="T127">
            <v>26.520140742037025</v>
          </cell>
        </row>
        <row r="128">
          <cell r="I128">
            <v>11.036847866959667</v>
          </cell>
          <cell r="K128">
            <v>0.97301993739218018</v>
          </cell>
          <cell r="T128">
            <v>26.355551442021564</v>
          </cell>
        </row>
        <row r="129">
          <cell r="I129">
            <v>11.018554736668527</v>
          </cell>
          <cell r="K129">
            <v>0.97213197020477449</v>
          </cell>
          <cell r="T129">
            <v>26.193067257577663</v>
          </cell>
        </row>
        <row r="130">
          <cell r="I130">
            <v>11.000489734974462</v>
          </cell>
          <cell r="K130">
            <v>0.97125259145418985</v>
          </cell>
          <cell r="T130">
            <v>26.032757923837824</v>
          </cell>
        </row>
        <row r="131">
          <cell r="I131">
            <v>10.982659899340732</v>
          </cell>
          <cell r="K131">
            <v>0.97038232179618111</v>
          </cell>
          <cell r="T131">
            <v>25.874692494713734</v>
          </cell>
        </row>
        <row r="132">
          <cell r="I132">
            <v>10.965072358330648</v>
          </cell>
          <cell r="K132">
            <v>0.96952168214831635</v>
          </cell>
          <cell r="T132">
            <v>25.718939298322645</v>
          </cell>
        </row>
        <row r="133">
          <cell r="I133">
            <v>10.947734325491757</v>
          </cell>
          <cell r="K133">
            <v>0.96867119321230488</v>
          </cell>
          <cell r="T133">
            <v>25.565565892314495</v>
          </cell>
        </row>
        <row r="134">
          <cell r="I134">
            <v>10.930653092700721</v>
          </cell>
          <cell r="K134">
            <v>0.9678313749832993</v>
          </cell>
          <cell r="T134">
            <v>25.414639019166131</v>
          </cell>
        </row>
        <row r="135">
          <cell r="I135">
            <v>10.913836022969011</v>
          </cell>
          <cell r="K135">
            <v>0.96700274624676985</v>
          </cell>
          <cell r="T135">
            <v>25.26622456151059</v>
          </cell>
        </row>
        <row r="136">
          <cell r="I136">
            <v>10.897290542711382</v>
          </cell>
          <cell r="K136">
            <v>0.96618582406361775</v>
          </cell>
          <cell r="T136">
            <v>25.120387497571706</v>
          </cell>
        </row>
        <row r="137">
          <cell r="I137">
            <v>10.881024133481446</v>
          </cell>
          <cell r="K137">
            <v>0.96538112324425585</v>
          </cell>
          <cell r="T137">
            <v>24.977191856775008</v>
          </cell>
        </row>
        <row r="138">
          <cell r="I138">
            <v>10.865044323181046</v>
          </cell>
          <cell r="K138">
            <v>0.96458915581244764</v>
          </cell>
          <cell r="T138">
            <v>24.836700675606831</v>
          </cell>
        </row>
        <row r="139">
          <cell r="I139">
            <v>10.849358676752436</v>
          </cell>
          <cell r="K139">
            <v>0.96381043045975534</v>
          </cell>
          <cell r="T139">
            <v>24.698975953794339</v>
          </cell>
        </row>
        <row r="140">
          <cell r="I140">
            <v>10.833974786365069</v>
          </cell>
          <cell r="K140">
            <v>0.96304545199151148</v>
          </cell>
          <cell r="T140">
            <v>24.564078610878632</v>
          </cell>
        </row>
        <row r="141">
          <cell r="I141">
            <v>10.818900261111278</v>
          </cell>
          <cell r="K141">
            <v>0.96229472076527511</v>
          </cell>
          <cell r="T141">
            <v>24.432068443253335</v>
          </cell>
        </row>
        <row r="142">
          <cell r="I142">
            <v>10.804142716228</v>
          </cell>
          <cell r="K142">
            <v>0.96155873212279996</v>
          </cell>
          <cell r="T142">
            <v>24.3030040817398</v>
          </cell>
        </row>
        <row r="143">
          <cell r="I143">
            <v>10.78970976186449</v>
          </cell>
          <cell r="K143">
            <v>0.9608379758165817</v>
          </cell>
          <cell r="T143">
            <v>24.176942949769266</v>
          </cell>
        </row>
        <row r="144">
          <cell r="I144">
            <v>10.775608991418745</v>
          </cell>
          <cell r="K144">
            <v>0.96013293543210909</v>
          </cell>
          <cell r="T144">
            <v>24.053941222240866</v>
          </cell>
        </row>
        <row r="145">
          <cell r="I145">
            <v>10.761847969468413</v>
          </cell>
          <cell r="K145">
            <v>0.95944408780698176</v>
          </cell>
          <cell r="T145">
            <v>23.934053785122181</v>
          </cell>
        </row>
        <row r="146">
          <cell r="I146">
            <v>10.748434219324782</v>
          </cell>
          <cell r="K146">
            <v>0.95877190244810251</v>
          </cell>
          <cell r="T146">
            <v>23.81733419585737</v>
          </cell>
        </row>
        <row r="147">
          <cell r="I147">
            <v>10.735375210241287</v>
          </cell>
          <cell r="K147">
            <v>0.95811684094818839</v>
          </cell>
          <cell r="T147">
            <v>23.703834644645326</v>
          </cell>
        </row>
        <row r="148">
          <cell r="I148">
            <v>10.722678344310896</v>
          </cell>
          <cell r="K148">
            <v>0.95747935640287785</v>
          </cell>
          <cell r="T148">
            <v>23.593605916647533</v>
          </cell>
        </row>
        <row r="149">
          <cell r="I149">
            <v>10.710350943089647</v>
          </cell>
          <cell r="K149">
            <v>0.95685989282974016</v>
          </cell>
          <cell r="T149">
            <v>23.486697355182486</v>
          </cell>
        </row>
        <row r="150">
          <cell r="I150">
            <v>10.698400233986028</v>
          </cell>
          <cell r="K150">
            <v>0.95625888459052066</v>
          </cell>
          <cell r="T150">
            <v>23.38315682596054</v>
          </cell>
        </row>
        <row r="151">
          <cell r="I151">
            <v>10.686833336458804</v>
          </cell>
          <cell r="K151">
            <v>0.95567675581796974</v>
          </cell>
          <cell r="T151">
            <v>23.283030682409645</v>
          </cell>
        </row>
        <row r="152">
          <cell r="I152">
            <v>10.675657248068191</v>
          </cell>
          <cell r="K152">
            <v>0.95511391984862659</v>
          </cell>
          <cell r="T152">
            <v>23.186363732139114</v>
          </cell>
        </row>
        <row r="153">
          <cell r="I153">
            <v>10.66487883042762</v>
          </cell>
          <cell r="K153">
            <v>0.95457077866293116</v>
          </cell>
          <cell r="T153">
            <v>23.093199204585154</v>
          </cell>
        </row>
        <row r="154">
          <cell r="I154">
            <v>10.654504795105451</v>
          </cell>
          <cell r="K154">
            <v>0.95404772233404822</v>
          </cell>
          <cell r="T154">
            <v>23.003578719878121</v>
          </cell>
        </row>
        <row r="155">
          <cell r="I155">
            <v>10.64454168952793</v>
          </cell>
          <cell r="K155">
            <v>0.95354512848678641</v>
          </cell>
          <cell r="T155">
            <v>22.917542258968254</v>
          </cell>
        </row>
        <row r="156">
          <cell r="I156">
            <v>10.634995882936208</v>
          </cell>
          <cell r="K156">
            <v>0.95306336176798911</v>
          </cell>
          <cell r="T156">
            <v>22.835128135042794</v>
          </cell>
        </row>
        <row r="157">
          <cell r="I157">
            <v>10.625873552451839</v>
          </cell>
          <cell r="K157">
            <v>0.95260277332976384</v>
          </cell>
          <cell r="T157">
            <v>22.756372966264053</v>
          </cell>
        </row>
        <row r="158">
          <cell r="I158">
            <v>10.617180669306048</v>
          </cell>
          <cell r="K158">
            <v>0.95216370032690345</v>
          </cell>
          <cell r="T158">
            <v>22.681311649854528</v>
          </cell>
        </row>
        <row r="159">
          <cell r="I159">
            <v>10.608922985289027</v>
          </cell>
          <cell r="K159">
            <v>0.95174646542982722</v>
          </cell>
          <cell r="T159">
            <v>22.609977337551737</v>
          </cell>
        </row>
        <row r="160">
          <cell r="I160">
            <v>10.601106019475857</v>
          </cell>
          <cell r="K160">
            <v>0.95135137635435019</v>
          </cell>
          <cell r="T160">
            <v>22.542401412452758</v>
          </cell>
        </row>
        <row r="161">
          <cell r="I161">
            <v>10.593735045285838</v>
          </cell>
          <cell r="K161">
            <v>0.9509787254095502</v>
          </cell>
          <cell r="T161">
            <v>22.478613467264381</v>
          </cell>
        </row>
        <row r="162">
          <cell r="I162">
            <v>10.586815077931689</v>
          </cell>
          <cell r="K162">
            <v>0.95062878906497217</v>
          </cell>
          <cell r="T162">
            <v>22.418641283973457</v>
          </cell>
        </row>
        <row r="163">
          <cell r="I163">
            <v>10.580350862314617</v>
          </cell>
          <cell r="K163">
            <v>0.95030182753836612</v>
          </cell>
          <cell r="T163">
            <v>22.362510814947974</v>
          </cell>
        </row>
        <row r="164">
          <cell r="I164">
            <v>10.57434686142002</v>
          </cell>
          <cell r="K164">
            <v>0.94999808440510503</v>
          </cell>
          <cell r="T164">
            <v>22.310246165477785</v>
          </cell>
        </row>
        <row r="165">
          <cell r="I165">
            <v>10.568807245267474</v>
          </cell>
          <cell r="K165">
            <v>0.94971778623038505</v>
          </cell>
          <cell r="T165">
            <v>22.261869577761775</v>
          </cell>
        </row>
        <row r="166">
          <cell r="I166">
            <v>10.563735880466673</v>
          </cell>
          <cell r="K166">
            <v>0.94946114222524891</v>
          </cell>
          <cell r="T166">
            <v>22.217401416345737</v>
          </cell>
        </row>
        <row r="167">
          <cell r="I167">
            <v>10.559136320429129</v>
          </cell>
          <cell r="K167">
            <v>0.9492283439274154</v>
          </cell>
          <cell r="T167">
            <v>22.176860155014239</v>
          </cell>
        </row>
        <row r="168">
          <cell r="I168">
            <v>10.555011796282567</v>
          </cell>
          <cell r="K168">
            <v>0.94901956490783757</v>
          </cell>
          <cell r="T168">
            <v>22.140262365137801</v>
          </cell>
        </row>
        <row r="169">
          <cell r="I169">
            <v>10.551365208532534</v>
          </cell>
          <cell r="K169">
            <v>0.94883496050383698</v>
          </cell>
          <cell r="T169">
            <v>22.107622705475894</v>
          </cell>
        </row>
        <row r="170">
          <cell r="I170">
            <v>10.54819911951218</v>
          </cell>
          <cell r="K170">
            <v>0.9486746675795964</v>
          </cell>
          <cell r="T170">
            <v>22.078953913434933</v>
          </cell>
        </row>
        <row r="171">
          <cell r="I171">
            <v>10.545515746657909</v>
          </cell>
          <cell r="K171">
            <v>0.94853880431471793</v>
          </cell>
          <cell r="T171">
            <v>22.054266797780116</v>
          </cell>
        </row>
        <row r="172">
          <cell r="I172">
            <v>10.543316956644638</v>
          </cell>
          <cell r="K172">
            <v>0.94842747002147099</v>
          </cell>
          <cell r="T172">
            <v>22.033570232799129</v>
          </cell>
        </row>
        <row r="173">
          <cell r="I173">
            <v>10.541604260410397</v>
          </cell>
          <cell r="K173">
            <v>0.94834074499127929</v>
          </cell>
          <cell r="T173">
            <v>22.016871153915464</v>
          </cell>
        </row>
        <row r="174">
          <cell r="I174">
            <v>10.540378809095687</v>
          </cell>
          <cell r="K174">
            <v>0.94827869037091239</v>
          </cell>
          <cell r="T174">
            <v>22.004174554749007</v>
          </cell>
        </row>
        <row r="175">
          <cell r="I175">
            <v>10.539641390918483</v>
          </cell>
          <cell r="K175">
            <v>0.94824134806875726</v>
          </cell>
          <cell r="T175">
            <v>21.995483485621605</v>
          </cell>
        </row>
        <row r="176">
          <cell r="I176">
            <v>10.539392429001008</v>
          </cell>
          <cell r="K176">
            <v>0.94822874069146967</v>
          </cell>
          <cell r="T176">
            <v>21.990799053505</v>
          </cell>
        </row>
        <row r="177">
          <cell r="I177">
            <v>10.539631980159754</v>
          </cell>
          <cell r="K177">
            <v>0.9482408715112014</v>
          </cell>
          <cell r="T177">
            <v>21.990120423409326</v>
          </cell>
        </row>
        <row r="178">
          <cell r="I178">
            <v>10.540359734665067</v>
          </cell>
          <cell r="K178">
            <v>0.94827772446352887</v>
          </cell>
          <cell r="T178">
            <v>21.993444821210002</v>
          </cell>
        </row>
        <row r="179">
          <cell r="I179">
            <v>10.541575016971914</v>
          </cell>
          <cell r="K179">
            <v>0.94833926417610326</v>
          </cell>
          <cell r="T179">
            <v>22.000767537911535</v>
          </cell>
        </row>
        <row r="180">
          <cell r="I180">
            <v>10.543276787418177</v>
          </cell>
          <cell r="K180">
            <v>0.94842543602796126</v>
          </cell>
          <cell r="T180">
            <v>22.012081935346771</v>
          </cell>
        </row>
        <row r="181">
          <cell r="I181">
            <v>10.545463644882119</v>
          </cell>
          <cell r="K181">
            <v>0.94853616623934689</v>
          </cell>
          <cell r="T181">
            <v>22.027379453310431</v>
          </cell>
        </row>
        <row r="182">
          <cell r="I182">
            <v>10.548133830385645</v>
          </cell>
          <cell r="K182">
            <v>0.94867136199179813</v>
          </cell>
          <cell r="T182">
            <v>22.046649618125883</v>
          </cell>
        </row>
        <row r="183">
          <cell r="I183">
            <v>10.551285231625181</v>
          </cell>
          <cell r="K183">
            <v>0.94883091157817412</v>
          </cell>
          <cell r="T183">
            <v>22.069880052644166</v>
          </cell>
        </row>
        <row r="184">
          <cell r="I184">
            <v>10.554915388407521</v>
          </cell>
          <cell r="K184">
            <v>0.94901468458220362</v>
          </cell>
          <cell r="T184">
            <v>22.097056487674202</v>
          </cell>
        </row>
        <row r="185">
          <cell r="I185">
            <v>10.559021498963354</v>
          </cell>
          <cell r="K185">
            <v>0.94922253208705598</v>
          </cell>
          <cell r="T185">
            <v>22.12816277484286</v>
          </cell>
        </row>
        <row r="186">
          <cell r="I186">
            <v>10.563600427107158</v>
          </cell>
          <cell r="K186">
            <v>0.94945428691235023</v>
          </cell>
          <cell r="T186">
            <v>22.16318090088307</v>
          </cell>
        </row>
        <row r="187">
          <cell r="I187">
            <v>10.568648710207977</v>
          </cell>
          <cell r="K187">
            <v>0.94970976387893824</v>
          </cell>
          <cell r="T187">
            <v>22.20209100334764</v>
          </cell>
        </row>
        <row r="188">
          <cell r="I188">
            <v>10.57416256793211</v>
          </cell>
          <cell r="K188">
            <v>0.9499887601007182</v>
          </cell>
          <cell r="T188">
            <v>22.244871387745548</v>
          </cell>
        </row>
        <row r="189">
          <cell r="I189">
            <v>10.580137911715219</v>
          </cell>
          <cell r="K189">
            <v>0.95029105530266378</v>
          </cell>
          <cell r="T189">
            <v>22.291498546096314</v>
          </cell>
        </row>
        <row r="190">
          <cell r="I190">
            <v>10.586570354918337</v>
          </cell>
          <cell r="K190">
            <v>0.95061641216417903</v>
          </cell>
          <cell r="T190">
            <v>22.341947176896817</v>
          </cell>
        </row>
        <row r="191">
          <cell r="I191">
            <v>10.593455223619625</v>
          </cell>
          <cell r="K191">
            <v>0.95096457668682222</v>
          </cell>
          <cell r="T191">
            <v>22.396190206493252</v>
          </cell>
        </row>
        <row r="192">
          <cell r="I192">
            <v>10.600787567991276</v>
          </cell>
          <cell r="K192">
            <v>0.95133527858537681</v>
          </cell>
          <cell r="T192">
            <v>22.454198811849096</v>
          </cell>
        </row>
        <row r="193">
          <cell r="I193">
            <v>10.608562174209084</v>
          </cell>
          <cell r="K193">
            <v>0.95172823170119347</v>
          </cell>
          <cell r="T193">
            <v>22.515942444697764</v>
          </cell>
        </row>
        <row r="194">
          <cell r="I194">
            <v>10.616773576840487</v>
          </cell>
          <cell r="K194">
            <v>0.95214313443666077</v>
          </cell>
          <cell r="T194">
            <v>22.581388857066401</v>
          </cell>
        </row>
        <row r="195">
          <cell r="I195">
            <v>10.625416071655851</v>
          </cell>
          <cell r="K195">
            <v>0.95257967020962231</v>
          </cell>
          <cell r="T195">
            <v>22.650504128154459</v>
          </cell>
        </row>
        <row r="196">
          <cell r="I196">
            <v>10.634483728806718</v>
          </cell>
          <cell r="K196">
            <v>0.95303750792650499</v>
          </cell>
          <cell r="T196">
            <v>22.723252692547995</v>
          </cell>
        </row>
        <row r="197">
          <cell r="I197">
            <v>10.643970406314452</v>
          </cell>
          <cell r="K197">
            <v>0.95351630247288299</v>
          </cell>
          <cell r="T197">
            <v>22.79959736974741</v>
          </cell>
        </row>
        <row r="198">
          <cell r="I198">
            <v>10.653869763812521</v>
          </cell>
          <cell r="K198">
            <v>0.95401569522016727</v>
          </cell>
          <cell r="T198">
            <v>22.879499394983263</v>
          </cell>
        </row>
        <row r="199">
          <cell r="I199">
            <v>10.664175276485974</v>
          </cell>
          <cell r="K199">
            <v>0.95453531454708007</v>
          </cell>
          <cell r="T199">
            <v>22.962918451291131</v>
          </cell>
        </row>
        <row r="200">
          <cell r="I200">
            <v>10.674880249152137</v>
          </cell>
          <cell r="K200">
            <v>0.95507477637454152</v>
          </cell>
          <cell r="T200">
            <v>23.049812702813032</v>
          </cell>
        </row>
        <row r="201">
          <cell r="I201">
            <v>10.685977830427753</v>
          </cell>
          <cell r="K201">
            <v>0.9556336847125847</v>
          </cell>
          <cell r="T201">
            <v>23.140138829289349</v>
          </cell>
        </row>
        <row r="202">
          <cell r="I202">
            <v>10.69746102692859</v>
          </cell>
          <cell r="K202">
            <v>0.95621163221789329</v>
          </cell>
          <cell r="T202">
            <v>23.233852061700922</v>
          </cell>
        </row>
        <row r="203">
          <cell r="I203">
            <v>10.709322717449501</v>
          </cell>
          <cell r="K203">
            <v>0.95680820076054496</v>
          </cell>
          <cell r="T203">
            <v>23.330906219017812</v>
          </cell>
        </row>
        <row r="204">
          <cell r="I204">
            <v>10.721555667074277</v>
          </cell>
          <cell r="K204">
            <v>0.95742296199854815</v>
          </cell>
          <cell r="T204">
            <v>23.431253746006767</v>
          </cell>
        </row>
        <row r="205">
          <cell r="I205">
            <v>10.734152541166916</v>
          </cell>
          <cell r="K205">
            <v>0.95805547795874668</v>
          </cell>
          <cell r="T205">
            <v>23.534845752045989</v>
          </cell>
        </row>
        <row r="206">
          <cell r="I206">
            <v>10.747105919197939</v>
          </cell>
          <cell r="K206">
            <v>0.9587053016226873</v>
          </cell>
          <cell r="T206">
            <v>23.641632050891843</v>
          </cell>
        </row>
        <row r="207">
          <cell r="I207">
            <v>10.760408308361818</v>
          </cell>
          <cell r="K207">
            <v>0.95937197751604364</v>
          </cell>
          <cell r="T207">
            <v>23.751561201338504</v>
          </cell>
        </row>
        <row r="208">
          <cell r="I208">
            <v>10.774052156944194</v>
          </cell>
          <cell r="K208">
            <v>0.96005504230021532</v>
          </cell>
          <cell r="T208">
            <v>23.864580548707934</v>
          </cell>
        </row>
        <row r="209">
          <cell r="I209">
            <v>10.788029867400006</v>
          </cell>
          <cell r="K209">
            <v>0.96075402536473475</v>
          </cell>
          <cell r="T209">
            <v>23.980636267104472</v>
          </cell>
        </row>
        <row r="210">
          <cell r="I210">
            <v>10.802333809106663</v>
          </cell>
          <cell r="K210">
            <v>0.96146844941914744</v>
          </cell>
          <cell r="T210">
            <v>24.099673402364708</v>
          </cell>
        </row>
        <row r="211">
          <cell r="I211">
            <v>10.81695633075898</v>
          </cell>
          <cell r="K211">
            <v>0.96219783108305346</v>
          </cell>
          <cell r="T211">
            <v>24.221635915630831</v>
          </cell>
        </row>
        <row r="212">
          <cell r="I212">
            <v>10.831889772375648</v>
          </cell>
          <cell r="K212">
            <v>0.96294168147303771</v>
          </cell>
          <cell r="T212">
            <v>24.346466727472635</v>
          </cell>
        </row>
        <row r="213">
          <cell r="I213">
            <v>10.84712647688978</v>
          </cell>
          <cell r="K213">
            <v>0.96369950678525729</v>
          </cell>
          <cell r="T213">
            <v>24.474107762481303</v>
          </cell>
        </row>
        <row r="214">
          <cell r="I214">
            <v>10.86265880129913</v>
          </cell>
          <cell r="K214">
            <v>0.96447080887248837</v>
          </cell>
          <cell r="T214">
            <v>24.60449999425596</v>
          </cell>
        </row>
        <row r="215">
          <cell r="I215">
            <v>10.87847912735425</v>
          </cell>
          <cell r="K215">
            <v>0.96525508581449126</v>
          </cell>
          <cell r="T215">
            <v>24.7375834907022</v>
          </cell>
        </row>
        <row r="216">
          <cell r="I216">
            <v>10.894579871765924</v>
          </cell>
          <cell r="K216">
            <v>0.96605183248059556</v>
          </cell>
          <cell r="T216">
            <v>24.873297459560863</v>
          </cell>
        </row>
        <row r="217">
          <cell r="I217">
            <v>10.910953495915864</v>
          </cell>
          <cell r="K217">
            <v>0.96686054108346287</v>
          </cell>
          <cell r="T217">
            <v>25.01158029408397</v>
          </cell>
        </row>
        <row r="218">
          <cell r="I218">
            <v>10.927592515057382</v>
          </cell>
          <cell r="K218">
            <v>0.96768070172304144</v>
          </cell>
          <cell r="T218">
            <v>25.152369618774994</v>
          </cell>
        </row>
        <row r="219">
          <cell r="I219">
            <v>10.944489506995499</v>
          </cell>
          <cell r="K219">
            <v>0.96851180291978101</v>
          </cell>
          <cell r="T219">
            <v>25.295602335109727</v>
          </cell>
        </row>
        <row r="220">
          <cell r="I220">
            <v>10.961637120238258</v>
          </cell>
          <cell r="K220">
            <v>0.96935333213624431</v>
          </cell>
          <cell r="T220">
            <v>25.441214667155272</v>
          </cell>
        </row>
        <row r="221">
          <cell r="I221">
            <v>10.979028081613723</v>
          </cell>
          <cell r="K221">
            <v>0.9702047762863053</v>
          </cell>
          <cell r="T221">
            <v>25.589142207004898</v>
          </cell>
        </row>
        <row r="222">
          <cell r="I222">
            <v>10.996655203349142</v>
          </cell>
          <cell r="K222">
            <v>0.97106562223120196</v>
          </cell>
          <cell r="T222">
            <v>25.7393199599484</v>
          </cell>
        </row>
        <row r="223">
          <cell r="I223">
            <v>11.014511389611176</v>
          </cell>
          <cell r="K223">
            <v>0.97193535726175861</v>
          </cell>
          <cell r="T223">
            <v>25.891682389298744</v>
          </cell>
        </row>
        <row r="224">
          <cell r="I224">
            <v>11.032589642507965</v>
          </cell>
          <cell r="K224">
            <v>0.97281346956618042</v>
          </cell>
          <cell r="T224">
            <v>26.046163460798493</v>
          </cell>
        </row>
        <row r="225">
          <cell r="I225">
            <v>11.050883067555807</v>
          </cell>
          <cell r="K225">
            <v>0.97369944868287672</v>
          </cell>
          <cell r="T225">
            <v>26.202696686531851</v>
          </cell>
        </row>
        <row r="226">
          <cell r="I226">
            <v>11.069384878614876</v>
          </cell>
          <cell r="K226">
            <v>0.97459278593784082</v>
          </cell>
          <cell r="T226">
            <v>26.361215168271393</v>
          </cell>
        </row>
        <row r="227">
          <cell r="I227">
            <v>11.088088402300205</v>
          </cell>
          <cell r="K227">
            <v>0.97549297486618836</v>
          </cell>
          <cell r="T227">
            <v>26.521651640191784</v>
          </cell>
        </row>
        <row r="228">
          <cell r="I228">
            <v>11.106987081875399</v>
          </cell>
          <cell r="K228">
            <v>0.97639951161751659</v>
          </cell>
          <cell r="T228">
            <v>26.683938510886904</v>
          </cell>
        </row>
        <row r="229">
          <cell r="I229">
            <v>11.126074480638078</v>
          </cell>
          <cell r="K229">
            <v>0.97731189534482377</v>
          </cell>
          <cell r="T229">
            <v>26.848007904630741</v>
          </cell>
        </row>
        <row r="230">
          <cell r="I230">
            <v>11.145344284807122</v>
          </cell>
          <cell r="K230">
            <v>0.97822962857678464</v>
          </cell>
          <cell r="T230">
            <v>27.01379170182711</v>
          </cell>
        </row>
        <row r="231">
          <cell r="I231">
            <v>11.16479030592296</v>
          </cell>
          <cell r="K231">
            <v>0.97915221757325832</v>
          </cell>
          <cell r="T231">
            <v>27.181221578598191</v>
          </cell>
        </row>
        <row r="232">
          <cell r="I232">
            <v>11.184406482772879</v>
          </cell>
          <cell r="K232">
            <v>0.98007917266395439</v>
          </cell>
          <cell r="T232">
            <v>27.350229045466691</v>
          </cell>
        </row>
        <row r="233">
          <cell r="I233">
            <v>11.204186882854412</v>
          </cell>
          <cell r="K233">
            <v>0.98101000857026255</v>
          </cell>
          <cell r="T233">
            <v>27.520745485092121</v>
          </cell>
        </row>
        <row r="234">
          <cell r="I234">
            <v>11.224125703390222</v>
          </cell>
          <cell r="K234">
            <v>0.98194424471029895</v>
          </cell>
          <cell r="T234">
            <v>27.692702189027393</v>
          </cell>
        </row>
        <row r="235">
          <cell r="I235">
            <v>11.244217271908742</v>
          </cell>
          <cell r="K235">
            <v>0.98288140548729619</v>
          </cell>
          <cell r="T235">
            <v>27.866030393466986</v>
          </cell>
        </row>
        <row r="236">
          <cell r="I236">
            <v>11.264456046405073</v>
          </cell>
          <cell r="K236">
            <v>0.98382102056150911</v>
          </cell>
          <cell r="T236">
            <v>28.040661313965174</v>
          </cell>
        </row>
        <row r="237">
          <cell r="I237">
            <v>11.284836615097095</v>
          </cell>
          <cell r="K237">
            <v>0.98476262510587231</v>
          </cell>
          <cell r="T237">
            <v>28.216526179107174</v>
          </cell>
        </row>
        <row r="238">
          <cell r="I238">
            <v>11.30535369579199</v>
          </cell>
          <cell r="K238">
            <v>0.98570576004569876</v>
          </cell>
          <cell r="T238">
            <v>28.393556263123799</v>
          </cell>
        </row>
        <row r="239">
          <cell r="I239">
            <v>11.326002134878424</v>
          </cell>
          <cell r="K239">
            <v>0.98664997228275131</v>
          </cell>
          <cell r="T239">
            <v>28.571682917445187</v>
          </cell>
        </row>
        <row r="240">
          <cell r="I240">
            <v>11.346776905959914</v>
          </cell>
          <cell r="K240">
            <v>0.98759481490407497</v>
          </cell>
          <cell r="T240">
            <v>28.750837601195709</v>
          </cell>
        </row>
        <row r="241">
          <cell r="I241">
            <v>11.367673108144633</v>
          </cell>
          <cell r="K241">
            <v>0.98853984737601885</v>
          </cell>
          <cell r="T241">
            <v>28.930951910638235</v>
          </cell>
        </row>
        <row r="242">
          <cell r="I242">
            <v>11.388685964007152</v>
          </cell>
          <cell r="K242">
            <v>0.98948463572391299</v>
          </cell>
          <cell r="T242">
            <v>29.111957607581996</v>
          </cell>
        </row>
        <row r="243">
          <cell r="I243">
            <v>11.409810817237096</v>
          </cell>
          <cell r="K243">
            <v>0.99042875269791231</v>
          </cell>
          <cell r="T243">
            <v>29.29378664677364</v>
          </cell>
        </row>
        <row r="244">
          <cell r="I244">
            <v>11.431043129989952</v>
          </cell>
          <cell r="K244">
            <v>0.99137177792554487</v>
          </cell>
          <cell r="T244">
            <v>29.476371202297315</v>
          </cell>
        </row>
        <row r="245">
          <cell r="I245">
            <v>11.452378479954556</v>
          </cell>
          <cell r="K245">
            <v>0.9923132980515369</v>
          </cell>
          <cell r="T245">
            <v>29.659643693014726</v>
          </cell>
        </row>
        <row r="246">
          <cell r="I246">
            <v>11.473812557151932</v>
          </cell>
          <cell r="K246">
            <v>0.99325290686551726</v>
          </cell>
          <cell r="T246">
            <v>29.843536807081268</v>
          </cell>
        </row>
        <row r="247">
          <cell r="I247">
            <v>11.495341160479503</v>
          </cell>
          <cell r="K247">
            <v>0.99419020541821523</v>
          </cell>
          <cell r="T247">
            <v>30.02798352557965</v>
          </cell>
        </row>
        <row r="248">
          <cell r="I248">
            <v>11.516960194014535</v>
          </cell>
          <cell r="K248">
            <v>0.99512480212680143</v>
          </cell>
          <cell r="T248">
            <v>30.21291714531624</v>
          </cell>
        </row>
        <row r="249">
          <cell r="I249">
            <v>11.538665663090258</v>
          </cell>
          <cell r="K249">
            <v>0.99605631287002294</v>
          </cell>
          <cell r="T249">
            <v>30.398271300830679</v>
          </cell>
        </row>
        <row r="250">
          <cell r="I250">
            <v>11.560453670157653</v>
          </cell>
          <cell r="K250">
            <v>0.99698436107380495</v>
          </cell>
          <cell r="T250">
            <v>30.583979985672055</v>
          </cell>
        </row>
        <row r="251">
          <cell r="I251">
            <v>11.582320410445583</v>
          </cell>
          <cell r="K251">
            <v>0.99790857778799535</v>
          </cell>
          <cell r="T251">
            <v>30.769977572999139</v>
          </cell>
        </row>
        <row r="252">
          <cell r="I252">
            <v>11.604262167431463</v>
          </cell>
          <cell r="K252">
            <v>0.99882860175493227</v>
          </cell>
          <cell r="T252">
            <v>30.956198835564976</v>
          </cell>
        </row>
        <row r="253">
          <cell r="I253">
            <v>11.626275308134208</v>
          </cell>
          <cell r="K253">
            <v>0.99974407947051991</v>
          </cell>
          <cell r="T253">
            <v>31.142578965148473</v>
          </cell>
        </row>
        <row r="254">
          <cell r="I254">
            <v>11.648356278240907</v>
          </cell>
          <cell r="K254">
            <v>1.0006546652384873</v>
          </cell>
          <cell r="T254">
            <v>31.329053591497956</v>
          </cell>
        </row>
        <row r="255">
          <cell r="I255">
            <v>11.670501597078111</v>
          </cell>
          <cell r="K255">
            <v>1.0015600212185085</v>
          </cell>
          <cell r="T255">
            <v>31.515558800853107</v>
          </cell>
        </row>
        <row r="256">
          <cell r="I256">
            <v>11.692707852438252</v>
          </cell>
          <cell r="K256">
            <v>1.0024598174688395</v>
          </cell>
          <cell r="T256">
            <v>31.702031154112685</v>
          </cell>
        </row>
        <row r="257">
          <cell r="I257">
            <v>11.714971695271378</v>
          </cell>
          <cell r="K257">
            <v>1.0033537319841259</v>
          </cell>
          <cell r="T257">
            <v>31.888407704716052</v>
          </cell>
        </row>
        <row r="258">
          <cell r="I258">
            <v>11.737289834251907</v>
          </cell>
          <cell r="K258">
            <v>1.0042414507290078</v>
          </cell>
          <cell r="T258">
            <v>32.074626016306389</v>
          </cell>
        </row>
        <row r="259">
          <cell r="I259">
            <v>11.759659030229781</v>
          </cell>
          <cell r="K259">
            <v>1.0051226676681373</v>
          </cell>
          <cell r="T259">
            <v>32.260624180242964</v>
          </cell>
        </row>
        <row r="260">
          <cell r="I260">
            <v>11.782076090575021</v>
          </cell>
          <cell r="K260">
            <v>1.0059970847931912</v>
          </cell>
          <cell r="T260">
            <v>32.446340833028621</v>
          </cell>
        </row>
        <row r="261">
          <cell r="I261">
            <v>11.804537863424434</v>
          </cell>
          <cell r="K261">
            <v>1.0068644121474433</v>
          </cell>
          <cell r="T261">
            <v>32.63171517371709</v>
          </cell>
        </row>
        <row r="262">
          <cell r="I262">
            <v>11.827041231838793</v>
          </cell>
          <cell r="K262">
            <v>1.0077243678484233</v>
          </cell>
          <cell r="T262">
            <v>32.816686981362338</v>
          </cell>
        </row>
        <row r="263">
          <cell r="I263">
            <v>11.849583107878678</v>
          </cell>
          <cell r="K263">
            <v>1.0085766781091658</v>
          </cell>
          <cell r="T263">
            <v>33.001196632569247</v>
          </cell>
        </row>
        <row r="264">
          <cell r="I264">
            <v>11.872160426606762</v>
          </cell>
          <cell r="K264">
            <v>1.0094210772585084</v>
          </cell>
          <cell r="T264">
            <v>33.185185119202401</v>
          </cell>
        </row>
        <row r="265">
          <cell r="I265">
            <v>11.894770140024326</v>
          </cell>
          <cell r="K265">
            <v>1.0102573077608699</v>
          </cell>
          <cell r="T265">
            <v>33.368594066304397</v>
          </cell>
        </row>
        <row r="266">
          <cell r="I266">
            <v>11.917409210949348</v>
          </cell>
          <cell r="K266">
            <v>1.0110851202358924</v>
          </cell>
          <cell r="T266">
            <v>33.551365750272652</v>
          </cell>
        </row>
        <row r="267">
          <cell r="I267">
            <v>11.940074606843586</v>
          </cell>
          <cell r="K267">
            <v>1.0119042734782999</v>
          </cell>
          <cell r="T267">
            <v>33.733443117336968</v>
          </cell>
        </row>
        <row r="268">
          <cell r="I268">
            <v>11.962763293595893</v>
          </cell>
          <cell r="K268">
            <v>1.0127145344782673</v>
          </cell>
          <cell r="T268">
            <v>33.914769802376469</v>
          </cell>
        </row>
        <row r="269">
          <cell r="I269">
            <v>11.985472229268808</v>
          </cell>
          <cell r="K269">
            <v>1.0135156784425661</v>
          </cell>
          <cell r="T269">
            <v>34.095290148107495</v>
          </cell>
        </row>
        <row r="270">
          <cell r="I270">
            <v>12.008198357815731</v>
          </cell>
          <cell r="K270">
            <v>1.0143074888166961</v>
          </cell>
          <cell r="T270">
            <v>34.274949224668816</v>
          </cell>
        </row>
        <row r="271">
          <cell r="I271">
            <v>12.030938602775587</v>
          </cell>
          <cell r="K271">
            <v>1.0150897573081683</v>
          </cell>
          <cell r="T271">
            <v>34.453692849623536</v>
          </cell>
        </row>
        <row r="272">
          <cell r="I272">
            <v>12.053689860952399</v>
          </cell>
          <cell r="K272">
            <v>1.0158622839110589</v>
          </cell>
          <cell r="T272">
            <v>34.631467608390317</v>
          </cell>
        </row>
        <row r="273">
          <cell r="I273">
            <v>12.076448996086873</v>
          </cell>
          <cell r="K273">
            <v>1.0166248769318984</v>
          </cell>
          <cell r="T273">
            <v>34.808220875109512</v>
          </cell>
        </row>
        <row r="274">
          <cell r="I274">
            <v>12.099212832527423</v>
          </cell>
          <cell r="K274">
            <v>1.0173773530169188</v>
          </cell>
          <cell r="T274">
            <v>34.983900833942378</v>
          </cell>
        </row>
        <row r="275">
          <cell r="I275">
            <v>12.121978148908402</v>
          </cell>
          <cell r="K275">
            <v>1.0181195371806306</v>
          </cell>
          <cell r="T275">
            <v>35.158456500793754</v>
          </cell>
        </row>
        <row r="276">
          <cell r="I276">
            <v>12.144741671843036</v>
          </cell>
          <cell r="K276">
            <v>1.018851262835645</v>
          </cell>
          <cell r="T276">
            <v>35.331837745441064</v>
          </cell>
        </row>
        <row r="277">
          <cell r="I277">
            <v>12.167500069639472</v>
          </cell>
          <cell r="K277">
            <v>1.01957237182362</v>
          </cell>
          <cell r="T277">
            <v>35.503995314044545</v>
          </cell>
        </row>
        <row r="278">
          <cell r="I278">
            <v>12.190249946048064</v>
          </cell>
          <cell r="K278">
            <v>1.020282714447148</v>
          </cell>
          <cell r="T278">
            <v>35.67488085200516</v>
          </cell>
        </row>
        <row r="279">
          <cell r="I279">
            <v>12.212987834048798</v>
          </cell>
          <cell r="K279">
            <v>1.0209821495023679</v>
          </cell>
          <cell r="T279">
            <v>35.84444692712988</v>
          </cell>
        </row>
        <row r="280">
          <cell r="I280">
            <v>12.235710189687937</v>
          </cell>
          <cell r="K280">
            <v>1.0216705443120255</v>
          </cell>
          <cell r="T280">
            <v>36.012647053054536</v>
          </cell>
        </row>
        <row r="281">
          <cell r="I281">
            <v>12.25841338597343</v>
          </cell>
          <cell r="K281">
            <v>1.0223477747586711</v>
          </cell>
          <cell r="T281">
            <v>36.179435712867594</v>
          </cell>
        </row>
        <row r="282">
          <cell r="I282">
            <v>12.281093706839203</v>
          </cell>
          <cell r="K282">
            <v>1.0230137253176346</v>
          </cell>
          <cell r="T282">
            <v>36.344768382870527</v>
          </cell>
        </row>
        <row r="283">
          <cell r="I283">
            <v>12.303747341188917</v>
          </cell>
          <cell r="K283">
            <v>1.0236682890893776</v>
          </cell>
          <cell r="T283">
            <v>36.508601556402283</v>
          </cell>
        </row>
        <row r="284">
          <cell r="I284">
            <v>12.326370377030226</v>
          </cell>
          <cell r="K284">
            <v>1.0243113678307814</v>
          </cell>
          <cell r="T284">
            <v>36.670892767648695</v>
          </cell>
        </row>
        <row r="285">
          <cell r="I285">
            <v>12.348958795711455</v>
          </cell>
          <cell r="K285">
            <v>1.0249428719848979</v>
          </cell>
          <cell r="T285">
            <v>36.831600615350567</v>
          </cell>
        </row>
        <row r="286">
          <cell r="I286">
            <v>12.371508466272868</v>
          </cell>
          <cell r="K286">
            <v>1.025562720708646</v>
          </cell>
          <cell r="T286">
            <v>36.990684786317473</v>
          </cell>
        </row>
        <row r="287">
          <cell r="I287">
            <v>12.394015139925731</v>
          </cell>
          <cell r="K287">
            <v>1.0261708418979132</v>
          </cell>
          <cell r="T287">
            <v>37.148106078648368</v>
          </cell>
        </row>
        <row r="288">
          <cell r="I288">
            <v>12.416474444672822</v>
          </cell>
          <cell r="K288">
            <v>1.0267671722094867</v>
          </cell>
          <cell r="T288">
            <v>37.303826424554515</v>
          </cell>
        </row>
        <row r="289">
          <cell r="I289">
            <v>12.438881880084809</v>
          </cell>
          <cell r="K289">
            <v>1.0273516570792156</v>
          </cell>
          <cell r="T289">
            <v>37.457808912674437</v>
          </cell>
        </row>
        <row r="290">
          <cell r="I290">
            <v>12.461232812247786</v>
          </cell>
          <cell r="K290">
            <v>1.0279242507357855</v>
          </cell>
          <cell r="T290">
            <v>37.610017809767371</v>
          </cell>
        </row>
        <row r="291">
          <cell r="I291">
            <v>12.483522468897803</v>
          </cell>
          <cell r="K291">
            <v>1.0284849162094551</v>
          </cell>
          <cell r="T291">
            <v>37.760418581666087</v>
          </cell>
        </row>
        <row r="292">
          <cell r="I292">
            <v>12.505745934759188</v>
          </cell>
          <cell r="K292">
            <v>1.0290336253351089</v>
          </cell>
          <cell r="T292">
            <v>37.908977913368176</v>
          </cell>
        </row>
        <row r="293">
          <cell r="I293">
            <v>12.527898147104127</v>
          </cell>
          <cell r="K293">
            <v>1.0295703587489491</v>
          </cell>
          <cell r="T293">
            <v>38.055663728141198</v>
          </cell>
        </row>
        <row r="294">
          <cell r="I294">
            <v>12.549973891551732</v>
          </cell>
          <cell r="K294">
            <v>1.0300951058781556</v>
          </cell>
          <cell r="T294">
            <v>38.200445205516317</v>
          </cell>
        </row>
        <row r="295">
          <cell r="I295">
            <v>12.571967798125707</v>
          </cell>
          <cell r="K295">
            <v>1.0306078649228301</v>
          </cell>
          <cell r="T295">
            <v>38.34329279804254</v>
          </cell>
        </row>
        <row r="296">
          <cell r="I296">
            <v>12.593874337590313</v>
          </cell>
          <cell r="K296">
            <v>1.0311086428295455</v>
          </cell>
          <cell r="T296">
            <v>38.484178246675384</v>
          </cell>
        </row>
        <row r="297">
          <cell r="I297">
            <v>12.615687818085217</v>
          </cell>
          <cell r="K297">
            <v>1.0315974552558274</v>
          </cell>
          <cell r="T297">
            <v>38.623074594672374</v>
          </cell>
        </row>
        <row r="298">
          <cell r="I298">
            <v>12.637402382080378</v>
          </cell>
          <cell r="K298">
            <v>1.0320743265248982</v>
          </cell>
          <cell r="T298">
            <v>38.759956199870359</v>
          </cell>
        </row>
        <row r="299">
          <cell r="I299">
            <v>12.65901200367289</v>
          </cell>
          <cell r="K299">
            <v>1.032539289570032</v>
          </cell>
          <cell r="T299">
            <v>38.894798745221976</v>
          </cell>
        </row>
        <row r="300">
          <cell r="I300">
            <v>12.680510486248172</v>
          </cell>
          <cell r="K300">
            <v>1.0329923858678827</v>
          </cell>
          <cell r="T300">
            <v>39.027579247470733</v>
          </cell>
        </row>
        <row r="301">
          <cell r="I301">
            <v>12.701891460528639</v>
          </cell>
          <cell r="K301">
            <v>1.0334336653601741</v>
          </cell>
          <cell r="T301">
            <v>39.158276063849144</v>
          </cell>
        </row>
        <row r="302">
          <cell r="I302">
            <v>12.723148383033188</v>
          </cell>
          <cell r="K302">
            <v>1.03386318636316</v>
          </cell>
          <cell r="T302">
            <v>39.286868896688745</v>
          </cell>
        </row>
        <row r="303">
          <cell r="I303">
            <v>12.744274534971474</v>
          </cell>
          <cell r="K303">
            <v>1.0342810154643007</v>
          </cell>
          <cell r="T303">
            <v>39.413338795836367</v>
          </cell>
        </row>
        <row r="304">
          <cell r="I304">
            <v>12.765263021597068</v>
          </cell>
          <cell r="K304">
            <v>1.034687227405628</v>
          </cell>
          <cell r="T304">
            <v>39.537668158777905</v>
          </cell>
        </row>
        <row r="305">
          <cell r="I305">
            <v>12.786106772043812</v>
          </cell>
          <cell r="K305">
            <v>1.0350819049533166</v>
          </cell>
          <cell r="T305">
            <v>39.659840728377716</v>
          </cell>
        </row>
        <row r="306">
          <cell r="I306">
            <v>12.806798539669806</v>
          </cell>
          <cell r="K306">
            <v>1.0354651387530205</v>
          </cell>
          <cell r="T306">
            <v>39.779841588149978</v>
          </cell>
        </row>
        <row r="307">
          <cell r="I307">
            <v>12.82733090293323</v>
          </cell>
          <cell r="K307">
            <v>1.0358370271705748</v>
          </cell>
          <cell r="T307">
            <v>39.897657154987527</v>
          </cell>
        </row>
        <row r="308">
          <cell r="I308">
            <v>12.847696266824101</v>
          </cell>
          <cell r="K308">
            <v>1.0361976761177196</v>
          </cell>
          <cell r="T308">
            <v>40.013275169282224</v>
          </cell>
        </row>
        <row r="309">
          <cell r="I309">
            <v>12.867886864875677</v>
          </cell>
          <cell r="K309">
            <v>1.0365471988625521</v>
          </cell>
          <cell r="T309">
            <v>40.126684682382106</v>
          </cell>
        </row>
        <row r="310">
          <cell r="I310">
            <v>12.887894761778501</v>
          </cell>
          <cell r="K310">
            <v>1.0368857158244706</v>
          </cell>
          <cell r="T310">
            <v>40.237876041340378</v>
          </cell>
        </row>
        <row r="311">
          <cell r="I311">
            <v>12.907711856619468</v>
          </cell>
          <cell r="K311">
            <v>1.0372133543534348</v>
          </cell>
          <cell r="T311">
            <v>40.346840870923295</v>
          </cell>
        </row>
        <row r="312">
          <cell r="I312">
            <v>12.927329886767305</v>
          </cell>
          <cell r="K312">
            <v>1.0375302484934286</v>
          </cell>
          <cell r="T312">
            <v>40.453572052854859</v>
          </cell>
        </row>
        <row r="313">
          <cell r="I313">
            <v>12.946740432424651</v>
          </cell>
          <cell r="K313">
            <v>1.0378365387300734</v>
          </cell>
          <cell r="T313">
            <v>40.558063702289274</v>
          </cell>
        </row>
        <row r="314">
          <cell r="I314">
            <v>12.965934921865541</v>
          </cell>
          <cell r="K314">
            <v>1.0381323717224153</v>
          </cell>
          <cell r="T314">
            <v>40.660311141513574</v>
          </cell>
        </row>
        <row r="315">
          <cell r="I315">
            <v>12.984904637375484</v>
          </cell>
          <cell r="K315">
            <v>1.0384179000189673</v>
          </cell>
          <cell r="T315">
            <v>40.76031087089649</v>
          </cell>
        </row>
        <row r="316">
          <cell r="I316">
            <v>13.003640721909486</v>
          </cell>
          <cell r="K316">
            <v>1.0386932817581682</v>
          </cell>
          <cell r="T316">
            <v>40.858060537111371</v>
          </cell>
        </row>
        <row r="317">
          <cell r="I317">
            <v>13.022134186481196</v>
          </cell>
          <cell r="K317">
            <v>1.0389586803534896</v>
          </cell>
          <cell r="T317">
            <v>40.95355889867507</v>
          </cell>
        </row>
        <row r="318">
          <cell r="I318">
            <v>13.040375918294128</v>
          </cell>
          <cell r="K318">
            <v>1.0392142641634872</v>
          </cell>
          <cell r="T318">
            <v>41.046805788856631</v>
          </cell>
        </row>
        <row r="319">
          <cell r="I319">
            <v>13.058356689623087</v>
          </cell>
          <cell r="K319">
            <v>1.0394602061471769</v>
          </cell>
          <cell r="T319">
            <v>41.137802076023092</v>
          </cell>
        </row>
        <row r="320">
          <cell r="I320">
            <v>13.076067167451267</v>
          </cell>
          <cell r="K320">
            <v>1.0396966835051891</v>
          </cell>
          <cell r="T320">
            <v>41.226549621502578</v>
          </cell>
        </row>
        <row r="321">
          <cell r="I321">
            <v>13.093497923865337</v>
          </cell>
          <cell r="K321">
            <v>1.0399238773072104</v>
          </cell>
          <cell r="T321">
            <v>41.31305123505652</v>
          </cell>
        </row>
        <row r="322">
          <cell r="I322">
            <v>13.110639447207307</v>
          </cell>
          <cell r="K322">
            <v>1.0401419721063272</v>
          </cell>
          <cell r="T322">
            <v>41.397310628066037</v>
          </cell>
        </row>
        <row r="323">
          <cell r="I323">
            <v>13.127482153978651</v>
          </cell>
          <cell r="K323">
            <v>1.0403511555409204</v>
          </cell>
          <cell r="T323">
            <v>41.479332364548611</v>
          </cell>
        </row>
        <row r="324">
          <cell r="I324">
            <v>13.144016401488095</v>
          </cell>
          <cell r="K324">
            <v>1.0405516179248628</v>
          </cell>
          <cell r="T324">
            <v>41.559121810132794</v>
          </cell>
        </row>
        <row r="325">
          <cell r="I325">
            <v>13.160232501230519</v>
          </cell>
          <cell r="K325">
            <v>1.0407435518268184</v>
          </cell>
          <cell r="T325">
            <v>41.636685079129691</v>
          </cell>
        </row>
        <row r="326">
          <cell r="I326">
            <v>13.176120732980356</v>
          </cell>
          <cell r="K326">
            <v>1.0409271516395178</v>
          </cell>
          <cell r="T326">
            <v>41.712028979849315</v>
          </cell>
        </row>
        <row r="327">
          <cell r="I327">
            <v>13.191671359578162</v>
          </cell>
          <cell r="K327">
            <v>1.0411026131399503</v>
          </cell>
          <cell r="T327">
            <v>41.785160958320809</v>
          </cell>
        </row>
        <row r="328">
          <cell r="I328">
            <v>13.206874642384781</v>
          </cell>
          <cell r="K328">
            <v>1.0412701330414673</v>
          </cell>
          <cell r="T328">
            <v>41.856089040582916</v>
          </cell>
        </row>
        <row r="329">
          <cell r="I329">
            <v>13.221720857372709</v>
          </cell>
          <cell r="K329">
            <v>1.0414299085388574</v>
          </cell>
          <cell r="T329">
            <v>41.924821773720296</v>
          </cell>
        </row>
        <row r="330">
          <cell r="I330">
            <v>13.236200311819495</v>
          </cell>
          <cell r="K330">
            <v>1.0415821368474991</v>
          </cell>
          <cell r="T330">
            <v>41.991368165827453</v>
          </cell>
        </row>
        <row r="331">
          <cell r="I331">
            <v>13.250303361563352</v>
          </cell>
          <cell r="K331">
            <v>1.0417270147377604</v>
          </cell>
          <cell r="T331">
            <v>42.055737625089591</v>
          </cell>
        </row>
        <row r="332">
          <cell r="I332">
            <v>13.264020428776165</v>
          </cell>
          <cell r="K332">
            <v>1.0418647380658455</v>
          </cell>
          <cell r="T332">
            <v>42.117939898174072</v>
          </cell>
        </row>
        <row r="333">
          <cell r="I333">
            <v>13.277342020204403</v>
          </cell>
          <cell r="K333">
            <v>1.0419955013023439</v>
          </cell>
          <cell r="T333">
            <v>42.17798500813155</v>
          </cell>
        </row>
        <row r="334">
          <cell r="I334">
            <v>13.290258745823692</v>
          </cell>
          <cell r="K334">
            <v>1.0421194970597658</v>
          </cell>
          <cell r="T334">
            <v>42.235883192008956</v>
          </cell>
        </row>
        <row r="335">
          <cell r="I335">
            <v>13.302761337848288</v>
          </cell>
          <cell r="K335">
            <v>1.0422369156203868</v>
          </cell>
          <cell r="T335">
            <v>42.291644838379867</v>
          </cell>
        </row>
        <row r="336">
          <cell r="I336">
            <v>13.314840670031995</v>
          </cell>
          <cell r="K336">
            <v>1.0423479444657391</v>
          </cell>
          <cell r="T336">
            <v>42.345280424998855</v>
          </cell>
        </row>
        <row r="337">
          <cell r="I337">
            <v>13.326487777193289</v>
          </cell>
          <cell r="K337">
            <v>1.0424527678091269</v>
          </cell>
          <cell r="T337">
            <v>42.396800456787844</v>
          </cell>
        </row>
        <row r="338">
          <cell r="I338">
            <v>13.33769387489302</v>
          </cell>
          <cell r="K338">
            <v>1.0425515661325413</v>
          </cell>
          <cell r="T338">
            <v>42.446215404362263</v>
          </cell>
        </row>
        <row r="339">
          <cell r="I339">
            <v>13.348450379189718</v>
          </cell>
          <cell r="K339">
            <v>1.0426445157293678</v>
          </cell>
          <cell r="T339">
            <v>42.493535643303574</v>
          </cell>
        </row>
        <row r="340">
          <cell r="I340">
            <v>13.358748926394169</v>
          </cell>
          <cell r="K340">
            <v>1.0427317882542817</v>
          </cell>
          <cell r="T340">
            <v>42.538771394383659</v>
          </cell>
        </row>
        <row r="341">
          <cell r="I341">
            <v>13.368581392741991</v>
          </cell>
          <cell r="K341">
            <v>1.0428135502817324</v>
          </cell>
          <cell r="T341">
            <v>42.581932664942727</v>
          </cell>
        </row>
        <row r="342">
          <cell r="I342">
            <v>13.37793991390074</v>
          </cell>
          <cell r="K342">
            <v>1.042889962874388</v>
          </cell>
          <cell r="T342">
            <v>42.623029191619999</v>
          </cell>
        </row>
        <row r="343">
          <cell r="I343">
            <v>13.386816904225913</v>
          </cell>
          <cell r="K343">
            <v>1.042961181162926</v>
          </cell>
          <cell r="T343">
            <v>42.66207038463164</v>
          </cell>
        </row>
        <row r="344">
          <cell r="I344">
            <v>13.395205075679121</v>
          </cell>
          <cell r="K344">
            <v>1.0430273539385098</v>
          </cell>
          <cell r="T344">
            <v>42.699065273785024</v>
          </cell>
        </row>
        <row r="345">
          <cell r="I345">
            <v>13.40309745632074</v>
          </cell>
          <cell r="K345">
            <v>1.0430886232592806</v>
          </cell>
          <cell r="T345">
            <v>42.734022456413641</v>
          </cell>
        </row>
        <row r="346">
          <cell r="I346">
            <v>13.410487408289292</v>
          </cell>
          <cell r="K346">
            <v>1.0431451240721528</v>
          </cell>
          <cell r="T346">
            <v>42.766950047409651</v>
          </cell>
        </row>
        <row r="347">
          <cell r="I347">
            <v>13.417368645180208</v>
          </cell>
          <cell r="K347">
            <v>1.0431969838511672</v>
          </cell>
          <cell r="T347">
            <v>42.797855631524406</v>
          </cell>
        </row>
        <row r="348">
          <cell r="I348">
            <v>13.423735248737781</v>
          </cell>
          <cell r="K348">
            <v>1.0432443222536116</v>
          </cell>
          <cell r="T348">
            <v>42.826746218100261</v>
          </cell>
        </row>
        <row r="349">
          <cell r="I349">
            <v>13.429581684775858</v>
          </cell>
          <cell r="K349">
            <v>1.043287250795065</v>
          </cell>
          <cell r="T349">
            <v>42.853628198387739</v>
          </cell>
        </row>
        <row r="350">
          <cell r="I350">
            <v>13.434902818245344</v>
          </cell>
          <cell r="K350">
            <v>1.043325872544469</v>
          </cell>
          <cell r="T350">
            <v>42.878507305594937</v>
          </cell>
        </row>
        <row r="351">
          <cell r="I351">
            <v>13.439693927369586</v>
          </cell>
          <cell r="K351">
            <v>1.0433602818402716</v>
          </cell>
          <cell r="T351">
            <v>42.901388577805832</v>
          </cell>
        </row>
        <row r="352">
          <cell r="I352">
            <v>13.443950716772623</v>
          </cell>
          <cell r="K352">
            <v>1.043390564028623</v>
          </cell>
          <cell r="T352">
            <v>42.922276323896114</v>
          </cell>
        </row>
        <row r="353">
          <cell r="I353">
            <v>13.447669329529568</v>
          </cell>
          <cell r="K353">
            <v>1.0434167952245224</v>
          </cell>
          <cell r="T353">
            <v>42.941174092563962</v>
          </cell>
        </row>
        <row r="354">
          <cell r="I354">
            <v>13.450846358073472</v>
          </cell>
          <cell r="K354">
            <v>1.0434390420967636</v>
          </cell>
          <cell r="T354">
            <v>42.958084644584673</v>
          </cell>
        </row>
        <row r="355">
          <cell r="I355">
            <v>13.453478853898625</v>
          </cell>
          <cell r="K355">
            <v>1.0434573616774252</v>
          </cell>
          <cell r="T355">
            <v>42.973009928386787</v>
          </cell>
        </row>
        <row r="356">
          <cell r="I356">
            <v>13.455564336006312</v>
          </cell>
          <cell r="K356">
            <v>1.0434718011965771</v>
          </cell>
          <cell r="T356">
            <v>42.985951059037113</v>
          </cell>
        </row>
        <row r="357">
          <cell r="I357">
            <v>13.457100798045776</v>
          </cell>
          <cell r="K357">
            <v>1.0434823979428147</v>
          </cell>
          <cell r="T357">
            <v>42.996908300711738</v>
          </cell>
        </row>
        <row r="358">
          <cell r="I358">
            <v>13.458086714110046</v>
          </cell>
          <cell r="K358">
            <v>1.0434891791500842</v>
          </cell>
          <cell r="T358">
            <v>43.005881052718408</v>
          </cell>
        </row>
        <row r="359">
          <cell r="I359">
            <v>13.458521043153825</v>
          </cell>
          <cell r="K359">
            <v>1.0434921619112543</v>
          </cell>
          <cell r="T359">
            <v>43.012867839125683</v>
          </cell>
        </row>
        <row r="360">
          <cell r="I360">
            <v>13.458403232008276</v>
          </cell>
          <cell r="K360">
            <v>1.0434913531187173</v>
          </cell>
          <cell r="T360">
            <v>43.017866302041909</v>
          </cell>
        </row>
        <row r="361">
          <cell r="I361">
            <v>13.457733216975646</v>
          </cell>
          <cell r="K361">
            <v>1.0434867494322762</v>
          </cell>
          <cell r="T361">
            <v>43.020873198576822</v>
          </cell>
        </row>
        <row r="362">
          <cell r="I362">
            <v>13.456511423994518</v>
          </cell>
          <cell r="K362">
            <v>1.0434783372744176</v>
          </cell>
          <cell r="T362">
            <v>43.021884401506568</v>
          </cell>
        </row>
        <row r="363">
          <cell r="I363">
            <v>13.454738767374977</v>
          </cell>
          <cell r="K363">
            <v>1.0434660928530486</v>
          </cell>
          <cell r="T363">
            <v>43.020894903651737</v>
          </cell>
        </row>
        <row r="364">
          <cell r="I364">
            <v>13.45241664711107</v>
          </cell>
          <cell r="K364">
            <v>1.0434499822115912</v>
          </cell>
          <cell r="T364">
            <v>43.017898825966327</v>
          </cell>
        </row>
        <row r="365">
          <cell r="I365">
            <v>13.449546944786</v>
          </cell>
          <cell r="K365">
            <v>1.0434299613063189</v>
          </cell>
          <cell r="T365">
            <v>43.012889429324311</v>
          </cell>
        </row>
        <row r="366">
          <cell r="I366">
            <v>13.446132018093639</v>
          </cell>
          <cell r="K366">
            <v>1.0434059761106758</v>
          </cell>
          <cell r="T366">
            <v>43.005859129978646</v>
          </cell>
        </row>
        <row r="367">
          <cell r="I367">
            <v>13.44217469400769</v>
          </cell>
          <cell r="K367">
            <v>1.0433779627462227</v>
          </cell>
          <cell r="T367">
            <v>42.996799518656061</v>
          </cell>
        </row>
        <row r="368">
          <cell r="I368">
            <v>13.437678260637247</v>
          </cell>
          <cell r="K368">
            <v>1.0433458476398019</v>
          </cell>
          <cell r="T368">
            <v>42.985701383239665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0"/>
  <sheetViews>
    <sheetView tabSelected="1"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0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8" t="s">
        <v>3</v>
      </c>
      <c r="V2" s="3"/>
      <c r="W2" s="3"/>
      <c r="X2" s="3"/>
      <c r="Y2" s="3"/>
      <c r="Z2" s="3"/>
      <c r="AA2" s="3"/>
      <c r="AB2" s="3"/>
    </row>
    <row r="3" spans="1:28" ht="18" customHeight="1">
      <c r="A3" s="3"/>
      <c r="B3" s="8" t="s">
        <v>4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8" t="s">
        <v>6</v>
      </c>
      <c r="V3" s="9"/>
      <c r="W3" s="6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39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55">
        <v>1</v>
      </c>
      <c r="B9" s="56">
        <v>23.8</v>
      </c>
      <c r="C9" s="57">
        <f>'[1]cálculos teóricos'!K3</f>
        <v>1.0433095476903587</v>
      </c>
      <c r="D9" s="58">
        <f>IF(B9&gt;0,B9*C9*14.25*1.022,-999)</f>
        <v>361.62287862736719</v>
      </c>
      <c r="E9" s="59">
        <f>IF(B9&gt;0,D9*4.1868/100,-999)</f>
        <v>15.14042668237061</v>
      </c>
      <c r="F9" s="60">
        <f>IF(B9&gt;0,(7.86+1.25*D9)*4.1868/100,-999)</f>
        <v>19.254615832963264</v>
      </c>
      <c r="G9" s="61">
        <f>'[1]cálculos teóricos'!T3</f>
        <v>42.972554729067994</v>
      </c>
      <c r="H9" s="62">
        <f>IF(B9&gt;0,100*F9/G9,-999)</f>
        <v>44.80677482257957</v>
      </c>
      <c r="I9" s="63"/>
      <c r="J9" s="63"/>
      <c r="K9" s="63">
        <v>0.4</v>
      </c>
      <c r="L9" s="63">
        <v>0.2</v>
      </c>
      <c r="M9" s="63">
        <v>0.2</v>
      </c>
      <c r="N9" s="63">
        <v>0.6</v>
      </c>
      <c r="O9" s="64">
        <v>1</v>
      </c>
      <c r="P9" s="65">
        <v>0.1</v>
      </c>
      <c r="Q9" s="66">
        <v>0.8</v>
      </c>
      <c r="R9" s="66">
        <v>0.3</v>
      </c>
      <c r="S9" s="66"/>
      <c r="T9" s="66"/>
      <c r="U9" s="66"/>
      <c r="V9" s="64"/>
      <c r="W9" s="67">
        <f t="shared" ref="W9:W40" si="0">SUM(I9:O9)</f>
        <v>2.4</v>
      </c>
      <c r="X9" s="68">
        <f>SUM(P9:V9)</f>
        <v>1.2</v>
      </c>
      <c r="Y9" s="69">
        <f>W9+X9</f>
        <v>3.5999999999999996</v>
      </c>
      <c r="Z9" s="70">
        <f>'[1]cálculos teóricos'!I3</f>
        <v>13.432646455605028</v>
      </c>
      <c r="AA9" s="71">
        <f>100*Y9/Z9</f>
        <v>26.800377810121184</v>
      </c>
      <c r="AB9" s="3"/>
    </row>
    <row r="10" spans="1:28" ht="18" customHeight="1">
      <c r="A10" s="72">
        <v>2</v>
      </c>
      <c r="B10" s="56">
        <v>24.7</v>
      </c>
      <c r="C10" s="73">
        <f>'[1]cálculos teóricos'!K4</f>
        <v>1.0432689705391567</v>
      </c>
      <c r="D10" s="58">
        <f>IF(B10&gt;0,B10*C10*14.25*1.022,-999)</f>
        <v>375.28309701544111</v>
      </c>
      <c r="E10" s="59">
        <f>IF(B10&gt;0,D10*4.1868/100,-999)</f>
        <v>15.712352705842488</v>
      </c>
      <c r="F10" s="60">
        <f>IF(B10&gt;0,(7.86+1.25*D10)*4.1868/100,-999)</f>
        <v>19.969523362303111</v>
      </c>
      <c r="G10" s="61">
        <f>'[1]cálculos teóricos'!T4</f>
        <v>42.957348831388643</v>
      </c>
      <c r="H10" s="74">
        <f>IF(B10&gt;0,100*F10/G10,-999)</f>
        <v>46.486861749046106</v>
      </c>
      <c r="I10" s="56"/>
      <c r="J10" s="75"/>
      <c r="K10" s="75"/>
      <c r="L10" s="75">
        <v>0.9</v>
      </c>
      <c r="M10" s="75">
        <v>0.2</v>
      </c>
      <c r="N10" s="75">
        <v>0.6</v>
      </c>
      <c r="O10" s="76">
        <v>0.6</v>
      </c>
      <c r="P10" s="65">
        <v>1</v>
      </c>
      <c r="Q10" s="66">
        <v>0.6</v>
      </c>
      <c r="R10" s="66">
        <v>0.9</v>
      </c>
      <c r="S10" s="66">
        <v>0.1</v>
      </c>
      <c r="T10" s="66"/>
      <c r="U10" s="66"/>
      <c r="V10" s="77"/>
      <c r="W10" s="67">
        <f t="shared" si="0"/>
        <v>2.3000000000000003</v>
      </c>
      <c r="X10" s="68">
        <f t="shared" ref="X10:X39" si="1">SUM(P10:V10)</f>
        <v>2.6</v>
      </c>
      <c r="Y10" s="78">
        <f t="shared" ref="Y10:Y39" si="2">W10+X10</f>
        <v>4.9000000000000004</v>
      </c>
      <c r="Z10" s="70">
        <f>'[1]cálculos teóricos'!I4</f>
        <v>13.427083464038553</v>
      </c>
      <c r="AA10" s="71">
        <f t="shared" ref="AA10:AA39" si="3">100*Y10/Z10</f>
        <v>36.493405385641324</v>
      </c>
      <c r="AB10" s="3"/>
    </row>
    <row r="11" spans="1:28" ht="18" customHeight="1">
      <c r="A11" s="72">
        <v>3</v>
      </c>
      <c r="B11" s="56">
        <v>21.1</v>
      </c>
      <c r="C11" s="73">
        <f>'[1]cálculos teóricos'!K5</f>
        <v>1.0432240147113081</v>
      </c>
      <c r="D11" s="58">
        <f t="shared" ref="D11:D39" si="4">IF(B11&gt;0,B11*C11*14.25*1.022,-999)</f>
        <v>320.57215099703569</v>
      </c>
      <c r="E11" s="59">
        <f t="shared" ref="E11:E39" si="5">IF(B11&gt;0,D11*4.1868/100,-999)</f>
        <v>13.421714817943888</v>
      </c>
      <c r="F11" s="60">
        <f t="shared" ref="F11:F39" si="6">IF(B11&gt;0,(7.86+1.25*D11)*4.1868/100,-999)</f>
        <v>17.106226002429864</v>
      </c>
      <c r="G11" s="61">
        <f>'[1]cálculos teóricos'!T5</f>
        <v>42.94007223550922</v>
      </c>
      <c r="H11" s="74">
        <f t="shared" ref="H11:H39" si="7">IF(B11&gt;0,100*F11/G11,-999)</f>
        <v>39.837441140315313</v>
      </c>
      <c r="I11" s="56"/>
      <c r="J11" s="75">
        <v>0.1</v>
      </c>
      <c r="K11" s="75">
        <v>0.1</v>
      </c>
      <c r="L11" s="75">
        <v>0.9</v>
      </c>
      <c r="M11" s="75">
        <v>0.6</v>
      </c>
      <c r="N11" s="75">
        <v>1</v>
      </c>
      <c r="O11" s="76">
        <v>1</v>
      </c>
      <c r="P11" s="65">
        <v>0.6</v>
      </c>
      <c r="Q11" s="66"/>
      <c r="R11" s="66"/>
      <c r="S11" s="66"/>
      <c r="T11" s="66"/>
      <c r="U11" s="66"/>
      <c r="V11" s="77"/>
      <c r="W11" s="67">
        <f t="shared" si="0"/>
        <v>3.7</v>
      </c>
      <c r="X11" s="68">
        <f t="shared" si="1"/>
        <v>0.6</v>
      </c>
      <c r="Y11" s="78">
        <f t="shared" si="2"/>
        <v>4.3</v>
      </c>
      <c r="Z11" s="70">
        <f>'[1]cálculos teóricos'!I5</f>
        <v>13.420993894192648</v>
      </c>
      <c r="AA11" s="71">
        <f t="shared" si="3"/>
        <v>32.03935590687243</v>
      </c>
      <c r="AB11" s="3"/>
    </row>
    <row r="12" spans="1:28" ht="18" customHeight="1">
      <c r="A12" s="72">
        <v>4</v>
      </c>
      <c r="B12" s="56">
        <v>16.8</v>
      </c>
      <c r="C12" s="73">
        <f>'[1]cálculos teóricos'!K6</f>
        <v>1.0431745699304664</v>
      </c>
      <c r="D12" s="58">
        <f t="shared" si="4"/>
        <v>255.2301838662635</v>
      </c>
      <c r="E12" s="59">
        <f t="shared" si="5"/>
        <v>10.685977338112721</v>
      </c>
      <c r="F12" s="60">
        <f t="shared" si="6"/>
        <v>13.6865541526409</v>
      </c>
      <c r="G12" s="61">
        <f>'[1]cálculos teóricos'!T6</f>
        <v>42.920712814194886</v>
      </c>
      <c r="H12" s="74">
        <f t="shared" si="7"/>
        <v>31.887993593886527</v>
      </c>
      <c r="I12" s="56"/>
      <c r="J12" s="75">
        <v>0.5</v>
      </c>
      <c r="K12" s="75">
        <v>0.5</v>
      </c>
      <c r="L12" s="75">
        <v>0.7</v>
      </c>
      <c r="M12" s="75">
        <v>0.2</v>
      </c>
      <c r="N12" s="75">
        <v>1</v>
      </c>
      <c r="O12" s="76">
        <v>0.5</v>
      </c>
      <c r="P12" s="79"/>
      <c r="Q12" s="75"/>
      <c r="R12" s="75"/>
      <c r="S12" s="75"/>
      <c r="T12" s="75"/>
      <c r="U12" s="66"/>
      <c r="V12" s="77"/>
      <c r="W12" s="67">
        <f t="shared" si="0"/>
        <v>3.4</v>
      </c>
      <c r="X12" s="68">
        <f t="shared" si="1"/>
        <v>0</v>
      </c>
      <c r="Y12" s="78">
        <f t="shared" si="2"/>
        <v>3.4</v>
      </c>
      <c r="Z12" s="70">
        <f>'[1]cálculos teóricos'!I6</f>
        <v>13.414382772748056</v>
      </c>
      <c r="AA12" s="71">
        <f t="shared" si="3"/>
        <v>25.345929496713474</v>
      </c>
      <c r="AB12" s="3"/>
    </row>
    <row r="13" spans="1:28" ht="18" customHeight="1">
      <c r="A13" s="72">
        <v>5</v>
      </c>
      <c r="B13" s="56">
        <v>17.100000000000001</v>
      </c>
      <c r="C13" s="73">
        <f>'[1]cálculos teóricos'!K7</f>
        <v>1.0431205173832472</v>
      </c>
      <c r="D13" s="58">
        <f t="shared" si="4"/>
        <v>259.77440469897675</v>
      </c>
      <c r="E13" s="59">
        <f t="shared" si="5"/>
        <v>10.876234775936759</v>
      </c>
      <c r="F13" s="60">
        <f t="shared" si="6"/>
        <v>13.924375949920949</v>
      </c>
      <c r="G13" s="61">
        <f>'[1]cálculos teóricos'!T7</f>
        <v>42.899257802114548</v>
      </c>
      <c r="H13" s="74">
        <f t="shared" si="7"/>
        <v>32.458314346954978</v>
      </c>
      <c r="I13" s="56"/>
      <c r="J13" s="75"/>
      <c r="K13" s="75"/>
      <c r="L13" s="75"/>
      <c r="M13" s="75"/>
      <c r="N13" s="75"/>
      <c r="O13" s="76">
        <v>0.2</v>
      </c>
      <c r="P13" s="65">
        <v>0.4</v>
      </c>
      <c r="Q13" s="65">
        <v>0.3</v>
      </c>
      <c r="R13" s="66"/>
      <c r="S13" s="66"/>
      <c r="T13" s="66"/>
      <c r="U13" s="66"/>
      <c r="V13" s="77"/>
      <c r="W13" s="67">
        <f t="shared" si="0"/>
        <v>0.2</v>
      </c>
      <c r="X13" s="68">
        <f t="shared" si="1"/>
        <v>0.7</v>
      </c>
      <c r="Y13" s="78">
        <f t="shared" si="2"/>
        <v>0.89999999999999991</v>
      </c>
      <c r="Z13" s="70">
        <f>'[1]cálculos teóricos'!I7</f>
        <v>13.40725552892793</v>
      </c>
      <c r="AA13" s="71">
        <f t="shared" si="3"/>
        <v>6.7127832244125623</v>
      </c>
      <c r="AB13" s="3"/>
    </row>
    <row r="14" spans="1:28" ht="18" customHeight="1">
      <c r="A14" s="72">
        <v>6</v>
      </c>
      <c r="B14" s="56">
        <v>18.399999999999999</v>
      </c>
      <c r="C14" s="73">
        <f>'[1]cálculos teóricos'!K8</f>
        <v>1.0430617300197544</v>
      </c>
      <c r="D14" s="58">
        <f t="shared" si="4"/>
        <v>279.50758289462556</v>
      </c>
      <c r="E14" s="59">
        <f t="shared" si="5"/>
        <v>11.702423480632183</v>
      </c>
      <c r="F14" s="60">
        <f t="shared" si="6"/>
        <v>14.957111830790229</v>
      </c>
      <c r="G14" s="61">
        <f>'[1]cálculos teóricos'!T8</f>
        <v>42.875693838404729</v>
      </c>
      <c r="H14" s="74">
        <f t="shared" si="7"/>
        <v>34.884827490284962</v>
      </c>
      <c r="I14" s="56"/>
      <c r="J14" s="75"/>
      <c r="K14" s="75"/>
      <c r="L14" s="75">
        <v>0.1</v>
      </c>
      <c r="M14" s="75">
        <v>0.3</v>
      </c>
      <c r="N14" s="75">
        <v>0.2</v>
      </c>
      <c r="O14" s="76"/>
      <c r="P14" s="65">
        <v>0.1</v>
      </c>
      <c r="Q14" s="65">
        <v>0.7</v>
      </c>
      <c r="R14" s="66">
        <v>0.1</v>
      </c>
      <c r="S14" s="66"/>
      <c r="T14" s="66"/>
      <c r="U14" s="66"/>
      <c r="V14" s="77"/>
      <c r="W14" s="67">
        <f t="shared" si="0"/>
        <v>0.60000000000000009</v>
      </c>
      <c r="X14" s="68">
        <f t="shared" si="1"/>
        <v>0.89999999999999991</v>
      </c>
      <c r="Y14" s="78">
        <f t="shared" si="2"/>
        <v>1.5</v>
      </c>
      <c r="Z14" s="70">
        <f>'[1]cálculos teóricos'!I8</f>
        <v>13.399617979654318</v>
      </c>
      <c r="AA14" s="71">
        <f t="shared" si="3"/>
        <v>11.194348990229175</v>
      </c>
      <c r="AB14" s="3"/>
    </row>
    <row r="15" spans="1:28" ht="18" customHeight="1">
      <c r="A15" s="72">
        <v>7</v>
      </c>
      <c r="B15" s="56">
        <v>14.2</v>
      </c>
      <c r="C15" s="73">
        <f>'[1]cálculos teóricos'!K9</f>
        <v>1.0429980728749551</v>
      </c>
      <c r="D15" s="58">
        <f t="shared" si="4"/>
        <v>215.6937745672646</v>
      </c>
      <c r="E15" s="59">
        <f t="shared" si="5"/>
        <v>9.0306669535822337</v>
      </c>
      <c r="F15" s="60">
        <f t="shared" si="6"/>
        <v>11.617416171977792</v>
      </c>
      <c r="G15" s="61">
        <f>'[1]cálculos teóricos'!T9</f>
        <v>42.850007012169783</v>
      </c>
      <c r="H15" s="74">
        <f t="shared" si="7"/>
        <v>27.111818601752724</v>
      </c>
      <c r="I15" s="56"/>
      <c r="J15" s="56"/>
      <c r="K15" s="75"/>
      <c r="L15" s="75"/>
      <c r="M15" s="75"/>
      <c r="N15" s="75"/>
      <c r="O15" s="76"/>
      <c r="P15" s="79"/>
      <c r="Q15" s="75"/>
      <c r="R15" s="75"/>
      <c r="S15" s="75"/>
      <c r="T15" s="66"/>
      <c r="U15" s="66"/>
      <c r="V15" s="77"/>
      <c r="W15" s="67">
        <f t="shared" si="0"/>
        <v>0</v>
      </c>
      <c r="X15" s="68">
        <f t="shared" si="1"/>
        <v>0</v>
      </c>
      <c r="Y15" s="78">
        <f t="shared" si="2"/>
        <v>0</v>
      </c>
      <c r="Z15" s="70">
        <f>'[1]cálculos teóricos'!I9</f>
        <v>13.391476313835456</v>
      </c>
      <c r="AA15" s="71">
        <f t="shared" si="3"/>
        <v>0</v>
      </c>
      <c r="AB15" s="3"/>
    </row>
    <row r="16" spans="1:28" ht="18" customHeight="1">
      <c r="A16" s="80">
        <v>8</v>
      </c>
      <c r="B16" s="75">
        <v>18.100000000000001</v>
      </c>
      <c r="C16" s="73">
        <f>'[1]cálculos teóricos'!K10</f>
        <v>1.0429294034098502</v>
      </c>
      <c r="D16" s="58">
        <f t="shared" si="4"/>
        <v>274.91551283472432</v>
      </c>
      <c r="E16" s="59">
        <f t="shared" si="5"/>
        <v>11.510162691364236</v>
      </c>
      <c r="F16" s="60">
        <f t="shared" si="6"/>
        <v>14.716785844205297</v>
      </c>
      <c r="G16" s="61">
        <f>'[1]cálculos teóricos'!T10</f>
        <v>42.822182910782871</v>
      </c>
      <c r="H16" s="74">
        <f t="shared" si="7"/>
        <v>34.367201398552538</v>
      </c>
      <c r="I16" s="79"/>
      <c r="J16" s="56"/>
      <c r="K16" s="75"/>
      <c r="L16" s="75"/>
      <c r="M16" s="75"/>
      <c r="N16" s="75">
        <v>0.5</v>
      </c>
      <c r="O16" s="76"/>
      <c r="P16" s="79"/>
      <c r="Q16" s="65">
        <v>0.1</v>
      </c>
      <c r="R16" s="66"/>
      <c r="S16" s="66"/>
      <c r="T16" s="66"/>
      <c r="U16" s="66"/>
      <c r="V16" s="77"/>
      <c r="W16" s="67">
        <f t="shared" si="0"/>
        <v>0.5</v>
      </c>
      <c r="X16" s="68">
        <f t="shared" si="1"/>
        <v>0.1</v>
      </c>
      <c r="Y16" s="78">
        <f t="shared" si="2"/>
        <v>0.6</v>
      </c>
      <c r="Z16" s="70">
        <f>'[1]cálculos teóricos'!I10</f>
        <v>13.382837075865469</v>
      </c>
      <c r="AA16" s="71">
        <f t="shared" si="3"/>
        <v>4.4833542887706264</v>
      </c>
      <c r="AB16" s="3"/>
    </row>
    <row r="17" spans="1:28" ht="18" customHeight="1">
      <c r="A17" s="80">
        <v>9</v>
      </c>
      <c r="B17" s="75">
        <v>13.4</v>
      </c>
      <c r="C17" s="73">
        <f>'[1]cálculos teóricos'!K11</f>
        <v>1.0428555718713279</v>
      </c>
      <c r="D17" s="58">
        <f t="shared" si="4"/>
        <v>203.51420342070435</v>
      </c>
      <c r="E17" s="59">
        <f t="shared" si="5"/>
        <v>8.5207326688180487</v>
      </c>
      <c r="F17" s="60">
        <f t="shared" si="6"/>
        <v>10.979998316022561</v>
      </c>
      <c r="G17" s="61">
        <f>'[1]cálculos teóricos'!T11</f>
        <v>42.792206670842504</v>
      </c>
      <c r="H17" s="74">
        <f t="shared" si="7"/>
        <v>25.658873823639588</v>
      </c>
      <c r="I17" s="79"/>
      <c r="J17" s="81"/>
      <c r="K17" s="81"/>
      <c r="L17" s="81"/>
      <c r="M17" s="81"/>
      <c r="N17" s="81"/>
      <c r="O17" s="77"/>
      <c r="P17" s="82"/>
      <c r="Q17" s="81"/>
      <c r="R17" s="81"/>
      <c r="S17" s="81"/>
      <c r="T17" s="81"/>
      <c r="U17" s="66"/>
      <c r="V17" s="77"/>
      <c r="W17" s="67">
        <f t="shared" si="0"/>
        <v>0</v>
      </c>
      <c r="X17" s="68">
        <f t="shared" si="1"/>
        <v>0</v>
      </c>
      <c r="Y17" s="78">
        <f t="shared" si="2"/>
        <v>0</v>
      </c>
      <c r="Z17" s="70">
        <f>'[1]cálculos teóricos'!I11</f>
        <v>13.373707148420571</v>
      </c>
      <c r="AA17" s="71">
        <f t="shared" si="3"/>
        <v>0</v>
      </c>
      <c r="AB17" s="3"/>
    </row>
    <row r="18" spans="1:28" ht="18" customHeight="1">
      <c r="A18" s="83">
        <v>10</v>
      </c>
      <c r="B18" s="75">
        <v>16.100000000000001</v>
      </c>
      <c r="C18" s="73">
        <f>'[1]cálculos teóricos'!K12</f>
        <v>1.0427764216695341</v>
      </c>
      <c r="D18" s="58">
        <f t="shared" si="4"/>
        <v>244.50223811344662</v>
      </c>
      <c r="E18" s="59">
        <f t="shared" si="5"/>
        <v>10.236819705333783</v>
      </c>
      <c r="F18" s="60">
        <f t="shared" si="6"/>
        <v>13.12510711166723</v>
      </c>
      <c r="G18" s="61">
        <f>'[1]cálculos teóricos'!T12</f>
        <v>42.760063031628945</v>
      </c>
      <c r="H18" s="74">
        <f t="shared" si="7"/>
        <v>30.694779617043118</v>
      </c>
      <c r="I18" s="79"/>
      <c r="J18" s="81"/>
      <c r="K18" s="81"/>
      <c r="L18" s="81">
        <v>0.1</v>
      </c>
      <c r="M18" s="81"/>
      <c r="N18" s="81"/>
      <c r="O18" s="77"/>
      <c r="P18" s="82"/>
      <c r="Q18" s="81"/>
      <c r="R18" s="81">
        <v>0.2</v>
      </c>
      <c r="S18" s="81"/>
      <c r="T18" s="66"/>
      <c r="U18" s="66"/>
      <c r="V18" s="77"/>
      <c r="W18" s="67">
        <f t="shared" si="0"/>
        <v>0.1</v>
      </c>
      <c r="X18" s="68">
        <f t="shared" si="1"/>
        <v>0.2</v>
      </c>
      <c r="Y18" s="78">
        <f t="shared" si="2"/>
        <v>0.30000000000000004</v>
      </c>
      <c r="Z18" s="70">
        <f>'[1]cálculos teóricos'!I12</f>
        <v>13.364093734637674</v>
      </c>
      <c r="AA18" s="71">
        <f t="shared" si="3"/>
        <v>2.2448211300886509</v>
      </c>
      <c r="AB18" s="3"/>
    </row>
    <row r="19" spans="1:28" ht="18" customHeight="1">
      <c r="A19" s="84">
        <v>11</v>
      </c>
      <c r="B19" s="75">
        <v>13.2</v>
      </c>
      <c r="C19" s="73">
        <f>'[1]cálculos teóricos'!K13</f>
        <v>1.0426917897715424</v>
      </c>
      <c r="D19" s="58">
        <f t="shared" si="4"/>
        <v>200.44519282045974</v>
      </c>
      <c r="E19" s="59">
        <f t="shared" si="5"/>
        <v>8.3922393330070069</v>
      </c>
      <c r="F19" s="60">
        <f t="shared" si="6"/>
        <v>10.81938164625876</v>
      </c>
      <c r="G19" s="61">
        <f>'[1]cálculos teóricos'!T13</f>
        <v>42.72573639089709</v>
      </c>
      <c r="H19" s="74">
        <f t="shared" si="7"/>
        <v>25.322867573942805</v>
      </c>
      <c r="I19" s="79"/>
      <c r="J19" s="81"/>
      <c r="K19" s="81"/>
      <c r="L19" s="81"/>
      <c r="M19" s="81"/>
      <c r="N19" s="81">
        <v>0.2</v>
      </c>
      <c r="O19" s="76"/>
      <c r="P19" s="65"/>
      <c r="Q19" s="66"/>
      <c r="R19" s="66"/>
      <c r="S19" s="66"/>
      <c r="T19" s="66"/>
      <c r="U19" s="66"/>
      <c r="V19" s="77"/>
      <c r="W19" s="67">
        <f t="shared" si="0"/>
        <v>0.2</v>
      </c>
      <c r="X19" s="68">
        <f t="shared" si="1"/>
        <v>0</v>
      </c>
      <c r="Y19" s="78">
        <f t="shared" si="2"/>
        <v>0.2</v>
      </c>
      <c r="Z19" s="70">
        <f>'[1]cálculos teóricos'!I13</f>
        <v>13.354004339762858</v>
      </c>
      <c r="AA19" s="71">
        <f t="shared" si="3"/>
        <v>1.4976781114596496</v>
      </c>
      <c r="AB19" s="3"/>
    </row>
    <row r="20" spans="1:28" ht="18" customHeight="1">
      <c r="A20" s="85">
        <v>12</v>
      </c>
      <c r="B20" s="75">
        <v>21.1</v>
      </c>
      <c r="C20" s="73">
        <f>'[1]cálculos teóricos'!K14</f>
        <v>1.0426015071100707</v>
      </c>
      <c r="D20" s="58">
        <f t="shared" si="4"/>
        <v>320.38086072962761</v>
      </c>
      <c r="E20" s="59">
        <f t="shared" si="5"/>
        <v>13.413705877028049</v>
      </c>
      <c r="F20" s="60">
        <f t="shared" si="6"/>
        <v>17.09621482628506</v>
      </c>
      <c r="G20" s="61">
        <f>'[1]cálculos teóricos'!T14</f>
        <v>42.689210862833292</v>
      </c>
      <c r="H20" s="74">
        <f t="shared" si="7"/>
        <v>40.048092903890186</v>
      </c>
      <c r="I20" s="79"/>
      <c r="J20" s="81"/>
      <c r="K20" s="81">
        <v>0.3</v>
      </c>
      <c r="L20" s="81">
        <v>0.3</v>
      </c>
      <c r="M20" s="81">
        <v>1</v>
      </c>
      <c r="N20" s="81">
        <v>0.5</v>
      </c>
      <c r="O20" s="77">
        <v>0.2</v>
      </c>
      <c r="P20" s="65">
        <v>0.8</v>
      </c>
      <c r="Q20" s="66">
        <v>0.3</v>
      </c>
      <c r="R20" s="66"/>
      <c r="S20" s="66"/>
      <c r="T20" s="66"/>
      <c r="U20" s="66"/>
      <c r="V20" s="77"/>
      <c r="W20" s="67">
        <f t="shared" si="0"/>
        <v>2.3000000000000003</v>
      </c>
      <c r="X20" s="68">
        <f t="shared" si="1"/>
        <v>1.1000000000000001</v>
      </c>
      <c r="Y20" s="78">
        <f t="shared" si="2"/>
        <v>3.4000000000000004</v>
      </c>
      <c r="Z20" s="70">
        <f>'[1]cálculos teóricos'!I14</f>
        <v>13.343446752357368</v>
      </c>
      <c r="AA20" s="71">
        <f t="shared" si="3"/>
        <v>25.480672745962938</v>
      </c>
      <c r="AB20" s="3"/>
    </row>
    <row r="21" spans="1:28" ht="18" customHeight="1">
      <c r="A21" s="85">
        <v>13</v>
      </c>
      <c r="B21" s="75">
        <v>20.8</v>
      </c>
      <c r="C21" s="73">
        <f>'[1]cálculos teóricos'!K15</f>
        <v>1.0425053990059436</v>
      </c>
      <c r="D21" s="58">
        <f t="shared" si="4"/>
        <v>315.79656947119969</v>
      </c>
      <c r="E21" s="59">
        <f t="shared" si="5"/>
        <v>13.221770770620187</v>
      </c>
      <c r="F21" s="60">
        <f t="shared" si="6"/>
        <v>16.856295943275235</v>
      </c>
      <c r="G21" s="61">
        <f>'[1]cálculos teóricos'!T15</f>
        <v>42.6504703379955</v>
      </c>
      <c r="H21" s="74">
        <f t="shared" si="7"/>
        <v>39.521946205265351</v>
      </c>
      <c r="I21" s="79"/>
      <c r="J21" s="81">
        <v>0.1</v>
      </c>
      <c r="K21" s="81">
        <v>0.2</v>
      </c>
      <c r="L21" s="81">
        <v>1</v>
      </c>
      <c r="M21" s="81">
        <v>1</v>
      </c>
      <c r="N21" s="81">
        <v>0.9</v>
      </c>
      <c r="O21" s="77">
        <v>0.6</v>
      </c>
      <c r="P21" s="65">
        <v>0.4</v>
      </c>
      <c r="Q21" s="66">
        <v>0.4</v>
      </c>
      <c r="R21" s="66"/>
      <c r="S21" s="66"/>
      <c r="T21" s="66"/>
      <c r="U21" s="66"/>
      <c r="V21" s="77"/>
      <c r="W21" s="67">
        <f t="shared" si="0"/>
        <v>3.8</v>
      </c>
      <c r="X21" s="68">
        <f t="shared" si="1"/>
        <v>0.8</v>
      </c>
      <c r="Y21" s="78">
        <f t="shared" si="2"/>
        <v>4.5999999999999996</v>
      </c>
      <c r="Z21" s="70">
        <f>'[1]cálculos teóricos'!I15</f>
        <v>13.332429025149247</v>
      </c>
      <c r="AA21" s="71">
        <f t="shared" si="3"/>
        <v>34.502340056136212</v>
      </c>
      <c r="AB21" s="3"/>
    </row>
    <row r="22" spans="1:28" ht="18" customHeight="1">
      <c r="A22" s="85">
        <v>14</v>
      </c>
      <c r="B22" s="75">
        <v>17.899999999999999</v>
      </c>
      <c r="C22" s="73">
        <f>'[1]cálculos teóricos'!K16</f>
        <v>1.0424032856029817</v>
      </c>
      <c r="D22" s="58">
        <f t="shared" si="4"/>
        <v>271.74062047283456</v>
      </c>
      <c r="E22" s="59">
        <f t="shared" si="5"/>
        <v>11.377236297956637</v>
      </c>
      <c r="F22" s="60">
        <f t="shared" si="6"/>
        <v>14.550627852445796</v>
      </c>
      <c r="G22" s="61">
        <f>'[1]cálculos teóricos'!T16</f>
        <v>42.609498545049341</v>
      </c>
      <c r="H22" s="74">
        <f t="shared" si="7"/>
        <v>34.148789235484642</v>
      </c>
      <c r="I22" s="79"/>
      <c r="J22" s="81"/>
      <c r="K22" s="81">
        <v>0.5</v>
      </c>
      <c r="L22" s="81">
        <v>0.3</v>
      </c>
      <c r="M22" s="81"/>
      <c r="N22" s="81"/>
      <c r="O22" s="77"/>
      <c r="P22" s="65">
        <v>0.8</v>
      </c>
      <c r="Q22" s="66"/>
      <c r="R22" s="66"/>
      <c r="S22" s="66"/>
      <c r="T22" s="66"/>
      <c r="U22" s="66"/>
      <c r="V22" s="77"/>
      <c r="W22" s="67">
        <f t="shared" si="0"/>
        <v>0.8</v>
      </c>
      <c r="X22" s="68">
        <f t="shared" si="1"/>
        <v>0.8</v>
      </c>
      <c r="Y22" s="78">
        <f t="shared" si="2"/>
        <v>1.6</v>
      </c>
      <c r="Z22" s="70">
        <f>'[1]cálculos teóricos'!I16</f>
        <v>13.32095945561748</v>
      </c>
      <c r="AA22" s="71">
        <f t="shared" si="3"/>
        <v>12.011146834661945</v>
      </c>
      <c r="AB22" s="3"/>
    </row>
    <row r="23" spans="1:28" ht="18" customHeight="1">
      <c r="A23" s="85">
        <v>15</v>
      </c>
      <c r="B23" s="75">
        <v>20.100000000000001</v>
      </c>
      <c r="C23" s="73">
        <f>'[1]cálculos teóricos'!K17</f>
        <v>1.0422949823139649</v>
      </c>
      <c r="D23" s="58">
        <f t="shared" si="4"/>
        <v>305.10720579608159</v>
      </c>
      <c r="E23" s="59">
        <f t="shared" si="5"/>
        <v>12.774228492270343</v>
      </c>
      <c r="F23" s="60">
        <f t="shared" si="6"/>
        <v>16.296868095337928</v>
      </c>
      <c r="G23" s="61">
        <f>'[1]cálculos teóricos'!T17</f>
        <v>42.566279114105868</v>
      </c>
      <c r="H23" s="74">
        <f t="shared" si="7"/>
        <v>38.285864854786837</v>
      </c>
      <c r="I23" s="79"/>
      <c r="J23" s="81"/>
      <c r="K23" s="81"/>
      <c r="L23" s="81"/>
      <c r="M23" s="81"/>
      <c r="N23" s="81"/>
      <c r="O23" s="77"/>
      <c r="P23" s="65"/>
      <c r="Q23" s="66"/>
      <c r="R23" s="66">
        <v>0.2</v>
      </c>
      <c r="S23" s="66">
        <v>0.2</v>
      </c>
      <c r="T23" s="66">
        <v>0.4</v>
      </c>
      <c r="U23" s="66"/>
      <c r="V23" s="77"/>
      <c r="W23" s="67">
        <f t="shared" si="0"/>
        <v>0</v>
      </c>
      <c r="X23" s="68">
        <f t="shared" si="1"/>
        <v>0.8</v>
      </c>
      <c r="Y23" s="78">
        <f t="shared" si="2"/>
        <v>0.8</v>
      </c>
      <c r="Z23" s="70">
        <f>'[1]cálculos teóricos'!I17</f>
        <v>13.309046566394962</v>
      </c>
      <c r="AA23" s="71">
        <f t="shared" si="3"/>
        <v>6.0109489887876846</v>
      </c>
      <c r="AB23" s="3"/>
    </row>
    <row r="24" spans="1:28" ht="18" customHeight="1">
      <c r="A24" s="85">
        <v>16</v>
      </c>
      <c r="B24" s="75">
        <v>28.4</v>
      </c>
      <c r="C24" s="73">
        <f>'[1]cálculos teóricos'!K18</f>
        <v>1.0421803002763004</v>
      </c>
      <c r="D24" s="58">
        <f t="shared" si="4"/>
        <v>431.04931560729875</v>
      </c>
      <c r="E24" s="59">
        <f t="shared" si="5"/>
        <v>18.047172745846382</v>
      </c>
      <c r="F24" s="60">
        <f t="shared" si="6"/>
        <v>22.888048412307981</v>
      </c>
      <c r="G24" s="61">
        <f>'[1]cálculos teóricos'!T18</f>
        <v>42.520795641460737</v>
      </c>
      <c r="H24" s="74">
        <f t="shared" si="7"/>
        <v>53.827893074490213</v>
      </c>
      <c r="I24" s="79">
        <v>0.3</v>
      </c>
      <c r="J24" s="81">
        <v>1</v>
      </c>
      <c r="K24" s="81">
        <v>1</v>
      </c>
      <c r="L24" s="81">
        <v>1</v>
      </c>
      <c r="M24" s="81">
        <v>1</v>
      </c>
      <c r="N24" s="81">
        <v>1</v>
      </c>
      <c r="O24" s="77">
        <v>0.3</v>
      </c>
      <c r="P24" s="65">
        <v>1</v>
      </c>
      <c r="Q24" s="66">
        <v>1</v>
      </c>
      <c r="R24" s="66">
        <v>0.7</v>
      </c>
      <c r="S24" s="66"/>
      <c r="T24" s="66"/>
      <c r="U24" s="66"/>
      <c r="V24" s="77"/>
      <c r="W24" s="67">
        <f t="shared" si="0"/>
        <v>5.6</v>
      </c>
      <c r="X24" s="68">
        <f t="shared" si="1"/>
        <v>2.7</v>
      </c>
      <c r="Y24" s="78">
        <f t="shared" si="2"/>
        <v>8.3000000000000007</v>
      </c>
      <c r="Z24" s="70">
        <f>'[1]cálculos teóricos'!I18</f>
        <v>13.296699085574138</v>
      </c>
      <c r="AA24" s="71">
        <f t="shared" si="3"/>
        <v>62.421507372493984</v>
      </c>
      <c r="AB24" s="3"/>
    </row>
    <row r="25" spans="1:28" ht="18" customHeight="1">
      <c r="A25" s="85">
        <v>17</v>
      </c>
      <c r="B25" s="75">
        <v>32.6</v>
      </c>
      <c r="C25" s="73">
        <f>'[1]cálculos teóricos'!K19</f>
        <v>1.0420590468160129</v>
      </c>
      <c r="D25" s="58">
        <f t="shared" si="4"/>
        <v>494.73847786274314</v>
      </c>
      <c r="E25" s="59">
        <f t="shared" si="5"/>
        <v>20.713710591157326</v>
      </c>
      <c r="F25" s="60">
        <f t="shared" si="6"/>
        <v>26.221220718946661</v>
      </c>
      <c r="G25" s="61">
        <f>'[1]cálculos teóricos'!T19</f>
        <v>42.473031755529334</v>
      </c>
      <c r="H25" s="74">
        <f t="shared" si="7"/>
        <v>61.736164420457371</v>
      </c>
      <c r="I25" s="79"/>
      <c r="J25" s="81">
        <v>0.7</v>
      </c>
      <c r="K25" s="81">
        <v>1</v>
      </c>
      <c r="L25" s="81">
        <v>1</v>
      </c>
      <c r="M25" s="81">
        <v>1</v>
      </c>
      <c r="N25" s="81">
        <v>1</v>
      </c>
      <c r="O25" s="77">
        <v>1</v>
      </c>
      <c r="P25" s="65">
        <v>1</v>
      </c>
      <c r="Q25" s="66">
        <v>1</v>
      </c>
      <c r="R25" s="66">
        <v>0.2</v>
      </c>
      <c r="S25" s="66">
        <v>0.1</v>
      </c>
      <c r="T25" s="66">
        <v>0.5</v>
      </c>
      <c r="U25" s="66"/>
      <c r="V25" s="77"/>
      <c r="W25" s="67">
        <f t="shared" si="0"/>
        <v>5.7</v>
      </c>
      <c r="X25" s="68">
        <f t="shared" si="1"/>
        <v>2.8000000000000003</v>
      </c>
      <c r="Y25" s="78">
        <f t="shared" si="2"/>
        <v>8.5</v>
      </c>
      <c r="Z25" s="70">
        <f>'[1]cálculos teóricos'!I19</f>
        <v>13.283925926997437</v>
      </c>
      <c r="AA25" s="71">
        <f t="shared" si="3"/>
        <v>63.987107777566877</v>
      </c>
      <c r="AB25" s="3"/>
    </row>
    <row r="26" spans="1:28" ht="18" customHeight="1">
      <c r="A26" s="85">
        <v>18</v>
      </c>
      <c r="B26" s="75">
        <v>33</v>
      </c>
      <c r="C26" s="73">
        <f>'[1]cálculos teóricos'!K20</f>
        <v>1.0419310259186705</v>
      </c>
      <c r="D26" s="58">
        <f t="shared" si="4"/>
        <v>500.74736236689643</v>
      </c>
      <c r="E26" s="59">
        <f t="shared" si="5"/>
        <v>20.965290567577217</v>
      </c>
      <c r="F26" s="60">
        <f t="shared" si="6"/>
        <v>26.535695689471524</v>
      </c>
      <c r="G26" s="61">
        <f>'[1]cálculos teóricos'!T20</f>
        <v>42.422971183768496</v>
      </c>
      <c r="H26" s="74">
        <f t="shared" si="7"/>
        <v>62.550299870614381</v>
      </c>
      <c r="I26" s="79"/>
      <c r="J26" s="81">
        <v>1</v>
      </c>
      <c r="K26" s="81">
        <v>1</v>
      </c>
      <c r="L26" s="81">
        <v>1</v>
      </c>
      <c r="M26" s="81">
        <v>1</v>
      </c>
      <c r="N26" s="81">
        <v>1</v>
      </c>
      <c r="O26" s="77">
        <v>1</v>
      </c>
      <c r="P26" s="82">
        <v>1</v>
      </c>
      <c r="Q26" s="66">
        <v>0.8</v>
      </c>
      <c r="R26" s="66">
        <v>0.5</v>
      </c>
      <c r="S26" s="66">
        <v>0.8</v>
      </c>
      <c r="T26" s="66">
        <v>0.1</v>
      </c>
      <c r="U26" s="66"/>
      <c r="V26" s="77"/>
      <c r="W26" s="67">
        <f t="shared" si="0"/>
        <v>6</v>
      </c>
      <c r="X26" s="68">
        <f t="shared" si="1"/>
        <v>3.1999999999999997</v>
      </c>
      <c r="Y26" s="78">
        <f t="shared" si="2"/>
        <v>9.1999999999999993</v>
      </c>
      <c r="Z26" s="70">
        <f>'[1]cálculos teóricos'!I20</f>
        <v>13.270736170611478</v>
      </c>
      <c r="AA26" s="71">
        <f t="shared" si="3"/>
        <v>69.325468321597185</v>
      </c>
      <c r="AB26" s="3"/>
    </row>
    <row r="27" spans="1:28" ht="18" customHeight="1">
      <c r="A27" s="85">
        <v>19</v>
      </c>
      <c r="B27" s="75">
        <v>26.4</v>
      </c>
      <c r="C27" s="73">
        <f>'[1]cálculos teóricos'!K21</f>
        <v>1.0417960387058549</v>
      </c>
      <c r="D27" s="58">
        <f t="shared" si="4"/>
        <v>400.54599049588774</v>
      </c>
      <c r="E27" s="59">
        <f t="shared" si="5"/>
        <v>16.770059530081827</v>
      </c>
      <c r="F27" s="60">
        <f t="shared" si="6"/>
        <v>21.291656892602287</v>
      </c>
      <c r="G27" s="61">
        <f>'[1]cálculos teóricos'!T21</f>
        <v>42.370597820371522</v>
      </c>
      <c r="H27" s="74">
        <f t="shared" si="7"/>
        <v>50.251018366244033</v>
      </c>
      <c r="I27" s="79"/>
      <c r="J27" s="81">
        <v>1</v>
      </c>
      <c r="K27" s="81">
        <v>1</v>
      </c>
      <c r="L27" s="81">
        <v>1</v>
      </c>
      <c r="M27" s="81">
        <v>1</v>
      </c>
      <c r="N27" s="81">
        <v>1</v>
      </c>
      <c r="O27" s="77">
        <v>1</v>
      </c>
      <c r="P27" s="65">
        <v>1</v>
      </c>
      <c r="Q27" s="66">
        <v>0.5</v>
      </c>
      <c r="R27" s="66"/>
      <c r="S27" s="66"/>
      <c r="T27" s="66"/>
      <c r="U27" s="66"/>
      <c r="V27" s="77"/>
      <c r="W27" s="67">
        <f t="shared" si="0"/>
        <v>6</v>
      </c>
      <c r="X27" s="68">
        <f t="shared" si="1"/>
        <v>1.5</v>
      </c>
      <c r="Y27" s="78">
        <f t="shared" si="2"/>
        <v>7.5</v>
      </c>
      <c r="Z27" s="70">
        <f>'[1]cálculos teóricos'!I21</f>
        <v>13.257139042960983</v>
      </c>
      <c r="AA27" s="71">
        <f t="shared" si="3"/>
        <v>56.57329213863985</v>
      </c>
      <c r="AB27" s="3"/>
    </row>
    <row r="28" spans="1:28" ht="18" customHeight="1">
      <c r="A28" s="85">
        <v>20</v>
      </c>
      <c r="B28" s="75">
        <v>32.200000000000003</v>
      </c>
      <c r="C28" s="73">
        <f>'[1]cálculos teóricos'!K22</f>
        <v>1.0416538839157914</v>
      </c>
      <c r="D28" s="58">
        <f t="shared" si="4"/>
        <v>488.47806809672568</v>
      </c>
      <c r="E28" s="59">
        <f t="shared" si="5"/>
        <v>20.451599755073708</v>
      </c>
      <c r="F28" s="60">
        <f t="shared" si="6"/>
        <v>25.893582173842137</v>
      </c>
      <c r="G28" s="61">
        <f>'[1]cálculos teóricos'!T22</f>
        <v>42.315895794520593</v>
      </c>
      <c r="H28" s="74">
        <f t="shared" si="7"/>
        <v>61.191147410839051</v>
      </c>
      <c r="I28" s="79"/>
      <c r="J28" s="81">
        <v>1</v>
      </c>
      <c r="K28" s="81">
        <v>1</v>
      </c>
      <c r="L28" s="81">
        <v>1</v>
      </c>
      <c r="M28" s="81">
        <v>1</v>
      </c>
      <c r="N28" s="81">
        <v>1</v>
      </c>
      <c r="O28" s="76">
        <v>1</v>
      </c>
      <c r="P28" s="65">
        <v>1</v>
      </c>
      <c r="Q28" s="66">
        <v>0.9</v>
      </c>
      <c r="R28" s="66">
        <v>1</v>
      </c>
      <c r="S28" s="66">
        <v>0.5</v>
      </c>
      <c r="T28" s="66"/>
      <c r="U28" s="66"/>
      <c r="V28" s="77"/>
      <c r="W28" s="67">
        <f t="shared" si="0"/>
        <v>6</v>
      </c>
      <c r="X28" s="68">
        <f t="shared" si="1"/>
        <v>3.4</v>
      </c>
      <c r="Y28" s="78">
        <f t="shared" si="2"/>
        <v>9.4</v>
      </c>
      <c r="Z28" s="70">
        <f>'[1]cálculos teóricos'!I22</f>
        <v>13.243143897894775</v>
      </c>
      <c r="AA28" s="71">
        <f t="shared" si="3"/>
        <v>70.980124300350553</v>
      </c>
      <c r="AB28" s="3"/>
    </row>
    <row r="29" spans="1:28" ht="18" customHeight="1">
      <c r="A29" s="84">
        <v>21</v>
      </c>
      <c r="B29" s="75">
        <v>36.6</v>
      </c>
      <c r="C29" s="73">
        <f>'[1]cálculos teóricos'!K23</f>
        <v>1.0415043583867623</v>
      </c>
      <c r="D29" s="58">
        <f t="shared" si="4"/>
        <v>555.14692327518139</v>
      </c>
      <c r="E29" s="59">
        <f t="shared" si="5"/>
        <v>23.24289138368529</v>
      </c>
      <c r="F29" s="60">
        <f t="shared" si="6"/>
        <v>29.38269670960662</v>
      </c>
      <c r="G29" s="61">
        <f>'[1]cálculos teóricos'!T23</f>
        <v>42.258849538979433</v>
      </c>
      <c r="H29" s="74">
        <f t="shared" si="7"/>
        <v>69.530280710799076</v>
      </c>
      <c r="I29" s="79"/>
      <c r="J29" s="81">
        <v>0.4</v>
      </c>
      <c r="K29" s="81">
        <v>1</v>
      </c>
      <c r="L29" s="81">
        <v>1</v>
      </c>
      <c r="M29" s="81">
        <v>1</v>
      </c>
      <c r="N29" s="81">
        <v>1</v>
      </c>
      <c r="O29" s="77">
        <v>1</v>
      </c>
      <c r="P29" s="65">
        <v>1</v>
      </c>
      <c r="Q29" s="66">
        <v>1</v>
      </c>
      <c r="R29" s="66">
        <v>1</v>
      </c>
      <c r="S29" s="66">
        <v>1</v>
      </c>
      <c r="T29" s="66">
        <v>1</v>
      </c>
      <c r="U29" s="66">
        <v>0.8</v>
      </c>
      <c r="V29" s="77"/>
      <c r="W29" s="67">
        <f t="shared" si="0"/>
        <v>5.4</v>
      </c>
      <c r="X29" s="68">
        <f t="shared" si="1"/>
        <v>5.8</v>
      </c>
      <c r="Y29" s="78">
        <f t="shared" si="2"/>
        <v>11.2</v>
      </c>
      <c r="Z29" s="70">
        <f>'[1]cálculos teóricos'!I23</f>
        <v>13.228760197552258</v>
      </c>
      <c r="AA29" s="71">
        <f t="shared" si="3"/>
        <v>84.664018643805761</v>
      </c>
      <c r="AB29" s="3"/>
    </row>
    <row r="30" spans="1:28" ht="18" customHeight="1">
      <c r="A30" s="85">
        <v>22</v>
      </c>
      <c r="B30" s="75">
        <v>34.5</v>
      </c>
      <c r="C30" s="73">
        <f>'[1]cálculos teóricos'!K24</f>
        <v>1.0413472575419567</v>
      </c>
      <c r="D30" s="58">
        <f t="shared" si="4"/>
        <v>523.21529708982393</v>
      </c>
      <c r="E30" s="59">
        <f t="shared" si="5"/>
        <v>21.905978058556748</v>
      </c>
      <c r="F30" s="60">
        <f t="shared" si="6"/>
        <v>27.711555053195937</v>
      </c>
      <c r="G30" s="61">
        <f>'[1]cálculos teóricos'!T24</f>
        <v>42.199443858808038</v>
      </c>
      <c r="H30" s="74">
        <f t="shared" si="7"/>
        <v>65.668057488894775</v>
      </c>
      <c r="I30" s="79"/>
      <c r="J30" s="81"/>
      <c r="K30" s="81"/>
      <c r="L30" s="81">
        <v>0.5</v>
      </c>
      <c r="M30" s="81">
        <v>1</v>
      </c>
      <c r="N30" s="81">
        <v>1</v>
      </c>
      <c r="O30" s="77">
        <v>1</v>
      </c>
      <c r="P30" s="65">
        <v>1</v>
      </c>
      <c r="Q30" s="66">
        <v>1</v>
      </c>
      <c r="R30" s="66">
        <v>1</v>
      </c>
      <c r="S30" s="66">
        <v>1</v>
      </c>
      <c r="T30" s="66">
        <v>1</v>
      </c>
      <c r="U30" s="66"/>
      <c r="V30" s="77"/>
      <c r="W30" s="67">
        <f t="shared" si="0"/>
        <v>3.5</v>
      </c>
      <c r="X30" s="68">
        <f t="shared" si="1"/>
        <v>5</v>
      </c>
      <c r="Y30" s="78">
        <f t="shared" si="2"/>
        <v>8.5</v>
      </c>
      <c r="Z30" s="70">
        <f>'[1]cálculos teóricos'!I24</f>
        <v>13.213997493694729</v>
      </c>
      <c r="AA30" s="71">
        <f t="shared" si="3"/>
        <v>64.325727351287242</v>
      </c>
      <c r="AB30" s="3"/>
    </row>
    <row r="31" spans="1:28" ht="18" customHeight="1">
      <c r="A31" s="85">
        <v>23</v>
      </c>
      <c r="B31" s="75">
        <v>28.6</v>
      </c>
      <c r="C31" s="73">
        <f>'[1]cálculos teóricos'!K25</f>
        <v>1.041182375874407</v>
      </c>
      <c r="D31" s="58">
        <f t="shared" si="4"/>
        <v>433.6692225879421</v>
      </c>
      <c r="E31" s="59">
        <f t="shared" si="5"/>
        <v>18.156863011311959</v>
      </c>
      <c r="F31" s="60">
        <f t="shared" si="6"/>
        <v>23.025161244139948</v>
      </c>
      <c r="G31" s="61">
        <f>'[1]cálculos teóricos'!T25</f>
        <v>42.137663999981427</v>
      </c>
      <c r="H31" s="74">
        <f t="shared" si="7"/>
        <v>54.642709297198103</v>
      </c>
      <c r="I31" s="79"/>
      <c r="J31" s="81"/>
      <c r="K31" s="81">
        <v>0.6</v>
      </c>
      <c r="L31" s="81">
        <v>1</v>
      </c>
      <c r="M31" s="81">
        <v>1</v>
      </c>
      <c r="N31" s="81">
        <v>1</v>
      </c>
      <c r="O31" s="77">
        <v>1</v>
      </c>
      <c r="P31" s="65">
        <v>1</v>
      </c>
      <c r="Q31" s="66">
        <v>1</v>
      </c>
      <c r="R31" s="66">
        <v>0.7</v>
      </c>
      <c r="S31" s="66"/>
      <c r="T31" s="66"/>
      <c r="U31" s="66"/>
      <c r="V31" s="77"/>
      <c r="W31" s="67">
        <f t="shared" si="0"/>
        <v>4.5999999999999996</v>
      </c>
      <c r="X31" s="68">
        <f t="shared" si="1"/>
        <v>2.7</v>
      </c>
      <c r="Y31" s="78">
        <f t="shared" si="2"/>
        <v>7.3</v>
      </c>
      <c r="Z31" s="70">
        <f>'[1]cálculos teóricos'!I25</f>
        <v>13.198865409441321</v>
      </c>
      <c r="AA31" s="71">
        <f t="shared" si="3"/>
        <v>55.307784218923956</v>
      </c>
      <c r="AB31" s="3"/>
    </row>
    <row r="32" spans="1:28" ht="18" customHeight="1">
      <c r="A32" s="85">
        <v>24</v>
      </c>
      <c r="B32" s="75">
        <v>28</v>
      </c>
      <c r="C32" s="73">
        <f>'[1]cálculos teóricos'!K26</f>
        <v>1.0410095074307182</v>
      </c>
      <c r="D32" s="58">
        <f t="shared" si="4"/>
        <v>424.50077492108335</v>
      </c>
      <c r="E32" s="59">
        <f t="shared" si="5"/>
        <v>17.772998444395917</v>
      </c>
      <c r="F32" s="60">
        <f t="shared" si="6"/>
        <v>22.545330535494898</v>
      </c>
      <c r="G32" s="61">
        <f>'[1]cálculos teóricos'!T26</f>
        <v>42.073495717695977</v>
      </c>
      <c r="H32" s="74">
        <f t="shared" si="7"/>
        <v>53.585589100485429</v>
      </c>
      <c r="I32" s="79"/>
      <c r="J32" s="81">
        <v>0.5</v>
      </c>
      <c r="K32" s="81">
        <v>1</v>
      </c>
      <c r="L32" s="81">
        <v>1</v>
      </c>
      <c r="M32" s="81">
        <v>1</v>
      </c>
      <c r="N32" s="81">
        <v>1</v>
      </c>
      <c r="O32" s="77">
        <v>1</v>
      </c>
      <c r="P32" s="65">
        <v>0.9</v>
      </c>
      <c r="Q32" s="66">
        <v>0.8</v>
      </c>
      <c r="R32" s="66"/>
      <c r="S32" s="66"/>
      <c r="T32" s="66"/>
      <c r="U32" s="66"/>
      <c r="V32" s="77"/>
      <c r="W32" s="67">
        <f t="shared" si="0"/>
        <v>5.5</v>
      </c>
      <c r="X32" s="68">
        <f t="shared" si="1"/>
        <v>1.7000000000000002</v>
      </c>
      <c r="Y32" s="78">
        <f t="shared" si="2"/>
        <v>7.2</v>
      </c>
      <c r="Z32" s="70">
        <f>'[1]cálculos teóricos'!I26</f>
        <v>13.183373621464895</v>
      </c>
      <c r="AA32" s="71">
        <f t="shared" si="3"/>
        <v>54.614245235962287</v>
      </c>
      <c r="AB32" s="3"/>
    </row>
    <row r="33" spans="1:28" ht="18" customHeight="1">
      <c r="A33" s="85">
        <v>25</v>
      </c>
      <c r="B33" s="75">
        <v>30</v>
      </c>
      <c r="C33" s="73">
        <f>'[1]cálculos teóricos'!K27</f>
        <v>1.0408284462923059</v>
      </c>
      <c r="D33" s="58">
        <f t="shared" si="4"/>
        <v>454.74315232733994</v>
      </c>
      <c r="E33" s="59">
        <f t="shared" si="5"/>
        <v>19.039186301641067</v>
      </c>
      <c r="F33" s="60">
        <f t="shared" si="6"/>
        <v>24.128065357051337</v>
      </c>
      <c r="G33" s="61">
        <f>'[1]cálculos teóricos'!T27</f>
        <v>42.006925344148755</v>
      </c>
      <c r="H33" s="74">
        <f t="shared" si="7"/>
        <v>57.438303706777226</v>
      </c>
      <c r="I33" s="79"/>
      <c r="J33" s="81">
        <v>0.6</v>
      </c>
      <c r="K33" s="81">
        <v>0.9</v>
      </c>
      <c r="L33" s="81">
        <v>1</v>
      </c>
      <c r="M33" s="81">
        <v>1</v>
      </c>
      <c r="N33" s="81">
        <v>1</v>
      </c>
      <c r="O33" s="77">
        <v>1</v>
      </c>
      <c r="P33" s="65">
        <v>1</v>
      </c>
      <c r="Q33" s="66">
        <v>0.8</v>
      </c>
      <c r="R33" s="66">
        <v>0.9</v>
      </c>
      <c r="S33" s="66">
        <v>0.5</v>
      </c>
      <c r="T33" s="66"/>
      <c r="U33" s="66"/>
      <c r="V33" s="77"/>
      <c r="W33" s="67">
        <f t="shared" si="0"/>
        <v>5.5</v>
      </c>
      <c r="X33" s="68">
        <f t="shared" si="1"/>
        <v>3.2</v>
      </c>
      <c r="Y33" s="78">
        <f t="shared" si="2"/>
        <v>8.6999999999999993</v>
      </c>
      <c r="Z33" s="70">
        <f>'[1]cálculos teóricos'!I27</f>
        <v>13.16753184269853</v>
      </c>
      <c r="AA33" s="71">
        <f t="shared" si="3"/>
        <v>66.071607830014074</v>
      </c>
      <c r="AB33" s="3"/>
    </row>
    <row r="34" spans="1:28" ht="18" customHeight="1">
      <c r="A34" s="84">
        <v>26</v>
      </c>
      <c r="B34" s="75">
        <v>31.9</v>
      </c>
      <c r="C34" s="73">
        <f>'[1]cálculos teóricos'!K28</f>
        <v>1.0406389870529105</v>
      </c>
      <c r="D34" s="58">
        <f t="shared" si="4"/>
        <v>483.4555338254475</v>
      </c>
      <c r="E34" s="59">
        <f t="shared" si="5"/>
        <v>20.241316290203837</v>
      </c>
      <c r="F34" s="60">
        <f t="shared" si="6"/>
        <v>25.630727842754794</v>
      </c>
      <c r="G34" s="61">
        <f>'[1]cálculos teóricos'!T28</f>
        <v>41.937939855578989</v>
      </c>
      <c r="H34" s="74">
        <f t="shared" si="7"/>
        <v>61.115848634956606</v>
      </c>
      <c r="I34" s="79"/>
      <c r="J34" s="81">
        <v>0.8</v>
      </c>
      <c r="K34" s="81">
        <v>1</v>
      </c>
      <c r="L34" s="81">
        <v>1</v>
      </c>
      <c r="M34" s="81">
        <v>1</v>
      </c>
      <c r="N34" s="81">
        <v>1</v>
      </c>
      <c r="O34" s="77">
        <v>1</v>
      </c>
      <c r="P34" s="65">
        <v>1</v>
      </c>
      <c r="Q34" s="66">
        <v>1</v>
      </c>
      <c r="R34" s="66">
        <v>1</v>
      </c>
      <c r="S34" s="66">
        <v>0.5</v>
      </c>
      <c r="T34" s="66"/>
      <c r="U34" s="66"/>
      <c r="V34" s="77"/>
      <c r="W34" s="67">
        <f t="shared" si="0"/>
        <v>5.8</v>
      </c>
      <c r="X34" s="68">
        <f t="shared" si="1"/>
        <v>3.5</v>
      </c>
      <c r="Y34" s="78">
        <f t="shared" si="2"/>
        <v>9.3000000000000007</v>
      </c>
      <c r="Z34" s="70">
        <f>'[1]cálculos teóricos'!I28</f>
        <v>13.151349805598334</v>
      </c>
      <c r="AA34" s="71">
        <f t="shared" si="3"/>
        <v>70.715174772715187</v>
      </c>
      <c r="AB34" s="3"/>
    </row>
    <row r="35" spans="1:28" ht="18" customHeight="1">
      <c r="A35" s="84">
        <v>27</v>
      </c>
      <c r="B35" s="75">
        <v>33.299999999999997</v>
      </c>
      <c r="C35" s="73">
        <f>'[1]cálculos teóricos'!K29</f>
        <v>1.040440925291195</v>
      </c>
      <c r="D35" s="58">
        <f t="shared" si="4"/>
        <v>504.576965135428</v>
      </c>
      <c r="E35" s="59">
        <f t="shared" si="5"/>
        <v>21.125628376290095</v>
      </c>
      <c r="F35" s="60">
        <f t="shared" si="6"/>
        <v>26.736117950362623</v>
      </c>
      <c r="G35" s="61">
        <f>'[1]cálculos teóricos'!T29</f>
        <v>41.866526938364217</v>
      </c>
      <c r="H35" s="74">
        <f t="shared" si="7"/>
        <v>63.860367471425228</v>
      </c>
      <c r="I35" s="79"/>
      <c r="J35" s="81">
        <v>0.8</v>
      </c>
      <c r="K35" s="81">
        <v>1</v>
      </c>
      <c r="L35" s="81">
        <v>1</v>
      </c>
      <c r="M35" s="81">
        <v>1</v>
      </c>
      <c r="N35" s="81">
        <v>1</v>
      </c>
      <c r="O35" s="77">
        <v>1</v>
      </c>
      <c r="P35" s="65">
        <v>1</v>
      </c>
      <c r="Q35" s="66">
        <v>1</v>
      </c>
      <c r="R35" s="66">
        <v>1</v>
      </c>
      <c r="S35" s="66">
        <v>1</v>
      </c>
      <c r="T35" s="66">
        <v>0.8</v>
      </c>
      <c r="U35" s="66"/>
      <c r="V35" s="77"/>
      <c r="W35" s="67">
        <f t="shared" si="0"/>
        <v>5.8</v>
      </c>
      <c r="X35" s="68">
        <f t="shared" si="1"/>
        <v>4.8</v>
      </c>
      <c r="Y35" s="78">
        <f t="shared" si="2"/>
        <v>10.6</v>
      </c>
      <c r="Z35" s="70">
        <f>'[1]cálculos teóricos'!I29</f>
        <v>13.134837246003574</v>
      </c>
      <c r="AA35" s="71">
        <f t="shared" si="3"/>
        <v>80.701418688877723</v>
      </c>
      <c r="AB35" s="3"/>
    </row>
    <row r="36" spans="1:28" ht="18" customHeight="1">
      <c r="A36" s="85">
        <v>28</v>
      </c>
      <c r="B36" s="75">
        <v>14.7</v>
      </c>
      <c r="C36" s="73">
        <f>'[1]cálculos teóricos'!K30</f>
        <v>1.0402340580372698</v>
      </c>
      <c r="D36" s="58">
        <f t="shared" si="4"/>
        <v>222.69689595211892</v>
      </c>
      <c r="E36" s="59">
        <f t="shared" si="5"/>
        <v>9.3238736397233151</v>
      </c>
      <c r="F36" s="60">
        <f t="shared" si="6"/>
        <v>11.983924529654146</v>
      </c>
      <c r="G36" s="61">
        <f>'[1]cálculos teóricos'!T30</f>
        <v>41.792675053969653</v>
      </c>
      <c r="H36" s="74">
        <f t="shared" si="7"/>
        <v>28.674700803857398</v>
      </c>
      <c r="I36" s="79"/>
      <c r="J36" s="81"/>
      <c r="K36" s="81"/>
      <c r="L36" s="81">
        <v>0.2</v>
      </c>
      <c r="M36" s="81">
        <v>0.1</v>
      </c>
      <c r="N36" s="81"/>
      <c r="O36" s="77"/>
      <c r="P36" s="65"/>
      <c r="Q36" s="66"/>
      <c r="R36" s="66"/>
      <c r="S36" s="66"/>
      <c r="T36" s="66"/>
      <c r="U36" s="66"/>
      <c r="V36" s="77"/>
      <c r="W36" s="67">
        <f t="shared" si="0"/>
        <v>0.30000000000000004</v>
      </c>
      <c r="X36" s="68">
        <f t="shared" si="1"/>
        <v>0</v>
      </c>
      <c r="Y36" s="78">
        <f t="shared" si="2"/>
        <v>0.30000000000000004</v>
      </c>
      <c r="Z36" s="70">
        <f>'[1]cálculos teóricos'!I30</f>
        <v>13.118003887630318</v>
      </c>
      <c r="AA36" s="71">
        <f t="shared" si="3"/>
        <v>2.2869333060869605</v>
      </c>
      <c r="AB36" s="3"/>
    </row>
    <row r="37" spans="1:28" ht="18" customHeight="1">
      <c r="A37" s="85">
        <v>29</v>
      </c>
      <c r="B37" s="75">
        <v>10.199999999999999</v>
      </c>
      <c r="C37" s="73">
        <f>'[1]cálculos teóricos'!K31</f>
        <v>1.0400181842320544</v>
      </c>
      <c r="D37" s="58">
        <f t="shared" si="4"/>
        <v>154.49230922584792</v>
      </c>
      <c r="E37" s="59">
        <f t="shared" si="5"/>
        <v>6.4682840026677999</v>
      </c>
      <c r="F37" s="60">
        <f t="shared" si="6"/>
        <v>8.4144374833347513</v>
      </c>
      <c r="G37" s="61">
        <f>'[1]cálculos teóricos'!T31</f>
        <v>41.716373502555001</v>
      </c>
      <c r="H37" s="74">
        <f t="shared" si="7"/>
        <v>20.17058717440861</v>
      </c>
      <c r="I37" s="79"/>
      <c r="J37" s="81"/>
      <c r="K37" s="81"/>
      <c r="L37" s="81"/>
      <c r="M37" s="81"/>
      <c r="N37" s="81"/>
      <c r="O37" s="77"/>
      <c r="P37" s="65"/>
      <c r="Q37" s="66"/>
      <c r="R37" s="66"/>
      <c r="S37" s="66"/>
      <c r="T37" s="66"/>
      <c r="U37" s="66"/>
      <c r="V37" s="77"/>
      <c r="W37" s="67">
        <f t="shared" si="0"/>
        <v>0</v>
      </c>
      <c r="X37" s="68">
        <f t="shared" si="1"/>
        <v>0</v>
      </c>
      <c r="Y37" s="78">
        <f t="shared" si="2"/>
        <v>0</v>
      </c>
      <c r="Z37" s="70">
        <f>'[1]cálculos teóricos'!I31</f>
        <v>13.100859427229913</v>
      </c>
      <c r="AA37" s="71">
        <f t="shared" si="3"/>
        <v>0</v>
      </c>
      <c r="AB37" s="3"/>
    </row>
    <row r="38" spans="1:28" ht="18" customHeight="1">
      <c r="A38" s="80">
        <v>30</v>
      </c>
      <c r="B38" s="75">
        <v>16.2</v>
      </c>
      <c r="C38" s="73">
        <f>'[1]cálculos teóricos'!K32</f>
        <v>1.0397931051784299</v>
      </c>
      <c r="D38" s="58">
        <f t="shared" si="4"/>
        <v>245.31703557371026</v>
      </c>
      <c r="E38" s="59">
        <f t="shared" si="5"/>
        <v>10.270933645400101</v>
      </c>
      <c r="F38" s="60">
        <f t="shared" si="6"/>
        <v>13.167749536750126</v>
      </c>
      <c r="G38" s="61">
        <f>'[1]cálculos teóricos'!T32</f>
        <v>41.637612485050042</v>
      </c>
      <c r="H38" s="74">
        <f t="shared" si="7"/>
        <v>31.624650768528088</v>
      </c>
      <c r="I38" s="79"/>
      <c r="J38" s="81"/>
      <c r="K38" s="81"/>
      <c r="L38" s="81"/>
      <c r="M38" s="81"/>
      <c r="N38" s="81"/>
      <c r="O38" s="77"/>
      <c r="P38" s="65"/>
      <c r="Q38" s="66"/>
      <c r="R38" s="66"/>
      <c r="S38" s="66"/>
      <c r="T38" s="66"/>
      <c r="U38" s="66"/>
      <c r="V38" s="77"/>
      <c r="W38" s="67">
        <f t="shared" si="0"/>
        <v>0</v>
      </c>
      <c r="X38" s="68">
        <f t="shared" si="1"/>
        <v>0</v>
      </c>
      <c r="Y38" s="78">
        <f t="shared" si="2"/>
        <v>0</v>
      </c>
      <c r="Z38" s="70">
        <f>'[1]cálculos teóricos'!I32</f>
        <v>13.083413520438963</v>
      </c>
      <c r="AA38" s="71">
        <f t="shared" si="3"/>
        <v>0</v>
      </c>
      <c r="AB38" s="3"/>
    </row>
    <row r="39" spans="1:28" ht="18" customHeight="1" thickBot="1">
      <c r="A39" s="86">
        <v>31</v>
      </c>
      <c r="B39" s="87">
        <v>16.100000000000001</v>
      </c>
      <c r="C39" s="88">
        <f>'[1]cálculos teóricos'!K33</f>
        <v>1.0395586249831952</v>
      </c>
      <c r="D39" s="89">
        <f t="shared" si="4"/>
        <v>243.74775376257853</v>
      </c>
      <c r="E39" s="90">
        <f t="shared" si="5"/>
        <v>10.205230954531636</v>
      </c>
      <c r="F39" s="91">
        <f t="shared" si="6"/>
        <v>13.085621173164547</v>
      </c>
      <c r="G39" s="92">
        <f>'[1]cálculos teóricos'!T33</f>
        <v>41.556383163518021</v>
      </c>
      <c r="H39" s="93">
        <f t="shared" si="7"/>
        <v>31.488835593979935</v>
      </c>
      <c r="I39" s="94"/>
      <c r="J39" s="87"/>
      <c r="K39" s="87"/>
      <c r="L39" s="87"/>
      <c r="M39" s="87"/>
      <c r="N39" s="87"/>
      <c r="O39" s="95">
        <v>0.1</v>
      </c>
      <c r="P39" s="96"/>
      <c r="Q39" s="97"/>
      <c r="R39" s="97"/>
      <c r="S39" s="97"/>
      <c r="T39" s="97">
        <v>0.1</v>
      </c>
      <c r="U39" s="97"/>
      <c r="V39" s="77"/>
      <c r="W39" s="67">
        <f t="shared" si="0"/>
        <v>0.1</v>
      </c>
      <c r="X39" s="68">
        <f t="shared" si="1"/>
        <v>0.1</v>
      </c>
      <c r="Y39" s="78">
        <f t="shared" si="2"/>
        <v>0.2</v>
      </c>
      <c r="Z39" s="98">
        <f>'[1]cálculos teóricos'!I33</f>
        <v>13.065675768342954</v>
      </c>
      <c r="AA39" s="99">
        <f t="shared" si="3"/>
        <v>1.5307283262346321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5">
        <f>SUM(I9:I39)</f>
        <v>0.3</v>
      </c>
      <c r="J40" s="5">
        <f t="shared" ref="J40:V40" si="8">SUM(J9:J39)</f>
        <v>8.5</v>
      </c>
      <c r="K40" s="5">
        <f t="shared" si="8"/>
        <v>12.5</v>
      </c>
      <c r="L40" s="5">
        <f t="shared" si="8"/>
        <v>16.2</v>
      </c>
      <c r="M40" s="5">
        <f t="shared" si="8"/>
        <v>15.6</v>
      </c>
      <c r="N40" s="5">
        <f t="shared" si="8"/>
        <v>17.5</v>
      </c>
      <c r="O40" s="5">
        <f t="shared" si="8"/>
        <v>15.5</v>
      </c>
      <c r="P40" s="5">
        <f t="shared" si="8"/>
        <v>16.100000000000001</v>
      </c>
      <c r="Q40" s="5">
        <f t="shared" si="8"/>
        <v>14</v>
      </c>
      <c r="R40" s="5">
        <f t="shared" si="8"/>
        <v>9.6999999999999993</v>
      </c>
      <c r="S40" s="5">
        <f t="shared" si="8"/>
        <v>5.7</v>
      </c>
      <c r="T40" s="5">
        <f t="shared" si="8"/>
        <v>3.9</v>
      </c>
      <c r="U40" s="5">
        <f t="shared" si="8"/>
        <v>0.8</v>
      </c>
      <c r="V40" s="101">
        <f t="shared" si="8"/>
        <v>0</v>
      </c>
      <c r="W40" s="102">
        <f t="shared" si="0"/>
        <v>86.1</v>
      </c>
      <c r="X40" s="103">
        <f>SUM(P40:V40)</f>
        <v>50.199999999999996</v>
      </c>
      <c r="Y40" s="103">
        <f>W40+X40</f>
        <v>136.29999999999998</v>
      </c>
      <c r="Z40" s="104"/>
      <c r="AA40" s="104"/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  <row r="58" spans="1:28" ht="15.75">
      <c r="A58" s="106"/>
      <c r="B58" s="106"/>
      <c r="C58" s="106"/>
      <c r="D58" s="106"/>
      <c r="E58" s="106"/>
      <c r="F58" s="106"/>
      <c r="G58" s="106"/>
      <c r="H58" s="106"/>
      <c r="I58" s="106"/>
      <c r="J58" s="105"/>
      <c r="K58" s="105"/>
    </row>
    <row r="59" spans="1:28" ht="15.75">
      <c r="A59" s="106"/>
      <c r="B59" s="106"/>
      <c r="C59" s="106"/>
      <c r="D59" s="106"/>
      <c r="E59" s="106"/>
      <c r="F59" s="106"/>
      <c r="G59" s="106"/>
      <c r="H59" s="106"/>
      <c r="I59" s="106"/>
      <c r="J59" s="105"/>
      <c r="K59" s="105"/>
    </row>
    <row r="60" spans="1:28" ht="15.75">
      <c r="A60" s="106"/>
      <c r="B60" s="106"/>
      <c r="C60" s="106"/>
      <c r="D60" s="106"/>
      <c r="E60" s="106"/>
      <c r="F60" s="106"/>
      <c r="G60" s="106"/>
      <c r="H60" s="106"/>
      <c r="I60" s="106"/>
      <c r="J60" s="105"/>
      <c r="K60" s="105"/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4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58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59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60</v>
      </c>
      <c r="C3" s="3"/>
      <c r="D3" s="107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61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10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34" t="s">
        <v>28</v>
      </c>
      <c r="C8" s="39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110">
        <v>22.1</v>
      </c>
      <c r="C9" s="57">
        <f>'[1]cálculos teóricos'!K34</f>
        <v>1.0393145509889044</v>
      </c>
      <c r="D9" s="58">
        <f>IF(B9&gt;0,B9*C9*14.25*1.022,-999)</f>
        <v>334.50686993952468</v>
      </c>
      <c r="E9" s="59">
        <f>IF(B9&gt;0,D9*4.1868/100,-999)</f>
        <v>14.005133630628018</v>
      </c>
      <c r="F9" s="60">
        <f>IF(B9&gt;0,(7.86+1.25*D9)*4.1868/100,-999)</f>
        <v>17.835499518285022</v>
      </c>
      <c r="G9" s="61">
        <f>'[1]cálculos teóricos'!T34</f>
        <v>41.472677719635314</v>
      </c>
      <c r="H9" s="62">
        <f>IF(B9&gt;0,100*F9/G9,-999)</f>
        <v>43.005420674442668</v>
      </c>
      <c r="I9" s="111"/>
      <c r="J9" s="111"/>
      <c r="K9" s="111"/>
      <c r="L9" s="111"/>
      <c r="M9" s="111">
        <v>0.1</v>
      </c>
      <c r="N9" s="111">
        <v>0.6</v>
      </c>
      <c r="O9" s="112">
        <v>0.8</v>
      </c>
      <c r="P9" s="113">
        <v>0.9</v>
      </c>
      <c r="Q9" s="111">
        <v>0.3</v>
      </c>
      <c r="R9" s="111">
        <v>0.3</v>
      </c>
      <c r="S9" s="111"/>
      <c r="T9" s="111"/>
      <c r="U9" s="111"/>
      <c r="V9" s="112"/>
      <c r="W9" s="58">
        <f t="shared" ref="W9:W36" si="0">SUM(I9:O9)</f>
        <v>1.5</v>
      </c>
      <c r="X9" s="68">
        <f t="shared" ref="X9:X36" si="1">SUM(P9:V9)</f>
        <v>1.5</v>
      </c>
      <c r="Y9" s="69">
        <f t="shared" ref="Y9:Y36" si="2">W9+X9</f>
        <v>3</v>
      </c>
      <c r="Z9" s="70">
        <f>'[1]cálculos teóricos'!I34</f>
        <v>13.047655704771071</v>
      </c>
      <c r="AA9" s="71">
        <f t="shared" ref="AA9:AA36" si="3">100*Y9/Z9</f>
        <v>22.992636132351386</v>
      </c>
      <c r="AB9" s="3"/>
    </row>
    <row r="10" spans="1:28" ht="18" customHeight="1">
      <c r="A10" s="109">
        <v>2</v>
      </c>
      <c r="B10" s="56">
        <v>15</v>
      </c>
      <c r="C10" s="114">
        <f>'[1]cálculos teóricos'!K35</f>
        <v>1.03906069419472</v>
      </c>
      <c r="D10" s="58">
        <f>IF(B10&gt;0,B10*C10*14.25*1.022,-999)</f>
        <v>226.98540629857206</v>
      </c>
      <c r="E10" s="59">
        <f>IF(B10&gt;0,D10*4.1868/100,-999)</f>
        <v>9.5034249909086146</v>
      </c>
      <c r="F10" s="60">
        <f>IF(B10&gt;0,(7.86+1.25*D10)*4.1868/100,-999)</f>
        <v>12.20836371863577</v>
      </c>
      <c r="G10" s="61">
        <f>'[1]cálculos teóricos'!T35</f>
        <v>41.386489411124131</v>
      </c>
      <c r="H10" s="74">
        <f>IF(B10&gt;0,100*F10/G10,-999)</f>
        <v>29.498427850114595</v>
      </c>
      <c r="I10" s="111"/>
      <c r="J10" s="111">
        <v>0.3</v>
      </c>
      <c r="K10" s="111">
        <v>0.4</v>
      </c>
      <c r="L10" s="111"/>
      <c r="M10" s="111">
        <v>0.1</v>
      </c>
      <c r="N10" s="111">
        <v>0.8</v>
      </c>
      <c r="O10" s="115"/>
      <c r="P10" s="113"/>
      <c r="Q10" s="111"/>
      <c r="R10" s="111"/>
      <c r="S10" s="111"/>
      <c r="T10" s="111"/>
      <c r="U10" s="111"/>
      <c r="V10" s="115"/>
      <c r="W10" s="58">
        <f t="shared" si="0"/>
        <v>1.6</v>
      </c>
      <c r="X10" s="68">
        <f t="shared" si="1"/>
        <v>0</v>
      </c>
      <c r="Y10" s="116">
        <f t="shared" si="2"/>
        <v>1.6</v>
      </c>
      <c r="Z10" s="70">
        <f>'[1]cálculos teóricos'!I35</f>
        <v>13.029362784335678</v>
      </c>
      <c r="AA10" s="71">
        <f t="shared" si="3"/>
        <v>12.279955869550058</v>
      </c>
      <c r="AB10" s="3"/>
    </row>
    <row r="11" spans="1:28" ht="18" customHeight="1">
      <c r="A11" s="72">
        <v>3</v>
      </c>
      <c r="B11" s="56">
        <v>17</v>
      </c>
      <c r="C11" s="114">
        <f>'[1]cálculos teóricos'!K36</f>
        <v>1.038796869665491</v>
      </c>
      <c r="D11" s="58">
        <f t="shared" ref="D11:D36" si="4">IF(B11&gt;0,B11*C11*14.25*1.022,-999)</f>
        <v>257.18480959334744</v>
      </c>
      <c r="E11" s="59">
        <f t="shared" ref="E11:E36" si="5">IF(B11&gt;0,D11*4.1868/100,-999)</f>
        <v>10.76781360805427</v>
      </c>
      <c r="F11" s="60">
        <f t="shared" ref="F11:F36" si="6">IF(B11&gt;0,(7.86+1.25*D11)*4.1868/100,-999)</f>
        <v>13.788849490067838</v>
      </c>
      <c r="G11" s="61">
        <f>'[1]cálculos teóricos'!T36</f>
        <v>41.297812625986587</v>
      </c>
      <c r="H11" s="74">
        <f t="shared" ref="H11:H36" si="7">IF(B11&gt;0,100*F11/G11,-999)</f>
        <v>33.38881314355914</v>
      </c>
      <c r="I11" s="111"/>
      <c r="J11" s="111"/>
      <c r="K11" s="111"/>
      <c r="L11" s="111">
        <v>0.2</v>
      </c>
      <c r="M11" s="111">
        <v>0.2</v>
      </c>
      <c r="N11" s="111">
        <v>0.1</v>
      </c>
      <c r="O11" s="115"/>
      <c r="P11" s="113">
        <v>0.3</v>
      </c>
      <c r="Q11" s="111"/>
      <c r="R11" s="111"/>
      <c r="S11" s="111"/>
      <c r="T11" s="111"/>
      <c r="U11" s="111"/>
      <c r="V11" s="115"/>
      <c r="W11" s="58">
        <f t="shared" si="0"/>
        <v>0.5</v>
      </c>
      <c r="X11" s="68">
        <f t="shared" si="1"/>
        <v>0.3</v>
      </c>
      <c r="Y11" s="116">
        <f t="shared" si="2"/>
        <v>0.8</v>
      </c>
      <c r="Z11" s="70">
        <f>'[1]cálculos teóricos'!I36</f>
        <v>13.010806371225611</v>
      </c>
      <c r="AA11" s="71">
        <f t="shared" si="3"/>
        <v>6.1487349605729351</v>
      </c>
      <c r="AB11" s="3"/>
    </row>
    <row r="12" spans="1:28" ht="18" customHeight="1">
      <c r="A12" s="72">
        <v>4</v>
      </c>
      <c r="B12" s="56">
        <v>20.7</v>
      </c>
      <c r="C12" s="114">
        <f>'[1]cálculos teóricos'!K37</f>
        <v>1.0385228969283236</v>
      </c>
      <c r="D12" s="58">
        <f t="shared" si="4"/>
        <v>313.07773393490373</v>
      </c>
      <c r="E12" s="59">
        <f t="shared" si="5"/>
        <v>13.107938564386551</v>
      </c>
      <c r="F12" s="60">
        <f t="shared" si="6"/>
        <v>16.714005685483187</v>
      </c>
      <c r="G12" s="61">
        <f>'[1]cálculos teóricos'!T37</f>
        <v>41.206642934398403</v>
      </c>
      <c r="H12" s="74">
        <f t="shared" si="7"/>
        <v>40.561434990208099</v>
      </c>
      <c r="I12" s="111"/>
      <c r="J12" s="111"/>
      <c r="K12" s="111"/>
      <c r="L12" s="111"/>
      <c r="M12" s="111"/>
      <c r="N12" s="111">
        <v>0.1</v>
      </c>
      <c r="O12" s="115">
        <v>0.2</v>
      </c>
      <c r="P12" s="113"/>
      <c r="Q12" s="111">
        <v>1</v>
      </c>
      <c r="R12" s="111">
        <v>1</v>
      </c>
      <c r="S12" s="111">
        <v>1</v>
      </c>
      <c r="T12" s="111">
        <v>1</v>
      </c>
      <c r="U12" s="111">
        <v>0.8</v>
      </c>
      <c r="V12" s="115"/>
      <c r="W12" s="58">
        <f t="shared" si="0"/>
        <v>0.30000000000000004</v>
      </c>
      <c r="X12" s="68">
        <f t="shared" si="1"/>
        <v>4.8</v>
      </c>
      <c r="Y12" s="116">
        <f t="shared" si="2"/>
        <v>5.0999999999999996</v>
      </c>
      <c r="Z12" s="70">
        <f>'[1]cálculos teóricos'!I37</f>
        <v>12.991995728758745</v>
      </c>
      <c r="AA12" s="71">
        <f t="shared" si="3"/>
        <v>39.254939013801952</v>
      </c>
      <c r="AB12" s="3"/>
    </row>
    <row r="13" spans="1:28" ht="18" customHeight="1">
      <c r="A13" s="72">
        <v>5</v>
      </c>
      <c r="B13" s="56">
        <v>30.5</v>
      </c>
      <c r="C13" s="114">
        <f>'[1]cálculos teóricos'!K38</f>
        <v>1.0382386003559865</v>
      </c>
      <c r="D13" s="58">
        <f t="shared" si="4"/>
        <v>461.17182961667447</v>
      </c>
      <c r="E13" s="59">
        <f t="shared" si="5"/>
        <v>19.308342162390929</v>
      </c>
      <c r="F13" s="60">
        <f t="shared" si="6"/>
        <v>24.464510182988661</v>
      </c>
      <c r="G13" s="61">
        <f>'[1]cálculos teóricos'!T38</f>
        <v>41.112977138132415</v>
      </c>
      <c r="H13" s="74">
        <f t="shared" si="7"/>
        <v>59.505567064122317</v>
      </c>
      <c r="I13" s="111"/>
      <c r="J13" s="111">
        <v>0.5</v>
      </c>
      <c r="K13" s="111">
        <v>0.9</v>
      </c>
      <c r="L13" s="111">
        <v>0.6</v>
      </c>
      <c r="M13" s="111">
        <v>0.4</v>
      </c>
      <c r="N13" s="111">
        <v>1</v>
      </c>
      <c r="O13" s="115">
        <v>0.8</v>
      </c>
      <c r="P13" s="113">
        <v>1</v>
      </c>
      <c r="Q13" s="111">
        <v>1</v>
      </c>
      <c r="R13" s="111">
        <v>1</v>
      </c>
      <c r="S13" s="111">
        <v>0.6</v>
      </c>
      <c r="T13" s="111">
        <v>0.4</v>
      </c>
      <c r="U13" s="111"/>
      <c r="V13" s="115"/>
      <c r="W13" s="58">
        <f t="shared" si="0"/>
        <v>4.2</v>
      </c>
      <c r="X13" s="68">
        <f t="shared" si="1"/>
        <v>4</v>
      </c>
      <c r="Y13" s="116">
        <f t="shared" si="2"/>
        <v>8.1999999999999993</v>
      </c>
      <c r="Z13" s="70">
        <f>'[1]cálculos teóricos'!I38</f>
        <v>12.972940009695547</v>
      </c>
      <c r="AA13" s="71">
        <f t="shared" si="3"/>
        <v>63.208493941015604</v>
      </c>
      <c r="AB13" s="3"/>
    </row>
    <row r="14" spans="1:28" ht="18" customHeight="1">
      <c r="A14" s="72">
        <v>6</v>
      </c>
      <c r="B14" s="56">
        <v>19.100000000000001</v>
      </c>
      <c r="C14" s="114">
        <f>'[1]cálculos teóricos'!K39</f>
        <v>1.0379438095365645</v>
      </c>
      <c r="D14" s="58">
        <f t="shared" si="4"/>
        <v>288.71740820054799</v>
      </c>
      <c r="E14" s="59">
        <f t="shared" si="5"/>
        <v>12.088020446540543</v>
      </c>
      <c r="F14" s="60">
        <f t="shared" si="6"/>
        <v>15.43910803817568</v>
      </c>
      <c r="G14" s="61">
        <f>'[1]cálculos teóricos'!T39</f>
        <v>41.016813317393655</v>
      </c>
      <c r="H14" s="74">
        <f t="shared" si="7"/>
        <v>37.640925243767164</v>
      </c>
      <c r="I14" s="111"/>
      <c r="J14" s="111"/>
      <c r="K14" s="111"/>
      <c r="L14" s="111"/>
      <c r="M14" s="111"/>
      <c r="N14" s="111">
        <v>0.1</v>
      </c>
      <c r="O14" s="115"/>
      <c r="P14" s="113">
        <v>0.1</v>
      </c>
      <c r="Q14" s="113">
        <v>0.6</v>
      </c>
      <c r="R14" s="111">
        <v>0.9</v>
      </c>
      <c r="S14" s="111"/>
      <c r="T14" s="111"/>
      <c r="U14" s="111"/>
      <c r="V14" s="115"/>
      <c r="W14" s="58">
        <f t="shared" si="0"/>
        <v>0.1</v>
      </c>
      <c r="X14" s="68">
        <f t="shared" si="1"/>
        <v>1.6</v>
      </c>
      <c r="Y14" s="116">
        <f t="shared" si="2"/>
        <v>1.7000000000000002</v>
      </c>
      <c r="Z14" s="70">
        <f>'[1]cálculos teóricos'!I39</f>
        <v>12.953648247311923</v>
      </c>
      <c r="AA14" s="71">
        <f t="shared" si="3"/>
        <v>13.123715941204253</v>
      </c>
      <c r="AB14" s="3"/>
    </row>
    <row r="15" spans="1:28" ht="18" customHeight="1">
      <c r="A15" s="72">
        <v>7</v>
      </c>
      <c r="B15" s="75">
        <v>10.7</v>
      </c>
      <c r="C15" s="114">
        <f>'[1]cálculos teóricos'!K40</f>
        <v>1.037638359628839</v>
      </c>
      <c r="D15" s="58">
        <f t="shared" si="4"/>
        <v>161.69461487986419</v>
      </c>
      <c r="E15" s="59">
        <f t="shared" si="5"/>
        <v>6.769830135790154</v>
      </c>
      <c r="F15" s="60">
        <f t="shared" si="6"/>
        <v>8.791370149737693</v>
      </c>
      <c r="G15" s="61">
        <f>'[1]cálculos teóricos'!T40</f>
        <v>40.9181508749611</v>
      </c>
      <c r="H15" s="74">
        <f t="shared" si="7"/>
        <v>21.485257671106943</v>
      </c>
      <c r="I15" s="111"/>
      <c r="J15" s="111"/>
      <c r="K15" s="111"/>
      <c r="L15" s="111"/>
      <c r="M15" s="111"/>
      <c r="N15" s="111"/>
      <c r="O15" s="115"/>
      <c r="P15" s="113"/>
      <c r="Q15" s="113"/>
      <c r="R15" s="111"/>
      <c r="S15" s="111">
        <v>0.1</v>
      </c>
      <c r="T15" s="111">
        <v>0.1</v>
      </c>
      <c r="U15" s="111"/>
      <c r="V15" s="115"/>
      <c r="W15" s="58">
        <f t="shared" si="0"/>
        <v>0</v>
      </c>
      <c r="X15" s="68">
        <f t="shared" si="1"/>
        <v>0.2</v>
      </c>
      <c r="Y15" s="116">
        <f t="shared" si="2"/>
        <v>0.2</v>
      </c>
      <c r="Z15" s="70">
        <f>'[1]cálculos teóricos'!I40</f>
        <v>12.934129347226488</v>
      </c>
      <c r="AA15" s="71">
        <f t="shared" si="3"/>
        <v>1.5462965819410699</v>
      </c>
      <c r="AB15" s="3"/>
    </row>
    <row r="16" spans="1:28" ht="18" customHeight="1">
      <c r="A16" s="80">
        <v>8</v>
      </c>
      <c r="B16" s="75">
        <v>22.8</v>
      </c>
      <c r="C16" s="114">
        <f>'[1]cálculos teóricos'!K41</f>
        <v>1.0373220917029544</v>
      </c>
      <c r="D16" s="58">
        <f t="shared" si="4"/>
        <v>344.4405184413643</v>
      </c>
      <c r="E16" s="59">
        <f t="shared" si="5"/>
        <v>14.421035626103039</v>
      </c>
      <c r="F16" s="60">
        <f t="shared" si="6"/>
        <v>18.3553770126288</v>
      </c>
      <c r="G16" s="61">
        <f>'[1]cálculos teóricos'!T41</f>
        <v>40.816990577542512</v>
      </c>
      <c r="H16" s="74">
        <f t="shared" si="7"/>
        <v>44.9699420582171</v>
      </c>
      <c r="I16" s="111"/>
      <c r="J16" s="111">
        <v>0.3</v>
      </c>
      <c r="K16" s="111">
        <v>0.3</v>
      </c>
      <c r="L16" s="111"/>
      <c r="M16" s="111">
        <v>0.8</v>
      </c>
      <c r="N16" s="111">
        <v>0.2</v>
      </c>
      <c r="O16" s="115"/>
      <c r="P16" s="113">
        <v>0.5</v>
      </c>
      <c r="Q16" s="111">
        <v>0.4</v>
      </c>
      <c r="R16" s="111">
        <v>0.3</v>
      </c>
      <c r="S16" s="111">
        <v>0.5</v>
      </c>
      <c r="T16" s="111">
        <v>0.1</v>
      </c>
      <c r="U16" s="111"/>
      <c r="V16" s="115"/>
      <c r="W16" s="58">
        <f t="shared" si="0"/>
        <v>1.5999999999999999</v>
      </c>
      <c r="X16" s="68">
        <f t="shared" si="1"/>
        <v>1.8</v>
      </c>
      <c r="Y16" s="116">
        <f t="shared" si="2"/>
        <v>3.4</v>
      </c>
      <c r="Z16" s="70">
        <f>'[1]cálculos teóricos'!I41</f>
        <v>12.914392079974427</v>
      </c>
      <c r="AA16" s="71">
        <f t="shared" si="3"/>
        <v>26.327216789957742</v>
      </c>
      <c r="AB16" s="3"/>
    </row>
    <row r="17" spans="1:28" ht="18" customHeight="1">
      <c r="A17" s="80">
        <v>9</v>
      </c>
      <c r="B17" s="75">
        <v>32</v>
      </c>
      <c r="C17" s="114">
        <f>'[1]cálculos teóricos'!K42</f>
        <v>1.0369948530659916</v>
      </c>
      <c r="D17" s="58">
        <f t="shared" si="4"/>
        <v>483.27278536405021</v>
      </c>
      <c r="E17" s="59">
        <f t="shared" si="5"/>
        <v>20.233664977622055</v>
      </c>
      <c r="F17" s="60">
        <f t="shared" si="6"/>
        <v>25.621163702027566</v>
      </c>
      <c r="G17" s="61">
        <f>'[1]cálculos teóricos'!T42</f>
        <v>40.713334594263301</v>
      </c>
      <c r="H17" s="74">
        <f t="shared" si="7"/>
        <v>62.930644117855451</v>
      </c>
      <c r="I17" s="111"/>
      <c r="J17" s="111">
        <v>1</v>
      </c>
      <c r="K17" s="111">
        <v>1</v>
      </c>
      <c r="L17" s="111">
        <v>1</v>
      </c>
      <c r="M17" s="111">
        <v>1</v>
      </c>
      <c r="N17" s="111">
        <v>1</v>
      </c>
      <c r="O17" s="115">
        <v>1</v>
      </c>
      <c r="P17" s="113">
        <v>0.9</v>
      </c>
      <c r="Q17" s="111">
        <v>0.8</v>
      </c>
      <c r="R17" s="111">
        <v>0.2</v>
      </c>
      <c r="S17" s="111">
        <v>1</v>
      </c>
      <c r="T17" s="111">
        <v>0.6</v>
      </c>
      <c r="U17" s="111">
        <v>0.3</v>
      </c>
      <c r="V17" s="115"/>
      <c r="W17" s="58">
        <f t="shared" si="0"/>
        <v>6</v>
      </c>
      <c r="X17" s="68">
        <f t="shared" si="1"/>
        <v>3.8000000000000003</v>
      </c>
      <c r="Y17" s="116">
        <f t="shared" si="2"/>
        <v>9.8000000000000007</v>
      </c>
      <c r="Z17" s="70">
        <f>'[1]cálculos teóricos'!I42</f>
        <v>12.894445074317558</v>
      </c>
      <c r="AA17" s="71">
        <f t="shared" si="3"/>
        <v>76.001719682525149</v>
      </c>
      <c r="AB17" s="3"/>
    </row>
    <row r="18" spans="1:28" ht="18" customHeight="1">
      <c r="A18" s="80">
        <v>10</v>
      </c>
      <c r="B18" s="75">
        <v>31.1</v>
      </c>
      <c r="C18" s="114">
        <f>'[1]cálculos teóricos'!K43</f>
        <v>1.0366564975721508</v>
      </c>
      <c r="D18" s="58">
        <f t="shared" si="4"/>
        <v>469.5274886643918</v>
      </c>
      <c r="E18" s="59">
        <f t="shared" si="5"/>
        <v>19.658176895400754</v>
      </c>
      <c r="F18" s="60">
        <f t="shared" si="6"/>
        <v>24.901803599250943</v>
      </c>
      <c r="G18" s="61">
        <f>'[1]cálculos teóricos'!T43</f>
        <v>40.607186532222627</v>
      </c>
      <c r="H18" s="74">
        <f t="shared" si="7"/>
        <v>61.323636838249939</v>
      </c>
      <c r="I18" s="111"/>
      <c r="J18" s="111">
        <v>1</v>
      </c>
      <c r="K18" s="111">
        <v>1</v>
      </c>
      <c r="L18" s="111">
        <v>1</v>
      </c>
      <c r="M18" s="111">
        <v>1</v>
      </c>
      <c r="N18" s="111">
        <v>1</v>
      </c>
      <c r="O18" s="115">
        <v>1</v>
      </c>
      <c r="P18" s="113">
        <v>1</v>
      </c>
      <c r="Q18" s="111">
        <v>1</v>
      </c>
      <c r="R18" s="111">
        <v>0.8</v>
      </c>
      <c r="S18" s="111">
        <v>0.8</v>
      </c>
      <c r="T18" s="111"/>
      <c r="U18" s="111"/>
      <c r="V18" s="115"/>
      <c r="W18" s="58">
        <f t="shared" si="0"/>
        <v>6</v>
      </c>
      <c r="X18" s="68">
        <f t="shared" si="1"/>
        <v>3.5999999999999996</v>
      </c>
      <c r="Y18" s="116">
        <f t="shared" si="2"/>
        <v>9.6</v>
      </c>
      <c r="Z18" s="70">
        <f>'[1]cálculos teóricos'!I43</f>
        <v>12.874296811277606</v>
      </c>
      <c r="AA18" s="71">
        <f t="shared" si="3"/>
        <v>74.567179401911929</v>
      </c>
      <c r="AB18" s="3"/>
    </row>
    <row r="19" spans="1:28" ht="18" customHeight="1">
      <c r="A19" s="80">
        <v>11</v>
      </c>
      <c r="B19" s="75">
        <v>22.9</v>
      </c>
      <c r="C19" s="114">
        <f>'[1]cálculos teóricos'!K44</f>
        <v>1.0363068859173084</v>
      </c>
      <c r="D19" s="58">
        <f t="shared" si="4"/>
        <v>345.61264712699887</v>
      </c>
      <c r="E19" s="59">
        <f t="shared" si="5"/>
        <v>14.470110309913188</v>
      </c>
      <c r="F19" s="60">
        <f t="shared" si="6"/>
        <v>18.416720367391484</v>
      </c>
      <c r="G19" s="61">
        <f>'[1]cálculos teóricos'!T44</f>
        <v>40.49855146906372</v>
      </c>
      <c r="H19" s="74">
        <f t="shared" si="7"/>
        <v>45.475010091310942</v>
      </c>
      <c r="I19" s="111"/>
      <c r="J19" s="111">
        <v>0.3</v>
      </c>
      <c r="K19" s="111">
        <v>1</v>
      </c>
      <c r="L19" s="111">
        <v>1</v>
      </c>
      <c r="M19" s="111">
        <v>0.9</v>
      </c>
      <c r="N19" s="111">
        <v>0.8</v>
      </c>
      <c r="O19" s="115">
        <v>0.2</v>
      </c>
      <c r="P19" s="113">
        <v>0.8</v>
      </c>
      <c r="Q19" s="111">
        <v>0.2</v>
      </c>
      <c r="R19" s="111"/>
      <c r="S19" s="111"/>
      <c r="T19" s="111"/>
      <c r="U19" s="111"/>
      <c r="V19" s="115"/>
      <c r="W19" s="58">
        <f t="shared" si="0"/>
        <v>4.2</v>
      </c>
      <c r="X19" s="68">
        <f t="shared" si="1"/>
        <v>1</v>
      </c>
      <c r="Y19" s="116">
        <f t="shared" si="2"/>
        <v>5.2</v>
      </c>
      <c r="Z19" s="70">
        <f>'[1]cálculos teóricos'!I44</f>
        <v>12.853955618877693</v>
      </c>
      <c r="AA19" s="71">
        <f t="shared" si="3"/>
        <v>40.454472958994266</v>
      </c>
      <c r="AB19" s="3"/>
    </row>
    <row r="20" spans="1:28" ht="18" customHeight="1">
      <c r="A20" s="80">
        <v>12</v>
      </c>
      <c r="B20" s="75">
        <v>28.7</v>
      </c>
      <c r="C20" s="114">
        <f>'[1]cálculos teóricos'!K45</f>
        <v>1.0359458859177855</v>
      </c>
      <c r="D20" s="58">
        <f t="shared" si="4"/>
        <v>432.99684000447729</v>
      </c>
      <c r="E20" s="59">
        <f t="shared" si="5"/>
        <v>18.128711697307452</v>
      </c>
      <c r="F20" s="60">
        <f t="shared" si="6"/>
        <v>22.989972101634322</v>
      </c>
      <c r="G20" s="61">
        <f>'[1]cálculos teóricos'!T45</f>
        <v>40.387435982518646</v>
      </c>
      <c r="H20" s="74">
        <f t="shared" si="7"/>
        <v>56.923574231316223</v>
      </c>
      <c r="I20" s="111"/>
      <c r="J20" s="111">
        <v>0.1</v>
      </c>
      <c r="K20" s="111">
        <v>0.3</v>
      </c>
      <c r="L20" s="111">
        <v>0.7</v>
      </c>
      <c r="M20" s="111">
        <v>0.3</v>
      </c>
      <c r="N20" s="111">
        <v>1</v>
      </c>
      <c r="O20" s="115">
        <v>0.8</v>
      </c>
      <c r="P20" s="113">
        <v>0.9</v>
      </c>
      <c r="Q20" s="111">
        <v>1</v>
      </c>
      <c r="R20" s="111">
        <v>1</v>
      </c>
      <c r="S20" s="111">
        <v>1</v>
      </c>
      <c r="T20" s="111">
        <v>0.5</v>
      </c>
      <c r="U20" s="111">
        <v>0.2</v>
      </c>
      <c r="V20" s="115"/>
      <c r="W20" s="58">
        <f t="shared" si="0"/>
        <v>3.2</v>
      </c>
      <c r="X20" s="68">
        <f t="shared" si="1"/>
        <v>4.6000000000000005</v>
      </c>
      <c r="Y20" s="116">
        <f t="shared" si="2"/>
        <v>7.8000000000000007</v>
      </c>
      <c r="Z20" s="70">
        <f>'[1]cálculos teóricos'!I45</f>
        <v>12.833429667575025</v>
      </c>
      <c r="AA20" s="71">
        <f t="shared" si="3"/>
        <v>60.778764539517447</v>
      </c>
      <c r="AB20" s="3"/>
    </row>
    <row r="21" spans="1:28" ht="18" customHeight="1">
      <c r="A21" s="80">
        <v>13</v>
      </c>
      <c r="B21" s="75">
        <v>25.1</v>
      </c>
      <c r="C21" s="114">
        <f>'[1]cálculos teóricos'!K46</f>
        <v>1.0355733727732386</v>
      </c>
      <c r="D21" s="58">
        <f t="shared" si="4"/>
        <v>378.54747764101478</v>
      </c>
      <c r="E21" s="59">
        <f t="shared" si="5"/>
        <v>15.849025793874008</v>
      </c>
      <c r="F21" s="60">
        <f t="shared" si="6"/>
        <v>20.140364722342508</v>
      </c>
      <c r="G21" s="61">
        <f>'[1]cálculos teóricos'!T46</f>
        <v>40.273848176901005</v>
      </c>
      <c r="H21" s="74">
        <f t="shared" si="7"/>
        <v>50.008543096941949</v>
      </c>
      <c r="I21" s="111"/>
      <c r="J21" s="111">
        <v>0.2</v>
      </c>
      <c r="K21" s="111">
        <v>0.7</v>
      </c>
      <c r="L21" s="111">
        <v>0.4</v>
      </c>
      <c r="M21" s="111">
        <v>1</v>
      </c>
      <c r="N21" s="111">
        <v>1</v>
      </c>
      <c r="O21" s="115">
        <v>1</v>
      </c>
      <c r="P21" s="113">
        <v>1</v>
      </c>
      <c r="Q21" s="111">
        <v>0.9</v>
      </c>
      <c r="R21" s="111">
        <v>0.9</v>
      </c>
      <c r="S21" s="111">
        <v>0.9</v>
      </c>
      <c r="T21" s="111"/>
      <c r="U21" s="111"/>
      <c r="V21" s="115"/>
      <c r="W21" s="58">
        <f t="shared" si="0"/>
        <v>4.3</v>
      </c>
      <c r="X21" s="68">
        <f t="shared" si="1"/>
        <v>3.6999999999999997</v>
      </c>
      <c r="Y21" s="116">
        <f t="shared" si="2"/>
        <v>8</v>
      </c>
      <c r="Z21" s="70">
        <f>'[1]cálculos teóricos'!I46</f>
        <v>12.812726966366139</v>
      </c>
      <c r="AA21" s="71">
        <f t="shared" si="3"/>
        <v>62.437918336980744</v>
      </c>
      <c r="AB21" s="3"/>
    </row>
    <row r="22" spans="1:28" ht="18" customHeight="1">
      <c r="A22" s="80">
        <v>14</v>
      </c>
      <c r="B22" s="75">
        <v>30.1</v>
      </c>
      <c r="C22" s="114">
        <f>'[1]cálculos teóricos'!K47</f>
        <v>1.0351892293136391</v>
      </c>
      <c r="D22" s="58">
        <f t="shared" si="4"/>
        <v>453.78694806738645</v>
      </c>
      <c r="E22" s="59">
        <f t="shared" si="5"/>
        <v>18.999151941685337</v>
      </c>
      <c r="F22" s="60">
        <f t="shared" si="6"/>
        <v>24.078022407106669</v>
      </c>
      <c r="G22" s="61">
        <f>'[1]cálculos teóricos'!T47</f>
        <v>40.157797706533401</v>
      </c>
      <c r="H22" s="74">
        <f t="shared" si="7"/>
        <v>59.958523082029814</v>
      </c>
      <c r="I22" s="111"/>
      <c r="J22" s="111">
        <v>0.1</v>
      </c>
      <c r="K22" s="111">
        <v>0.9</v>
      </c>
      <c r="L22" s="111">
        <v>1</v>
      </c>
      <c r="M22" s="111">
        <v>1</v>
      </c>
      <c r="N22" s="111">
        <v>1</v>
      </c>
      <c r="O22" s="115">
        <v>1</v>
      </c>
      <c r="P22" s="113">
        <v>1</v>
      </c>
      <c r="Q22" s="111">
        <v>1</v>
      </c>
      <c r="R22" s="111">
        <v>0.8</v>
      </c>
      <c r="S22" s="111">
        <v>0.5</v>
      </c>
      <c r="T22" s="111">
        <v>0.1</v>
      </c>
      <c r="U22" s="111"/>
      <c r="V22" s="115"/>
      <c r="W22" s="58">
        <f t="shared" si="0"/>
        <v>5</v>
      </c>
      <c r="X22" s="68">
        <f t="shared" si="1"/>
        <v>3.4</v>
      </c>
      <c r="Y22" s="116">
        <f t="shared" si="2"/>
        <v>8.4</v>
      </c>
      <c r="Z22" s="70">
        <f>'[1]cálculos teóricos'!I47</f>
        <v>12.791855359544524</v>
      </c>
      <c r="AA22" s="71">
        <f t="shared" si="3"/>
        <v>65.666783776853904</v>
      </c>
      <c r="AB22" s="3"/>
    </row>
    <row r="23" spans="1:28" ht="18" customHeight="1">
      <c r="A23" s="80">
        <v>15</v>
      </c>
      <c r="B23" s="75">
        <v>25.7</v>
      </c>
      <c r="C23" s="114">
        <f>'[1]cálculos teóricos'!K48</f>
        <v>1.0347933462303829</v>
      </c>
      <c r="D23" s="58">
        <f t="shared" si="4"/>
        <v>387.30447147413287</v>
      </c>
      <c r="E23" s="59">
        <f t="shared" si="5"/>
        <v>16.215663611678995</v>
      </c>
      <c r="F23" s="60">
        <f t="shared" si="6"/>
        <v>20.598661994598743</v>
      </c>
      <c r="G23" s="61">
        <f>'[1]cálculos teóricos'!T48</f>
        <v>40.03929579610913</v>
      </c>
      <c r="H23" s="74">
        <f t="shared" si="7"/>
        <v>51.446114585762629</v>
      </c>
      <c r="I23" s="111"/>
      <c r="J23" s="111">
        <v>0.8</v>
      </c>
      <c r="K23" s="111">
        <v>1</v>
      </c>
      <c r="L23" s="111">
        <v>1</v>
      </c>
      <c r="M23" s="111">
        <v>0.9</v>
      </c>
      <c r="N23" s="111">
        <v>0.4</v>
      </c>
      <c r="O23" s="115">
        <v>0.9</v>
      </c>
      <c r="P23" s="113">
        <v>0.1</v>
      </c>
      <c r="Q23" s="111">
        <v>0.6</v>
      </c>
      <c r="R23" s="111">
        <v>0.6</v>
      </c>
      <c r="S23" s="111">
        <v>0.7</v>
      </c>
      <c r="T23" s="111">
        <v>0.1</v>
      </c>
      <c r="U23" s="111"/>
      <c r="V23" s="115"/>
      <c r="W23" s="58">
        <f t="shared" si="0"/>
        <v>5</v>
      </c>
      <c r="X23" s="68">
        <f t="shared" si="1"/>
        <v>2.0999999999999996</v>
      </c>
      <c r="Y23" s="116">
        <f t="shared" si="2"/>
        <v>7.1</v>
      </c>
      <c r="Z23" s="70">
        <f>'[1]cálculos teóricos'!I48</f>
        <v>12.770822524089397</v>
      </c>
      <c r="AA23" s="71">
        <f t="shared" si="3"/>
        <v>55.595479356223017</v>
      </c>
      <c r="AB23" s="3"/>
    </row>
    <row r="24" spans="1:28" ht="18" customHeight="1">
      <c r="A24" s="80">
        <v>16</v>
      </c>
      <c r="B24" s="75">
        <v>29.4</v>
      </c>
      <c r="C24" s="114">
        <f>'[1]cálculos teóricos'!K49</f>
        <v>1.0343856222916303</v>
      </c>
      <c r="D24" s="58">
        <f t="shared" si="4"/>
        <v>442.88968530117825</v>
      </c>
      <c r="E24" s="59">
        <f t="shared" si="5"/>
        <v>18.54290534418973</v>
      </c>
      <c r="F24" s="60">
        <f t="shared" si="6"/>
        <v>23.507714160237164</v>
      </c>
      <c r="G24" s="61">
        <f>'[1]cálculos teóricos'!T49</f>
        <v>39.918355258000474</v>
      </c>
      <c r="H24" s="74">
        <f t="shared" si="7"/>
        <v>58.88948582250449</v>
      </c>
      <c r="I24" s="111"/>
      <c r="J24" s="111">
        <v>0.1</v>
      </c>
      <c r="K24" s="111">
        <v>0.2</v>
      </c>
      <c r="L24" s="111">
        <v>0.9</v>
      </c>
      <c r="M24" s="111">
        <v>0.5</v>
      </c>
      <c r="N24" s="111">
        <v>0.7</v>
      </c>
      <c r="O24" s="115">
        <v>0.9</v>
      </c>
      <c r="P24" s="113">
        <v>0.8</v>
      </c>
      <c r="Q24" s="111">
        <v>1</v>
      </c>
      <c r="R24" s="111">
        <v>1</v>
      </c>
      <c r="S24" s="111">
        <v>1</v>
      </c>
      <c r="T24" s="111">
        <v>0.3</v>
      </c>
      <c r="U24" s="111"/>
      <c r="V24" s="115"/>
      <c r="W24" s="58">
        <f t="shared" si="0"/>
        <v>3.3000000000000003</v>
      </c>
      <c r="X24" s="68">
        <f t="shared" si="1"/>
        <v>4.0999999999999996</v>
      </c>
      <c r="Y24" s="116">
        <f t="shared" si="2"/>
        <v>7.4</v>
      </c>
      <c r="Z24" s="70">
        <f>'[1]cálculos teóricos'!I49</f>
        <v>12.749635967663192</v>
      </c>
      <c r="AA24" s="71">
        <f t="shared" si="3"/>
        <v>58.040872843495812</v>
      </c>
      <c r="AB24" s="3"/>
    </row>
    <row r="25" spans="1:28" ht="18" customHeight="1">
      <c r="A25" s="80">
        <v>17</v>
      </c>
      <c r="B25" s="75">
        <v>23.9</v>
      </c>
      <c r="C25" s="114">
        <f>'[1]cálculos teóricos'!K50</f>
        <v>1.0339659645420316</v>
      </c>
      <c r="D25" s="58">
        <f t="shared" si="4"/>
        <v>359.89010345812824</v>
      </c>
      <c r="E25" s="59">
        <f t="shared" si="5"/>
        <v>15.067878851584913</v>
      </c>
      <c r="F25" s="60">
        <f t="shared" si="6"/>
        <v>19.163931044481139</v>
      </c>
      <c r="G25" s="61">
        <f>'[1]cálculos teóricos'!T50</f>
        <v>39.794990506538213</v>
      </c>
      <c r="H25" s="74">
        <f t="shared" si="7"/>
        <v>48.156641829912125</v>
      </c>
      <c r="I25" s="111"/>
      <c r="J25" s="111">
        <v>0.5</v>
      </c>
      <c r="K25" s="111">
        <v>1</v>
      </c>
      <c r="L25" s="111">
        <v>1</v>
      </c>
      <c r="M25" s="111">
        <v>1</v>
      </c>
      <c r="N25" s="111">
        <v>0.6</v>
      </c>
      <c r="O25" s="115">
        <v>0.9</v>
      </c>
      <c r="P25" s="113">
        <v>1</v>
      </c>
      <c r="Q25" s="111">
        <v>1</v>
      </c>
      <c r="R25" s="111">
        <v>0.2</v>
      </c>
      <c r="S25" s="111"/>
      <c r="T25" s="111"/>
      <c r="U25" s="111"/>
      <c r="V25" s="115"/>
      <c r="W25" s="58">
        <f t="shared" si="0"/>
        <v>5</v>
      </c>
      <c r="X25" s="68">
        <f t="shared" si="1"/>
        <v>2.2000000000000002</v>
      </c>
      <c r="Y25" s="116">
        <f t="shared" si="2"/>
        <v>7.2</v>
      </c>
      <c r="Z25" s="70">
        <f>'[1]cálculos teóricos'!I50</f>
        <v>12.728303027194645</v>
      </c>
      <c r="AA25" s="71">
        <f t="shared" si="3"/>
        <v>56.566849364104911</v>
      </c>
      <c r="AB25" s="3"/>
    </row>
    <row r="26" spans="1:28" ht="18" customHeight="1">
      <c r="A26" s="80">
        <v>18</v>
      </c>
      <c r="B26" s="75">
        <v>25.1</v>
      </c>
      <c r="C26" s="114">
        <f>'[1]cálculos teóricos'!K51</f>
        <v>1.0335342884870602</v>
      </c>
      <c r="D26" s="58">
        <f t="shared" si="4"/>
        <v>377.80210292057075</v>
      </c>
      <c r="E26" s="59">
        <f t="shared" si="5"/>
        <v>15.817818445078455</v>
      </c>
      <c r="F26" s="60">
        <f t="shared" si="6"/>
        <v>20.10135553634807</v>
      </c>
      <c r="G26" s="61">
        <f>'[1]cálculos teóricos'!T51</f>
        <v>39.669217569298148</v>
      </c>
      <c r="H26" s="74">
        <f t="shared" si="7"/>
        <v>50.672427559815155</v>
      </c>
      <c r="I26" s="111"/>
      <c r="J26" s="111">
        <v>0.5</v>
      </c>
      <c r="K26" s="111">
        <v>0.5</v>
      </c>
      <c r="L26" s="111">
        <v>1</v>
      </c>
      <c r="M26" s="111">
        <v>1</v>
      </c>
      <c r="N26" s="111">
        <v>0.9</v>
      </c>
      <c r="O26" s="115">
        <v>0.5</v>
      </c>
      <c r="P26" s="113">
        <v>1</v>
      </c>
      <c r="Q26" s="111">
        <v>0.5</v>
      </c>
      <c r="R26" s="111">
        <v>0.1</v>
      </c>
      <c r="S26" s="111"/>
      <c r="T26" s="111"/>
      <c r="U26" s="111">
        <v>0.3</v>
      </c>
      <c r="V26" s="115"/>
      <c r="W26" s="58">
        <f t="shared" si="0"/>
        <v>4.4000000000000004</v>
      </c>
      <c r="X26" s="68">
        <f t="shared" si="1"/>
        <v>1.9000000000000001</v>
      </c>
      <c r="Y26" s="116">
        <f t="shared" si="2"/>
        <v>6.3000000000000007</v>
      </c>
      <c r="Z26" s="70">
        <f>'[1]cálculos teóricos'!I51</f>
        <v>12.706830868023706</v>
      </c>
      <c r="AA26" s="71">
        <f t="shared" si="3"/>
        <v>49.579632131987609</v>
      </c>
      <c r="AB26" s="3"/>
    </row>
    <row r="27" spans="1:28" ht="18" customHeight="1">
      <c r="A27" s="80">
        <v>19</v>
      </c>
      <c r="B27" s="117">
        <v>-99</v>
      </c>
      <c r="C27" s="114">
        <f>'[1]cálculos teóricos'!K52</f>
        <v>1.033090518262219</v>
      </c>
      <c r="D27" s="58">
        <f t="shared" si="4"/>
        <v>-999</v>
      </c>
      <c r="E27" s="59">
        <f t="shared" si="5"/>
        <v>-999</v>
      </c>
      <c r="F27" s="60">
        <f t="shared" si="6"/>
        <v>-999</v>
      </c>
      <c r="G27" s="61">
        <f>'[1]cálculos teóricos'!T52</f>
        <v>39.54105409544276</v>
      </c>
      <c r="H27" s="74">
        <f t="shared" si="7"/>
        <v>-999</v>
      </c>
      <c r="I27" s="111"/>
      <c r="J27" s="111">
        <v>0.6</v>
      </c>
      <c r="K27" s="111">
        <v>1</v>
      </c>
      <c r="L27" s="111">
        <v>1</v>
      </c>
      <c r="M27" s="111">
        <v>1</v>
      </c>
      <c r="N27" s="111">
        <v>0.9</v>
      </c>
      <c r="O27" s="115">
        <v>1</v>
      </c>
      <c r="P27" s="113">
        <v>0.6</v>
      </c>
      <c r="Q27" s="111">
        <v>0.3</v>
      </c>
      <c r="R27" s="111">
        <v>0.6</v>
      </c>
      <c r="S27" s="111">
        <v>0.8</v>
      </c>
      <c r="T27" s="111">
        <v>0.2</v>
      </c>
      <c r="U27" s="111"/>
      <c r="V27" s="115"/>
      <c r="W27" s="58">
        <f t="shared" si="0"/>
        <v>5.5</v>
      </c>
      <c r="X27" s="68">
        <f t="shared" si="1"/>
        <v>2.5</v>
      </c>
      <c r="Y27" s="116">
        <f t="shared" si="2"/>
        <v>8</v>
      </c>
      <c r="Z27" s="70">
        <f>'[1]cálculos teóricos'!I52</f>
        <v>12.685226483584112</v>
      </c>
      <c r="AA27" s="71">
        <f t="shared" si="3"/>
        <v>63.065488112118139</v>
      </c>
      <c r="AB27" s="3"/>
    </row>
    <row r="28" spans="1:28" ht="18" customHeight="1">
      <c r="A28" s="80">
        <v>20</v>
      </c>
      <c r="B28" s="117">
        <v>-99</v>
      </c>
      <c r="C28" s="114">
        <f>'[1]cálculos teóricos'!K53</f>
        <v>1.0326345867874447</v>
      </c>
      <c r="D28" s="58">
        <f t="shared" si="4"/>
        <v>-999</v>
      </c>
      <c r="E28" s="59">
        <f t="shared" si="5"/>
        <v>-999</v>
      </c>
      <c r="F28" s="60">
        <f t="shared" si="6"/>
        <v>-999</v>
      </c>
      <c r="G28" s="61">
        <f>'[1]cálculos teóricos'!T53</f>
        <v>39.410519361176185</v>
      </c>
      <c r="H28" s="74">
        <f t="shared" si="7"/>
        <v>-999</v>
      </c>
      <c r="I28" s="111"/>
      <c r="J28" s="111">
        <v>0.3</v>
      </c>
      <c r="K28" s="111">
        <v>1</v>
      </c>
      <c r="L28" s="111">
        <v>1</v>
      </c>
      <c r="M28" s="111">
        <v>1</v>
      </c>
      <c r="N28" s="111">
        <v>1</v>
      </c>
      <c r="O28" s="115">
        <v>1</v>
      </c>
      <c r="P28" s="113">
        <v>1</v>
      </c>
      <c r="Q28" s="111">
        <v>1</v>
      </c>
      <c r="R28" s="111">
        <v>1</v>
      </c>
      <c r="S28" s="111">
        <v>0.3</v>
      </c>
      <c r="T28" s="111"/>
      <c r="U28" s="111"/>
      <c r="V28" s="115"/>
      <c r="W28" s="58">
        <f t="shared" si="0"/>
        <v>5.3</v>
      </c>
      <c r="X28" s="68">
        <f t="shared" si="1"/>
        <v>3.3</v>
      </c>
      <c r="Y28" s="116">
        <f t="shared" si="2"/>
        <v>8.6</v>
      </c>
      <c r="Z28" s="70">
        <f>'[1]cálculos teóricos'!I53</f>
        <v>12.663496695599086</v>
      </c>
      <c r="AA28" s="71">
        <f t="shared" si="3"/>
        <v>67.911732491616917</v>
      </c>
      <c r="AB28" s="3"/>
    </row>
    <row r="29" spans="1:28" ht="18" customHeight="1">
      <c r="A29" s="80">
        <v>21</v>
      </c>
      <c r="B29" s="75">
        <v>28.8</v>
      </c>
      <c r="C29" s="114">
        <f>'[1]cálculos teóricos'!K54</f>
        <v>1.032166435907075</v>
      </c>
      <c r="D29" s="58">
        <f t="shared" si="4"/>
        <v>432.92032961278142</v>
      </c>
      <c r="E29" s="59">
        <f t="shared" si="5"/>
        <v>18.125508360227933</v>
      </c>
      <c r="F29" s="60">
        <f t="shared" si="6"/>
        <v>22.985967930284918</v>
      </c>
      <c r="G29" s="61">
        <f>'[1]cálculos teóricos'!T54</f>
        <v>39.277634272380226</v>
      </c>
      <c r="H29" s="74">
        <f t="shared" si="7"/>
        <v>58.521772902316826</v>
      </c>
      <c r="I29" s="111"/>
      <c r="J29" s="111">
        <v>0.8</v>
      </c>
      <c r="K29" s="111">
        <v>1</v>
      </c>
      <c r="L29" s="111">
        <v>1</v>
      </c>
      <c r="M29" s="111">
        <v>1</v>
      </c>
      <c r="N29" s="111">
        <v>1</v>
      </c>
      <c r="O29" s="115">
        <v>0.9</v>
      </c>
      <c r="P29" s="113">
        <v>0.9</v>
      </c>
      <c r="Q29" s="111">
        <v>0.5</v>
      </c>
      <c r="R29" s="111">
        <v>0.9</v>
      </c>
      <c r="S29" s="111">
        <v>0.4</v>
      </c>
      <c r="T29" s="111"/>
      <c r="U29" s="111"/>
      <c r="V29" s="115"/>
      <c r="W29" s="58">
        <f t="shared" si="0"/>
        <v>5.7</v>
      </c>
      <c r="X29" s="68">
        <f t="shared" si="1"/>
        <v>2.6999999999999997</v>
      </c>
      <c r="Y29" s="116">
        <f t="shared" si="2"/>
        <v>8.4</v>
      </c>
      <c r="Z29" s="70">
        <f>'[1]cálculos teóricos'!I54</f>
        <v>12.641648154765646</v>
      </c>
      <c r="AA29" s="71">
        <f t="shared" si="3"/>
        <v>66.447032041730807</v>
      </c>
      <c r="AB29" s="3"/>
    </row>
    <row r="30" spans="1:28" ht="18" customHeight="1">
      <c r="A30" s="80">
        <v>22</v>
      </c>
      <c r="B30" s="75">
        <v>28.9</v>
      </c>
      <c r="C30" s="114">
        <f>'[1]cálculos teóricos'!K55</f>
        <v>1.0316860165157933</v>
      </c>
      <c r="D30" s="58">
        <f t="shared" si="4"/>
        <v>434.22132381415213</v>
      </c>
      <c r="E30" s="59">
        <f t="shared" si="5"/>
        <v>18.179978385450919</v>
      </c>
      <c r="F30" s="60">
        <f t="shared" si="6"/>
        <v>23.05405546181365</v>
      </c>
      <c r="G30" s="61">
        <f>'[1]cálculos teóricos'!T55</f>
        <v>39.142421364509971</v>
      </c>
      <c r="H30" s="74">
        <f t="shared" si="7"/>
        <v>58.897877694190178</v>
      </c>
      <c r="I30" s="111"/>
      <c r="J30" s="111">
        <v>0.8</v>
      </c>
      <c r="K30" s="111">
        <v>1</v>
      </c>
      <c r="L30" s="111">
        <v>1</v>
      </c>
      <c r="M30" s="111">
        <v>1</v>
      </c>
      <c r="N30" s="111">
        <v>1</v>
      </c>
      <c r="O30" s="115">
        <v>1</v>
      </c>
      <c r="P30" s="113">
        <v>1</v>
      </c>
      <c r="Q30" s="111">
        <v>0.8</v>
      </c>
      <c r="R30" s="111">
        <v>0.5</v>
      </c>
      <c r="S30" s="111">
        <v>0.6</v>
      </c>
      <c r="T30" s="111">
        <v>0.6</v>
      </c>
      <c r="U30" s="111"/>
      <c r="V30" s="115"/>
      <c r="W30" s="58">
        <f t="shared" si="0"/>
        <v>5.8</v>
      </c>
      <c r="X30" s="68">
        <f t="shared" si="1"/>
        <v>3.5</v>
      </c>
      <c r="Y30" s="116">
        <f t="shared" si="2"/>
        <v>9.3000000000000007</v>
      </c>
      <c r="Z30" s="70">
        <f>'[1]cálculos teóricos'!I55</f>
        <v>12.619687341902916</v>
      </c>
      <c r="AA30" s="71">
        <f t="shared" si="3"/>
        <v>73.694377269711808</v>
      </c>
      <c r="AB30" s="3"/>
    </row>
    <row r="31" spans="1:28" ht="18" customHeight="1">
      <c r="A31" s="80">
        <v>23</v>
      </c>
      <c r="B31" s="75">
        <v>24</v>
      </c>
      <c r="C31" s="114">
        <f>'[1]cálculos teóricos'!K56</f>
        <v>1.0311932886709996</v>
      </c>
      <c r="D31" s="58">
        <f t="shared" si="4"/>
        <v>360.42680302944245</v>
      </c>
      <c r="E31" s="59">
        <f t="shared" si="5"/>
        <v>15.090349389236696</v>
      </c>
      <c r="F31" s="60">
        <f t="shared" si="6"/>
        <v>19.192019216545869</v>
      </c>
      <c r="G31" s="61">
        <f>'[1]cálculos teóricos'!T56</f>
        <v>39.004904799834748</v>
      </c>
      <c r="H31" s="74">
        <f t="shared" si="7"/>
        <v>49.204117571970535</v>
      </c>
      <c r="I31" s="111"/>
      <c r="J31" s="111">
        <v>0.5</v>
      </c>
      <c r="K31" s="111">
        <v>1</v>
      </c>
      <c r="L31" s="111">
        <v>1</v>
      </c>
      <c r="M31" s="111">
        <v>1</v>
      </c>
      <c r="N31" s="111">
        <v>1</v>
      </c>
      <c r="O31" s="115">
        <v>1</v>
      </c>
      <c r="P31" s="113">
        <v>0.9</v>
      </c>
      <c r="Q31" s="111"/>
      <c r="R31" s="111"/>
      <c r="S31" s="111"/>
      <c r="T31" s="111"/>
      <c r="U31" s="111"/>
      <c r="V31" s="115"/>
      <c r="W31" s="58">
        <f t="shared" si="0"/>
        <v>5.5</v>
      </c>
      <c r="X31" s="68">
        <f t="shared" si="1"/>
        <v>0.9</v>
      </c>
      <c r="Y31" s="116">
        <f t="shared" si="2"/>
        <v>6.4</v>
      </c>
      <c r="Z31" s="70">
        <f>'[1]cálculos teóricos'!I56</f>
        <v>12.597620569540034</v>
      </c>
      <c r="AA31" s="71">
        <f t="shared" si="3"/>
        <v>50.803244665700213</v>
      </c>
      <c r="AB31" s="3"/>
    </row>
    <row r="32" spans="1:28" ht="18" customHeight="1">
      <c r="A32" s="80">
        <v>24</v>
      </c>
      <c r="B32" s="75">
        <v>31.6</v>
      </c>
      <c r="C32" s="114">
        <f>'[1]cálculos teóricos'!K57</f>
        <v>1.0306882216920989</v>
      </c>
      <c r="D32" s="58">
        <f t="shared" si="4"/>
        <v>474.3295221649671</v>
      </c>
      <c r="E32" s="59">
        <f t="shared" si="5"/>
        <v>19.859228434002841</v>
      </c>
      <c r="F32" s="60">
        <f t="shared" si="6"/>
        <v>25.153118022503548</v>
      </c>
      <c r="G32" s="61">
        <f>'[1]cálculos teóricos'!T57</f>
        <v>38.865110362118791</v>
      </c>
      <c r="H32" s="74">
        <f t="shared" si="7"/>
        <v>64.719018647171779</v>
      </c>
      <c r="I32" s="111"/>
      <c r="J32" s="111">
        <v>0.4</v>
      </c>
      <c r="K32" s="111">
        <v>1</v>
      </c>
      <c r="L32" s="111">
        <v>1</v>
      </c>
      <c r="M32" s="111">
        <v>1</v>
      </c>
      <c r="N32" s="111">
        <v>1</v>
      </c>
      <c r="O32" s="115">
        <v>1</v>
      </c>
      <c r="P32" s="113">
        <v>1</v>
      </c>
      <c r="Q32" s="111">
        <v>1</v>
      </c>
      <c r="R32" s="111">
        <v>1</v>
      </c>
      <c r="S32" s="111">
        <v>1</v>
      </c>
      <c r="T32" s="111"/>
      <c r="U32" s="111"/>
      <c r="V32" s="115"/>
      <c r="W32" s="58">
        <f t="shared" si="0"/>
        <v>5.4</v>
      </c>
      <c r="X32" s="68">
        <f t="shared" si="1"/>
        <v>4</v>
      </c>
      <c r="Y32" s="116">
        <f t="shared" si="2"/>
        <v>9.4</v>
      </c>
      <c r="Z32" s="70">
        <f>'[1]cálculos teóricos'!I57</f>
        <v>12.575453983919491</v>
      </c>
      <c r="AA32" s="71">
        <f t="shared" si="3"/>
        <v>74.748792465226188</v>
      </c>
      <c r="AB32" s="3"/>
    </row>
    <row r="33" spans="1:28" ht="18" customHeight="1">
      <c r="A33" s="80">
        <v>25</v>
      </c>
      <c r="B33" s="75">
        <v>31.5</v>
      </c>
      <c r="C33" s="114">
        <f>'[1]cálculos teóricos'!K58</f>
        <v>1.0301707942472205</v>
      </c>
      <c r="D33" s="58">
        <f t="shared" si="4"/>
        <v>472.59110940361097</v>
      </c>
      <c r="E33" s="59">
        <f t="shared" si="5"/>
        <v>19.786444568510383</v>
      </c>
      <c r="F33" s="60">
        <f t="shared" si="6"/>
        <v>25.062138190637981</v>
      </c>
      <c r="G33" s="61">
        <f>'[1]cálculos teóricos'!T58</f>
        <v>38.723065448843045</v>
      </c>
      <c r="H33" s="74">
        <f t="shared" si="7"/>
        <v>64.721472590406137</v>
      </c>
      <c r="I33" s="111"/>
      <c r="J33" s="111">
        <v>0.4</v>
      </c>
      <c r="K33" s="111">
        <v>0.4</v>
      </c>
      <c r="L33" s="111">
        <v>0.6</v>
      </c>
      <c r="M33" s="111">
        <v>1</v>
      </c>
      <c r="N33" s="111">
        <v>1</v>
      </c>
      <c r="O33" s="115">
        <v>1</v>
      </c>
      <c r="P33" s="113">
        <v>0.8</v>
      </c>
      <c r="Q33" s="111">
        <v>1</v>
      </c>
      <c r="R33" s="111">
        <v>1</v>
      </c>
      <c r="S33" s="111">
        <v>0.6</v>
      </c>
      <c r="T33" s="111">
        <v>0.5</v>
      </c>
      <c r="U33" s="111">
        <v>0.2</v>
      </c>
      <c r="V33" s="115"/>
      <c r="W33" s="58">
        <f t="shared" si="0"/>
        <v>4.4000000000000004</v>
      </c>
      <c r="X33" s="68">
        <f t="shared" si="1"/>
        <v>4.0999999999999996</v>
      </c>
      <c r="Y33" s="116">
        <f t="shared" si="2"/>
        <v>8.5</v>
      </c>
      <c r="Z33" s="70">
        <f>'[1]cálculos teóricos'!I58</f>
        <v>12.553193567392162</v>
      </c>
      <c r="AA33" s="71">
        <f t="shared" si="3"/>
        <v>67.711853197893575</v>
      </c>
      <c r="AB33" s="3"/>
    </row>
    <row r="34" spans="1:28" ht="18" customHeight="1">
      <c r="A34" s="80">
        <v>26</v>
      </c>
      <c r="B34" s="75">
        <v>34.5</v>
      </c>
      <c r="C34" s="114">
        <f>'[1]cálculos teóricos'!K59</f>
        <v>1.0296409944279203</v>
      </c>
      <c r="D34" s="58">
        <f t="shared" si="4"/>
        <v>517.33359347111013</v>
      </c>
      <c r="E34" s="59">
        <f t="shared" si="5"/>
        <v>21.659722891448435</v>
      </c>
      <c r="F34" s="60">
        <f t="shared" si="6"/>
        <v>27.403736094310553</v>
      </c>
      <c r="G34" s="61">
        <f>'[1]cálculos teóricos'!T59</f>
        <v>38.578799061075529</v>
      </c>
      <c r="H34" s="74">
        <f t="shared" si="7"/>
        <v>71.033149712428013</v>
      </c>
      <c r="I34" s="111"/>
      <c r="J34" s="111">
        <v>0.6</v>
      </c>
      <c r="K34" s="111">
        <v>1</v>
      </c>
      <c r="L34" s="111">
        <v>1</v>
      </c>
      <c r="M34" s="111">
        <v>1</v>
      </c>
      <c r="N34" s="111">
        <v>1</v>
      </c>
      <c r="O34" s="115">
        <v>1</v>
      </c>
      <c r="P34" s="113">
        <v>1</v>
      </c>
      <c r="Q34" s="111">
        <v>1</v>
      </c>
      <c r="R34" s="111">
        <v>1</v>
      </c>
      <c r="S34" s="111">
        <v>1</v>
      </c>
      <c r="T34" s="111">
        <v>1</v>
      </c>
      <c r="U34" s="111">
        <v>0.1</v>
      </c>
      <c r="V34" s="115"/>
      <c r="W34" s="58">
        <f t="shared" si="0"/>
        <v>5.6</v>
      </c>
      <c r="X34" s="68">
        <f t="shared" si="1"/>
        <v>5.0999999999999996</v>
      </c>
      <c r="Y34" s="116">
        <f t="shared" si="2"/>
        <v>10.7</v>
      </c>
      <c r="Z34" s="70">
        <f>'[1]cálculos teóricos'!I59</f>
        <v>12.530845141180563</v>
      </c>
      <c r="AA34" s="71">
        <f t="shared" si="3"/>
        <v>85.389292417605645</v>
      </c>
      <c r="AB34" s="3"/>
    </row>
    <row r="35" spans="1:28" ht="18" customHeight="1">
      <c r="A35" s="80">
        <v>27</v>
      </c>
      <c r="B35" s="75">
        <v>28.9</v>
      </c>
      <c r="C35" s="114">
        <f>'[1]cálculos teóricos'!K60</f>
        <v>1.0290988198124356</v>
      </c>
      <c r="D35" s="58">
        <f t="shared" si="4"/>
        <v>433.13241114157989</v>
      </c>
      <c r="E35" s="59">
        <f t="shared" si="5"/>
        <v>18.134387789675667</v>
      </c>
      <c r="F35" s="60">
        <f t="shared" si="6"/>
        <v>22.997067217094585</v>
      </c>
      <c r="G35" s="61">
        <f>'[1]cálculos teóricos'!T60</f>
        <v>38.432341791103383</v>
      </c>
      <c r="H35" s="74">
        <f t="shared" si="7"/>
        <v>59.837798440942585</v>
      </c>
      <c r="I35" s="111"/>
      <c r="J35" s="111"/>
      <c r="K35" s="111">
        <v>0.6</v>
      </c>
      <c r="L35" s="111">
        <v>1</v>
      </c>
      <c r="M35" s="111">
        <v>1</v>
      </c>
      <c r="N35" s="111">
        <v>1</v>
      </c>
      <c r="O35" s="115">
        <v>1</v>
      </c>
      <c r="P35" s="113">
        <v>0.9</v>
      </c>
      <c r="Q35" s="111">
        <v>0.9</v>
      </c>
      <c r="R35" s="111">
        <v>1</v>
      </c>
      <c r="S35" s="111">
        <v>0.8</v>
      </c>
      <c r="T35" s="111"/>
      <c r="U35" s="111"/>
      <c r="V35" s="115"/>
      <c r="W35" s="58">
        <f t="shared" si="0"/>
        <v>4.5999999999999996</v>
      </c>
      <c r="X35" s="68">
        <f t="shared" si="1"/>
        <v>3.5999999999999996</v>
      </c>
      <c r="Y35" s="116">
        <f t="shared" si="2"/>
        <v>8.1999999999999993</v>
      </c>
      <c r="Z35" s="70">
        <f>'[1]cálculos teóricos'!I60</f>
        <v>12.508414368487685</v>
      </c>
      <c r="AA35" s="71">
        <f t="shared" si="3"/>
        <v>65.555871099522989</v>
      </c>
      <c r="AB35" s="3"/>
    </row>
    <row r="36" spans="1:28" ht="18" customHeight="1">
      <c r="A36" s="80">
        <v>28</v>
      </c>
      <c r="B36" s="75">
        <v>31.5</v>
      </c>
      <c r="C36" s="114">
        <f>'[1]cálculos teóricos'!K61</f>
        <v>1.0285442775180771</v>
      </c>
      <c r="D36" s="58">
        <f t="shared" si="4"/>
        <v>471.84494444748725</v>
      </c>
      <c r="E36" s="59">
        <f t="shared" si="5"/>
        <v>19.755204134127396</v>
      </c>
      <c r="F36" s="60">
        <f t="shared" si="6"/>
        <v>25.023087647659246</v>
      </c>
      <c r="G36" s="61">
        <f>'[1]cálculos teóricos'!T61</f>
        <v>38.283725807943732</v>
      </c>
      <c r="H36" s="74">
        <f t="shared" si="7"/>
        <v>65.362205792590458</v>
      </c>
      <c r="I36" s="111"/>
      <c r="J36" s="111">
        <v>0.5</v>
      </c>
      <c r="K36" s="111">
        <v>1</v>
      </c>
      <c r="L36" s="111">
        <v>1</v>
      </c>
      <c r="M36" s="111">
        <v>1</v>
      </c>
      <c r="N36" s="111">
        <v>1</v>
      </c>
      <c r="O36" s="115">
        <v>1</v>
      </c>
      <c r="P36" s="113">
        <v>1</v>
      </c>
      <c r="Q36" s="111">
        <v>1</v>
      </c>
      <c r="R36" s="111">
        <v>1</v>
      </c>
      <c r="S36" s="111">
        <v>1</v>
      </c>
      <c r="T36" s="111">
        <v>0.9</v>
      </c>
      <c r="U36" s="111"/>
      <c r="V36" s="115"/>
      <c r="W36" s="58">
        <f t="shared" si="0"/>
        <v>5.5</v>
      </c>
      <c r="X36" s="68">
        <f t="shared" si="1"/>
        <v>4.9000000000000004</v>
      </c>
      <c r="Y36" s="116">
        <f t="shared" si="2"/>
        <v>10.4</v>
      </c>
      <c r="Z36" s="70">
        <f>'[1]cálculos teóricos'!I61</f>
        <v>12.485906757928969</v>
      </c>
      <c r="AA36" s="71">
        <f t="shared" si="3"/>
        <v>83.293910499496974</v>
      </c>
      <c r="AB36" s="3"/>
    </row>
    <row r="37" spans="1:28" ht="18" customHeight="1">
      <c r="A37" s="80">
        <v>29</v>
      </c>
      <c r="B37" s="75"/>
      <c r="C37" s="114"/>
      <c r="D37" s="58"/>
      <c r="E37" s="59"/>
      <c r="F37" s="60"/>
      <c r="G37" s="61"/>
      <c r="H37" s="74"/>
      <c r="I37" s="79"/>
      <c r="J37" s="81"/>
      <c r="K37" s="81"/>
      <c r="L37" s="81"/>
      <c r="M37" s="81"/>
      <c r="N37" s="81"/>
      <c r="O37" s="76"/>
      <c r="P37" s="82"/>
      <c r="Q37" s="81"/>
      <c r="R37" s="81"/>
      <c r="S37" s="81"/>
      <c r="T37" s="81"/>
      <c r="U37" s="81"/>
      <c r="V37" s="77"/>
      <c r="W37" s="58"/>
      <c r="X37" s="68"/>
      <c r="Y37" s="116"/>
      <c r="Z37" s="70"/>
      <c r="AA37" s="71"/>
      <c r="AB37" s="3"/>
    </row>
    <row r="38" spans="1:28" ht="18" customHeight="1" thickBot="1">
      <c r="A38" s="118"/>
      <c r="B38" s="87"/>
      <c r="C38" s="88"/>
      <c r="D38" s="89"/>
      <c r="E38" s="119"/>
      <c r="F38" s="91"/>
      <c r="G38" s="92"/>
      <c r="H38" s="93"/>
      <c r="I38" s="94"/>
      <c r="J38" s="87"/>
      <c r="K38" s="87"/>
      <c r="L38" s="87"/>
      <c r="M38" s="87"/>
      <c r="N38" s="87"/>
      <c r="O38" s="95"/>
      <c r="P38" s="94"/>
      <c r="Q38" s="87"/>
      <c r="R38" s="87"/>
      <c r="S38" s="87"/>
      <c r="T38" s="87"/>
      <c r="U38" s="87"/>
      <c r="V38" s="95"/>
      <c r="W38" s="120"/>
      <c r="X38" s="121"/>
      <c r="Y38" s="122"/>
      <c r="Z38" s="123"/>
      <c r="AA38" s="124"/>
      <c r="AB38" s="3"/>
    </row>
    <row r="39" spans="1:28" s="105" customFormat="1" ht="15.75" thickTop="1">
      <c r="A39" s="100"/>
      <c r="B39" s="100"/>
      <c r="C39" s="100"/>
      <c r="D39" s="100"/>
      <c r="E39" s="100"/>
      <c r="F39" s="100"/>
      <c r="G39" s="100"/>
      <c r="H39" s="100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6">
        <f>SUM(W9:W37)</f>
        <v>109.5</v>
      </c>
      <c r="X39" s="126">
        <f>SUM(X9:X37)</f>
        <v>79.2</v>
      </c>
      <c r="Y39" s="126">
        <f>SUM(Y9:Y37)</f>
        <v>188.70000000000002</v>
      </c>
      <c r="Z39" s="126"/>
      <c r="AA39" s="126"/>
      <c r="AB39" s="100"/>
    </row>
    <row r="40" spans="1:28" s="105" customFormat="1" ht="15">
      <c r="A40" s="100"/>
      <c r="B40" s="100" t="s">
        <v>50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 spans="1:28" s="105" customFormat="1" ht="15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 t="s">
        <v>51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 t="s">
        <v>52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 t="s">
        <v>53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 t="s">
        <v>54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>
      <c r="A50" s="3"/>
      <c r="B50" s="100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0" t="s">
        <v>56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B54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62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63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64</v>
      </c>
      <c r="C3" s="3"/>
      <c r="D3" s="107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65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7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72">
        <v>1</v>
      </c>
      <c r="B9" s="56">
        <v>21.4</v>
      </c>
      <c r="C9" s="73">
        <f>'[1]cálculos teóricos'!K63</f>
        <v>1.0279773842433713</v>
      </c>
      <c r="D9" s="58">
        <f>IF(B9&gt;0,B9*C9*14.25*1.022,-999)</f>
        <v>320.37830079816638</v>
      </c>
      <c r="E9" s="59">
        <f>IF(B9&gt;0,D9*4.1868/100,-999)</f>
        <v>13.413598697817628</v>
      </c>
      <c r="F9" s="60">
        <f>IF(B9&gt;0,(7.86+1.25*D9)*4.1868/100,-999)</f>
        <v>17.096080852272038</v>
      </c>
      <c r="G9" s="61">
        <f>'[1]cálculos teóricos'!T63</f>
        <v>38.132984840855237</v>
      </c>
      <c r="H9" s="62">
        <f>IF(B9&gt;0,100*F9/G9,-999)</f>
        <v>44.832789574750251</v>
      </c>
      <c r="I9" s="128"/>
      <c r="J9" s="128">
        <v>0.4</v>
      </c>
      <c r="K9" s="128">
        <v>1</v>
      </c>
      <c r="L9" s="128">
        <v>1</v>
      </c>
      <c r="M9" s="128">
        <v>1</v>
      </c>
      <c r="N9" s="128">
        <v>1</v>
      </c>
      <c r="O9" s="129">
        <v>1</v>
      </c>
      <c r="P9" s="130">
        <v>0.4</v>
      </c>
      <c r="Q9" s="128"/>
      <c r="R9" s="128"/>
      <c r="S9" s="128"/>
      <c r="T9" s="128"/>
      <c r="U9" s="128"/>
      <c r="V9" s="64"/>
      <c r="W9" s="58">
        <f t="shared" ref="W9:W39" si="0">SUM(I9:O9)</f>
        <v>5.4</v>
      </c>
      <c r="X9" s="68">
        <f t="shared" ref="X9:X30" si="1">SUM(P9:V9)</f>
        <v>0.4</v>
      </c>
      <c r="Y9" s="78">
        <f t="shared" ref="Y9:Y30" si="2">W9+X9</f>
        <v>5.8000000000000007</v>
      </c>
      <c r="Z9" s="70">
        <f>'[1]cálculos teóricos'!I63</f>
        <v>12.463327667266025</v>
      </c>
      <c r="AA9" s="71">
        <f>100*Y9/Z9</f>
        <v>46.536528243843385</v>
      </c>
      <c r="AB9" s="3"/>
    </row>
    <row r="10" spans="1:28" ht="18" customHeight="1">
      <c r="A10" s="72">
        <v>2</v>
      </c>
      <c r="B10" s="56">
        <v>32.299999999999997</v>
      </c>
      <c r="C10" s="114">
        <f>'[1]cálculos teóricos'!K64</f>
        <v>1.027398166300562</v>
      </c>
      <c r="D10" s="58">
        <f>IF(B10&gt;0,B10*C10*14.25*1.022,-999)</f>
        <v>483.28917619585894</v>
      </c>
      <c r="E10" s="59">
        <f>IF(B10&gt;0,D10*4.1868/100,-999)</f>
        <v>20.234351228968222</v>
      </c>
      <c r="F10" s="60">
        <f>IF(B10&gt;0,(7.86+1.25*D10)*4.1868/100,-999)</f>
        <v>25.622021516210275</v>
      </c>
      <c r="G10" s="61">
        <f>'[1]cálculos teóricos'!T64</f>
        <v>37.980154160973754</v>
      </c>
      <c r="H10" s="74">
        <f>IF(B10&gt;0,100*F10/G10,-999)</f>
        <v>67.46160483608044</v>
      </c>
      <c r="I10" s="131"/>
      <c r="J10" s="130">
        <v>0.2</v>
      </c>
      <c r="K10" s="128">
        <v>1</v>
      </c>
      <c r="L10" s="128">
        <v>1</v>
      </c>
      <c r="M10" s="128">
        <v>1</v>
      </c>
      <c r="N10" s="128">
        <v>1</v>
      </c>
      <c r="O10" s="132">
        <v>1</v>
      </c>
      <c r="P10" s="130">
        <v>1</v>
      </c>
      <c r="Q10" s="128">
        <v>1</v>
      </c>
      <c r="R10" s="128">
        <v>1</v>
      </c>
      <c r="S10" s="128">
        <v>1</v>
      </c>
      <c r="T10" s="128">
        <v>0.8</v>
      </c>
      <c r="U10" s="128"/>
      <c r="V10" s="77"/>
      <c r="W10" s="58">
        <f t="shared" si="0"/>
        <v>5.2</v>
      </c>
      <c r="X10" s="68">
        <f t="shared" si="1"/>
        <v>4.8</v>
      </c>
      <c r="Y10" s="78">
        <f t="shared" si="2"/>
        <v>10</v>
      </c>
      <c r="Z10" s="70">
        <f>'[1]cálculos teóricos'!I64</f>
        <v>12.440682307421085</v>
      </c>
      <c r="AA10" s="71">
        <f t="shared" ref="AA10:AA39" si="3">100*Y10/Z10</f>
        <v>80.381443339605454</v>
      </c>
      <c r="AB10" s="3"/>
    </row>
    <row r="11" spans="1:28" ht="18" customHeight="1">
      <c r="A11" s="72">
        <v>3</v>
      </c>
      <c r="B11" s="56">
        <v>26.6</v>
      </c>
      <c r="C11" s="114">
        <f>'[1]cálculos teóricos'!K65</f>
        <v>1.0268066596390977</v>
      </c>
      <c r="D11" s="58">
        <f t="shared" ref="D11:D39" si="4">IF(B11&gt;0,B11*C11*14.25*1.022,-999)</f>
        <v>397.77370775159636</v>
      </c>
      <c r="E11" s="59">
        <f t="shared" ref="E11:E39" si="5">IF(B11&gt;0,D11*4.1868/100,-999)</f>
        <v>16.653989596143834</v>
      </c>
      <c r="F11" s="60">
        <f t="shared" ref="F11:F39" si="6">IF(B11&gt;0,(7.86+1.25*D11)*4.1868/100,-999)</f>
        <v>21.146569475179795</v>
      </c>
      <c r="G11" s="61">
        <f>'[1]cálculos teóricos'!T65</f>
        <v>37.825270561198415</v>
      </c>
      <c r="H11" s="74">
        <f t="shared" ref="H11:H39" si="7">IF(B11&gt;0,100*F11/G11,-999)</f>
        <v>55.905930510044207</v>
      </c>
      <c r="I11" s="131"/>
      <c r="J11" s="130">
        <v>0.5</v>
      </c>
      <c r="K11" s="128">
        <v>1</v>
      </c>
      <c r="L11" s="128">
        <v>1</v>
      </c>
      <c r="M11" s="128">
        <v>1</v>
      </c>
      <c r="N11" s="130">
        <v>1</v>
      </c>
      <c r="O11" s="132">
        <v>1</v>
      </c>
      <c r="P11" s="130">
        <v>1</v>
      </c>
      <c r="Q11" s="128">
        <v>0.9</v>
      </c>
      <c r="R11" s="128">
        <v>0.7</v>
      </c>
      <c r="S11" s="128">
        <v>0.1</v>
      </c>
      <c r="T11" s="128"/>
      <c r="U11" s="128"/>
      <c r="V11" s="77"/>
      <c r="W11" s="58">
        <f t="shared" si="0"/>
        <v>5.5</v>
      </c>
      <c r="X11" s="68">
        <f t="shared" si="1"/>
        <v>2.6999999999999997</v>
      </c>
      <c r="Y11" s="78">
        <f t="shared" si="2"/>
        <v>8.1999999999999993</v>
      </c>
      <c r="Z11" s="70">
        <f>'[1]cálculos teóricos'!I65</f>
        <v>12.417975746751987</v>
      </c>
      <c r="AA11" s="71">
        <f t="shared" si="3"/>
        <v>66.03330661315529</v>
      </c>
      <c r="AB11" s="3"/>
    </row>
    <row r="12" spans="1:28" ht="18" customHeight="1">
      <c r="A12" s="72">
        <v>4</v>
      </c>
      <c r="B12" s="56">
        <v>16.7</v>
      </c>
      <c r="C12" s="114">
        <f>'[1]cálculos teóricos'!K66</f>
        <v>1.0262029098607273</v>
      </c>
      <c r="D12" s="58">
        <f t="shared" si="4"/>
        <v>249.5832714985369</v>
      </c>
      <c r="E12" s="59">
        <f t="shared" si="5"/>
        <v>10.449552411100742</v>
      </c>
      <c r="F12" s="60">
        <f t="shared" si="6"/>
        <v>13.391022993875929</v>
      </c>
      <c r="G12" s="61">
        <f>'[1]cálculos teóricos'!T66</f>
        <v>37.668372334455164</v>
      </c>
      <c r="H12" s="74">
        <f t="shared" si="7"/>
        <v>35.549778671023688</v>
      </c>
      <c r="I12" s="131"/>
      <c r="J12" s="130">
        <v>0.2</v>
      </c>
      <c r="K12" s="128">
        <v>0.3</v>
      </c>
      <c r="L12" s="128">
        <v>0.9</v>
      </c>
      <c r="M12" s="128">
        <v>1</v>
      </c>
      <c r="N12" s="130">
        <v>1</v>
      </c>
      <c r="O12" s="132">
        <v>0.8</v>
      </c>
      <c r="P12" s="130">
        <v>0.7</v>
      </c>
      <c r="Q12" s="128"/>
      <c r="R12" s="128"/>
      <c r="S12" s="128"/>
      <c r="T12" s="128"/>
      <c r="U12" s="128"/>
      <c r="V12" s="77"/>
      <c r="W12" s="58">
        <f t="shared" si="0"/>
        <v>4.2</v>
      </c>
      <c r="X12" s="68">
        <f t="shared" si="1"/>
        <v>0.7</v>
      </c>
      <c r="Y12" s="78">
        <f t="shared" si="2"/>
        <v>4.9000000000000004</v>
      </c>
      <c r="Z12" s="70">
        <f>'[1]cálculos teóricos'!I66</f>
        <v>12.395212915568337</v>
      </c>
      <c r="AA12" s="71">
        <f t="shared" si="3"/>
        <v>39.531390330904443</v>
      </c>
      <c r="AB12" s="3"/>
    </row>
    <row r="13" spans="1:28" ht="18" customHeight="1">
      <c r="A13" s="72">
        <v>5</v>
      </c>
      <c r="B13" s="56">
        <v>28.4</v>
      </c>
      <c r="C13" s="114">
        <f>'[1]cálculos teóricos'!K67</f>
        <v>1.0255869722268318</v>
      </c>
      <c r="D13" s="58">
        <f t="shared" si="4"/>
        <v>424.18625870872324</v>
      </c>
      <c r="E13" s="59">
        <f t="shared" si="5"/>
        <v>17.759830279616825</v>
      </c>
      <c r="F13" s="60">
        <f t="shared" si="6"/>
        <v>22.528870329521034</v>
      </c>
      <c r="G13" s="61">
        <f>'[1]cálculos teóricos'!T67</f>
        <v>37.509499250465367</v>
      </c>
      <c r="H13" s="74">
        <f t="shared" si="7"/>
        <v>60.061773096695035</v>
      </c>
      <c r="I13" s="131"/>
      <c r="J13" s="130">
        <v>0.5</v>
      </c>
      <c r="K13" s="128">
        <v>1</v>
      </c>
      <c r="L13" s="128">
        <v>1</v>
      </c>
      <c r="M13" s="128">
        <v>1</v>
      </c>
      <c r="N13" s="130">
        <v>1</v>
      </c>
      <c r="O13" s="132">
        <v>1</v>
      </c>
      <c r="P13" s="130">
        <v>1</v>
      </c>
      <c r="Q13" s="128">
        <v>1</v>
      </c>
      <c r="R13" s="128">
        <v>0.5</v>
      </c>
      <c r="S13" s="128">
        <v>0.1</v>
      </c>
      <c r="T13" s="128"/>
      <c r="U13" s="128"/>
      <c r="V13" s="77"/>
      <c r="W13" s="58">
        <f t="shared" si="0"/>
        <v>5.5</v>
      </c>
      <c r="X13" s="68">
        <f t="shared" si="1"/>
        <v>2.6</v>
      </c>
      <c r="Y13" s="78">
        <f t="shared" si="2"/>
        <v>8.1</v>
      </c>
      <c r="Z13" s="70">
        <f>'[1]cálculos teóricos'!I67</f>
        <v>12.372398610870075</v>
      </c>
      <c r="AA13" s="71">
        <f t="shared" si="3"/>
        <v>65.468307761144601</v>
      </c>
      <c r="AB13" s="3"/>
    </row>
    <row r="14" spans="1:28" ht="18" customHeight="1">
      <c r="A14" s="72">
        <v>6</v>
      </c>
      <c r="B14" s="56">
        <v>27.7</v>
      </c>
      <c r="C14" s="114">
        <f>'[1]cálculos teóricos'!K68</f>
        <v>1.0249589116586053</v>
      </c>
      <c r="D14" s="58">
        <f t="shared" si="4"/>
        <v>413.47759834534071</v>
      </c>
      <c r="E14" s="59">
        <f t="shared" si="5"/>
        <v>17.311480087522725</v>
      </c>
      <c r="F14" s="60">
        <f t="shared" si="6"/>
        <v>21.968432589403406</v>
      </c>
      <c r="G14" s="61">
        <f>'[1]cálculos teóricos'!T68</f>
        <v>37.348692531146071</v>
      </c>
      <c r="H14" s="74">
        <f t="shared" si="7"/>
        <v>58.81981697507441</v>
      </c>
      <c r="I14" s="131"/>
      <c r="J14" s="130">
        <v>0.5</v>
      </c>
      <c r="K14" s="128">
        <v>1</v>
      </c>
      <c r="L14" s="128">
        <v>1</v>
      </c>
      <c r="M14" s="128">
        <v>1</v>
      </c>
      <c r="N14" s="130">
        <v>1</v>
      </c>
      <c r="O14" s="132">
        <v>1</v>
      </c>
      <c r="P14" s="130">
        <v>1</v>
      </c>
      <c r="Q14" s="128">
        <v>1</v>
      </c>
      <c r="R14" s="128">
        <v>1</v>
      </c>
      <c r="S14" s="128">
        <v>0.4</v>
      </c>
      <c r="T14" s="128"/>
      <c r="U14" s="128"/>
      <c r="V14" s="77"/>
      <c r="W14" s="58">
        <f t="shared" si="0"/>
        <v>5.5</v>
      </c>
      <c r="X14" s="68">
        <f t="shared" si="1"/>
        <v>3.4</v>
      </c>
      <c r="Y14" s="78">
        <f t="shared" si="2"/>
        <v>8.9</v>
      </c>
      <c r="Z14" s="70">
        <f>'[1]cálculos teóricos'!I68</f>
        <v>12.349537501290623</v>
      </c>
      <c r="AA14" s="71">
        <f t="shared" si="3"/>
        <v>72.06747620362205</v>
      </c>
      <c r="AB14" s="3"/>
    </row>
    <row r="15" spans="1:28" ht="18" customHeight="1">
      <c r="A15" s="72">
        <v>7</v>
      </c>
      <c r="B15" s="75">
        <v>23.3</v>
      </c>
      <c r="C15" s="114">
        <f>'[1]cálculos teóricos'!K69</f>
        <v>1.0243188027306998</v>
      </c>
      <c r="D15" s="58">
        <f t="shared" si="4"/>
        <v>347.58163838714711</v>
      </c>
      <c r="E15" s="59">
        <f t="shared" si="5"/>
        <v>14.552548035993075</v>
      </c>
      <c r="F15" s="60">
        <f t="shared" si="6"/>
        <v>18.519767524991344</v>
      </c>
      <c r="G15" s="61">
        <f>'[1]cálculos teóricos'!T69</f>
        <v>37.185994824767818</v>
      </c>
      <c r="H15" s="74">
        <f t="shared" si="7"/>
        <v>49.803071323659225</v>
      </c>
      <c r="I15" s="131"/>
      <c r="J15" s="130">
        <v>0.4</v>
      </c>
      <c r="K15" s="128">
        <v>1</v>
      </c>
      <c r="L15" s="128">
        <v>1</v>
      </c>
      <c r="M15" s="128">
        <v>1</v>
      </c>
      <c r="N15" s="130">
        <v>1</v>
      </c>
      <c r="O15" s="132">
        <v>1</v>
      </c>
      <c r="P15" s="130">
        <v>1</v>
      </c>
      <c r="Q15" s="128">
        <v>1</v>
      </c>
      <c r="R15" s="128">
        <v>0.2</v>
      </c>
      <c r="S15" s="128"/>
      <c r="T15" s="128"/>
      <c r="U15" s="128"/>
      <c r="V15" s="77"/>
      <c r="W15" s="58">
        <f t="shared" si="0"/>
        <v>5.4</v>
      </c>
      <c r="X15" s="68">
        <f t="shared" si="1"/>
        <v>2.2000000000000002</v>
      </c>
      <c r="Y15" s="78">
        <f t="shared" si="2"/>
        <v>7.6000000000000005</v>
      </c>
      <c r="Z15" s="70">
        <f>'[1]cálculos teóricos'!I69</f>
        <v>12.326634132227381</v>
      </c>
      <c r="AA15" s="71">
        <f t="shared" si="3"/>
        <v>61.655111350552474</v>
      </c>
      <c r="AB15" s="3"/>
    </row>
    <row r="16" spans="1:28" ht="18" customHeight="1">
      <c r="A16" s="80">
        <v>8</v>
      </c>
      <c r="B16" s="75">
        <v>26.7</v>
      </c>
      <c r="C16" s="114">
        <f>'[1]cálculos teóricos'!K70</f>
        <v>1.023666729658925</v>
      </c>
      <c r="D16" s="58">
        <f t="shared" si="4"/>
        <v>398.04815014425299</v>
      </c>
      <c r="E16" s="59">
        <f t="shared" si="5"/>
        <v>16.665479950239583</v>
      </c>
      <c r="F16" s="60">
        <f t="shared" si="6"/>
        <v>21.160932417799483</v>
      </c>
      <c r="G16" s="61">
        <f>'[1]cálculos teóricos'!T70</f>
        <v>37.021450178993661</v>
      </c>
      <c r="H16" s="74">
        <f t="shared" si="7"/>
        <v>57.158572437031125</v>
      </c>
      <c r="I16" s="131"/>
      <c r="J16" s="130">
        <v>0.4</v>
      </c>
      <c r="K16" s="128">
        <v>1</v>
      </c>
      <c r="L16" s="128">
        <v>1</v>
      </c>
      <c r="M16" s="128">
        <v>1</v>
      </c>
      <c r="N16" s="130">
        <v>1</v>
      </c>
      <c r="O16" s="132">
        <v>1</v>
      </c>
      <c r="P16" s="130">
        <v>1</v>
      </c>
      <c r="Q16" s="128">
        <v>0.9</v>
      </c>
      <c r="R16" s="128">
        <v>1</v>
      </c>
      <c r="S16" s="128">
        <v>0.6</v>
      </c>
      <c r="T16" s="128">
        <v>0.3</v>
      </c>
      <c r="U16" s="128"/>
      <c r="V16" s="77"/>
      <c r="W16" s="58">
        <f t="shared" si="0"/>
        <v>5.4</v>
      </c>
      <c r="X16" s="68">
        <f t="shared" si="1"/>
        <v>3.8</v>
      </c>
      <c r="Y16" s="78">
        <f t="shared" si="2"/>
        <v>9.1999999999999993</v>
      </c>
      <c r="Z16" s="70">
        <f>'[1]cálculos teóricos'!I70</f>
        <v>12.303692931143221</v>
      </c>
      <c r="AA16" s="71">
        <f t="shared" si="3"/>
        <v>74.774297859083219</v>
      </c>
      <c r="AB16" s="3"/>
    </row>
    <row r="17" spans="1:28" ht="18" customHeight="1">
      <c r="A17" s="80">
        <v>9</v>
      </c>
      <c r="B17" s="75">
        <v>24</v>
      </c>
      <c r="C17" s="114">
        <f>'[1]cálculos teóricos'!K71</f>
        <v>1.0230027862825883</v>
      </c>
      <c r="D17" s="58">
        <f t="shared" si="4"/>
        <v>357.5640258726354</v>
      </c>
      <c r="E17" s="59">
        <f t="shared" si="5"/>
        <v>14.9704906352355</v>
      </c>
      <c r="F17" s="60">
        <f t="shared" si="6"/>
        <v>19.042195774044373</v>
      </c>
      <c r="G17" s="61">
        <f>'[1]cálculos teóricos'!T71</f>
        <v>36.855104012919824</v>
      </c>
      <c r="H17" s="74">
        <f t="shared" si="7"/>
        <v>51.667730383745472</v>
      </c>
      <c r="I17" s="131"/>
      <c r="J17" s="130">
        <v>0.5</v>
      </c>
      <c r="K17" s="128">
        <v>0.8</v>
      </c>
      <c r="L17" s="128">
        <v>0.8</v>
      </c>
      <c r="M17" s="128">
        <v>1</v>
      </c>
      <c r="N17" s="130">
        <v>1</v>
      </c>
      <c r="O17" s="132">
        <v>1</v>
      </c>
      <c r="P17" s="130">
        <v>0.4</v>
      </c>
      <c r="Q17" s="128">
        <v>0.9</v>
      </c>
      <c r="R17" s="128">
        <v>0.8</v>
      </c>
      <c r="S17" s="128"/>
      <c r="T17" s="128"/>
      <c r="U17" s="128"/>
      <c r="V17" s="77"/>
      <c r="W17" s="58">
        <f t="shared" si="0"/>
        <v>5.0999999999999996</v>
      </c>
      <c r="X17" s="68">
        <f t="shared" si="1"/>
        <v>2.1</v>
      </c>
      <c r="Y17" s="78">
        <f t="shared" si="2"/>
        <v>7.1999999999999993</v>
      </c>
      <c r="Z17" s="70">
        <f>'[1]cálculos teóricos'!I71</f>
        <v>12.280718213023388</v>
      </c>
      <c r="AA17" s="71">
        <f t="shared" si="3"/>
        <v>58.62849285446989</v>
      </c>
      <c r="AB17" s="3"/>
    </row>
    <row r="18" spans="1:28" ht="18" customHeight="1">
      <c r="A18" s="80">
        <v>10</v>
      </c>
      <c r="B18" s="75">
        <v>28.7</v>
      </c>
      <c r="C18" s="114">
        <f>'[1]cálculos teóricos'!K72</f>
        <v>1.0223270760420269</v>
      </c>
      <c r="D18" s="58">
        <f t="shared" si="4"/>
        <v>427.3045526746223</v>
      </c>
      <c r="E18" s="59">
        <f t="shared" si="5"/>
        <v>17.890387011381087</v>
      </c>
      <c r="F18" s="60">
        <f t="shared" si="6"/>
        <v>22.692066244226357</v>
      </c>
      <c r="G18" s="61">
        <f>'[1]cálculos teóricos'!T72</f>
        <v>36.687003088236096</v>
      </c>
      <c r="H18" s="74">
        <f t="shared" si="7"/>
        <v>61.853147801823859</v>
      </c>
      <c r="I18" s="131"/>
      <c r="J18" s="130">
        <v>0.7</v>
      </c>
      <c r="K18" s="128">
        <v>1</v>
      </c>
      <c r="L18" s="128">
        <v>0.9</v>
      </c>
      <c r="M18" s="128">
        <v>0.8</v>
      </c>
      <c r="N18" s="128">
        <v>0.9</v>
      </c>
      <c r="O18" s="132">
        <v>1</v>
      </c>
      <c r="P18" s="130">
        <v>1</v>
      </c>
      <c r="Q18" s="128">
        <v>0.9</v>
      </c>
      <c r="R18" s="128">
        <v>1</v>
      </c>
      <c r="S18" s="128">
        <v>0.7</v>
      </c>
      <c r="T18" s="128">
        <v>0.1</v>
      </c>
      <c r="U18" s="128"/>
      <c r="V18" s="77"/>
      <c r="W18" s="58">
        <f t="shared" si="0"/>
        <v>5.3000000000000007</v>
      </c>
      <c r="X18" s="68">
        <f t="shared" si="1"/>
        <v>3.6999999999999997</v>
      </c>
      <c r="Y18" s="78">
        <f t="shared" si="2"/>
        <v>9</v>
      </c>
      <c r="Z18" s="70">
        <f>'[1]cálculos teóricos'!I72</f>
        <v>12.25771418597288</v>
      </c>
      <c r="AA18" s="71">
        <f t="shared" si="3"/>
        <v>73.423151033323606</v>
      </c>
      <c r="AB18" s="3"/>
    </row>
    <row r="19" spans="1:28" ht="18" customHeight="1">
      <c r="A19" s="80">
        <v>11</v>
      </c>
      <c r="B19" s="75">
        <v>22.8</v>
      </c>
      <c r="C19" s="114">
        <f>'[1]cálculos teóricos'!K73</f>
        <v>1.0216397119518779</v>
      </c>
      <c r="D19" s="58">
        <f t="shared" si="4"/>
        <v>339.23321874625481</v>
      </c>
      <c r="E19" s="59">
        <f t="shared" si="5"/>
        <v>14.203016402468196</v>
      </c>
      <c r="F19" s="60">
        <f t="shared" si="6"/>
        <v>18.082852983085246</v>
      </c>
      <c r="G19" s="61">
        <f>'[1]cálculos teóricos'!T73</f>
        <v>36.517195479618834</v>
      </c>
      <c r="H19" s="74">
        <f t="shared" si="7"/>
        <v>49.518734244467758</v>
      </c>
      <c r="I19" s="131"/>
      <c r="J19" s="130"/>
      <c r="K19" s="128"/>
      <c r="L19" s="128"/>
      <c r="M19" s="128"/>
      <c r="N19" s="128">
        <v>0.1</v>
      </c>
      <c r="O19" s="132">
        <v>0.3</v>
      </c>
      <c r="P19" s="130">
        <v>0.2</v>
      </c>
      <c r="Q19" s="128">
        <v>0.3</v>
      </c>
      <c r="R19" s="128">
        <v>1</v>
      </c>
      <c r="S19" s="128">
        <v>0.7</v>
      </c>
      <c r="T19" s="128">
        <v>0.7</v>
      </c>
      <c r="U19" s="128"/>
      <c r="V19" s="77"/>
      <c r="W19" s="58">
        <f t="shared" si="0"/>
        <v>0.4</v>
      </c>
      <c r="X19" s="68">
        <f t="shared" si="1"/>
        <v>2.9000000000000004</v>
      </c>
      <c r="Y19" s="78">
        <f t="shared" si="2"/>
        <v>3.3000000000000003</v>
      </c>
      <c r="Z19" s="70">
        <f>'[1]cálculos teóricos'!I73</f>
        <v>12.234684956940034</v>
      </c>
      <c r="AA19" s="71">
        <f t="shared" si="3"/>
        <v>26.972496730519403</v>
      </c>
      <c r="AB19" s="3"/>
    </row>
    <row r="20" spans="1:28" ht="18" customHeight="1">
      <c r="A20" s="80">
        <v>12</v>
      </c>
      <c r="B20" s="75">
        <v>21.8</v>
      </c>
      <c r="C20" s="114">
        <f>'[1]cálculos teóricos'!K74</f>
        <v>1.0209408165705878</v>
      </c>
      <c r="D20" s="58">
        <f t="shared" si="4"/>
        <v>324.1326804903415</v>
      </c>
      <c r="E20" s="59">
        <f t="shared" si="5"/>
        <v>13.570787066769617</v>
      </c>
      <c r="F20" s="60">
        <f t="shared" si="6"/>
        <v>17.292566313462022</v>
      </c>
      <c r="G20" s="61">
        <f>'[1]cálculos teóricos'!T74</f>
        <v>36.345730544465582</v>
      </c>
      <c r="H20" s="74">
        <f t="shared" si="7"/>
        <v>47.577985239026063</v>
      </c>
      <c r="I20" s="131"/>
      <c r="J20" s="130"/>
      <c r="K20" s="128"/>
      <c r="L20" s="128"/>
      <c r="M20" s="128">
        <v>0.2</v>
      </c>
      <c r="N20" s="128">
        <v>0.1</v>
      </c>
      <c r="O20" s="132">
        <v>0.1</v>
      </c>
      <c r="P20" s="130">
        <v>1</v>
      </c>
      <c r="Q20" s="128">
        <v>1</v>
      </c>
      <c r="R20" s="128">
        <v>1</v>
      </c>
      <c r="S20" s="128">
        <v>0.4</v>
      </c>
      <c r="T20" s="128"/>
      <c r="U20" s="128"/>
      <c r="V20" s="77"/>
      <c r="W20" s="58">
        <f t="shared" si="0"/>
        <v>0.4</v>
      </c>
      <c r="X20" s="68">
        <f t="shared" si="1"/>
        <v>3.4</v>
      </c>
      <c r="Y20" s="78">
        <f t="shared" si="2"/>
        <v>3.8</v>
      </c>
      <c r="Z20" s="70">
        <f>'[1]cálculos teóricos'!I74</f>
        <v>12.211634537553067</v>
      </c>
      <c r="AA20" s="71">
        <f t="shared" si="3"/>
        <v>31.117865411991222</v>
      </c>
      <c r="AB20" s="3"/>
    </row>
    <row r="21" spans="1:28" ht="18" customHeight="1">
      <c r="A21" s="80">
        <v>13</v>
      </c>
      <c r="B21" s="75">
        <v>21.6</v>
      </c>
      <c r="C21" s="114">
        <f>'[1]cálculos teóricos'!K75</f>
        <v>1.0202305219666468</v>
      </c>
      <c r="D21" s="58">
        <f t="shared" si="4"/>
        <v>320.93554766388326</v>
      </c>
      <c r="E21" s="59">
        <f t="shared" si="5"/>
        <v>13.436929509591463</v>
      </c>
      <c r="F21" s="60">
        <f t="shared" si="6"/>
        <v>17.125244366989328</v>
      </c>
      <c r="G21" s="61">
        <f>'[1]cálculos teóricos'!T75</f>
        <v>36.172658892075304</v>
      </c>
      <c r="H21" s="74">
        <f t="shared" si="7"/>
        <v>47.343062112420832</v>
      </c>
      <c r="I21" s="131"/>
      <c r="J21" s="130"/>
      <c r="K21" s="128"/>
      <c r="L21" s="128">
        <v>0.4</v>
      </c>
      <c r="M21" s="128">
        <v>0.3</v>
      </c>
      <c r="N21" s="128">
        <v>1</v>
      </c>
      <c r="O21" s="132">
        <v>0.8</v>
      </c>
      <c r="P21" s="130">
        <v>0.5</v>
      </c>
      <c r="Q21" s="128">
        <v>0.5</v>
      </c>
      <c r="R21" s="128">
        <v>0.7</v>
      </c>
      <c r="S21" s="128">
        <v>0.6</v>
      </c>
      <c r="T21" s="128"/>
      <c r="U21" s="128"/>
      <c r="V21" s="77"/>
      <c r="W21" s="58">
        <f t="shared" si="0"/>
        <v>2.5</v>
      </c>
      <c r="X21" s="68">
        <f t="shared" si="1"/>
        <v>2.2999999999999998</v>
      </c>
      <c r="Y21" s="78">
        <f t="shared" si="2"/>
        <v>4.8</v>
      </c>
      <c r="Z21" s="70">
        <f>'[1]cálculos teóricos'!I75</f>
        <v>12.1885668500564</v>
      </c>
      <c r="AA21" s="71">
        <f t="shared" si="3"/>
        <v>39.381168098346109</v>
      </c>
      <c r="AB21" s="3"/>
    </row>
    <row r="22" spans="1:28" ht="18" customHeight="1">
      <c r="A22" s="80">
        <v>14</v>
      </c>
      <c r="B22" s="75">
        <v>12.4</v>
      </c>
      <c r="C22" s="114">
        <f>'[1]cálculos teóricos'!K76</f>
        <v>1.0195089696819948</v>
      </c>
      <c r="D22" s="58">
        <f t="shared" si="4"/>
        <v>184.11047411155027</v>
      </c>
      <c r="E22" s="59">
        <f t="shared" si="5"/>
        <v>7.7083373301023865</v>
      </c>
      <c r="F22" s="60">
        <f t="shared" si="6"/>
        <v>9.9645041426279839</v>
      </c>
      <c r="G22" s="61">
        <f>'[1]cálculos teóricos'!T76</f>
        <v>35.998032352371688</v>
      </c>
      <c r="H22" s="74">
        <f t="shared" si="7"/>
        <v>27.680691114139421</v>
      </c>
      <c r="I22" s="131"/>
      <c r="J22" s="130"/>
      <c r="K22" s="128"/>
      <c r="L22" s="128"/>
      <c r="M22" s="128">
        <v>0.5</v>
      </c>
      <c r="N22" s="128">
        <v>0.9</v>
      </c>
      <c r="O22" s="132">
        <v>0.4</v>
      </c>
      <c r="P22" s="130"/>
      <c r="Q22" s="128">
        <v>0.3</v>
      </c>
      <c r="R22" s="128"/>
      <c r="S22" s="128"/>
      <c r="T22" s="128"/>
      <c r="U22" s="128"/>
      <c r="V22" s="77"/>
      <c r="W22" s="58">
        <f t="shared" si="0"/>
        <v>1.7999999999999998</v>
      </c>
      <c r="X22" s="68">
        <f t="shared" si="1"/>
        <v>0.3</v>
      </c>
      <c r="Y22" s="78">
        <f t="shared" si="2"/>
        <v>2.0999999999999996</v>
      </c>
      <c r="Z22" s="70">
        <f>'[1]cálculos teóricos'!I76</f>
        <v>12.165485733334812</v>
      </c>
      <c r="AA22" s="71">
        <f t="shared" si="3"/>
        <v>17.261949469438456</v>
      </c>
      <c r="AB22" s="3"/>
    </row>
    <row r="23" spans="1:28" ht="18" customHeight="1">
      <c r="A23" s="80">
        <v>15</v>
      </c>
      <c r="B23" s="75">
        <v>19.3</v>
      </c>
      <c r="C23" s="114">
        <f>'[1]cálculos teóricos'!K77</f>
        <v>1.0187763106930137</v>
      </c>
      <c r="D23" s="58">
        <f t="shared" si="4"/>
        <v>286.35311185500973</v>
      </c>
      <c r="E23" s="59">
        <f t="shared" si="5"/>
        <v>11.989032087145548</v>
      </c>
      <c r="F23" s="60">
        <f t="shared" si="6"/>
        <v>15.315372588931934</v>
      </c>
      <c r="G23" s="61">
        <f>'[1]cálculos teóricos'!T77</f>
        <v>35.82190394426226</v>
      </c>
      <c r="H23" s="74">
        <f t="shared" si="7"/>
        <v>42.754211537058907</v>
      </c>
      <c r="I23" s="131"/>
      <c r="J23" s="130"/>
      <c r="K23" s="128"/>
      <c r="L23" s="128">
        <v>0.1</v>
      </c>
      <c r="M23" s="128"/>
      <c r="N23" s="128">
        <v>0.2</v>
      </c>
      <c r="O23" s="132">
        <v>0.8</v>
      </c>
      <c r="P23" s="130">
        <v>0.5</v>
      </c>
      <c r="Q23" s="128">
        <v>1</v>
      </c>
      <c r="R23" s="128">
        <v>0.8</v>
      </c>
      <c r="S23" s="128"/>
      <c r="T23" s="128"/>
      <c r="U23" s="128"/>
      <c r="V23" s="77"/>
      <c r="W23" s="58">
        <f t="shared" si="0"/>
        <v>1.1000000000000001</v>
      </c>
      <c r="X23" s="68">
        <f t="shared" si="1"/>
        <v>2.2999999999999998</v>
      </c>
      <c r="Y23" s="78">
        <f t="shared" si="2"/>
        <v>3.4</v>
      </c>
      <c r="Z23" s="70">
        <f>'[1]cálculos teóricos'!I77</f>
        <v>12.142394949013712</v>
      </c>
      <c r="AA23" s="71">
        <f t="shared" si="3"/>
        <v>28.001065805194973</v>
      </c>
      <c r="AB23" s="3"/>
    </row>
    <row r="24" spans="1:28" ht="18" customHeight="1">
      <c r="A24" s="80">
        <v>16</v>
      </c>
      <c r="B24" s="75">
        <v>17.8</v>
      </c>
      <c r="C24" s="114">
        <f>'[1]cálculos teóricos'!K78</f>
        <v>1.018032705369482</v>
      </c>
      <c r="D24" s="58">
        <f t="shared" si="4"/>
        <v>263.90492362274244</v>
      </c>
      <c r="E24" s="59">
        <f t="shared" si="5"/>
        <v>11.049171342236979</v>
      </c>
      <c r="F24" s="60">
        <f t="shared" si="6"/>
        <v>14.140546657796227</v>
      </c>
      <c r="G24" s="61">
        <f>'[1]cálculos teóricos'!T78</f>
        <v>35.644327843718507</v>
      </c>
      <c r="H24" s="74">
        <f t="shared" si="7"/>
        <v>39.671239474047681</v>
      </c>
      <c r="I24" s="131"/>
      <c r="J24" s="130"/>
      <c r="K24" s="128">
        <v>0.6</v>
      </c>
      <c r="L24" s="128">
        <v>1</v>
      </c>
      <c r="M24" s="128">
        <v>1</v>
      </c>
      <c r="N24" s="128">
        <v>1</v>
      </c>
      <c r="O24" s="132">
        <v>0.7</v>
      </c>
      <c r="P24" s="130">
        <v>0.5</v>
      </c>
      <c r="Q24" s="128"/>
      <c r="R24" s="128"/>
      <c r="S24" s="128"/>
      <c r="T24" s="128"/>
      <c r="U24" s="128"/>
      <c r="V24" s="77"/>
      <c r="W24" s="58">
        <f t="shared" si="0"/>
        <v>4.3</v>
      </c>
      <c r="X24" s="68">
        <f t="shared" si="1"/>
        <v>0.5</v>
      </c>
      <c r="Y24" s="78">
        <f t="shared" si="2"/>
        <v>4.8</v>
      </c>
      <c r="Z24" s="70">
        <f>'[1]cálculos teóricos'!I78</f>
        <v>12.119298187624363</v>
      </c>
      <c r="AA24" s="71">
        <f t="shared" si="3"/>
        <v>39.606253808504576</v>
      </c>
      <c r="AB24" s="3"/>
    </row>
    <row r="25" spans="1:28" ht="18" customHeight="1">
      <c r="A25" s="80">
        <v>17</v>
      </c>
      <c r="B25" s="75">
        <v>25.6</v>
      </c>
      <c r="C25" s="114">
        <f>'[1]cálculos teóricos'!K79</f>
        <v>1.0172783234318352</v>
      </c>
      <c r="D25" s="58">
        <f t="shared" si="4"/>
        <v>379.26740130046807</v>
      </c>
      <c r="E25" s="59">
        <f t="shared" si="5"/>
        <v>15.879167557647998</v>
      </c>
      <c r="F25" s="60">
        <f t="shared" si="6"/>
        <v>20.178041927059997</v>
      </c>
      <c r="G25" s="61">
        <f>'[1]cálculos teóricos'!T79</f>
        <v>35.465359351656311</v>
      </c>
      <c r="H25" s="74">
        <f t="shared" si="7"/>
        <v>56.895072532565884</v>
      </c>
      <c r="I25" s="131"/>
      <c r="J25" s="130"/>
      <c r="K25" s="128">
        <v>0.6</v>
      </c>
      <c r="L25" s="128">
        <v>0.4</v>
      </c>
      <c r="M25" s="128">
        <v>1</v>
      </c>
      <c r="N25" s="128">
        <v>1</v>
      </c>
      <c r="O25" s="132">
        <v>1</v>
      </c>
      <c r="P25" s="130">
        <v>0.9</v>
      </c>
      <c r="Q25" s="128">
        <v>0.4</v>
      </c>
      <c r="R25" s="128">
        <v>0.8</v>
      </c>
      <c r="S25" s="128">
        <v>0.9</v>
      </c>
      <c r="T25" s="128">
        <v>1</v>
      </c>
      <c r="U25" s="128">
        <v>0.4</v>
      </c>
      <c r="V25" s="77"/>
      <c r="W25" s="58">
        <f t="shared" si="0"/>
        <v>4</v>
      </c>
      <c r="X25" s="68">
        <f t="shared" si="1"/>
        <v>4.4000000000000004</v>
      </c>
      <c r="Y25" s="78">
        <f t="shared" si="2"/>
        <v>8.4</v>
      </c>
      <c r="Z25" s="70">
        <f>'[1]cálculos teóricos'!I79</f>
        <v>12.096199074823641</v>
      </c>
      <c r="AA25" s="71">
        <f t="shared" si="3"/>
        <v>69.443301553157269</v>
      </c>
      <c r="AB25" s="3"/>
    </row>
    <row r="26" spans="1:28" ht="18" customHeight="1">
      <c r="A26" s="80">
        <v>18</v>
      </c>
      <c r="B26" s="75">
        <v>24.7</v>
      </c>
      <c r="C26" s="114">
        <f>'[1]cálculos teóricos'!K80</f>
        <v>1.016513343907022</v>
      </c>
      <c r="D26" s="58">
        <f t="shared" si="4"/>
        <v>365.65860447455088</v>
      </c>
      <c r="E26" s="59">
        <f t="shared" si="5"/>
        <v>15.309394452140495</v>
      </c>
      <c r="F26" s="60">
        <f t="shared" si="6"/>
        <v>19.465825545175623</v>
      </c>
      <c r="G26" s="61">
        <f>'[1]cálculos teóricos'!T80</f>
        <v>35.285054861688451</v>
      </c>
      <c r="H26" s="74">
        <f t="shared" si="7"/>
        <v>55.167338187451946</v>
      </c>
      <c r="I26" s="131"/>
      <c r="J26" s="130"/>
      <c r="K26" s="128"/>
      <c r="L26" s="128">
        <v>0.7</v>
      </c>
      <c r="M26" s="128">
        <v>1</v>
      </c>
      <c r="N26" s="128">
        <v>1</v>
      </c>
      <c r="O26" s="132">
        <v>1</v>
      </c>
      <c r="P26" s="130">
        <v>0.9</v>
      </c>
      <c r="Q26" s="128">
        <v>0.9</v>
      </c>
      <c r="R26" s="128">
        <v>1</v>
      </c>
      <c r="S26" s="128">
        <v>0.3</v>
      </c>
      <c r="T26" s="128"/>
      <c r="U26" s="128"/>
      <c r="V26" s="77"/>
      <c r="W26" s="58">
        <f t="shared" si="0"/>
        <v>3.7</v>
      </c>
      <c r="X26" s="68">
        <f t="shared" si="1"/>
        <v>3.0999999999999996</v>
      </c>
      <c r="Y26" s="78">
        <f t="shared" si="2"/>
        <v>6.8</v>
      </c>
      <c r="Z26" s="70">
        <f>'[1]cálculos teóricos'!I80</f>
        <v>12.073101177658092</v>
      </c>
      <c r="AA26" s="71">
        <f t="shared" si="3"/>
        <v>56.323556805634638</v>
      </c>
      <c r="AB26" s="3"/>
    </row>
    <row r="27" spans="1:28" ht="18" customHeight="1">
      <c r="A27" s="80">
        <v>19</v>
      </c>
      <c r="B27" s="75">
        <v>23.9</v>
      </c>
      <c r="C27" s="114">
        <f>'[1]cálculos teóricos'!K81</f>
        <v>1.0157379550832217</v>
      </c>
      <c r="D27" s="58">
        <f t="shared" si="4"/>
        <v>353.54552304162252</v>
      </c>
      <c r="E27" s="59">
        <f t="shared" si="5"/>
        <v>14.802243958706651</v>
      </c>
      <c r="F27" s="60">
        <f t="shared" si="6"/>
        <v>18.831887428383315</v>
      </c>
      <c r="G27" s="61">
        <f>'[1]cálculos teóricos'!T81</f>
        <v>35.103471827814516</v>
      </c>
      <c r="H27" s="74">
        <f t="shared" si="7"/>
        <v>53.64679459842408</v>
      </c>
      <c r="I27" s="131"/>
      <c r="J27" s="130">
        <v>0.5</v>
      </c>
      <c r="K27" s="128">
        <v>0.4</v>
      </c>
      <c r="L27" s="128">
        <v>0.2</v>
      </c>
      <c r="M27" s="128">
        <v>0.6</v>
      </c>
      <c r="N27" s="133">
        <v>1</v>
      </c>
      <c r="O27" s="132">
        <v>1</v>
      </c>
      <c r="P27" s="130">
        <v>1</v>
      </c>
      <c r="Q27" s="128">
        <v>0.6</v>
      </c>
      <c r="R27" s="128">
        <v>0.4</v>
      </c>
      <c r="S27" s="128"/>
      <c r="T27" s="128"/>
      <c r="U27" s="128"/>
      <c r="V27" s="77"/>
      <c r="W27" s="58">
        <f t="shared" si="0"/>
        <v>3.7</v>
      </c>
      <c r="X27" s="68">
        <f t="shared" si="1"/>
        <v>2</v>
      </c>
      <c r="Y27" s="78">
        <f t="shared" si="2"/>
        <v>5.7</v>
      </c>
      <c r="Z27" s="70">
        <f>'[1]cálculos teóricos'!I81</f>
        <v>12.050008010862662</v>
      </c>
      <c r="AA27" s="71">
        <f t="shared" si="3"/>
        <v>47.302873117276341</v>
      </c>
      <c r="AB27" s="3"/>
    </row>
    <row r="28" spans="1:28" ht="18" customHeight="1">
      <c r="A28" s="80">
        <v>20</v>
      </c>
      <c r="B28" s="75">
        <v>8.8000000000000007</v>
      </c>
      <c r="C28" s="114">
        <f>'[1]cálculos teóricos'!K82</f>
        <v>1.0149523544636272</v>
      </c>
      <c r="D28" s="58">
        <f t="shared" si="4"/>
        <v>130.0750758052331</v>
      </c>
      <c r="E28" s="59">
        <f t="shared" si="5"/>
        <v>5.445983273813499</v>
      </c>
      <c r="F28" s="60">
        <f t="shared" si="6"/>
        <v>7.1365615722668743</v>
      </c>
      <c r="G28" s="61">
        <f>'[1]cálculos teóricos'!T82</f>
        <v>34.920668732105412</v>
      </c>
      <c r="H28" s="74">
        <f t="shared" si="7"/>
        <v>20.436497442288822</v>
      </c>
      <c r="I28" s="131"/>
      <c r="J28" s="130"/>
      <c r="K28" s="128"/>
      <c r="L28" s="128"/>
      <c r="M28" s="128"/>
      <c r="N28" s="128"/>
      <c r="O28" s="132">
        <v>0.2</v>
      </c>
      <c r="P28" s="130"/>
      <c r="Q28" s="128"/>
      <c r="R28" s="128"/>
      <c r="S28" s="128"/>
      <c r="T28" s="128"/>
      <c r="U28" s="128"/>
      <c r="V28" s="77"/>
      <c r="W28" s="58">
        <f t="shared" si="0"/>
        <v>0.2</v>
      </c>
      <c r="X28" s="68">
        <f t="shared" si="1"/>
        <v>0</v>
      </c>
      <c r="Y28" s="78">
        <f t="shared" si="2"/>
        <v>0.2</v>
      </c>
      <c r="Z28" s="70">
        <f>'[1]cálculos teóricos'!I82</f>
        <v>12.026923043184821</v>
      </c>
      <c r="AA28" s="71">
        <f t="shared" si="3"/>
        <v>1.6629357258033846</v>
      </c>
      <c r="AB28" s="3"/>
    </row>
    <row r="29" spans="1:28" ht="18" customHeight="1">
      <c r="A29" s="80">
        <v>21</v>
      </c>
      <c r="B29" s="75">
        <v>21.3</v>
      </c>
      <c r="C29" s="114">
        <f>'[1]cálculos teóricos'!K83</f>
        <v>1.0141567487194687</v>
      </c>
      <c r="D29" s="58">
        <f t="shared" si="4"/>
        <v>314.59400955248844</v>
      </c>
      <c r="E29" s="59">
        <f t="shared" si="5"/>
        <v>13.171421991943587</v>
      </c>
      <c r="F29" s="60">
        <f t="shared" si="6"/>
        <v>16.793359969929483</v>
      </c>
      <c r="G29" s="61">
        <f>'[1]cálculos teóricos'!T83</f>
        <v>34.736705052432924</v>
      </c>
      <c r="H29" s="74">
        <f t="shared" si="7"/>
        <v>48.344711867694237</v>
      </c>
      <c r="I29" s="131"/>
      <c r="J29" s="130">
        <v>0.1</v>
      </c>
      <c r="K29" s="128">
        <v>0.3</v>
      </c>
      <c r="L29" s="128">
        <v>0.5</v>
      </c>
      <c r="M29" s="128">
        <v>0.5</v>
      </c>
      <c r="N29" s="128">
        <v>0.8</v>
      </c>
      <c r="O29" s="132">
        <v>0.9</v>
      </c>
      <c r="P29" s="130">
        <v>0.7</v>
      </c>
      <c r="Q29" s="128">
        <v>0.1</v>
      </c>
      <c r="R29" s="128"/>
      <c r="S29" s="128"/>
      <c r="T29" s="128"/>
      <c r="U29" s="128"/>
      <c r="V29" s="77"/>
      <c r="W29" s="58">
        <f t="shared" si="0"/>
        <v>3.1</v>
      </c>
      <c r="X29" s="68">
        <f t="shared" si="1"/>
        <v>0.79999999999999993</v>
      </c>
      <c r="Y29" s="78">
        <f t="shared" si="2"/>
        <v>3.9</v>
      </c>
      <c r="Z29" s="70">
        <f>'[1]cálculos teóricos'!I83</f>
        <v>12.003849703725068</v>
      </c>
      <c r="AA29" s="71">
        <f t="shared" si="3"/>
        <v>32.489577062846273</v>
      </c>
      <c r="AB29" s="3"/>
    </row>
    <row r="30" spans="1:28" ht="18" customHeight="1">
      <c r="A30" s="85">
        <v>22</v>
      </c>
      <c r="B30" s="117">
        <v>-99</v>
      </c>
      <c r="C30" s="114">
        <f>'[1]cálculos teóricos'!K84</f>
        <v>1.0133513536423984</v>
      </c>
      <c r="D30" s="58">
        <f t="shared" si="4"/>
        <v>-999</v>
      </c>
      <c r="E30" s="59">
        <f t="shared" si="5"/>
        <v>-999</v>
      </c>
      <c r="F30" s="60">
        <f t="shared" si="6"/>
        <v>-999</v>
      </c>
      <c r="G30" s="61">
        <f>'[1]cálculos teóricos'!T84</f>
        <v>34.551641230287451</v>
      </c>
      <c r="H30" s="74">
        <f t="shared" si="7"/>
        <v>-999</v>
      </c>
      <c r="I30" s="131"/>
      <c r="J30" s="130">
        <v>0.7</v>
      </c>
      <c r="K30" s="128">
        <v>1</v>
      </c>
      <c r="L30" s="128">
        <v>1</v>
      </c>
      <c r="M30" s="128">
        <v>1</v>
      </c>
      <c r="N30" s="128">
        <v>1</v>
      </c>
      <c r="O30" s="132">
        <v>1</v>
      </c>
      <c r="P30" s="130">
        <v>1</v>
      </c>
      <c r="Q30" s="128">
        <v>1</v>
      </c>
      <c r="R30" s="128">
        <v>1</v>
      </c>
      <c r="S30" s="128">
        <v>0.9</v>
      </c>
      <c r="T30" s="128">
        <v>0.8</v>
      </c>
      <c r="U30" s="128"/>
      <c r="V30" s="77"/>
      <c r="W30" s="58">
        <f t="shared" si="0"/>
        <v>5.7</v>
      </c>
      <c r="X30" s="68">
        <f t="shared" si="1"/>
        <v>4.7</v>
      </c>
      <c r="Y30" s="78">
        <f t="shared" si="2"/>
        <v>10.4</v>
      </c>
      <c r="Z30" s="70">
        <f>'[1]cálculos teóricos'!I84</f>
        <v>11.980791388285134</v>
      </c>
      <c r="AA30" s="71">
        <f t="shared" si="3"/>
        <v>86.805617950823873</v>
      </c>
      <c r="AB30" s="3"/>
    </row>
    <row r="31" spans="1:28" ht="18" customHeight="1">
      <c r="A31" s="85">
        <v>23</v>
      </c>
      <c r="B31" s="75">
        <v>29.4</v>
      </c>
      <c r="C31" s="114">
        <f>'[1]cálculos teóricos'!K85</f>
        <v>1.0125363940963121</v>
      </c>
      <c r="D31" s="58">
        <f t="shared" si="4"/>
        <v>433.53456899739626</v>
      </c>
      <c r="E31" s="59">
        <f t="shared" si="5"/>
        <v>18.151225334782985</v>
      </c>
      <c r="F31" s="60">
        <f t="shared" si="6"/>
        <v>23.018114148478734</v>
      </c>
      <c r="G31" s="61">
        <f>'[1]cálculos teóricos'!T85</f>
        <v>34.36553863871918</v>
      </c>
      <c r="H31" s="74">
        <f t="shared" si="7"/>
        <v>66.980222223389049</v>
      </c>
      <c r="I31" s="131"/>
      <c r="J31" s="130">
        <v>0.2</v>
      </c>
      <c r="K31" s="128">
        <v>1</v>
      </c>
      <c r="L31" s="128">
        <v>1</v>
      </c>
      <c r="M31" s="128">
        <v>1</v>
      </c>
      <c r="N31" s="128">
        <v>1</v>
      </c>
      <c r="O31" s="132">
        <v>1</v>
      </c>
      <c r="P31" s="130">
        <v>1</v>
      </c>
      <c r="Q31" s="128">
        <v>1</v>
      </c>
      <c r="R31" s="128">
        <v>1</v>
      </c>
      <c r="S31" s="128">
        <v>0.5</v>
      </c>
      <c r="T31" s="128"/>
      <c r="U31" s="128"/>
      <c r="V31" s="77"/>
      <c r="W31" s="58">
        <f t="shared" si="0"/>
        <v>5.2</v>
      </c>
      <c r="X31" s="68">
        <f>SUM(P31:V31)</f>
        <v>3.5</v>
      </c>
      <c r="Y31" s="78">
        <f>W31+X31</f>
        <v>8.6999999999999993</v>
      </c>
      <c r="Z31" s="70">
        <f>'[1]cálculos teóricos'!I85</f>
        <v>11.957751465715512</v>
      </c>
      <c r="AA31" s="71">
        <f t="shared" si="3"/>
        <v>72.756153403456096</v>
      </c>
      <c r="AB31" s="3"/>
    </row>
    <row r="32" spans="1:28" ht="18" customHeight="1">
      <c r="A32" s="85">
        <v>24</v>
      </c>
      <c r="B32" s="75">
        <v>30.2</v>
      </c>
      <c r="C32" s="114">
        <f>'[1]cálculos teóricos'!K86</f>
        <v>1.011712103968645</v>
      </c>
      <c r="D32" s="58">
        <f t="shared" si="4"/>
        <v>444.96889062965033</v>
      </c>
      <c r="E32" s="59">
        <f t="shared" si="5"/>
        <v>18.6299575128822</v>
      </c>
      <c r="F32" s="60">
        <f t="shared" si="6"/>
        <v>23.61652937110275</v>
      </c>
      <c r="G32" s="61">
        <f>'[1]cálculos teóricos'!T86</f>
        <v>34.1784595504311</v>
      </c>
      <c r="H32" s="74">
        <f t="shared" si="7"/>
        <v>69.097699784438859</v>
      </c>
      <c r="I32" s="131"/>
      <c r="J32" s="130">
        <v>0.6</v>
      </c>
      <c r="K32" s="128">
        <v>1</v>
      </c>
      <c r="L32" s="128">
        <v>1</v>
      </c>
      <c r="M32" s="128">
        <v>1</v>
      </c>
      <c r="N32" s="128">
        <v>1</v>
      </c>
      <c r="O32" s="132">
        <v>1</v>
      </c>
      <c r="P32" s="130">
        <v>1</v>
      </c>
      <c r="Q32" s="128">
        <v>1</v>
      </c>
      <c r="R32" s="128">
        <v>1</v>
      </c>
      <c r="S32" s="128">
        <v>1</v>
      </c>
      <c r="T32" s="128">
        <v>0.6</v>
      </c>
      <c r="U32" s="128"/>
      <c r="V32" s="77"/>
      <c r="W32" s="58">
        <f t="shared" si="0"/>
        <v>5.6</v>
      </c>
      <c r="X32" s="68">
        <f>SUM(P32:V32)</f>
        <v>4.5999999999999996</v>
      </c>
      <c r="Y32" s="78">
        <f>W32+X32</f>
        <v>10.199999999999999</v>
      </c>
      <c r="Z32" s="70">
        <f>'[1]cálculos teóricos'!I86</f>
        <v>11.934733284254012</v>
      </c>
      <c r="AA32" s="71">
        <f t="shared" si="3"/>
        <v>85.464834086047659</v>
      </c>
      <c r="AB32" s="3"/>
    </row>
    <row r="33" spans="1:28" ht="18" customHeight="1">
      <c r="A33" s="85">
        <v>25</v>
      </c>
      <c r="B33" s="75">
        <v>23.7</v>
      </c>
      <c r="C33" s="114">
        <f>'[1]cálculos teóricos'!K87</f>
        <v>1.0108787261211196</v>
      </c>
      <c r="D33" s="58">
        <f t="shared" si="4"/>
        <v>348.90979617039875</v>
      </c>
      <c r="E33" s="59">
        <f t="shared" si="5"/>
        <v>14.608155346062254</v>
      </c>
      <c r="F33" s="60">
        <f t="shared" si="6"/>
        <v>18.589276662577817</v>
      </c>
      <c r="G33" s="61">
        <f>'[1]cálculos teóricos'!T87</f>
        <v>33.990467106044939</v>
      </c>
      <c r="H33" s="74">
        <f t="shared" si="7"/>
        <v>54.689676974965316</v>
      </c>
      <c r="I33" s="131"/>
      <c r="J33" s="130">
        <v>0.7</v>
      </c>
      <c r="K33" s="128">
        <v>0.3</v>
      </c>
      <c r="L33" s="128">
        <v>1</v>
      </c>
      <c r="M33" s="128">
        <v>1</v>
      </c>
      <c r="N33" s="128">
        <v>1</v>
      </c>
      <c r="O33" s="132">
        <v>0.9</v>
      </c>
      <c r="P33" s="130">
        <v>0.4</v>
      </c>
      <c r="Q33" s="128">
        <v>0.6</v>
      </c>
      <c r="R33" s="128"/>
      <c r="S33" s="128"/>
      <c r="T33" s="128"/>
      <c r="U33" s="128"/>
      <c r="V33" s="77"/>
      <c r="W33" s="58">
        <f t="shared" si="0"/>
        <v>4.9000000000000004</v>
      </c>
      <c r="X33" s="68">
        <f>SUM(P33:V33)</f>
        <v>1</v>
      </c>
      <c r="Y33" s="78">
        <f>W33+X33</f>
        <v>5.9</v>
      </c>
      <c r="Z33" s="70">
        <f>'[1]cálculos teóricos'!I87</f>
        <v>11.911740177847248</v>
      </c>
      <c r="AA33" s="71">
        <f t="shared" si="3"/>
        <v>49.530966188907243</v>
      </c>
      <c r="AB33" s="3"/>
    </row>
    <row r="34" spans="1:28" ht="18" customHeight="1">
      <c r="A34" s="85">
        <v>26</v>
      </c>
      <c r="B34" s="75">
        <v>23.2</v>
      </c>
      <c r="C34" s="114">
        <f>'[1]cálculos teóricos'!K88</f>
        <v>1.010036512339894</v>
      </c>
      <c r="D34" s="58">
        <f t="shared" si="4"/>
        <v>341.26426854111946</v>
      </c>
      <c r="E34" s="59">
        <f t="shared" si="5"/>
        <v>14.288052395279589</v>
      </c>
      <c r="F34" s="60">
        <f t="shared" si="6"/>
        <v>18.189147974099487</v>
      </c>
      <c r="G34" s="61">
        <f>'[1]cálculos teóricos'!T88</f>
        <v>33.801625282554461</v>
      </c>
      <c r="H34" s="74">
        <f t="shared" si="7"/>
        <v>53.811459721397441</v>
      </c>
      <c r="I34" s="131"/>
      <c r="J34" s="130"/>
      <c r="K34" s="128"/>
      <c r="L34" s="128">
        <v>0.4</v>
      </c>
      <c r="M34" s="128">
        <v>0.8</v>
      </c>
      <c r="N34" s="128">
        <v>1</v>
      </c>
      <c r="O34" s="132">
        <v>1</v>
      </c>
      <c r="P34" s="130">
        <v>1</v>
      </c>
      <c r="Q34" s="128">
        <v>1</v>
      </c>
      <c r="R34" s="128">
        <v>0.5</v>
      </c>
      <c r="S34" s="128">
        <v>0.9</v>
      </c>
      <c r="T34" s="128">
        <v>0.9</v>
      </c>
      <c r="U34" s="128">
        <v>0.2</v>
      </c>
      <c r="V34" s="77"/>
      <c r="W34" s="58">
        <f t="shared" si="0"/>
        <v>3.2</v>
      </c>
      <c r="X34" s="68">
        <f>SUM(P34:V34)</f>
        <v>4.5</v>
      </c>
      <c r="Y34" s="78">
        <f>W34+X34</f>
        <v>7.7</v>
      </c>
      <c r="Z34" s="70">
        <f>'[1]cálculos teóricos'!I88</f>
        <v>11.888775472447131</v>
      </c>
      <c r="AA34" s="71">
        <f t="shared" si="3"/>
        <v>64.766972997725119</v>
      </c>
      <c r="AB34" s="3"/>
    </row>
    <row r="35" spans="1:28" ht="18" customHeight="1">
      <c r="A35" s="85">
        <v>27</v>
      </c>
      <c r="B35" s="75">
        <v>13.7</v>
      </c>
      <c r="C35" s="114">
        <f>'[1]cálculos teóricos'!K89</f>
        <v>1.0091857232849979</v>
      </c>
      <c r="D35" s="58">
        <f t="shared" si="4"/>
        <v>201.35268505053662</v>
      </c>
      <c r="E35" s="59">
        <f t="shared" si="5"/>
        <v>8.4302342176958671</v>
      </c>
      <c r="F35" s="60">
        <f t="shared" si="6"/>
        <v>10.866875252119833</v>
      </c>
      <c r="G35" s="61">
        <f>'[1]cálculos teóricos'!T89</f>
        <v>33.61199886197312</v>
      </c>
      <c r="H35" s="74">
        <f t="shared" si="7"/>
        <v>32.330345174484862</v>
      </c>
      <c r="I35" s="131"/>
      <c r="J35" s="130"/>
      <c r="K35" s="128"/>
      <c r="L35" s="128"/>
      <c r="M35" s="128"/>
      <c r="N35" s="128"/>
      <c r="O35" s="132"/>
      <c r="P35" s="130"/>
      <c r="Q35" s="128">
        <v>0.2</v>
      </c>
      <c r="R35" s="128">
        <v>0.1</v>
      </c>
      <c r="S35" s="128"/>
      <c r="T35" s="128"/>
      <c r="U35" s="128"/>
      <c r="V35" s="77"/>
      <c r="W35" s="58">
        <f t="shared" si="0"/>
        <v>0</v>
      </c>
      <c r="X35" s="68">
        <f t="shared" ref="X35:X40" si="8">SUM(P35:V35)</f>
        <v>0.30000000000000004</v>
      </c>
      <c r="Y35" s="78">
        <f t="shared" ref="Y35:Y40" si="9">W35+X35</f>
        <v>0.30000000000000004</v>
      </c>
      <c r="Z35" s="70">
        <f>'[1]cálculos teóricos'!I89</f>
        <v>11.865842492274421</v>
      </c>
      <c r="AA35" s="71">
        <f t="shared" si="3"/>
        <v>2.5282654830057214</v>
      </c>
      <c r="AB35" s="3"/>
    </row>
    <row r="36" spans="1:28" ht="18" customHeight="1">
      <c r="A36" s="85">
        <v>28</v>
      </c>
      <c r="B36" s="75">
        <v>19.899999999999999</v>
      </c>
      <c r="C36" s="114">
        <f>'[1]cálculos teóricos'!K90</f>
        <v>1.0083266284389116</v>
      </c>
      <c r="D36" s="58">
        <f t="shared" si="4"/>
        <v>292.22682058007479</v>
      </c>
      <c r="E36" s="59">
        <f t="shared" si="5"/>
        <v>12.234952524046571</v>
      </c>
      <c r="F36" s="60">
        <f t="shared" si="6"/>
        <v>15.622773135058212</v>
      </c>
      <c r="G36" s="61">
        <f>'[1]cálculos teóricos'!T90</f>
        <v>33.421653400177576</v>
      </c>
      <c r="H36" s="74">
        <f t="shared" si="7"/>
        <v>46.744465176505017</v>
      </c>
      <c r="I36" s="131"/>
      <c r="J36" s="130"/>
      <c r="K36" s="128">
        <v>0.2</v>
      </c>
      <c r="L36" s="128">
        <v>0.1</v>
      </c>
      <c r="M36" s="128">
        <v>0.6</v>
      </c>
      <c r="N36" s="128">
        <v>0.6</v>
      </c>
      <c r="O36" s="132">
        <v>1</v>
      </c>
      <c r="P36" s="130">
        <v>0.8</v>
      </c>
      <c r="Q36" s="128">
        <v>0.4</v>
      </c>
      <c r="R36" s="128">
        <v>0.2</v>
      </c>
      <c r="S36" s="128">
        <v>1</v>
      </c>
      <c r="T36" s="128">
        <v>0.9</v>
      </c>
      <c r="U36" s="128">
        <v>0.1</v>
      </c>
      <c r="V36" s="77"/>
      <c r="W36" s="58">
        <f t="shared" si="0"/>
        <v>2.5</v>
      </c>
      <c r="X36" s="68">
        <f t="shared" si="8"/>
        <v>3.4000000000000004</v>
      </c>
      <c r="Y36" s="78">
        <f t="shared" si="9"/>
        <v>5.9</v>
      </c>
      <c r="Z36" s="70">
        <f>'[1]cálculos teóricos'!I90</f>
        <v>11.842944566041432</v>
      </c>
      <c r="AA36" s="71">
        <f t="shared" si="3"/>
        <v>49.818691349089939</v>
      </c>
      <c r="AB36" s="3"/>
    </row>
    <row r="37" spans="1:28" ht="18" customHeight="1">
      <c r="A37" s="85">
        <v>29</v>
      </c>
      <c r="B37" s="75">
        <v>21.3</v>
      </c>
      <c r="C37" s="114">
        <f>'[1]cálculos teóricos'!K91</f>
        <v>1.0074595060540923</v>
      </c>
      <c r="D37" s="58">
        <f t="shared" si="4"/>
        <v>312.51650779971993</v>
      </c>
      <c r="E37" s="59">
        <f t="shared" si="5"/>
        <v>13.084441148558675</v>
      </c>
      <c r="F37" s="60">
        <f t="shared" si="6"/>
        <v>16.684633915698342</v>
      </c>
      <c r="G37" s="61">
        <f>'[1]cálculos teóricos'!T91</f>
        <v>33.230655195941289</v>
      </c>
      <c r="H37" s="74">
        <f t="shared" si="7"/>
        <v>50.208561394047273</v>
      </c>
      <c r="I37" s="131"/>
      <c r="J37" s="130">
        <v>0.2</v>
      </c>
      <c r="K37" s="128">
        <v>0.9</v>
      </c>
      <c r="L37" s="128">
        <v>0.9</v>
      </c>
      <c r="M37" s="128">
        <v>0.9</v>
      </c>
      <c r="N37" s="128">
        <v>0.8</v>
      </c>
      <c r="O37" s="132">
        <v>0.4</v>
      </c>
      <c r="P37" s="130">
        <v>0.7</v>
      </c>
      <c r="Q37" s="128">
        <v>0.9</v>
      </c>
      <c r="R37" s="128">
        <v>1</v>
      </c>
      <c r="S37" s="128">
        <v>0.7</v>
      </c>
      <c r="T37" s="128">
        <v>0.8</v>
      </c>
      <c r="U37" s="128"/>
      <c r="V37" s="77"/>
      <c r="W37" s="58">
        <f t="shared" si="0"/>
        <v>4.1000000000000005</v>
      </c>
      <c r="X37" s="68">
        <f t="shared" si="8"/>
        <v>4.0999999999999996</v>
      </c>
      <c r="Y37" s="78">
        <f t="shared" si="9"/>
        <v>8.1999999999999993</v>
      </c>
      <c r="Z37" s="70">
        <f>'[1]cálculos teóricos'!I91</f>
        <v>11.820085033125993</v>
      </c>
      <c r="AA37" s="71">
        <f t="shared" si="3"/>
        <v>69.373443397567414</v>
      </c>
      <c r="AB37" s="3"/>
    </row>
    <row r="38" spans="1:28" ht="18" customHeight="1">
      <c r="A38" s="80">
        <v>30</v>
      </c>
      <c r="B38" s="75">
        <v>27.8</v>
      </c>
      <c r="C38" s="114">
        <f>'[1]cálculos teóricos'!K92</f>
        <v>1.0065846430992109</v>
      </c>
      <c r="D38" s="58">
        <f t="shared" si="4"/>
        <v>407.53119350375499</v>
      </c>
      <c r="E38" s="59">
        <f t="shared" si="5"/>
        <v>17.062516009615212</v>
      </c>
      <c r="F38" s="60">
        <f t="shared" si="6"/>
        <v>21.657227492019018</v>
      </c>
      <c r="G38" s="61">
        <f>'[1]cálculos teóricos'!T92</f>
        <v>33.03907126014785</v>
      </c>
      <c r="H38" s="74">
        <f t="shared" si="7"/>
        <v>65.550351949941899</v>
      </c>
      <c r="I38" s="131"/>
      <c r="J38" s="134">
        <v>0.6</v>
      </c>
      <c r="K38" s="135">
        <v>1</v>
      </c>
      <c r="L38" s="135">
        <v>1</v>
      </c>
      <c r="M38" s="135">
        <v>1</v>
      </c>
      <c r="N38" s="135">
        <v>1</v>
      </c>
      <c r="O38" s="136">
        <v>1</v>
      </c>
      <c r="P38" s="134">
        <v>1</v>
      </c>
      <c r="Q38" s="135">
        <v>1</v>
      </c>
      <c r="R38" s="135">
        <v>1</v>
      </c>
      <c r="S38" s="135">
        <v>0.9</v>
      </c>
      <c r="T38" s="135">
        <v>0.3</v>
      </c>
      <c r="U38" s="135"/>
      <c r="V38" s="77"/>
      <c r="W38" s="58">
        <f t="shared" si="0"/>
        <v>5.6</v>
      </c>
      <c r="X38" s="68">
        <f t="shared" si="8"/>
        <v>4.2</v>
      </c>
      <c r="Y38" s="78">
        <f t="shared" si="9"/>
        <v>9.8000000000000007</v>
      </c>
      <c r="Z38" s="70">
        <f>'[1]cálculos teóricos'!I92</f>
        <v>11.797267249688634</v>
      </c>
      <c r="AA38" s="71">
        <f t="shared" si="3"/>
        <v>83.070085576459689</v>
      </c>
      <c r="AB38" s="3"/>
    </row>
    <row r="39" spans="1:28" ht="18" customHeight="1" thickBot="1">
      <c r="A39" s="86">
        <v>31</v>
      </c>
      <c r="B39" s="87">
        <v>9.8000000000000007</v>
      </c>
      <c r="C39" s="88">
        <f>'[1]cálculos teóricos'!K93</f>
        <v>1.0057023352038255</v>
      </c>
      <c r="D39" s="89">
        <f t="shared" si="4"/>
        <v>143.53615039566094</v>
      </c>
      <c r="E39" s="90">
        <f t="shared" si="5"/>
        <v>6.0095715447655325</v>
      </c>
      <c r="F39" s="91">
        <f t="shared" si="6"/>
        <v>7.8410469109569156</v>
      </c>
      <c r="G39" s="92">
        <f>'[1]cálculos teóricos'!T93</f>
        <v>32.846969285166935</v>
      </c>
      <c r="H39" s="93">
        <f t="shared" si="7"/>
        <v>23.871447142911244</v>
      </c>
      <c r="I39" s="137"/>
      <c r="J39" s="138">
        <v>0.1</v>
      </c>
      <c r="K39" s="139">
        <v>0.4</v>
      </c>
      <c r="L39" s="139">
        <v>0.1</v>
      </c>
      <c r="M39" s="139"/>
      <c r="N39" s="139"/>
      <c r="O39" s="140"/>
      <c r="P39" s="138"/>
      <c r="Q39" s="139"/>
      <c r="R39" s="139"/>
      <c r="S39" s="139"/>
      <c r="T39" s="139"/>
      <c r="U39" s="139"/>
      <c r="V39" s="95"/>
      <c r="W39" s="58">
        <f t="shared" si="0"/>
        <v>0.6</v>
      </c>
      <c r="X39" s="68">
        <f t="shared" si="8"/>
        <v>0</v>
      </c>
      <c r="Y39" s="78">
        <f t="shared" si="9"/>
        <v>0.6</v>
      </c>
      <c r="Z39" s="98">
        <f>'[1]cálculos teóricos'!I93</f>
        <v>11.774494594725017</v>
      </c>
      <c r="AA39" s="99">
        <f t="shared" si="3"/>
        <v>5.095760120938019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25">
        <f>SUM(I9:I39)</f>
        <v>0</v>
      </c>
      <c r="J40" s="125">
        <f t="shared" ref="J40:V40" si="10">SUM(J9:J39)</f>
        <v>7.9999999999999991</v>
      </c>
      <c r="K40" s="125">
        <f t="shared" si="10"/>
        <v>16.799999999999997</v>
      </c>
      <c r="L40" s="125">
        <f t="shared" si="10"/>
        <v>19.399999999999999</v>
      </c>
      <c r="M40" s="125">
        <f t="shared" si="10"/>
        <v>22.2</v>
      </c>
      <c r="N40" s="125">
        <f t="shared" si="10"/>
        <v>24.400000000000002</v>
      </c>
      <c r="O40" s="125">
        <f t="shared" si="10"/>
        <v>24.299999999999997</v>
      </c>
      <c r="P40" s="125">
        <f t="shared" si="10"/>
        <v>21.599999999999998</v>
      </c>
      <c r="Q40" s="125">
        <f t="shared" si="10"/>
        <v>19.8</v>
      </c>
      <c r="R40" s="125">
        <f t="shared" si="10"/>
        <v>17.7</v>
      </c>
      <c r="S40" s="125">
        <f t="shared" si="10"/>
        <v>11.700000000000001</v>
      </c>
      <c r="T40" s="125">
        <f t="shared" si="10"/>
        <v>7.2</v>
      </c>
      <c r="U40" s="125">
        <f t="shared" si="10"/>
        <v>0.70000000000000007</v>
      </c>
      <c r="V40" s="125">
        <f t="shared" si="10"/>
        <v>0</v>
      </c>
      <c r="W40" s="103">
        <f>SUM(I40:S40)</f>
        <v>185.89999999999998</v>
      </c>
      <c r="X40" s="103">
        <f t="shared" si="8"/>
        <v>78.7</v>
      </c>
      <c r="Y40" s="103">
        <f t="shared" si="9"/>
        <v>264.59999999999997</v>
      </c>
      <c r="Z40" s="104"/>
      <c r="AA40" s="104"/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 t="s">
        <v>66</v>
      </c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6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67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68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64</v>
      </c>
      <c r="C3" s="3"/>
      <c r="D3" s="141"/>
      <c r="E3" s="142"/>
      <c r="F3" s="141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65</v>
      </c>
      <c r="W3" s="3"/>
      <c r="X3" s="143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9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56">
        <v>8.6999999999999993</v>
      </c>
      <c r="C9" s="73">
        <f>'[1]cálculos teóricos'!K94</f>
        <v>1.0048128866011701</v>
      </c>
      <c r="D9" s="58">
        <f>IF(B9&gt;0,B9*C9*14.25*1.022,-999)</f>
        <v>127.31225452394042</v>
      </c>
      <c r="E9" s="59">
        <f>IF(B9&gt;0,D9*4.1868/100,-999)</f>
        <v>5.3303094724083371</v>
      </c>
      <c r="F9" s="60">
        <f>IF(B9&gt;0,(7.86+1.25*D9)*4.1868/100,-999)</f>
        <v>6.9919693205104227</v>
      </c>
      <c r="G9" s="61">
        <f>'[1]cálculos teóricos'!T94</f>
        <v>32.65441761437198</v>
      </c>
      <c r="H9" s="62">
        <f>IF(B9&gt;0,100*F9/G9,-999)</f>
        <v>21.412016600881259</v>
      </c>
      <c r="I9" s="63"/>
      <c r="J9" s="63"/>
      <c r="K9" s="63"/>
      <c r="L9" s="63"/>
      <c r="M9" s="63"/>
      <c r="N9" s="144"/>
      <c r="O9" s="64"/>
      <c r="P9" s="63"/>
      <c r="Q9" s="63"/>
      <c r="R9" s="63"/>
      <c r="S9" s="63"/>
      <c r="T9" s="63"/>
      <c r="U9" s="63"/>
      <c r="V9" s="64"/>
      <c r="W9" s="58">
        <f t="shared" ref="W9:W38" si="0">SUM(I9:O9)</f>
        <v>0</v>
      </c>
      <c r="X9" s="68">
        <f>SUM(P9:V9)</f>
        <v>0</v>
      </c>
      <c r="Y9" s="145">
        <f>W9+X9</f>
        <v>0</v>
      </c>
      <c r="Z9" s="70">
        <f>'[1]cálculos teóricos'!I94</f>
        <v>11.751770476045246</v>
      </c>
      <c r="AA9" s="71">
        <f>100*Y9/Z9</f>
        <v>0</v>
      </c>
      <c r="AB9" s="3"/>
    </row>
    <row r="10" spans="1:28" ht="18" customHeight="1">
      <c r="A10" s="109">
        <v>2</v>
      </c>
      <c r="B10" s="56">
        <v>11</v>
      </c>
      <c r="C10" s="73">
        <f>'[1]cálculos teóricos'!K95</f>
        <v>1.0039166100687127</v>
      </c>
      <c r="D10" s="58">
        <f>IF(B10&gt;0,B10*C10*14.25*1.022,-999)</f>
        <v>160.82593505809268</v>
      </c>
      <c r="E10" s="59">
        <f>IF(B10&gt;0,D10*4.1868/100,-999)</f>
        <v>6.7334602490122242</v>
      </c>
      <c r="F10" s="60">
        <f>IF(B10&gt;0,(7.86+1.25*D10)*4.1868/100,-999)</f>
        <v>8.7459077912652816</v>
      </c>
      <c r="G10" s="61">
        <f>'[1]cálculos teóricos'!T95</f>
        <v>32.461485211773081</v>
      </c>
      <c r="H10" s="74">
        <f>IF(B10&gt;0,100*F10/G10,-999)</f>
        <v>26.942414169310187</v>
      </c>
      <c r="I10" s="56"/>
      <c r="J10" s="82"/>
      <c r="K10" s="82"/>
      <c r="L10" s="82"/>
      <c r="M10" s="82"/>
      <c r="N10" s="82">
        <v>0.2</v>
      </c>
      <c r="O10" s="76"/>
      <c r="P10" s="79"/>
      <c r="Q10" s="79"/>
      <c r="R10" s="75"/>
      <c r="S10" s="75"/>
      <c r="T10" s="75"/>
      <c r="U10" s="75"/>
      <c r="V10" s="77"/>
      <c r="W10" s="58">
        <f t="shared" si="0"/>
        <v>0.2</v>
      </c>
      <c r="X10" s="68">
        <f>SUM(P10:V10)</f>
        <v>0</v>
      </c>
      <c r="Y10" s="116">
        <f>W10+X10</f>
        <v>0.2</v>
      </c>
      <c r="Z10" s="70">
        <f>'[1]cálculos teóricos'!I95</f>
        <v>11.729098336171763</v>
      </c>
      <c r="AA10" s="71">
        <f t="shared" ref="AA10:AA38" si="1">100*Y10/Z10</f>
        <v>1.7051609106491437</v>
      </c>
      <c r="AB10" s="3"/>
    </row>
    <row r="11" spans="1:28" ht="18" customHeight="1">
      <c r="A11" s="109">
        <v>3</v>
      </c>
      <c r="B11" s="56">
        <v>20.8</v>
      </c>
      <c r="C11" s="73">
        <f>'[1]cálculos teóricos'!K96</f>
        <v>1.003013826866084</v>
      </c>
      <c r="D11" s="58">
        <f t="shared" ref="D11:D38" si="2">IF(B11&gt;0,B11*C11*14.25*1.022,-999)</f>
        <v>303.83375084533571</v>
      </c>
      <c r="E11" s="59">
        <f t="shared" ref="E11:E38" si="3">IF(B11&gt;0,D11*4.1868/100,-999)</f>
        <v>12.720911480392514</v>
      </c>
      <c r="F11" s="60">
        <f t="shared" ref="F11:F38" si="4">IF(B11&gt;0,(7.86+1.25*D11)*4.1868/100,-999)</f>
        <v>16.230221830490645</v>
      </c>
      <c r="G11" s="61">
        <f>'[1]cálculos teóricos'!T96</f>
        <v>32.268241631734995</v>
      </c>
      <c r="H11" s="74">
        <f t="shared" ref="H11:H38" si="5">IF(B11&gt;0,100*F11/G11,-999)</f>
        <v>50.297819186182849</v>
      </c>
      <c r="I11" s="56"/>
      <c r="J11" s="82"/>
      <c r="K11" s="82">
        <v>0.5</v>
      </c>
      <c r="L11" s="82">
        <v>0.8</v>
      </c>
      <c r="M11" s="82">
        <v>1</v>
      </c>
      <c r="N11" s="82">
        <v>1</v>
      </c>
      <c r="O11" s="76">
        <v>0.9</v>
      </c>
      <c r="P11" s="79">
        <v>0.5</v>
      </c>
      <c r="Q11" s="79">
        <v>1</v>
      </c>
      <c r="R11" s="75">
        <v>1</v>
      </c>
      <c r="S11" s="75">
        <v>0.2</v>
      </c>
      <c r="T11" s="75"/>
      <c r="U11" s="75"/>
      <c r="V11" s="77"/>
      <c r="W11" s="58">
        <f t="shared" si="0"/>
        <v>4.2</v>
      </c>
      <c r="X11" s="68">
        <f t="shared" ref="X11:X38" si="6">SUM(P11:V11)</f>
        <v>2.7</v>
      </c>
      <c r="Y11" s="116">
        <f t="shared" ref="Y11:Y38" si="7">W11+X11</f>
        <v>6.9</v>
      </c>
      <c r="Z11" s="70">
        <f>'[1]cálculos teóricos'!I96</f>
        <v>11.706481658147139</v>
      </c>
      <c r="AA11" s="71">
        <f t="shared" si="1"/>
        <v>58.941705983863542</v>
      </c>
      <c r="AB11" s="3"/>
    </row>
    <row r="12" spans="1:28" ht="18" customHeight="1">
      <c r="A12" s="109">
        <v>4</v>
      </c>
      <c r="B12" s="56">
        <v>26.2</v>
      </c>
      <c r="C12" s="73">
        <f>'[1]cálculos teóricos'!K97</f>
        <v>1.0021048666699626</v>
      </c>
      <c r="D12" s="58">
        <f t="shared" si="2"/>
        <v>382.36684071459763</v>
      </c>
      <c r="E12" s="59">
        <f t="shared" si="3"/>
        <v>16.008934887038773</v>
      </c>
      <c r="F12" s="60">
        <f t="shared" si="4"/>
        <v>20.340251088798468</v>
      </c>
      <c r="G12" s="61">
        <f>'[1]cálculos teóricos'!T97</f>
        <v>32.074756988746543</v>
      </c>
      <c r="H12" s="74">
        <f t="shared" si="5"/>
        <v>63.415137006134962</v>
      </c>
      <c r="I12" s="56"/>
      <c r="J12" s="82"/>
      <c r="K12" s="82">
        <v>0.9</v>
      </c>
      <c r="L12" s="82">
        <v>1</v>
      </c>
      <c r="M12" s="82">
        <v>1</v>
      </c>
      <c r="N12" s="82">
        <v>1</v>
      </c>
      <c r="O12" s="76">
        <v>1</v>
      </c>
      <c r="P12" s="79">
        <v>1</v>
      </c>
      <c r="Q12" s="79">
        <v>1</v>
      </c>
      <c r="R12" s="75">
        <v>1</v>
      </c>
      <c r="S12" s="75">
        <v>0.8</v>
      </c>
      <c r="T12" s="75">
        <v>0.8</v>
      </c>
      <c r="U12" s="75">
        <v>0.1</v>
      </c>
      <c r="V12" s="77"/>
      <c r="W12" s="58">
        <f t="shared" si="0"/>
        <v>4.9000000000000004</v>
      </c>
      <c r="X12" s="68">
        <f t="shared" si="6"/>
        <v>4.6999999999999993</v>
      </c>
      <c r="Y12" s="116">
        <f t="shared" si="7"/>
        <v>9.6</v>
      </c>
      <c r="Z12" s="70">
        <f>'[1]cálculos teóricos'!I97</f>
        <v>11.683923971242983</v>
      </c>
      <c r="AA12" s="71">
        <f t="shared" si="1"/>
        <v>82.164177237270337</v>
      </c>
      <c r="AB12" s="3"/>
    </row>
    <row r="13" spans="1:28" ht="18" customHeight="1">
      <c r="A13" s="72">
        <v>5</v>
      </c>
      <c r="B13" s="56">
        <v>8.6</v>
      </c>
      <c r="C13" s="73">
        <f>'[1]cálculos teóricos'!K98</f>
        <v>1.0011900675054584</v>
      </c>
      <c r="D13" s="58">
        <f t="shared" si="2"/>
        <v>125.3951513137954</v>
      </c>
      <c r="E13" s="59">
        <f t="shared" si="3"/>
        <v>5.2500441952059846</v>
      </c>
      <c r="F13" s="60">
        <f t="shared" si="4"/>
        <v>6.8916377240074826</v>
      </c>
      <c r="G13" s="61">
        <f>'[1]cálculos teóricos'!T98</f>
        <v>31.881101927204124</v>
      </c>
      <c r="H13" s="74">
        <f t="shared" si="5"/>
        <v>21.616686084889846</v>
      </c>
      <c r="I13" s="56"/>
      <c r="J13" s="82"/>
      <c r="K13" s="82"/>
      <c r="L13" s="82"/>
      <c r="M13" s="82"/>
      <c r="N13" s="82"/>
      <c r="O13" s="76"/>
      <c r="P13" s="79"/>
      <c r="Q13" s="79"/>
      <c r="R13" s="75"/>
      <c r="S13" s="75"/>
      <c r="T13" s="75"/>
      <c r="U13" s="75"/>
      <c r="V13" s="77"/>
      <c r="W13" s="58">
        <f t="shared" si="0"/>
        <v>0</v>
      </c>
      <c r="X13" s="68">
        <f t="shared" si="6"/>
        <v>0</v>
      </c>
      <c r="Y13" s="116">
        <f t="shared" si="7"/>
        <v>0</v>
      </c>
      <c r="Z13" s="70">
        <f>'[1]cálculos teóricos'!I98</f>
        <v>11.661428856560702</v>
      </c>
      <c r="AA13" s="71">
        <f t="shared" si="1"/>
        <v>0</v>
      </c>
      <c r="AB13" s="3"/>
    </row>
    <row r="14" spans="1:28" ht="18" customHeight="1">
      <c r="A14" s="72">
        <v>6</v>
      </c>
      <c r="B14" s="56">
        <v>21.4</v>
      </c>
      <c r="C14" s="73">
        <f>'[1]cálculos teóricos'!K99</f>
        <v>1.0002697756735133</v>
      </c>
      <c r="D14" s="58">
        <f t="shared" si="2"/>
        <v>311.74297798965387</v>
      </c>
      <c r="E14" s="59">
        <f t="shared" si="3"/>
        <v>13.052055002470826</v>
      </c>
      <c r="F14" s="60">
        <f t="shared" si="4"/>
        <v>16.644151233088536</v>
      </c>
      <c r="G14" s="61">
        <f>'[1]cálculos teóricos'!T99</f>
        <v>31.687347591169619</v>
      </c>
      <c r="H14" s="74">
        <f t="shared" si="5"/>
        <v>52.526173688727418</v>
      </c>
      <c r="I14" s="56"/>
      <c r="J14" s="82"/>
      <c r="K14" s="82">
        <v>0.5</v>
      </c>
      <c r="L14" s="82">
        <v>0.9</v>
      </c>
      <c r="M14" s="82">
        <v>0.8</v>
      </c>
      <c r="N14" s="82">
        <v>0.8</v>
      </c>
      <c r="O14" s="76">
        <v>0.6</v>
      </c>
      <c r="P14" s="79">
        <v>0.9</v>
      </c>
      <c r="Q14" s="79">
        <v>0.8</v>
      </c>
      <c r="R14" s="75">
        <v>0.9</v>
      </c>
      <c r="S14" s="75">
        <v>0.9</v>
      </c>
      <c r="T14" s="75">
        <v>0.6</v>
      </c>
      <c r="U14" s="75"/>
      <c r="V14" s="77"/>
      <c r="W14" s="58">
        <f t="shared" si="0"/>
        <v>3.6</v>
      </c>
      <c r="X14" s="68">
        <f t="shared" si="6"/>
        <v>4.0999999999999996</v>
      </c>
      <c r="Y14" s="116">
        <f t="shared" si="7"/>
        <v>7.6999999999999993</v>
      </c>
      <c r="Z14" s="70">
        <f>'[1]cálculos teóricos'!I99</f>
        <v>11.638999952514853</v>
      </c>
      <c r="AA14" s="71">
        <f t="shared" si="1"/>
        <v>66.156886600349637</v>
      </c>
      <c r="AB14" s="3"/>
    </row>
    <row r="15" spans="1:28" ht="18" customHeight="1">
      <c r="A15" s="72">
        <v>7</v>
      </c>
      <c r="B15" s="56">
        <v>23.5</v>
      </c>
      <c r="C15" s="73">
        <f>'[1]cálculos teóricos'!K100</f>
        <v>0.99934434567381758</v>
      </c>
      <c r="D15" s="58">
        <f t="shared" si="2"/>
        <v>342.01785738818512</v>
      </c>
      <c r="E15" s="59">
        <f t="shared" si="3"/>
        <v>14.319603653128533</v>
      </c>
      <c r="F15" s="60">
        <f t="shared" si="4"/>
        <v>18.22858704641067</v>
      </c>
      <c r="G15" s="61">
        <f>'[1]cálculos teóricos'!T100</f>
        <v>31.493565594061103</v>
      </c>
      <c r="H15" s="74">
        <f t="shared" si="5"/>
        <v>57.880353343821206</v>
      </c>
      <c r="I15" s="56"/>
      <c r="J15" s="82"/>
      <c r="K15" s="82">
        <v>0.9</v>
      </c>
      <c r="L15" s="82">
        <v>1</v>
      </c>
      <c r="M15" s="82">
        <v>1</v>
      </c>
      <c r="N15" s="82">
        <v>0.6</v>
      </c>
      <c r="O15" s="76">
        <v>1</v>
      </c>
      <c r="P15" s="79">
        <v>1</v>
      </c>
      <c r="Q15" s="79">
        <v>1</v>
      </c>
      <c r="R15" s="75">
        <v>1</v>
      </c>
      <c r="S15" s="75">
        <v>0.6</v>
      </c>
      <c r="T15" s="75"/>
      <c r="U15" s="75"/>
      <c r="V15" s="77"/>
      <c r="W15" s="58">
        <f t="shared" si="0"/>
        <v>4.5</v>
      </c>
      <c r="X15" s="68">
        <f t="shared" si="6"/>
        <v>3.6</v>
      </c>
      <c r="Y15" s="116">
        <f t="shared" si="7"/>
        <v>8.1</v>
      </c>
      <c r="Z15" s="70">
        <f>'[1]cálculos teóricos'!I100</f>
        <v>11.616640960189132</v>
      </c>
      <c r="AA15" s="71">
        <f t="shared" si="1"/>
        <v>69.727557456231509</v>
      </c>
      <c r="AB15" s="3"/>
    </row>
    <row r="16" spans="1:28" ht="18" customHeight="1">
      <c r="A16" s="80">
        <v>8</v>
      </c>
      <c r="B16" s="75">
        <v>23</v>
      </c>
      <c r="C16" s="73">
        <f>'[1]cálculos teóricos'!K101</f>
        <v>0.99841414012270413</v>
      </c>
      <c r="D16" s="58">
        <f t="shared" si="2"/>
        <v>334.42929958257105</v>
      </c>
      <c r="E16" s="59">
        <f t="shared" si="3"/>
        <v>14.001885914923085</v>
      </c>
      <c r="F16" s="60">
        <f t="shared" si="4"/>
        <v>17.831439873653856</v>
      </c>
      <c r="G16" s="61">
        <f>'[1]cálculos teóricos'!T101</f>
        <v>31.299827988232465</v>
      </c>
      <c r="H16" s="74">
        <f t="shared" si="5"/>
        <v>56.96976954748056</v>
      </c>
      <c r="I16" s="79"/>
      <c r="J16" s="81"/>
      <c r="K16" s="81">
        <v>0.5</v>
      </c>
      <c r="L16" s="81">
        <v>1</v>
      </c>
      <c r="M16" s="81">
        <v>1</v>
      </c>
      <c r="N16" s="82">
        <v>1</v>
      </c>
      <c r="O16" s="77">
        <v>1</v>
      </c>
      <c r="P16" s="82">
        <v>1</v>
      </c>
      <c r="Q16" s="82">
        <v>0.9</v>
      </c>
      <c r="R16" s="81">
        <v>0.4</v>
      </c>
      <c r="S16" s="81">
        <v>0.2</v>
      </c>
      <c r="T16" s="81"/>
      <c r="U16" s="81"/>
      <c r="V16" s="77"/>
      <c r="W16" s="58">
        <f t="shared" si="0"/>
        <v>4.5</v>
      </c>
      <c r="X16" s="68">
        <f t="shared" si="6"/>
        <v>2.5</v>
      </c>
      <c r="Y16" s="116">
        <f t="shared" si="7"/>
        <v>7</v>
      </c>
      <c r="Z16" s="70">
        <f>'[1]cálculos teóricos'!I101</f>
        <v>11.594355648555021</v>
      </c>
      <c r="AA16" s="71">
        <f t="shared" si="1"/>
        <v>60.374204588699108</v>
      </c>
      <c r="AB16" s="3"/>
    </row>
    <row r="17" spans="1:28" ht="18" customHeight="1">
      <c r="A17" s="80">
        <v>9</v>
      </c>
      <c r="B17" s="75">
        <v>22.7</v>
      </c>
      <c r="C17" s="73">
        <f>'[1]cálculos teóricos'!K102</f>
        <v>0.99747952966548015</v>
      </c>
      <c r="D17" s="58">
        <f t="shared" si="2"/>
        <v>329.75820405742911</v>
      </c>
      <c r="E17" s="59">
        <f t="shared" si="3"/>
        <v>13.806316487476442</v>
      </c>
      <c r="F17" s="60">
        <f t="shared" si="4"/>
        <v>17.586978089345553</v>
      </c>
      <c r="G17" s="61">
        <f>'[1]cálculos teóricos'!T102</f>
        <v>31.106207234397623</v>
      </c>
      <c r="H17" s="74">
        <f t="shared" si="5"/>
        <v>56.53848428649848</v>
      </c>
      <c r="I17" s="79"/>
      <c r="J17" s="81"/>
      <c r="K17" s="81">
        <v>0.1</v>
      </c>
      <c r="L17" s="81">
        <v>0.1</v>
      </c>
      <c r="M17" s="81">
        <v>0.9</v>
      </c>
      <c r="N17" s="82">
        <v>1</v>
      </c>
      <c r="O17" s="77">
        <v>1</v>
      </c>
      <c r="P17" s="82">
        <v>1</v>
      </c>
      <c r="Q17" s="82">
        <v>1</v>
      </c>
      <c r="R17" s="81">
        <v>0.8</v>
      </c>
      <c r="S17" s="81">
        <v>0.3</v>
      </c>
      <c r="T17" s="81"/>
      <c r="U17" s="81"/>
      <c r="V17" s="77"/>
      <c r="W17" s="58">
        <f t="shared" si="0"/>
        <v>3.1</v>
      </c>
      <c r="X17" s="68">
        <f t="shared" si="6"/>
        <v>3.0999999999999996</v>
      </c>
      <c r="Y17" s="116">
        <f t="shared" si="7"/>
        <v>6.1999999999999993</v>
      </c>
      <c r="Z17" s="70">
        <f>'[1]cálculos teóricos'!I102</f>
        <v>11.5721478595426</v>
      </c>
      <c r="AA17" s="71">
        <f t="shared" si="1"/>
        <v>53.576916534879636</v>
      </c>
      <c r="AB17" s="3"/>
    </row>
    <row r="18" spans="1:28" ht="18" customHeight="1">
      <c r="A18" s="80">
        <v>10</v>
      </c>
      <c r="B18" s="75">
        <v>21.6</v>
      </c>
      <c r="C18" s="73">
        <f>'[1]cálculos teóricos'!K103</f>
        <v>0.99654089288262615</v>
      </c>
      <c r="D18" s="58">
        <f t="shared" si="2"/>
        <v>313.48346313951635</v>
      </c>
      <c r="E18" s="59">
        <f t="shared" si="3"/>
        <v>13.124925634725271</v>
      </c>
      <c r="F18" s="60">
        <f t="shared" si="4"/>
        <v>16.735239523406587</v>
      </c>
      <c r="G18" s="61">
        <f>'[1]cálculos teóricos'!T103</f>
        <v>30.912776170854091</v>
      </c>
      <c r="H18" s="74">
        <f t="shared" si="5"/>
        <v>54.136967287930929</v>
      </c>
      <c r="I18" s="79"/>
      <c r="J18" s="81">
        <v>0.1</v>
      </c>
      <c r="K18" s="81">
        <v>0.8</v>
      </c>
      <c r="L18" s="81">
        <v>0.8</v>
      </c>
      <c r="M18" s="81">
        <v>1</v>
      </c>
      <c r="N18" s="82">
        <v>1</v>
      </c>
      <c r="O18" s="76">
        <v>0.8</v>
      </c>
      <c r="P18" s="82">
        <v>0.7</v>
      </c>
      <c r="Q18" s="82">
        <v>1</v>
      </c>
      <c r="R18" s="81">
        <v>1</v>
      </c>
      <c r="S18" s="81">
        <v>1</v>
      </c>
      <c r="T18" s="81">
        <v>1</v>
      </c>
      <c r="U18" s="81"/>
      <c r="V18" s="77"/>
      <c r="W18" s="58">
        <f t="shared" si="0"/>
        <v>4.5</v>
      </c>
      <c r="X18" s="68">
        <f t="shared" si="6"/>
        <v>4.7</v>
      </c>
      <c r="Y18" s="116">
        <f t="shared" si="7"/>
        <v>9.1999999999999993</v>
      </c>
      <c r="Z18" s="70">
        <f>'[1]cálculos teóricos'!I103</f>
        <v>11.55002151295256</v>
      </c>
      <c r="AA18" s="71">
        <f t="shared" si="1"/>
        <v>79.653531291546315</v>
      </c>
      <c r="AB18" s="3"/>
    </row>
    <row r="19" spans="1:28" ht="18" customHeight="1">
      <c r="A19" s="80">
        <v>11</v>
      </c>
      <c r="B19" s="75">
        <v>22.7</v>
      </c>
      <c r="C19" s="73">
        <f>'[1]cálculos teóricos'!K104</f>
        <v>0.99559861618928736</v>
      </c>
      <c r="D19" s="58">
        <f t="shared" si="2"/>
        <v>329.13639014401002</v>
      </c>
      <c r="E19" s="59">
        <f t="shared" si="3"/>
        <v>13.780282382549411</v>
      </c>
      <c r="F19" s="60">
        <f t="shared" si="4"/>
        <v>17.554435458186763</v>
      </c>
      <c r="G19" s="61">
        <f>'[1]cálculos teóricos'!T104</f>
        <v>30.719607982460538</v>
      </c>
      <c r="H19" s="74">
        <f t="shared" si="5"/>
        <v>57.14407380526967</v>
      </c>
      <c r="I19" s="79"/>
      <c r="J19" s="81">
        <v>0.2</v>
      </c>
      <c r="K19" s="81">
        <v>0.8</v>
      </c>
      <c r="L19" s="81">
        <v>1</v>
      </c>
      <c r="M19" s="81">
        <v>0.5</v>
      </c>
      <c r="N19" s="81">
        <v>1</v>
      </c>
      <c r="O19" s="77">
        <v>1</v>
      </c>
      <c r="P19" s="82">
        <v>0.9</v>
      </c>
      <c r="Q19" s="82">
        <v>1</v>
      </c>
      <c r="R19" s="81">
        <v>1</v>
      </c>
      <c r="S19" s="81">
        <v>0.3</v>
      </c>
      <c r="T19" s="81"/>
      <c r="U19" s="81"/>
      <c r="V19" s="77"/>
      <c r="W19" s="58">
        <f t="shared" si="0"/>
        <v>4.5</v>
      </c>
      <c r="X19" s="68">
        <f t="shared" si="6"/>
        <v>3.1999999999999997</v>
      </c>
      <c r="Y19" s="116">
        <f t="shared" si="7"/>
        <v>7.6999999999999993</v>
      </c>
      <c r="Z19" s="70">
        <f>'[1]cálculos teóricos'!I104</f>
        <v>11.527980611198263</v>
      </c>
      <c r="AA19" s="71">
        <f t="shared" si="1"/>
        <v>66.794005469789141</v>
      </c>
      <c r="AB19" s="3"/>
    </row>
    <row r="20" spans="1:28" ht="18" customHeight="1">
      <c r="A20" s="80">
        <v>12</v>
      </c>
      <c r="B20" s="75">
        <v>17.8</v>
      </c>
      <c r="C20" s="73">
        <f>'[1]cálculos teóricos'!K105</f>
        <v>0.99465309372746913</v>
      </c>
      <c r="D20" s="58">
        <f t="shared" si="2"/>
        <v>257.84421988290001</v>
      </c>
      <c r="E20" s="59">
        <f t="shared" si="3"/>
        <v>10.795421798057257</v>
      </c>
      <c r="F20" s="60">
        <f t="shared" si="4"/>
        <v>13.823359727571571</v>
      </c>
      <c r="G20" s="61">
        <f>'[1]cálculos teóricos'!T105</f>
        <v>30.526776169323703</v>
      </c>
      <c r="H20" s="74">
        <f t="shared" si="5"/>
        <v>45.282736869747282</v>
      </c>
      <c r="I20" s="79"/>
      <c r="J20" s="81"/>
      <c r="K20" s="81">
        <v>0.2</v>
      </c>
      <c r="L20" s="81">
        <v>1</v>
      </c>
      <c r="M20" s="81">
        <v>0.5</v>
      </c>
      <c r="N20" s="81">
        <v>1</v>
      </c>
      <c r="O20" s="77">
        <v>0.6</v>
      </c>
      <c r="P20" s="82">
        <v>0.1</v>
      </c>
      <c r="Q20" s="82">
        <v>0.2</v>
      </c>
      <c r="R20" s="81">
        <v>0.5</v>
      </c>
      <c r="S20" s="81">
        <v>0.5</v>
      </c>
      <c r="T20" s="81">
        <v>0.2</v>
      </c>
      <c r="U20" s="81"/>
      <c r="V20" s="77"/>
      <c r="W20" s="58">
        <f t="shared" si="0"/>
        <v>3.3000000000000003</v>
      </c>
      <c r="X20" s="68">
        <f t="shared" si="6"/>
        <v>1.5</v>
      </c>
      <c r="Y20" s="116">
        <f t="shared" si="7"/>
        <v>4.8000000000000007</v>
      </c>
      <c r="Z20" s="70">
        <f>'[1]cálculos teóricos'!I105</f>
        <v>11.506029243866161</v>
      </c>
      <c r="AA20" s="71">
        <f t="shared" si="1"/>
        <v>41.717258823749908</v>
      </c>
      <c r="AB20" s="3"/>
    </row>
    <row r="21" spans="1:28" ht="18" customHeight="1">
      <c r="A21" s="80">
        <v>13</v>
      </c>
      <c r="B21" s="75">
        <v>14.9</v>
      </c>
      <c r="C21" s="73">
        <f>'[1]cálculos teóricos'!K106</f>
        <v>0.9937047272503452</v>
      </c>
      <c r="D21" s="58">
        <f t="shared" si="2"/>
        <v>215.63010005012498</v>
      </c>
      <c r="E21" s="59">
        <f t="shared" si="3"/>
        <v>9.0280010288986325</v>
      </c>
      <c r="F21" s="60">
        <f t="shared" si="4"/>
        <v>11.61408376612329</v>
      </c>
      <c r="G21" s="61">
        <f>'[1]cálculos teóricos'!T106</f>
        <v>30.334354515150523</v>
      </c>
      <c r="H21" s="74">
        <f t="shared" si="5"/>
        <v>38.286899298689953</v>
      </c>
      <c r="I21" s="79"/>
      <c r="J21" s="81"/>
      <c r="K21" s="81"/>
      <c r="L21" s="81"/>
      <c r="M21" s="81"/>
      <c r="N21" s="81">
        <v>0.3</v>
      </c>
      <c r="O21" s="77">
        <v>0.4</v>
      </c>
      <c r="P21" s="82">
        <v>0.1</v>
      </c>
      <c r="Q21" s="82"/>
      <c r="R21" s="81">
        <v>0.3</v>
      </c>
      <c r="S21" s="81">
        <v>0.1</v>
      </c>
      <c r="T21" s="81"/>
      <c r="U21" s="81"/>
      <c r="V21" s="77"/>
      <c r="W21" s="58">
        <f t="shared" si="0"/>
        <v>0.7</v>
      </c>
      <c r="X21" s="68">
        <f t="shared" si="6"/>
        <v>0.5</v>
      </c>
      <c r="Y21" s="116">
        <f t="shared" si="7"/>
        <v>1.2</v>
      </c>
      <c r="Z21" s="70">
        <f>'[1]cálculos teóricos'!I106</f>
        <v>11.484171592082447</v>
      </c>
      <c r="AA21" s="71">
        <f t="shared" si="1"/>
        <v>10.449164664409214</v>
      </c>
      <c r="AB21" s="3"/>
    </row>
    <row r="22" spans="1:28" ht="18" customHeight="1">
      <c r="A22" s="80">
        <v>14</v>
      </c>
      <c r="B22" s="75">
        <v>17.2</v>
      </c>
      <c r="C22" s="73">
        <f>'[1]cálculos teóricos'!K107</f>
        <v>0.99275392599807921</v>
      </c>
      <c r="D22" s="58">
        <f t="shared" si="2"/>
        <v>248.67711498189604</v>
      </c>
      <c r="E22" s="59">
        <f t="shared" si="3"/>
        <v>10.411613450062022</v>
      </c>
      <c r="F22" s="60">
        <f t="shared" si="4"/>
        <v>13.34359929257753</v>
      </c>
      <c r="G22" s="61">
        <f>'[1]cálculos teóricos'!T107</f>
        <v>30.142417055223362</v>
      </c>
      <c r="H22" s="74">
        <f t="shared" si="5"/>
        <v>44.268511274762638</v>
      </c>
      <c r="I22" s="79"/>
      <c r="J22" s="81"/>
      <c r="K22" s="81">
        <v>0.5</v>
      </c>
      <c r="L22" s="81">
        <v>0.4</v>
      </c>
      <c r="M22" s="81">
        <v>0.3</v>
      </c>
      <c r="N22" s="81">
        <v>0.4</v>
      </c>
      <c r="O22" s="77">
        <v>0.7</v>
      </c>
      <c r="P22" s="82">
        <v>0.7</v>
      </c>
      <c r="Q22" s="82">
        <v>0.2</v>
      </c>
      <c r="R22" s="81">
        <v>0.3</v>
      </c>
      <c r="S22" s="81"/>
      <c r="T22" s="81"/>
      <c r="U22" s="81"/>
      <c r="V22" s="77"/>
      <c r="W22" s="58">
        <f t="shared" si="0"/>
        <v>2.2999999999999998</v>
      </c>
      <c r="X22" s="68">
        <f t="shared" si="6"/>
        <v>1.2</v>
      </c>
      <c r="Y22" s="116">
        <f t="shared" si="7"/>
        <v>3.5</v>
      </c>
      <c r="Z22" s="70">
        <f>'[1]cálculos teóricos'!I107</f>
        <v>11.462411932673533</v>
      </c>
      <c r="AA22" s="71">
        <f t="shared" si="1"/>
        <v>30.534585744761731</v>
      </c>
      <c r="AB22" s="3"/>
    </row>
    <row r="23" spans="1:28" ht="18" customHeight="1">
      <c r="A23" s="80">
        <v>15</v>
      </c>
      <c r="B23" s="75">
        <v>26.2</v>
      </c>
      <c r="C23" s="73">
        <f>'[1]cálculos teóricos'!K108</f>
        <v>0.99180110656457066</v>
      </c>
      <c r="D23" s="58">
        <f t="shared" si="2"/>
        <v>378.43529988487188</v>
      </c>
      <c r="E23" s="59">
        <f t="shared" si="3"/>
        <v>15.844329135579814</v>
      </c>
      <c r="F23" s="60">
        <f t="shared" si="4"/>
        <v>20.134493899474773</v>
      </c>
      <c r="G23" s="61">
        <f>'[1]cálculos teóricos'!T108</f>
        <v>29.951038043957332</v>
      </c>
      <c r="H23" s="74">
        <f t="shared" si="5"/>
        <v>67.224694749893445</v>
      </c>
      <c r="I23" s="79"/>
      <c r="J23" s="81"/>
      <c r="K23" s="81">
        <v>0.6</v>
      </c>
      <c r="L23" s="81">
        <v>1</v>
      </c>
      <c r="M23" s="81">
        <v>0.9</v>
      </c>
      <c r="N23" s="81">
        <v>0.9</v>
      </c>
      <c r="O23" s="77">
        <v>0.8</v>
      </c>
      <c r="P23" s="82">
        <v>0.8</v>
      </c>
      <c r="Q23" s="82">
        <v>1</v>
      </c>
      <c r="R23" s="81">
        <v>1</v>
      </c>
      <c r="S23" s="81">
        <v>1</v>
      </c>
      <c r="T23" s="81">
        <v>0.9</v>
      </c>
      <c r="U23" s="81"/>
      <c r="V23" s="77"/>
      <c r="W23" s="58">
        <f t="shared" si="0"/>
        <v>4.2</v>
      </c>
      <c r="X23" s="68">
        <f t="shared" si="6"/>
        <v>4.7</v>
      </c>
      <c r="Y23" s="116">
        <f t="shared" si="7"/>
        <v>8.9</v>
      </c>
      <c r="Z23" s="70">
        <f>'[1]cálculos teóricos'!I108</f>
        <v>11.440754642107416</v>
      </c>
      <c r="AA23" s="71">
        <f t="shared" si="1"/>
        <v>77.792071226173917</v>
      </c>
      <c r="AB23" s="3"/>
    </row>
    <row r="24" spans="1:28" ht="18" customHeight="1">
      <c r="A24" s="80">
        <v>16</v>
      </c>
      <c r="B24" s="75">
        <v>20.399999999999999</v>
      </c>
      <c r="C24" s="73">
        <f>'[1]cálculos teóricos'!K109</f>
        <v>0.99084669275453241</v>
      </c>
      <c r="D24" s="58">
        <f t="shared" si="2"/>
        <v>294.37599452258485</v>
      </c>
      <c r="E24" s="59">
        <f t="shared" si="3"/>
        <v>12.324934138671582</v>
      </c>
      <c r="F24" s="60">
        <f t="shared" si="4"/>
        <v>15.735250153339477</v>
      </c>
      <c r="G24" s="61">
        <f>'[1]cálculos teóricos'!T109</f>
        <v>29.760291922001649</v>
      </c>
      <c r="H24" s="74">
        <f t="shared" si="5"/>
        <v>52.873305794781125</v>
      </c>
      <c r="I24" s="146"/>
      <c r="J24" s="147"/>
      <c r="K24" s="147"/>
      <c r="L24" s="81">
        <v>0.5</v>
      </c>
      <c r="M24" s="81">
        <v>0.8</v>
      </c>
      <c r="N24" s="81">
        <v>0.8</v>
      </c>
      <c r="O24" s="77">
        <v>1</v>
      </c>
      <c r="P24" s="82">
        <v>0.8</v>
      </c>
      <c r="Q24" s="82">
        <v>1</v>
      </c>
      <c r="R24" s="81">
        <v>0.9</v>
      </c>
      <c r="S24" s="81">
        <v>0.5</v>
      </c>
      <c r="T24" s="147"/>
      <c r="U24" s="147"/>
      <c r="V24" s="148"/>
      <c r="W24" s="58">
        <f t="shared" si="0"/>
        <v>3.1</v>
      </c>
      <c r="X24" s="68">
        <f t="shared" si="6"/>
        <v>3.2</v>
      </c>
      <c r="Y24" s="116">
        <f t="shared" si="7"/>
        <v>6.3000000000000007</v>
      </c>
      <c r="Z24" s="70">
        <f>'[1]cálculos teóricos'!I109</f>
        <v>11.419204200202659</v>
      </c>
      <c r="AA24" s="71">
        <f t="shared" si="1"/>
        <v>55.170219303795214</v>
      </c>
      <c r="AB24" s="3"/>
    </row>
    <row r="25" spans="1:28" ht="18" customHeight="1">
      <c r="A25" s="85">
        <v>17</v>
      </c>
      <c r="B25" s="75">
        <v>22.4</v>
      </c>
      <c r="C25" s="73">
        <f>'[1]cálculos teóricos'!K110</f>
        <v>0.9898911154303186</v>
      </c>
      <c r="D25" s="58">
        <f t="shared" si="2"/>
        <v>322.92465541435553</v>
      </c>
      <c r="E25" s="59">
        <f t="shared" si="3"/>
        <v>13.520209472888236</v>
      </c>
      <c r="F25" s="60">
        <f t="shared" si="4"/>
        <v>17.229344321110297</v>
      </c>
      <c r="G25" s="61">
        <f>'[1]cálculos teóricos'!T110</f>
        <v>29.570253282849443</v>
      </c>
      <c r="H25" s="74">
        <f t="shared" si="5"/>
        <v>58.2657989307897</v>
      </c>
      <c r="I25" s="79"/>
      <c r="J25" s="81"/>
      <c r="K25" s="81">
        <v>0.6</v>
      </c>
      <c r="L25" s="81">
        <v>0.9</v>
      </c>
      <c r="M25" s="81">
        <v>1</v>
      </c>
      <c r="N25" s="81">
        <v>0.5</v>
      </c>
      <c r="O25" s="77">
        <v>0.7</v>
      </c>
      <c r="P25" s="82">
        <v>0.9</v>
      </c>
      <c r="Q25" s="82">
        <v>0.9</v>
      </c>
      <c r="R25" s="81">
        <v>1</v>
      </c>
      <c r="S25" s="81">
        <v>0.8</v>
      </c>
      <c r="T25" s="81"/>
      <c r="U25" s="81"/>
      <c r="V25" s="77"/>
      <c r="W25" s="58">
        <f t="shared" si="0"/>
        <v>3.7</v>
      </c>
      <c r="X25" s="68">
        <f t="shared" si="6"/>
        <v>3.5999999999999996</v>
      </c>
      <c r="Y25" s="116">
        <f t="shared" si="7"/>
        <v>7.3</v>
      </c>
      <c r="Z25" s="70">
        <f>'[1]cálculos teóricos'!I110</f>
        <v>11.397765193591368</v>
      </c>
      <c r="AA25" s="71">
        <f t="shared" si="1"/>
        <v>64.04764334068382</v>
      </c>
      <c r="AB25" s="3"/>
    </row>
    <row r="26" spans="1:28" ht="18" customHeight="1">
      <c r="A26" s="85">
        <v>18</v>
      </c>
      <c r="B26" s="75">
        <v>21.9</v>
      </c>
      <c r="C26" s="73">
        <f>'[1]cálculos teóricos'!K111</f>
        <v>0.98893481234793812</v>
      </c>
      <c r="D26" s="58">
        <f t="shared" si="2"/>
        <v>315.41151185787942</v>
      </c>
      <c r="E26" s="59">
        <f t="shared" si="3"/>
        <v>13.205649178465695</v>
      </c>
      <c r="F26" s="60">
        <f t="shared" si="4"/>
        <v>16.836143953082118</v>
      </c>
      <c r="G26" s="61">
        <f>'[1]cálculos teóricos'!T111</f>
        <v>29.380996838923444</v>
      </c>
      <c r="H26" s="74">
        <f t="shared" si="5"/>
        <v>57.302834363937855</v>
      </c>
      <c r="I26" s="79"/>
      <c r="J26" s="81"/>
      <c r="K26" s="81">
        <v>0.6</v>
      </c>
      <c r="L26" s="81">
        <v>1</v>
      </c>
      <c r="M26" s="81">
        <v>1</v>
      </c>
      <c r="N26" s="81">
        <v>0.8</v>
      </c>
      <c r="O26" s="77">
        <v>1</v>
      </c>
      <c r="P26" s="82">
        <v>0.8</v>
      </c>
      <c r="Q26" s="82">
        <v>0.5</v>
      </c>
      <c r="R26" s="81">
        <v>1</v>
      </c>
      <c r="S26" s="81">
        <v>0.4</v>
      </c>
      <c r="T26" s="81">
        <v>0.2</v>
      </c>
      <c r="U26" s="81"/>
      <c r="V26" s="77"/>
      <c r="W26" s="58">
        <f t="shared" si="0"/>
        <v>4.4000000000000004</v>
      </c>
      <c r="X26" s="68">
        <f t="shared" si="6"/>
        <v>2.9</v>
      </c>
      <c r="Y26" s="116">
        <f t="shared" si="7"/>
        <v>7.3000000000000007</v>
      </c>
      <c r="Z26" s="70">
        <f>'[1]cálculos teóricos'!I111</f>
        <v>11.376442318922143</v>
      </c>
      <c r="AA26" s="71">
        <f t="shared" si="1"/>
        <v>64.167687888313722</v>
      </c>
      <c r="AB26" s="3"/>
    </row>
    <row r="27" spans="1:28" ht="18" customHeight="1">
      <c r="A27" s="85">
        <v>19</v>
      </c>
      <c r="B27" s="75">
        <v>23.7</v>
      </c>
      <c r="C27" s="73">
        <f>'[1]cálculos teóricos'!K112</f>
        <v>0.9879782279816971</v>
      </c>
      <c r="D27" s="58">
        <f t="shared" si="2"/>
        <v>341.00557588011128</v>
      </c>
      <c r="E27" s="59">
        <f t="shared" si="3"/>
        <v>14.277221450948497</v>
      </c>
      <c r="F27" s="60">
        <f t="shared" si="4"/>
        <v>18.175609293685625</v>
      </c>
      <c r="G27" s="61">
        <f>'[1]cálculos teóricos'!T112</f>
        <v>29.192597387108517</v>
      </c>
      <c r="H27" s="74">
        <f t="shared" si="5"/>
        <v>62.261021356434675</v>
      </c>
      <c r="I27" s="79"/>
      <c r="J27" s="81"/>
      <c r="K27" s="81">
        <v>0.7</v>
      </c>
      <c r="L27" s="81">
        <v>1</v>
      </c>
      <c r="M27" s="81">
        <v>1</v>
      </c>
      <c r="N27" s="81">
        <v>1</v>
      </c>
      <c r="O27" s="77">
        <v>1</v>
      </c>
      <c r="P27" s="82">
        <v>1</v>
      </c>
      <c r="Q27" s="82">
        <v>1</v>
      </c>
      <c r="R27" s="81">
        <v>1</v>
      </c>
      <c r="S27" s="81">
        <v>0.2</v>
      </c>
      <c r="T27" s="81"/>
      <c r="U27" s="81"/>
      <c r="V27" s="77"/>
      <c r="W27" s="58">
        <f t="shared" si="0"/>
        <v>4.7</v>
      </c>
      <c r="X27" s="68">
        <f t="shared" si="6"/>
        <v>3.2</v>
      </c>
      <c r="Y27" s="116">
        <f t="shared" si="7"/>
        <v>7.9</v>
      </c>
      <c r="Z27" s="70">
        <f>'[1]cálculos teóricos'!I112</f>
        <v>11.355240385788584</v>
      </c>
      <c r="AA27" s="71">
        <f t="shared" si="1"/>
        <v>69.571402556013538</v>
      </c>
      <c r="AB27" s="3"/>
    </row>
    <row r="28" spans="1:28" ht="18" customHeight="1">
      <c r="A28" s="85">
        <v>20</v>
      </c>
      <c r="B28" s="75">
        <v>22.5</v>
      </c>
      <c r="C28" s="73">
        <f>'[1]cálculos teóricos'!K113</f>
        <v>0.98702181333694017</v>
      </c>
      <c r="D28" s="58">
        <f t="shared" si="2"/>
        <v>323.42607401698189</v>
      </c>
      <c r="E28" s="59">
        <f t="shared" si="3"/>
        <v>13.541202866942998</v>
      </c>
      <c r="F28" s="60">
        <f t="shared" si="4"/>
        <v>17.255586063678749</v>
      </c>
      <c r="G28" s="61">
        <f>'[1]cálculos teóricos'!T113</f>
        <v>29.005129773706106</v>
      </c>
      <c r="H28" s="74">
        <f t="shared" si="5"/>
        <v>59.491497532692918</v>
      </c>
      <c r="I28" s="79"/>
      <c r="J28" s="81"/>
      <c r="K28" s="81">
        <v>0.1</v>
      </c>
      <c r="L28" s="81">
        <v>0.8</v>
      </c>
      <c r="M28" s="81">
        <v>1</v>
      </c>
      <c r="N28" s="81">
        <v>1</v>
      </c>
      <c r="O28" s="77">
        <v>1</v>
      </c>
      <c r="P28" s="82">
        <v>1</v>
      </c>
      <c r="Q28" s="82">
        <v>0.8</v>
      </c>
      <c r="R28" s="81">
        <v>1</v>
      </c>
      <c r="S28" s="81">
        <v>1</v>
      </c>
      <c r="T28" s="81">
        <v>0.7</v>
      </c>
      <c r="U28" s="81"/>
      <c r="V28" s="77"/>
      <c r="W28" s="58">
        <f t="shared" si="0"/>
        <v>3.9</v>
      </c>
      <c r="X28" s="68">
        <f t="shared" si="6"/>
        <v>4.5</v>
      </c>
      <c r="Y28" s="116">
        <f t="shared" si="7"/>
        <v>8.4</v>
      </c>
      <c r="Z28" s="70">
        <f>'[1]cálculos teóricos'!I113</f>
        <v>11.334164319368824</v>
      </c>
      <c r="AA28" s="71">
        <f t="shared" si="1"/>
        <v>74.11221298111353</v>
      </c>
      <c r="AB28" s="3"/>
    </row>
    <row r="29" spans="1:28" ht="18" customHeight="1">
      <c r="A29" s="85">
        <v>21</v>
      </c>
      <c r="B29" s="75">
        <v>23.6</v>
      </c>
      <c r="C29" s="73">
        <f>'[1]cálculos teóricos'!K114</f>
        <v>0.98606602575038249</v>
      </c>
      <c r="D29" s="58">
        <f t="shared" si="2"/>
        <v>338.90951255797046</v>
      </c>
      <c r="E29" s="59">
        <f t="shared" si="3"/>
        <v>14.189463471777108</v>
      </c>
      <c r="F29" s="60">
        <f t="shared" si="4"/>
        <v>18.065911819721386</v>
      </c>
      <c r="G29" s="61">
        <f>'[1]cálculos teóricos'!T114</f>
        <v>28.818668858789103</v>
      </c>
      <c r="H29" s="74">
        <f t="shared" si="5"/>
        <v>62.688224457014272</v>
      </c>
      <c r="I29" s="79"/>
      <c r="J29" s="81"/>
      <c r="K29" s="81">
        <v>1</v>
      </c>
      <c r="L29" s="81">
        <v>1</v>
      </c>
      <c r="M29" s="81">
        <v>1</v>
      </c>
      <c r="N29" s="81">
        <v>1</v>
      </c>
      <c r="O29" s="77">
        <v>1</v>
      </c>
      <c r="P29" s="82">
        <v>1</v>
      </c>
      <c r="Q29" s="82">
        <v>1</v>
      </c>
      <c r="R29" s="81">
        <v>1</v>
      </c>
      <c r="S29" s="81">
        <v>1</v>
      </c>
      <c r="T29" s="81">
        <v>1</v>
      </c>
      <c r="U29" s="81"/>
      <c r="V29" s="77"/>
      <c r="W29" s="58">
        <f t="shared" si="0"/>
        <v>5</v>
      </c>
      <c r="X29" s="68">
        <f t="shared" si="6"/>
        <v>5</v>
      </c>
      <c r="Y29" s="116">
        <f t="shared" si="7"/>
        <v>10</v>
      </c>
      <c r="Z29" s="70">
        <f>'[1]cálculos teóricos'!I114</f>
        <v>11.313219162761063</v>
      </c>
      <c r="AA29" s="71">
        <f t="shared" si="1"/>
        <v>88.392170752921544</v>
      </c>
      <c r="AB29" s="3"/>
    </row>
    <row r="30" spans="1:28" ht="18" customHeight="1">
      <c r="A30" s="85">
        <v>22</v>
      </c>
      <c r="B30" s="75">
        <v>23.4</v>
      </c>
      <c r="C30" s="73">
        <f>'[1]cálculos teóricos'!K115</f>
        <v>0.98511132867754536</v>
      </c>
      <c r="D30" s="58">
        <f t="shared" si="2"/>
        <v>335.71205074357312</v>
      </c>
      <c r="E30" s="59">
        <f t="shared" si="3"/>
        <v>14.055592140531919</v>
      </c>
      <c r="F30" s="60">
        <f t="shared" si="4"/>
        <v>17.8985726556649</v>
      </c>
      <c r="G30" s="61">
        <f>'[1]cálculos teóricos'!T115</f>
        <v>28.633289479940686</v>
      </c>
      <c r="H30" s="74">
        <f t="shared" si="5"/>
        <v>62.5096626365752</v>
      </c>
      <c r="I30" s="79"/>
      <c r="J30" s="81"/>
      <c r="K30" s="81">
        <v>1</v>
      </c>
      <c r="L30" s="81">
        <v>1</v>
      </c>
      <c r="M30" s="81">
        <v>1</v>
      </c>
      <c r="N30" s="81">
        <v>1</v>
      </c>
      <c r="O30" s="77">
        <v>1</v>
      </c>
      <c r="P30" s="82">
        <v>1</v>
      </c>
      <c r="Q30" s="82">
        <v>1</v>
      </c>
      <c r="R30" s="81">
        <v>1</v>
      </c>
      <c r="S30" s="81">
        <v>1</v>
      </c>
      <c r="T30" s="81">
        <v>0.9</v>
      </c>
      <c r="U30" s="149"/>
      <c r="V30" s="77"/>
      <c r="W30" s="58">
        <f t="shared" si="0"/>
        <v>5</v>
      </c>
      <c r="X30" s="68">
        <f t="shared" si="6"/>
        <v>4.9000000000000004</v>
      </c>
      <c r="Y30" s="116">
        <f t="shared" si="7"/>
        <v>9.9</v>
      </c>
      <c r="Z30" s="70">
        <f>'[1]cálculos teóricos'!I115</f>
        <v>11.292410079000071</v>
      </c>
      <c r="AA30" s="71">
        <f t="shared" si="1"/>
        <v>87.669504833255516</v>
      </c>
      <c r="AB30" s="3"/>
    </row>
    <row r="31" spans="1:28" ht="18" customHeight="1">
      <c r="A31" s="85">
        <v>23</v>
      </c>
      <c r="B31" s="75">
        <v>23.6</v>
      </c>
      <c r="C31" s="73">
        <f>'[1]cálculos teóricos'!K116</f>
        <v>0.98415819146685024</v>
      </c>
      <c r="D31" s="58">
        <f t="shared" si="2"/>
        <v>338.25379258568836</v>
      </c>
      <c r="E31" s="59">
        <f t="shared" si="3"/>
        <v>14.162009787977599</v>
      </c>
      <c r="F31" s="60">
        <f t="shared" si="4"/>
        <v>18.031594714972002</v>
      </c>
      <c r="G31" s="61">
        <f>'[1]cálculos teóricos'!T116</f>
        <v>28.449066415364875</v>
      </c>
      <c r="H31" s="74">
        <f t="shared" si="5"/>
        <v>63.382026150543318</v>
      </c>
      <c r="I31" s="79"/>
      <c r="J31" s="81">
        <v>0.3</v>
      </c>
      <c r="K31" s="81">
        <v>0.8</v>
      </c>
      <c r="L31" s="81">
        <v>0.7</v>
      </c>
      <c r="M31" s="81">
        <v>0.4</v>
      </c>
      <c r="N31" s="81">
        <v>1</v>
      </c>
      <c r="O31" s="77">
        <v>1</v>
      </c>
      <c r="P31" s="82">
        <v>0.7</v>
      </c>
      <c r="Q31" s="82">
        <v>1</v>
      </c>
      <c r="R31" s="81">
        <v>1</v>
      </c>
      <c r="S31" s="81">
        <v>1</v>
      </c>
      <c r="T31" s="81">
        <v>1</v>
      </c>
      <c r="U31" s="81"/>
      <c r="V31" s="77"/>
      <c r="W31" s="58">
        <f t="shared" si="0"/>
        <v>4.2</v>
      </c>
      <c r="X31" s="68">
        <f t="shared" si="6"/>
        <v>4.7</v>
      </c>
      <c r="Y31" s="116">
        <f t="shared" si="7"/>
        <v>8.9</v>
      </c>
      <c r="Z31" s="70">
        <f>'[1]cálculos teóricos'!I116</f>
        <v>11.27174235273929</v>
      </c>
      <c r="AA31" s="71">
        <f t="shared" si="1"/>
        <v>78.958511661128398</v>
      </c>
      <c r="AB31" s="3"/>
    </row>
    <row r="32" spans="1:28" ht="18" customHeight="1">
      <c r="A32" s="85">
        <v>24</v>
      </c>
      <c r="B32" s="75">
        <v>24.2</v>
      </c>
      <c r="C32" s="73">
        <f>'[1]cálculos teóricos'!K117</f>
        <v>0.98320708911994803</v>
      </c>
      <c r="D32" s="58">
        <f t="shared" si="2"/>
        <v>346.51826190604044</v>
      </c>
      <c r="E32" s="59">
        <f t="shared" si="3"/>
        <v>14.508026589482101</v>
      </c>
      <c r="F32" s="60">
        <f t="shared" si="4"/>
        <v>18.464115716852625</v>
      </c>
      <c r="G32" s="61">
        <f>'[1]cálculos teóricos'!T117</f>
        <v>28.266074346361314</v>
      </c>
      <c r="H32" s="74">
        <f t="shared" si="5"/>
        <v>65.322532908534242</v>
      </c>
      <c r="I32" s="79"/>
      <c r="J32" s="81">
        <v>0.1</v>
      </c>
      <c r="K32" s="81">
        <v>1</v>
      </c>
      <c r="L32" s="81">
        <v>1</v>
      </c>
      <c r="M32" s="81">
        <v>1</v>
      </c>
      <c r="N32" s="81">
        <v>1</v>
      </c>
      <c r="O32" s="77">
        <v>1</v>
      </c>
      <c r="P32" s="82">
        <v>1</v>
      </c>
      <c r="Q32" s="82">
        <v>1</v>
      </c>
      <c r="R32" s="81">
        <v>1</v>
      </c>
      <c r="S32" s="81">
        <v>1</v>
      </c>
      <c r="T32" s="81">
        <v>0.6</v>
      </c>
      <c r="U32" s="81"/>
      <c r="V32" s="77"/>
      <c r="W32" s="58">
        <f t="shared" si="0"/>
        <v>5.0999999999999996</v>
      </c>
      <c r="X32" s="68">
        <f t="shared" si="6"/>
        <v>4.5999999999999996</v>
      </c>
      <c r="Y32" s="116">
        <f t="shared" si="7"/>
        <v>9.6999999999999993</v>
      </c>
      <c r="Z32" s="70">
        <f>'[1]cálculos teóricos'!I117</f>
        <v>11.251221391583176</v>
      </c>
      <c r="AA32" s="71">
        <f t="shared" si="1"/>
        <v>86.212862252060773</v>
      </c>
      <c r="AB32" s="3"/>
    </row>
    <row r="33" spans="1:28" ht="18" customHeight="1">
      <c r="A33" s="85">
        <v>25</v>
      </c>
      <c r="B33" s="75">
        <v>24.4</v>
      </c>
      <c r="C33" s="73">
        <f>'[1]cálculos teóricos'!K118</f>
        <v>0.98225850203790688</v>
      </c>
      <c r="D33" s="58">
        <f t="shared" si="2"/>
        <v>349.04496934406899</v>
      </c>
      <c r="E33" s="59">
        <f t="shared" si="3"/>
        <v>14.613814776497479</v>
      </c>
      <c r="F33" s="60">
        <f t="shared" si="4"/>
        <v>18.596350950621851</v>
      </c>
      <c r="G33" s="61">
        <f>'[1]cálculos teóricos'!T118</f>
        <v>28.08438781916194</v>
      </c>
      <c r="H33" s="74">
        <f t="shared" si="5"/>
        <v>66.215974050655944</v>
      </c>
      <c r="I33" s="79"/>
      <c r="J33" s="81"/>
      <c r="K33" s="81"/>
      <c r="L33" s="81">
        <v>0.7</v>
      </c>
      <c r="M33" s="81">
        <v>1</v>
      </c>
      <c r="N33" s="81">
        <v>1</v>
      </c>
      <c r="O33" s="77">
        <v>1</v>
      </c>
      <c r="P33" s="79">
        <v>1</v>
      </c>
      <c r="Q33" s="82">
        <v>1</v>
      </c>
      <c r="R33" s="81">
        <v>1</v>
      </c>
      <c r="S33" s="81">
        <v>0.8</v>
      </c>
      <c r="T33" s="81">
        <v>0.5</v>
      </c>
      <c r="U33" s="81"/>
      <c r="V33" s="77"/>
      <c r="W33" s="58">
        <f t="shared" si="0"/>
        <v>3.7</v>
      </c>
      <c r="X33" s="68">
        <f t="shared" si="6"/>
        <v>4.3</v>
      </c>
      <c r="Y33" s="116">
        <f t="shared" si="7"/>
        <v>8</v>
      </c>
      <c r="Z33" s="70">
        <f>'[1]cálculos teóricos'!I118</f>
        <v>11.230852727054316</v>
      </c>
      <c r="AA33" s="71">
        <f t="shared" si="1"/>
        <v>71.232347128269041</v>
      </c>
      <c r="AB33" s="3"/>
    </row>
    <row r="34" spans="1:28" ht="18" customHeight="1">
      <c r="A34" s="85">
        <v>26</v>
      </c>
      <c r="B34" s="75">
        <v>23.4</v>
      </c>
      <c r="C34" s="73">
        <f>'[1]cálculos teóricos'!K119</f>
        <v>0.98131291575291579</v>
      </c>
      <c r="D34" s="58">
        <f t="shared" si="2"/>
        <v>334.41760517648157</v>
      </c>
      <c r="E34" s="59">
        <f t="shared" si="3"/>
        <v>14.001396293528931</v>
      </c>
      <c r="F34" s="60">
        <f t="shared" si="4"/>
        <v>17.830827846911163</v>
      </c>
      <c r="G34" s="61">
        <f>'[1]cálculos teóricos'!T119</f>
        <v>27.904081206131991</v>
      </c>
      <c r="H34" s="74">
        <f t="shared" si="5"/>
        <v>63.900429887628029</v>
      </c>
      <c r="I34" s="79"/>
      <c r="J34" s="81"/>
      <c r="K34" s="81">
        <v>0.1</v>
      </c>
      <c r="L34" s="81">
        <v>1</v>
      </c>
      <c r="M34" s="81">
        <v>1</v>
      </c>
      <c r="N34" s="81">
        <v>1</v>
      </c>
      <c r="O34" s="77">
        <v>1</v>
      </c>
      <c r="P34" s="82">
        <v>1</v>
      </c>
      <c r="Q34" s="81">
        <v>1</v>
      </c>
      <c r="R34" s="81">
        <v>1</v>
      </c>
      <c r="S34" s="81">
        <v>1</v>
      </c>
      <c r="T34" s="81">
        <v>0.8</v>
      </c>
      <c r="U34" s="81"/>
      <c r="V34" s="77"/>
      <c r="W34" s="58">
        <f t="shared" si="0"/>
        <v>4.0999999999999996</v>
      </c>
      <c r="X34" s="68">
        <f t="shared" si="6"/>
        <v>4.8</v>
      </c>
      <c r="Y34" s="116">
        <f t="shared" si="7"/>
        <v>8.8999999999999986</v>
      </c>
      <c r="Z34" s="70">
        <f>'[1]cálculos teóricos'!I119</f>
        <v>11.210642015179907</v>
      </c>
      <c r="AA34" s="71">
        <f t="shared" si="1"/>
        <v>79.388852020685746</v>
      </c>
      <c r="AB34" s="3"/>
    </row>
    <row r="35" spans="1:28" ht="18" customHeight="1">
      <c r="A35" s="85">
        <v>27</v>
      </c>
      <c r="B35" s="75">
        <v>25.6</v>
      </c>
      <c r="C35" s="73">
        <f>'[1]cálculos teóricos'!K120</f>
        <v>0.98037082064520997</v>
      </c>
      <c r="D35" s="58">
        <f t="shared" si="2"/>
        <v>365.50733942954281</v>
      </c>
      <c r="E35" s="59">
        <f t="shared" si="3"/>
        <v>15.303061287236098</v>
      </c>
      <c r="F35" s="60">
        <f t="shared" si="4"/>
        <v>19.457909089045121</v>
      </c>
      <c r="G35" s="61">
        <f>'[1]cálculos teóricos'!T120</f>
        <v>27.725228666343192</v>
      </c>
      <c r="H35" s="74">
        <f t="shared" si="5"/>
        <v>70.181239344171345</v>
      </c>
      <c r="I35" s="79"/>
      <c r="J35" s="81">
        <v>0.1</v>
      </c>
      <c r="K35" s="81">
        <v>1</v>
      </c>
      <c r="L35" s="81">
        <v>1</v>
      </c>
      <c r="M35" s="81">
        <v>1</v>
      </c>
      <c r="N35" s="81">
        <v>1</v>
      </c>
      <c r="O35" s="77">
        <v>1</v>
      </c>
      <c r="P35" s="82">
        <v>1</v>
      </c>
      <c r="Q35" s="81">
        <v>1</v>
      </c>
      <c r="R35" s="81">
        <v>1</v>
      </c>
      <c r="S35" s="81">
        <v>0.8</v>
      </c>
      <c r="T35" s="81">
        <v>1</v>
      </c>
      <c r="U35" s="81"/>
      <c r="V35" s="77"/>
      <c r="W35" s="58">
        <f t="shared" si="0"/>
        <v>5.0999999999999996</v>
      </c>
      <c r="X35" s="68">
        <f t="shared" si="6"/>
        <v>4.8</v>
      </c>
      <c r="Y35" s="116">
        <f t="shared" si="7"/>
        <v>9.8999999999999986</v>
      </c>
      <c r="Z35" s="70">
        <f>'[1]cálculos teóricos'!I120</f>
        <v>11.190595036682291</v>
      </c>
      <c r="AA35" s="71">
        <f t="shared" si="1"/>
        <v>88.467145558821699</v>
      </c>
      <c r="AB35" s="3"/>
    </row>
    <row r="36" spans="1:28" ht="18" customHeight="1">
      <c r="A36" s="85">
        <v>28</v>
      </c>
      <c r="B36" s="75">
        <v>26.8</v>
      </c>
      <c r="C36" s="73">
        <f>'[1]cálculos teóricos'!K121</f>
        <v>0.97943271164497014</v>
      </c>
      <c r="D36" s="58">
        <f t="shared" si="2"/>
        <v>382.27435033391288</v>
      </c>
      <c r="E36" s="59">
        <f t="shared" si="3"/>
        <v>16.005062499780262</v>
      </c>
      <c r="F36" s="60">
        <f t="shared" si="4"/>
        <v>20.335410604725329</v>
      </c>
      <c r="G36" s="61">
        <f>'[1]cálculos teóricos'!T121</f>
        <v>27.547904105531607</v>
      </c>
      <c r="H36" s="74">
        <f t="shared" si="5"/>
        <v>73.818358474109786</v>
      </c>
      <c r="I36" s="79"/>
      <c r="J36" s="81">
        <v>0.2</v>
      </c>
      <c r="K36" s="81">
        <v>1</v>
      </c>
      <c r="L36" s="81">
        <v>1</v>
      </c>
      <c r="M36" s="81">
        <v>1</v>
      </c>
      <c r="N36" s="81">
        <v>1</v>
      </c>
      <c r="O36" s="77">
        <v>1</v>
      </c>
      <c r="P36" s="82">
        <v>1</v>
      </c>
      <c r="Q36" s="81">
        <v>1</v>
      </c>
      <c r="R36" s="81">
        <v>1</v>
      </c>
      <c r="S36" s="81">
        <v>1</v>
      </c>
      <c r="T36" s="81">
        <v>1</v>
      </c>
      <c r="U36" s="81"/>
      <c r="V36" s="77"/>
      <c r="W36" s="58">
        <f t="shared" si="0"/>
        <v>5.2</v>
      </c>
      <c r="X36" s="68">
        <f t="shared" si="6"/>
        <v>5</v>
      </c>
      <c r="Y36" s="116">
        <f t="shared" si="7"/>
        <v>10.199999999999999</v>
      </c>
      <c r="Z36" s="70">
        <f>'[1]cálculos teóricos'!I121</f>
        <v>11.170717696758381</v>
      </c>
      <c r="AA36" s="71">
        <f t="shared" si="1"/>
        <v>91.310158191178047</v>
      </c>
      <c r="AB36" s="3"/>
    </row>
    <row r="37" spans="1:28" ht="18" customHeight="1">
      <c r="A37" s="85">
        <v>29</v>
      </c>
      <c r="B37" s="75">
        <v>7.4</v>
      </c>
      <c r="C37" s="73">
        <f>'[1]cálculos teóricos'!K122</f>
        <v>0.97849908791898976</v>
      </c>
      <c r="D37" s="58">
        <f t="shared" si="2"/>
        <v>105.45274885512075</v>
      </c>
      <c r="E37" s="59">
        <f t="shared" si="3"/>
        <v>4.4150956890661952</v>
      </c>
      <c r="F37" s="60">
        <f t="shared" si="4"/>
        <v>5.8479520913327443</v>
      </c>
      <c r="G37" s="61">
        <f>'[1]cálculos teóricos'!T122</f>
        <v>27.372181135458487</v>
      </c>
      <c r="H37" s="74">
        <f t="shared" si="5"/>
        <v>21.364582027250968</v>
      </c>
      <c r="I37" s="79"/>
      <c r="J37" s="81"/>
      <c r="K37" s="81"/>
      <c r="L37" s="81"/>
      <c r="M37" s="81"/>
      <c r="N37" s="81"/>
      <c r="O37" s="77"/>
      <c r="P37" s="82"/>
      <c r="Q37" s="81"/>
      <c r="R37" s="81"/>
      <c r="S37" s="81"/>
      <c r="T37" s="81">
        <v>0.1</v>
      </c>
      <c r="U37" s="81"/>
      <c r="V37" s="77"/>
      <c r="W37" s="58">
        <f t="shared" si="0"/>
        <v>0</v>
      </c>
      <c r="X37" s="68">
        <f t="shared" si="6"/>
        <v>0.1</v>
      </c>
      <c r="Y37" s="116">
        <f t="shared" si="7"/>
        <v>0.1</v>
      </c>
      <c r="Z37" s="70">
        <f>'[1]cálculos teóricos'!I122</f>
        <v>11.15101602443325</v>
      </c>
      <c r="AA37" s="71">
        <f t="shared" si="1"/>
        <v>0.89677926908980921</v>
      </c>
      <c r="AB37" s="3"/>
    </row>
    <row r="38" spans="1:28" ht="18" customHeight="1">
      <c r="A38" s="80">
        <v>30</v>
      </c>
      <c r="B38" s="75">
        <v>7.3</v>
      </c>
      <c r="C38" s="73">
        <f>'[1]cálculos teóricos'!K123</f>
        <v>0.97757045254197084</v>
      </c>
      <c r="D38" s="58">
        <f t="shared" si="2"/>
        <v>103.92898518484344</v>
      </c>
      <c r="E38" s="59">
        <f t="shared" si="3"/>
        <v>4.3512987517190247</v>
      </c>
      <c r="F38" s="60">
        <f t="shared" si="4"/>
        <v>5.768205919648782</v>
      </c>
      <c r="G38" s="61">
        <f>'[1]cálculos teóricos'!T123</f>
        <v>27.198133032696809</v>
      </c>
      <c r="H38" s="74">
        <f t="shared" si="5"/>
        <v>21.208095102389606</v>
      </c>
      <c r="I38" s="79"/>
      <c r="J38" s="81"/>
      <c r="K38" s="81"/>
      <c r="L38" s="81"/>
      <c r="M38" s="81"/>
      <c r="N38" s="81"/>
      <c r="O38" s="77"/>
      <c r="P38" s="82"/>
      <c r="Q38" s="81"/>
      <c r="R38" s="81"/>
      <c r="S38" s="81"/>
      <c r="T38" s="81"/>
      <c r="U38" s="81"/>
      <c r="V38" s="77"/>
      <c r="W38" s="58">
        <f t="shared" si="0"/>
        <v>0</v>
      </c>
      <c r="X38" s="68">
        <f t="shared" si="6"/>
        <v>0</v>
      </c>
      <c r="Y38" s="78">
        <f t="shared" si="7"/>
        <v>0</v>
      </c>
      <c r="Z38" s="70">
        <f>'[1]cálculos teóricos'!I123</f>
        <v>11.131496171473273</v>
      </c>
      <c r="AA38" s="71">
        <f t="shared" si="1"/>
        <v>0</v>
      </c>
      <c r="AB38" s="3"/>
    </row>
    <row r="39" spans="1:28" ht="18" customHeight="1" thickBot="1">
      <c r="A39" s="86"/>
      <c r="B39" s="87"/>
      <c r="C39" s="88"/>
      <c r="D39" s="89"/>
      <c r="E39" s="119"/>
      <c r="F39" s="91"/>
      <c r="G39" s="92"/>
      <c r="H39" s="93"/>
      <c r="I39" s="94"/>
      <c r="J39" s="94"/>
      <c r="K39" s="94"/>
      <c r="L39" s="94"/>
      <c r="M39" s="94"/>
      <c r="N39" s="94"/>
      <c r="O39" s="95"/>
      <c r="P39" s="94"/>
      <c r="Q39" s="94"/>
      <c r="R39" s="94"/>
      <c r="S39" s="94"/>
      <c r="T39" s="94"/>
      <c r="U39" s="94"/>
      <c r="V39" s="95"/>
      <c r="W39" s="120"/>
      <c r="X39" s="121"/>
      <c r="Y39" s="150"/>
      <c r="Z39" s="151"/>
      <c r="AA39" s="152"/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5">
        <f>SUM(I9:I39)</f>
        <v>0</v>
      </c>
      <c r="J40" s="5">
        <f t="shared" ref="J40:V40" si="8">SUM(J9:J39)</f>
        <v>1</v>
      </c>
      <c r="K40" s="5">
        <f t="shared" si="8"/>
        <v>14.2</v>
      </c>
      <c r="L40" s="5">
        <f t="shared" si="8"/>
        <v>20.599999999999998</v>
      </c>
      <c r="M40" s="5">
        <f t="shared" si="8"/>
        <v>21.1</v>
      </c>
      <c r="N40" s="5">
        <f t="shared" si="8"/>
        <v>22.300000000000004</v>
      </c>
      <c r="O40" s="5">
        <f t="shared" si="8"/>
        <v>22.5</v>
      </c>
      <c r="P40" s="5">
        <f t="shared" si="8"/>
        <v>20.900000000000002</v>
      </c>
      <c r="Q40" s="5">
        <f t="shared" si="8"/>
        <v>21.3</v>
      </c>
      <c r="R40" s="5">
        <f t="shared" si="8"/>
        <v>22.1</v>
      </c>
      <c r="S40" s="5">
        <f t="shared" si="8"/>
        <v>16.400000000000002</v>
      </c>
      <c r="T40" s="5">
        <f t="shared" si="8"/>
        <v>11.3</v>
      </c>
      <c r="U40" s="5">
        <f t="shared" si="8"/>
        <v>0.1</v>
      </c>
      <c r="V40" s="5">
        <f t="shared" si="8"/>
        <v>0</v>
      </c>
      <c r="W40" s="103">
        <f>SUM(W9:W38)</f>
        <v>101.7</v>
      </c>
      <c r="X40" s="103">
        <f>SUM(X9:X38)</f>
        <v>92.09999999999998</v>
      </c>
      <c r="Y40" s="103">
        <f>SUM(Y9:Y38)</f>
        <v>193.8</v>
      </c>
      <c r="Z40" s="104"/>
      <c r="AA40" s="104"/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  <row r="56" spans="1:28" ht="15">
      <c r="B56" s="105" t="s">
        <v>70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55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9" ht="18" customHeight="1">
      <c r="A1" s="1" t="s">
        <v>71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9" ht="18" customHeight="1">
      <c r="A2" s="3"/>
      <c r="B2" s="8" t="s">
        <v>72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73</v>
      </c>
      <c r="W2" s="153"/>
      <c r="X2" s="3"/>
      <c r="Y2" s="3"/>
      <c r="Z2" s="3"/>
      <c r="AA2" s="3"/>
      <c r="AB2" s="3"/>
    </row>
    <row r="3" spans="1:29" ht="18" customHeight="1">
      <c r="A3" s="3"/>
      <c r="B3" s="8" t="s">
        <v>74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75</v>
      </c>
      <c r="W3" s="3"/>
      <c r="X3" s="6"/>
      <c r="Y3" s="6"/>
      <c r="Z3" s="6"/>
      <c r="AA3" s="6"/>
      <c r="AB3" s="3"/>
    </row>
    <row r="4" spans="1:29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9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9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9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9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154"/>
    </row>
    <row r="9" spans="1:29" ht="18" customHeight="1">
      <c r="A9" s="109">
        <v>1</v>
      </c>
      <c r="B9" s="56">
        <v>23.3</v>
      </c>
      <c r="C9" s="73">
        <f>'[1]cálculos teóricos'!K124</f>
        <v>0.97664731215234668</v>
      </c>
      <c r="D9" s="58">
        <f>IF(B9&gt;0,B9*C9*14.25*1.022,-999)</f>
        <v>331.4052929413653</v>
      </c>
      <c r="E9" s="59">
        <f>IF(B9&gt;0,D9*4.1868/100,-999)</f>
        <v>13.875276804869081</v>
      </c>
      <c r="F9" s="60">
        <f>IF(B9&gt;0,(7.86+1.25*D9)*4.1868/100,-999)</f>
        <v>17.673178486086353</v>
      </c>
      <c r="G9" s="61">
        <f>'[1]cálculos teóricos'!T124</f>
        <v>27.025832696871763</v>
      </c>
      <c r="H9" s="62">
        <f>IF(B9&gt;0,100*F9/G9,-999)</f>
        <v>65.393650158028322</v>
      </c>
      <c r="I9" s="63"/>
      <c r="J9" s="63"/>
      <c r="K9" s="63">
        <v>0.7</v>
      </c>
      <c r="L9" s="63">
        <v>1</v>
      </c>
      <c r="M9" s="63">
        <v>1</v>
      </c>
      <c r="N9" s="144">
        <v>1</v>
      </c>
      <c r="O9" s="64">
        <v>1</v>
      </c>
      <c r="P9" s="63">
        <v>1</v>
      </c>
      <c r="Q9" s="63">
        <v>1</v>
      </c>
      <c r="R9" s="63">
        <v>0.6</v>
      </c>
      <c r="S9" s="63">
        <v>0.8</v>
      </c>
      <c r="T9" s="63"/>
      <c r="U9" s="63"/>
      <c r="V9" s="64"/>
      <c r="W9" s="58">
        <f t="shared" ref="W9:W40" si="0">SUM(I9:O9)</f>
        <v>4.7</v>
      </c>
      <c r="X9" s="68">
        <f t="shared" ref="X9:X39" si="1">SUM(P9:V9)</f>
        <v>3.4000000000000004</v>
      </c>
      <c r="Y9" s="145">
        <f t="shared" ref="Y9:Y39" si="2">W9+X9</f>
        <v>8.1000000000000014</v>
      </c>
      <c r="Z9" s="70">
        <f>'[1]cálculos teóricos'!I124</f>
        <v>11.112164410845079</v>
      </c>
      <c r="AA9" s="71">
        <f>100*Y9/Z9</f>
        <v>72.893089955496777</v>
      </c>
      <c r="AB9" s="155"/>
      <c r="AC9" s="156"/>
    </row>
    <row r="10" spans="1:29" ht="18" customHeight="1">
      <c r="A10" s="109">
        <v>2</v>
      </c>
      <c r="B10" s="56">
        <v>17.399999999999999</v>
      </c>
      <c r="C10" s="73">
        <f>'[1]cálculos teóricos'!K125</f>
        <v>0.97573017659260319</v>
      </c>
      <c r="D10" s="58">
        <f>IF(B10&gt;0,B10*C10*14.25*1.022,-999)</f>
        <v>247.25480782643095</v>
      </c>
      <c r="E10" s="59">
        <f>IF(B10&gt;0,D10*4.1868/100,-999)</f>
        <v>10.35206429407701</v>
      </c>
      <c r="F10" s="60">
        <f>IF(B10&gt;0,(7.86+1.25*D10)*4.1868/100,-999)</f>
        <v>13.269162847596263</v>
      </c>
      <c r="G10" s="61">
        <f>'[1]cálculos teóricos'!T125</f>
        <v>26.855352608387982</v>
      </c>
      <c r="H10" s="74">
        <f>IF(B10&gt;0,100*F10/G10,-999)</f>
        <v>49.409750976242186</v>
      </c>
      <c r="I10" s="56"/>
      <c r="J10" s="82"/>
      <c r="K10" s="82">
        <v>1</v>
      </c>
      <c r="L10" s="82">
        <v>1</v>
      </c>
      <c r="M10" s="82">
        <v>1</v>
      </c>
      <c r="N10" s="82">
        <v>1</v>
      </c>
      <c r="O10" s="76">
        <v>1</v>
      </c>
      <c r="P10" s="79">
        <v>0.7</v>
      </c>
      <c r="Q10" s="79">
        <v>0.6</v>
      </c>
      <c r="R10" s="75">
        <v>0.5</v>
      </c>
      <c r="S10" s="75">
        <v>0.1</v>
      </c>
      <c r="T10" s="75"/>
      <c r="U10" s="75"/>
      <c r="V10" s="77"/>
      <c r="W10" s="58">
        <f t="shared" si="0"/>
        <v>5</v>
      </c>
      <c r="X10" s="68">
        <f t="shared" si="1"/>
        <v>1.9</v>
      </c>
      <c r="Y10" s="78">
        <f t="shared" si="2"/>
        <v>6.9</v>
      </c>
      <c r="Z10" s="70">
        <f>'[1]cálculos teóricos'!I125</f>
        <v>11.093027134706757</v>
      </c>
      <c r="AA10" s="71">
        <f t="shared" ref="AA10:AA39" si="3">100*Y10/Z10</f>
        <v>62.201236111754994</v>
      </c>
      <c r="AB10" s="155"/>
      <c r="AC10" s="156"/>
    </row>
    <row r="11" spans="1:29" ht="18" customHeight="1">
      <c r="A11" s="109">
        <v>3</v>
      </c>
      <c r="B11" s="56">
        <v>22.6</v>
      </c>
      <c r="C11" s="73">
        <f>'[1]cálculos teóricos'!K126</f>
        <v>0.97481955853411284</v>
      </c>
      <c r="D11" s="58">
        <f t="shared" ref="D11:D39" si="4">IF(B11&gt;0,B11*C11*14.25*1.022,-999)</f>
        <v>320.84733288008107</v>
      </c>
      <c r="E11" s="59">
        <f t="shared" ref="E11:E39" si="5">IF(B11&gt;0,D11*4.1868/100,-999)</f>
        <v>13.433236133023234</v>
      </c>
      <c r="F11" s="60">
        <f t="shared" ref="F11:F39" si="6">IF(B11&gt;0,(7.86+1.25*D11)*4.1868/100,-999)</f>
        <v>17.120627646279043</v>
      </c>
      <c r="G11" s="61">
        <f>'[1]cálculos teóricos'!T126</f>
        <v>26.686764785681291</v>
      </c>
      <c r="H11" s="74">
        <f t="shared" ref="H11:H39" si="7">IF(B11&gt;0,100*F11/G11,-999)</f>
        <v>64.154002119676449</v>
      </c>
      <c r="I11" s="56"/>
      <c r="J11" s="82"/>
      <c r="K11" s="82">
        <v>0.8</v>
      </c>
      <c r="L11" s="82">
        <v>1</v>
      </c>
      <c r="M11" s="82">
        <v>1</v>
      </c>
      <c r="N11" s="82">
        <v>1</v>
      </c>
      <c r="O11" s="76">
        <v>1</v>
      </c>
      <c r="P11" s="79">
        <v>1</v>
      </c>
      <c r="Q11" s="79">
        <v>1</v>
      </c>
      <c r="R11" s="75">
        <v>1</v>
      </c>
      <c r="S11" s="75">
        <v>0.2</v>
      </c>
      <c r="T11" s="75"/>
      <c r="U11" s="75"/>
      <c r="V11" s="77"/>
      <c r="W11" s="58">
        <f t="shared" si="0"/>
        <v>4.8</v>
      </c>
      <c r="X11" s="68">
        <f t="shared" si="1"/>
        <v>3.2</v>
      </c>
      <c r="Y11" s="78">
        <f t="shared" si="2"/>
        <v>8</v>
      </c>
      <c r="Z11" s="70">
        <f>'[1]cálculos teóricos'!I126</f>
        <v>11.074090851918852</v>
      </c>
      <c r="AA11" s="71">
        <f t="shared" si="3"/>
        <v>72.240693226873859</v>
      </c>
      <c r="AB11" s="155"/>
      <c r="AC11" s="156"/>
    </row>
    <row r="12" spans="1:29" ht="18" customHeight="1">
      <c r="A12" s="109">
        <v>4</v>
      </c>
      <c r="B12" s="56">
        <v>10.9</v>
      </c>
      <c r="C12" s="73">
        <f>'[1]cálculos teóricos'!K127</f>
        <v>0.97391597308657185</v>
      </c>
      <c r="D12" s="58">
        <f t="shared" si="4"/>
        <v>154.60151548710456</v>
      </c>
      <c r="E12" s="59">
        <f t="shared" si="5"/>
        <v>6.4728562504140941</v>
      </c>
      <c r="F12" s="60">
        <f t="shared" si="6"/>
        <v>8.4201527930176159</v>
      </c>
      <c r="G12" s="61">
        <f>'[1]cálculos teóricos'!T127</f>
        <v>26.520140742037025</v>
      </c>
      <c r="H12" s="74">
        <f t="shared" si="7"/>
        <v>31.750030570806313</v>
      </c>
      <c r="I12" s="56"/>
      <c r="J12" s="82"/>
      <c r="K12" s="82"/>
      <c r="L12" s="82"/>
      <c r="M12" s="82"/>
      <c r="N12" s="82"/>
      <c r="O12" s="76"/>
      <c r="P12" s="79">
        <v>0.8</v>
      </c>
      <c r="Q12" s="79">
        <v>1</v>
      </c>
      <c r="R12" s="75">
        <v>0.3</v>
      </c>
      <c r="S12" s="75">
        <v>0.6</v>
      </c>
      <c r="T12" s="75"/>
      <c r="U12" s="75"/>
      <c r="V12" s="77"/>
      <c r="W12" s="58">
        <f t="shared" si="0"/>
        <v>0</v>
      </c>
      <c r="X12" s="68">
        <f t="shared" si="1"/>
        <v>2.7</v>
      </c>
      <c r="Y12" s="78">
        <f t="shared" si="2"/>
        <v>2.7</v>
      </c>
      <c r="Z12" s="70">
        <f>'[1]cálculos teóricos'!I127</f>
        <v>11.055362185063325</v>
      </c>
      <c r="AA12" s="71">
        <f t="shared" si="3"/>
        <v>24.422537722444904</v>
      </c>
      <c r="AB12" s="155"/>
      <c r="AC12" s="156"/>
    </row>
    <row r="13" spans="1:29" ht="18" customHeight="1">
      <c r="A13" s="72">
        <v>5</v>
      </c>
      <c r="B13" s="56">
        <v>12.1</v>
      </c>
      <c r="C13" s="73">
        <f>'[1]cálculos teóricos'!K128</f>
        <v>0.97301993739218018</v>
      </c>
      <c r="D13" s="58">
        <f t="shared" si="4"/>
        <v>171.46396788435328</v>
      </c>
      <c r="E13" s="59">
        <f t="shared" si="5"/>
        <v>7.1788534073821033</v>
      </c>
      <c r="F13" s="60">
        <f t="shared" si="6"/>
        <v>9.3026492392276285</v>
      </c>
      <c r="G13" s="61">
        <f>'[1]cálculos teóricos'!T128</f>
        <v>26.355551442021564</v>
      </c>
      <c r="H13" s="74">
        <f t="shared" si="7"/>
        <v>35.296735337494731</v>
      </c>
      <c r="I13" s="56"/>
      <c r="J13" s="82">
        <v>0.4</v>
      </c>
      <c r="K13" s="82">
        <v>0.7</v>
      </c>
      <c r="L13" s="82">
        <v>0.2</v>
      </c>
      <c r="M13" s="82"/>
      <c r="N13" s="82"/>
      <c r="O13" s="76"/>
      <c r="P13" s="79"/>
      <c r="Q13" s="79"/>
      <c r="R13" s="75"/>
      <c r="S13" s="75"/>
      <c r="T13" s="75"/>
      <c r="U13" s="75"/>
      <c r="V13" s="77"/>
      <c r="W13" s="58">
        <f t="shared" si="0"/>
        <v>1.3</v>
      </c>
      <c r="X13" s="68">
        <f t="shared" si="1"/>
        <v>0</v>
      </c>
      <c r="Y13" s="78">
        <f t="shared" si="2"/>
        <v>1.3</v>
      </c>
      <c r="Z13" s="70">
        <f>'[1]cálculos teóricos'!I128</f>
        <v>11.036847866959667</v>
      </c>
      <c r="AA13" s="71">
        <f t="shared" si="3"/>
        <v>11.778725372229966</v>
      </c>
      <c r="AB13" s="155"/>
      <c r="AC13" s="156"/>
    </row>
    <row r="14" spans="1:29" ht="18" customHeight="1">
      <c r="A14" s="109">
        <v>6</v>
      </c>
      <c r="B14" s="56">
        <v>17</v>
      </c>
      <c r="C14" s="73">
        <f>'[1]cálculos teóricos'!K129</f>
        <v>0.97213197020477449</v>
      </c>
      <c r="D14" s="58">
        <f t="shared" si="4"/>
        <v>240.67994711731302</v>
      </c>
      <c r="E14" s="59">
        <f t="shared" si="5"/>
        <v>10.076788025907662</v>
      </c>
      <c r="F14" s="60">
        <f t="shared" si="6"/>
        <v>12.925067512384578</v>
      </c>
      <c r="G14" s="61">
        <f>'[1]cálculos teóricos'!T129</f>
        <v>26.193067257577663</v>
      </c>
      <c r="H14" s="74">
        <f t="shared" si="7"/>
        <v>49.34537595494988</v>
      </c>
      <c r="I14" s="56"/>
      <c r="J14" s="82"/>
      <c r="K14" s="82"/>
      <c r="L14" s="82">
        <v>0.8</v>
      </c>
      <c r="M14" s="82">
        <v>0.9</v>
      </c>
      <c r="N14" s="82">
        <v>0.6</v>
      </c>
      <c r="O14" s="76">
        <v>0.1</v>
      </c>
      <c r="P14" s="79"/>
      <c r="Q14" s="79">
        <v>0.8</v>
      </c>
      <c r="R14" s="75">
        <v>0.8</v>
      </c>
      <c r="S14" s="75">
        <v>0.5</v>
      </c>
      <c r="T14" s="75">
        <v>0.1</v>
      </c>
      <c r="U14" s="75"/>
      <c r="V14" s="77"/>
      <c r="W14" s="58">
        <f t="shared" si="0"/>
        <v>2.4000000000000004</v>
      </c>
      <c r="X14" s="68">
        <f t="shared" si="1"/>
        <v>2.2000000000000002</v>
      </c>
      <c r="Y14" s="78">
        <f t="shared" si="2"/>
        <v>4.6000000000000005</v>
      </c>
      <c r="Z14" s="70">
        <f>'[1]cálculos teóricos'!I129</f>
        <v>11.018554736668527</v>
      </c>
      <c r="AA14" s="71">
        <f t="shared" si="3"/>
        <v>41.747761933710883</v>
      </c>
      <c r="AB14" s="155"/>
      <c r="AC14" s="156"/>
    </row>
    <row r="15" spans="1:29" ht="18" customHeight="1">
      <c r="A15" s="72">
        <v>7</v>
      </c>
      <c r="B15" s="56">
        <v>9.5</v>
      </c>
      <c r="C15" s="73">
        <f>'[1]cálculos teóricos'!K130</f>
        <v>0.97125259145418985</v>
      </c>
      <c r="D15" s="58">
        <f t="shared" si="4"/>
        <v>134.37595259860939</v>
      </c>
      <c r="E15" s="59">
        <f t="shared" si="5"/>
        <v>5.6260523833985783</v>
      </c>
      <c r="F15" s="60">
        <f t="shared" si="6"/>
        <v>7.3616479592482218</v>
      </c>
      <c r="G15" s="61">
        <f>'[1]cálculos teóricos'!T130</f>
        <v>26.032757923837824</v>
      </c>
      <c r="H15" s="74">
        <f t="shared" si="7"/>
        <v>28.278402083965396</v>
      </c>
      <c r="I15" s="56"/>
      <c r="J15" s="82"/>
      <c r="K15" s="82"/>
      <c r="L15" s="82"/>
      <c r="M15" s="82"/>
      <c r="N15" s="82">
        <v>0.3</v>
      </c>
      <c r="O15" s="76"/>
      <c r="P15" s="79"/>
      <c r="Q15" s="79"/>
      <c r="R15" s="75"/>
      <c r="S15" s="75"/>
      <c r="T15" s="75"/>
      <c r="U15" s="75"/>
      <c r="V15" s="77"/>
      <c r="W15" s="58">
        <f t="shared" si="0"/>
        <v>0.3</v>
      </c>
      <c r="X15" s="68">
        <f t="shared" si="1"/>
        <v>0</v>
      </c>
      <c r="Y15" s="78">
        <f t="shared" si="2"/>
        <v>0.3</v>
      </c>
      <c r="Z15" s="70">
        <f>'[1]cálculos teóricos'!I130</f>
        <v>11.000489734974462</v>
      </c>
      <c r="AA15" s="71">
        <f t="shared" si="3"/>
        <v>2.7271513107838601</v>
      </c>
      <c r="AB15" s="155"/>
      <c r="AC15" s="156"/>
    </row>
    <row r="16" spans="1:29" ht="18" customHeight="1">
      <c r="A16" s="80">
        <v>8</v>
      </c>
      <c r="B16" s="75">
        <v>13.8</v>
      </c>
      <c r="C16" s="73">
        <f>'[1]cálculos teóricos'!K131</f>
        <v>0.97038232179618111</v>
      </c>
      <c r="D16" s="58">
        <f t="shared" si="4"/>
        <v>195.02384862000585</v>
      </c>
      <c r="E16" s="59">
        <f t="shared" si="5"/>
        <v>8.1652584940224049</v>
      </c>
      <c r="F16" s="60">
        <f t="shared" si="6"/>
        <v>10.535655597528008</v>
      </c>
      <c r="G16" s="61">
        <f>'[1]cálculos teóricos'!T131</f>
        <v>25.874692494713734</v>
      </c>
      <c r="H16" s="74">
        <f t="shared" si="7"/>
        <v>40.717993458977219</v>
      </c>
      <c r="I16" s="79"/>
      <c r="J16" s="81">
        <v>0.1</v>
      </c>
      <c r="K16" s="81">
        <v>0.9</v>
      </c>
      <c r="L16" s="81">
        <v>0.2</v>
      </c>
      <c r="M16" s="81"/>
      <c r="N16" s="82">
        <v>0.2</v>
      </c>
      <c r="O16" s="77">
        <v>0.6</v>
      </c>
      <c r="P16" s="82">
        <v>0.2</v>
      </c>
      <c r="Q16" s="82"/>
      <c r="R16" s="81"/>
      <c r="S16" s="81"/>
      <c r="T16" s="81"/>
      <c r="U16" s="81"/>
      <c r="V16" s="77"/>
      <c r="W16" s="58">
        <f t="shared" si="0"/>
        <v>2</v>
      </c>
      <c r="X16" s="68">
        <f t="shared" si="1"/>
        <v>0.2</v>
      </c>
      <c r="Y16" s="78">
        <f t="shared" si="2"/>
        <v>2.2000000000000002</v>
      </c>
      <c r="Z16" s="70">
        <f>'[1]cálculos teóricos'!I131</f>
        <v>10.982659899340732</v>
      </c>
      <c r="AA16" s="71">
        <f t="shared" si="3"/>
        <v>20.031577233235293</v>
      </c>
      <c r="AB16" s="155"/>
      <c r="AC16" s="156"/>
    </row>
    <row r="17" spans="1:29" ht="18" customHeight="1">
      <c r="A17" s="80">
        <v>9</v>
      </c>
      <c r="B17" s="75">
        <v>20.100000000000001</v>
      </c>
      <c r="C17" s="73">
        <f>'[1]cálculos teóricos'!K132</f>
        <v>0.96952168214831635</v>
      </c>
      <c r="D17" s="58">
        <f t="shared" si="4"/>
        <v>283.80454326113681</v>
      </c>
      <c r="E17" s="59">
        <f t="shared" si="5"/>
        <v>11.882328617257276</v>
      </c>
      <c r="F17" s="60">
        <f t="shared" si="6"/>
        <v>15.181993251571596</v>
      </c>
      <c r="G17" s="61">
        <f>'[1]cálculos teóricos'!T132</f>
        <v>25.718939298322645</v>
      </c>
      <c r="H17" s="74">
        <f t="shared" si="7"/>
        <v>59.030401975254655</v>
      </c>
      <c r="I17" s="79"/>
      <c r="J17" s="81"/>
      <c r="K17" s="81">
        <v>1</v>
      </c>
      <c r="L17" s="81">
        <v>1</v>
      </c>
      <c r="M17" s="81">
        <v>1</v>
      </c>
      <c r="N17" s="82">
        <v>1</v>
      </c>
      <c r="O17" s="77">
        <v>0.8</v>
      </c>
      <c r="P17" s="82">
        <v>0.6</v>
      </c>
      <c r="Q17" s="82">
        <v>0.6</v>
      </c>
      <c r="R17" s="81">
        <v>0.8</v>
      </c>
      <c r="S17" s="81">
        <v>1</v>
      </c>
      <c r="T17" s="81">
        <v>0.9</v>
      </c>
      <c r="U17" s="81"/>
      <c r="V17" s="77"/>
      <c r="W17" s="58">
        <f t="shared" si="0"/>
        <v>4.8</v>
      </c>
      <c r="X17" s="68">
        <f t="shared" si="1"/>
        <v>3.9</v>
      </c>
      <c r="Y17" s="78">
        <f t="shared" si="2"/>
        <v>8.6999999999999993</v>
      </c>
      <c r="Z17" s="70">
        <f>'[1]cálculos teóricos'!I132</f>
        <v>10.965072358330648</v>
      </c>
      <c r="AA17" s="71">
        <f t="shared" si="3"/>
        <v>79.342841667526486</v>
      </c>
      <c r="AB17" s="155"/>
      <c r="AC17" s="156"/>
    </row>
    <row r="18" spans="1:29" ht="18" customHeight="1">
      <c r="A18" s="80">
        <v>10</v>
      </c>
      <c r="B18" s="75">
        <v>21.3</v>
      </c>
      <c r="C18" s="73">
        <f>'[1]cálculos teóricos'!K133</f>
        <v>0.96867119321230488</v>
      </c>
      <c r="D18" s="58">
        <f t="shared" si="4"/>
        <v>300.4842742459997</v>
      </c>
      <c r="E18" s="59">
        <f t="shared" si="5"/>
        <v>12.580675594131515</v>
      </c>
      <c r="F18" s="60">
        <f t="shared" si="6"/>
        <v>16.054926972664394</v>
      </c>
      <c r="G18" s="61">
        <f>'[1]cálculos teóricos'!T133</f>
        <v>25.565565892314495</v>
      </c>
      <c r="H18" s="74">
        <f t="shared" si="7"/>
        <v>62.799028350437631</v>
      </c>
      <c r="I18" s="79"/>
      <c r="J18" s="81"/>
      <c r="K18" s="81"/>
      <c r="L18" s="81"/>
      <c r="M18" s="81"/>
      <c r="N18" s="82">
        <v>1</v>
      </c>
      <c r="O18" s="76">
        <v>1</v>
      </c>
      <c r="P18" s="82">
        <v>1</v>
      </c>
      <c r="Q18" s="82">
        <v>1</v>
      </c>
      <c r="R18" s="81">
        <v>1</v>
      </c>
      <c r="S18" s="81">
        <v>1</v>
      </c>
      <c r="T18" s="81">
        <v>0.6</v>
      </c>
      <c r="U18" s="81"/>
      <c r="V18" s="77"/>
      <c r="W18" s="58">
        <f t="shared" si="0"/>
        <v>2</v>
      </c>
      <c r="X18" s="68">
        <f t="shared" si="1"/>
        <v>4.5999999999999996</v>
      </c>
      <c r="Y18" s="78">
        <f t="shared" si="2"/>
        <v>6.6</v>
      </c>
      <c r="Z18" s="70">
        <f>'[1]cálculos teóricos'!I133</f>
        <v>10.947734325491757</v>
      </c>
      <c r="AA18" s="71">
        <f t="shared" si="3"/>
        <v>60.286446526492021</v>
      </c>
      <c r="AB18" s="155"/>
      <c r="AC18" s="156"/>
    </row>
    <row r="19" spans="1:29" ht="18" customHeight="1">
      <c r="A19" s="85">
        <v>11</v>
      </c>
      <c r="B19" s="75">
        <v>17.600000000000001</v>
      </c>
      <c r="C19" s="73">
        <f>'[1]cálculos teóricos'!K134</f>
        <v>0.9678313749832993</v>
      </c>
      <c r="D19" s="58">
        <f t="shared" si="4"/>
        <v>248.07221524041933</v>
      </c>
      <c r="E19" s="59">
        <f t="shared" si="5"/>
        <v>10.386287507685877</v>
      </c>
      <c r="F19" s="60">
        <f t="shared" si="6"/>
        <v>13.311941864607345</v>
      </c>
      <c r="G19" s="61">
        <f>'[1]cálculos teóricos'!T134</f>
        <v>25.414639019166131</v>
      </c>
      <c r="H19" s="74">
        <f t="shared" si="7"/>
        <v>52.379031842900901</v>
      </c>
      <c r="I19" s="79"/>
      <c r="J19" s="81"/>
      <c r="K19" s="81"/>
      <c r="L19" s="81">
        <v>0.3</v>
      </c>
      <c r="M19" s="81">
        <v>0.9</v>
      </c>
      <c r="N19" s="81">
        <v>0.8</v>
      </c>
      <c r="O19" s="77">
        <v>1</v>
      </c>
      <c r="P19" s="82">
        <v>1</v>
      </c>
      <c r="Q19" s="82">
        <v>0.4</v>
      </c>
      <c r="R19" s="81">
        <v>0.1</v>
      </c>
      <c r="S19" s="81">
        <v>0.5</v>
      </c>
      <c r="T19" s="81"/>
      <c r="U19" s="81"/>
      <c r="V19" s="77"/>
      <c r="W19" s="58">
        <f t="shared" si="0"/>
        <v>3</v>
      </c>
      <c r="X19" s="68">
        <f t="shared" si="1"/>
        <v>2</v>
      </c>
      <c r="Y19" s="78">
        <f t="shared" si="2"/>
        <v>5</v>
      </c>
      <c r="Z19" s="70">
        <f>'[1]cálculos teóricos'!I134</f>
        <v>10.930653092700721</v>
      </c>
      <c r="AA19" s="71">
        <f t="shared" si="3"/>
        <v>45.742920917862662</v>
      </c>
      <c r="AB19" s="155"/>
      <c r="AC19" s="156"/>
    </row>
    <row r="20" spans="1:29" ht="18" customHeight="1">
      <c r="A20" s="85">
        <v>12</v>
      </c>
      <c r="B20" s="75">
        <v>16.3</v>
      </c>
      <c r="C20" s="73">
        <f>'[1]cálculos teóricos'!K135</f>
        <v>0.96700274624676985</v>
      </c>
      <c r="D20" s="58">
        <f t="shared" si="4"/>
        <v>229.55199526792677</v>
      </c>
      <c r="E20" s="59">
        <f t="shared" si="5"/>
        <v>9.6108829378775571</v>
      </c>
      <c r="F20" s="60">
        <f t="shared" si="6"/>
        <v>12.342686152346946</v>
      </c>
      <c r="G20" s="61">
        <f>'[1]cálculos teóricos'!T135</f>
        <v>25.26622456151059</v>
      </c>
      <c r="H20" s="74">
        <f t="shared" si="7"/>
        <v>48.850536107199922</v>
      </c>
      <c r="I20" s="79"/>
      <c r="J20" s="81"/>
      <c r="K20" s="81">
        <v>0.4</v>
      </c>
      <c r="L20" s="81">
        <v>0.2</v>
      </c>
      <c r="M20" s="81">
        <v>0.4</v>
      </c>
      <c r="N20" s="81">
        <v>0.9</v>
      </c>
      <c r="O20" s="77">
        <v>0.9</v>
      </c>
      <c r="P20" s="82">
        <v>1</v>
      </c>
      <c r="Q20" s="82">
        <v>0.8</v>
      </c>
      <c r="R20" s="81">
        <v>0.2</v>
      </c>
      <c r="S20" s="81">
        <v>0.7</v>
      </c>
      <c r="T20" s="81"/>
      <c r="U20" s="81"/>
      <c r="V20" s="77"/>
      <c r="W20" s="58">
        <f t="shared" si="0"/>
        <v>2.8</v>
      </c>
      <c r="X20" s="68">
        <f t="shared" si="1"/>
        <v>2.7</v>
      </c>
      <c r="Y20" s="78">
        <f t="shared" si="2"/>
        <v>5.5</v>
      </c>
      <c r="Z20" s="70">
        <f>'[1]cálculos teóricos'!I135</f>
        <v>10.913836022969011</v>
      </c>
      <c r="AA20" s="71">
        <f t="shared" si="3"/>
        <v>50.394746525647122</v>
      </c>
      <c r="AB20" s="155"/>
      <c r="AC20" s="156"/>
    </row>
    <row r="21" spans="1:29" ht="18" customHeight="1">
      <c r="A21" s="85">
        <v>13</v>
      </c>
      <c r="B21" s="75">
        <v>20</v>
      </c>
      <c r="C21" s="73">
        <f>'[1]cálculos teóricos'!K136</f>
        <v>0.96618582406361775</v>
      </c>
      <c r="D21" s="58">
        <f t="shared" si="4"/>
        <v>281.42094497501</v>
      </c>
      <c r="E21" s="59">
        <f t="shared" si="5"/>
        <v>11.78253212421372</v>
      </c>
      <c r="F21" s="60">
        <f t="shared" si="6"/>
        <v>15.057247635267149</v>
      </c>
      <c r="G21" s="61">
        <f>'[1]cálculos teóricos'!T136</f>
        <v>25.120387497571706</v>
      </c>
      <c r="H21" s="74">
        <f t="shared" si="7"/>
        <v>59.940347802049935</v>
      </c>
      <c r="I21" s="79"/>
      <c r="J21" s="81"/>
      <c r="K21" s="81"/>
      <c r="L21" s="81">
        <v>0.3</v>
      </c>
      <c r="M21" s="81">
        <v>0.9</v>
      </c>
      <c r="N21" s="81">
        <v>1</v>
      </c>
      <c r="O21" s="77">
        <v>1</v>
      </c>
      <c r="P21" s="82">
        <v>0.8</v>
      </c>
      <c r="Q21" s="82">
        <v>1</v>
      </c>
      <c r="R21" s="81">
        <v>1</v>
      </c>
      <c r="S21" s="81">
        <v>1</v>
      </c>
      <c r="T21" s="81"/>
      <c r="U21" s="81"/>
      <c r="V21" s="77"/>
      <c r="W21" s="58">
        <f t="shared" si="0"/>
        <v>3.2</v>
      </c>
      <c r="X21" s="68">
        <f t="shared" si="1"/>
        <v>3.8</v>
      </c>
      <c r="Y21" s="78">
        <f t="shared" si="2"/>
        <v>7</v>
      </c>
      <c r="Z21" s="70">
        <f>'[1]cálculos teóricos'!I136</f>
        <v>10.897290542711382</v>
      </c>
      <c r="AA21" s="71">
        <f t="shared" si="3"/>
        <v>64.236150927277308</v>
      </c>
      <c r="AB21" s="155"/>
      <c r="AC21" s="156"/>
    </row>
    <row r="22" spans="1:29" ht="18" customHeight="1">
      <c r="A22" s="85">
        <v>14</v>
      </c>
      <c r="B22" s="75">
        <v>26.6</v>
      </c>
      <c r="C22" s="73">
        <f>'[1]cálculos teóricos'!K137</f>
        <v>0.96538112324425585</v>
      </c>
      <c r="D22" s="58">
        <f t="shared" si="4"/>
        <v>373.97812449058142</v>
      </c>
      <c r="E22" s="59">
        <f t="shared" si="5"/>
        <v>15.657716116171661</v>
      </c>
      <c r="F22" s="60">
        <f t="shared" si="6"/>
        <v>19.901227625214577</v>
      </c>
      <c r="G22" s="61">
        <f>'[1]cálculos teóricos'!T137</f>
        <v>24.977191856775008</v>
      </c>
      <c r="H22" s="74">
        <f t="shared" si="7"/>
        <v>79.677602427577995</v>
      </c>
      <c r="I22" s="79"/>
      <c r="J22" s="81"/>
      <c r="K22" s="81">
        <v>0.2</v>
      </c>
      <c r="L22" s="81">
        <v>0.8</v>
      </c>
      <c r="M22" s="81">
        <v>1</v>
      </c>
      <c r="N22" s="81">
        <v>1</v>
      </c>
      <c r="O22" s="77">
        <v>1</v>
      </c>
      <c r="P22" s="82">
        <v>1</v>
      </c>
      <c r="Q22" s="82">
        <v>1</v>
      </c>
      <c r="R22" s="81">
        <v>1</v>
      </c>
      <c r="S22" s="81">
        <v>0.9</v>
      </c>
      <c r="T22" s="81"/>
      <c r="U22" s="81"/>
      <c r="V22" s="77"/>
      <c r="W22" s="58">
        <f t="shared" si="0"/>
        <v>4</v>
      </c>
      <c r="X22" s="68">
        <f t="shared" si="1"/>
        <v>3.9</v>
      </c>
      <c r="Y22" s="78">
        <f t="shared" si="2"/>
        <v>7.9</v>
      </c>
      <c r="Z22" s="70">
        <f>'[1]cálculos teóricos'!I137</f>
        <v>10.881024133481446</v>
      </c>
      <c r="AA22" s="71">
        <f t="shared" si="3"/>
        <v>72.603459960090632</v>
      </c>
      <c r="AB22" s="155"/>
      <c r="AC22" s="156"/>
    </row>
    <row r="23" spans="1:29" ht="18" customHeight="1">
      <c r="A23" s="85">
        <v>15</v>
      </c>
      <c r="B23" s="75">
        <v>15.6</v>
      </c>
      <c r="C23" s="73">
        <f>'[1]cálculos teóricos'!K138</f>
        <v>0.96458915581244764</v>
      </c>
      <c r="D23" s="58">
        <f t="shared" si="4"/>
        <v>219.14558906252347</v>
      </c>
      <c r="E23" s="59">
        <f t="shared" si="5"/>
        <v>9.1751875228697326</v>
      </c>
      <c r="F23" s="60">
        <f t="shared" si="6"/>
        <v>11.798066883587165</v>
      </c>
      <c r="G23" s="61">
        <f>'[1]cálculos teóricos'!T138</f>
        <v>24.836700675606831</v>
      </c>
      <c r="H23" s="74">
        <f t="shared" si="7"/>
        <v>47.502552926341551</v>
      </c>
      <c r="I23" s="79"/>
      <c r="J23" s="81"/>
      <c r="K23" s="81"/>
      <c r="L23" s="81"/>
      <c r="M23" s="81">
        <v>0.1</v>
      </c>
      <c r="N23" s="81"/>
      <c r="O23" s="77">
        <v>0.7</v>
      </c>
      <c r="P23" s="82">
        <v>0.8</v>
      </c>
      <c r="Q23" s="82">
        <v>0.6</v>
      </c>
      <c r="R23" s="81">
        <v>0.8</v>
      </c>
      <c r="S23" s="81">
        <v>1</v>
      </c>
      <c r="T23" s="81">
        <v>0.1</v>
      </c>
      <c r="U23" s="81"/>
      <c r="V23" s="77"/>
      <c r="W23" s="58">
        <f t="shared" si="0"/>
        <v>0.79999999999999993</v>
      </c>
      <c r="X23" s="68">
        <f t="shared" si="1"/>
        <v>3.3000000000000003</v>
      </c>
      <c r="Y23" s="78">
        <f t="shared" si="2"/>
        <v>4.1000000000000005</v>
      </c>
      <c r="Z23" s="70">
        <f>'[1]cálculos teóricos'!I138</f>
        <v>10.865044323181046</v>
      </c>
      <c r="AA23" s="71">
        <f t="shared" si="3"/>
        <v>37.735695115872396</v>
      </c>
      <c r="AB23" s="155"/>
      <c r="AC23" s="156"/>
    </row>
    <row r="24" spans="1:29" ht="18" customHeight="1">
      <c r="A24" s="85">
        <v>16</v>
      </c>
      <c r="B24" s="75">
        <v>17.600000000000001</v>
      </c>
      <c r="C24" s="73">
        <f>'[1]cálculos teóricos'!K139</f>
        <v>0.96381043045975534</v>
      </c>
      <c r="D24" s="58">
        <f t="shared" si="4"/>
        <v>247.04157639041139</v>
      </c>
      <c r="E24" s="59">
        <f t="shared" si="5"/>
        <v>10.343136720313744</v>
      </c>
      <c r="F24" s="60">
        <f t="shared" si="6"/>
        <v>13.25800338039218</v>
      </c>
      <c r="G24" s="61">
        <f>'[1]cálculos teóricos'!T139</f>
        <v>24.698975953794339</v>
      </c>
      <c r="H24" s="74">
        <f t="shared" si="7"/>
        <v>53.67835251629306</v>
      </c>
      <c r="I24" s="79"/>
      <c r="J24" s="81"/>
      <c r="K24" s="81">
        <v>0.6</v>
      </c>
      <c r="L24" s="81">
        <v>0.9</v>
      </c>
      <c r="M24" s="81">
        <v>0.8</v>
      </c>
      <c r="N24" s="81">
        <v>0.4</v>
      </c>
      <c r="O24" s="77">
        <v>0.9</v>
      </c>
      <c r="P24" s="82">
        <v>0.9</v>
      </c>
      <c r="Q24" s="82">
        <v>1</v>
      </c>
      <c r="R24" s="81">
        <v>1</v>
      </c>
      <c r="S24" s="81">
        <v>1</v>
      </c>
      <c r="T24" s="81">
        <v>0.6</v>
      </c>
      <c r="U24" s="81"/>
      <c r="V24" s="77"/>
      <c r="W24" s="58">
        <f t="shared" si="0"/>
        <v>3.5999999999999996</v>
      </c>
      <c r="X24" s="68">
        <f t="shared" si="1"/>
        <v>4.5</v>
      </c>
      <c r="Y24" s="78">
        <f t="shared" si="2"/>
        <v>8.1</v>
      </c>
      <c r="Z24" s="70">
        <f>'[1]cálculos teóricos'!I139</f>
        <v>10.849358676752436</v>
      </c>
      <c r="AA24" s="71">
        <f t="shared" si="3"/>
        <v>74.65879082195292</v>
      </c>
      <c r="AB24" s="155"/>
      <c r="AC24" s="156"/>
    </row>
    <row r="25" spans="1:29" ht="18" customHeight="1">
      <c r="A25" s="85">
        <v>17</v>
      </c>
      <c r="B25" s="75">
        <v>25.1</v>
      </c>
      <c r="C25" s="73">
        <f>'[1]cálculos teóricos'!K140</f>
        <v>0.96304545199151148</v>
      </c>
      <c r="D25" s="58">
        <f t="shared" si="4"/>
        <v>352.03534224596734</v>
      </c>
      <c r="E25" s="59">
        <f t="shared" si="5"/>
        <v>14.73901570915416</v>
      </c>
      <c r="F25" s="60">
        <f t="shared" si="6"/>
        <v>18.7528521164427</v>
      </c>
      <c r="G25" s="61">
        <f>'[1]cálculos teóricos'!T140</f>
        <v>24.564078610878632</v>
      </c>
      <c r="H25" s="74">
        <f t="shared" si="7"/>
        <v>76.342583060036588</v>
      </c>
      <c r="I25" s="79"/>
      <c r="J25" s="81"/>
      <c r="K25" s="81"/>
      <c r="L25" s="81">
        <v>0.5</v>
      </c>
      <c r="M25" s="81">
        <v>1</v>
      </c>
      <c r="N25" s="81">
        <v>1</v>
      </c>
      <c r="O25" s="77">
        <v>1</v>
      </c>
      <c r="P25" s="82">
        <v>1</v>
      </c>
      <c r="Q25" s="82">
        <v>1</v>
      </c>
      <c r="R25" s="81">
        <v>1</v>
      </c>
      <c r="S25" s="81">
        <v>1</v>
      </c>
      <c r="T25" s="81">
        <v>0.9</v>
      </c>
      <c r="U25" s="81"/>
      <c r="V25" s="77"/>
      <c r="W25" s="58">
        <f t="shared" si="0"/>
        <v>3.5</v>
      </c>
      <c r="X25" s="68">
        <f t="shared" si="1"/>
        <v>4.9000000000000004</v>
      </c>
      <c r="Y25" s="78">
        <f t="shared" si="2"/>
        <v>8.4</v>
      </c>
      <c r="Z25" s="70">
        <f>'[1]cálculos teóricos'!I140</f>
        <v>10.833974786365069</v>
      </c>
      <c r="AA25" s="71">
        <f t="shared" si="3"/>
        <v>77.533870676639296</v>
      </c>
      <c r="AB25" s="155"/>
      <c r="AC25" s="156"/>
    </row>
    <row r="26" spans="1:29" ht="18" customHeight="1">
      <c r="A26" s="85">
        <v>18</v>
      </c>
      <c r="B26" s="75">
        <v>25.1</v>
      </c>
      <c r="C26" s="73">
        <f>'[1]cálculos teóricos'!K141</f>
        <v>0.96229472076527511</v>
      </c>
      <c r="D26" s="58">
        <f t="shared" si="4"/>
        <v>351.76091706321364</v>
      </c>
      <c r="E26" s="59">
        <f t="shared" si="5"/>
        <v>14.727526075602627</v>
      </c>
      <c r="F26" s="60">
        <f t="shared" si="6"/>
        <v>18.738490074503286</v>
      </c>
      <c r="G26" s="61">
        <f>'[1]cálculos teóricos'!T141</f>
        <v>24.432068443253335</v>
      </c>
      <c r="H26" s="74">
        <f t="shared" si="7"/>
        <v>76.696290033837585</v>
      </c>
      <c r="I26" s="79"/>
      <c r="J26" s="81"/>
      <c r="K26" s="81">
        <v>0.3</v>
      </c>
      <c r="L26" s="81">
        <v>1</v>
      </c>
      <c r="M26" s="81">
        <v>1</v>
      </c>
      <c r="N26" s="81">
        <v>1</v>
      </c>
      <c r="O26" s="77">
        <v>1</v>
      </c>
      <c r="P26" s="82">
        <v>1</v>
      </c>
      <c r="Q26" s="82">
        <v>1</v>
      </c>
      <c r="R26" s="81">
        <v>1</v>
      </c>
      <c r="S26" s="81">
        <v>1</v>
      </c>
      <c r="T26" s="81">
        <v>1</v>
      </c>
      <c r="U26" s="81"/>
      <c r="V26" s="77"/>
      <c r="W26" s="58">
        <f t="shared" si="0"/>
        <v>4.3</v>
      </c>
      <c r="X26" s="68">
        <f t="shared" si="1"/>
        <v>5</v>
      </c>
      <c r="Y26" s="78">
        <f t="shared" si="2"/>
        <v>9.3000000000000007</v>
      </c>
      <c r="Z26" s="70">
        <f>'[1]cálculos teóricos'!I141</f>
        <v>10.818900261111278</v>
      </c>
      <c r="AA26" s="71">
        <f t="shared" si="3"/>
        <v>85.960677846610807</v>
      </c>
      <c r="AB26" s="155"/>
      <c r="AC26" s="156"/>
    </row>
    <row r="27" spans="1:29" ht="18" customHeight="1">
      <c r="A27" s="85">
        <v>19</v>
      </c>
      <c r="B27" s="75">
        <v>13.7</v>
      </c>
      <c r="C27" s="73">
        <f>'[1]cálculos teóricos'!K142</f>
        <v>0.96155873212279996</v>
      </c>
      <c r="D27" s="58">
        <f t="shared" si="4"/>
        <v>191.85015015520446</v>
      </c>
      <c r="E27" s="59">
        <f t="shared" si="5"/>
        <v>8.0323820866980995</v>
      </c>
      <c r="F27" s="60">
        <f t="shared" si="6"/>
        <v>10.369560088372625</v>
      </c>
      <c r="G27" s="61">
        <f>'[1]cálculos teóricos'!T142</f>
        <v>24.3030040817398</v>
      </c>
      <c r="H27" s="74">
        <f t="shared" si="7"/>
        <v>42.667811985283961</v>
      </c>
      <c r="I27" s="79"/>
      <c r="J27" s="81"/>
      <c r="K27" s="81"/>
      <c r="L27" s="81"/>
      <c r="M27" s="81">
        <v>0.2</v>
      </c>
      <c r="N27" s="81">
        <v>0.7</v>
      </c>
      <c r="O27" s="77"/>
      <c r="P27" s="82"/>
      <c r="Q27" s="82"/>
      <c r="R27" s="81"/>
      <c r="S27" s="81"/>
      <c r="T27" s="81"/>
      <c r="U27" s="81"/>
      <c r="V27" s="77"/>
      <c r="W27" s="58">
        <f t="shared" si="0"/>
        <v>0.89999999999999991</v>
      </c>
      <c r="X27" s="68">
        <f t="shared" si="1"/>
        <v>0</v>
      </c>
      <c r="Y27" s="78">
        <f t="shared" si="2"/>
        <v>0.89999999999999991</v>
      </c>
      <c r="Z27" s="70">
        <f>'[1]cálculos teóricos'!I142</f>
        <v>10.804142716228</v>
      </c>
      <c r="AA27" s="71">
        <f t="shared" si="3"/>
        <v>8.330138018708185</v>
      </c>
      <c r="AB27" s="155"/>
      <c r="AC27" s="156"/>
    </row>
    <row r="28" spans="1:29" ht="18" customHeight="1">
      <c r="A28" s="85">
        <v>20</v>
      </c>
      <c r="B28" s="75">
        <v>19.100000000000001</v>
      </c>
      <c r="C28" s="73">
        <f>'[1]cálculos teóricos'!K143</f>
        <v>0.9608379758165817</v>
      </c>
      <c r="D28" s="58">
        <f t="shared" si="4"/>
        <v>267.26942974137148</v>
      </c>
      <c r="E28" s="59">
        <f t="shared" si="5"/>
        <v>11.190036484411742</v>
      </c>
      <c r="F28" s="60">
        <f t="shared" si="6"/>
        <v>14.316628085514676</v>
      </c>
      <c r="G28" s="61">
        <f>'[1]cálculos teóricos'!T143</f>
        <v>24.176942949769266</v>
      </c>
      <c r="H28" s="74">
        <f t="shared" si="7"/>
        <v>59.21603949374132</v>
      </c>
      <c r="I28" s="79"/>
      <c r="J28" s="81"/>
      <c r="K28" s="81">
        <v>1</v>
      </c>
      <c r="L28" s="81">
        <v>1</v>
      </c>
      <c r="M28" s="81">
        <v>1</v>
      </c>
      <c r="N28" s="81">
        <v>0.4</v>
      </c>
      <c r="O28" s="77">
        <v>0.6</v>
      </c>
      <c r="P28" s="82">
        <v>1</v>
      </c>
      <c r="Q28" s="82">
        <v>1</v>
      </c>
      <c r="R28" s="81">
        <v>0.5</v>
      </c>
      <c r="S28" s="81">
        <v>0.4</v>
      </c>
      <c r="T28" s="81"/>
      <c r="U28" s="81"/>
      <c r="V28" s="77"/>
      <c r="W28" s="58">
        <f t="shared" si="0"/>
        <v>4</v>
      </c>
      <c r="X28" s="68">
        <f t="shared" si="1"/>
        <v>2.9</v>
      </c>
      <c r="Y28" s="78">
        <f t="shared" si="2"/>
        <v>6.9</v>
      </c>
      <c r="Z28" s="70">
        <f>'[1]cálculos teóricos'!I143</f>
        <v>10.78970976186449</v>
      </c>
      <c r="AA28" s="71">
        <f t="shared" si="3"/>
        <v>63.949820266598735</v>
      </c>
      <c r="AB28" s="155"/>
      <c r="AC28" s="156"/>
    </row>
    <row r="29" spans="1:29" ht="18" customHeight="1">
      <c r="A29" s="85">
        <v>21</v>
      </c>
      <c r="B29" s="75">
        <v>22.1</v>
      </c>
      <c r="C29" s="73">
        <f>'[1]cálculos teóricos'!K144</f>
        <v>0.96013293543210909</v>
      </c>
      <c r="D29" s="58">
        <f t="shared" si="4"/>
        <v>309.02200171415802</v>
      </c>
      <c r="E29" s="59">
        <f t="shared" si="5"/>
        <v>12.938133167768367</v>
      </c>
      <c r="F29" s="60">
        <f t="shared" si="6"/>
        <v>16.50174893971046</v>
      </c>
      <c r="G29" s="61">
        <f>'[1]cálculos teóricos'!T144</f>
        <v>24.053941222240866</v>
      </c>
      <c r="H29" s="74">
        <f t="shared" si="7"/>
        <v>68.603098291653495</v>
      </c>
      <c r="I29" s="79"/>
      <c r="J29" s="81"/>
      <c r="K29" s="81"/>
      <c r="L29" s="81"/>
      <c r="M29" s="81">
        <v>0.9</v>
      </c>
      <c r="N29" s="81">
        <v>1</v>
      </c>
      <c r="O29" s="77">
        <v>1</v>
      </c>
      <c r="P29" s="82">
        <v>1</v>
      </c>
      <c r="Q29" s="82">
        <v>1</v>
      </c>
      <c r="R29" s="81">
        <v>0.8</v>
      </c>
      <c r="S29" s="81">
        <v>0.1</v>
      </c>
      <c r="T29" s="81"/>
      <c r="U29" s="81"/>
      <c r="V29" s="77"/>
      <c r="W29" s="58">
        <f t="shared" si="0"/>
        <v>2.9</v>
      </c>
      <c r="X29" s="68">
        <f t="shared" si="1"/>
        <v>2.9</v>
      </c>
      <c r="Y29" s="78">
        <f t="shared" si="2"/>
        <v>5.8</v>
      </c>
      <c r="Z29" s="70">
        <f>'[1]cálculos teóricos'!I144</f>
        <v>10.775608991418745</v>
      </c>
      <c r="AA29" s="71">
        <f t="shared" si="3"/>
        <v>53.825264118426006</v>
      </c>
      <c r="AB29" s="155"/>
      <c r="AC29" s="156"/>
    </row>
    <row r="30" spans="1:29" ht="18" customHeight="1">
      <c r="A30" s="85">
        <v>22</v>
      </c>
      <c r="B30" s="75">
        <v>23.7</v>
      </c>
      <c r="C30" s="73">
        <f>'[1]cálculos teóricos'!K145</f>
        <v>0.95944408780698176</v>
      </c>
      <c r="D30" s="58">
        <f t="shared" si="4"/>
        <v>331.15687615481443</v>
      </c>
      <c r="E30" s="59">
        <f t="shared" si="5"/>
        <v>13.864876090849771</v>
      </c>
      <c r="F30" s="60">
        <f t="shared" si="6"/>
        <v>17.660177593562214</v>
      </c>
      <c r="G30" s="61">
        <f>'[1]cálculos teóricos'!T145</f>
        <v>23.934053785122181</v>
      </c>
      <c r="H30" s="74">
        <f t="shared" si="7"/>
        <v>73.786821706484517</v>
      </c>
      <c r="I30" s="79"/>
      <c r="J30" s="81"/>
      <c r="K30" s="81"/>
      <c r="L30" s="81">
        <v>1</v>
      </c>
      <c r="M30" s="81">
        <v>1</v>
      </c>
      <c r="N30" s="81">
        <v>1</v>
      </c>
      <c r="O30" s="77">
        <v>1</v>
      </c>
      <c r="P30" s="82">
        <v>1</v>
      </c>
      <c r="Q30" s="82">
        <v>1</v>
      </c>
      <c r="R30" s="81">
        <v>1</v>
      </c>
      <c r="S30" s="81">
        <v>1</v>
      </c>
      <c r="T30" s="81">
        <v>0.5</v>
      </c>
      <c r="U30" s="149"/>
      <c r="V30" s="77"/>
      <c r="W30" s="58">
        <f t="shared" si="0"/>
        <v>4</v>
      </c>
      <c r="X30" s="68">
        <f t="shared" si="1"/>
        <v>4.5</v>
      </c>
      <c r="Y30" s="78">
        <f t="shared" si="2"/>
        <v>8.5</v>
      </c>
      <c r="Z30" s="70">
        <f>'[1]cálculos teóricos'!I145</f>
        <v>10.761847969468413</v>
      </c>
      <c r="AA30" s="71">
        <f t="shared" si="3"/>
        <v>78.982717690443849</v>
      </c>
      <c r="AB30" s="155"/>
      <c r="AC30" s="156"/>
    </row>
    <row r="31" spans="1:29" ht="18" customHeight="1">
      <c r="A31" s="85">
        <v>23</v>
      </c>
      <c r="B31" s="75">
        <v>22.4</v>
      </c>
      <c r="C31" s="73">
        <f>'[1]cálculos teóricos'!K146</f>
        <v>0.95877190244810251</v>
      </c>
      <c r="D31" s="58">
        <f t="shared" si="4"/>
        <v>312.77287106918584</v>
      </c>
      <c r="E31" s="59">
        <f t="shared" si="5"/>
        <v>13.095174565924673</v>
      </c>
      <c r="F31" s="60">
        <f t="shared" si="6"/>
        <v>16.698050687405843</v>
      </c>
      <c r="G31" s="61">
        <f>'[1]cálculos teóricos'!T146</f>
        <v>23.81733419585737</v>
      </c>
      <c r="H31" s="74">
        <f t="shared" si="7"/>
        <v>70.10881465613474</v>
      </c>
      <c r="I31" s="79"/>
      <c r="J31" s="81"/>
      <c r="K31" s="81">
        <v>0.9</v>
      </c>
      <c r="L31" s="81">
        <v>1</v>
      </c>
      <c r="M31" s="81">
        <v>1</v>
      </c>
      <c r="N31" s="81">
        <v>1</v>
      </c>
      <c r="O31" s="77">
        <v>1</v>
      </c>
      <c r="P31" s="82">
        <v>1</v>
      </c>
      <c r="Q31" s="82">
        <v>1</v>
      </c>
      <c r="R31" s="81">
        <v>1</v>
      </c>
      <c r="S31" s="81">
        <v>0.8</v>
      </c>
      <c r="T31" s="81">
        <v>0.1</v>
      </c>
      <c r="U31" s="81"/>
      <c r="V31" s="77"/>
      <c r="W31" s="58">
        <f t="shared" si="0"/>
        <v>4.9000000000000004</v>
      </c>
      <c r="X31" s="68">
        <f t="shared" si="1"/>
        <v>3.9</v>
      </c>
      <c r="Y31" s="78">
        <f t="shared" si="2"/>
        <v>8.8000000000000007</v>
      </c>
      <c r="Z31" s="70">
        <f>'[1]cálculos teóricos'!I146</f>
        <v>10.748434219324782</v>
      </c>
      <c r="AA31" s="71">
        <f t="shared" si="3"/>
        <v>81.872390158729729</v>
      </c>
      <c r="AB31" s="155"/>
      <c r="AC31" s="156"/>
    </row>
    <row r="32" spans="1:29" ht="18" customHeight="1">
      <c r="A32" s="85">
        <v>24</v>
      </c>
      <c r="B32" s="75">
        <v>23</v>
      </c>
      <c r="C32" s="73">
        <f>'[1]cálculos teóricos'!K147</f>
        <v>0.95811684094818839</v>
      </c>
      <c r="D32" s="58">
        <f t="shared" si="4"/>
        <v>320.93129610242562</v>
      </c>
      <c r="E32" s="59">
        <f t="shared" si="5"/>
        <v>13.436751505216355</v>
      </c>
      <c r="F32" s="60">
        <f t="shared" si="6"/>
        <v>17.125021861520445</v>
      </c>
      <c r="G32" s="61">
        <f>'[1]cálculos teóricos'!T147</f>
        <v>23.703834644645326</v>
      </c>
      <c r="H32" s="74">
        <f t="shared" si="7"/>
        <v>72.245786887434988</v>
      </c>
      <c r="I32" s="79"/>
      <c r="J32" s="81"/>
      <c r="K32" s="81">
        <v>1</v>
      </c>
      <c r="L32" s="81">
        <v>1</v>
      </c>
      <c r="M32" s="81">
        <v>1</v>
      </c>
      <c r="N32" s="81">
        <v>1</v>
      </c>
      <c r="O32" s="77">
        <v>1</v>
      </c>
      <c r="P32" s="82">
        <v>1</v>
      </c>
      <c r="Q32" s="82">
        <v>1</v>
      </c>
      <c r="R32" s="81">
        <v>1</v>
      </c>
      <c r="S32" s="81">
        <v>1</v>
      </c>
      <c r="T32" s="81">
        <v>0.4</v>
      </c>
      <c r="U32" s="81"/>
      <c r="V32" s="77"/>
      <c r="W32" s="58">
        <f t="shared" si="0"/>
        <v>5</v>
      </c>
      <c r="X32" s="68">
        <f t="shared" si="1"/>
        <v>4.4000000000000004</v>
      </c>
      <c r="Y32" s="78">
        <f t="shared" si="2"/>
        <v>9.4</v>
      </c>
      <c r="Z32" s="70">
        <f>'[1]cálculos teóricos'!I147</f>
        <v>10.735375210241287</v>
      </c>
      <c r="AA32" s="71">
        <f t="shared" si="3"/>
        <v>87.560982414779772</v>
      </c>
      <c r="AB32" s="155"/>
      <c r="AC32" s="156"/>
    </row>
    <row r="33" spans="1:29" ht="18" customHeight="1">
      <c r="A33" s="85">
        <v>25</v>
      </c>
      <c r="B33" s="75">
        <v>23.9</v>
      </c>
      <c r="C33" s="73">
        <f>'[1]cálculos teóricos'!K148</f>
        <v>0.95747935640287785</v>
      </c>
      <c r="D33" s="58">
        <f t="shared" si="4"/>
        <v>333.26758950666215</v>
      </c>
      <c r="E33" s="59">
        <f t="shared" si="5"/>
        <v>13.953247437464931</v>
      </c>
      <c r="F33" s="60">
        <f t="shared" si="6"/>
        <v>17.770641776831166</v>
      </c>
      <c r="G33" s="61">
        <f>'[1]cálculos teóricos'!T148</f>
        <v>23.593605916647533</v>
      </c>
      <c r="H33" s="74">
        <f t="shared" si="7"/>
        <v>75.319736370998243</v>
      </c>
      <c r="I33" s="79"/>
      <c r="J33" s="81">
        <v>0.1</v>
      </c>
      <c r="K33" s="81">
        <v>1</v>
      </c>
      <c r="L33" s="81">
        <v>1</v>
      </c>
      <c r="M33" s="81">
        <v>1</v>
      </c>
      <c r="N33" s="81">
        <v>1</v>
      </c>
      <c r="O33" s="77">
        <v>1</v>
      </c>
      <c r="P33" s="82">
        <v>1</v>
      </c>
      <c r="Q33" s="82">
        <v>1</v>
      </c>
      <c r="R33" s="81">
        <v>1</v>
      </c>
      <c r="S33" s="81">
        <v>1</v>
      </c>
      <c r="T33" s="81">
        <v>0.5</v>
      </c>
      <c r="U33" s="81"/>
      <c r="V33" s="77"/>
      <c r="W33" s="58">
        <f t="shared" si="0"/>
        <v>5.0999999999999996</v>
      </c>
      <c r="X33" s="68">
        <f t="shared" si="1"/>
        <v>4.5</v>
      </c>
      <c r="Y33" s="78">
        <f t="shared" si="2"/>
        <v>9.6</v>
      </c>
      <c r="Z33" s="70">
        <f>'[1]cálculos teóricos'!I148</f>
        <v>10.722678344310896</v>
      </c>
      <c r="AA33" s="71">
        <f t="shared" si="3"/>
        <v>89.529870166192637</v>
      </c>
      <c r="AB33" s="155"/>
      <c r="AC33" s="156"/>
    </row>
    <row r="34" spans="1:29" ht="18" customHeight="1">
      <c r="A34" s="85">
        <v>26</v>
      </c>
      <c r="B34" s="75">
        <v>21.1</v>
      </c>
      <c r="C34" s="73">
        <f>'[1]cálculos teóricos'!K149</f>
        <v>0.95685989282974016</v>
      </c>
      <c r="D34" s="58">
        <f t="shared" si="4"/>
        <v>294.033332938667</v>
      </c>
      <c r="E34" s="59">
        <f t="shared" si="5"/>
        <v>12.31058758347611</v>
      </c>
      <c r="F34" s="60">
        <f t="shared" si="6"/>
        <v>15.717316959345137</v>
      </c>
      <c r="G34" s="61">
        <f>'[1]cálculos teóricos'!T149</f>
        <v>23.486697355182486</v>
      </c>
      <c r="H34" s="74">
        <f t="shared" si="7"/>
        <v>66.920081276889334</v>
      </c>
      <c r="I34" s="79"/>
      <c r="J34" s="81"/>
      <c r="K34" s="81">
        <v>0.7</v>
      </c>
      <c r="L34" s="81">
        <v>1</v>
      </c>
      <c r="M34" s="81">
        <v>1</v>
      </c>
      <c r="N34" s="81">
        <v>1</v>
      </c>
      <c r="O34" s="77">
        <v>1</v>
      </c>
      <c r="P34" s="82">
        <v>1</v>
      </c>
      <c r="Q34" s="82">
        <v>1</v>
      </c>
      <c r="R34" s="81">
        <v>1</v>
      </c>
      <c r="S34" s="81">
        <v>0.8</v>
      </c>
      <c r="T34" s="81">
        <v>0.3</v>
      </c>
      <c r="U34" s="81"/>
      <c r="V34" s="77"/>
      <c r="W34" s="58">
        <f t="shared" si="0"/>
        <v>4.7</v>
      </c>
      <c r="X34" s="68">
        <f t="shared" si="1"/>
        <v>4.0999999999999996</v>
      </c>
      <c r="Y34" s="78">
        <f t="shared" si="2"/>
        <v>8.8000000000000007</v>
      </c>
      <c r="Z34" s="70">
        <f>'[1]cálculos teóricos'!I149</f>
        <v>10.710350943089647</v>
      </c>
      <c r="AA34" s="71">
        <f t="shared" si="3"/>
        <v>82.163507496248656</v>
      </c>
      <c r="AB34" s="155"/>
      <c r="AC34" s="156"/>
    </row>
    <row r="35" spans="1:29" ht="18" customHeight="1">
      <c r="A35" s="85">
        <v>27</v>
      </c>
      <c r="B35" s="75">
        <v>22.4</v>
      </c>
      <c r="C35" s="73">
        <f>'[1]cálculos teóricos'!K150</f>
        <v>0.95625888459052066</v>
      </c>
      <c r="D35" s="58">
        <f t="shared" si="4"/>
        <v>311.9530683524427</v>
      </c>
      <c r="E35" s="59">
        <f t="shared" si="5"/>
        <v>13.060851065780071</v>
      </c>
      <c r="F35" s="60">
        <f t="shared" si="6"/>
        <v>16.655146312225089</v>
      </c>
      <c r="G35" s="61">
        <f>'[1]cálculos teóricos'!T150</f>
        <v>23.38315682596054</v>
      </c>
      <c r="H35" s="74">
        <f t="shared" si="7"/>
        <v>71.227107769016655</v>
      </c>
      <c r="I35" s="79"/>
      <c r="J35" s="81">
        <v>0.2</v>
      </c>
      <c r="K35" s="81">
        <v>1</v>
      </c>
      <c r="L35" s="81">
        <v>1</v>
      </c>
      <c r="M35" s="81">
        <v>1</v>
      </c>
      <c r="N35" s="81">
        <v>1</v>
      </c>
      <c r="O35" s="77">
        <v>1</v>
      </c>
      <c r="P35" s="82">
        <v>1</v>
      </c>
      <c r="Q35" s="82">
        <v>1</v>
      </c>
      <c r="R35" s="81">
        <v>1</v>
      </c>
      <c r="S35" s="81">
        <v>0.6</v>
      </c>
      <c r="T35" s="81">
        <v>0.4</v>
      </c>
      <c r="U35" s="81"/>
      <c r="V35" s="77"/>
      <c r="W35" s="58">
        <f t="shared" si="0"/>
        <v>5.2</v>
      </c>
      <c r="X35" s="68">
        <f t="shared" si="1"/>
        <v>4</v>
      </c>
      <c r="Y35" s="78">
        <f t="shared" si="2"/>
        <v>9.1999999999999993</v>
      </c>
      <c r="Z35" s="70">
        <f>'[1]cálculos teóricos'!I150</f>
        <v>10.698400233986028</v>
      </c>
      <c r="AA35" s="71">
        <f t="shared" si="3"/>
        <v>85.994165471338391</v>
      </c>
      <c r="AB35" s="155"/>
      <c r="AC35" s="156"/>
    </row>
    <row r="36" spans="1:29" ht="18" customHeight="1">
      <c r="A36" s="85">
        <v>28</v>
      </c>
      <c r="B36" s="75">
        <v>22.4</v>
      </c>
      <c r="C36" s="73">
        <f>'[1]cálculos teóricos'!K151</f>
        <v>0.95567675581796974</v>
      </c>
      <c r="D36" s="58">
        <f t="shared" si="4"/>
        <v>311.76316490715203</v>
      </c>
      <c r="E36" s="59">
        <f t="shared" si="5"/>
        <v>13.052900188332641</v>
      </c>
      <c r="F36" s="60">
        <f t="shared" si="6"/>
        <v>16.6452077154158</v>
      </c>
      <c r="G36" s="61">
        <f>'[1]cálculos teóricos'!T151</f>
        <v>23.283030682409645</v>
      </c>
      <c r="H36" s="74">
        <f t="shared" si="7"/>
        <v>71.490726196531071</v>
      </c>
      <c r="I36" s="79"/>
      <c r="J36" s="81"/>
      <c r="K36" s="81">
        <v>0.1</v>
      </c>
      <c r="L36" s="81">
        <v>0.7</v>
      </c>
      <c r="M36" s="81">
        <v>0.4</v>
      </c>
      <c r="N36" s="81">
        <v>0.9</v>
      </c>
      <c r="O36" s="77">
        <v>1</v>
      </c>
      <c r="P36" s="82">
        <v>1</v>
      </c>
      <c r="Q36" s="82">
        <v>1</v>
      </c>
      <c r="R36" s="81">
        <v>1</v>
      </c>
      <c r="S36" s="81">
        <v>1</v>
      </c>
      <c r="T36" s="81">
        <v>0.7</v>
      </c>
      <c r="U36" s="81"/>
      <c r="V36" s="77"/>
      <c r="W36" s="58">
        <f t="shared" si="0"/>
        <v>3.1</v>
      </c>
      <c r="X36" s="68">
        <f t="shared" si="1"/>
        <v>4.7</v>
      </c>
      <c r="Y36" s="78">
        <f t="shared" si="2"/>
        <v>7.8000000000000007</v>
      </c>
      <c r="Z36" s="70">
        <f>'[1]cálculos teóricos'!I151</f>
        <v>10.686833336458804</v>
      </c>
      <c r="AA36" s="71">
        <f t="shared" si="3"/>
        <v>72.987008914884171</v>
      </c>
      <c r="AB36" s="155"/>
      <c r="AC36" s="156"/>
    </row>
    <row r="37" spans="1:29" ht="18" customHeight="1">
      <c r="A37" s="85">
        <v>29</v>
      </c>
      <c r="B37" s="75">
        <v>25.1</v>
      </c>
      <c r="C37" s="73">
        <f>'[1]cálculos teóricos'!K152</f>
        <v>0.95511391984862659</v>
      </c>
      <c r="D37" s="58">
        <f t="shared" si="4"/>
        <v>349.13601945005837</v>
      </c>
      <c r="E37" s="59">
        <f t="shared" si="5"/>
        <v>14.617626862335044</v>
      </c>
      <c r="F37" s="60">
        <f t="shared" si="6"/>
        <v>18.601116057918805</v>
      </c>
      <c r="G37" s="61">
        <f>'[1]cálculos teóricos'!T152</f>
        <v>23.186363732139114</v>
      </c>
      <c r="H37" s="74">
        <f t="shared" si="7"/>
        <v>80.22437788352039</v>
      </c>
      <c r="I37" s="79"/>
      <c r="J37" s="81">
        <v>0.2</v>
      </c>
      <c r="K37" s="81">
        <v>1</v>
      </c>
      <c r="L37" s="81">
        <v>1</v>
      </c>
      <c r="M37" s="81">
        <v>1</v>
      </c>
      <c r="N37" s="81">
        <v>1</v>
      </c>
      <c r="O37" s="77">
        <v>1</v>
      </c>
      <c r="P37" s="82">
        <v>1</v>
      </c>
      <c r="Q37" s="82">
        <v>1</v>
      </c>
      <c r="R37" s="81">
        <v>1</v>
      </c>
      <c r="S37" s="81">
        <v>1</v>
      </c>
      <c r="T37" s="81">
        <v>0.6</v>
      </c>
      <c r="U37" s="81"/>
      <c r="V37" s="77"/>
      <c r="W37" s="58">
        <f t="shared" si="0"/>
        <v>5.2</v>
      </c>
      <c r="X37" s="68">
        <f t="shared" si="1"/>
        <v>4.5999999999999996</v>
      </c>
      <c r="Y37" s="78">
        <f t="shared" si="2"/>
        <v>9.8000000000000007</v>
      </c>
      <c r="Z37" s="70">
        <f>'[1]cálculos teóricos'!I152</f>
        <v>10.675657248068191</v>
      </c>
      <c r="AA37" s="71">
        <f t="shared" si="3"/>
        <v>91.797626809097451</v>
      </c>
      <c r="AB37" s="155"/>
      <c r="AC37" s="156"/>
    </row>
    <row r="38" spans="1:29" ht="18" customHeight="1">
      <c r="A38" s="80">
        <v>30</v>
      </c>
      <c r="B38" s="75">
        <v>9.3000000000000007</v>
      </c>
      <c r="C38" s="73">
        <f>'[1]cálculos teóricos'!K153</f>
        <v>0.95457077866293116</v>
      </c>
      <c r="D38" s="58">
        <f t="shared" si="4"/>
        <v>129.28759127603567</v>
      </c>
      <c r="E38" s="59">
        <f t="shared" si="5"/>
        <v>5.4130128715450612</v>
      </c>
      <c r="F38" s="60">
        <f t="shared" si="6"/>
        <v>7.0953485694313265</v>
      </c>
      <c r="G38" s="61">
        <f>'[1]cálculos teóricos'!T153</f>
        <v>23.093199204585154</v>
      </c>
      <c r="H38" s="74">
        <f t="shared" si="7"/>
        <v>30.724840272553251</v>
      </c>
      <c r="I38" s="79"/>
      <c r="J38" s="81"/>
      <c r="K38" s="81"/>
      <c r="L38" s="81">
        <v>0.1</v>
      </c>
      <c r="M38" s="81"/>
      <c r="N38" s="81">
        <v>0.3</v>
      </c>
      <c r="O38" s="77"/>
      <c r="P38" s="82"/>
      <c r="Q38" s="82"/>
      <c r="R38" s="81"/>
      <c r="S38" s="81"/>
      <c r="T38" s="81"/>
      <c r="U38" s="81"/>
      <c r="V38" s="77"/>
      <c r="W38" s="58">
        <f t="shared" si="0"/>
        <v>0.4</v>
      </c>
      <c r="X38" s="68">
        <f t="shared" si="1"/>
        <v>0</v>
      </c>
      <c r="Y38" s="78">
        <f t="shared" si="2"/>
        <v>0.4</v>
      </c>
      <c r="Z38" s="70">
        <f>'[1]cálculos teóricos'!I153</f>
        <v>10.66487883042762</v>
      </c>
      <c r="AA38" s="71">
        <f t="shared" si="3"/>
        <v>3.7506286415441776</v>
      </c>
      <c r="AB38" s="155"/>
      <c r="AC38" s="156"/>
    </row>
    <row r="39" spans="1:29" ht="18" customHeight="1" thickBot="1">
      <c r="A39" s="86">
        <v>31</v>
      </c>
      <c r="B39" s="87">
        <v>4.5999999999999996</v>
      </c>
      <c r="C39" s="88">
        <f>'[1]cálculos teóricos'!K154</f>
        <v>0.95404772233404822</v>
      </c>
      <c r="D39" s="89">
        <f t="shared" si="4"/>
        <v>63.913660419374786</v>
      </c>
      <c r="E39" s="90">
        <f t="shared" si="5"/>
        <v>2.6759371344383833</v>
      </c>
      <c r="F39" s="91">
        <f t="shared" si="6"/>
        <v>3.6740038980479794</v>
      </c>
      <c r="G39" s="92">
        <f>'[1]cálculos teóricos'!T154</f>
        <v>23.003578719878121</v>
      </c>
      <c r="H39" s="93">
        <f t="shared" si="7"/>
        <v>15.971444890325506</v>
      </c>
      <c r="I39" s="94"/>
      <c r="J39" s="87"/>
      <c r="K39" s="87"/>
      <c r="L39" s="87"/>
      <c r="M39" s="87"/>
      <c r="N39" s="87"/>
      <c r="O39" s="95"/>
      <c r="P39" s="94"/>
      <c r="Q39" s="94"/>
      <c r="R39" s="87"/>
      <c r="S39" s="87"/>
      <c r="T39" s="87"/>
      <c r="U39" s="87"/>
      <c r="V39" s="95"/>
      <c r="W39" s="58">
        <f t="shared" si="0"/>
        <v>0</v>
      </c>
      <c r="X39" s="68">
        <f t="shared" si="1"/>
        <v>0</v>
      </c>
      <c r="Y39" s="78">
        <f t="shared" si="2"/>
        <v>0</v>
      </c>
      <c r="Z39" s="98">
        <f>'[1]cálculos teóricos'!I154</f>
        <v>10.654504795105451</v>
      </c>
      <c r="AA39" s="99">
        <f t="shared" si="3"/>
        <v>0</v>
      </c>
      <c r="AB39" s="155"/>
      <c r="AC39" s="156"/>
    </row>
    <row r="40" spans="1:29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5">
        <f>SUM(I9:I39)</f>
        <v>0</v>
      </c>
      <c r="J40" s="5">
        <f t="shared" ref="J40:V40" si="8">SUM(J9:J39)</f>
        <v>1</v>
      </c>
      <c r="K40" s="5">
        <f t="shared" si="8"/>
        <v>13.299999999999999</v>
      </c>
      <c r="L40" s="5">
        <f t="shared" si="8"/>
        <v>18</v>
      </c>
      <c r="M40" s="5">
        <f t="shared" si="8"/>
        <v>20.5</v>
      </c>
      <c r="N40" s="5">
        <f t="shared" si="8"/>
        <v>22.5</v>
      </c>
      <c r="O40" s="5">
        <f t="shared" si="8"/>
        <v>22.6</v>
      </c>
      <c r="P40" s="5">
        <f t="shared" si="8"/>
        <v>22.8</v>
      </c>
      <c r="Q40" s="5">
        <f t="shared" si="8"/>
        <v>22.799999999999997</v>
      </c>
      <c r="R40" s="5">
        <f t="shared" si="8"/>
        <v>20.399999999999999</v>
      </c>
      <c r="S40" s="5">
        <f t="shared" si="8"/>
        <v>19.000000000000004</v>
      </c>
      <c r="T40" s="5">
        <f t="shared" si="8"/>
        <v>7.7</v>
      </c>
      <c r="U40" s="5">
        <f t="shared" si="8"/>
        <v>0</v>
      </c>
      <c r="V40" s="5">
        <f t="shared" si="8"/>
        <v>0</v>
      </c>
      <c r="W40" s="103">
        <f t="shared" si="0"/>
        <v>97.9</v>
      </c>
      <c r="X40" s="103">
        <f>SUM(P40:V40)</f>
        <v>92.7</v>
      </c>
      <c r="Y40" s="103">
        <f>W40+X40</f>
        <v>190.60000000000002</v>
      </c>
      <c r="Z40" s="101"/>
      <c r="AA40" s="101"/>
      <c r="AB40" s="100"/>
    </row>
    <row r="41" spans="1:29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9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9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9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9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9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9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9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76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63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77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78</v>
      </c>
      <c r="W3" s="3"/>
      <c r="X3" s="157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7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158" t="s">
        <v>49</v>
      </c>
      <c r="Z8" s="51" t="s">
        <v>49</v>
      </c>
      <c r="AA8" s="54" t="s">
        <v>49</v>
      </c>
      <c r="AB8" s="3"/>
    </row>
    <row r="9" spans="1:28" ht="18" customHeight="1">
      <c r="A9" s="72">
        <v>1</v>
      </c>
      <c r="B9" s="56">
        <v>11</v>
      </c>
      <c r="C9" s="73">
        <f>'[1]cálculos teóricos'!K155</f>
        <v>0.95354512848678641</v>
      </c>
      <c r="D9" s="58">
        <f>IF(B9&gt;0,B9*C9*14.25*1.022,-999)</f>
        <v>152.75649926589045</v>
      </c>
      <c r="E9" s="59">
        <f>IF(B9&gt;0,D9*4.1868/100,-999)</f>
        <v>6.3956091112643012</v>
      </c>
      <c r="F9" s="60">
        <f>IF(B9&gt;0,(7.86+1.25*D9)*4.1868/100,-999)</f>
        <v>8.3235938690803764</v>
      </c>
      <c r="G9" s="61">
        <f>'[1]cálculos teóricos'!T155</f>
        <v>22.917542258968254</v>
      </c>
      <c r="H9" s="62">
        <f>IF(B9&gt;0,100*F9/G9,-999)</f>
        <v>36.319749190483677</v>
      </c>
      <c r="I9" s="159"/>
      <c r="J9" s="63"/>
      <c r="K9" s="63"/>
      <c r="L9" s="160"/>
      <c r="M9" s="160"/>
      <c r="N9" s="160">
        <v>0.4</v>
      </c>
      <c r="O9" s="161">
        <v>0.5</v>
      </c>
      <c r="P9" s="160"/>
      <c r="Q9" s="160">
        <v>0.7</v>
      </c>
      <c r="R9" s="160"/>
      <c r="S9" s="63"/>
      <c r="T9" s="63"/>
      <c r="U9" s="63"/>
      <c r="V9" s="64"/>
      <c r="W9" s="58">
        <f t="shared" ref="W9:W38" si="0">SUM(I9:O9)</f>
        <v>0.9</v>
      </c>
      <c r="X9" s="68">
        <f>SUM(P9:V9)</f>
        <v>0.7</v>
      </c>
      <c r="Y9" s="145">
        <f>W9+X9</f>
        <v>1.6</v>
      </c>
      <c r="Z9" s="70">
        <f>'[1]cálculos teóricos'!I155</f>
        <v>10.64454168952793</v>
      </c>
      <c r="AA9" s="71">
        <f>100*Y9/Z9</f>
        <v>15.031177918858409</v>
      </c>
      <c r="AB9" s="3"/>
    </row>
    <row r="10" spans="1:28" ht="18" customHeight="1">
      <c r="A10" s="72">
        <v>2</v>
      </c>
      <c r="B10" s="56">
        <v>10.4</v>
      </c>
      <c r="C10" s="73">
        <f>'[1]cálculos teóricos'!K156</f>
        <v>0.95306336176798911</v>
      </c>
      <c r="D10" s="58">
        <f>IF(B10&gt;0,B10*C10*14.25*1.022,-999)</f>
        <v>144.35135799872435</v>
      </c>
      <c r="E10" s="59">
        <f>IF(B10&gt;0,D10*4.1868/100,-999)</f>
        <v>6.0437026566905914</v>
      </c>
      <c r="F10" s="60">
        <f>IF(B10&gt;0,(7.86+1.25*D10)*4.1868/100,-999)</f>
        <v>7.8837108008632386</v>
      </c>
      <c r="G10" s="61">
        <f>'[1]cálculos teóricos'!T156</f>
        <v>22.835128135042794</v>
      </c>
      <c r="H10" s="74">
        <f>IF(B10&gt;0,100*F10/G10,-999)</f>
        <v>34.524486809272133</v>
      </c>
      <c r="I10" s="162"/>
      <c r="J10" s="79"/>
      <c r="K10" s="75"/>
      <c r="L10" s="75"/>
      <c r="M10" s="79"/>
      <c r="N10" s="79"/>
      <c r="O10" s="76"/>
      <c r="P10" s="79"/>
      <c r="Q10" s="79">
        <v>0.5</v>
      </c>
      <c r="R10" s="79"/>
      <c r="S10" s="75"/>
      <c r="T10" s="82"/>
      <c r="U10" s="82"/>
      <c r="V10" s="77"/>
      <c r="W10" s="58">
        <f t="shared" si="0"/>
        <v>0</v>
      </c>
      <c r="X10" s="68">
        <f t="shared" ref="X10:X19" si="1">SUM(P10:V10)</f>
        <v>0.5</v>
      </c>
      <c r="Y10" s="116">
        <f t="shared" ref="Y10:Y19" si="2">W10+X10</f>
        <v>0.5</v>
      </c>
      <c r="Z10" s="70">
        <f>'[1]cálculos teóricos'!I156</f>
        <v>10.634995882936208</v>
      </c>
      <c r="AA10" s="71">
        <f t="shared" ref="AA10:AA38" si="3">100*Y10/Z10</f>
        <v>4.7014592718578037</v>
      </c>
      <c r="AB10" s="3"/>
    </row>
    <row r="11" spans="1:28" ht="18" customHeight="1">
      <c r="A11" s="72">
        <v>3</v>
      </c>
      <c r="B11" s="56">
        <v>12.2</v>
      </c>
      <c r="C11" s="73">
        <f>'[1]cálculos teóricos'!K157</f>
        <v>0.95260277332976384</v>
      </c>
      <c r="D11" s="58">
        <f t="shared" ref="D11:D38" si="4">IF(B11&gt;0,B11*C11*14.25*1.022,-999)</f>
        <v>169.25341197053382</v>
      </c>
      <c r="E11" s="59">
        <f t="shared" ref="E11:E38" si="5">IF(B11&gt;0,D11*4.1868/100,-999)</f>
        <v>7.0863018523823094</v>
      </c>
      <c r="F11" s="60">
        <f t="shared" ref="F11:F38" si="6">IF(B11&gt;0,(7.86+1.25*D11)*4.1868/100,-999)</f>
        <v>9.1869597954778879</v>
      </c>
      <c r="G11" s="61">
        <f>'[1]cálculos teóricos'!T157</f>
        <v>22.756372966264053</v>
      </c>
      <c r="H11" s="74">
        <f t="shared" ref="H11:H38" si="7">IF(B11&gt;0,100*F11/G11,-999)</f>
        <v>40.370931734584431</v>
      </c>
      <c r="I11" s="162"/>
      <c r="J11" s="79"/>
      <c r="K11" s="75"/>
      <c r="L11" s="75"/>
      <c r="M11" s="79">
        <v>0.3</v>
      </c>
      <c r="N11" s="79">
        <v>0.9</v>
      </c>
      <c r="O11" s="76">
        <v>0.8</v>
      </c>
      <c r="P11" s="79"/>
      <c r="Q11" s="79">
        <v>0.7</v>
      </c>
      <c r="R11" s="79">
        <v>0.1</v>
      </c>
      <c r="S11" s="75"/>
      <c r="T11" s="82"/>
      <c r="U11" s="82"/>
      <c r="V11" s="77"/>
      <c r="W11" s="58">
        <f t="shared" si="0"/>
        <v>2</v>
      </c>
      <c r="X11" s="68">
        <f t="shared" si="1"/>
        <v>0.79999999999999993</v>
      </c>
      <c r="Y11" s="78">
        <f t="shared" si="2"/>
        <v>2.8</v>
      </c>
      <c r="Z11" s="70">
        <f>'[1]cálculos teóricos'!I157</f>
        <v>10.625873552451839</v>
      </c>
      <c r="AA11" s="71">
        <f t="shared" si="3"/>
        <v>26.350774702696526</v>
      </c>
      <c r="AB11" s="3"/>
    </row>
    <row r="12" spans="1:28" ht="18" customHeight="1">
      <c r="A12" s="72">
        <v>4</v>
      </c>
      <c r="B12" s="56">
        <v>12.6</v>
      </c>
      <c r="C12" s="73">
        <f>'[1]cálculos teóricos'!K158</f>
        <v>0.95216370032690345</v>
      </c>
      <c r="D12" s="58">
        <f t="shared" si="4"/>
        <v>174.72213422635681</v>
      </c>
      <c r="E12" s="59">
        <f t="shared" si="5"/>
        <v>7.3152663157891071</v>
      </c>
      <c r="F12" s="60">
        <f t="shared" si="6"/>
        <v>9.473165374736384</v>
      </c>
      <c r="G12" s="61">
        <f>'[1]cálculos teóricos'!T158</f>
        <v>22.681311649854528</v>
      </c>
      <c r="H12" s="74">
        <f t="shared" si="7"/>
        <v>41.766391295968731</v>
      </c>
      <c r="I12" s="162"/>
      <c r="J12" s="79"/>
      <c r="K12" s="75"/>
      <c r="L12" s="75"/>
      <c r="M12" s="79"/>
      <c r="N12" s="79">
        <v>0.1</v>
      </c>
      <c r="O12" s="76"/>
      <c r="P12" s="79">
        <v>0.8</v>
      </c>
      <c r="Q12" s="79">
        <v>1</v>
      </c>
      <c r="R12" s="79">
        <v>0.8</v>
      </c>
      <c r="S12" s="75">
        <v>0.7</v>
      </c>
      <c r="T12" s="82"/>
      <c r="U12" s="82"/>
      <c r="V12" s="77"/>
      <c r="W12" s="58">
        <f t="shared" si="0"/>
        <v>0.1</v>
      </c>
      <c r="X12" s="68">
        <f t="shared" si="1"/>
        <v>3.3</v>
      </c>
      <c r="Y12" s="78">
        <f t="shared" si="2"/>
        <v>3.4</v>
      </c>
      <c r="Z12" s="70">
        <f>'[1]cálculos teóricos'!I158</f>
        <v>10.617180669306048</v>
      </c>
      <c r="AA12" s="71">
        <f t="shared" si="3"/>
        <v>32.023567328276691</v>
      </c>
      <c r="AB12" s="3"/>
    </row>
    <row r="13" spans="1:28" ht="18" customHeight="1">
      <c r="A13" s="72">
        <v>5</v>
      </c>
      <c r="B13" s="56">
        <v>21.2</v>
      </c>
      <c r="C13" s="73">
        <f>'[1]cálculos teóricos'!K159</f>
        <v>0.95174646542982722</v>
      </c>
      <c r="D13" s="58">
        <f t="shared" si="4"/>
        <v>293.84810456489049</v>
      </c>
      <c r="E13" s="59">
        <f t="shared" si="5"/>
        <v>12.302832441922835</v>
      </c>
      <c r="F13" s="60">
        <f t="shared" si="6"/>
        <v>15.707623032403545</v>
      </c>
      <c r="G13" s="61">
        <f>'[1]cálculos teóricos'!T159</f>
        <v>22.609977337551737</v>
      </c>
      <c r="H13" s="74">
        <f t="shared" si="7"/>
        <v>69.472086583278298</v>
      </c>
      <c r="I13" s="162"/>
      <c r="J13" s="79"/>
      <c r="K13" s="75"/>
      <c r="L13" s="75">
        <v>0.1</v>
      </c>
      <c r="M13" s="79">
        <v>0.6</v>
      </c>
      <c r="N13" s="79">
        <v>1</v>
      </c>
      <c r="O13" s="76">
        <v>1</v>
      </c>
      <c r="P13" s="79">
        <v>1</v>
      </c>
      <c r="Q13" s="79">
        <v>1</v>
      </c>
      <c r="R13" s="79">
        <v>1</v>
      </c>
      <c r="S13" s="75">
        <v>1</v>
      </c>
      <c r="T13" s="82">
        <v>0.4</v>
      </c>
      <c r="U13" s="82"/>
      <c r="V13" s="77"/>
      <c r="W13" s="58">
        <f t="shared" si="0"/>
        <v>2.7</v>
      </c>
      <c r="X13" s="68">
        <f t="shared" si="1"/>
        <v>4.4000000000000004</v>
      </c>
      <c r="Y13" s="78">
        <f t="shared" si="2"/>
        <v>7.1000000000000005</v>
      </c>
      <c r="Z13" s="70">
        <f>'[1]cálculos teóricos'!I159</f>
        <v>10.608922985289027</v>
      </c>
      <c r="AA13" s="71">
        <f t="shared" si="3"/>
        <v>66.924795380693112</v>
      </c>
      <c r="AB13" s="3"/>
    </row>
    <row r="14" spans="1:28" ht="18" customHeight="1">
      <c r="A14" s="72">
        <v>6</v>
      </c>
      <c r="B14" s="56">
        <v>19.100000000000001</v>
      </c>
      <c r="C14" s="73">
        <f>'[1]cálculos teóricos'!K160</f>
        <v>0.95135137635435019</v>
      </c>
      <c r="D14" s="58">
        <f t="shared" si="4"/>
        <v>264.6306101981487</v>
      </c>
      <c r="E14" s="59">
        <f t="shared" si="5"/>
        <v>11.079554387776088</v>
      </c>
      <c r="F14" s="60">
        <f t="shared" si="6"/>
        <v>14.178525464720112</v>
      </c>
      <c r="G14" s="61">
        <f>'[1]cálculos teóricos'!T160</f>
        <v>22.542401412452758</v>
      </c>
      <c r="H14" s="74">
        <f t="shared" si="7"/>
        <v>62.897138620234507</v>
      </c>
      <c r="I14" s="162"/>
      <c r="J14" s="79"/>
      <c r="K14" s="75">
        <v>0.9</v>
      </c>
      <c r="L14" s="75">
        <v>1</v>
      </c>
      <c r="M14" s="75">
        <v>1</v>
      </c>
      <c r="N14" s="75">
        <v>1</v>
      </c>
      <c r="O14" s="76">
        <v>0.8</v>
      </c>
      <c r="P14" s="79">
        <v>0.9</v>
      </c>
      <c r="Q14" s="79">
        <v>0.9</v>
      </c>
      <c r="R14" s="75">
        <v>0.8</v>
      </c>
      <c r="S14" s="75">
        <v>0.6</v>
      </c>
      <c r="T14" s="82"/>
      <c r="U14" s="82"/>
      <c r="V14" s="77"/>
      <c r="W14" s="58">
        <f t="shared" si="0"/>
        <v>4.7</v>
      </c>
      <c r="X14" s="68">
        <f t="shared" si="1"/>
        <v>3.2</v>
      </c>
      <c r="Y14" s="78">
        <f t="shared" si="2"/>
        <v>7.9</v>
      </c>
      <c r="Z14" s="70">
        <f>'[1]cálculos teóricos'!I160</f>
        <v>10.601106019475857</v>
      </c>
      <c r="AA14" s="71">
        <f t="shared" si="3"/>
        <v>74.520526306278697</v>
      </c>
      <c r="AB14" s="3"/>
    </row>
    <row r="15" spans="1:28" ht="18" customHeight="1">
      <c r="A15" s="72">
        <v>7</v>
      </c>
      <c r="B15" s="163">
        <v>-99</v>
      </c>
      <c r="C15" s="73">
        <f>'[1]cálculos teóricos'!K161</f>
        <v>0.9509787254095502</v>
      </c>
      <c r="D15" s="58">
        <f t="shared" si="4"/>
        <v>-999</v>
      </c>
      <c r="E15" s="59">
        <f t="shared" si="5"/>
        <v>-999</v>
      </c>
      <c r="F15" s="60">
        <f t="shared" si="6"/>
        <v>-999</v>
      </c>
      <c r="G15" s="61">
        <f>'[1]cálculos teóricos'!T161</f>
        <v>22.478613467264381</v>
      </c>
      <c r="H15" s="74">
        <f t="shared" si="7"/>
        <v>-999</v>
      </c>
      <c r="I15" s="162"/>
      <c r="J15" s="79"/>
      <c r="K15" s="75">
        <v>0.5</v>
      </c>
      <c r="L15" s="75">
        <v>0.5</v>
      </c>
      <c r="M15" s="75">
        <v>0.9</v>
      </c>
      <c r="N15" s="75">
        <v>0.9</v>
      </c>
      <c r="O15" s="76">
        <v>0.5</v>
      </c>
      <c r="P15" s="79">
        <v>0.4</v>
      </c>
      <c r="Q15" s="79">
        <v>0.2</v>
      </c>
      <c r="R15" s="75"/>
      <c r="S15" s="82"/>
      <c r="T15" s="82"/>
      <c r="U15" s="82"/>
      <c r="V15" s="77"/>
      <c r="W15" s="58">
        <f t="shared" si="0"/>
        <v>3.3</v>
      </c>
      <c r="X15" s="68">
        <f t="shared" si="1"/>
        <v>0.60000000000000009</v>
      </c>
      <c r="Y15" s="78">
        <f t="shared" si="2"/>
        <v>3.9</v>
      </c>
      <c r="Z15" s="70">
        <f>'[1]cálculos teóricos'!I161</f>
        <v>10.593735045285838</v>
      </c>
      <c r="AA15" s="71">
        <f t="shared" si="3"/>
        <v>36.814211260979967</v>
      </c>
      <c r="AB15" s="3"/>
    </row>
    <row r="16" spans="1:28" ht="18" customHeight="1">
      <c r="A16" s="80">
        <v>8</v>
      </c>
      <c r="B16" s="75">
        <v>5.5</v>
      </c>
      <c r="C16" s="73">
        <f>'[1]cálculos teóricos'!K162</f>
        <v>0.95062878906497217</v>
      </c>
      <c r="D16" s="58">
        <f t="shared" si="4"/>
        <v>76.144653032512466</v>
      </c>
      <c r="E16" s="59">
        <f t="shared" si="5"/>
        <v>3.1880243331652323</v>
      </c>
      <c r="F16" s="60">
        <f t="shared" si="6"/>
        <v>4.3141128964565389</v>
      </c>
      <c r="G16" s="61">
        <f>'[1]cálculos teóricos'!T162</f>
        <v>22.418641283973457</v>
      </c>
      <c r="H16" s="74">
        <f t="shared" si="7"/>
        <v>19.243418197429268</v>
      </c>
      <c r="I16" s="164"/>
      <c r="J16" s="82"/>
      <c r="K16" s="81"/>
      <c r="L16" s="75"/>
      <c r="M16" s="75"/>
      <c r="N16" s="75"/>
      <c r="O16" s="76"/>
      <c r="P16" s="79"/>
      <c r="Q16" s="79"/>
      <c r="R16" s="81"/>
      <c r="S16" s="81"/>
      <c r="T16" s="81"/>
      <c r="U16" s="81"/>
      <c r="V16" s="77"/>
      <c r="W16" s="58">
        <f t="shared" si="0"/>
        <v>0</v>
      </c>
      <c r="X16" s="68">
        <f t="shared" si="1"/>
        <v>0</v>
      </c>
      <c r="Y16" s="78">
        <f t="shared" si="2"/>
        <v>0</v>
      </c>
      <c r="Z16" s="70">
        <f>'[1]cálculos teóricos'!I162</f>
        <v>10.586815077931689</v>
      </c>
      <c r="AA16" s="71">
        <f t="shared" si="3"/>
        <v>0</v>
      </c>
      <c r="AB16" s="3"/>
    </row>
    <row r="17" spans="1:28" ht="18" customHeight="1">
      <c r="A17" s="80">
        <v>9</v>
      </c>
      <c r="B17" s="117">
        <v>-99</v>
      </c>
      <c r="C17" s="73">
        <f>'[1]cálculos teóricos'!K163</f>
        <v>0.95030182753836612</v>
      </c>
      <c r="D17" s="58">
        <f t="shared" si="4"/>
        <v>-999</v>
      </c>
      <c r="E17" s="59">
        <f t="shared" si="5"/>
        <v>-999</v>
      </c>
      <c r="F17" s="60">
        <f t="shared" si="6"/>
        <v>-999</v>
      </c>
      <c r="G17" s="61">
        <f>'[1]cálculos teóricos'!T163</f>
        <v>22.362510814947974</v>
      </c>
      <c r="H17" s="74">
        <f t="shared" si="7"/>
        <v>-999</v>
      </c>
      <c r="I17" s="164"/>
      <c r="J17" s="82"/>
      <c r="K17" s="81"/>
      <c r="L17" s="81"/>
      <c r="M17" s="81"/>
      <c r="N17" s="81"/>
      <c r="O17" s="77"/>
      <c r="P17" s="82">
        <v>0.2</v>
      </c>
      <c r="Q17" s="82">
        <v>0.1</v>
      </c>
      <c r="R17" s="81">
        <v>0.1</v>
      </c>
      <c r="S17" s="81"/>
      <c r="T17" s="81"/>
      <c r="U17" s="81"/>
      <c r="V17" s="77"/>
      <c r="W17" s="58">
        <f t="shared" si="0"/>
        <v>0</v>
      </c>
      <c r="X17" s="68">
        <f t="shared" si="1"/>
        <v>0.4</v>
      </c>
      <c r="Y17" s="78">
        <f t="shared" si="2"/>
        <v>0.4</v>
      </c>
      <c r="Z17" s="70">
        <f>'[1]cálculos teóricos'!I163</f>
        <v>10.580350862314617</v>
      </c>
      <c r="AA17" s="71">
        <f t="shared" si="3"/>
        <v>3.7805929614747553</v>
      </c>
      <c r="AB17" s="3"/>
    </row>
    <row r="18" spans="1:28" ht="18" customHeight="1">
      <c r="A18" s="80">
        <v>10</v>
      </c>
      <c r="B18" s="75">
        <v>15.1</v>
      </c>
      <c r="C18" s="73">
        <f>'[1]cálculos teóricos'!K164</f>
        <v>0.94999808440510503</v>
      </c>
      <c r="D18" s="58">
        <f t="shared" si="4"/>
        <v>208.91298624372959</v>
      </c>
      <c r="E18" s="59">
        <f t="shared" si="5"/>
        <v>8.74676890805247</v>
      </c>
      <c r="F18" s="60">
        <f t="shared" si="6"/>
        <v>11.262543615065589</v>
      </c>
      <c r="G18" s="61">
        <f>'[1]cálculos teóricos'!T164</f>
        <v>22.310246165477785</v>
      </c>
      <c r="H18" s="74">
        <f t="shared" si="7"/>
        <v>50.481485195322115</v>
      </c>
      <c r="I18" s="164"/>
      <c r="J18" s="82"/>
      <c r="K18" s="81"/>
      <c r="L18" s="81">
        <v>0.5</v>
      </c>
      <c r="M18" s="81">
        <v>0.8</v>
      </c>
      <c r="N18" s="81">
        <v>0.9</v>
      </c>
      <c r="O18" s="77">
        <v>0.6</v>
      </c>
      <c r="P18" s="79">
        <v>0.9</v>
      </c>
      <c r="Q18" s="82">
        <v>1</v>
      </c>
      <c r="R18" s="81">
        <v>0.3</v>
      </c>
      <c r="S18" s="81">
        <v>0.2</v>
      </c>
      <c r="T18" s="81"/>
      <c r="U18" s="81"/>
      <c r="V18" s="77"/>
      <c r="W18" s="58">
        <f t="shared" si="0"/>
        <v>2.8000000000000003</v>
      </c>
      <c r="X18" s="68">
        <f t="shared" si="1"/>
        <v>2.4</v>
      </c>
      <c r="Y18" s="78">
        <f t="shared" si="2"/>
        <v>5.2</v>
      </c>
      <c r="Z18" s="70">
        <f>'[1]cálculos teóricos'!I164</f>
        <v>10.57434686142002</v>
      </c>
      <c r="AA18" s="71">
        <f t="shared" si="3"/>
        <v>49.175614041676106</v>
      </c>
      <c r="AB18" s="3"/>
    </row>
    <row r="19" spans="1:28" ht="18" customHeight="1">
      <c r="A19" s="80">
        <v>11</v>
      </c>
      <c r="B19" s="75">
        <v>8</v>
      </c>
      <c r="C19" s="73">
        <f>'[1]cálculos teóricos'!K165</f>
        <v>0.94971778623038505</v>
      </c>
      <c r="D19" s="58">
        <f t="shared" si="4"/>
        <v>110.6497198381297</v>
      </c>
      <c r="E19" s="59">
        <f t="shared" si="5"/>
        <v>4.6326824701828135</v>
      </c>
      <c r="F19" s="60">
        <f t="shared" si="6"/>
        <v>6.1199355677285192</v>
      </c>
      <c r="G19" s="61">
        <f>'[1]cálculos teóricos'!T165</f>
        <v>22.261869577761775</v>
      </c>
      <c r="H19" s="74">
        <f t="shared" si="7"/>
        <v>27.490663110532076</v>
      </c>
      <c r="I19" s="164"/>
      <c r="J19" s="82"/>
      <c r="K19" s="81"/>
      <c r="L19" s="81"/>
      <c r="M19" s="81"/>
      <c r="N19" s="81"/>
      <c r="O19" s="77"/>
      <c r="P19" s="79"/>
      <c r="Q19" s="82"/>
      <c r="R19" s="81">
        <v>0.1</v>
      </c>
      <c r="S19" s="81">
        <v>0.6</v>
      </c>
      <c r="T19" s="81"/>
      <c r="U19" s="81"/>
      <c r="V19" s="77"/>
      <c r="W19" s="58">
        <f t="shared" si="0"/>
        <v>0</v>
      </c>
      <c r="X19" s="68">
        <f t="shared" si="1"/>
        <v>0.7</v>
      </c>
      <c r="Y19" s="78">
        <f t="shared" si="2"/>
        <v>0.7</v>
      </c>
      <c r="Z19" s="70">
        <f>'[1]cálculos teóricos'!I165</f>
        <v>10.568807245267474</v>
      </c>
      <c r="AA19" s="71">
        <f t="shared" si="3"/>
        <v>6.6232639479109405</v>
      </c>
      <c r="AB19" s="3"/>
    </row>
    <row r="20" spans="1:28" ht="18" customHeight="1">
      <c r="A20" s="80">
        <v>12</v>
      </c>
      <c r="B20" s="117">
        <v>-99</v>
      </c>
      <c r="C20" s="73">
        <f>'[1]cálculos teóricos'!K166</f>
        <v>0.94946114222524891</v>
      </c>
      <c r="D20" s="58">
        <f t="shared" si="4"/>
        <v>-999</v>
      </c>
      <c r="E20" s="59">
        <f t="shared" si="5"/>
        <v>-999</v>
      </c>
      <c r="F20" s="60">
        <f t="shared" si="6"/>
        <v>-999</v>
      </c>
      <c r="G20" s="61">
        <f>'[1]cálculos teóricos'!T166</f>
        <v>22.217401416345737</v>
      </c>
      <c r="H20" s="74">
        <f t="shared" si="7"/>
        <v>-999</v>
      </c>
      <c r="I20" s="164"/>
      <c r="J20" s="82"/>
      <c r="K20" s="81">
        <v>0.1</v>
      </c>
      <c r="L20" s="81">
        <v>1</v>
      </c>
      <c r="M20" s="81">
        <v>1</v>
      </c>
      <c r="N20" s="81">
        <v>1</v>
      </c>
      <c r="O20" s="77">
        <v>1</v>
      </c>
      <c r="P20" s="79">
        <v>1</v>
      </c>
      <c r="Q20" s="82">
        <v>1</v>
      </c>
      <c r="R20" s="81">
        <v>1</v>
      </c>
      <c r="S20" s="81">
        <v>0.5</v>
      </c>
      <c r="T20" s="81"/>
      <c r="U20" s="81"/>
      <c r="V20" s="77"/>
      <c r="W20" s="58">
        <f t="shared" si="0"/>
        <v>4.0999999999999996</v>
      </c>
      <c r="X20" s="68">
        <f>SUM(P20:V20)</f>
        <v>3.5</v>
      </c>
      <c r="Y20" s="78">
        <f>W20+X20</f>
        <v>7.6</v>
      </c>
      <c r="Z20" s="70">
        <f>'[1]cálculos teóricos'!I166</f>
        <v>10.563735880466673</v>
      </c>
      <c r="AA20" s="71">
        <f t="shared" si="3"/>
        <v>71.944244782313277</v>
      </c>
      <c r="AB20" s="3"/>
    </row>
    <row r="21" spans="1:28" ht="18" customHeight="1">
      <c r="A21" s="80">
        <v>13</v>
      </c>
      <c r="B21" s="75">
        <v>23.1</v>
      </c>
      <c r="C21" s="73">
        <f>'[1]cálculos teóricos'!K167</f>
        <v>0.9492283439274154</v>
      </c>
      <c r="D21" s="58">
        <f t="shared" si="4"/>
        <v>319.33640939477772</v>
      </c>
      <c r="E21" s="59">
        <f t="shared" si="5"/>
        <v>13.369976788540553</v>
      </c>
      <c r="F21" s="60">
        <f t="shared" si="6"/>
        <v>17.041553465675694</v>
      </c>
      <c r="G21" s="61">
        <f>'[1]cálculos teóricos'!T167</f>
        <v>22.176860155014239</v>
      </c>
      <c r="H21" s="74">
        <f t="shared" si="7"/>
        <v>76.843851413395683</v>
      </c>
      <c r="I21" s="164"/>
      <c r="J21" s="82"/>
      <c r="K21" s="81">
        <v>0.5</v>
      </c>
      <c r="L21" s="81">
        <v>1</v>
      </c>
      <c r="M21" s="81">
        <v>1</v>
      </c>
      <c r="N21" s="81">
        <v>1</v>
      </c>
      <c r="O21" s="77">
        <v>1</v>
      </c>
      <c r="P21" s="79">
        <v>1</v>
      </c>
      <c r="Q21" s="82">
        <v>1</v>
      </c>
      <c r="R21" s="81">
        <v>1</v>
      </c>
      <c r="S21" s="81">
        <v>1</v>
      </c>
      <c r="T21" s="81">
        <v>0.6</v>
      </c>
      <c r="U21" s="81"/>
      <c r="V21" s="77"/>
      <c r="W21" s="58">
        <f t="shared" si="0"/>
        <v>4.5</v>
      </c>
      <c r="X21" s="68">
        <f>SUM(P21:V21)</f>
        <v>4.5999999999999996</v>
      </c>
      <c r="Y21" s="78">
        <f>W21+X21</f>
        <v>9.1</v>
      </c>
      <c r="Z21" s="70">
        <f>'[1]cálculos teóricos'!I167</f>
        <v>10.559136320429129</v>
      </c>
      <c r="AA21" s="71">
        <f t="shared" si="3"/>
        <v>86.181291005722812</v>
      </c>
      <c r="AB21" s="3"/>
    </row>
    <row r="22" spans="1:28" ht="18" customHeight="1">
      <c r="A22" s="80">
        <v>14</v>
      </c>
      <c r="B22" s="75">
        <v>14.2</v>
      </c>
      <c r="C22" s="73">
        <f>'[1]cálculos teóricos'!K168</f>
        <v>0.94901956490783757</v>
      </c>
      <c r="D22" s="58">
        <f t="shared" si="4"/>
        <v>196.25885935620116</v>
      </c>
      <c r="E22" s="59">
        <f t="shared" si="5"/>
        <v>8.2169659235254304</v>
      </c>
      <c r="F22" s="60">
        <f t="shared" si="6"/>
        <v>10.600289884406786</v>
      </c>
      <c r="G22" s="61">
        <f>'[1]cálculos teóricos'!T168</f>
        <v>22.140262365137801</v>
      </c>
      <c r="H22" s="74">
        <f t="shared" si="7"/>
        <v>47.877887396212934</v>
      </c>
      <c r="I22" s="164"/>
      <c r="J22" s="82"/>
      <c r="K22" s="81"/>
      <c r="L22" s="81"/>
      <c r="M22" s="81">
        <v>0.5</v>
      </c>
      <c r="N22" s="81">
        <v>0.5</v>
      </c>
      <c r="O22" s="77">
        <v>0.8</v>
      </c>
      <c r="P22" s="79">
        <v>0.9</v>
      </c>
      <c r="Q22" s="82">
        <v>0.7</v>
      </c>
      <c r="R22" s="81">
        <v>1</v>
      </c>
      <c r="S22" s="81">
        <v>1</v>
      </c>
      <c r="T22" s="81">
        <v>0.4</v>
      </c>
      <c r="U22" s="81"/>
      <c r="V22" s="77"/>
      <c r="W22" s="58">
        <f t="shared" si="0"/>
        <v>1.8</v>
      </c>
      <c r="X22" s="68">
        <f>SUM(P22:V22)</f>
        <v>4</v>
      </c>
      <c r="Y22" s="78">
        <f>W22+X22</f>
        <v>5.8</v>
      </c>
      <c r="Z22" s="70">
        <f>'[1]cálculos teóricos'!I168</f>
        <v>10.555011796282567</v>
      </c>
      <c r="AA22" s="71">
        <f t="shared" si="3"/>
        <v>54.950199127610041</v>
      </c>
      <c r="AB22" s="3"/>
    </row>
    <row r="23" spans="1:28" ht="18" customHeight="1">
      <c r="A23" s="80">
        <v>15</v>
      </c>
      <c r="B23" s="75">
        <v>16</v>
      </c>
      <c r="C23" s="73">
        <f>'[1]cálculos teóricos'!K169</f>
        <v>0.94883496050383698</v>
      </c>
      <c r="D23" s="58">
        <f t="shared" si="4"/>
        <v>221.09372715676207</v>
      </c>
      <c r="E23" s="59">
        <f t="shared" si="5"/>
        <v>9.2567521685993146</v>
      </c>
      <c r="F23" s="60">
        <f t="shared" si="6"/>
        <v>11.900022690749145</v>
      </c>
      <c r="G23" s="61">
        <f>'[1]cálculos teóricos'!T169</f>
        <v>22.107622705475894</v>
      </c>
      <c r="H23" s="74">
        <f t="shared" si="7"/>
        <v>53.82769033687913</v>
      </c>
      <c r="I23" s="164"/>
      <c r="J23" s="82"/>
      <c r="K23" s="81">
        <v>0.7</v>
      </c>
      <c r="L23" s="81">
        <v>0.6</v>
      </c>
      <c r="M23" s="81">
        <v>0.5</v>
      </c>
      <c r="N23" s="81">
        <v>0.7</v>
      </c>
      <c r="O23" s="77">
        <v>0.8</v>
      </c>
      <c r="P23" s="79">
        <v>0.9</v>
      </c>
      <c r="Q23" s="82">
        <v>1</v>
      </c>
      <c r="R23" s="81">
        <v>0.7</v>
      </c>
      <c r="S23" s="81">
        <v>0.2</v>
      </c>
      <c r="T23" s="81"/>
      <c r="U23" s="81"/>
      <c r="V23" s="77"/>
      <c r="W23" s="58">
        <f t="shared" si="0"/>
        <v>3.3</v>
      </c>
      <c r="X23" s="68">
        <f>SUM(P23:V23)</f>
        <v>2.8</v>
      </c>
      <c r="Y23" s="78">
        <f>W23+X23</f>
        <v>6.1</v>
      </c>
      <c r="Z23" s="70">
        <f>'[1]cálculos teóricos'!I169</f>
        <v>10.551365208532534</v>
      </c>
      <c r="AA23" s="71">
        <f t="shared" si="3"/>
        <v>57.812424074442376</v>
      </c>
      <c r="AB23" s="3"/>
    </row>
    <row r="24" spans="1:28" ht="18" customHeight="1">
      <c r="A24" s="80">
        <v>16</v>
      </c>
      <c r="B24" s="75">
        <v>22.6</v>
      </c>
      <c r="C24" s="73">
        <f>'[1]cálculos teóricos'!K170</f>
        <v>0.9486746675795964</v>
      </c>
      <c r="D24" s="58">
        <f t="shared" si="4"/>
        <v>312.24213158127725</v>
      </c>
      <c r="E24" s="59">
        <f t="shared" si="5"/>
        <v>13.072953565044916</v>
      </c>
      <c r="F24" s="60">
        <f t="shared" si="6"/>
        <v>16.670274436306144</v>
      </c>
      <c r="G24" s="61">
        <f>'[1]cálculos teóricos'!T170</f>
        <v>22.078953913434933</v>
      </c>
      <c r="H24" s="74">
        <f t="shared" si="7"/>
        <v>75.50300843810524</v>
      </c>
      <c r="I24" s="164"/>
      <c r="J24" s="82"/>
      <c r="K24" s="81">
        <v>0.7</v>
      </c>
      <c r="L24" s="81">
        <v>1</v>
      </c>
      <c r="M24" s="81">
        <v>1</v>
      </c>
      <c r="N24" s="81">
        <v>1</v>
      </c>
      <c r="O24" s="77">
        <v>1</v>
      </c>
      <c r="P24" s="82">
        <v>1</v>
      </c>
      <c r="Q24" s="81">
        <v>1</v>
      </c>
      <c r="R24" s="81">
        <v>1</v>
      </c>
      <c r="S24" s="81">
        <v>0.9</v>
      </c>
      <c r="T24" s="81">
        <v>0.5</v>
      </c>
      <c r="U24" s="81"/>
      <c r="V24" s="77"/>
      <c r="W24" s="58">
        <f t="shared" si="0"/>
        <v>4.7</v>
      </c>
      <c r="X24" s="68">
        <f>SUM(P24:V24)</f>
        <v>4.4000000000000004</v>
      </c>
      <c r="Y24" s="78">
        <f>W24+X24</f>
        <v>9.1000000000000014</v>
      </c>
      <c r="Z24" s="70">
        <f>'[1]cálculos teóricos'!I170</f>
        <v>10.54819911951218</v>
      </c>
      <c r="AA24" s="71">
        <f t="shared" si="3"/>
        <v>86.270650533764737</v>
      </c>
      <c r="AB24" s="3"/>
    </row>
    <row r="25" spans="1:28" ht="18" customHeight="1">
      <c r="A25" s="85">
        <v>17</v>
      </c>
      <c r="B25" s="75">
        <v>22.4</v>
      </c>
      <c r="C25" s="73">
        <f>'[1]cálculos teóricos'!K171</f>
        <v>0.94853880431471793</v>
      </c>
      <c r="D25" s="58">
        <f t="shared" si="4"/>
        <v>309.43460523667761</v>
      </c>
      <c r="E25" s="59">
        <f t="shared" si="5"/>
        <v>12.955408052049217</v>
      </c>
      <c r="F25" s="60">
        <f t="shared" si="6"/>
        <v>16.523342545061524</v>
      </c>
      <c r="G25" s="61">
        <f>'[1]cálculos teóricos'!T171</f>
        <v>22.054266797780116</v>
      </c>
      <c r="H25" s="74">
        <f t="shared" si="7"/>
        <v>74.921296167164755</v>
      </c>
      <c r="I25" s="164"/>
      <c r="J25" s="82"/>
      <c r="K25" s="81">
        <v>0.8</v>
      </c>
      <c r="L25" s="81">
        <v>1</v>
      </c>
      <c r="M25" s="81">
        <v>1</v>
      </c>
      <c r="N25" s="81">
        <v>1</v>
      </c>
      <c r="O25" s="77">
        <v>1</v>
      </c>
      <c r="P25" s="82">
        <v>1</v>
      </c>
      <c r="Q25" s="81">
        <v>1</v>
      </c>
      <c r="R25" s="81">
        <v>1</v>
      </c>
      <c r="S25" s="81">
        <v>1</v>
      </c>
      <c r="T25" s="81">
        <v>0.1</v>
      </c>
      <c r="U25" s="81"/>
      <c r="V25" s="77"/>
      <c r="W25" s="58">
        <f t="shared" si="0"/>
        <v>4.8</v>
      </c>
      <c r="X25" s="68">
        <f t="shared" ref="X25:X33" si="8">SUM(P25:V25)</f>
        <v>4.0999999999999996</v>
      </c>
      <c r="Y25" s="78">
        <f t="shared" ref="Y25:Y33" si="9">W25+X25</f>
        <v>8.8999999999999986</v>
      </c>
      <c r="Z25" s="70">
        <f>'[1]cálculos teóricos'!I171</f>
        <v>10.545515746657909</v>
      </c>
      <c r="AA25" s="71">
        <f t="shared" si="3"/>
        <v>84.396061926327235</v>
      </c>
      <c r="AB25" s="3"/>
    </row>
    <row r="26" spans="1:28" ht="18" customHeight="1">
      <c r="A26" s="85">
        <v>18</v>
      </c>
      <c r="B26" s="75">
        <v>4.4000000000000004</v>
      </c>
      <c r="C26" s="73">
        <f>'[1]cálculos teóricos'!K172</f>
        <v>0.94842747002147099</v>
      </c>
      <c r="D26" s="58">
        <f t="shared" si="4"/>
        <v>60.774663222493849</v>
      </c>
      <c r="E26" s="59">
        <f t="shared" si="5"/>
        <v>2.5445135997993726</v>
      </c>
      <c r="F26" s="60">
        <f t="shared" si="6"/>
        <v>3.5097244797492153</v>
      </c>
      <c r="G26" s="61">
        <f>'[1]cálculos teóricos'!T172</f>
        <v>22.033570232799129</v>
      </c>
      <c r="H26" s="74">
        <f t="shared" si="7"/>
        <v>15.928986735543413</v>
      </c>
      <c r="I26" s="164"/>
      <c r="J26" s="82"/>
      <c r="K26" s="81"/>
      <c r="L26" s="81"/>
      <c r="M26" s="81"/>
      <c r="N26" s="81"/>
      <c r="O26" s="77"/>
      <c r="P26" s="82"/>
      <c r="Q26" s="81"/>
      <c r="R26" s="81"/>
      <c r="S26" s="81"/>
      <c r="T26" s="81"/>
      <c r="U26" s="81"/>
      <c r="V26" s="77"/>
      <c r="W26" s="58">
        <f t="shared" si="0"/>
        <v>0</v>
      </c>
      <c r="X26" s="68">
        <f t="shared" si="8"/>
        <v>0</v>
      </c>
      <c r="Y26" s="78">
        <f t="shared" si="9"/>
        <v>0</v>
      </c>
      <c r="Z26" s="70">
        <f>'[1]cálculos teóricos'!I172</f>
        <v>10.543316956644638</v>
      </c>
      <c r="AA26" s="71">
        <f t="shared" si="3"/>
        <v>0</v>
      </c>
      <c r="AB26" s="3"/>
    </row>
    <row r="27" spans="1:28" ht="18" customHeight="1">
      <c r="A27" s="85">
        <v>19</v>
      </c>
      <c r="B27" s="75">
        <v>9.8000000000000007</v>
      </c>
      <c r="C27" s="73">
        <f>'[1]cálculos teóricos'!K173</f>
        <v>0.94834074499127929</v>
      </c>
      <c r="D27" s="58">
        <f t="shared" si="4"/>
        <v>135.34937230886888</v>
      </c>
      <c r="E27" s="59">
        <f t="shared" si="5"/>
        <v>5.6668075198277226</v>
      </c>
      <c r="F27" s="60">
        <f t="shared" si="6"/>
        <v>7.4125918797846531</v>
      </c>
      <c r="G27" s="61">
        <f>'[1]cálculos teóricos'!T173</f>
        <v>22.016871153915464</v>
      </c>
      <c r="H27" s="74">
        <f t="shared" si="7"/>
        <v>33.667780621345933</v>
      </c>
      <c r="I27" s="164"/>
      <c r="J27" s="82"/>
      <c r="K27" s="81"/>
      <c r="L27" s="81"/>
      <c r="M27" s="81"/>
      <c r="N27" s="81">
        <v>0.1</v>
      </c>
      <c r="O27" s="77"/>
      <c r="P27" s="82"/>
      <c r="Q27" s="81">
        <v>0.2</v>
      </c>
      <c r="R27" s="81"/>
      <c r="S27" s="81"/>
      <c r="T27" s="81"/>
      <c r="U27" s="81"/>
      <c r="V27" s="77"/>
      <c r="W27" s="58">
        <f t="shared" si="0"/>
        <v>0.1</v>
      </c>
      <c r="X27" s="68">
        <f t="shared" si="8"/>
        <v>0.2</v>
      </c>
      <c r="Y27" s="78">
        <f t="shared" si="9"/>
        <v>0.30000000000000004</v>
      </c>
      <c r="Z27" s="70">
        <f>'[1]cálculos teóricos'!I173</f>
        <v>10.541604260410397</v>
      </c>
      <c r="AA27" s="71">
        <f t="shared" si="3"/>
        <v>2.8458666497913163</v>
      </c>
      <c r="AB27" s="3"/>
    </row>
    <row r="28" spans="1:28" ht="18" customHeight="1">
      <c r="A28" s="85">
        <v>20</v>
      </c>
      <c r="B28" s="75">
        <v>12.4</v>
      </c>
      <c r="C28" s="73">
        <f>'[1]cálculos teóricos'!K174</f>
        <v>0.94827869037091239</v>
      </c>
      <c r="D28" s="58">
        <f t="shared" si="4"/>
        <v>171.2471831694881</v>
      </c>
      <c r="E28" s="59">
        <f t="shared" si="5"/>
        <v>7.1697770649401278</v>
      </c>
      <c r="F28" s="60">
        <f t="shared" si="6"/>
        <v>9.29130381117516</v>
      </c>
      <c r="G28" s="61">
        <f>'[1]cálculos teóricos'!T174</f>
        <v>22.004174554749007</v>
      </c>
      <c r="H28" s="74">
        <f t="shared" si="7"/>
        <v>42.225186807427335</v>
      </c>
      <c r="I28" s="164"/>
      <c r="J28" s="82"/>
      <c r="K28" s="81"/>
      <c r="L28" s="81"/>
      <c r="M28" s="81"/>
      <c r="N28" s="81"/>
      <c r="O28" s="77">
        <v>0.5</v>
      </c>
      <c r="P28" s="82">
        <v>0.1</v>
      </c>
      <c r="Q28" s="81">
        <v>0.3</v>
      </c>
      <c r="R28" s="81">
        <v>0.7</v>
      </c>
      <c r="S28" s="81">
        <v>0.2</v>
      </c>
      <c r="T28" s="81">
        <v>0.2</v>
      </c>
      <c r="U28" s="81"/>
      <c r="V28" s="77"/>
      <c r="W28" s="58">
        <f t="shared" si="0"/>
        <v>0.5</v>
      </c>
      <c r="X28" s="68">
        <f t="shared" si="8"/>
        <v>1.5</v>
      </c>
      <c r="Y28" s="78">
        <f t="shared" si="9"/>
        <v>2</v>
      </c>
      <c r="Z28" s="70">
        <f>'[1]cálculos teóricos'!I174</f>
        <v>10.540378809095687</v>
      </c>
      <c r="AA28" s="71">
        <f t="shared" si="3"/>
        <v>18.97465011669339</v>
      </c>
      <c r="AB28" s="3"/>
    </row>
    <row r="29" spans="1:28" ht="18" customHeight="1">
      <c r="A29" s="85">
        <v>21</v>
      </c>
      <c r="B29" s="75">
        <v>20.3</v>
      </c>
      <c r="C29" s="73">
        <f>'[1]cálculos teóricos'!K175</f>
        <v>0.94824134806875726</v>
      </c>
      <c r="D29" s="58">
        <f t="shared" si="4"/>
        <v>280.33717131376676</v>
      </c>
      <c r="E29" s="59">
        <f t="shared" si="5"/>
        <v>11.737156688564788</v>
      </c>
      <c r="F29" s="60">
        <f t="shared" si="6"/>
        <v>15.000528340705982</v>
      </c>
      <c r="G29" s="61">
        <f>'[1]cálculos teóricos'!T175</f>
        <v>21.995483485621605</v>
      </c>
      <c r="H29" s="74">
        <f t="shared" si="7"/>
        <v>68.198220559742609</v>
      </c>
      <c r="I29" s="164"/>
      <c r="J29" s="82"/>
      <c r="K29" s="81">
        <v>0.1</v>
      </c>
      <c r="L29" s="81">
        <v>1</v>
      </c>
      <c r="M29" s="81">
        <v>1</v>
      </c>
      <c r="N29" s="81">
        <v>1</v>
      </c>
      <c r="O29" s="77">
        <v>1</v>
      </c>
      <c r="P29" s="82">
        <v>1</v>
      </c>
      <c r="Q29" s="81">
        <v>1</v>
      </c>
      <c r="R29" s="81">
        <v>0.9</v>
      </c>
      <c r="S29" s="81">
        <v>1</v>
      </c>
      <c r="T29" s="81">
        <v>0.4</v>
      </c>
      <c r="U29" s="81"/>
      <c r="V29" s="77"/>
      <c r="W29" s="58">
        <f t="shared" si="0"/>
        <v>4.0999999999999996</v>
      </c>
      <c r="X29" s="68">
        <f t="shared" si="8"/>
        <v>4.3</v>
      </c>
      <c r="Y29" s="78">
        <f t="shared" si="9"/>
        <v>8.3999999999999986</v>
      </c>
      <c r="Z29" s="70">
        <f>'[1]cálculos teóricos'!I175</f>
        <v>10.539641390918483</v>
      </c>
      <c r="AA29" s="71">
        <f t="shared" si="3"/>
        <v>79.699106339973639</v>
      </c>
      <c r="AB29" s="3"/>
    </row>
    <row r="30" spans="1:28" ht="18" customHeight="1">
      <c r="A30" s="85">
        <v>22</v>
      </c>
      <c r="B30" s="75">
        <v>21.9</v>
      </c>
      <c r="C30" s="73">
        <f>'[1]cálculos teóricos'!K176</f>
        <v>0.94822874069146967</v>
      </c>
      <c r="D30" s="58">
        <f t="shared" si="4"/>
        <v>302.42869090481872</v>
      </c>
      <c r="E30" s="59">
        <f t="shared" si="5"/>
        <v>12.662084430802949</v>
      </c>
      <c r="F30" s="60">
        <f t="shared" si="6"/>
        <v>16.156688018503687</v>
      </c>
      <c r="G30" s="61">
        <f>'[1]cálculos teóricos'!T176</f>
        <v>21.990799053505</v>
      </c>
      <c r="H30" s="74">
        <f t="shared" si="7"/>
        <v>73.470218063443014</v>
      </c>
      <c r="I30" s="164"/>
      <c r="J30" s="82"/>
      <c r="K30" s="81">
        <v>1</v>
      </c>
      <c r="L30" s="81">
        <v>1</v>
      </c>
      <c r="M30" s="81">
        <v>1</v>
      </c>
      <c r="N30" s="81">
        <v>1</v>
      </c>
      <c r="O30" s="77">
        <v>1</v>
      </c>
      <c r="P30" s="82">
        <v>1</v>
      </c>
      <c r="Q30" s="81">
        <v>1</v>
      </c>
      <c r="R30" s="81">
        <v>1</v>
      </c>
      <c r="S30" s="81">
        <v>1</v>
      </c>
      <c r="T30" s="81">
        <v>0.4</v>
      </c>
      <c r="U30" s="81"/>
      <c r="V30" s="77"/>
      <c r="W30" s="58">
        <f t="shared" si="0"/>
        <v>5</v>
      </c>
      <c r="X30" s="68">
        <f t="shared" si="8"/>
        <v>4.4000000000000004</v>
      </c>
      <c r="Y30" s="78">
        <f t="shared" si="9"/>
        <v>9.4</v>
      </c>
      <c r="Z30" s="70">
        <f>'[1]cálculos teóricos'!I176</f>
        <v>10.539392429001008</v>
      </c>
      <c r="AA30" s="71">
        <f t="shared" si="3"/>
        <v>89.189201970829288</v>
      </c>
      <c r="AB30" s="3"/>
    </row>
    <row r="31" spans="1:28" ht="18" customHeight="1">
      <c r="A31" s="85">
        <v>23</v>
      </c>
      <c r="B31" s="75">
        <v>21.9</v>
      </c>
      <c r="C31" s="73">
        <f>'[1]cálculos teóricos'!K177</f>
        <v>0.9482408715112014</v>
      </c>
      <c r="D31" s="58">
        <f t="shared" si="4"/>
        <v>302.43255991634902</v>
      </c>
      <c r="E31" s="59">
        <f t="shared" si="5"/>
        <v>12.6622464185777</v>
      </c>
      <c r="F31" s="60">
        <f t="shared" si="6"/>
        <v>16.156890503222126</v>
      </c>
      <c r="G31" s="61">
        <f>'[1]cálculos teóricos'!T177</f>
        <v>21.990120423409326</v>
      </c>
      <c r="H31" s="74">
        <f t="shared" si="7"/>
        <v>73.473406203007855</v>
      </c>
      <c r="I31" s="164"/>
      <c r="J31" s="82"/>
      <c r="K31" s="81">
        <v>1</v>
      </c>
      <c r="L31" s="81">
        <v>1</v>
      </c>
      <c r="M31" s="81">
        <v>1</v>
      </c>
      <c r="N31" s="81">
        <v>1</v>
      </c>
      <c r="O31" s="77">
        <v>1</v>
      </c>
      <c r="P31" s="82">
        <v>1</v>
      </c>
      <c r="Q31" s="81">
        <v>1</v>
      </c>
      <c r="R31" s="81">
        <v>1</v>
      </c>
      <c r="S31" s="81">
        <v>1</v>
      </c>
      <c r="T31" s="81">
        <v>0.5</v>
      </c>
      <c r="U31" s="81"/>
      <c r="V31" s="77"/>
      <c r="W31" s="58">
        <f t="shared" si="0"/>
        <v>5</v>
      </c>
      <c r="X31" s="68">
        <f t="shared" si="8"/>
        <v>4.5</v>
      </c>
      <c r="Y31" s="78">
        <f t="shared" si="9"/>
        <v>9.5</v>
      </c>
      <c r="Z31" s="70">
        <f>'[1]cálculos teóricos'!I177</f>
        <v>10.539631980159754</v>
      </c>
      <c r="AA31" s="71">
        <f t="shared" si="3"/>
        <v>90.135974556637265</v>
      </c>
      <c r="AB31" s="3"/>
    </row>
    <row r="32" spans="1:28" ht="18" customHeight="1">
      <c r="A32" s="85">
        <v>24</v>
      </c>
      <c r="B32" s="75">
        <v>15.3</v>
      </c>
      <c r="C32" s="73">
        <f>'[1]cálculos teóricos'!K178</f>
        <v>0.94827772446352887</v>
      </c>
      <c r="D32" s="58">
        <f t="shared" si="4"/>
        <v>211.29671239543643</v>
      </c>
      <c r="E32" s="59">
        <f t="shared" si="5"/>
        <v>8.8465707545721326</v>
      </c>
      <c r="F32" s="60">
        <f t="shared" si="6"/>
        <v>11.387295923215165</v>
      </c>
      <c r="G32" s="61">
        <f>'[1]cálculos teóricos'!T178</f>
        <v>21.993444821210002</v>
      </c>
      <c r="H32" s="74">
        <f t="shared" si="7"/>
        <v>51.775863289199258</v>
      </c>
      <c r="I32" s="164"/>
      <c r="J32" s="82"/>
      <c r="K32" s="81">
        <v>0.3</v>
      </c>
      <c r="L32" s="81">
        <v>1</v>
      </c>
      <c r="M32" s="81">
        <v>1</v>
      </c>
      <c r="N32" s="81">
        <v>1</v>
      </c>
      <c r="O32" s="77">
        <v>1</v>
      </c>
      <c r="P32" s="82">
        <v>1</v>
      </c>
      <c r="Q32" s="81">
        <v>0.2</v>
      </c>
      <c r="R32" s="81"/>
      <c r="S32" s="81"/>
      <c r="T32" s="81"/>
      <c r="U32" s="81"/>
      <c r="V32" s="77"/>
      <c r="W32" s="58">
        <f t="shared" si="0"/>
        <v>4.3</v>
      </c>
      <c r="X32" s="68">
        <f t="shared" si="8"/>
        <v>1.2</v>
      </c>
      <c r="Y32" s="78">
        <f t="shared" si="9"/>
        <v>5.5</v>
      </c>
      <c r="Z32" s="70">
        <f>'[1]cálculos teóricos'!I178</f>
        <v>10.540359734665067</v>
      </c>
      <c r="AA32" s="71">
        <f t="shared" si="3"/>
        <v>52.180382249304408</v>
      </c>
      <c r="AB32" s="3"/>
    </row>
    <row r="33" spans="1:28" ht="18" customHeight="1">
      <c r="A33" s="85">
        <v>25</v>
      </c>
      <c r="B33" s="75">
        <v>19.8</v>
      </c>
      <c r="C33" s="73">
        <f>'[1]cálculos teóricos'!K179</f>
        <v>0.94833926417610326</v>
      </c>
      <c r="D33" s="58">
        <f t="shared" si="4"/>
        <v>273.46054970180791</v>
      </c>
      <c r="E33" s="59">
        <f t="shared" si="5"/>
        <v>11.449246294915293</v>
      </c>
      <c r="F33" s="60">
        <f t="shared" si="6"/>
        <v>14.640640348644117</v>
      </c>
      <c r="G33" s="61">
        <f>'[1]cálculos teóricos'!T179</f>
        <v>22.000767537911535</v>
      </c>
      <c r="H33" s="74">
        <f t="shared" si="7"/>
        <v>66.546043556959958</v>
      </c>
      <c r="I33" s="164"/>
      <c r="J33" s="82"/>
      <c r="K33" s="81">
        <v>0.4</v>
      </c>
      <c r="L33" s="81">
        <v>1</v>
      </c>
      <c r="M33" s="81">
        <v>1</v>
      </c>
      <c r="N33" s="81">
        <v>1</v>
      </c>
      <c r="O33" s="77">
        <v>1</v>
      </c>
      <c r="P33" s="82">
        <v>1</v>
      </c>
      <c r="Q33" s="81">
        <v>1</v>
      </c>
      <c r="R33" s="81">
        <v>1</v>
      </c>
      <c r="S33" s="81">
        <v>0.7</v>
      </c>
      <c r="T33" s="81"/>
      <c r="U33" s="81"/>
      <c r="V33" s="77"/>
      <c r="W33" s="58">
        <f t="shared" si="0"/>
        <v>4.4000000000000004</v>
      </c>
      <c r="X33" s="68">
        <f t="shared" si="8"/>
        <v>3.7</v>
      </c>
      <c r="Y33" s="78">
        <f t="shared" si="9"/>
        <v>8.1000000000000014</v>
      </c>
      <c r="Z33" s="70">
        <f>'[1]cálculos teóricos'!I179</f>
        <v>10.541575016971914</v>
      </c>
      <c r="AA33" s="71">
        <f t="shared" si="3"/>
        <v>76.838612702172284</v>
      </c>
      <c r="AB33" s="3"/>
    </row>
    <row r="34" spans="1:28" ht="18" customHeight="1">
      <c r="A34" s="85">
        <v>26</v>
      </c>
      <c r="B34" s="75">
        <v>12.6</v>
      </c>
      <c r="C34" s="73">
        <f>'[1]cálculos teóricos'!K180</f>
        <v>0.94842543602796126</v>
      </c>
      <c r="D34" s="58">
        <f t="shared" si="4"/>
        <v>174.03616235367451</v>
      </c>
      <c r="E34" s="59">
        <f t="shared" si="5"/>
        <v>7.2865460454236439</v>
      </c>
      <c r="F34" s="60">
        <f t="shared" si="6"/>
        <v>9.4372650367795572</v>
      </c>
      <c r="G34" s="61">
        <f>'[1]cálculos teóricos'!T180</f>
        <v>22.012081935346771</v>
      </c>
      <c r="H34" s="74">
        <f t="shared" si="7"/>
        <v>42.873114249249163</v>
      </c>
      <c r="I34" s="164"/>
      <c r="J34" s="82"/>
      <c r="K34" s="81"/>
      <c r="L34" s="81">
        <v>0.1</v>
      </c>
      <c r="M34" s="81">
        <v>0.4</v>
      </c>
      <c r="N34" s="81">
        <v>0.4</v>
      </c>
      <c r="O34" s="77">
        <v>0.5</v>
      </c>
      <c r="P34" s="82">
        <v>0.2</v>
      </c>
      <c r="Q34" s="81">
        <v>0.6</v>
      </c>
      <c r="R34" s="81">
        <v>0.1</v>
      </c>
      <c r="S34" s="81"/>
      <c r="T34" s="81"/>
      <c r="U34" s="81"/>
      <c r="V34" s="77"/>
      <c r="W34" s="58">
        <f t="shared" si="0"/>
        <v>1.4</v>
      </c>
      <c r="X34" s="68">
        <f>SUM(P34:V34)</f>
        <v>0.9</v>
      </c>
      <c r="Y34" s="78">
        <f>W34+X34</f>
        <v>2.2999999999999998</v>
      </c>
      <c r="Z34" s="70">
        <f>'[1]cálculos teóricos'!I180</f>
        <v>10.543276787418177</v>
      </c>
      <c r="AA34" s="71">
        <f t="shared" si="3"/>
        <v>21.814849845777598</v>
      </c>
      <c r="AB34" s="3"/>
    </row>
    <row r="35" spans="1:28" ht="18" customHeight="1">
      <c r="A35" s="85">
        <v>27</v>
      </c>
      <c r="B35" s="75">
        <v>11</v>
      </c>
      <c r="C35" s="73">
        <f>'[1]cálculos teóricos'!K181</f>
        <v>0.94853616623934689</v>
      </c>
      <c r="D35" s="58">
        <f t="shared" si="4"/>
        <v>151.95407102729402</v>
      </c>
      <c r="E35" s="59">
        <f t="shared" si="5"/>
        <v>6.3620130457707456</v>
      </c>
      <c r="F35" s="60">
        <f t="shared" si="6"/>
        <v>8.2815987872134329</v>
      </c>
      <c r="G35" s="61">
        <f>'[1]cálculos teóricos'!T181</f>
        <v>22.027379453310431</v>
      </c>
      <c r="H35" s="74">
        <f t="shared" si="7"/>
        <v>37.596840807901074</v>
      </c>
      <c r="I35" s="164"/>
      <c r="J35" s="82"/>
      <c r="K35" s="81"/>
      <c r="L35" s="81"/>
      <c r="M35" s="81"/>
      <c r="N35" s="81"/>
      <c r="O35" s="77">
        <v>0.2</v>
      </c>
      <c r="P35" s="82">
        <v>0.1</v>
      </c>
      <c r="Q35" s="81">
        <v>0.2</v>
      </c>
      <c r="R35" s="81">
        <v>0.4</v>
      </c>
      <c r="S35" s="81">
        <v>0.2</v>
      </c>
      <c r="T35" s="81"/>
      <c r="U35" s="81"/>
      <c r="V35" s="77"/>
      <c r="W35" s="58">
        <f t="shared" si="0"/>
        <v>0.2</v>
      </c>
      <c r="X35" s="68">
        <f>SUM(P35:V35)</f>
        <v>0.90000000000000013</v>
      </c>
      <c r="Y35" s="78">
        <f>W35+X35</f>
        <v>1.1000000000000001</v>
      </c>
      <c r="Z35" s="70">
        <f>'[1]cálculos teóricos'!I181</f>
        <v>10.545463644882119</v>
      </c>
      <c r="AA35" s="71">
        <f t="shared" si="3"/>
        <v>10.431025482069227</v>
      </c>
      <c r="AB35" s="3"/>
    </row>
    <row r="36" spans="1:28" ht="18" customHeight="1">
      <c r="A36" s="85">
        <v>28</v>
      </c>
      <c r="B36" s="117">
        <v>-99</v>
      </c>
      <c r="C36" s="73">
        <f>'[1]cálculos teóricos'!K182</f>
        <v>0.94867136199179813</v>
      </c>
      <c r="D36" s="58">
        <f t="shared" si="4"/>
        <v>-999</v>
      </c>
      <c r="E36" s="59">
        <f t="shared" si="5"/>
        <v>-999</v>
      </c>
      <c r="F36" s="60">
        <f t="shared" si="6"/>
        <v>-999</v>
      </c>
      <c r="G36" s="61">
        <f>'[1]cálculos teóricos'!T182</f>
        <v>22.046649618125883</v>
      </c>
      <c r="H36" s="74">
        <f t="shared" si="7"/>
        <v>-999</v>
      </c>
      <c r="I36" s="164"/>
      <c r="J36" s="82"/>
      <c r="K36" s="81"/>
      <c r="L36" s="81">
        <v>0.8</v>
      </c>
      <c r="M36" s="81">
        <v>1</v>
      </c>
      <c r="N36" s="81">
        <v>1</v>
      </c>
      <c r="O36" s="77">
        <v>1</v>
      </c>
      <c r="P36" s="82">
        <v>1</v>
      </c>
      <c r="Q36" s="81">
        <v>1</v>
      </c>
      <c r="R36" s="81">
        <v>1</v>
      </c>
      <c r="S36" s="81">
        <v>1</v>
      </c>
      <c r="T36" s="81">
        <v>0.1</v>
      </c>
      <c r="U36" s="81"/>
      <c r="V36" s="77"/>
      <c r="W36" s="58">
        <f t="shared" si="0"/>
        <v>3.8</v>
      </c>
      <c r="X36" s="68">
        <f>SUM(P36:V36)</f>
        <v>4.0999999999999996</v>
      </c>
      <c r="Y36" s="78">
        <f>W36+X36</f>
        <v>7.8999999999999995</v>
      </c>
      <c r="Z36" s="70">
        <f>'[1]cálculos teóricos'!I182</f>
        <v>10.548133830385645</v>
      </c>
      <c r="AA36" s="71">
        <f t="shared" si="3"/>
        <v>74.894764581415743</v>
      </c>
      <c r="AB36" s="3"/>
    </row>
    <row r="37" spans="1:28" ht="18" customHeight="1">
      <c r="A37" s="85">
        <v>29</v>
      </c>
      <c r="B37" s="75">
        <v>18.8</v>
      </c>
      <c r="C37" s="73">
        <f>'[1]cálculos teóricos'!K183</f>
        <v>0.94883091157817412</v>
      </c>
      <c r="D37" s="58">
        <f t="shared" si="4"/>
        <v>259.78402083845231</v>
      </c>
      <c r="E37" s="59">
        <f t="shared" si="5"/>
        <v>10.87663738446432</v>
      </c>
      <c r="F37" s="60">
        <f t="shared" si="6"/>
        <v>13.924879210580402</v>
      </c>
      <c r="G37" s="61">
        <f>'[1]cálculos teóricos'!T183</f>
        <v>22.069880052644166</v>
      </c>
      <c r="H37" s="74">
        <f t="shared" si="7"/>
        <v>63.094494294327077</v>
      </c>
      <c r="I37" s="164"/>
      <c r="J37" s="82"/>
      <c r="K37" s="81">
        <v>0.6</v>
      </c>
      <c r="L37" s="81">
        <v>1</v>
      </c>
      <c r="M37" s="81">
        <v>1</v>
      </c>
      <c r="N37" s="81">
        <v>1</v>
      </c>
      <c r="O37" s="77">
        <v>1</v>
      </c>
      <c r="P37" s="82">
        <v>1</v>
      </c>
      <c r="Q37" s="81">
        <v>0.9</v>
      </c>
      <c r="R37" s="81">
        <v>1</v>
      </c>
      <c r="S37" s="81">
        <v>1</v>
      </c>
      <c r="T37" s="81">
        <v>0.2</v>
      </c>
      <c r="U37" s="81"/>
      <c r="V37" s="77"/>
      <c r="W37" s="58">
        <f t="shared" si="0"/>
        <v>4.5999999999999996</v>
      </c>
      <c r="X37" s="68">
        <f>SUM(P37:V37)</f>
        <v>4.0999999999999996</v>
      </c>
      <c r="Y37" s="78">
        <f>W37+X37</f>
        <v>8.6999999999999993</v>
      </c>
      <c r="Z37" s="70">
        <f>'[1]cálculos teóricos'!I183</f>
        <v>10.551285231625181</v>
      </c>
      <c r="AA37" s="71">
        <f t="shared" si="3"/>
        <v>82.454410140706287</v>
      </c>
      <c r="AB37" s="3"/>
    </row>
    <row r="38" spans="1:28" ht="18" customHeight="1">
      <c r="A38" s="80">
        <v>30</v>
      </c>
      <c r="B38" s="75">
        <v>22.6</v>
      </c>
      <c r="C38" s="73">
        <f>'[1]cálculos teóricos'!K184</f>
        <v>0.94901468458220362</v>
      </c>
      <c r="D38" s="58">
        <f t="shared" si="4"/>
        <v>312.35404311143208</v>
      </c>
      <c r="E38" s="59">
        <f t="shared" si="5"/>
        <v>13.077639076989437</v>
      </c>
      <c r="F38" s="60">
        <f t="shared" si="6"/>
        <v>16.676131326236799</v>
      </c>
      <c r="G38" s="61">
        <f>'[1]cálculos teóricos'!T184</f>
        <v>22.097056487674202</v>
      </c>
      <c r="H38" s="74">
        <f t="shared" si="7"/>
        <v>75.467659394086226</v>
      </c>
      <c r="I38" s="164"/>
      <c r="J38" s="82"/>
      <c r="K38" s="81"/>
      <c r="L38" s="81">
        <v>0.9</v>
      </c>
      <c r="M38" s="81">
        <v>1</v>
      </c>
      <c r="N38" s="81">
        <v>1</v>
      </c>
      <c r="O38" s="77">
        <v>1</v>
      </c>
      <c r="P38" s="82">
        <v>1</v>
      </c>
      <c r="Q38" s="81">
        <v>1</v>
      </c>
      <c r="R38" s="81">
        <v>1</v>
      </c>
      <c r="S38" s="81">
        <v>1</v>
      </c>
      <c r="T38" s="81">
        <v>0.5</v>
      </c>
      <c r="U38" s="81"/>
      <c r="V38" s="77"/>
      <c r="W38" s="58">
        <f t="shared" si="0"/>
        <v>3.9</v>
      </c>
      <c r="X38" s="68">
        <f>SUM(P38:V38)</f>
        <v>4.5</v>
      </c>
      <c r="Y38" s="78">
        <f>W38+X38</f>
        <v>8.4</v>
      </c>
      <c r="Z38" s="70">
        <f>'[1]cálculos teóricos'!I184</f>
        <v>10.554915388407521</v>
      </c>
      <c r="AA38" s="71">
        <f t="shared" si="3"/>
        <v>79.583773918507504</v>
      </c>
      <c r="AB38" s="3"/>
    </row>
    <row r="39" spans="1:28" ht="18" customHeight="1" thickBot="1">
      <c r="A39" s="86"/>
      <c r="B39" s="87"/>
      <c r="C39" s="88"/>
      <c r="D39" s="89"/>
      <c r="E39" s="119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95"/>
      <c r="W39" s="120"/>
      <c r="X39" s="121"/>
      <c r="Y39" s="150"/>
      <c r="Z39" s="165"/>
      <c r="AA39" s="124"/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03">
        <f>SUM(I9:I39)</f>
        <v>0</v>
      </c>
      <c r="J40" s="103">
        <f t="shared" ref="J40:AA40" si="10">SUM(J9:J39)</f>
        <v>0</v>
      </c>
      <c r="K40" s="103">
        <f t="shared" si="10"/>
        <v>7.6</v>
      </c>
      <c r="L40" s="103">
        <f t="shared" si="10"/>
        <v>14.5</v>
      </c>
      <c r="M40" s="103">
        <f t="shared" si="10"/>
        <v>17</v>
      </c>
      <c r="N40" s="103">
        <f t="shared" si="10"/>
        <v>18.899999999999999</v>
      </c>
      <c r="O40" s="103">
        <f t="shared" si="10"/>
        <v>19</v>
      </c>
      <c r="P40" s="103">
        <f t="shared" si="10"/>
        <v>18.399999999999999</v>
      </c>
      <c r="Q40" s="103">
        <f t="shared" si="10"/>
        <v>20.2</v>
      </c>
      <c r="R40" s="103">
        <f t="shared" si="10"/>
        <v>17</v>
      </c>
      <c r="S40" s="103">
        <f t="shared" si="10"/>
        <v>14.799999999999999</v>
      </c>
      <c r="T40" s="103">
        <f t="shared" si="10"/>
        <v>4.3000000000000007</v>
      </c>
      <c r="U40" s="103">
        <f t="shared" si="10"/>
        <v>0</v>
      </c>
      <c r="V40" s="103">
        <f t="shared" si="10"/>
        <v>0</v>
      </c>
      <c r="W40" s="103">
        <f t="shared" si="10"/>
        <v>77</v>
      </c>
      <c r="X40" s="103">
        <f t="shared" si="10"/>
        <v>74.699999999999989</v>
      </c>
      <c r="Y40" s="103">
        <f t="shared" si="10"/>
        <v>151.69999999999999</v>
      </c>
      <c r="Z40" s="103">
        <f t="shared" si="10"/>
        <v>317.02861542367316</v>
      </c>
      <c r="AA40" s="103">
        <f t="shared" si="10"/>
        <v>1436.5434731247612</v>
      </c>
      <c r="AB40" s="100"/>
    </row>
    <row r="41" spans="1:28" s="105" customFormat="1" ht="15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 t="s">
        <v>50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 t="s">
        <v>51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 t="s">
        <v>52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 t="s">
        <v>53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 ht="15">
      <c r="A50" s="3"/>
      <c r="B50" s="100" t="s">
        <v>54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0" t="s">
        <v>55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A54" s="3"/>
      <c r="B54" s="100" t="s">
        <v>56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scale="50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79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166"/>
      <c r="F2" s="166"/>
      <c r="G2" s="166"/>
      <c r="H2" s="3"/>
      <c r="I2" s="3"/>
      <c r="J2" s="3"/>
      <c r="K2" s="3"/>
      <c r="L2" s="3"/>
      <c r="M2" s="3"/>
      <c r="N2" s="3"/>
      <c r="O2" s="3"/>
      <c r="P2" s="3"/>
      <c r="Q2" s="3"/>
      <c r="R2" s="166"/>
      <c r="S2" s="166"/>
      <c r="T2" s="3"/>
      <c r="U2" s="3"/>
      <c r="V2" s="8" t="s">
        <v>80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77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81</v>
      </c>
      <c r="W3" s="3"/>
      <c r="X3" s="143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52" t="s">
        <v>38</v>
      </c>
      <c r="O8" s="167" t="s">
        <v>39</v>
      </c>
      <c r="P8" s="16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158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56">
        <v>20.2</v>
      </c>
      <c r="C9" s="73">
        <f>'[1]cálculos teóricos'!K185</f>
        <v>0.94922253208705598</v>
      </c>
      <c r="D9" s="58">
        <f>IF(B9&gt;0,B9*C9*14.25*1.022,-999)</f>
        <v>279.24484739020676</v>
      </c>
      <c r="E9" s="59">
        <f>IF(B9&gt;0,D9*4.1868/100,-999)</f>
        <v>11.691423270533175</v>
      </c>
      <c r="F9" s="60">
        <f>IF(B9&gt;0,(7.86+1.25*D9)*4.1868/100,-999)</f>
        <v>14.943361568166472</v>
      </c>
      <c r="G9" s="61">
        <f>'[1]cálculos teóricos'!T185</f>
        <v>22.12816277484286</v>
      </c>
      <c r="H9" s="62">
        <f>IF(B9&gt;0,100*F9/G9,-999)</f>
        <v>67.530963687393566</v>
      </c>
      <c r="I9" s="159"/>
      <c r="J9" s="63"/>
      <c r="K9" s="160"/>
      <c r="L9" s="160"/>
      <c r="M9" s="160">
        <v>1</v>
      </c>
      <c r="N9" s="169">
        <v>1</v>
      </c>
      <c r="O9" s="170">
        <v>1</v>
      </c>
      <c r="P9" s="171">
        <v>1</v>
      </c>
      <c r="Q9" s="160">
        <v>1</v>
      </c>
      <c r="R9" s="160">
        <v>1</v>
      </c>
      <c r="S9" s="160">
        <v>1</v>
      </c>
      <c r="T9" s="160">
        <v>0.3</v>
      </c>
      <c r="U9" s="63"/>
      <c r="V9" s="64"/>
      <c r="W9" s="58">
        <f t="shared" ref="W9:W40" si="0">SUM(I9:O9)</f>
        <v>3</v>
      </c>
      <c r="X9" s="68">
        <f>SUM(P9:V9)</f>
        <v>4.3</v>
      </c>
      <c r="Y9" s="145">
        <f>W9+X9</f>
        <v>7.3</v>
      </c>
      <c r="Z9" s="70">
        <f>'[1]cálculos teóricos'!I185</f>
        <v>10.559021498963354</v>
      </c>
      <c r="AA9" s="71">
        <f>100*Y9/Z9</f>
        <v>69.135194020740343</v>
      </c>
      <c r="AB9" s="3"/>
    </row>
    <row r="10" spans="1:28" ht="18" customHeight="1">
      <c r="A10" s="109">
        <v>2</v>
      </c>
      <c r="B10" s="56">
        <v>23</v>
      </c>
      <c r="C10" s="73">
        <f>'[1]cálculos teóricos'!K186</f>
        <v>0.94945428691235023</v>
      </c>
      <c r="D10" s="58">
        <f>IF(B10&gt;0,B10*C10*14.25*1.022,-999)</f>
        <v>318.02968267130427</v>
      </c>
      <c r="E10" s="59">
        <f>IF(B10&gt;0,D10*4.1868/100,-999)</f>
        <v>13.315266754082167</v>
      </c>
      <c r="F10" s="60">
        <f>IF(B10&gt;0,(7.86+1.25*D10)*4.1868/100,-999)</f>
        <v>16.973165922602711</v>
      </c>
      <c r="G10" s="61">
        <f>'[1]cálculos teóricos'!T186</f>
        <v>22.16318090088307</v>
      </c>
      <c r="H10" s="74">
        <f>IF(B10&gt;0,100*F10/G10,-999)</f>
        <v>76.582716165649458</v>
      </c>
      <c r="I10" s="162"/>
      <c r="J10" s="79"/>
      <c r="K10" s="75">
        <v>0.7</v>
      </c>
      <c r="L10" s="75">
        <v>1</v>
      </c>
      <c r="M10" s="79">
        <v>1</v>
      </c>
      <c r="N10" s="75">
        <v>1</v>
      </c>
      <c r="O10" s="172">
        <v>1</v>
      </c>
      <c r="P10" s="173">
        <v>1</v>
      </c>
      <c r="Q10" s="79">
        <v>1</v>
      </c>
      <c r="R10" s="79">
        <v>1</v>
      </c>
      <c r="S10" s="79">
        <v>1</v>
      </c>
      <c r="T10" s="79">
        <v>0.4</v>
      </c>
      <c r="U10" s="82"/>
      <c r="V10" s="77"/>
      <c r="W10" s="58">
        <f t="shared" si="0"/>
        <v>4.7</v>
      </c>
      <c r="X10" s="68">
        <f>SUM(P10:V10)</f>
        <v>4.4000000000000004</v>
      </c>
      <c r="Y10" s="78">
        <f>W10+X10</f>
        <v>9.1000000000000014</v>
      </c>
      <c r="Z10" s="70">
        <f>'[1]cálculos teóricos'!I186</f>
        <v>10.563600427107158</v>
      </c>
      <c r="AA10" s="71">
        <f t="shared" ref="AA10:AA39" si="1">100*Y10/Z10</f>
        <v>86.144871370262877</v>
      </c>
      <c r="AB10" s="3"/>
    </row>
    <row r="11" spans="1:28" ht="18" customHeight="1">
      <c r="A11" s="109">
        <v>3</v>
      </c>
      <c r="B11" s="56">
        <v>20.6</v>
      </c>
      <c r="C11" s="73">
        <f>'[1]cálculos teóricos'!K187</f>
        <v>0.94970976387893824</v>
      </c>
      <c r="D11" s="58">
        <f t="shared" ref="D11:D39" si="2">IF(B11&gt;0,B11*C11*14.25*1.022,-999)</f>
        <v>284.9206218127689</v>
      </c>
      <c r="E11" s="59">
        <f t="shared" ref="E11:E39" si="3">IF(B11&gt;0,D11*4.1868/100,-999)</f>
        <v>11.929056594057009</v>
      </c>
      <c r="F11" s="60">
        <f t="shared" ref="F11:F39" si="4">IF(B11&gt;0,(7.86+1.25*D11)*4.1868/100,-999)</f>
        <v>15.24040322257126</v>
      </c>
      <c r="G11" s="61">
        <f>'[1]cálculos teóricos'!T187</f>
        <v>22.20209100334764</v>
      </c>
      <c r="H11" s="74">
        <f t="shared" ref="H11:H39" si="5">IF(B11&gt;0,100*F11/G11,-999)</f>
        <v>68.64399943353672</v>
      </c>
      <c r="I11" s="162"/>
      <c r="J11" s="79"/>
      <c r="K11" s="75">
        <v>0.9</v>
      </c>
      <c r="L11" s="79">
        <v>1</v>
      </c>
      <c r="M11" s="79">
        <v>1</v>
      </c>
      <c r="N11" s="75">
        <v>1</v>
      </c>
      <c r="O11" s="172">
        <v>1</v>
      </c>
      <c r="P11" s="173">
        <v>1</v>
      </c>
      <c r="Q11" s="79">
        <v>1</v>
      </c>
      <c r="R11" s="79">
        <v>1</v>
      </c>
      <c r="S11" s="79">
        <v>1</v>
      </c>
      <c r="T11" s="82">
        <v>0.3</v>
      </c>
      <c r="U11" s="82"/>
      <c r="V11" s="77"/>
      <c r="W11" s="58">
        <f t="shared" si="0"/>
        <v>4.9000000000000004</v>
      </c>
      <c r="X11" s="68">
        <f t="shared" ref="X11:X16" si="6">SUM(P11:V11)</f>
        <v>4.3</v>
      </c>
      <c r="Y11" s="78">
        <f t="shared" ref="Y11:Y16" si="7">W11+X11</f>
        <v>9.1999999999999993</v>
      </c>
      <c r="Z11" s="70">
        <f>'[1]cálculos teóricos'!I187</f>
        <v>10.568648710207977</v>
      </c>
      <c r="AA11" s="71">
        <f t="shared" si="1"/>
        <v>87.049917659898782</v>
      </c>
      <c r="AB11" s="3"/>
    </row>
    <row r="12" spans="1:28" ht="18" customHeight="1">
      <c r="A12" s="72">
        <v>4</v>
      </c>
      <c r="B12" s="56">
        <v>21.4</v>
      </c>
      <c r="C12" s="73">
        <f>'[1]cálculos teóricos'!K188</f>
        <v>0.9499887601007182</v>
      </c>
      <c r="D12" s="58">
        <f t="shared" si="2"/>
        <v>296.07245198535372</v>
      </c>
      <c r="E12" s="59">
        <f t="shared" si="3"/>
        <v>12.39596141972279</v>
      </c>
      <c r="F12" s="60">
        <f t="shared" si="4"/>
        <v>15.824034254653489</v>
      </c>
      <c r="G12" s="61">
        <f>'[1]cálculos teóricos'!T188</f>
        <v>22.244871387745548</v>
      </c>
      <c r="H12" s="74">
        <f t="shared" si="5"/>
        <v>71.13565180408628</v>
      </c>
      <c r="I12" s="162"/>
      <c r="J12" s="79">
        <v>0.1</v>
      </c>
      <c r="K12" s="75">
        <v>1</v>
      </c>
      <c r="L12" s="75">
        <v>1.01</v>
      </c>
      <c r="M12" s="79">
        <v>1</v>
      </c>
      <c r="N12" s="75">
        <v>1</v>
      </c>
      <c r="O12" s="172">
        <v>1</v>
      </c>
      <c r="P12" s="173">
        <v>1</v>
      </c>
      <c r="Q12" s="79">
        <v>1</v>
      </c>
      <c r="R12" s="79">
        <v>1</v>
      </c>
      <c r="S12" s="75">
        <v>1</v>
      </c>
      <c r="T12" s="82">
        <v>0.5</v>
      </c>
      <c r="U12" s="82"/>
      <c r="V12" s="77"/>
      <c r="W12" s="58">
        <f t="shared" si="0"/>
        <v>5.1100000000000003</v>
      </c>
      <c r="X12" s="68">
        <f t="shared" si="6"/>
        <v>4.5</v>
      </c>
      <c r="Y12" s="78">
        <f t="shared" si="7"/>
        <v>9.61</v>
      </c>
      <c r="Z12" s="70">
        <f>'[1]cálculos teóricos'!I188</f>
        <v>10.57416256793211</v>
      </c>
      <c r="AA12" s="71">
        <f t="shared" si="1"/>
        <v>90.881901410745357</v>
      </c>
      <c r="AB12" s="3"/>
    </row>
    <row r="13" spans="1:28" ht="18" customHeight="1">
      <c r="A13" s="72">
        <v>5</v>
      </c>
      <c r="B13" s="56">
        <v>22.1</v>
      </c>
      <c r="C13" s="73">
        <f>'[1]cálculos teóricos'!K189</f>
        <v>0.95029105530266378</v>
      </c>
      <c r="D13" s="58">
        <f t="shared" si="2"/>
        <v>305.85435962419763</v>
      </c>
      <c r="E13" s="59">
        <f t="shared" si="3"/>
        <v>12.805510328745907</v>
      </c>
      <c r="F13" s="60">
        <f t="shared" si="4"/>
        <v>16.335970390932381</v>
      </c>
      <c r="G13" s="61">
        <f>'[1]cálculos teóricos'!T189</f>
        <v>22.291498546096314</v>
      </c>
      <c r="H13" s="74">
        <f t="shared" si="5"/>
        <v>73.283410521510845</v>
      </c>
      <c r="I13" s="162"/>
      <c r="J13" s="79"/>
      <c r="K13" s="75">
        <v>1</v>
      </c>
      <c r="L13" s="75">
        <v>1</v>
      </c>
      <c r="M13" s="79">
        <v>1</v>
      </c>
      <c r="N13" s="75">
        <v>1</v>
      </c>
      <c r="O13" s="172">
        <v>1</v>
      </c>
      <c r="P13" s="173">
        <v>1</v>
      </c>
      <c r="Q13" s="79">
        <v>1</v>
      </c>
      <c r="R13" s="79">
        <v>1</v>
      </c>
      <c r="S13" s="75">
        <v>1</v>
      </c>
      <c r="T13" s="82">
        <v>0.5</v>
      </c>
      <c r="U13" s="82"/>
      <c r="V13" s="77"/>
      <c r="W13" s="58">
        <f t="shared" si="0"/>
        <v>5</v>
      </c>
      <c r="X13" s="68">
        <f t="shared" si="6"/>
        <v>4.5</v>
      </c>
      <c r="Y13" s="78">
        <f t="shared" si="7"/>
        <v>9.5</v>
      </c>
      <c r="Z13" s="70">
        <f>'[1]cálculos teóricos'!I189</f>
        <v>10.580137911715219</v>
      </c>
      <c r="AA13" s="71">
        <f t="shared" si="1"/>
        <v>89.790890055230761</v>
      </c>
      <c r="AB13" s="3"/>
    </row>
    <row r="14" spans="1:28" ht="18" customHeight="1">
      <c r="A14" s="72">
        <v>6</v>
      </c>
      <c r="B14" s="56">
        <v>19.5</v>
      </c>
      <c r="C14" s="73">
        <f>'[1]cálculos teóricos'!K190</f>
        <v>0.95061641216417903</v>
      </c>
      <c r="D14" s="58">
        <f t="shared" si="2"/>
        <v>269.96389131178387</v>
      </c>
      <c r="E14" s="59">
        <f t="shared" si="3"/>
        <v>11.302848201441765</v>
      </c>
      <c r="F14" s="60">
        <f t="shared" si="4"/>
        <v>14.457642731802206</v>
      </c>
      <c r="G14" s="61">
        <f>'[1]cálculos teóricos'!T190</f>
        <v>22.341947176896817</v>
      </c>
      <c r="H14" s="74">
        <f t="shared" si="5"/>
        <v>64.710755142919908</v>
      </c>
      <c r="I14" s="162"/>
      <c r="J14" s="79"/>
      <c r="K14" s="75">
        <v>0.8</v>
      </c>
      <c r="L14" s="75">
        <v>1</v>
      </c>
      <c r="M14" s="79">
        <v>1</v>
      </c>
      <c r="N14" s="75">
        <v>1</v>
      </c>
      <c r="O14" s="172">
        <v>1</v>
      </c>
      <c r="P14" s="173">
        <v>0.5</v>
      </c>
      <c r="Q14" s="79">
        <v>0.8</v>
      </c>
      <c r="R14" s="79">
        <v>0.6</v>
      </c>
      <c r="S14" s="75">
        <v>0.8</v>
      </c>
      <c r="T14" s="82"/>
      <c r="U14" s="82"/>
      <c r="V14" s="77"/>
      <c r="W14" s="58">
        <f t="shared" si="0"/>
        <v>4.8</v>
      </c>
      <c r="X14" s="68">
        <f t="shared" si="6"/>
        <v>2.7</v>
      </c>
      <c r="Y14" s="78">
        <f t="shared" si="7"/>
        <v>7.5</v>
      </c>
      <c r="Z14" s="70">
        <f>'[1]cálculos teóricos'!I190</f>
        <v>10.586570354918337</v>
      </c>
      <c r="AA14" s="71">
        <f t="shared" si="1"/>
        <v>70.844473219937854</v>
      </c>
      <c r="AB14" s="3"/>
    </row>
    <row r="15" spans="1:28" ht="18" customHeight="1">
      <c r="A15" s="72">
        <v>7</v>
      </c>
      <c r="B15" s="56">
        <v>21</v>
      </c>
      <c r="C15" s="73">
        <f>'[1]cálculos teóricos'!K191</f>
        <v>0.95096457668682222</v>
      </c>
      <c r="D15" s="58">
        <f t="shared" si="2"/>
        <v>290.83682486414926</v>
      </c>
      <c r="E15" s="59">
        <f t="shared" si="3"/>
        <v>12.176756183412202</v>
      </c>
      <c r="F15" s="60">
        <f t="shared" si="4"/>
        <v>15.550027709265253</v>
      </c>
      <c r="G15" s="61">
        <f>'[1]cálculos teóricos'!T191</f>
        <v>22.396190206493252</v>
      </c>
      <c r="H15" s="74">
        <f t="shared" si="5"/>
        <v>69.431575486248931</v>
      </c>
      <c r="I15" s="162"/>
      <c r="J15" s="79"/>
      <c r="K15" s="75">
        <v>0.5</v>
      </c>
      <c r="L15" s="75">
        <v>0.5</v>
      </c>
      <c r="M15" s="75">
        <v>0.5</v>
      </c>
      <c r="N15" s="75">
        <v>1</v>
      </c>
      <c r="O15" s="172">
        <v>1</v>
      </c>
      <c r="P15" s="173">
        <v>1</v>
      </c>
      <c r="Q15" s="79">
        <v>1</v>
      </c>
      <c r="R15" s="75">
        <v>1</v>
      </c>
      <c r="S15" s="82">
        <v>1</v>
      </c>
      <c r="T15" s="82">
        <v>0.5</v>
      </c>
      <c r="U15" s="82"/>
      <c r="V15" s="77"/>
      <c r="W15" s="58">
        <f t="shared" si="0"/>
        <v>3.5</v>
      </c>
      <c r="X15" s="68">
        <f t="shared" si="6"/>
        <v>4.5</v>
      </c>
      <c r="Y15" s="78">
        <f t="shared" si="7"/>
        <v>8</v>
      </c>
      <c r="Z15" s="70">
        <f>'[1]cálculos teóricos'!I191</f>
        <v>10.593455223619625</v>
      </c>
      <c r="AA15" s="71">
        <f t="shared" si="1"/>
        <v>75.518325523884357</v>
      </c>
      <c r="AB15" s="3"/>
    </row>
    <row r="16" spans="1:28" ht="18" customHeight="1">
      <c r="A16" s="80">
        <v>8</v>
      </c>
      <c r="B16" s="75">
        <v>19.600000000000001</v>
      </c>
      <c r="C16" s="73">
        <f>'[1]cálculos teóricos'!K192</f>
        <v>0.95133527858537681</v>
      </c>
      <c r="D16" s="58">
        <f t="shared" si="2"/>
        <v>271.55351806169148</v>
      </c>
      <c r="E16" s="59">
        <f t="shared" si="3"/>
        <v>11.369402694206899</v>
      </c>
      <c r="F16" s="60">
        <f t="shared" si="4"/>
        <v>14.540835847758624</v>
      </c>
      <c r="G16" s="61">
        <f>'[1]cálculos teóricos'!T192</f>
        <v>22.454198811849096</v>
      </c>
      <c r="H16" s="74">
        <f t="shared" si="5"/>
        <v>64.757758535946579</v>
      </c>
      <c r="I16" s="164"/>
      <c r="J16" s="82"/>
      <c r="K16" s="75">
        <v>1</v>
      </c>
      <c r="L16" s="75">
        <v>1</v>
      </c>
      <c r="M16" s="79">
        <v>1</v>
      </c>
      <c r="N16" s="75">
        <v>1</v>
      </c>
      <c r="O16" s="172">
        <v>0.6</v>
      </c>
      <c r="P16" s="173">
        <v>0.1</v>
      </c>
      <c r="Q16" s="79">
        <v>0.3</v>
      </c>
      <c r="R16" s="79">
        <v>0.6</v>
      </c>
      <c r="S16" s="75">
        <v>0.6</v>
      </c>
      <c r="T16" s="81"/>
      <c r="U16" s="81"/>
      <c r="V16" s="77"/>
      <c r="W16" s="58">
        <f t="shared" si="0"/>
        <v>4.5999999999999996</v>
      </c>
      <c r="X16" s="68">
        <f t="shared" si="6"/>
        <v>1.6</v>
      </c>
      <c r="Y16" s="78">
        <f t="shared" si="7"/>
        <v>6.1999999999999993</v>
      </c>
      <c r="Z16" s="70">
        <f>'[1]cálculos teóricos'!I192</f>
        <v>10.600787567991276</v>
      </c>
      <c r="AA16" s="71">
        <f t="shared" si="1"/>
        <v>58.486220577805859</v>
      </c>
      <c r="AB16" s="3"/>
    </row>
    <row r="17" spans="1:28" ht="18" customHeight="1">
      <c r="A17" s="80">
        <v>9</v>
      </c>
      <c r="B17" s="75">
        <v>21.4</v>
      </c>
      <c r="C17" s="73">
        <f>'[1]cálculos teóricos'!K193</f>
        <v>0.95172823170119347</v>
      </c>
      <c r="D17" s="58">
        <f t="shared" si="2"/>
        <v>296.61457379093912</v>
      </c>
      <c r="E17" s="59">
        <f t="shared" si="3"/>
        <v>12.418658975479039</v>
      </c>
      <c r="F17" s="60">
        <f t="shared" si="4"/>
        <v>15.852406199348799</v>
      </c>
      <c r="G17" s="61">
        <f>'[1]cálculos teóricos'!T193</f>
        <v>22.515942444697764</v>
      </c>
      <c r="H17" s="74">
        <f t="shared" si="5"/>
        <v>70.405252803805482</v>
      </c>
      <c r="I17" s="164"/>
      <c r="J17" s="82"/>
      <c r="K17" s="81">
        <v>0.8</v>
      </c>
      <c r="L17" s="75">
        <v>1</v>
      </c>
      <c r="M17" s="79">
        <v>1</v>
      </c>
      <c r="N17" s="75">
        <v>1</v>
      </c>
      <c r="O17" s="172">
        <v>1</v>
      </c>
      <c r="P17" s="173">
        <v>1</v>
      </c>
      <c r="Q17" s="79">
        <v>1</v>
      </c>
      <c r="R17" s="79">
        <v>1</v>
      </c>
      <c r="S17" s="75">
        <v>1</v>
      </c>
      <c r="T17" s="81">
        <v>0.5</v>
      </c>
      <c r="U17" s="81"/>
      <c r="V17" s="77"/>
      <c r="W17" s="58">
        <f t="shared" si="0"/>
        <v>4.8</v>
      </c>
      <c r="X17" s="68">
        <f>SUM(P17:V17)</f>
        <v>4.5</v>
      </c>
      <c r="Y17" s="78">
        <f>W17+X17</f>
        <v>9.3000000000000007</v>
      </c>
      <c r="Z17" s="70">
        <f>'[1]cálculos teóricos'!I193</f>
        <v>10.608562174209084</v>
      </c>
      <c r="AA17" s="71">
        <f t="shared" si="1"/>
        <v>87.665037422409767</v>
      </c>
      <c r="AB17" s="3"/>
    </row>
    <row r="18" spans="1:28" ht="18" customHeight="1">
      <c r="A18" s="80">
        <v>10</v>
      </c>
      <c r="B18" s="75">
        <v>22.2</v>
      </c>
      <c r="C18" s="73">
        <f>'[1]cálculos teóricos'!K194</f>
        <v>0.95214313443666077</v>
      </c>
      <c r="D18" s="58">
        <f t="shared" si="2"/>
        <v>307.83711115177647</v>
      </c>
      <c r="E18" s="59">
        <f t="shared" si="3"/>
        <v>12.888524169702578</v>
      </c>
      <c r="F18" s="60">
        <f t="shared" si="4"/>
        <v>16.439737692128222</v>
      </c>
      <c r="G18" s="61">
        <f>'[1]cálculos teóricos'!T194</f>
        <v>22.581388857066401</v>
      </c>
      <c r="H18" s="74">
        <f t="shared" si="5"/>
        <v>72.802154890414229</v>
      </c>
      <c r="I18" s="164"/>
      <c r="J18" s="82"/>
      <c r="K18" s="81">
        <v>0.8</v>
      </c>
      <c r="L18" s="81">
        <v>1</v>
      </c>
      <c r="M18" s="81">
        <v>1</v>
      </c>
      <c r="N18" s="81">
        <v>1</v>
      </c>
      <c r="O18" s="174">
        <v>1</v>
      </c>
      <c r="P18" s="175">
        <v>1</v>
      </c>
      <c r="Q18" s="82">
        <v>1</v>
      </c>
      <c r="R18" s="81">
        <v>1</v>
      </c>
      <c r="S18" s="81">
        <v>1</v>
      </c>
      <c r="T18" s="81">
        <v>0.4</v>
      </c>
      <c r="U18" s="81"/>
      <c r="V18" s="77"/>
      <c r="W18" s="58">
        <f t="shared" si="0"/>
        <v>4.8</v>
      </c>
      <c r="X18" s="68">
        <f>SUM(P18:V18)</f>
        <v>4.4000000000000004</v>
      </c>
      <c r="Y18" s="78">
        <f>W18+X18</f>
        <v>9.1999999999999993</v>
      </c>
      <c r="Z18" s="70">
        <f>'[1]cálculos teóricos'!I194</f>
        <v>10.616773576840487</v>
      </c>
      <c r="AA18" s="71">
        <f t="shared" si="1"/>
        <v>86.655328319979915</v>
      </c>
      <c r="AB18" s="3"/>
    </row>
    <row r="19" spans="1:28" ht="18" customHeight="1">
      <c r="A19" s="80">
        <v>11</v>
      </c>
      <c r="B19" s="75">
        <v>22.2</v>
      </c>
      <c r="C19" s="73">
        <f>'[1]cálculos teóricos'!K195</f>
        <v>0.95257967020962231</v>
      </c>
      <c r="D19" s="58">
        <f t="shared" si="2"/>
        <v>307.97824740157193</v>
      </c>
      <c r="E19" s="59">
        <f t="shared" si="3"/>
        <v>12.894433262209013</v>
      </c>
      <c r="F19" s="60">
        <f t="shared" si="4"/>
        <v>16.447124057761265</v>
      </c>
      <c r="G19" s="61">
        <f>'[1]cálculos teóricos'!T195</f>
        <v>22.650504128154459</v>
      </c>
      <c r="H19" s="74">
        <f t="shared" si="5"/>
        <v>72.612618088784942</v>
      </c>
      <c r="I19" s="164"/>
      <c r="J19" s="82"/>
      <c r="K19" s="81">
        <v>1</v>
      </c>
      <c r="L19" s="81">
        <v>1</v>
      </c>
      <c r="M19" s="81">
        <v>1</v>
      </c>
      <c r="N19" s="81">
        <v>1</v>
      </c>
      <c r="O19" s="174">
        <v>1</v>
      </c>
      <c r="P19" s="175">
        <v>1</v>
      </c>
      <c r="Q19" s="81">
        <v>1</v>
      </c>
      <c r="R19" s="81">
        <v>1</v>
      </c>
      <c r="S19" s="81">
        <v>1</v>
      </c>
      <c r="T19" s="81">
        <v>0.7</v>
      </c>
      <c r="U19" s="81"/>
      <c r="V19" s="77"/>
      <c r="W19" s="58">
        <f t="shared" si="0"/>
        <v>5</v>
      </c>
      <c r="X19" s="68">
        <f>SUM(P19:V19)</f>
        <v>4.7</v>
      </c>
      <c r="Y19" s="78">
        <f>W19+X19</f>
        <v>9.6999999999999993</v>
      </c>
      <c r="Z19" s="70">
        <f>'[1]cálculos teóricos'!I195</f>
        <v>10.625416071655851</v>
      </c>
      <c r="AA19" s="71">
        <f t="shared" si="1"/>
        <v>91.290542738138285</v>
      </c>
      <c r="AB19" s="3"/>
    </row>
    <row r="20" spans="1:28" ht="18" customHeight="1">
      <c r="A20" s="80">
        <v>12</v>
      </c>
      <c r="B20" s="75">
        <v>17.399999999999999</v>
      </c>
      <c r="C20" s="73">
        <f>'[1]cálculos teóricos'!K196</f>
        <v>0.95303750792650499</v>
      </c>
      <c r="D20" s="58">
        <f t="shared" si="2"/>
        <v>241.50437439236521</v>
      </c>
      <c r="E20" s="59">
        <f t="shared" si="3"/>
        <v>10.111305147059547</v>
      </c>
      <c r="F20" s="60">
        <f t="shared" si="4"/>
        <v>12.968213913824433</v>
      </c>
      <c r="G20" s="61">
        <f>'[1]cálculos teóricos'!T196</f>
        <v>22.723252692547995</v>
      </c>
      <c r="H20" s="74">
        <f t="shared" si="5"/>
        <v>57.070235891348915</v>
      </c>
      <c r="I20" s="164"/>
      <c r="J20" s="82"/>
      <c r="K20" s="81"/>
      <c r="L20" s="81"/>
      <c r="M20" s="81"/>
      <c r="N20" s="81"/>
      <c r="O20" s="174">
        <v>1</v>
      </c>
      <c r="P20" s="175">
        <v>1</v>
      </c>
      <c r="Q20" s="81">
        <v>0.7</v>
      </c>
      <c r="R20" s="81">
        <v>0.2</v>
      </c>
      <c r="S20" s="81">
        <v>0.4</v>
      </c>
      <c r="T20" s="81">
        <v>0.1</v>
      </c>
      <c r="U20" s="81"/>
      <c r="V20" s="77"/>
      <c r="W20" s="58">
        <f t="shared" si="0"/>
        <v>1</v>
      </c>
      <c r="X20" s="68">
        <f>SUM(P20:V20)</f>
        <v>2.4</v>
      </c>
      <c r="Y20" s="78">
        <f>W20+X20</f>
        <v>3.4</v>
      </c>
      <c r="Z20" s="70">
        <f>'[1]cálculos teóricos'!I196</f>
        <v>10.634483728806718</v>
      </c>
      <c r="AA20" s="71">
        <f t="shared" si="1"/>
        <v>31.971462712290123</v>
      </c>
      <c r="AB20" s="3"/>
    </row>
    <row r="21" spans="1:28" ht="18" customHeight="1">
      <c r="A21" s="80">
        <v>13</v>
      </c>
      <c r="B21" s="75">
        <v>6.3</v>
      </c>
      <c r="C21" s="73">
        <f>'[1]cálculos teóricos'!K197</f>
        <v>0.95351630247288299</v>
      </c>
      <c r="D21" s="58">
        <f t="shared" si="2"/>
        <v>87.485168427702135</v>
      </c>
      <c r="E21" s="59">
        <f t="shared" si="3"/>
        <v>3.6628290317310332</v>
      </c>
      <c r="F21" s="60">
        <f t="shared" si="4"/>
        <v>4.9076187696637916</v>
      </c>
      <c r="G21" s="61">
        <f>'[1]cálculos teóricos'!T197</f>
        <v>22.79959736974741</v>
      </c>
      <c r="H21" s="74">
        <f t="shared" si="5"/>
        <v>21.525023841761648</v>
      </c>
      <c r="I21" s="164"/>
      <c r="J21" s="82"/>
      <c r="K21" s="81"/>
      <c r="L21" s="81"/>
      <c r="M21" s="81"/>
      <c r="N21" s="81"/>
      <c r="O21" s="174"/>
      <c r="P21" s="175"/>
      <c r="Q21" s="81"/>
      <c r="R21" s="81"/>
      <c r="S21" s="81"/>
      <c r="T21" s="81"/>
      <c r="U21" s="81"/>
      <c r="V21" s="77"/>
      <c r="W21" s="58">
        <f t="shared" si="0"/>
        <v>0</v>
      </c>
      <c r="X21" s="68">
        <f>SUM(P21:V21)</f>
        <v>0</v>
      </c>
      <c r="Y21" s="78">
        <f>W21+X21</f>
        <v>0</v>
      </c>
      <c r="Z21" s="70">
        <f>'[1]cálculos teóricos'!I197</f>
        <v>10.643970406314452</v>
      </c>
      <c r="AA21" s="71">
        <f t="shared" si="1"/>
        <v>0</v>
      </c>
      <c r="AB21" s="3"/>
    </row>
    <row r="22" spans="1:28" ht="18" customHeight="1">
      <c r="A22" s="80">
        <v>14</v>
      </c>
      <c r="B22" s="75">
        <v>20.7</v>
      </c>
      <c r="C22" s="73">
        <f>'[1]cálculos teóricos'!K198</f>
        <v>0.95401569522016727</v>
      </c>
      <c r="D22" s="58">
        <f t="shared" si="2"/>
        <v>287.60181685091538</v>
      </c>
      <c r="E22" s="59">
        <f t="shared" si="3"/>
        <v>12.041312867914126</v>
      </c>
      <c r="F22" s="60">
        <f t="shared" si="4"/>
        <v>15.380723564892657</v>
      </c>
      <c r="G22" s="61">
        <f>'[1]cálculos teóricos'!T198</f>
        <v>22.879499394983263</v>
      </c>
      <c r="H22" s="74">
        <f t="shared" si="5"/>
        <v>67.224913007778284</v>
      </c>
      <c r="I22" s="164"/>
      <c r="J22" s="82"/>
      <c r="K22" s="81">
        <v>0.5</v>
      </c>
      <c r="L22" s="81">
        <v>0.5</v>
      </c>
      <c r="M22" s="81">
        <v>1</v>
      </c>
      <c r="N22" s="81">
        <v>1</v>
      </c>
      <c r="O22" s="174">
        <v>1</v>
      </c>
      <c r="P22" s="175">
        <v>1</v>
      </c>
      <c r="Q22" s="81">
        <v>1</v>
      </c>
      <c r="R22" s="81">
        <v>1</v>
      </c>
      <c r="S22" s="81">
        <v>1</v>
      </c>
      <c r="T22" s="81">
        <v>0.3</v>
      </c>
      <c r="U22" s="81"/>
      <c r="V22" s="77"/>
      <c r="W22" s="58">
        <f t="shared" si="0"/>
        <v>4</v>
      </c>
      <c r="X22" s="68">
        <f t="shared" ref="X22:X36" si="8">SUM(P22:V22)</f>
        <v>4.3</v>
      </c>
      <c r="Y22" s="78">
        <f t="shared" ref="Y22:Y36" si="9">W22+X22</f>
        <v>8.3000000000000007</v>
      </c>
      <c r="Z22" s="70">
        <f>'[1]cálculos teóricos'!I198</f>
        <v>10.653869763812521</v>
      </c>
      <c r="AA22" s="71">
        <f t="shared" si="1"/>
        <v>77.905964536869092</v>
      </c>
      <c r="AB22" s="3"/>
    </row>
    <row r="23" spans="1:28" ht="18" customHeight="1">
      <c r="A23" s="80">
        <v>15</v>
      </c>
      <c r="B23" s="75">
        <v>22</v>
      </c>
      <c r="C23" s="73">
        <f>'[1]cálculos teóricos'!K199</f>
        <v>0.95453531454708007</v>
      </c>
      <c r="D23" s="58">
        <f t="shared" si="2"/>
        <v>305.83025117494083</v>
      </c>
      <c r="E23" s="59">
        <f t="shared" si="3"/>
        <v>12.80450095619242</v>
      </c>
      <c r="F23" s="60">
        <f t="shared" si="4"/>
        <v>16.334708675240527</v>
      </c>
      <c r="G23" s="61">
        <f>'[1]cálculos teóricos'!T199</f>
        <v>22.962918451291131</v>
      </c>
      <c r="H23" s="74">
        <f t="shared" si="5"/>
        <v>71.135159539453397</v>
      </c>
      <c r="I23" s="164"/>
      <c r="J23" s="82"/>
      <c r="K23" s="81">
        <v>0.6</v>
      </c>
      <c r="L23" s="81">
        <v>1</v>
      </c>
      <c r="M23" s="81">
        <v>1</v>
      </c>
      <c r="N23" s="81">
        <v>1</v>
      </c>
      <c r="O23" s="174">
        <v>1</v>
      </c>
      <c r="P23" s="175">
        <v>1</v>
      </c>
      <c r="Q23" s="81">
        <v>1.01</v>
      </c>
      <c r="R23" s="81">
        <v>1</v>
      </c>
      <c r="S23" s="81">
        <v>0.7</v>
      </c>
      <c r="T23" s="81"/>
      <c r="U23" s="81"/>
      <c r="V23" s="77"/>
      <c r="W23" s="58">
        <f t="shared" si="0"/>
        <v>4.5999999999999996</v>
      </c>
      <c r="X23" s="68">
        <f t="shared" si="8"/>
        <v>3.71</v>
      </c>
      <c r="Y23" s="78">
        <f t="shared" si="9"/>
        <v>8.3099999999999987</v>
      </c>
      <c r="Z23" s="70">
        <f>'[1]cálculos teóricos'!I199</f>
        <v>10.664175276485974</v>
      </c>
      <c r="AA23" s="71">
        <f t="shared" si="1"/>
        <v>77.924450644797389</v>
      </c>
      <c r="AB23" s="3"/>
    </row>
    <row r="24" spans="1:28" ht="18" customHeight="1">
      <c r="A24" s="80">
        <v>16</v>
      </c>
      <c r="B24" s="75">
        <v>21.8</v>
      </c>
      <c r="C24" s="73">
        <f>'[1]cálculos teóricos'!K200</f>
        <v>0.95507477637454152</v>
      </c>
      <c r="D24" s="58">
        <f t="shared" si="2"/>
        <v>303.2212468249279</v>
      </c>
      <c r="E24" s="59">
        <f t="shared" si="3"/>
        <v>12.695267162066081</v>
      </c>
      <c r="F24" s="60">
        <f t="shared" si="4"/>
        <v>16.198166432582603</v>
      </c>
      <c r="G24" s="61">
        <f>'[1]cálculos teóricos'!T200</f>
        <v>23.049812702813032</v>
      </c>
      <c r="H24" s="74">
        <f t="shared" si="5"/>
        <v>70.274611952077834</v>
      </c>
      <c r="I24" s="164"/>
      <c r="J24" s="82">
        <v>0.1</v>
      </c>
      <c r="K24" s="81">
        <v>0.8</v>
      </c>
      <c r="L24" s="81">
        <v>1</v>
      </c>
      <c r="M24" s="81">
        <v>0.8</v>
      </c>
      <c r="N24" s="81">
        <v>1</v>
      </c>
      <c r="O24" s="174">
        <v>1</v>
      </c>
      <c r="P24" s="175">
        <v>1</v>
      </c>
      <c r="Q24" s="81">
        <v>1</v>
      </c>
      <c r="R24" s="81">
        <v>0.9</v>
      </c>
      <c r="S24" s="81">
        <v>0.7</v>
      </c>
      <c r="T24" s="81">
        <v>0.1</v>
      </c>
      <c r="U24" s="81"/>
      <c r="V24" s="77"/>
      <c r="W24" s="58">
        <f t="shared" si="0"/>
        <v>4.7</v>
      </c>
      <c r="X24" s="68">
        <f t="shared" si="8"/>
        <v>3.6999999999999997</v>
      </c>
      <c r="Y24" s="78">
        <f t="shared" si="9"/>
        <v>8.4</v>
      </c>
      <c r="Z24" s="70">
        <f>'[1]cálculos teóricos'!I200</f>
        <v>10.674880249152137</v>
      </c>
      <c r="AA24" s="71">
        <f t="shared" si="1"/>
        <v>78.689407318336691</v>
      </c>
      <c r="AB24" s="3"/>
    </row>
    <row r="25" spans="1:28" ht="18" customHeight="1">
      <c r="A25" s="80">
        <v>17</v>
      </c>
      <c r="B25" s="75">
        <v>17</v>
      </c>
      <c r="C25" s="73">
        <f>'[1]cálculos teóricos'!K201</f>
        <v>0.9556336847125847</v>
      </c>
      <c r="D25" s="58">
        <f t="shared" si="2"/>
        <v>236.59530984429938</v>
      </c>
      <c r="E25" s="59">
        <f t="shared" si="3"/>
        <v>9.9057724325611272</v>
      </c>
      <c r="F25" s="60">
        <f t="shared" si="4"/>
        <v>12.711298020701408</v>
      </c>
      <c r="G25" s="61">
        <f>'[1]cálculos teóricos'!T201</f>
        <v>23.140138829289349</v>
      </c>
      <c r="H25" s="74">
        <f t="shared" si="5"/>
        <v>54.93181399850652</v>
      </c>
      <c r="I25" s="164"/>
      <c r="J25" s="82"/>
      <c r="K25" s="81">
        <v>0.9</v>
      </c>
      <c r="L25" s="81">
        <v>0.9</v>
      </c>
      <c r="M25" s="81">
        <v>1</v>
      </c>
      <c r="N25" s="81">
        <v>1</v>
      </c>
      <c r="O25" s="174">
        <v>0.7</v>
      </c>
      <c r="P25" s="175">
        <v>0.8</v>
      </c>
      <c r="Q25" s="81">
        <v>1</v>
      </c>
      <c r="R25" s="81">
        <v>0.9</v>
      </c>
      <c r="S25" s="81">
        <v>0.3</v>
      </c>
      <c r="T25" s="81"/>
      <c r="U25" s="81"/>
      <c r="V25" s="77"/>
      <c r="W25" s="58">
        <f t="shared" si="0"/>
        <v>4.5</v>
      </c>
      <c r="X25" s="68">
        <f t="shared" si="8"/>
        <v>3</v>
      </c>
      <c r="Y25" s="78">
        <f t="shared" si="9"/>
        <v>7.5</v>
      </c>
      <c r="Z25" s="70">
        <f>'[1]cálculos teóricos'!I201</f>
        <v>10.685977830427753</v>
      </c>
      <c r="AA25" s="71">
        <f t="shared" si="1"/>
        <v>70.185434772699509</v>
      </c>
      <c r="AB25" s="3"/>
    </row>
    <row r="26" spans="1:28" ht="18" customHeight="1">
      <c r="A26" s="85">
        <v>18</v>
      </c>
      <c r="B26" s="75">
        <v>12.5</v>
      </c>
      <c r="C26" s="73">
        <f>'[1]cálculos teóricos'!K202</f>
        <v>0.95621163221789329</v>
      </c>
      <c r="D26" s="58">
        <f t="shared" si="2"/>
        <v>174.07235132256613</v>
      </c>
      <c r="E26" s="59">
        <f t="shared" si="3"/>
        <v>7.2880612051731983</v>
      </c>
      <c r="F26" s="60">
        <f t="shared" si="4"/>
        <v>9.4391589864664986</v>
      </c>
      <c r="G26" s="61">
        <f>'[1]cálculos teóricos'!T202</f>
        <v>23.233852061700922</v>
      </c>
      <c r="H26" s="74">
        <f t="shared" si="5"/>
        <v>40.626749974130071</v>
      </c>
      <c r="I26" s="164"/>
      <c r="J26" s="82"/>
      <c r="K26" s="81"/>
      <c r="L26" s="81"/>
      <c r="M26" s="81"/>
      <c r="N26" s="81"/>
      <c r="O26" s="174">
        <v>0.2</v>
      </c>
      <c r="P26" s="175">
        <v>0.6</v>
      </c>
      <c r="Q26" s="81">
        <v>0.9</v>
      </c>
      <c r="R26" s="81">
        <v>0.2</v>
      </c>
      <c r="S26" s="81">
        <v>0.2</v>
      </c>
      <c r="T26" s="81"/>
      <c r="U26" s="81"/>
      <c r="V26" s="77"/>
      <c r="W26" s="58">
        <f t="shared" si="0"/>
        <v>0.2</v>
      </c>
      <c r="X26" s="68">
        <f t="shared" si="8"/>
        <v>1.9</v>
      </c>
      <c r="Y26" s="78">
        <f t="shared" si="9"/>
        <v>2.1</v>
      </c>
      <c r="Z26" s="70">
        <f>'[1]cálculos teóricos'!I202</f>
        <v>10.69746102692859</v>
      </c>
      <c r="AA26" s="71">
        <f t="shared" si="1"/>
        <v>19.630826368179285</v>
      </c>
      <c r="AB26" s="3"/>
    </row>
    <row r="27" spans="1:28" ht="18" customHeight="1">
      <c r="A27" s="85">
        <v>19</v>
      </c>
      <c r="B27" s="75">
        <v>20.6</v>
      </c>
      <c r="C27" s="73">
        <f>'[1]cálculos teóricos'!K203</f>
        <v>0.95680820076054496</v>
      </c>
      <c r="D27" s="58">
        <f t="shared" si="2"/>
        <v>287.05021037458965</v>
      </c>
      <c r="E27" s="59">
        <f t="shared" si="3"/>
        <v>12.018218207963319</v>
      </c>
      <c r="F27" s="60">
        <f t="shared" si="4"/>
        <v>15.351855239954149</v>
      </c>
      <c r="G27" s="61">
        <f>'[1]cálculos teóricos'!T203</f>
        <v>23.330906219017812</v>
      </c>
      <c r="H27" s="74">
        <f t="shared" si="5"/>
        <v>65.800509829491034</v>
      </c>
      <c r="I27" s="164"/>
      <c r="J27" s="82"/>
      <c r="K27" s="81"/>
      <c r="L27" s="81">
        <v>0.4</v>
      </c>
      <c r="M27" s="81">
        <v>1</v>
      </c>
      <c r="N27" s="81">
        <v>1</v>
      </c>
      <c r="O27" s="174">
        <v>1</v>
      </c>
      <c r="P27" s="175">
        <v>1</v>
      </c>
      <c r="Q27" s="81">
        <v>1</v>
      </c>
      <c r="R27" s="81">
        <v>1</v>
      </c>
      <c r="S27" s="81">
        <v>1</v>
      </c>
      <c r="T27" s="81">
        <v>0.6</v>
      </c>
      <c r="U27" s="81"/>
      <c r="V27" s="77"/>
      <c r="W27" s="58">
        <f t="shared" si="0"/>
        <v>3.4</v>
      </c>
      <c r="X27" s="68">
        <f t="shared" si="8"/>
        <v>4.5999999999999996</v>
      </c>
      <c r="Y27" s="78">
        <f t="shared" si="9"/>
        <v>8</v>
      </c>
      <c r="Z27" s="70">
        <f>'[1]cálculos teóricos'!I203</f>
        <v>10.709322717449501</v>
      </c>
      <c r="AA27" s="71">
        <f t="shared" si="1"/>
        <v>74.70126926855049</v>
      </c>
      <c r="AB27" s="3"/>
    </row>
    <row r="28" spans="1:28" ht="18" customHeight="1">
      <c r="A28" s="85">
        <v>20</v>
      </c>
      <c r="B28" s="75">
        <v>18.899999999999999</v>
      </c>
      <c r="C28" s="73">
        <f>'[1]cálculos teóricos'!K204</f>
        <v>0.95742296199854815</v>
      </c>
      <c r="D28" s="58">
        <f t="shared" si="2"/>
        <v>263.5308139035447</v>
      </c>
      <c r="E28" s="59">
        <f t="shared" si="3"/>
        <v>11.033508116513609</v>
      </c>
      <c r="F28" s="60">
        <f t="shared" si="4"/>
        <v>14.120967625642011</v>
      </c>
      <c r="G28" s="61">
        <f>'[1]cálculos teóricos'!T204</f>
        <v>23.431253746006767</v>
      </c>
      <c r="H28" s="74">
        <f t="shared" si="5"/>
        <v>60.26552304333503</v>
      </c>
      <c r="I28" s="164"/>
      <c r="J28" s="82"/>
      <c r="K28" s="81">
        <v>0.2</v>
      </c>
      <c r="L28" s="81">
        <v>1</v>
      </c>
      <c r="M28" s="81">
        <v>1</v>
      </c>
      <c r="N28" s="81">
        <v>0.6</v>
      </c>
      <c r="O28" s="174">
        <v>0.3</v>
      </c>
      <c r="P28" s="175">
        <v>1</v>
      </c>
      <c r="Q28" s="81">
        <v>1</v>
      </c>
      <c r="R28" s="81">
        <v>1</v>
      </c>
      <c r="S28" s="81">
        <v>1</v>
      </c>
      <c r="T28" s="81">
        <v>0.4</v>
      </c>
      <c r="U28" s="81"/>
      <c r="V28" s="77"/>
      <c r="W28" s="58">
        <f t="shared" si="0"/>
        <v>3.1</v>
      </c>
      <c r="X28" s="68">
        <f t="shared" si="8"/>
        <v>4.4000000000000004</v>
      </c>
      <c r="Y28" s="78">
        <f t="shared" si="9"/>
        <v>7.5</v>
      </c>
      <c r="Z28" s="70">
        <f>'[1]cálculos teóricos'!I204</f>
        <v>10.721555667074277</v>
      </c>
      <c r="AA28" s="71">
        <f t="shared" si="1"/>
        <v>69.952535181367182</v>
      </c>
      <c r="AB28" s="3"/>
    </row>
    <row r="29" spans="1:28" ht="18" customHeight="1">
      <c r="A29" s="85">
        <v>21</v>
      </c>
      <c r="B29" s="75">
        <v>22.5</v>
      </c>
      <c r="C29" s="73">
        <f>'[1]cálculos teóricos'!K205</f>
        <v>0.95805547795874668</v>
      </c>
      <c r="D29" s="58">
        <f t="shared" si="2"/>
        <v>313.9344214481747</v>
      </c>
      <c r="E29" s="59">
        <f t="shared" si="3"/>
        <v>13.143806357192178</v>
      </c>
      <c r="F29" s="60">
        <f t="shared" si="4"/>
        <v>16.758840426490224</v>
      </c>
      <c r="G29" s="61">
        <f>'[1]cálculos teóricos'!T205</f>
        <v>23.534845752045989</v>
      </c>
      <c r="H29" s="74">
        <f t="shared" si="5"/>
        <v>71.208626574632646</v>
      </c>
      <c r="I29" s="164"/>
      <c r="J29" s="82"/>
      <c r="K29" s="81"/>
      <c r="L29" s="81">
        <v>0.2</v>
      </c>
      <c r="M29" s="81">
        <v>1</v>
      </c>
      <c r="N29" s="81">
        <v>1</v>
      </c>
      <c r="O29" s="174">
        <v>1</v>
      </c>
      <c r="P29" s="175">
        <v>1</v>
      </c>
      <c r="Q29" s="81">
        <v>1</v>
      </c>
      <c r="R29" s="81">
        <v>1</v>
      </c>
      <c r="S29" s="81">
        <v>1</v>
      </c>
      <c r="T29" s="81">
        <v>0.6</v>
      </c>
      <c r="U29" s="81"/>
      <c r="V29" s="77"/>
      <c r="W29" s="58">
        <f t="shared" si="0"/>
        <v>3.2</v>
      </c>
      <c r="X29" s="68">
        <f t="shared" si="8"/>
        <v>4.5999999999999996</v>
      </c>
      <c r="Y29" s="78">
        <f t="shared" si="9"/>
        <v>7.8</v>
      </c>
      <c r="Z29" s="70">
        <f>'[1]cálculos teóricos'!I205</f>
        <v>10.734152541166916</v>
      </c>
      <c r="AA29" s="71">
        <f t="shared" si="1"/>
        <v>72.665261370992752</v>
      </c>
      <c r="AB29" s="3"/>
    </row>
    <row r="30" spans="1:28" ht="18" customHeight="1">
      <c r="A30" s="85">
        <v>22</v>
      </c>
      <c r="B30" s="75">
        <v>22.2</v>
      </c>
      <c r="C30" s="73">
        <f>'[1]cálculos teóricos'!K206</f>
        <v>0.9587053016226873</v>
      </c>
      <c r="D30" s="58">
        <f t="shared" si="2"/>
        <v>309.95872345604056</v>
      </c>
      <c r="E30" s="59">
        <f t="shared" si="3"/>
        <v>12.977351833657506</v>
      </c>
      <c r="F30" s="60">
        <f t="shared" si="4"/>
        <v>16.550772272071882</v>
      </c>
      <c r="G30" s="61">
        <f>'[1]cálculos teóricos'!T206</f>
        <v>23.641632050891843</v>
      </c>
      <c r="H30" s="74">
        <f t="shared" si="5"/>
        <v>70.006893925275904</v>
      </c>
      <c r="I30" s="164"/>
      <c r="J30" s="82"/>
      <c r="K30" s="81">
        <v>0.7</v>
      </c>
      <c r="L30" s="81">
        <v>1</v>
      </c>
      <c r="M30" s="81">
        <v>1</v>
      </c>
      <c r="N30" s="81">
        <v>1</v>
      </c>
      <c r="O30" s="174">
        <v>1</v>
      </c>
      <c r="P30" s="175">
        <v>1</v>
      </c>
      <c r="Q30" s="81">
        <v>1</v>
      </c>
      <c r="R30" s="81">
        <v>1</v>
      </c>
      <c r="S30" s="81">
        <v>1</v>
      </c>
      <c r="T30" s="81">
        <v>0.5</v>
      </c>
      <c r="U30" s="81"/>
      <c r="V30" s="77"/>
      <c r="W30" s="58">
        <f t="shared" si="0"/>
        <v>4.7</v>
      </c>
      <c r="X30" s="68">
        <f t="shared" si="8"/>
        <v>4.5</v>
      </c>
      <c r="Y30" s="78">
        <f t="shared" si="9"/>
        <v>9.1999999999999993</v>
      </c>
      <c r="Z30" s="70">
        <f>'[1]cálculos teóricos'!I206</f>
        <v>10.747105919197939</v>
      </c>
      <c r="AA30" s="71">
        <f t="shared" si="1"/>
        <v>85.604441504253813</v>
      </c>
      <c r="AB30" s="3"/>
    </row>
    <row r="31" spans="1:28" ht="18" customHeight="1">
      <c r="A31" s="85">
        <v>23</v>
      </c>
      <c r="B31" s="75">
        <v>21.6</v>
      </c>
      <c r="C31" s="73">
        <f>'[1]cálculos teóricos'!K207</f>
        <v>0.95937197751604364</v>
      </c>
      <c r="D31" s="58">
        <f t="shared" si="2"/>
        <v>301.79117796238586</v>
      </c>
      <c r="E31" s="59">
        <f t="shared" si="3"/>
        <v>12.635393038929172</v>
      </c>
      <c r="F31" s="60">
        <f t="shared" si="4"/>
        <v>16.123323778661465</v>
      </c>
      <c r="G31" s="61">
        <f>'[1]cálculos teóricos'!T207</f>
        <v>23.751561201338504</v>
      </c>
      <c r="H31" s="74">
        <f t="shared" si="5"/>
        <v>67.883216778831553</v>
      </c>
      <c r="I31" s="164"/>
      <c r="J31" s="82"/>
      <c r="K31" s="81">
        <v>0.6</v>
      </c>
      <c r="L31" s="81">
        <v>1</v>
      </c>
      <c r="M31" s="81">
        <v>1</v>
      </c>
      <c r="N31" s="81">
        <v>1</v>
      </c>
      <c r="O31" s="174">
        <v>1</v>
      </c>
      <c r="P31" s="175">
        <v>1</v>
      </c>
      <c r="Q31" s="81">
        <v>1</v>
      </c>
      <c r="R31" s="81">
        <v>1</v>
      </c>
      <c r="S31" s="81">
        <v>1</v>
      </c>
      <c r="T31" s="81">
        <v>0.7</v>
      </c>
      <c r="U31" s="81"/>
      <c r="V31" s="77"/>
      <c r="W31" s="58">
        <f t="shared" si="0"/>
        <v>4.5999999999999996</v>
      </c>
      <c r="X31" s="68">
        <f t="shared" si="8"/>
        <v>4.7</v>
      </c>
      <c r="Y31" s="78">
        <f t="shared" si="9"/>
        <v>9.3000000000000007</v>
      </c>
      <c r="Z31" s="70">
        <f>'[1]cálculos teóricos'!I207</f>
        <v>10.760408308361818</v>
      </c>
      <c r="AA31" s="71">
        <f t="shared" si="1"/>
        <v>86.427947095400214</v>
      </c>
      <c r="AB31" s="3"/>
    </row>
    <row r="32" spans="1:28" ht="18" customHeight="1">
      <c r="A32" s="85">
        <v>24</v>
      </c>
      <c r="B32" s="75">
        <v>21.8</v>
      </c>
      <c r="C32" s="73">
        <f>'[1]cálculos teóricos'!K208</f>
        <v>0.96005504230021532</v>
      </c>
      <c r="D32" s="58">
        <f t="shared" si="2"/>
        <v>304.80240306615423</v>
      </c>
      <c r="E32" s="59">
        <f t="shared" si="3"/>
        <v>12.761467011573746</v>
      </c>
      <c r="F32" s="60">
        <f t="shared" si="4"/>
        <v>16.280916244467182</v>
      </c>
      <c r="G32" s="61">
        <f>'[1]cálculos teóricos'!T208</f>
        <v>23.864580548707934</v>
      </c>
      <c r="H32" s="74">
        <f t="shared" si="5"/>
        <v>68.222092616451434</v>
      </c>
      <c r="I32" s="164"/>
      <c r="J32" s="82"/>
      <c r="K32" s="81">
        <v>1</v>
      </c>
      <c r="L32" s="81">
        <v>1</v>
      </c>
      <c r="M32" s="81">
        <v>1</v>
      </c>
      <c r="N32" s="81">
        <v>1</v>
      </c>
      <c r="O32" s="174">
        <v>1</v>
      </c>
      <c r="P32" s="175">
        <v>1</v>
      </c>
      <c r="Q32" s="81">
        <v>1</v>
      </c>
      <c r="R32" s="81">
        <v>1</v>
      </c>
      <c r="S32" s="81">
        <v>0.8</v>
      </c>
      <c r="T32" s="81">
        <v>0.3</v>
      </c>
      <c r="U32" s="81"/>
      <c r="V32" s="77"/>
      <c r="W32" s="58">
        <f t="shared" si="0"/>
        <v>5</v>
      </c>
      <c r="X32" s="68">
        <f t="shared" si="8"/>
        <v>4.0999999999999996</v>
      </c>
      <c r="Y32" s="78">
        <f t="shared" si="9"/>
        <v>9.1</v>
      </c>
      <c r="Z32" s="70">
        <f>'[1]cálculos teóricos'!I208</f>
        <v>10.774052156944194</v>
      </c>
      <c r="AA32" s="71">
        <f t="shared" si="1"/>
        <v>84.462186254916006</v>
      </c>
      <c r="AB32" s="3"/>
    </row>
    <row r="33" spans="1:28" ht="18" customHeight="1">
      <c r="A33" s="176">
        <v>25</v>
      </c>
      <c r="B33" s="75">
        <v>22.1</v>
      </c>
      <c r="C33" s="73">
        <f>'[1]cálculos teóricos'!K209</f>
        <v>0.96075402536473475</v>
      </c>
      <c r="D33" s="58">
        <f t="shared" si="2"/>
        <v>309.22190158962485</v>
      </c>
      <c r="E33" s="59">
        <f t="shared" si="3"/>
        <v>12.946502575754412</v>
      </c>
      <c r="F33" s="60">
        <f t="shared" si="4"/>
        <v>16.512210699693018</v>
      </c>
      <c r="G33" s="61">
        <f>'[1]cálculos teóricos'!T209</f>
        <v>23.980636267104472</v>
      </c>
      <c r="H33" s="74">
        <f t="shared" si="5"/>
        <v>68.856432814269013</v>
      </c>
      <c r="I33" s="164"/>
      <c r="J33" s="82"/>
      <c r="K33" s="81">
        <v>0.9</v>
      </c>
      <c r="L33" s="81">
        <v>1</v>
      </c>
      <c r="M33" s="81">
        <v>1</v>
      </c>
      <c r="N33" s="81">
        <v>1</v>
      </c>
      <c r="O33" s="174">
        <v>1</v>
      </c>
      <c r="P33" s="175">
        <v>1</v>
      </c>
      <c r="Q33" s="81">
        <v>1</v>
      </c>
      <c r="R33" s="81">
        <v>1</v>
      </c>
      <c r="S33" s="81">
        <v>1</v>
      </c>
      <c r="T33" s="81">
        <v>0.5</v>
      </c>
      <c r="U33" s="81"/>
      <c r="V33" s="77"/>
      <c r="W33" s="58">
        <f t="shared" si="0"/>
        <v>4.9000000000000004</v>
      </c>
      <c r="X33" s="68">
        <f t="shared" si="8"/>
        <v>4.5</v>
      </c>
      <c r="Y33" s="78">
        <f t="shared" si="9"/>
        <v>9.4</v>
      </c>
      <c r="Z33" s="70">
        <f>'[1]cálculos teóricos'!I209</f>
        <v>10.788029867400006</v>
      </c>
      <c r="AA33" s="71">
        <f t="shared" si="1"/>
        <v>87.133611192582549</v>
      </c>
      <c r="AB33" s="3"/>
    </row>
    <row r="34" spans="1:28" ht="18" customHeight="1">
      <c r="A34" s="85">
        <v>26</v>
      </c>
      <c r="B34" s="75">
        <v>22</v>
      </c>
      <c r="C34" s="73">
        <f>'[1]cálculos teóricos'!K210</f>
        <v>0.96146844941914744</v>
      </c>
      <c r="D34" s="58">
        <f t="shared" si="2"/>
        <v>308.05160678854656</v>
      </c>
      <c r="E34" s="59">
        <f t="shared" si="3"/>
        <v>12.897504673022867</v>
      </c>
      <c r="F34" s="60">
        <f t="shared" si="4"/>
        <v>16.450963321278586</v>
      </c>
      <c r="G34" s="61">
        <f>'[1]cálculos teóricos'!T210</f>
        <v>24.099673402364708</v>
      </c>
      <c r="H34" s="74">
        <f t="shared" si="5"/>
        <v>68.262183667868229</v>
      </c>
      <c r="I34" s="164"/>
      <c r="J34" s="82"/>
      <c r="K34" s="81">
        <v>0.8</v>
      </c>
      <c r="L34" s="81">
        <v>1</v>
      </c>
      <c r="M34" s="81">
        <v>1</v>
      </c>
      <c r="N34" s="81">
        <v>1</v>
      </c>
      <c r="O34" s="174">
        <v>1</v>
      </c>
      <c r="P34" s="175">
        <v>1</v>
      </c>
      <c r="Q34" s="81">
        <v>1</v>
      </c>
      <c r="R34" s="81">
        <v>1</v>
      </c>
      <c r="S34" s="81">
        <v>1</v>
      </c>
      <c r="T34" s="81">
        <v>0.1</v>
      </c>
      <c r="U34" s="81"/>
      <c r="V34" s="77"/>
      <c r="W34" s="58">
        <f t="shared" si="0"/>
        <v>4.8</v>
      </c>
      <c r="X34" s="68">
        <f t="shared" si="8"/>
        <v>4.0999999999999996</v>
      </c>
      <c r="Y34" s="78">
        <f t="shared" si="9"/>
        <v>8.8999999999999986</v>
      </c>
      <c r="Z34" s="70">
        <f>'[1]cálculos teóricos'!I210</f>
        <v>10.802333809106663</v>
      </c>
      <c r="AA34" s="71">
        <f t="shared" si="1"/>
        <v>82.389603554900845</v>
      </c>
      <c r="AB34" s="3"/>
    </row>
    <row r="35" spans="1:28" ht="18" customHeight="1">
      <c r="A35" s="85">
        <v>27</v>
      </c>
      <c r="B35" s="75">
        <v>19.8</v>
      </c>
      <c r="C35" s="73">
        <f>'[1]cálculos teóricos'!K211</f>
        <v>0.96219783108305346</v>
      </c>
      <c r="D35" s="58">
        <f t="shared" si="2"/>
        <v>277.45676863696542</v>
      </c>
      <c r="E35" s="59">
        <f t="shared" si="3"/>
        <v>11.616559989292469</v>
      </c>
      <c r="F35" s="60">
        <f t="shared" si="4"/>
        <v>14.849782466615586</v>
      </c>
      <c r="G35" s="61">
        <f>'[1]cálculos teóricos'!T211</f>
        <v>24.221635915630831</v>
      </c>
      <c r="H35" s="74">
        <f t="shared" si="5"/>
        <v>61.307925353764603</v>
      </c>
      <c r="I35" s="164"/>
      <c r="J35" s="82"/>
      <c r="K35" s="81"/>
      <c r="L35" s="81">
        <v>0.8</v>
      </c>
      <c r="M35" s="81">
        <v>1</v>
      </c>
      <c r="N35" s="81">
        <v>1</v>
      </c>
      <c r="O35" s="174">
        <v>1</v>
      </c>
      <c r="P35" s="175">
        <v>1</v>
      </c>
      <c r="Q35" s="81">
        <v>1</v>
      </c>
      <c r="R35" s="81">
        <v>0.9</v>
      </c>
      <c r="S35" s="81">
        <v>0.5</v>
      </c>
      <c r="T35" s="81"/>
      <c r="U35" s="81"/>
      <c r="V35" s="77"/>
      <c r="W35" s="58">
        <f t="shared" si="0"/>
        <v>3.8</v>
      </c>
      <c r="X35" s="68">
        <f t="shared" si="8"/>
        <v>3.4</v>
      </c>
      <c r="Y35" s="78">
        <f t="shared" si="9"/>
        <v>7.1999999999999993</v>
      </c>
      <c r="Z35" s="70">
        <f>'[1]cálculos teóricos'!I211</f>
        <v>10.81695633075898</v>
      </c>
      <c r="AA35" s="71">
        <f t="shared" si="1"/>
        <v>66.562162033752102</v>
      </c>
      <c r="AB35" s="3"/>
    </row>
    <row r="36" spans="1:28" ht="18" customHeight="1">
      <c r="A36" s="85">
        <v>28</v>
      </c>
      <c r="B36" s="75">
        <v>23</v>
      </c>
      <c r="C36" s="73">
        <f>'[1]cálculos teóricos'!K212</f>
        <v>0.96294168147303771</v>
      </c>
      <c r="D36" s="58">
        <f t="shared" si="2"/>
        <v>322.54742709704948</v>
      </c>
      <c r="E36" s="59">
        <f t="shared" si="3"/>
        <v>13.504415677699267</v>
      </c>
      <c r="F36" s="60">
        <f t="shared" si="4"/>
        <v>17.209602077124085</v>
      </c>
      <c r="G36" s="61">
        <f>'[1]cálculos teóricos'!T212</f>
        <v>24.346466727472635</v>
      </c>
      <c r="H36" s="74">
        <f t="shared" si="5"/>
        <v>70.686240717240139</v>
      </c>
      <c r="I36" s="164"/>
      <c r="J36" s="82"/>
      <c r="K36" s="81">
        <v>0.5</v>
      </c>
      <c r="L36" s="81">
        <v>1</v>
      </c>
      <c r="M36" s="81">
        <v>1</v>
      </c>
      <c r="N36" s="81">
        <v>1</v>
      </c>
      <c r="O36" s="174">
        <v>1</v>
      </c>
      <c r="P36" s="175">
        <v>1</v>
      </c>
      <c r="Q36" s="81">
        <v>1</v>
      </c>
      <c r="R36" s="81">
        <v>1</v>
      </c>
      <c r="S36" s="81">
        <v>1</v>
      </c>
      <c r="T36" s="81">
        <v>0.4</v>
      </c>
      <c r="U36" s="81"/>
      <c r="V36" s="77"/>
      <c r="W36" s="58">
        <f t="shared" si="0"/>
        <v>4.5</v>
      </c>
      <c r="X36" s="68">
        <f t="shared" si="8"/>
        <v>4.4000000000000004</v>
      </c>
      <c r="Y36" s="78">
        <f t="shared" si="9"/>
        <v>8.9</v>
      </c>
      <c r="Z36" s="70">
        <f>'[1]cálculos teóricos'!I212</f>
        <v>10.831889772375648</v>
      </c>
      <c r="AA36" s="71">
        <f t="shared" si="1"/>
        <v>82.164794759059419</v>
      </c>
      <c r="AB36" s="3"/>
    </row>
    <row r="37" spans="1:28" ht="18" customHeight="1">
      <c r="A37" s="85">
        <v>29</v>
      </c>
      <c r="B37" s="75">
        <v>8</v>
      </c>
      <c r="C37" s="73">
        <f>'[1]cálculos teóricos'!K213</f>
        <v>0.96369950678525729</v>
      </c>
      <c r="D37" s="58">
        <f t="shared" si="2"/>
        <v>112.27870213653677</v>
      </c>
      <c r="E37" s="59">
        <f t="shared" si="3"/>
        <v>4.7008847010525212</v>
      </c>
      <c r="F37" s="60">
        <f t="shared" si="4"/>
        <v>6.2051883563156522</v>
      </c>
      <c r="G37" s="61">
        <f>'[1]cálculos teóricos'!T213</f>
        <v>24.474107762481303</v>
      </c>
      <c r="H37" s="74">
        <f t="shared" si="5"/>
        <v>25.354094280111727</v>
      </c>
      <c r="I37" s="164"/>
      <c r="J37" s="82"/>
      <c r="K37" s="81">
        <v>0.5</v>
      </c>
      <c r="L37" s="81">
        <v>0.7</v>
      </c>
      <c r="M37" s="81">
        <v>0.4</v>
      </c>
      <c r="N37" s="81"/>
      <c r="O37" s="174"/>
      <c r="P37" s="175"/>
      <c r="Q37" s="81"/>
      <c r="R37" s="81"/>
      <c r="S37" s="81">
        <v>0.4</v>
      </c>
      <c r="T37" s="81">
        <v>0.3</v>
      </c>
      <c r="U37" s="81"/>
      <c r="V37" s="77"/>
      <c r="W37" s="58">
        <f t="shared" si="0"/>
        <v>1.6</v>
      </c>
      <c r="X37" s="68">
        <f>SUM(P37:V37)</f>
        <v>0.7</v>
      </c>
      <c r="Y37" s="78">
        <f>W37+X37</f>
        <v>2.2999999999999998</v>
      </c>
      <c r="Z37" s="70">
        <f>'[1]cálculos teóricos'!I213</f>
        <v>10.84712647688978</v>
      </c>
      <c r="AA37" s="71">
        <f t="shared" si="1"/>
        <v>21.203772306889185</v>
      </c>
      <c r="AB37" s="3"/>
    </row>
    <row r="38" spans="1:28" ht="18" customHeight="1">
      <c r="A38" s="80">
        <v>30</v>
      </c>
      <c r="B38" s="75">
        <v>22.5</v>
      </c>
      <c r="C38" s="73">
        <f>'[1]cálculos teóricos'!K214</f>
        <v>0.96447080887248837</v>
      </c>
      <c r="D38" s="58">
        <f t="shared" si="2"/>
        <v>316.0365890628259</v>
      </c>
      <c r="E38" s="59">
        <f t="shared" si="3"/>
        <v>13.231819910882393</v>
      </c>
      <c r="F38" s="60">
        <f t="shared" si="4"/>
        <v>16.868857368602995</v>
      </c>
      <c r="G38" s="61">
        <f>'[1]cálculos teóricos'!T214</f>
        <v>24.60449999425596</v>
      </c>
      <c r="H38" s="74">
        <f t="shared" si="5"/>
        <v>68.560049472824531</v>
      </c>
      <c r="I38" s="164"/>
      <c r="J38" s="82"/>
      <c r="K38" s="81">
        <v>0.6</v>
      </c>
      <c r="L38" s="81">
        <v>0.6</v>
      </c>
      <c r="M38" s="81">
        <v>1</v>
      </c>
      <c r="N38" s="81">
        <v>1</v>
      </c>
      <c r="O38" s="174">
        <v>1</v>
      </c>
      <c r="P38" s="175">
        <v>1</v>
      </c>
      <c r="Q38" s="81">
        <v>1</v>
      </c>
      <c r="R38" s="81">
        <v>1</v>
      </c>
      <c r="S38" s="81">
        <v>1</v>
      </c>
      <c r="T38" s="81">
        <v>0.8</v>
      </c>
      <c r="U38" s="81"/>
      <c r="V38" s="77"/>
      <c r="W38" s="58">
        <f t="shared" si="0"/>
        <v>4.2</v>
      </c>
      <c r="X38" s="68">
        <f>SUM(P38:V38)</f>
        <v>4.8</v>
      </c>
      <c r="Y38" s="78">
        <f>W38+X38</f>
        <v>9</v>
      </c>
      <c r="Z38" s="70">
        <f>'[1]cálculos teóricos'!I214</f>
        <v>10.86265880129913</v>
      </c>
      <c r="AA38" s="71">
        <f t="shared" si="1"/>
        <v>82.852643764560071</v>
      </c>
      <c r="AB38" s="3"/>
    </row>
    <row r="39" spans="1:28" ht="18" customHeight="1" thickBot="1">
      <c r="A39" s="86">
        <v>31</v>
      </c>
      <c r="B39" s="87">
        <v>25.2</v>
      </c>
      <c r="C39" s="88">
        <f>'[1]cálculos teóricos'!K215</f>
        <v>0.96525508581449126</v>
      </c>
      <c r="D39" s="89">
        <f t="shared" si="2"/>
        <v>354.24880954493545</v>
      </c>
      <c r="E39" s="90">
        <f t="shared" si="3"/>
        <v>14.831689158027357</v>
      </c>
      <c r="F39" s="91">
        <f t="shared" si="4"/>
        <v>18.868693927534199</v>
      </c>
      <c r="G39" s="92">
        <f>'[1]cálculos teóricos'!T215</f>
        <v>24.7375834907022</v>
      </c>
      <c r="H39" s="93">
        <f t="shared" si="5"/>
        <v>76.275412813163967</v>
      </c>
      <c r="I39" s="177"/>
      <c r="J39" s="94"/>
      <c r="K39" s="87"/>
      <c r="L39" s="87">
        <v>0.9</v>
      </c>
      <c r="M39" s="87">
        <v>1</v>
      </c>
      <c r="N39" s="87">
        <v>1</v>
      </c>
      <c r="O39" s="178">
        <v>1</v>
      </c>
      <c r="P39" s="179">
        <v>1</v>
      </c>
      <c r="Q39" s="87">
        <v>1</v>
      </c>
      <c r="R39" s="87">
        <v>1</v>
      </c>
      <c r="S39" s="87">
        <v>1</v>
      </c>
      <c r="T39" s="87">
        <v>0.9</v>
      </c>
      <c r="U39" s="87"/>
      <c r="V39" s="77"/>
      <c r="W39" s="58">
        <f t="shared" si="0"/>
        <v>3.9</v>
      </c>
      <c r="X39" s="68">
        <f>SUM(P39:V39)</f>
        <v>4.9000000000000004</v>
      </c>
      <c r="Y39" s="78">
        <f>W39+X39</f>
        <v>8.8000000000000007</v>
      </c>
      <c r="Z39" s="98">
        <f>'[1]cálculos teóricos'!I215</f>
        <v>10.87847912735425</v>
      </c>
      <c r="AA39" s="99">
        <f t="shared" si="1"/>
        <v>80.893660749618448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03">
        <f>SUM(I9:I39)</f>
        <v>0</v>
      </c>
      <c r="J40" s="103">
        <f t="shared" ref="J40:V40" si="10">SUM(J9:J39)</f>
        <v>0.2</v>
      </c>
      <c r="K40" s="103">
        <f t="shared" si="10"/>
        <v>17.100000000000001</v>
      </c>
      <c r="L40" s="103">
        <f t="shared" si="10"/>
        <v>23.509999999999998</v>
      </c>
      <c r="M40" s="103">
        <f t="shared" si="10"/>
        <v>26.7</v>
      </c>
      <c r="N40" s="103">
        <f t="shared" si="10"/>
        <v>26.6</v>
      </c>
      <c r="O40" s="103">
        <f t="shared" si="10"/>
        <v>26.8</v>
      </c>
      <c r="P40" s="103">
        <f t="shared" si="10"/>
        <v>27</v>
      </c>
      <c r="Q40" s="103">
        <f t="shared" si="10"/>
        <v>27.71</v>
      </c>
      <c r="R40" s="103">
        <f t="shared" si="10"/>
        <v>26.299999999999997</v>
      </c>
      <c r="S40" s="103">
        <f t="shared" si="10"/>
        <v>25.399999999999995</v>
      </c>
      <c r="T40" s="103">
        <f t="shared" si="10"/>
        <v>10.700000000000001</v>
      </c>
      <c r="U40" s="103">
        <f t="shared" si="10"/>
        <v>0</v>
      </c>
      <c r="V40" s="180">
        <f t="shared" si="10"/>
        <v>0</v>
      </c>
      <c r="W40" s="180">
        <f t="shared" si="0"/>
        <v>120.91000000000001</v>
      </c>
      <c r="X40" s="180">
        <f>SUM(P40:V40)</f>
        <v>117.10999999999999</v>
      </c>
      <c r="Y40" s="180">
        <f>W40+X40</f>
        <v>238.01999999999998</v>
      </c>
      <c r="Z40" s="180"/>
      <c r="AA40" s="103"/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181"/>
      <c r="C54" s="18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63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63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4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61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7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72">
        <v>1</v>
      </c>
      <c r="B9" s="56">
        <v>21.3</v>
      </c>
      <c r="C9" s="73">
        <f>'[1]cálculos teóricos'!K216</f>
        <v>0.96605183248059556</v>
      </c>
      <c r="D9" s="58">
        <f>IF(B9&gt;0,B9*C9*14.25*1.022,-999)</f>
        <v>299.67174186765362</v>
      </c>
      <c r="E9" s="59">
        <f>IF(B9&gt;0,D9*4.1868/100,-999)</f>
        <v>12.54665648851492</v>
      </c>
      <c r="F9" s="60">
        <f>IF(B9&gt;0,(7.86+1.25*D9)*4.1868/100,-999)</f>
        <v>16.012403090643652</v>
      </c>
      <c r="G9" s="61">
        <f>'[1]cálculos teóricos'!T216</f>
        <v>24.873297459560863</v>
      </c>
      <c r="H9" s="62">
        <f>IF(B9&gt;0,100*F9/G9,-999)</f>
        <v>64.37587584306705</v>
      </c>
      <c r="I9" s="182"/>
      <c r="J9" s="63"/>
      <c r="K9" s="63"/>
      <c r="L9" s="63">
        <v>0.5</v>
      </c>
      <c r="M9" s="63">
        <v>1</v>
      </c>
      <c r="N9" s="63">
        <v>1</v>
      </c>
      <c r="O9" s="64">
        <v>1</v>
      </c>
      <c r="P9" s="63">
        <v>1</v>
      </c>
      <c r="Q9" s="63">
        <v>1</v>
      </c>
      <c r="R9" s="63">
        <v>0.7</v>
      </c>
      <c r="S9" s="63">
        <v>0.5</v>
      </c>
      <c r="T9" s="63"/>
      <c r="U9" s="63"/>
      <c r="V9" s="64"/>
      <c r="W9" s="58">
        <f t="shared" ref="W9:W40" si="0">SUM(I9:O9)</f>
        <v>3.5</v>
      </c>
      <c r="X9" s="183">
        <f>SUM(P9:V9)</f>
        <v>3.2</v>
      </c>
      <c r="Y9" s="145">
        <f>W9+X9</f>
        <v>6.7</v>
      </c>
      <c r="Z9" s="70">
        <f>'[1]cálculos teóricos'!I216</f>
        <v>10.894579871765924</v>
      </c>
      <c r="AA9" s="71">
        <f>100*Y9/Z9</f>
        <v>61.498470605218337</v>
      </c>
      <c r="AB9" s="3"/>
    </row>
    <row r="10" spans="1:28" ht="18" customHeight="1">
      <c r="A10" s="72">
        <v>2</v>
      </c>
      <c r="B10" s="56">
        <v>23.2</v>
      </c>
      <c r="C10" s="73">
        <f>'[1]cálculos teóricos'!K217</f>
        <v>0.96686054108346287</v>
      </c>
      <c r="D10" s="58">
        <f>IF(B10&gt;0,B10*C10*14.25*1.022,-999)</f>
        <v>326.67626496960105</v>
      </c>
      <c r="E10" s="59">
        <f>IF(B10&gt;0,D10*4.1868/100,-999)</f>
        <v>13.677281861747256</v>
      </c>
      <c r="F10" s="60">
        <f>IF(B10&gt;0,(7.86+1.25*D10)*4.1868/100,-999)</f>
        <v>17.425684807184069</v>
      </c>
      <c r="G10" s="61">
        <f>'[1]cálculos teóricos'!T217</f>
        <v>25.01158029408397</v>
      </c>
      <c r="H10" s="74">
        <f>IF(B10&gt;0,100*F10/G10,-999)</f>
        <v>69.670467048840564</v>
      </c>
      <c r="I10" s="184"/>
      <c r="J10" s="79"/>
      <c r="K10" s="75">
        <v>1</v>
      </c>
      <c r="L10" s="75">
        <v>1</v>
      </c>
      <c r="M10" s="75">
        <v>1</v>
      </c>
      <c r="N10" s="75">
        <v>1</v>
      </c>
      <c r="O10" s="76">
        <v>1</v>
      </c>
      <c r="P10" s="79">
        <v>1</v>
      </c>
      <c r="Q10" s="75">
        <v>1</v>
      </c>
      <c r="R10" s="75">
        <v>1</v>
      </c>
      <c r="S10" s="75">
        <v>1</v>
      </c>
      <c r="T10" s="82">
        <v>0.7</v>
      </c>
      <c r="U10" s="82"/>
      <c r="V10" s="77"/>
      <c r="W10" s="58">
        <f t="shared" si="0"/>
        <v>5</v>
      </c>
      <c r="X10" s="68">
        <f t="shared" ref="X10:X36" si="1">SUM(P10:V10)</f>
        <v>4.7</v>
      </c>
      <c r="Y10" s="116">
        <f t="shared" ref="Y10:Y36" si="2">W10+X10</f>
        <v>9.6999999999999993</v>
      </c>
      <c r="Z10" s="70">
        <f>'[1]cálculos teóricos'!I217</f>
        <v>10.910953495915864</v>
      </c>
      <c r="AA10" s="71">
        <f t="shared" ref="AA10:AA39" si="3">100*Y10/Z10</f>
        <v>88.901487882162243</v>
      </c>
      <c r="AB10" s="3"/>
    </row>
    <row r="11" spans="1:28" ht="18" customHeight="1">
      <c r="A11" s="72">
        <v>3</v>
      </c>
      <c r="B11" s="56">
        <v>24.2</v>
      </c>
      <c r="C11" s="73">
        <f>'[1]cálculos teóricos'!K218</f>
        <v>0.96768070172304144</v>
      </c>
      <c r="D11" s="58">
        <f t="shared" ref="D11:D39" si="4">IF(B11&gt;0,B11*C11*14.25*1.022,-999)</f>
        <v>341.04619316895304</v>
      </c>
      <c r="E11" s="59">
        <f t="shared" ref="E11:E39" si="5">IF(B11&gt;0,D11*4.1868/100,-999)</f>
        <v>14.278922015597725</v>
      </c>
      <c r="F11" s="60">
        <f t="shared" ref="F11:F39" si="6">IF(B11&gt;0,(7.86+1.25*D11)*4.1868/100,-999)</f>
        <v>18.177734999497158</v>
      </c>
      <c r="G11" s="61">
        <f>'[1]cálculos teóricos'!T218</f>
        <v>25.152369618774994</v>
      </c>
      <c r="H11" s="74">
        <f t="shared" ref="H11:H39" si="7">IF(B11&gt;0,100*F11/G11,-999)</f>
        <v>72.270467057419438</v>
      </c>
      <c r="I11" s="184"/>
      <c r="J11" s="79"/>
      <c r="K11" s="75">
        <v>0.8</v>
      </c>
      <c r="L11" s="75">
        <v>1</v>
      </c>
      <c r="M11" s="75">
        <v>1</v>
      </c>
      <c r="N11" s="75">
        <v>1</v>
      </c>
      <c r="O11" s="76">
        <v>1</v>
      </c>
      <c r="P11" s="79">
        <v>1</v>
      </c>
      <c r="Q11" s="79">
        <v>1</v>
      </c>
      <c r="R11" s="75">
        <v>1</v>
      </c>
      <c r="S11" s="82">
        <v>1</v>
      </c>
      <c r="T11" s="82">
        <v>0.7</v>
      </c>
      <c r="U11" s="82"/>
      <c r="V11" s="77"/>
      <c r="W11" s="58">
        <f t="shared" si="0"/>
        <v>4.8</v>
      </c>
      <c r="X11" s="68">
        <f t="shared" si="1"/>
        <v>4.7</v>
      </c>
      <c r="Y11" s="78">
        <f t="shared" si="2"/>
        <v>9.5</v>
      </c>
      <c r="Z11" s="70">
        <f>'[1]cálculos teóricos'!I218</f>
        <v>10.927592515057382</v>
      </c>
      <c r="AA11" s="71">
        <f t="shared" si="3"/>
        <v>86.935891752092061</v>
      </c>
      <c r="AB11" s="3"/>
    </row>
    <row r="12" spans="1:28" ht="18" customHeight="1">
      <c r="A12" s="72">
        <v>4</v>
      </c>
      <c r="B12" s="56">
        <v>22.6</v>
      </c>
      <c r="C12" s="73">
        <f>'[1]cálculos teóricos'!K219</f>
        <v>0.96851180291978101</v>
      </c>
      <c r="D12" s="58">
        <f t="shared" si="4"/>
        <v>318.77122910518244</v>
      </c>
      <c r="E12" s="59">
        <f t="shared" si="5"/>
        <v>13.346313820175778</v>
      </c>
      <c r="F12" s="60">
        <f t="shared" si="6"/>
        <v>17.011974755219725</v>
      </c>
      <c r="G12" s="61">
        <f>'[1]cálculos teóricos'!T219</f>
        <v>25.295602335109727</v>
      </c>
      <c r="H12" s="74">
        <f t="shared" si="7"/>
        <v>67.25269685160842</v>
      </c>
      <c r="I12" s="184"/>
      <c r="J12" s="79"/>
      <c r="K12" s="75">
        <v>0.5</v>
      </c>
      <c r="L12" s="75">
        <v>1</v>
      </c>
      <c r="M12" s="75">
        <v>1</v>
      </c>
      <c r="N12" s="75">
        <v>1</v>
      </c>
      <c r="O12" s="76">
        <v>1</v>
      </c>
      <c r="P12" s="79">
        <v>1</v>
      </c>
      <c r="Q12" s="79">
        <v>1</v>
      </c>
      <c r="R12" s="75">
        <v>1</v>
      </c>
      <c r="S12" s="75">
        <v>1</v>
      </c>
      <c r="T12" s="82">
        <v>0.8</v>
      </c>
      <c r="U12" s="82"/>
      <c r="V12" s="77"/>
      <c r="W12" s="58">
        <f t="shared" si="0"/>
        <v>4.5</v>
      </c>
      <c r="X12" s="68">
        <f t="shared" si="1"/>
        <v>4.8</v>
      </c>
      <c r="Y12" s="150">
        <f t="shared" si="2"/>
        <v>9.3000000000000007</v>
      </c>
      <c r="Z12" s="70">
        <f>'[1]cálculos teóricos'!I219</f>
        <v>10.944489506995499</v>
      </c>
      <c r="AA12" s="71">
        <f t="shared" si="3"/>
        <v>84.974269417094575</v>
      </c>
      <c r="AB12" s="3"/>
    </row>
    <row r="13" spans="1:28" ht="18" customHeight="1">
      <c r="A13" s="72">
        <v>5</v>
      </c>
      <c r="B13" s="56">
        <v>13</v>
      </c>
      <c r="C13" s="73">
        <f>'[1]cálculos teóricos'!K220</f>
        <v>0.96935333213624431</v>
      </c>
      <c r="D13" s="58">
        <f t="shared" si="4"/>
        <v>183.52330428336052</v>
      </c>
      <c r="E13" s="59">
        <f t="shared" si="5"/>
        <v>7.6837537037357375</v>
      </c>
      <c r="F13" s="60">
        <f t="shared" si="6"/>
        <v>9.9337746096696726</v>
      </c>
      <c r="G13" s="61">
        <f>'[1]cálculos teóricos'!T220</f>
        <v>25.441214667155272</v>
      </c>
      <c r="H13" s="74">
        <f t="shared" si="7"/>
        <v>39.045991866474139</v>
      </c>
      <c r="I13" s="184"/>
      <c r="J13" s="79"/>
      <c r="K13" s="75">
        <v>1</v>
      </c>
      <c r="L13" s="75">
        <v>1</v>
      </c>
      <c r="M13" s="75">
        <v>1</v>
      </c>
      <c r="N13" s="75">
        <v>0.5</v>
      </c>
      <c r="O13" s="76">
        <v>0.5</v>
      </c>
      <c r="P13" s="79">
        <v>0.3</v>
      </c>
      <c r="Q13" s="79">
        <v>0.2</v>
      </c>
      <c r="R13" s="75"/>
      <c r="S13" s="82"/>
      <c r="T13" s="82"/>
      <c r="U13" s="82"/>
      <c r="V13" s="77"/>
      <c r="W13" s="58">
        <f t="shared" si="0"/>
        <v>4</v>
      </c>
      <c r="X13" s="68">
        <f t="shared" si="1"/>
        <v>0.5</v>
      </c>
      <c r="Y13" s="116">
        <f t="shared" si="2"/>
        <v>4.5</v>
      </c>
      <c r="Z13" s="70">
        <f>'[1]cálculos teóricos'!I220</f>
        <v>10.961637120238258</v>
      </c>
      <c r="AA13" s="71">
        <f t="shared" si="3"/>
        <v>41.052262090411084</v>
      </c>
      <c r="AB13" s="3"/>
    </row>
    <row r="14" spans="1:28" ht="18" customHeight="1">
      <c r="A14" s="72">
        <v>6</v>
      </c>
      <c r="B14" s="56">
        <v>7</v>
      </c>
      <c r="C14" s="73">
        <f>'[1]cálculos teóricos'!K221</f>
        <v>0.9702047762863053</v>
      </c>
      <c r="D14" s="58">
        <f t="shared" si="4"/>
        <v>98.907040816119249</v>
      </c>
      <c r="E14" s="59">
        <f t="shared" si="5"/>
        <v>4.1410399848892805</v>
      </c>
      <c r="F14" s="60">
        <f t="shared" si="6"/>
        <v>5.5053824611116013</v>
      </c>
      <c r="G14" s="61">
        <f>'[1]cálculos teóricos'!T221</f>
        <v>25.589142207004898</v>
      </c>
      <c r="H14" s="74">
        <f t="shared" si="7"/>
        <v>21.51452524893363</v>
      </c>
      <c r="I14" s="184"/>
      <c r="J14" s="79"/>
      <c r="K14" s="75"/>
      <c r="L14" s="75"/>
      <c r="M14" s="75"/>
      <c r="N14" s="75"/>
      <c r="O14" s="76"/>
      <c r="P14" s="79"/>
      <c r="Q14" s="79"/>
      <c r="R14" s="75"/>
      <c r="S14" s="82"/>
      <c r="T14" s="82"/>
      <c r="U14" s="82"/>
      <c r="V14" s="77"/>
      <c r="W14" s="58">
        <f t="shared" si="0"/>
        <v>0</v>
      </c>
      <c r="X14" s="68">
        <f t="shared" si="1"/>
        <v>0</v>
      </c>
      <c r="Y14" s="116">
        <f t="shared" si="2"/>
        <v>0</v>
      </c>
      <c r="Z14" s="70">
        <f>'[1]cálculos teóricos'!I221</f>
        <v>10.979028081613723</v>
      </c>
      <c r="AA14" s="71">
        <f t="shared" si="3"/>
        <v>0</v>
      </c>
      <c r="AB14" s="3"/>
    </row>
    <row r="15" spans="1:28" ht="18" customHeight="1">
      <c r="A15" s="72">
        <v>7</v>
      </c>
      <c r="B15" s="56">
        <v>5.4</v>
      </c>
      <c r="C15" s="73">
        <f>'[1]cálculos teóricos'!K222</f>
        <v>0.97106562223120196</v>
      </c>
      <c r="D15" s="58">
        <f t="shared" si="4"/>
        <v>76.367416622566196</v>
      </c>
      <c r="E15" s="59">
        <f t="shared" si="5"/>
        <v>3.1973509991536013</v>
      </c>
      <c r="F15" s="60">
        <f t="shared" si="6"/>
        <v>4.3257712289420018</v>
      </c>
      <c r="G15" s="61">
        <f>'[1]cálculos teóricos'!T222</f>
        <v>25.7393199599484</v>
      </c>
      <c r="H15" s="74">
        <f t="shared" si="7"/>
        <v>16.806082039747384</v>
      </c>
      <c r="I15" s="184"/>
      <c r="J15" s="82"/>
      <c r="K15" s="81"/>
      <c r="L15" s="81"/>
      <c r="M15" s="81"/>
      <c r="N15" s="81"/>
      <c r="O15" s="77"/>
      <c r="P15" s="82"/>
      <c r="Q15" s="82"/>
      <c r="R15" s="81"/>
      <c r="S15" s="81"/>
      <c r="T15" s="81"/>
      <c r="U15" s="81"/>
      <c r="V15" s="77"/>
      <c r="W15" s="58">
        <f t="shared" si="0"/>
        <v>0</v>
      </c>
      <c r="X15" s="68">
        <f t="shared" si="1"/>
        <v>0</v>
      </c>
      <c r="Y15" s="116">
        <f t="shared" si="2"/>
        <v>0</v>
      </c>
      <c r="Z15" s="70">
        <f>'[1]cálculos teóricos'!I222</f>
        <v>10.996655203349142</v>
      </c>
      <c r="AA15" s="71">
        <f t="shared" si="3"/>
        <v>0</v>
      </c>
      <c r="AB15" s="3"/>
    </row>
    <row r="16" spans="1:28" ht="18" customHeight="1">
      <c r="A16" s="80">
        <v>8</v>
      </c>
      <c r="B16" s="75">
        <v>10.5</v>
      </c>
      <c r="C16" s="73">
        <f>'[1]cálculos teóricos'!K223</f>
        <v>0.97193535726175861</v>
      </c>
      <c r="D16" s="58">
        <f t="shared" si="4"/>
        <v>148.62519604255704</v>
      </c>
      <c r="E16" s="59">
        <f t="shared" si="5"/>
        <v>6.2226397079097771</v>
      </c>
      <c r="F16" s="60">
        <f t="shared" si="6"/>
        <v>8.1073821148872227</v>
      </c>
      <c r="G16" s="61">
        <f>'[1]cálculos teóricos'!T223</f>
        <v>25.891682389298744</v>
      </c>
      <c r="H16" s="74">
        <f t="shared" si="7"/>
        <v>31.312689507724205</v>
      </c>
      <c r="I16" s="185"/>
      <c r="J16" s="82"/>
      <c r="K16" s="81"/>
      <c r="L16" s="81"/>
      <c r="M16" s="81"/>
      <c r="N16" s="81">
        <v>0.3</v>
      </c>
      <c r="O16" s="77">
        <v>0.6</v>
      </c>
      <c r="P16" s="82"/>
      <c r="Q16" s="82"/>
      <c r="R16" s="81"/>
      <c r="S16" s="81"/>
      <c r="T16" s="81"/>
      <c r="U16" s="81"/>
      <c r="V16" s="77"/>
      <c r="W16" s="58">
        <f t="shared" si="0"/>
        <v>0.89999999999999991</v>
      </c>
      <c r="X16" s="68">
        <f t="shared" si="1"/>
        <v>0</v>
      </c>
      <c r="Y16" s="116">
        <f t="shared" si="2"/>
        <v>0.89999999999999991</v>
      </c>
      <c r="Z16" s="70">
        <f>'[1]cálculos teóricos'!I223</f>
        <v>11.014511389611176</v>
      </c>
      <c r="AA16" s="71">
        <f t="shared" si="3"/>
        <v>8.1710388065772452</v>
      </c>
      <c r="AB16" s="3"/>
    </row>
    <row r="17" spans="1:28" ht="18" customHeight="1">
      <c r="A17" s="80">
        <v>9</v>
      </c>
      <c r="B17" s="75">
        <v>7.1</v>
      </c>
      <c r="C17" s="73">
        <f>'[1]cálculos teóricos'!K224</f>
        <v>0.97281346956618042</v>
      </c>
      <c r="D17" s="58">
        <f t="shared" si="4"/>
        <v>100.58973964459217</v>
      </c>
      <c r="E17" s="59">
        <f t="shared" si="5"/>
        <v>4.2114912194397851</v>
      </c>
      <c r="F17" s="60">
        <f t="shared" si="6"/>
        <v>5.5934465042997319</v>
      </c>
      <c r="G17" s="61">
        <f>'[1]cálculos teóricos'!T224</f>
        <v>26.046163460798493</v>
      </c>
      <c r="H17" s="74">
        <f t="shared" si="7"/>
        <v>21.475126318385833</v>
      </c>
      <c r="I17" s="185"/>
      <c r="J17" s="82"/>
      <c r="K17" s="81"/>
      <c r="L17" s="81"/>
      <c r="M17" s="81"/>
      <c r="N17" s="81"/>
      <c r="O17" s="77"/>
      <c r="P17" s="79"/>
      <c r="Q17" s="82"/>
      <c r="R17" s="81"/>
      <c r="S17" s="81"/>
      <c r="T17" s="81"/>
      <c r="U17" s="81"/>
      <c r="V17" s="77"/>
      <c r="W17" s="58">
        <f t="shared" si="0"/>
        <v>0</v>
      </c>
      <c r="X17" s="68">
        <f t="shared" si="1"/>
        <v>0</v>
      </c>
      <c r="Y17" s="116">
        <f t="shared" si="2"/>
        <v>0</v>
      </c>
      <c r="Z17" s="70">
        <f>'[1]cálculos teóricos'!I224</f>
        <v>11.032589642507965</v>
      </c>
      <c r="AA17" s="71">
        <f t="shared" si="3"/>
        <v>0</v>
      </c>
      <c r="AB17" s="3"/>
    </row>
    <row r="18" spans="1:28" ht="18" customHeight="1">
      <c r="A18" s="80">
        <v>10</v>
      </c>
      <c r="B18" s="75">
        <v>19.7</v>
      </c>
      <c r="C18" s="73">
        <f>'[1]cálculos teóricos'!K225</f>
        <v>0.97369944868287672</v>
      </c>
      <c r="D18" s="58">
        <f t="shared" si="4"/>
        <v>279.3552968415936</v>
      </c>
      <c r="E18" s="59">
        <f t="shared" si="5"/>
        <v>11.69604756816384</v>
      </c>
      <c r="F18" s="60">
        <f t="shared" si="6"/>
        <v>14.949141940204802</v>
      </c>
      <c r="G18" s="61">
        <f>'[1]cálculos teóricos'!T225</f>
        <v>26.202696686531851</v>
      </c>
      <c r="H18" s="74">
        <f t="shared" si="7"/>
        <v>57.051921483671713</v>
      </c>
      <c r="I18" s="185"/>
      <c r="J18" s="82"/>
      <c r="K18" s="81"/>
      <c r="L18" s="81"/>
      <c r="M18" s="81">
        <v>0.4</v>
      </c>
      <c r="N18" s="81">
        <v>0.2</v>
      </c>
      <c r="O18" s="77">
        <v>0.9</v>
      </c>
      <c r="P18" s="82">
        <v>1</v>
      </c>
      <c r="Q18" s="81">
        <v>1</v>
      </c>
      <c r="R18" s="81">
        <v>1</v>
      </c>
      <c r="S18" s="81">
        <v>1</v>
      </c>
      <c r="T18" s="81">
        <v>0.7</v>
      </c>
      <c r="U18" s="81"/>
      <c r="V18" s="77"/>
      <c r="W18" s="58">
        <f t="shared" si="0"/>
        <v>1.5</v>
      </c>
      <c r="X18" s="68">
        <f t="shared" si="1"/>
        <v>4.7</v>
      </c>
      <c r="Y18" s="116">
        <f t="shared" si="2"/>
        <v>6.2</v>
      </c>
      <c r="Z18" s="70">
        <f>'[1]cálculos teóricos'!I225</f>
        <v>11.050883067555807</v>
      </c>
      <c r="AA18" s="71">
        <f t="shared" si="3"/>
        <v>56.104113690267226</v>
      </c>
      <c r="AB18" s="3"/>
    </row>
    <row r="19" spans="1:28" ht="18" customHeight="1">
      <c r="A19" s="80">
        <v>11</v>
      </c>
      <c r="B19" s="75">
        <v>19</v>
      </c>
      <c r="C19" s="73">
        <f>'[1]cálculos teóricos'!K226</f>
        <v>0.97459278593784082</v>
      </c>
      <c r="D19" s="58">
        <f t="shared" si="4"/>
        <v>269.67615872210922</v>
      </c>
      <c r="E19" s="59">
        <f t="shared" si="5"/>
        <v>11.290801413377269</v>
      </c>
      <c r="F19" s="60">
        <f t="shared" si="6"/>
        <v>14.442584246721585</v>
      </c>
      <c r="G19" s="61">
        <f>'[1]cálculos teóricos'!T226</f>
        <v>26.361215168271393</v>
      </c>
      <c r="H19" s="74">
        <f t="shared" si="7"/>
        <v>54.787247683880736</v>
      </c>
      <c r="I19" s="185"/>
      <c r="J19" s="82"/>
      <c r="K19" s="81">
        <v>0.4</v>
      </c>
      <c r="L19" s="81">
        <v>0.6</v>
      </c>
      <c r="M19" s="81">
        <v>0.3</v>
      </c>
      <c r="N19" s="81">
        <v>1</v>
      </c>
      <c r="O19" s="77">
        <v>0.8</v>
      </c>
      <c r="P19" s="82">
        <v>0.3</v>
      </c>
      <c r="Q19" s="81">
        <v>1</v>
      </c>
      <c r="R19" s="81">
        <v>0.8</v>
      </c>
      <c r="S19" s="81">
        <v>0.8</v>
      </c>
      <c r="T19" s="81">
        <v>0.4</v>
      </c>
      <c r="U19" s="81"/>
      <c r="V19" s="77"/>
      <c r="W19" s="58">
        <f t="shared" si="0"/>
        <v>3.0999999999999996</v>
      </c>
      <c r="X19" s="68">
        <f t="shared" si="1"/>
        <v>3.3000000000000003</v>
      </c>
      <c r="Y19" s="116">
        <f t="shared" si="2"/>
        <v>6.4</v>
      </c>
      <c r="Z19" s="70">
        <f>'[1]cálculos teóricos'!I226</f>
        <v>11.069384878614876</v>
      </c>
      <c r="AA19" s="71">
        <f t="shared" si="3"/>
        <v>57.817124168880092</v>
      </c>
      <c r="AB19" s="3"/>
    </row>
    <row r="20" spans="1:28" ht="18" customHeight="1">
      <c r="A20" s="80">
        <v>12</v>
      </c>
      <c r="B20" s="75">
        <v>25</v>
      </c>
      <c r="C20" s="73">
        <f>'[1]cálculos teóricos'!K227</f>
        <v>0.97549297486618836</v>
      </c>
      <c r="D20" s="58">
        <f t="shared" si="4"/>
        <v>355.16479848659338</v>
      </c>
      <c r="E20" s="59">
        <f t="shared" si="5"/>
        <v>14.870039783036692</v>
      </c>
      <c r="F20" s="60">
        <f t="shared" si="6"/>
        <v>18.916632208795864</v>
      </c>
      <c r="G20" s="61">
        <f>'[1]cálculos teóricos'!T227</f>
        <v>26.521651640191784</v>
      </c>
      <c r="H20" s="74">
        <f t="shared" si="7"/>
        <v>71.325241977498024</v>
      </c>
      <c r="I20" s="185"/>
      <c r="J20" s="82"/>
      <c r="K20" s="81">
        <v>1</v>
      </c>
      <c r="L20" s="81">
        <v>1</v>
      </c>
      <c r="M20" s="81">
        <v>1</v>
      </c>
      <c r="N20" s="81">
        <v>1</v>
      </c>
      <c r="O20" s="77">
        <v>1</v>
      </c>
      <c r="P20" s="82">
        <v>1</v>
      </c>
      <c r="Q20" s="81">
        <v>1</v>
      </c>
      <c r="R20" s="81">
        <v>1</v>
      </c>
      <c r="S20" s="81">
        <v>1</v>
      </c>
      <c r="T20" s="81">
        <v>0.6</v>
      </c>
      <c r="U20" s="81"/>
      <c r="V20" s="77"/>
      <c r="W20" s="58">
        <f t="shared" si="0"/>
        <v>5</v>
      </c>
      <c r="X20" s="68">
        <f t="shared" si="1"/>
        <v>4.5999999999999996</v>
      </c>
      <c r="Y20" s="78">
        <f t="shared" si="2"/>
        <v>9.6</v>
      </c>
      <c r="Z20" s="70">
        <f>'[1]cálculos teóricos'!I227</f>
        <v>11.088088402300205</v>
      </c>
      <c r="AA20" s="71">
        <f t="shared" si="3"/>
        <v>86.579396300704971</v>
      </c>
      <c r="AB20" s="3"/>
    </row>
    <row r="21" spans="1:28" ht="18" customHeight="1">
      <c r="A21" s="80">
        <v>13</v>
      </c>
      <c r="B21" s="75">
        <v>27.3</v>
      </c>
      <c r="C21" s="73">
        <f>'[1]cálculos teóricos'!K228</f>
        <v>0.97639951161751659</v>
      </c>
      <c r="D21" s="58">
        <f t="shared" si="4"/>
        <v>388.20038404715854</v>
      </c>
      <c r="E21" s="59">
        <f t="shared" si="5"/>
        <v>16.253173679286434</v>
      </c>
      <c r="F21" s="60">
        <f t="shared" si="6"/>
        <v>20.645549579108042</v>
      </c>
      <c r="G21" s="61">
        <f>'[1]cálculos teóricos'!T228</f>
        <v>26.683938510886904</v>
      </c>
      <c r="H21" s="74">
        <f t="shared" si="7"/>
        <v>77.370698372299003</v>
      </c>
      <c r="I21" s="185"/>
      <c r="J21" s="82"/>
      <c r="K21" s="81">
        <v>0.1</v>
      </c>
      <c r="L21" s="81">
        <v>0.9</v>
      </c>
      <c r="M21" s="81">
        <v>1</v>
      </c>
      <c r="N21" s="81">
        <v>1</v>
      </c>
      <c r="O21" s="77">
        <v>1</v>
      </c>
      <c r="P21" s="82">
        <v>1</v>
      </c>
      <c r="Q21" s="81">
        <v>1</v>
      </c>
      <c r="R21" s="81">
        <v>1</v>
      </c>
      <c r="S21" s="81">
        <v>1</v>
      </c>
      <c r="T21" s="81">
        <v>1</v>
      </c>
      <c r="U21" s="81">
        <v>0.1</v>
      </c>
      <c r="V21" s="77"/>
      <c r="W21" s="58">
        <f t="shared" si="0"/>
        <v>4</v>
      </c>
      <c r="X21" s="68">
        <f t="shared" si="1"/>
        <v>5.0999999999999996</v>
      </c>
      <c r="Y21" s="186">
        <f t="shared" si="2"/>
        <v>9.1</v>
      </c>
      <c r="Z21" s="70">
        <f>'[1]cálculos teóricos'!I228</f>
        <v>11.106987081875399</v>
      </c>
      <c r="AA21" s="71">
        <f t="shared" si="3"/>
        <v>81.930409506368832</v>
      </c>
      <c r="AB21" s="3"/>
    </row>
    <row r="22" spans="1:28" ht="18" customHeight="1">
      <c r="A22" s="80">
        <v>14</v>
      </c>
      <c r="B22" s="75">
        <v>27.1</v>
      </c>
      <c r="C22" s="73">
        <f>'[1]cálculos teóricos'!K229</f>
        <v>0.97731189534482377</v>
      </c>
      <c r="D22" s="58">
        <f t="shared" si="4"/>
        <v>385.71651645085268</v>
      </c>
      <c r="E22" s="59">
        <f t="shared" si="5"/>
        <v>16.149179110764297</v>
      </c>
      <c r="F22" s="60">
        <f t="shared" si="6"/>
        <v>20.515556368455371</v>
      </c>
      <c r="G22" s="61">
        <f>'[1]cálculos teóricos'!T229</f>
        <v>26.848007904630741</v>
      </c>
      <c r="H22" s="74">
        <f t="shared" si="7"/>
        <v>76.413700567023639</v>
      </c>
      <c r="I22" s="185"/>
      <c r="J22" s="82">
        <v>0.3</v>
      </c>
      <c r="K22" s="81">
        <v>1</v>
      </c>
      <c r="L22" s="81">
        <v>1</v>
      </c>
      <c r="M22" s="81">
        <v>1</v>
      </c>
      <c r="N22" s="81">
        <v>1</v>
      </c>
      <c r="O22" s="77">
        <v>1</v>
      </c>
      <c r="P22" s="82">
        <v>1</v>
      </c>
      <c r="Q22" s="81">
        <v>1</v>
      </c>
      <c r="R22" s="81">
        <v>1</v>
      </c>
      <c r="S22" s="81">
        <v>1</v>
      </c>
      <c r="T22" s="81">
        <v>1</v>
      </c>
      <c r="U22" s="81"/>
      <c r="V22" s="77"/>
      <c r="W22" s="58">
        <f t="shared" si="0"/>
        <v>5.3</v>
      </c>
      <c r="X22" s="187">
        <f t="shared" si="1"/>
        <v>5</v>
      </c>
      <c r="Y22" s="186">
        <f t="shared" si="2"/>
        <v>10.3</v>
      </c>
      <c r="Z22" s="70">
        <f>'[1]cálculos teóricos'!I229</f>
        <v>11.126074480638078</v>
      </c>
      <c r="AA22" s="71">
        <f t="shared" si="3"/>
        <v>92.575328503546899</v>
      </c>
      <c r="AB22" s="3"/>
    </row>
    <row r="23" spans="1:28" ht="18" customHeight="1">
      <c r="A23" s="80">
        <v>15</v>
      </c>
      <c r="B23" s="75">
        <v>26.4</v>
      </c>
      <c r="C23" s="73">
        <f>'[1]cálculos teóricos'!K230</f>
        <v>0.97822962857678464</v>
      </c>
      <c r="D23" s="58">
        <f t="shared" si="4"/>
        <v>376.10620596853931</v>
      </c>
      <c r="E23" s="59">
        <f t="shared" si="5"/>
        <v>15.746814631490803</v>
      </c>
      <c r="F23" s="60">
        <f t="shared" si="6"/>
        <v>20.012600769363505</v>
      </c>
      <c r="G23" s="61">
        <f>'[1]cálculos teóricos'!T230</f>
        <v>27.01379170182711</v>
      </c>
      <c r="H23" s="74">
        <f t="shared" si="7"/>
        <v>74.082901764619479</v>
      </c>
      <c r="I23" s="185"/>
      <c r="J23" s="82">
        <v>0.3</v>
      </c>
      <c r="K23" s="81">
        <v>1</v>
      </c>
      <c r="L23" s="81">
        <v>1</v>
      </c>
      <c r="M23" s="81">
        <v>1</v>
      </c>
      <c r="N23" s="81">
        <v>1</v>
      </c>
      <c r="O23" s="77">
        <v>1</v>
      </c>
      <c r="P23" s="82">
        <v>1</v>
      </c>
      <c r="Q23" s="82">
        <v>1</v>
      </c>
      <c r="R23" s="82">
        <v>1</v>
      </c>
      <c r="S23" s="82">
        <v>1</v>
      </c>
      <c r="T23" s="81">
        <v>1</v>
      </c>
      <c r="U23" s="81">
        <v>0.1</v>
      </c>
      <c r="V23" s="77"/>
      <c r="W23" s="58">
        <f t="shared" si="0"/>
        <v>5.3</v>
      </c>
      <c r="X23" s="68">
        <f t="shared" si="1"/>
        <v>5.0999999999999996</v>
      </c>
      <c r="Y23" s="186">
        <f t="shared" si="2"/>
        <v>10.399999999999999</v>
      </c>
      <c r="Z23" s="70">
        <f>'[1]cálculos teóricos'!I230</f>
        <v>11.145344284807122</v>
      </c>
      <c r="AA23" s="71">
        <f t="shared" si="3"/>
        <v>93.312505511174322</v>
      </c>
      <c r="AB23" s="3"/>
    </row>
    <row r="24" spans="1:28" ht="18" customHeight="1">
      <c r="A24" s="80">
        <v>16</v>
      </c>
      <c r="B24" s="75">
        <v>20.7</v>
      </c>
      <c r="C24" s="73">
        <f>'[1]cálculos teóricos'!K231</f>
        <v>0.97915221757325832</v>
      </c>
      <c r="D24" s="58">
        <f t="shared" si="4"/>
        <v>295.17958473700264</v>
      </c>
      <c r="E24" s="59">
        <f t="shared" si="5"/>
        <v>12.358578853768826</v>
      </c>
      <c r="F24" s="60">
        <f t="shared" si="6"/>
        <v>15.777306047211034</v>
      </c>
      <c r="G24" s="61">
        <f>'[1]cálculos teóricos'!T231</f>
        <v>27.181221578598191</v>
      </c>
      <c r="H24" s="74">
        <f t="shared" si="7"/>
        <v>58.044874847102854</v>
      </c>
      <c r="I24" s="185"/>
      <c r="J24" s="82">
        <v>0.3</v>
      </c>
      <c r="K24" s="81">
        <v>0.8</v>
      </c>
      <c r="L24" s="81">
        <v>0.4</v>
      </c>
      <c r="M24" s="81">
        <v>0.7</v>
      </c>
      <c r="N24" s="81">
        <v>1</v>
      </c>
      <c r="O24" s="77">
        <v>0.9</v>
      </c>
      <c r="P24" s="82">
        <v>0.4</v>
      </c>
      <c r="Q24" s="81">
        <v>0.8</v>
      </c>
      <c r="R24" s="81">
        <v>0.8</v>
      </c>
      <c r="S24" s="81">
        <v>0.2</v>
      </c>
      <c r="T24" s="81">
        <v>0.2</v>
      </c>
      <c r="U24" s="81"/>
      <c r="V24" s="77"/>
      <c r="W24" s="58">
        <f t="shared" si="0"/>
        <v>4.1000000000000005</v>
      </c>
      <c r="X24" s="68">
        <f t="shared" si="1"/>
        <v>2.4000000000000004</v>
      </c>
      <c r="Y24" s="186">
        <f t="shared" si="2"/>
        <v>6.5000000000000009</v>
      </c>
      <c r="Z24" s="70">
        <f>'[1]cálculos teóricos'!I231</f>
        <v>11.16479030592296</v>
      </c>
      <c r="AA24" s="71">
        <f t="shared" si="3"/>
        <v>58.218737852619846</v>
      </c>
      <c r="AB24" s="3"/>
    </row>
    <row r="25" spans="1:28" ht="18" customHeight="1">
      <c r="A25" s="85">
        <v>17</v>
      </c>
      <c r="B25" s="75">
        <v>11.2</v>
      </c>
      <c r="C25" s="73">
        <f>'[1]cálculos teóricos'!K232</f>
        <v>0.98007917266395439</v>
      </c>
      <c r="D25" s="58">
        <f t="shared" si="4"/>
        <v>159.86188994822479</v>
      </c>
      <c r="E25" s="59">
        <f t="shared" si="5"/>
        <v>6.6930976083522751</v>
      </c>
      <c r="F25" s="60">
        <f t="shared" si="6"/>
        <v>8.6954544904403441</v>
      </c>
      <c r="G25" s="61">
        <f>'[1]cálculos teóricos'!T232</f>
        <v>27.350229045466691</v>
      </c>
      <c r="H25" s="74">
        <f t="shared" si="7"/>
        <v>31.792985996516247</v>
      </c>
      <c r="I25" s="185"/>
      <c r="J25" s="82"/>
      <c r="K25" s="81"/>
      <c r="L25" s="81"/>
      <c r="M25" s="81">
        <v>0.1</v>
      </c>
      <c r="N25" s="81">
        <v>0.5</v>
      </c>
      <c r="O25" s="76">
        <v>0.4</v>
      </c>
      <c r="P25" s="82"/>
      <c r="Q25" s="81"/>
      <c r="R25" s="81"/>
      <c r="S25" s="81"/>
      <c r="T25" s="81"/>
      <c r="U25" s="81"/>
      <c r="V25" s="77"/>
      <c r="W25" s="58">
        <f t="shared" si="0"/>
        <v>1</v>
      </c>
      <c r="X25" s="68">
        <f t="shared" si="1"/>
        <v>0</v>
      </c>
      <c r="Y25" s="150">
        <f t="shared" si="2"/>
        <v>1</v>
      </c>
      <c r="Z25" s="70">
        <f>'[1]cálculos teóricos'!I232</f>
        <v>11.184406482772879</v>
      </c>
      <c r="AA25" s="71">
        <f t="shared" si="3"/>
        <v>8.9410198166552721</v>
      </c>
      <c r="AB25" s="3"/>
    </row>
    <row r="26" spans="1:28" ht="18" customHeight="1">
      <c r="A26" s="85">
        <v>18</v>
      </c>
      <c r="B26" s="75">
        <v>12.4</v>
      </c>
      <c r="C26" s="73">
        <f>'[1]cálculos teóricos'!K233</f>
        <v>0.98101000857026255</v>
      </c>
      <c r="D26" s="58">
        <f t="shared" si="4"/>
        <v>177.15804682168147</v>
      </c>
      <c r="E26" s="59">
        <f t="shared" si="5"/>
        <v>7.4172531043301593</v>
      </c>
      <c r="F26" s="60">
        <f t="shared" si="6"/>
        <v>9.6006488604126989</v>
      </c>
      <c r="G26" s="61">
        <f>'[1]cálculos teóricos'!T233</f>
        <v>27.520745485092121</v>
      </c>
      <c r="H26" s="74">
        <f t="shared" si="7"/>
        <v>34.885133709816593</v>
      </c>
      <c r="I26" s="185"/>
      <c r="J26" s="82"/>
      <c r="K26" s="81"/>
      <c r="L26" s="81">
        <v>0.4</v>
      </c>
      <c r="M26" s="81">
        <v>0.3</v>
      </c>
      <c r="N26" s="81"/>
      <c r="O26" s="76">
        <v>0.6</v>
      </c>
      <c r="P26" s="82">
        <v>0.1</v>
      </c>
      <c r="Q26" s="81">
        <v>0.1</v>
      </c>
      <c r="R26" s="81">
        <v>0.7</v>
      </c>
      <c r="S26" s="81"/>
      <c r="T26" s="81"/>
      <c r="U26" s="81"/>
      <c r="V26" s="77"/>
      <c r="W26" s="58">
        <f t="shared" si="0"/>
        <v>1.2999999999999998</v>
      </c>
      <c r="X26" s="68">
        <f t="shared" si="1"/>
        <v>0.89999999999999991</v>
      </c>
      <c r="Y26" s="78">
        <f t="shared" si="2"/>
        <v>2.1999999999999997</v>
      </c>
      <c r="Z26" s="70">
        <f>'[1]cálculos teóricos'!I233</f>
        <v>11.204186882854412</v>
      </c>
      <c r="AA26" s="71">
        <f t="shared" si="3"/>
        <v>19.635516820650544</v>
      </c>
      <c r="AB26" s="3"/>
    </row>
    <row r="27" spans="1:28" ht="18" customHeight="1">
      <c r="A27" s="85">
        <v>19</v>
      </c>
      <c r="B27" s="75">
        <v>4.9000000000000004</v>
      </c>
      <c r="C27" s="73">
        <f>'[1]cálculos teóricos'!K234</f>
        <v>0.98194424471029895</v>
      </c>
      <c r="D27" s="58">
        <f t="shared" si="4"/>
        <v>70.07267053840836</v>
      </c>
      <c r="E27" s="59">
        <f t="shared" si="5"/>
        <v>2.9338025701020816</v>
      </c>
      <c r="F27" s="60">
        <f t="shared" si="6"/>
        <v>3.9963356926276017</v>
      </c>
      <c r="G27" s="61">
        <f>'[1]cálculos teóricos'!T234</f>
        <v>27.692702189027393</v>
      </c>
      <c r="H27" s="74">
        <f t="shared" si="7"/>
        <v>14.431006643371404</v>
      </c>
      <c r="I27" s="185"/>
      <c r="J27" s="82"/>
      <c r="K27" s="81"/>
      <c r="L27" s="81"/>
      <c r="M27" s="81"/>
      <c r="N27" s="81"/>
      <c r="O27" s="76"/>
      <c r="P27" s="82"/>
      <c r="Q27" s="81"/>
      <c r="R27" s="81"/>
      <c r="S27" s="81"/>
      <c r="T27" s="81"/>
      <c r="U27" s="81"/>
      <c r="V27" s="77"/>
      <c r="W27" s="58">
        <f t="shared" si="0"/>
        <v>0</v>
      </c>
      <c r="X27" s="68">
        <f t="shared" si="1"/>
        <v>0</v>
      </c>
      <c r="Y27" s="78">
        <f t="shared" si="2"/>
        <v>0</v>
      </c>
      <c r="Z27" s="70">
        <f>'[1]cálculos teóricos'!I234</f>
        <v>11.224125703390222</v>
      </c>
      <c r="AA27" s="71">
        <f t="shared" si="3"/>
        <v>0</v>
      </c>
      <c r="AB27" s="3"/>
    </row>
    <row r="28" spans="1:28" ht="18" customHeight="1">
      <c r="A28" s="85">
        <v>20</v>
      </c>
      <c r="B28" s="75">
        <v>11.7</v>
      </c>
      <c r="C28" s="73">
        <f>'[1]cálculos teóricos'!K235</f>
        <v>0.98288140548729619</v>
      </c>
      <c r="D28" s="58">
        <f t="shared" si="4"/>
        <v>167.47606218112657</v>
      </c>
      <c r="E28" s="59">
        <f t="shared" si="5"/>
        <v>7.0118877713994072</v>
      </c>
      <c r="F28" s="60">
        <f t="shared" si="6"/>
        <v>9.0939421942492586</v>
      </c>
      <c r="G28" s="61">
        <f>'[1]cálculos teóricos'!T235</f>
        <v>27.866030393466986</v>
      </c>
      <c r="H28" s="74">
        <f t="shared" si="7"/>
        <v>32.63450899120987</v>
      </c>
      <c r="I28" s="185"/>
      <c r="J28" s="82"/>
      <c r="K28" s="81"/>
      <c r="L28" s="81"/>
      <c r="M28" s="81"/>
      <c r="N28" s="81"/>
      <c r="O28" s="76"/>
      <c r="P28" s="82"/>
      <c r="Q28" s="81"/>
      <c r="R28" s="81"/>
      <c r="S28" s="81"/>
      <c r="T28" s="81"/>
      <c r="U28" s="81"/>
      <c r="V28" s="77"/>
      <c r="W28" s="58">
        <f t="shared" si="0"/>
        <v>0</v>
      </c>
      <c r="X28" s="68">
        <f t="shared" si="1"/>
        <v>0</v>
      </c>
      <c r="Y28" s="78">
        <f t="shared" si="2"/>
        <v>0</v>
      </c>
      <c r="Z28" s="70">
        <f>'[1]cálculos teóricos'!I235</f>
        <v>11.244217271908742</v>
      </c>
      <c r="AA28" s="71">
        <f t="shared" si="3"/>
        <v>0</v>
      </c>
      <c r="AB28" s="3"/>
    </row>
    <row r="29" spans="1:28" ht="18" customHeight="1">
      <c r="A29" s="85">
        <v>21</v>
      </c>
      <c r="B29" s="75">
        <v>20.2</v>
      </c>
      <c r="C29" s="73">
        <f>'[1]cálculos teóricos'!K236</f>
        <v>0.98382102056150911</v>
      </c>
      <c r="D29" s="58">
        <f t="shared" si="4"/>
        <v>289.42312414554027</v>
      </c>
      <c r="E29" s="59">
        <f t="shared" si="5"/>
        <v>12.117567361725481</v>
      </c>
      <c r="F29" s="60">
        <f t="shared" si="6"/>
        <v>15.476041682156849</v>
      </c>
      <c r="G29" s="61">
        <f>'[1]cálculos teóricos'!T236</f>
        <v>28.040661313965174</v>
      </c>
      <c r="H29" s="74">
        <f t="shared" si="7"/>
        <v>55.191429006880341</v>
      </c>
      <c r="I29" s="185"/>
      <c r="J29" s="82"/>
      <c r="K29" s="81">
        <v>0.7</v>
      </c>
      <c r="L29" s="81">
        <v>1</v>
      </c>
      <c r="M29" s="81"/>
      <c r="N29" s="81"/>
      <c r="O29" s="76">
        <v>0.7</v>
      </c>
      <c r="P29" s="82">
        <v>0.6</v>
      </c>
      <c r="Q29" s="81">
        <v>0.2</v>
      </c>
      <c r="R29" s="81">
        <v>1</v>
      </c>
      <c r="S29" s="81">
        <v>0.8</v>
      </c>
      <c r="T29" s="81">
        <v>0.6</v>
      </c>
      <c r="U29" s="81"/>
      <c r="V29" s="77"/>
      <c r="W29" s="58">
        <f t="shared" si="0"/>
        <v>2.4</v>
      </c>
      <c r="X29" s="68">
        <f t="shared" si="1"/>
        <v>3.2</v>
      </c>
      <c r="Y29" s="78">
        <f t="shared" si="2"/>
        <v>5.6</v>
      </c>
      <c r="Z29" s="70">
        <f>'[1]cálculos teóricos'!I236</f>
        <v>11.264456046405073</v>
      </c>
      <c r="AA29" s="71">
        <f t="shared" si="3"/>
        <v>49.713896320694317</v>
      </c>
      <c r="AB29" s="3"/>
    </row>
    <row r="30" spans="1:28" ht="18" customHeight="1">
      <c r="A30" s="85">
        <v>22</v>
      </c>
      <c r="B30" s="75">
        <v>24.3</v>
      </c>
      <c r="C30" s="73">
        <f>'[1]cálculos teóricos'!K237</f>
        <v>0.98476262510587231</v>
      </c>
      <c r="D30" s="58">
        <f t="shared" si="4"/>
        <v>348.50064892472375</v>
      </c>
      <c r="E30" s="59">
        <f t="shared" si="5"/>
        <v>14.591025169180334</v>
      </c>
      <c r="F30" s="60">
        <f t="shared" si="6"/>
        <v>18.567863941475416</v>
      </c>
      <c r="G30" s="61">
        <f>'[1]cálculos teóricos'!T237</f>
        <v>28.216526179107174</v>
      </c>
      <c r="H30" s="74">
        <f t="shared" si="7"/>
        <v>65.804925183256344</v>
      </c>
      <c r="I30" s="185"/>
      <c r="J30" s="82"/>
      <c r="K30" s="81"/>
      <c r="L30" s="81">
        <v>0.2</v>
      </c>
      <c r="M30" s="81">
        <v>0.1</v>
      </c>
      <c r="N30" s="81">
        <v>0.7</v>
      </c>
      <c r="O30" s="77">
        <v>1</v>
      </c>
      <c r="P30" s="82">
        <v>1</v>
      </c>
      <c r="Q30" s="81">
        <v>1</v>
      </c>
      <c r="R30" s="81">
        <v>1</v>
      </c>
      <c r="S30" s="81">
        <v>1</v>
      </c>
      <c r="T30" s="81">
        <v>0.7</v>
      </c>
      <c r="U30" s="81"/>
      <c r="V30" s="77"/>
      <c r="W30" s="58">
        <f t="shared" si="0"/>
        <v>2</v>
      </c>
      <c r="X30" s="68">
        <f t="shared" si="1"/>
        <v>4.7</v>
      </c>
      <c r="Y30" s="78">
        <f t="shared" si="2"/>
        <v>6.7</v>
      </c>
      <c r="Z30" s="70">
        <f>'[1]cálculos teóricos'!I237</f>
        <v>11.284836615097095</v>
      </c>
      <c r="AA30" s="71">
        <f t="shared" si="3"/>
        <v>59.371705843189588</v>
      </c>
      <c r="AB30" s="3"/>
    </row>
    <row r="31" spans="1:28" ht="18" customHeight="1">
      <c r="A31" s="85">
        <v>23</v>
      </c>
      <c r="B31" s="75">
        <v>25.7</v>
      </c>
      <c r="C31" s="73">
        <f>'[1]cálculos teóricos'!K238</f>
        <v>0.98570576004569876</v>
      </c>
      <c r="D31" s="58">
        <f t="shared" si="4"/>
        <v>368.93187399613623</v>
      </c>
      <c r="E31" s="59">
        <f t="shared" si="5"/>
        <v>15.446439700470233</v>
      </c>
      <c r="F31" s="60">
        <f t="shared" si="6"/>
        <v>19.637132105587792</v>
      </c>
      <c r="G31" s="61">
        <f>'[1]cálculos teóricos'!T238</f>
        <v>28.393556263123799</v>
      </c>
      <c r="H31" s="74">
        <f t="shared" si="7"/>
        <v>69.160523337090979</v>
      </c>
      <c r="I31" s="185"/>
      <c r="J31" s="82"/>
      <c r="K31" s="81">
        <v>0.5</v>
      </c>
      <c r="L31" s="81">
        <v>0.9</v>
      </c>
      <c r="M31" s="81">
        <v>1</v>
      </c>
      <c r="N31" s="81">
        <v>1</v>
      </c>
      <c r="O31" s="77">
        <v>1</v>
      </c>
      <c r="P31" s="82">
        <v>1</v>
      </c>
      <c r="Q31" s="81">
        <v>0.9</v>
      </c>
      <c r="R31" s="81">
        <v>1</v>
      </c>
      <c r="S31" s="81">
        <v>1</v>
      </c>
      <c r="T31" s="81">
        <v>0.6</v>
      </c>
      <c r="U31" s="81"/>
      <c r="V31" s="77"/>
      <c r="W31" s="58">
        <f t="shared" si="0"/>
        <v>4.4000000000000004</v>
      </c>
      <c r="X31" s="68">
        <f t="shared" si="1"/>
        <v>4.5</v>
      </c>
      <c r="Y31" s="78">
        <f t="shared" si="2"/>
        <v>8.9</v>
      </c>
      <c r="Z31" s="70">
        <f>'[1]cálculos teóricos'!I238</f>
        <v>11.30535369579199</v>
      </c>
      <c r="AA31" s="71">
        <f t="shared" si="3"/>
        <v>78.723764328688844</v>
      </c>
      <c r="AB31" s="3"/>
    </row>
    <row r="32" spans="1:28" ht="18" customHeight="1">
      <c r="A32" s="80">
        <v>24</v>
      </c>
      <c r="B32" s="75">
        <v>21.9</v>
      </c>
      <c r="C32" s="73">
        <f>'[1]cálculos teóricos'!K239</f>
        <v>0.98664997228275131</v>
      </c>
      <c r="D32" s="58">
        <f t="shared" si="4"/>
        <v>314.68278348234264</v>
      </c>
      <c r="E32" s="59">
        <f t="shared" si="5"/>
        <v>13.17513877883872</v>
      </c>
      <c r="F32" s="60">
        <f t="shared" si="6"/>
        <v>16.798005953548401</v>
      </c>
      <c r="G32" s="61">
        <f>'[1]cálculos teóricos'!T239</f>
        <v>28.571682917445187</v>
      </c>
      <c r="H32" s="74">
        <f t="shared" si="7"/>
        <v>58.79249746010565</v>
      </c>
      <c r="I32" s="185"/>
      <c r="J32" s="82"/>
      <c r="K32" s="81"/>
      <c r="L32" s="81"/>
      <c r="M32" s="81">
        <v>0.5</v>
      </c>
      <c r="N32" s="81">
        <v>1</v>
      </c>
      <c r="O32" s="77">
        <v>1</v>
      </c>
      <c r="P32" s="82">
        <v>1</v>
      </c>
      <c r="Q32" s="81">
        <v>1</v>
      </c>
      <c r="R32" s="81">
        <v>0.9</v>
      </c>
      <c r="S32" s="81">
        <v>1</v>
      </c>
      <c r="T32" s="81">
        <v>0.6</v>
      </c>
      <c r="U32" s="81"/>
      <c r="V32" s="77"/>
      <c r="W32" s="58">
        <f t="shared" si="0"/>
        <v>2.5</v>
      </c>
      <c r="X32" s="68">
        <f t="shared" si="1"/>
        <v>4.5</v>
      </c>
      <c r="Y32" s="78">
        <f t="shared" si="2"/>
        <v>7</v>
      </c>
      <c r="Z32" s="70">
        <f>'[1]cálculos teóricos'!I239</f>
        <v>11.326002134878424</v>
      </c>
      <c r="AA32" s="71">
        <f t="shared" si="3"/>
        <v>61.804685507196751</v>
      </c>
      <c r="AB32" s="3"/>
    </row>
    <row r="33" spans="1:28" ht="18" customHeight="1">
      <c r="A33" s="85">
        <v>25</v>
      </c>
      <c r="B33" s="75">
        <v>21.2</v>
      </c>
      <c r="C33" s="73">
        <f>'[1]cálculos teóricos'!K240</f>
        <v>0.98759481490407497</v>
      </c>
      <c r="D33" s="58">
        <f t="shared" si="4"/>
        <v>304.91614624133649</v>
      </c>
      <c r="E33" s="59">
        <f t="shared" si="5"/>
        <v>12.766229210832275</v>
      </c>
      <c r="F33" s="60">
        <f t="shared" si="6"/>
        <v>16.286868993540345</v>
      </c>
      <c r="G33" s="61">
        <f>'[1]cálculos teóricos'!T240</f>
        <v>28.750837601195709</v>
      </c>
      <c r="H33" s="74">
        <f t="shared" si="7"/>
        <v>56.648328718127487</v>
      </c>
      <c r="I33" s="185"/>
      <c r="J33" s="82"/>
      <c r="K33" s="81"/>
      <c r="L33" s="81">
        <v>0.2</v>
      </c>
      <c r="M33" s="81">
        <v>0.2</v>
      </c>
      <c r="N33" s="81"/>
      <c r="O33" s="77">
        <v>1</v>
      </c>
      <c r="P33" s="82">
        <v>1</v>
      </c>
      <c r="Q33" s="81">
        <v>1</v>
      </c>
      <c r="R33" s="81">
        <v>0.5</v>
      </c>
      <c r="S33" s="81">
        <v>0.1</v>
      </c>
      <c r="T33" s="81"/>
      <c r="U33" s="81"/>
      <c r="V33" s="77"/>
      <c r="W33" s="58">
        <f t="shared" si="0"/>
        <v>1.4</v>
      </c>
      <c r="X33" s="68">
        <f t="shared" si="1"/>
        <v>2.6</v>
      </c>
      <c r="Y33" s="78">
        <f t="shared" si="2"/>
        <v>4</v>
      </c>
      <c r="Z33" s="70">
        <f>'[1]cálculos teóricos'!I240</f>
        <v>11.346776905959914</v>
      </c>
      <c r="AA33" s="71">
        <f t="shared" si="3"/>
        <v>35.252301452221147</v>
      </c>
      <c r="AB33" s="3"/>
    </row>
    <row r="34" spans="1:28" ht="18" customHeight="1">
      <c r="A34" s="80">
        <v>26</v>
      </c>
      <c r="B34" s="75">
        <v>17.100000000000001</v>
      </c>
      <c r="C34" s="73">
        <f>'[1]cálculos teóricos'!K241</f>
        <v>0.98853984737601885</v>
      </c>
      <c r="D34" s="58">
        <f t="shared" si="4"/>
        <v>246.18186115015712</v>
      </c>
      <c r="E34" s="59">
        <f t="shared" si="5"/>
        <v>10.307142162634777</v>
      </c>
      <c r="F34" s="60">
        <f t="shared" si="6"/>
        <v>13.213010183293472</v>
      </c>
      <c r="G34" s="61">
        <f>'[1]cálculos teóricos'!T241</f>
        <v>28.930951910638235</v>
      </c>
      <c r="H34" s="74">
        <f t="shared" si="7"/>
        <v>45.670844927971075</v>
      </c>
      <c r="I34" s="185"/>
      <c r="J34" s="82"/>
      <c r="K34" s="81"/>
      <c r="L34" s="81"/>
      <c r="M34" s="81"/>
      <c r="N34" s="81">
        <v>0.3</v>
      </c>
      <c r="O34" s="77">
        <v>1</v>
      </c>
      <c r="P34" s="82">
        <v>0.9</v>
      </c>
      <c r="Q34" s="81">
        <v>0.1</v>
      </c>
      <c r="R34" s="81">
        <v>0.8</v>
      </c>
      <c r="S34" s="81">
        <v>0.2</v>
      </c>
      <c r="T34" s="81"/>
      <c r="U34" s="81"/>
      <c r="V34" s="77"/>
      <c r="W34" s="58">
        <f t="shared" si="0"/>
        <v>1.3</v>
      </c>
      <c r="X34" s="68">
        <f t="shared" si="1"/>
        <v>2</v>
      </c>
      <c r="Y34" s="78">
        <f t="shared" si="2"/>
        <v>3.3</v>
      </c>
      <c r="Z34" s="70">
        <f>'[1]cálculos teóricos'!I241</f>
        <v>11.367673108144633</v>
      </c>
      <c r="AA34" s="71">
        <f t="shared" si="3"/>
        <v>29.029687681955235</v>
      </c>
      <c r="AB34" s="3"/>
    </row>
    <row r="35" spans="1:28" ht="18" customHeight="1">
      <c r="A35" s="85">
        <v>27</v>
      </c>
      <c r="B35" s="75">
        <v>26.6</v>
      </c>
      <c r="C35" s="73">
        <f>'[1]cálculos teóricos'!K242</f>
        <v>0.98948463572391299</v>
      </c>
      <c r="D35" s="58">
        <f t="shared" si="4"/>
        <v>383.31556249691454</v>
      </c>
      <c r="E35" s="59">
        <f t="shared" si="5"/>
        <v>16.048655970620818</v>
      </c>
      <c r="F35" s="60">
        <f t="shared" si="6"/>
        <v>20.389902443276021</v>
      </c>
      <c r="G35" s="61">
        <f>'[1]cálculos teóricos'!T242</f>
        <v>29.111957607581996</v>
      </c>
      <c r="H35" s="74">
        <f t="shared" si="7"/>
        <v>70.039612993822232</v>
      </c>
      <c r="I35" s="185"/>
      <c r="J35" s="82">
        <v>0.3</v>
      </c>
      <c r="K35" s="81">
        <v>1</v>
      </c>
      <c r="L35" s="81">
        <v>1</v>
      </c>
      <c r="M35" s="81">
        <v>1</v>
      </c>
      <c r="N35" s="81">
        <v>1</v>
      </c>
      <c r="O35" s="77">
        <v>1</v>
      </c>
      <c r="P35" s="82">
        <v>1</v>
      </c>
      <c r="Q35" s="81">
        <v>1</v>
      </c>
      <c r="R35" s="81">
        <v>1</v>
      </c>
      <c r="S35" s="81">
        <v>0.9</v>
      </c>
      <c r="T35" s="81">
        <v>0.9</v>
      </c>
      <c r="U35" s="81">
        <v>0.1</v>
      </c>
      <c r="V35" s="77"/>
      <c r="W35" s="58">
        <f t="shared" si="0"/>
        <v>5.3</v>
      </c>
      <c r="X35" s="68">
        <f t="shared" si="1"/>
        <v>4.8999999999999995</v>
      </c>
      <c r="Y35" s="78">
        <f t="shared" si="2"/>
        <v>10.199999999999999</v>
      </c>
      <c r="Z35" s="70">
        <f>'[1]cálculos teóricos'!I242</f>
        <v>11.388685964007152</v>
      </c>
      <c r="AA35" s="71">
        <f t="shared" si="3"/>
        <v>89.562571417247952</v>
      </c>
      <c r="AB35" s="3"/>
    </row>
    <row r="36" spans="1:28" ht="18" customHeight="1">
      <c r="A36" s="85">
        <v>28</v>
      </c>
      <c r="B36" s="75">
        <v>18.899999999999999</v>
      </c>
      <c r="C36" s="73">
        <f>'[1]cálculos teóricos'!K243</f>
        <v>0.99042875269791231</v>
      </c>
      <c r="D36" s="58">
        <f t="shared" si="4"/>
        <v>272.61566274441333</v>
      </c>
      <c r="E36" s="59">
        <f t="shared" si="5"/>
        <v>11.413872567783097</v>
      </c>
      <c r="F36" s="60">
        <f t="shared" si="6"/>
        <v>14.596423189728874</v>
      </c>
      <c r="G36" s="61">
        <f>'[1]cálculos teóricos'!T243</f>
        <v>29.29378664677364</v>
      </c>
      <c r="H36" s="74">
        <f t="shared" si="7"/>
        <v>49.827710448408332</v>
      </c>
      <c r="I36" s="185"/>
      <c r="J36" s="82">
        <v>0.3</v>
      </c>
      <c r="K36" s="81">
        <v>1</v>
      </c>
      <c r="L36" s="81">
        <v>1</v>
      </c>
      <c r="M36" s="81">
        <v>1</v>
      </c>
      <c r="N36" s="81">
        <v>1</v>
      </c>
      <c r="O36" s="77">
        <v>0.9</v>
      </c>
      <c r="P36" s="82">
        <v>1</v>
      </c>
      <c r="Q36" s="81">
        <v>0.1</v>
      </c>
      <c r="R36" s="81"/>
      <c r="S36" s="81"/>
      <c r="T36" s="81"/>
      <c r="U36" s="81"/>
      <c r="V36" s="77"/>
      <c r="W36" s="58">
        <f t="shared" si="0"/>
        <v>5.2</v>
      </c>
      <c r="X36" s="68">
        <f t="shared" si="1"/>
        <v>1.1000000000000001</v>
      </c>
      <c r="Y36" s="78">
        <f t="shared" si="2"/>
        <v>6.3000000000000007</v>
      </c>
      <c r="Z36" s="70">
        <f>'[1]cálculos teóricos'!I243</f>
        <v>11.409810817237096</v>
      </c>
      <c r="AA36" s="71">
        <f t="shared" si="3"/>
        <v>55.215639425698704</v>
      </c>
      <c r="AB36" s="3"/>
    </row>
    <row r="37" spans="1:28" ht="18" customHeight="1">
      <c r="A37" s="85">
        <v>29</v>
      </c>
      <c r="B37" s="75">
        <v>15.9</v>
      </c>
      <c r="C37" s="73">
        <f>'[1]cálculos teóricos'!K244</f>
        <v>0.99137177792554487</v>
      </c>
      <c r="D37" s="58">
        <f t="shared" si="4"/>
        <v>229.56170191631691</v>
      </c>
      <c r="E37" s="59">
        <f t="shared" si="5"/>
        <v>9.6112893358323568</v>
      </c>
      <c r="F37" s="60">
        <f t="shared" si="6"/>
        <v>12.343194149790445</v>
      </c>
      <c r="G37" s="61">
        <f>'[1]cálculos teóricos'!T244</f>
        <v>29.476371202297315</v>
      </c>
      <c r="H37" s="74">
        <f t="shared" si="7"/>
        <v>41.874876880463653</v>
      </c>
      <c r="I37" s="185"/>
      <c r="J37" s="82"/>
      <c r="K37" s="81"/>
      <c r="L37" s="81">
        <v>0.2</v>
      </c>
      <c r="M37" s="81"/>
      <c r="N37" s="81"/>
      <c r="O37" s="77">
        <v>0.3</v>
      </c>
      <c r="P37" s="82">
        <v>0.8</v>
      </c>
      <c r="Q37" s="81">
        <v>0.5</v>
      </c>
      <c r="R37" s="81">
        <v>0.5</v>
      </c>
      <c r="S37" s="81">
        <v>0.2</v>
      </c>
      <c r="T37" s="81"/>
      <c r="U37" s="81"/>
      <c r="V37" s="77"/>
      <c r="W37" s="58">
        <f t="shared" si="0"/>
        <v>0.5</v>
      </c>
      <c r="X37" s="68">
        <f>SUM(P37:V37)</f>
        <v>2</v>
      </c>
      <c r="Y37" s="78">
        <f>W37+X37</f>
        <v>2.5</v>
      </c>
      <c r="Z37" s="70">
        <f>'[1]cálculos teóricos'!I244</f>
        <v>11.431043129989952</v>
      </c>
      <c r="AA37" s="71">
        <f t="shared" si="3"/>
        <v>21.870270031972119</v>
      </c>
      <c r="AB37" s="3"/>
    </row>
    <row r="38" spans="1:28" ht="18" customHeight="1">
      <c r="A38" s="80">
        <v>30</v>
      </c>
      <c r="B38" s="75">
        <v>18.5</v>
      </c>
      <c r="C38" s="73">
        <f>'[1]cálculos teóricos'!K245</f>
        <v>0.9923132980515369</v>
      </c>
      <c r="D38" s="58">
        <f t="shared" si="4"/>
        <v>267.35376224921083</v>
      </c>
      <c r="E38" s="59">
        <f t="shared" si="5"/>
        <v>11.19356731784996</v>
      </c>
      <c r="F38" s="60">
        <f t="shared" si="6"/>
        <v>14.32104162731245</v>
      </c>
      <c r="G38" s="61">
        <f>'[1]cálculos teóricos'!T245</f>
        <v>29.659643693014726</v>
      </c>
      <c r="H38" s="74">
        <f t="shared" si="7"/>
        <v>48.284604412443642</v>
      </c>
      <c r="I38" s="185"/>
      <c r="J38" s="82">
        <v>0.3</v>
      </c>
      <c r="K38" s="81">
        <v>0.6</v>
      </c>
      <c r="L38" s="81">
        <v>0.2</v>
      </c>
      <c r="M38" s="81">
        <v>0.8</v>
      </c>
      <c r="N38" s="81">
        <v>0.5</v>
      </c>
      <c r="O38" s="77"/>
      <c r="P38" s="82">
        <v>0.2</v>
      </c>
      <c r="Q38" s="81">
        <v>0.2</v>
      </c>
      <c r="R38" s="81">
        <v>0.8</v>
      </c>
      <c r="S38" s="81">
        <v>0.9</v>
      </c>
      <c r="T38" s="81">
        <v>0.8</v>
      </c>
      <c r="U38" s="81">
        <v>0.1</v>
      </c>
      <c r="V38" s="77"/>
      <c r="W38" s="58">
        <f t="shared" si="0"/>
        <v>2.4</v>
      </c>
      <c r="X38" s="68">
        <f>SUM(P38:V38)</f>
        <v>3.0000000000000004</v>
      </c>
      <c r="Y38" s="78">
        <f>W38+X38</f>
        <v>5.4</v>
      </c>
      <c r="Z38" s="70">
        <f>'[1]cálculos teóricos'!I245</f>
        <v>11.452378479954556</v>
      </c>
      <c r="AA38" s="71">
        <f t="shared" si="3"/>
        <v>47.151777331248553</v>
      </c>
      <c r="AB38" s="3"/>
    </row>
    <row r="39" spans="1:28" ht="18" customHeight="1" thickBot="1">
      <c r="A39" s="86">
        <v>31</v>
      </c>
      <c r="B39" s="188">
        <v>-99</v>
      </c>
      <c r="C39" s="88">
        <f>'[1]cálculos teóricos'!K246</f>
        <v>0.99325290686551726</v>
      </c>
      <c r="D39" s="89">
        <f t="shared" si="4"/>
        <v>-999</v>
      </c>
      <c r="E39" s="90">
        <f t="shared" si="5"/>
        <v>-999</v>
      </c>
      <c r="F39" s="91">
        <f t="shared" si="6"/>
        <v>-999</v>
      </c>
      <c r="G39" s="92">
        <f>'[1]cálculos teóricos'!T246</f>
        <v>29.843536807081268</v>
      </c>
      <c r="H39" s="93">
        <f t="shared" si="7"/>
        <v>-999</v>
      </c>
      <c r="I39" s="189"/>
      <c r="J39" s="82">
        <v>0.5</v>
      </c>
      <c r="K39" s="81">
        <v>1</v>
      </c>
      <c r="L39" s="81">
        <v>1</v>
      </c>
      <c r="M39" s="81">
        <v>1</v>
      </c>
      <c r="N39" s="81">
        <v>1</v>
      </c>
      <c r="O39" s="190">
        <v>1</v>
      </c>
      <c r="P39" s="82">
        <v>1</v>
      </c>
      <c r="Q39" s="81">
        <v>1</v>
      </c>
      <c r="R39" s="81">
        <v>1</v>
      </c>
      <c r="S39" s="81">
        <v>1</v>
      </c>
      <c r="T39" s="81">
        <v>1</v>
      </c>
      <c r="U39" s="81">
        <v>0.2</v>
      </c>
      <c r="V39" s="77"/>
      <c r="W39" s="120">
        <f t="shared" si="0"/>
        <v>5.5</v>
      </c>
      <c r="X39" s="121">
        <f>SUM(P39:V39)</f>
        <v>5.2</v>
      </c>
      <c r="Y39" s="116">
        <f>W39+X39</f>
        <v>10.7</v>
      </c>
      <c r="Z39" s="98">
        <f>'[1]cálculos teóricos'!I246</f>
        <v>11.473812557151932</v>
      </c>
      <c r="AA39" s="99">
        <f t="shared" si="3"/>
        <v>93.255837557938889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80">
        <f>SUM(I9:I39)</f>
        <v>0</v>
      </c>
      <c r="J40" s="180">
        <f t="shared" ref="J40:AA40" si="8">SUM(J9:J39)</f>
        <v>2.2999999999999998</v>
      </c>
      <c r="K40" s="180">
        <f t="shared" si="8"/>
        <v>12.399999999999999</v>
      </c>
      <c r="L40" s="180">
        <f t="shared" si="8"/>
        <v>15.499999999999998</v>
      </c>
      <c r="M40" s="180">
        <f t="shared" si="8"/>
        <v>16.399999999999999</v>
      </c>
      <c r="N40" s="180">
        <f t="shared" si="8"/>
        <v>18</v>
      </c>
      <c r="O40" s="180">
        <f t="shared" si="8"/>
        <v>21.599999999999998</v>
      </c>
      <c r="P40" s="180">
        <f t="shared" si="8"/>
        <v>19.600000000000001</v>
      </c>
      <c r="Q40" s="180">
        <f t="shared" si="8"/>
        <v>18.099999999999998</v>
      </c>
      <c r="R40" s="180">
        <f t="shared" si="8"/>
        <v>19.5</v>
      </c>
      <c r="S40" s="180">
        <f t="shared" si="8"/>
        <v>16.600000000000001</v>
      </c>
      <c r="T40" s="180">
        <f t="shared" si="8"/>
        <v>12.3</v>
      </c>
      <c r="U40" s="180">
        <f t="shared" si="8"/>
        <v>0.60000000000000009</v>
      </c>
      <c r="V40" s="180">
        <f t="shared" si="8"/>
        <v>0</v>
      </c>
      <c r="W40" s="103">
        <f t="shared" si="0"/>
        <v>86.199999999999989</v>
      </c>
      <c r="X40" s="103">
        <f>SUM(P40:V40)</f>
        <v>86.7</v>
      </c>
      <c r="Y40" s="103">
        <f>W40+X40</f>
        <v>172.89999999999998</v>
      </c>
      <c r="Z40" s="103">
        <f t="shared" si="8"/>
        <v>346.32135512431353</v>
      </c>
      <c r="AA40" s="103">
        <f t="shared" si="8"/>
        <v>1547.5997096224755</v>
      </c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91"/>
      <c r="X41" s="191"/>
      <c r="Y41" s="191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2" width="12.7109375" style="7" customWidth="1"/>
    <col min="3" max="3" width="13.42578125" style="7" customWidth="1"/>
    <col min="4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83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84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41"/>
      <c r="S2" s="141"/>
      <c r="T2" s="141"/>
      <c r="U2" s="3"/>
      <c r="V2" s="8" t="s">
        <v>84</v>
      </c>
      <c r="W2" s="3"/>
      <c r="X2" s="108"/>
      <c r="Y2" s="3"/>
      <c r="Z2" s="3"/>
      <c r="AA2" s="3"/>
      <c r="AB2" s="3"/>
    </row>
    <row r="3" spans="1:28" ht="18" customHeight="1">
      <c r="A3" s="3"/>
      <c r="B3" s="8" t="s">
        <v>85</v>
      </c>
      <c r="C3" s="3"/>
      <c r="D3" s="141"/>
      <c r="E3" s="142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141"/>
      <c r="S3" s="141"/>
      <c r="T3" s="166"/>
      <c r="U3" s="3"/>
      <c r="V3" s="8" t="s">
        <v>6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158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56">
        <v>30.4</v>
      </c>
      <c r="C9" s="73">
        <f>'[1]cálculos teóricos'!K247</f>
        <v>0.99419020541821523</v>
      </c>
      <c r="D9" s="58">
        <f>IF(B9&gt;0,B9*C9*14.25*1.022,-999)</f>
        <v>440.15822732088861</v>
      </c>
      <c r="E9" s="59">
        <f>IF(B9&gt;0,D9*4.1868/100,-999)</f>
        <v>18.428544661470966</v>
      </c>
      <c r="F9" s="60">
        <f>IF(B9&gt;0,(7.86+1.25*D9)*4.1868/100,-999)</f>
        <v>23.364763306838707</v>
      </c>
      <c r="G9" s="61">
        <f>'[1]cálculos teóricos'!T247</f>
        <v>30.02798352557965</v>
      </c>
      <c r="H9" s="62">
        <f>IF(B9&gt;0,100*F9/G9,-999)</f>
        <v>77.809964451776096</v>
      </c>
      <c r="I9" s="63"/>
      <c r="J9" s="63">
        <v>0.6</v>
      </c>
      <c r="K9" s="160">
        <v>1</v>
      </c>
      <c r="L9" s="160">
        <v>1</v>
      </c>
      <c r="M9" s="160">
        <v>1</v>
      </c>
      <c r="N9" s="160">
        <v>1</v>
      </c>
      <c r="O9" s="161">
        <v>1</v>
      </c>
      <c r="P9" s="160">
        <v>1</v>
      </c>
      <c r="Q9" s="160">
        <v>1</v>
      </c>
      <c r="R9" s="160">
        <v>1</v>
      </c>
      <c r="S9" s="160">
        <v>1</v>
      </c>
      <c r="T9" s="63">
        <v>1</v>
      </c>
      <c r="U9" s="63">
        <v>0.2</v>
      </c>
      <c r="V9" s="64"/>
      <c r="W9" s="58">
        <f t="shared" ref="W9:W38" si="0">SUM(I9:O9)</f>
        <v>5.6</v>
      </c>
      <c r="X9" s="68">
        <f t="shared" ref="X9:X16" si="1">SUM(P9:V9)</f>
        <v>5.2</v>
      </c>
      <c r="Y9" s="145">
        <f t="shared" ref="Y9:Y16" si="2">W9+X9</f>
        <v>10.8</v>
      </c>
      <c r="Z9" s="70">
        <f>'[1]cálculos teóricos'!I247</f>
        <v>11.495341160479503</v>
      </c>
      <c r="AA9" s="71">
        <f>100*Y9/Z9</f>
        <v>93.951104619060317</v>
      </c>
      <c r="AB9" s="3"/>
    </row>
    <row r="10" spans="1:28" ht="18" customHeight="1">
      <c r="A10" s="109">
        <v>2</v>
      </c>
      <c r="B10" s="56">
        <v>29</v>
      </c>
      <c r="C10" s="73">
        <f>'[1]cálculos teóricos'!K248</f>
        <v>0.99512480212680143</v>
      </c>
      <c r="D10" s="58">
        <f>IF(B10&gt;0,B10*C10*14.25*1.022,-999)</f>
        <v>420.28250161743648</v>
      </c>
      <c r="E10" s="59">
        <f>IF(B10&gt;0,D10*4.1868/100,-999)</f>
        <v>17.596387777718832</v>
      </c>
      <c r="F10" s="60">
        <f>IF(B10&gt;0,(7.86+1.25*D10)*4.1868/100,-999)</f>
        <v>22.324567202148536</v>
      </c>
      <c r="G10" s="61">
        <f>'[1]cálculos teóricos'!T248</f>
        <v>30.21291714531624</v>
      </c>
      <c r="H10" s="74">
        <f>IF(B10&gt;0,100*F10/G10,-999)</f>
        <v>73.890803376493565</v>
      </c>
      <c r="I10" s="56"/>
      <c r="J10" s="75">
        <v>0.5</v>
      </c>
      <c r="K10" s="75">
        <v>1</v>
      </c>
      <c r="L10" s="79">
        <v>1</v>
      </c>
      <c r="M10" s="79">
        <v>1</v>
      </c>
      <c r="N10" s="79">
        <v>1</v>
      </c>
      <c r="O10" s="76">
        <v>1</v>
      </c>
      <c r="P10" s="79">
        <v>1</v>
      </c>
      <c r="Q10" s="79">
        <v>1</v>
      </c>
      <c r="R10" s="79">
        <v>1</v>
      </c>
      <c r="S10" s="79">
        <v>1</v>
      </c>
      <c r="T10" s="82">
        <v>1</v>
      </c>
      <c r="U10" s="82"/>
      <c r="V10" s="77"/>
      <c r="W10" s="58">
        <f t="shared" si="0"/>
        <v>5.5</v>
      </c>
      <c r="X10" s="68">
        <f t="shared" si="1"/>
        <v>5</v>
      </c>
      <c r="Y10" s="78">
        <f t="shared" si="2"/>
        <v>10.5</v>
      </c>
      <c r="Z10" s="70">
        <f>'[1]cálculos teóricos'!I248</f>
        <v>11.516960194014535</v>
      </c>
      <c r="AA10" s="71">
        <f t="shared" ref="AA10:AA38" si="3">100*Y10/Z10</f>
        <v>91.1698905190012</v>
      </c>
      <c r="AB10" s="3"/>
    </row>
    <row r="11" spans="1:28" ht="18" customHeight="1">
      <c r="A11" s="109">
        <v>3</v>
      </c>
      <c r="B11" s="56">
        <v>17.2</v>
      </c>
      <c r="C11" s="73">
        <f>'[1]cálculos teóricos'!K249</f>
        <v>0.99605631287002294</v>
      </c>
      <c r="D11" s="58">
        <f t="shared" ref="D11:D38" si="4">IF(B11&gt;0,B11*C11*14.25*1.022,-999)</f>
        <v>249.50433713470036</v>
      </c>
      <c r="E11" s="59">
        <f t="shared" ref="E11:E38" si="5">IF(B11&gt;0,D11*4.1868/100,-999)</f>
        <v>10.446247587155636</v>
      </c>
      <c r="F11" s="60">
        <f t="shared" ref="F11:F38" si="6">IF(B11&gt;0,(7.86+1.25*D11)*4.1868/100,-999)</f>
        <v>13.386891963944544</v>
      </c>
      <c r="G11" s="61">
        <f>'[1]cálculos teóricos'!T249</f>
        <v>30.398271300830679</v>
      </c>
      <c r="H11" s="74">
        <f t="shared" ref="H11:H38" si="7">IF(B11&gt;0,100*F11/G11,-999)</f>
        <v>44.038333073166328</v>
      </c>
      <c r="I11" s="56"/>
      <c r="J11" s="75"/>
      <c r="K11" s="75">
        <v>0.1</v>
      </c>
      <c r="L11" s="79"/>
      <c r="M11" s="79">
        <v>0.6</v>
      </c>
      <c r="N11" s="79">
        <v>0.7</v>
      </c>
      <c r="O11" s="76">
        <v>0.9</v>
      </c>
      <c r="P11" s="79">
        <v>0.9</v>
      </c>
      <c r="Q11" s="79">
        <v>0.5</v>
      </c>
      <c r="R11" s="79"/>
      <c r="S11" s="79"/>
      <c r="T11" s="82"/>
      <c r="U11" s="82"/>
      <c r="V11" s="77"/>
      <c r="W11" s="58">
        <f t="shared" si="0"/>
        <v>2.2999999999999998</v>
      </c>
      <c r="X11" s="68">
        <f t="shared" si="1"/>
        <v>1.4</v>
      </c>
      <c r="Y11" s="78">
        <f t="shared" si="2"/>
        <v>3.6999999999999997</v>
      </c>
      <c r="Z11" s="70">
        <f>'[1]cálculos teóricos'!I249</f>
        <v>11.538665663090258</v>
      </c>
      <c r="AA11" s="71">
        <f t="shared" si="3"/>
        <v>32.066099391678492</v>
      </c>
      <c r="AB11" s="3"/>
    </row>
    <row r="12" spans="1:28" ht="18" customHeight="1">
      <c r="A12" s="109">
        <v>4</v>
      </c>
      <c r="B12" s="56">
        <v>9.6</v>
      </c>
      <c r="C12" s="73">
        <f>'[1]cálculos teóricos'!K250</f>
        <v>0.99698436107380495</v>
      </c>
      <c r="D12" s="58">
        <f t="shared" si="4"/>
        <v>139.38798472798425</v>
      </c>
      <c r="E12" s="59">
        <f t="shared" si="5"/>
        <v>5.8358961445912438</v>
      </c>
      <c r="F12" s="60">
        <f t="shared" si="6"/>
        <v>7.6239526607390564</v>
      </c>
      <c r="G12" s="61">
        <f>'[1]cálculos teóricos'!T250</f>
        <v>30.583979985672055</v>
      </c>
      <c r="H12" s="74">
        <f t="shared" si="7"/>
        <v>24.927928491683282</v>
      </c>
      <c r="I12" s="56"/>
      <c r="J12" s="75"/>
      <c r="K12" s="75"/>
      <c r="L12" s="79"/>
      <c r="M12" s="79"/>
      <c r="N12" s="79"/>
      <c r="O12" s="76"/>
      <c r="P12" s="79"/>
      <c r="Q12" s="79"/>
      <c r="R12" s="79"/>
      <c r="S12" s="79"/>
      <c r="T12" s="82"/>
      <c r="U12" s="82"/>
      <c r="V12" s="77"/>
      <c r="W12" s="58">
        <f t="shared" si="0"/>
        <v>0</v>
      </c>
      <c r="X12" s="68">
        <f t="shared" si="1"/>
        <v>0</v>
      </c>
      <c r="Y12" s="78">
        <f t="shared" si="2"/>
        <v>0</v>
      </c>
      <c r="Z12" s="70">
        <f>'[1]cálculos teóricos'!I250</f>
        <v>11.560453670157653</v>
      </c>
      <c r="AA12" s="71">
        <f t="shared" si="3"/>
        <v>0</v>
      </c>
      <c r="AB12" s="3"/>
    </row>
    <row r="13" spans="1:28" ht="18" customHeight="1">
      <c r="A13" s="72">
        <v>5</v>
      </c>
      <c r="B13" s="56">
        <v>13</v>
      </c>
      <c r="C13" s="73">
        <f>'[1]cálculos teóricos'!K251</f>
        <v>0.99790857778799535</v>
      </c>
      <c r="D13" s="58">
        <f t="shared" si="4"/>
        <v>188.92954044400113</v>
      </c>
      <c r="E13" s="59">
        <f t="shared" si="5"/>
        <v>7.9101019993094397</v>
      </c>
      <c r="F13" s="60">
        <f t="shared" si="6"/>
        <v>10.2167099791368</v>
      </c>
      <c r="G13" s="61">
        <f>'[1]cálculos teóricos'!T251</f>
        <v>30.769977572999139</v>
      </c>
      <c r="H13" s="74">
        <f t="shared" si="7"/>
        <v>33.203501545942082</v>
      </c>
      <c r="I13" s="56"/>
      <c r="J13" s="75"/>
      <c r="K13" s="75">
        <v>0.3</v>
      </c>
      <c r="L13" s="75">
        <v>0.3</v>
      </c>
      <c r="M13" s="75">
        <v>0.4</v>
      </c>
      <c r="N13" s="75"/>
      <c r="O13" s="76">
        <v>0.3</v>
      </c>
      <c r="P13" s="79"/>
      <c r="Q13" s="79"/>
      <c r="R13" s="75"/>
      <c r="S13" s="75"/>
      <c r="T13" s="75"/>
      <c r="U13" s="82"/>
      <c r="V13" s="77"/>
      <c r="W13" s="58">
        <f t="shared" si="0"/>
        <v>1.3</v>
      </c>
      <c r="X13" s="68">
        <f t="shared" si="1"/>
        <v>0</v>
      </c>
      <c r="Y13" s="78">
        <f t="shared" si="2"/>
        <v>1.3</v>
      </c>
      <c r="Z13" s="70">
        <f>'[1]cálculos teóricos'!I251</f>
        <v>11.582320410445583</v>
      </c>
      <c r="AA13" s="71">
        <f t="shared" si="3"/>
        <v>11.224003083420033</v>
      </c>
      <c r="AB13" s="3"/>
    </row>
    <row r="14" spans="1:28" ht="18" customHeight="1">
      <c r="A14" s="109">
        <v>6</v>
      </c>
      <c r="B14" s="56">
        <v>16.100000000000001</v>
      </c>
      <c r="C14" s="73">
        <f>'[1]cálculos teóricos'!K252</f>
        <v>0.99882860175493227</v>
      </c>
      <c r="D14" s="58">
        <f t="shared" si="4"/>
        <v>234.19768950069314</v>
      </c>
      <c r="E14" s="59">
        <f t="shared" si="5"/>
        <v>9.8053888640150202</v>
      </c>
      <c r="F14" s="60">
        <f t="shared" si="6"/>
        <v>12.585818560018776</v>
      </c>
      <c r="G14" s="61">
        <f>'[1]cálculos teóricos'!T252</f>
        <v>30.956198835564976</v>
      </c>
      <c r="H14" s="74">
        <f t="shared" si="7"/>
        <v>40.656860446183636</v>
      </c>
      <c r="I14" s="56"/>
      <c r="J14" s="75"/>
      <c r="K14" s="75"/>
      <c r="L14" s="75"/>
      <c r="M14" s="75">
        <v>0.1</v>
      </c>
      <c r="N14" s="75">
        <v>0.9</v>
      </c>
      <c r="O14" s="76">
        <v>0.8</v>
      </c>
      <c r="P14" s="79">
        <v>0.4</v>
      </c>
      <c r="Q14" s="79">
        <v>0.1</v>
      </c>
      <c r="R14" s="75"/>
      <c r="S14" s="75"/>
      <c r="T14" s="75"/>
      <c r="U14" s="82"/>
      <c r="V14" s="77"/>
      <c r="W14" s="58">
        <f t="shared" si="0"/>
        <v>1.8</v>
      </c>
      <c r="X14" s="68">
        <f t="shared" si="1"/>
        <v>0.5</v>
      </c>
      <c r="Y14" s="78">
        <f t="shared" si="2"/>
        <v>2.2999999999999998</v>
      </c>
      <c r="Z14" s="70">
        <f>'[1]cálculos teóricos'!I252</f>
        <v>11.604262167431463</v>
      </c>
      <c r="AA14" s="71">
        <f t="shared" si="3"/>
        <v>19.820303667864234</v>
      </c>
      <c r="AB14" s="3"/>
    </row>
    <row r="15" spans="1:28" ht="18" customHeight="1">
      <c r="A15" s="72">
        <v>7</v>
      </c>
      <c r="B15" s="56">
        <v>6.3</v>
      </c>
      <c r="C15" s="73">
        <f>'[1]cálculos teóricos'!K253</f>
        <v>0.99974407947051991</v>
      </c>
      <c r="D15" s="58">
        <f t="shared" si="4"/>
        <v>91.726569278624169</v>
      </c>
      <c r="E15" s="59">
        <f t="shared" si="5"/>
        <v>3.8404080025574365</v>
      </c>
      <c r="F15" s="60">
        <f t="shared" si="6"/>
        <v>5.1295924831967952</v>
      </c>
      <c r="G15" s="61">
        <f>'[1]cálculos teóricos'!T253</f>
        <v>31.142578965148473</v>
      </c>
      <c r="H15" s="74">
        <f t="shared" si="7"/>
        <v>16.471315650952672</v>
      </c>
      <c r="I15" s="56"/>
      <c r="J15" s="75"/>
      <c r="K15" s="75"/>
      <c r="L15" s="75"/>
      <c r="M15" s="75"/>
      <c r="N15" s="75"/>
      <c r="O15" s="76"/>
      <c r="P15" s="79"/>
      <c r="Q15" s="79">
        <v>0.1</v>
      </c>
      <c r="R15" s="75"/>
      <c r="S15" s="75">
        <v>0.1</v>
      </c>
      <c r="T15" s="82"/>
      <c r="U15" s="82"/>
      <c r="V15" s="77"/>
      <c r="W15" s="58">
        <f t="shared" si="0"/>
        <v>0</v>
      </c>
      <c r="X15" s="68">
        <f t="shared" si="1"/>
        <v>0.2</v>
      </c>
      <c r="Y15" s="78">
        <f t="shared" si="2"/>
        <v>0.2</v>
      </c>
      <c r="Z15" s="70">
        <f>'[1]cálculos teóricos'!I253</f>
        <v>11.626275308134208</v>
      </c>
      <c r="AA15" s="71">
        <f t="shared" si="3"/>
        <v>1.720241390293519</v>
      </c>
      <c r="AB15" s="3"/>
    </row>
    <row r="16" spans="1:28" ht="18" customHeight="1">
      <c r="A16" s="80">
        <v>8</v>
      </c>
      <c r="B16" s="75">
        <v>22</v>
      </c>
      <c r="C16" s="73">
        <f>'[1]cálculos teóricos'!K254</f>
        <v>1.0006546652384873</v>
      </c>
      <c r="D16" s="58">
        <f t="shared" si="4"/>
        <v>320.60675277841563</v>
      </c>
      <c r="E16" s="59">
        <f t="shared" si="5"/>
        <v>13.423163525326704</v>
      </c>
      <c r="F16" s="60">
        <f t="shared" si="6"/>
        <v>17.108036886658383</v>
      </c>
      <c r="G16" s="61">
        <f>'[1]cálculos teóricos'!T254</f>
        <v>31.329053591497956</v>
      </c>
      <c r="H16" s="74">
        <f t="shared" si="7"/>
        <v>54.607576436018299</v>
      </c>
      <c r="I16" s="79"/>
      <c r="J16" s="81">
        <v>0.1</v>
      </c>
      <c r="K16" s="81">
        <v>0.8</v>
      </c>
      <c r="L16" s="81">
        <v>0.5</v>
      </c>
      <c r="M16" s="81">
        <v>0.9</v>
      </c>
      <c r="N16" s="81">
        <v>1</v>
      </c>
      <c r="O16" s="77">
        <v>0.8</v>
      </c>
      <c r="P16" s="82">
        <v>0.7</v>
      </c>
      <c r="Q16" s="82">
        <v>0.9</v>
      </c>
      <c r="R16" s="81">
        <v>0.8</v>
      </c>
      <c r="S16" s="81">
        <v>1</v>
      </c>
      <c r="T16" s="81">
        <v>1</v>
      </c>
      <c r="U16" s="81"/>
      <c r="V16" s="77"/>
      <c r="W16" s="58">
        <f t="shared" si="0"/>
        <v>4.0999999999999996</v>
      </c>
      <c r="X16" s="68">
        <f t="shared" si="1"/>
        <v>4.4000000000000004</v>
      </c>
      <c r="Y16" s="78">
        <f t="shared" si="2"/>
        <v>8.5</v>
      </c>
      <c r="Z16" s="70">
        <f>'[1]cálculos teóricos'!I254</f>
        <v>11.648356278240907</v>
      </c>
      <c r="AA16" s="71">
        <f t="shared" si="3"/>
        <v>72.971669109039638</v>
      </c>
      <c r="AB16" s="3"/>
    </row>
    <row r="17" spans="1:28" ht="18" customHeight="1">
      <c r="A17" s="80">
        <v>9</v>
      </c>
      <c r="B17" s="75">
        <v>28.5</v>
      </c>
      <c r="C17" s="73">
        <f>'[1]cálculos teóricos'!K255</f>
        <v>1.0015600212185085</v>
      </c>
      <c r="D17" s="58">
        <f t="shared" si="4"/>
        <v>415.70725201694887</v>
      </c>
      <c r="E17" s="59">
        <f t="shared" si="5"/>
        <v>17.404831227445616</v>
      </c>
      <c r="F17" s="60">
        <f t="shared" si="6"/>
        <v>22.085121514307019</v>
      </c>
      <c r="G17" s="61">
        <f>'[1]cálculos teóricos'!T255</f>
        <v>31.515558800853107</v>
      </c>
      <c r="H17" s="74">
        <f t="shared" si="7"/>
        <v>70.076883782588013</v>
      </c>
      <c r="I17" s="79"/>
      <c r="J17" s="81"/>
      <c r="K17" s="81">
        <v>0.8</v>
      </c>
      <c r="L17" s="81">
        <v>1</v>
      </c>
      <c r="M17" s="81">
        <v>1</v>
      </c>
      <c r="N17" s="81">
        <v>1</v>
      </c>
      <c r="O17" s="77">
        <v>1</v>
      </c>
      <c r="P17" s="82">
        <v>1</v>
      </c>
      <c r="Q17" s="82">
        <v>1</v>
      </c>
      <c r="R17" s="81">
        <v>1</v>
      </c>
      <c r="S17" s="81">
        <v>1</v>
      </c>
      <c r="T17" s="81">
        <v>0.9</v>
      </c>
      <c r="U17" s="81"/>
      <c r="V17" s="77"/>
      <c r="W17" s="58">
        <f t="shared" si="0"/>
        <v>4.8</v>
      </c>
      <c r="X17" s="68">
        <f>SUM(P17:V17)</f>
        <v>4.9000000000000004</v>
      </c>
      <c r="Y17" s="78">
        <f>W17+X17</f>
        <v>9.6999999999999993</v>
      </c>
      <c r="Z17" s="70">
        <f>'[1]cálculos teóricos'!I255</f>
        <v>11.670501597078111</v>
      </c>
      <c r="AA17" s="71">
        <f t="shared" si="3"/>
        <v>83.115536374448055</v>
      </c>
      <c r="AB17" s="3"/>
    </row>
    <row r="18" spans="1:28" ht="18" customHeight="1">
      <c r="A18" s="80">
        <v>10</v>
      </c>
      <c r="B18" s="75">
        <v>22.9</v>
      </c>
      <c r="C18" s="73">
        <f>'[1]cálculos teóricos'!K256</f>
        <v>1.0024598174688395</v>
      </c>
      <c r="D18" s="58">
        <f t="shared" si="4"/>
        <v>334.32450933410047</v>
      </c>
      <c r="E18" s="59">
        <f t="shared" si="5"/>
        <v>13.997498556800117</v>
      </c>
      <c r="F18" s="60">
        <f t="shared" si="6"/>
        <v>17.825955676000145</v>
      </c>
      <c r="G18" s="61">
        <f>'[1]cálculos teóricos'!T256</f>
        <v>31.702031154112685</v>
      </c>
      <c r="H18" s="74">
        <f t="shared" si="7"/>
        <v>56.229695786188117</v>
      </c>
      <c r="I18" s="79"/>
      <c r="J18" s="81">
        <v>0.1</v>
      </c>
      <c r="K18" s="81">
        <v>1</v>
      </c>
      <c r="L18" s="81">
        <v>1</v>
      </c>
      <c r="M18" s="81">
        <v>1</v>
      </c>
      <c r="N18" s="81">
        <v>1</v>
      </c>
      <c r="O18" s="77">
        <v>1</v>
      </c>
      <c r="P18" s="82">
        <v>1</v>
      </c>
      <c r="Q18" s="82">
        <v>0.8</v>
      </c>
      <c r="R18" s="81"/>
      <c r="S18" s="81"/>
      <c r="T18" s="81"/>
      <c r="U18" s="81"/>
      <c r="V18" s="77"/>
      <c r="W18" s="58">
        <f t="shared" si="0"/>
        <v>5.0999999999999996</v>
      </c>
      <c r="X18" s="68">
        <f>SUM(P18:V18)</f>
        <v>1.8</v>
      </c>
      <c r="Y18" s="78">
        <f>W18+X18</f>
        <v>6.8999999999999995</v>
      </c>
      <c r="Z18" s="70">
        <f>'[1]cálculos teóricos'!I256</f>
        <v>11.692707852438252</v>
      </c>
      <c r="AA18" s="71">
        <f t="shared" si="3"/>
        <v>59.011138284457864</v>
      </c>
      <c r="AB18" s="3"/>
    </row>
    <row r="19" spans="1:28" ht="18" customHeight="1">
      <c r="A19" s="85">
        <v>11</v>
      </c>
      <c r="B19" s="75">
        <v>7.9</v>
      </c>
      <c r="C19" s="73">
        <f>'[1]cálculos teóricos'!K257</f>
        <v>1.0033537319841259</v>
      </c>
      <c r="D19" s="58">
        <f t="shared" si="4"/>
        <v>115.43750239843148</v>
      </c>
      <c r="E19" s="59">
        <f t="shared" si="5"/>
        <v>4.8331373504175286</v>
      </c>
      <c r="F19" s="60">
        <f t="shared" si="6"/>
        <v>6.3705041680219123</v>
      </c>
      <c r="G19" s="61">
        <f>'[1]cálculos teóricos'!T257</f>
        <v>31.888407704716052</v>
      </c>
      <c r="H19" s="74">
        <f t="shared" si="7"/>
        <v>19.977492219154495</v>
      </c>
      <c r="I19" s="79"/>
      <c r="J19" s="81"/>
      <c r="K19" s="81"/>
      <c r="L19" s="81"/>
      <c r="M19" s="81"/>
      <c r="N19" s="81"/>
      <c r="O19" s="77"/>
      <c r="P19" s="82"/>
      <c r="Q19" s="82"/>
      <c r="R19" s="81"/>
      <c r="S19" s="81"/>
      <c r="T19" s="81"/>
      <c r="U19" s="81"/>
      <c r="V19" s="77"/>
      <c r="W19" s="58">
        <f t="shared" si="0"/>
        <v>0</v>
      </c>
      <c r="X19" s="68">
        <f t="shared" ref="X19:X38" si="8">SUM(P19:V19)</f>
        <v>0</v>
      </c>
      <c r="Y19" s="78">
        <f t="shared" ref="Y19:Y38" si="9">W19+X19</f>
        <v>0</v>
      </c>
      <c r="Z19" s="70">
        <f>'[1]cálculos teóricos'!I257</f>
        <v>11.714971695271378</v>
      </c>
      <c r="AA19" s="71">
        <f t="shared" si="3"/>
        <v>0</v>
      </c>
      <c r="AB19" s="3"/>
    </row>
    <row r="20" spans="1:28" ht="18" customHeight="1">
      <c r="A20" s="80">
        <v>12</v>
      </c>
      <c r="B20" s="75">
        <v>8.6999999999999993</v>
      </c>
      <c r="C20" s="73">
        <f>'[1]cálculos teóricos'!K258</f>
        <v>1.0042414507290078</v>
      </c>
      <c r="D20" s="58">
        <f t="shared" si="4"/>
        <v>127.23985219891958</v>
      </c>
      <c r="E20" s="59">
        <f t="shared" si="5"/>
        <v>5.3272781318643645</v>
      </c>
      <c r="F20" s="60">
        <f t="shared" si="6"/>
        <v>6.9881801448304568</v>
      </c>
      <c r="G20" s="61">
        <f>'[1]cálculos teóricos'!T258</f>
        <v>32.074626016306389</v>
      </c>
      <c r="H20" s="74">
        <f t="shared" si="7"/>
        <v>21.787253704151507</v>
      </c>
      <c r="I20" s="79"/>
      <c r="J20" s="81"/>
      <c r="K20" s="81"/>
      <c r="L20" s="81"/>
      <c r="M20" s="81"/>
      <c r="N20" s="81"/>
      <c r="O20" s="77"/>
      <c r="P20" s="82"/>
      <c r="Q20" s="82"/>
      <c r="R20" s="81"/>
      <c r="S20" s="81"/>
      <c r="T20" s="81"/>
      <c r="U20" s="81"/>
      <c r="V20" s="77"/>
      <c r="W20" s="58">
        <f t="shared" si="0"/>
        <v>0</v>
      </c>
      <c r="X20" s="68">
        <f t="shared" si="8"/>
        <v>0</v>
      </c>
      <c r="Y20" s="78">
        <f t="shared" si="9"/>
        <v>0</v>
      </c>
      <c r="Z20" s="70">
        <f>'[1]cálculos teóricos'!I258</f>
        <v>11.737289834251907</v>
      </c>
      <c r="AA20" s="71">
        <f t="shared" si="3"/>
        <v>0</v>
      </c>
      <c r="AB20" s="3"/>
    </row>
    <row r="21" spans="1:28" ht="18" customHeight="1">
      <c r="A21" s="80">
        <v>13</v>
      </c>
      <c r="B21" s="117">
        <v>-99</v>
      </c>
      <c r="C21" s="73">
        <f>'[1]cálculos teóricos'!K259</f>
        <v>1.0051226676681373</v>
      </c>
      <c r="D21" s="58">
        <f t="shared" si="4"/>
        <v>-999</v>
      </c>
      <c r="E21" s="59">
        <f t="shared" si="5"/>
        <v>-999</v>
      </c>
      <c r="F21" s="60">
        <f t="shared" si="6"/>
        <v>-999</v>
      </c>
      <c r="G21" s="61">
        <f>'[1]cálculos teóricos'!T259</f>
        <v>32.260624180242964</v>
      </c>
      <c r="H21" s="74">
        <f t="shared" si="7"/>
        <v>-999</v>
      </c>
      <c r="I21" s="79"/>
      <c r="J21" s="81"/>
      <c r="K21" s="81"/>
      <c r="L21" s="81">
        <v>0.4</v>
      </c>
      <c r="M21" s="81"/>
      <c r="N21" s="81">
        <v>0.5</v>
      </c>
      <c r="O21" s="77">
        <v>0.9</v>
      </c>
      <c r="P21" s="82">
        <v>0.7</v>
      </c>
      <c r="Q21" s="82">
        <v>0.7</v>
      </c>
      <c r="R21" s="81">
        <v>0.4</v>
      </c>
      <c r="S21" s="81"/>
      <c r="T21" s="81"/>
      <c r="U21" s="81"/>
      <c r="V21" s="77"/>
      <c r="W21" s="58">
        <f t="shared" si="0"/>
        <v>1.8</v>
      </c>
      <c r="X21" s="68">
        <f t="shared" si="8"/>
        <v>1.7999999999999998</v>
      </c>
      <c r="Y21" s="78">
        <f t="shared" si="9"/>
        <v>3.5999999999999996</v>
      </c>
      <c r="Z21" s="70">
        <f>'[1]cálculos teóricos'!I259</f>
        <v>11.759659030229781</v>
      </c>
      <c r="AA21" s="71">
        <f t="shared" si="3"/>
        <v>30.613132495982381</v>
      </c>
      <c r="AB21" s="3"/>
    </row>
    <row r="22" spans="1:28" ht="18" customHeight="1">
      <c r="A22" s="80">
        <v>14</v>
      </c>
      <c r="B22" s="75">
        <v>3.2</v>
      </c>
      <c r="C22" s="73">
        <f>'[1]cálculos teóricos'!K260</f>
        <v>1.0059970847931912</v>
      </c>
      <c r="D22" s="58">
        <f t="shared" si="4"/>
        <v>46.882683342034049</v>
      </c>
      <c r="E22" s="59">
        <f t="shared" si="5"/>
        <v>1.9628841861642814</v>
      </c>
      <c r="F22" s="60">
        <f t="shared" si="6"/>
        <v>2.7826877127053522</v>
      </c>
      <c r="G22" s="61">
        <f>'[1]cálculos teóricos'!T260</f>
        <v>32.446340833028621</v>
      </c>
      <c r="H22" s="74">
        <f t="shared" si="7"/>
        <v>8.5762759105110753</v>
      </c>
      <c r="I22" s="79"/>
      <c r="J22" s="81"/>
      <c r="K22" s="81"/>
      <c r="L22" s="81"/>
      <c r="M22" s="81"/>
      <c r="N22" s="81"/>
      <c r="O22" s="77"/>
      <c r="P22" s="82"/>
      <c r="Q22" s="81"/>
      <c r="R22" s="81"/>
      <c r="S22" s="81"/>
      <c r="T22" s="81"/>
      <c r="U22" s="81"/>
      <c r="V22" s="77"/>
      <c r="W22" s="58">
        <f t="shared" si="0"/>
        <v>0</v>
      </c>
      <c r="X22" s="68">
        <f t="shared" si="8"/>
        <v>0</v>
      </c>
      <c r="Y22" s="78">
        <f t="shared" si="9"/>
        <v>0</v>
      </c>
      <c r="Z22" s="70">
        <f>'[1]cálculos teóricos'!I260</f>
        <v>11.782076090575021</v>
      </c>
      <c r="AA22" s="71">
        <f t="shared" si="3"/>
        <v>0</v>
      </c>
      <c r="AB22" s="3"/>
    </row>
    <row r="23" spans="1:28" ht="18" customHeight="1">
      <c r="A23" s="80">
        <v>15</v>
      </c>
      <c r="B23" s="75">
        <v>5</v>
      </c>
      <c r="C23" s="73">
        <f>'[1]cálculos teóricos'!K261</f>
        <v>1.0068644121474433</v>
      </c>
      <c r="D23" s="58">
        <f t="shared" si="4"/>
        <v>73.317349331546453</v>
      </c>
      <c r="E23" s="59">
        <f t="shared" si="5"/>
        <v>3.0696507818131868</v>
      </c>
      <c r="F23" s="60">
        <f t="shared" si="6"/>
        <v>4.1661459572664832</v>
      </c>
      <c r="G23" s="61">
        <f>'[1]cálculos teóricos'!T261</f>
        <v>32.63171517371709</v>
      </c>
      <c r="H23" s="74">
        <f t="shared" si="7"/>
        <v>12.767168183124086</v>
      </c>
      <c r="I23" s="79"/>
      <c r="J23" s="81"/>
      <c r="K23" s="81"/>
      <c r="L23" s="81"/>
      <c r="M23" s="81"/>
      <c r="N23" s="81"/>
      <c r="O23" s="77"/>
      <c r="P23" s="82"/>
      <c r="Q23" s="81"/>
      <c r="R23" s="81"/>
      <c r="S23" s="81"/>
      <c r="T23" s="81"/>
      <c r="U23" s="81"/>
      <c r="V23" s="77"/>
      <c r="W23" s="58">
        <f t="shared" si="0"/>
        <v>0</v>
      </c>
      <c r="X23" s="68">
        <f t="shared" si="8"/>
        <v>0</v>
      </c>
      <c r="Y23" s="78">
        <f t="shared" si="9"/>
        <v>0</v>
      </c>
      <c r="Z23" s="70">
        <f>'[1]cálculos teóricos'!I261</f>
        <v>11.804537863424434</v>
      </c>
      <c r="AA23" s="71">
        <f t="shared" si="3"/>
        <v>0</v>
      </c>
      <c r="AB23" s="3"/>
    </row>
    <row r="24" spans="1:28" ht="18" customHeight="1">
      <c r="A24" s="80">
        <v>16</v>
      </c>
      <c r="B24" s="75">
        <v>11</v>
      </c>
      <c r="C24" s="73">
        <f>'[1]cálculos teóricos'!K262</f>
        <v>1.0077243678484233</v>
      </c>
      <c r="D24" s="58">
        <f t="shared" si="4"/>
        <v>161.43593214276567</v>
      </c>
      <c r="E24" s="59">
        <f t="shared" si="5"/>
        <v>6.7589996069533127</v>
      </c>
      <c r="F24" s="60">
        <f t="shared" si="6"/>
        <v>8.7778319886916414</v>
      </c>
      <c r="G24" s="61">
        <f>'[1]cálculos teóricos'!T262</f>
        <v>32.816686981362338</v>
      </c>
      <c r="H24" s="74">
        <f t="shared" si="7"/>
        <v>26.748074824484437</v>
      </c>
      <c r="I24" s="79"/>
      <c r="J24" s="81"/>
      <c r="K24" s="81"/>
      <c r="L24" s="81"/>
      <c r="M24" s="81"/>
      <c r="N24" s="81"/>
      <c r="O24" s="77"/>
      <c r="P24" s="82"/>
      <c r="Q24" s="81"/>
      <c r="R24" s="81"/>
      <c r="S24" s="81"/>
      <c r="T24" s="81"/>
      <c r="U24" s="81"/>
      <c r="V24" s="77"/>
      <c r="W24" s="58">
        <f t="shared" si="0"/>
        <v>0</v>
      </c>
      <c r="X24" s="68">
        <f t="shared" si="8"/>
        <v>0</v>
      </c>
      <c r="Y24" s="78">
        <f t="shared" si="9"/>
        <v>0</v>
      </c>
      <c r="Z24" s="70">
        <f>'[1]cálculos teóricos'!I262</f>
        <v>11.827041231838793</v>
      </c>
      <c r="AA24" s="71">
        <f t="shared" si="3"/>
        <v>0</v>
      </c>
      <c r="AB24" s="3"/>
    </row>
    <row r="25" spans="1:28" ht="18" customHeight="1">
      <c r="A25" s="80">
        <v>17</v>
      </c>
      <c r="B25" s="117">
        <v>-99</v>
      </c>
      <c r="C25" s="73">
        <f>'[1]cálculos teóricos'!K263</f>
        <v>1.0085766781091658</v>
      </c>
      <c r="D25" s="58">
        <f t="shared" si="4"/>
        <v>-999</v>
      </c>
      <c r="E25" s="59">
        <f t="shared" si="5"/>
        <v>-999</v>
      </c>
      <c r="F25" s="60">
        <f t="shared" si="6"/>
        <v>-999</v>
      </c>
      <c r="G25" s="61">
        <f>'[1]cálculos teóricos'!T263</f>
        <v>33.001196632569247</v>
      </c>
      <c r="H25" s="74">
        <f t="shared" si="7"/>
        <v>-999</v>
      </c>
      <c r="I25" s="79"/>
      <c r="J25" s="81"/>
      <c r="K25" s="81">
        <v>0.1</v>
      </c>
      <c r="L25" s="81">
        <v>0.1</v>
      </c>
      <c r="M25" s="81">
        <v>0.2</v>
      </c>
      <c r="N25" s="81">
        <v>0.6</v>
      </c>
      <c r="O25" s="77">
        <v>0.9</v>
      </c>
      <c r="P25" s="82">
        <v>1</v>
      </c>
      <c r="Q25" s="81">
        <v>1</v>
      </c>
      <c r="R25" s="81">
        <v>1</v>
      </c>
      <c r="S25" s="81">
        <v>1</v>
      </c>
      <c r="T25" s="81">
        <v>1</v>
      </c>
      <c r="U25" s="81">
        <v>0.3</v>
      </c>
      <c r="V25" s="77"/>
      <c r="W25" s="58">
        <f t="shared" si="0"/>
        <v>1.9</v>
      </c>
      <c r="X25" s="68">
        <f t="shared" si="8"/>
        <v>5.3</v>
      </c>
      <c r="Y25" s="78">
        <f t="shared" si="9"/>
        <v>7.1999999999999993</v>
      </c>
      <c r="Z25" s="70">
        <f>'[1]cálculos teóricos'!I263</f>
        <v>11.849583107878678</v>
      </c>
      <c r="AA25" s="71">
        <f t="shared" si="3"/>
        <v>60.761631311845782</v>
      </c>
      <c r="AB25" s="3"/>
    </row>
    <row r="26" spans="1:28" ht="18" customHeight="1">
      <c r="A26" s="80">
        <v>18</v>
      </c>
      <c r="B26" s="75">
        <v>33.700000000000003</v>
      </c>
      <c r="C26" s="73">
        <f>'[1]cálculos teóricos'!K264</f>
        <v>1.0094210772585084</v>
      </c>
      <c r="D26" s="58">
        <f t="shared" si="4"/>
        <v>495.41372003664958</v>
      </c>
      <c r="E26" s="59">
        <f t="shared" si="5"/>
        <v>20.741981630494443</v>
      </c>
      <c r="F26" s="60">
        <f t="shared" si="6"/>
        <v>26.256559518118056</v>
      </c>
      <c r="G26" s="61">
        <f>'[1]cálculos teóricos'!T264</f>
        <v>33.185185119202401</v>
      </c>
      <c r="H26" s="74">
        <f t="shared" si="7"/>
        <v>79.121329062361809</v>
      </c>
      <c r="I26" s="79"/>
      <c r="J26" s="81">
        <v>0.5</v>
      </c>
      <c r="K26" s="81">
        <v>1</v>
      </c>
      <c r="L26" s="81">
        <v>1</v>
      </c>
      <c r="M26" s="81">
        <v>1</v>
      </c>
      <c r="N26" s="81">
        <v>1</v>
      </c>
      <c r="O26" s="77">
        <v>1</v>
      </c>
      <c r="P26" s="82">
        <v>1</v>
      </c>
      <c r="Q26" s="81">
        <v>1</v>
      </c>
      <c r="R26" s="81">
        <v>1</v>
      </c>
      <c r="S26" s="81">
        <v>1</v>
      </c>
      <c r="T26" s="81">
        <v>0.9</v>
      </c>
      <c r="U26" s="81">
        <v>0.1</v>
      </c>
      <c r="V26" s="77"/>
      <c r="W26" s="58">
        <f t="shared" si="0"/>
        <v>5.5</v>
      </c>
      <c r="X26" s="68">
        <f t="shared" si="8"/>
        <v>5</v>
      </c>
      <c r="Y26" s="78">
        <f t="shared" si="9"/>
        <v>10.5</v>
      </c>
      <c r="Z26" s="70">
        <f>'[1]cálculos teóricos'!I264</f>
        <v>11.872160426606762</v>
      </c>
      <c r="AA26" s="71">
        <f t="shared" si="3"/>
        <v>88.442201104934483</v>
      </c>
      <c r="AB26" s="3"/>
    </row>
    <row r="27" spans="1:28" ht="18" customHeight="1">
      <c r="A27" s="80">
        <v>19</v>
      </c>
      <c r="B27" s="75">
        <v>30.1</v>
      </c>
      <c r="C27" s="73">
        <f>'[1]cálculos teóricos'!K265</f>
        <v>1.0102573077608699</v>
      </c>
      <c r="D27" s="58">
        <f t="shared" si="4"/>
        <v>442.85775727742043</v>
      </c>
      <c r="E27" s="59">
        <f t="shared" si="5"/>
        <v>18.541568581691038</v>
      </c>
      <c r="F27" s="60">
        <f t="shared" si="6"/>
        <v>23.506043207113795</v>
      </c>
      <c r="G27" s="61">
        <f>'[1]cálculos teóricos'!T265</f>
        <v>33.368594066304397</v>
      </c>
      <c r="H27" s="74">
        <f t="shared" si="7"/>
        <v>70.443612818707862</v>
      </c>
      <c r="I27" s="79"/>
      <c r="J27" s="81"/>
      <c r="K27" s="81">
        <v>0.5</v>
      </c>
      <c r="L27" s="81">
        <v>1</v>
      </c>
      <c r="M27" s="81">
        <v>1</v>
      </c>
      <c r="N27" s="81">
        <v>1</v>
      </c>
      <c r="O27" s="77">
        <v>1</v>
      </c>
      <c r="P27" s="82">
        <v>1</v>
      </c>
      <c r="Q27" s="81">
        <v>1</v>
      </c>
      <c r="R27" s="81">
        <v>1</v>
      </c>
      <c r="S27" s="81">
        <v>0.8</v>
      </c>
      <c r="T27" s="81">
        <v>0.4</v>
      </c>
      <c r="U27" s="81"/>
      <c r="V27" s="77"/>
      <c r="W27" s="58">
        <f t="shared" si="0"/>
        <v>4.5</v>
      </c>
      <c r="X27" s="68">
        <f t="shared" si="8"/>
        <v>4.2</v>
      </c>
      <c r="Y27" s="78">
        <f t="shared" si="9"/>
        <v>8.6999999999999993</v>
      </c>
      <c r="Z27" s="70">
        <f>'[1]cálculos teóricos'!I265</f>
        <v>11.894770140024326</v>
      </c>
      <c r="AA27" s="71">
        <f t="shared" si="3"/>
        <v>73.141388169626339</v>
      </c>
      <c r="AB27" s="3"/>
    </row>
    <row r="28" spans="1:28" ht="18" customHeight="1">
      <c r="A28" s="80">
        <v>20</v>
      </c>
      <c r="B28" s="75">
        <v>26</v>
      </c>
      <c r="C28" s="73">
        <f>'[1]cálculos teóricos'!K266</f>
        <v>1.0110851202358924</v>
      </c>
      <c r="D28" s="58">
        <f t="shared" si="4"/>
        <v>382.84839186244085</v>
      </c>
      <c r="E28" s="59">
        <f t="shared" si="5"/>
        <v>16.029096470496672</v>
      </c>
      <c r="F28" s="60">
        <f t="shared" si="6"/>
        <v>20.365453068120843</v>
      </c>
      <c r="G28" s="61">
        <f>'[1]cálculos teóricos'!T266</f>
        <v>33.551365750272652</v>
      </c>
      <c r="H28" s="74">
        <f t="shared" si="7"/>
        <v>60.699326577951133</v>
      </c>
      <c r="I28" s="79"/>
      <c r="J28" s="81"/>
      <c r="K28" s="81">
        <v>1</v>
      </c>
      <c r="L28" s="81">
        <v>1</v>
      </c>
      <c r="M28" s="81">
        <v>1</v>
      </c>
      <c r="N28" s="81">
        <v>1</v>
      </c>
      <c r="O28" s="77">
        <v>1</v>
      </c>
      <c r="P28" s="82">
        <v>0.9</v>
      </c>
      <c r="Q28" s="81">
        <v>0.7</v>
      </c>
      <c r="R28" s="81">
        <v>1</v>
      </c>
      <c r="S28" s="81">
        <v>1</v>
      </c>
      <c r="T28" s="81">
        <v>0.3</v>
      </c>
      <c r="U28" s="81"/>
      <c r="V28" s="77"/>
      <c r="W28" s="58">
        <f t="shared" si="0"/>
        <v>5</v>
      </c>
      <c r="X28" s="68">
        <f t="shared" si="8"/>
        <v>3.9</v>
      </c>
      <c r="Y28" s="78">
        <f t="shared" si="9"/>
        <v>8.9</v>
      </c>
      <c r="Z28" s="70">
        <f>'[1]cálculos teóricos'!I266</f>
        <v>11.917409210949348</v>
      </c>
      <c r="AA28" s="71">
        <f t="shared" si="3"/>
        <v>74.680661228138035</v>
      </c>
      <c r="AB28" s="3"/>
    </row>
    <row r="29" spans="1:28" ht="18" customHeight="1">
      <c r="A29" s="80">
        <v>21</v>
      </c>
      <c r="B29" s="75">
        <v>16.3</v>
      </c>
      <c r="C29" s="73">
        <f>'[1]cálculos teóricos'!K267</f>
        <v>1.0119042734782999</v>
      </c>
      <c r="D29" s="58">
        <f t="shared" si="4"/>
        <v>240.21094655485993</v>
      </c>
      <c r="E29" s="59">
        <f t="shared" si="5"/>
        <v>10.057151910358876</v>
      </c>
      <c r="F29" s="60">
        <f t="shared" si="6"/>
        <v>12.900522367948595</v>
      </c>
      <c r="G29" s="61">
        <f>'[1]cálculos teóricos'!T267</f>
        <v>33.733443117336968</v>
      </c>
      <c r="H29" s="74">
        <f t="shared" si="7"/>
        <v>38.24253078191861</v>
      </c>
      <c r="I29" s="79"/>
      <c r="J29" s="81">
        <v>0.2</v>
      </c>
      <c r="K29" s="81"/>
      <c r="L29" s="81"/>
      <c r="M29" s="81"/>
      <c r="N29" s="81">
        <v>0.1</v>
      </c>
      <c r="O29" s="77">
        <v>0.7</v>
      </c>
      <c r="P29" s="82">
        <v>0.7</v>
      </c>
      <c r="Q29" s="82"/>
      <c r="R29" s="82"/>
      <c r="S29" s="82"/>
      <c r="T29" s="81"/>
      <c r="U29" s="81"/>
      <c r="V29" s="77"/>
      <c r="W29" s="58">
        <f t="shared" si="0"/>
        <v>1</v>
      </c>
      <c r="X29" s="68">
        <f t="shared" si="8"/>
        <v>0.7</v>
      </c>
      <c r="Y29" s="78">
        <f t="shared" si="9"/>
        <v>1.7</v>
      </c>
      <c r="Z29" s="70">
        <f>'[1]cálculos teóricos'!I267</f>
        <v>11.940074606843586</v>
      </c>
      <c r="AA29" s="71">
        <f t="shared" si="3"/>
        <v>14.237766982005507</v>
      </c>
      <c r="AB29" s="3"/>
    </row>
    <row r="30" spans="1:28" ht="18" customHeight="1">
      <c r="A30" s="80">
        <v>22</v>
      </c>
      <c r="B30" s="75">
        <v>16.2</v>
      </c>
      <c r="C30" s="73">
        <f>'[1]cálculos teóricos'!K268</f>
        <v>1.0127145344782673</v>
      </c>
      <c r="D30" s="58">
        <f t="shared" si="4"/>
        <v>238.92842359056274</v>
      </c>
      <c r="E30" s="59">
        <f t="shared" si="5"/>
        <v>10.00345523888968</v>
      </c>
      <c r="F30" s="60">
        <f t="shared" si="6"/>
        <v>12.833401528612104</v>
      </c>
      <c r="G30" s="61">
        <f>'[1]cálculos teóricos'!T268</f>
        <v>33.914769802376469</v>
      </c>
      <c r="H30" s="74">
        <f t="shared" si="7"/>
        <v>37.840155199027308</v>
      </c>
      <c r="I30" s="79"/>
      <c r="J30" s="81"/>
      <c r="K30" s="81">
        <v>0.8</v>
      </c>
      <c r="L30" s="81">
        <v>0.5</v>
      </c>
      <c r="M30" s="81">
        <v>0.7</v>
      </c>
      <c r="N30" s="81">
        <v>0.7</v>
      </c>
      <c r="O30" s="77">
        <v>0.2</v>
      </c>
      <c r="P30" s="82">
        <v>0.1</v>
      </c>
      <c r="Q30" s="81"/>
      <c r="R30" s="81">
        <v>0.1</v>
      </c>
      <c r="S30" s="81">
        <v>0.1</v>
      </c>
      <c r="T30" s="81"/>
      <c r="U30" s="81"/>
      <c r="V30" s="77"/>
      <c r="W30" s="58">
        <f t="shared" si="0"/>
        <v>2.9000000000000004</v>
      </c>
      <c r="X30" s="68">
        <f t="shared" si="8"/>
        <v>0.30000000000000004</v>
      </c>
      <c r="Y30" s="78">
        <f t="shared" si="9"/>
        <v>3.2</v>
      </c>
      <c r="Z30" s="70">
        <f>'[1]cálculos teóricos'!I268</f>
        <v>11.962763293595893</v>
      </c>
      <c r="AA30" s="71">
        <f t="shared" si="3"/>
        <v>26.749672475029893</v>
      </c>
      <c r="AB30" s="3"/>
    </row>
    <row r="31" spans="1:28" ht="18" customHeight="1">
      <c r="A31" s="80">
        <v>23</v>
      </c>
      <c r="B31" s="75">
        <v>32.6</v>
      </c>
      <c r="C31" s="73">
        <f>'[1]cálculos teóricos'!K269</f>
        <v>1.0135156784425661</v>
      </c>
      <c r="D31" s="58">
        <f t="shared" si="4"/>
        <v>481.18694000574499</v>
      </c>
      <c r="E31" s="59">
        <f t="shared" si="5"/>
        <v>20.146334804160531</v>
      </c>
      <c r="F31" s="60">
        <f t="shared" si="6"/>
        <v>25.512000985200661</v>
      </c>
      <c r="G31" s="61">
        <f>'[1]cálculos teóricos'!T269</f>
        <v>34.095290148107495</v>
      </c>
      <c r="H31" s="74">
        <f t="shared" si="7"/>
        <v>74.825586978079258</v>
      </c>
      <c r="I31" s="79"/>
      <c r="J31" s="81">
        <v>0.4</v>
      </c>
      <c r="K31" s="81">
        <v>1</v>
      </c>
      <c r="L31" s="81">
        <v>1</v>
      </c>
      <c r="M31" s="81">
        <v>1</v>
      </c>
      <c r="N31" s="81">
        <v>1</v>
      </c>
      <c r="O31" s="77">
        <v>1</v>
      </c>
      <c r="P31" s="82">
        <v>1</v>
      </c>
      <c r="Q31" s="81">
        <v>1</v>
      </c>
      <c r="R31" s="81">
        <v>1</v>
      </c>
      <c r="S31" s="81">
        <v>1</v>
      </c>
      <c r="T31" s="81">
        <v>1</v>
      </c>
      <c r="U31" s="81">
        <v>0.5</v>
      </c>
      <c r="V31" s="77"/>
      <c r="W31" s="58">
        <f t="shared" si="0"/>
        <v>5.4</v>
      </c>
      <c r="X31" s="68">
        <f t="shared" si="8"/>
        <v>5.5</v>
      </c>
      <c r="Y31" s="78">
        <f t="shared" si="9"/>
        <v>10.9</v>
      </c>
      <c r="Z31" s="70">
        <f>'[1]cálculos teóricos'!I269</f>
        <v>11.985472229268808</v>
      </c>
      <c r="AA31" s="71">
        <f t="shared" si="3"/>
        <v>90.943433779621472</v>
      </c>
      <c r="AB31" s="3"/>
    </row>
    <row r="32" spans="1:28" ht="18" customHeight="1">
      <c r="A32" s="80">
        <v>24</v>
      </c>
      <c r="B32" s="75">
        <v>34</v>
      </c>
      <c r="C32" s="73">
        <f>'[1]cálculos teóricos'!K270</f>
        <v>1.0143074888166961</v>
      </c>
      <c r="D32" s="58">
        <f t="shared" si="4"/>
        <v>502.2434818549865</v>
      </c>
      <c r="E32" s="59">
        <f t="shared" si="5"/>
        <v>21.027930098304573</v>
      </c>
      <c r="F32" s="60">
        <f t="shared" si="6"/>
        <v>26.613995102880718</v>
      </c>
      <c r="G32" s="61">
        <f>'[1]cálculos teóricos'!T270</f>
        <v>34.274949224668816</v>
      </c>
      <c r="H32" s="74">
        <f t="shared" si="7"/>
        <v>77.648532543195557</v>
      </c>
      <c r="I32" s="79"/>
      <c r="J32" s="81">
        <v>0.5</v>
      </c>
      <c r="K32" s="81">
        <v>1</v>
      </c>
      <c r="L32" s="81">
        <v>1</v>
      </c>
      <c r="M32" s="81">
        <v>1</v>
      </c>
      <c r="N32" s="81">
        <v>1</v>
      </c>
      <c r="O32" s="77">
        <v>1</v>
      </c>
      <c r="P32" s="82">
        <v>1</v>
      </c>
      <c r="Q32" s="81">
        <v>1</v>
      </c>
      <c r="R32" s="81">
        <v>1</v>
      </c>
      <c r="S32" s="81">
        <v>1</v>
      </c>
      <c r="T32" s="81">
        <v>0.6</v>
      </c>
      <c r="U32" s="81"/>
      <c r="V32" s="77"/>
      <c r="W32" s="58">
        <f t="shared" si="0"/>
        <v>5.5</v>
      </c>
      <c r="X32" s="68">
        <f t="shared" si="8"/>
        <v>4.5999999999999996</v>
      </c>
      <c r="Y32" s="78">
        <f t="shared" si="9"/>
        <v>10.1</v>
      </c>
      <c r="Z32" s="70">
        <f>'[1]cálculos teóricos'!I270</f>
        <v>12.008198357815731</v>
      </c>
      <c r="AA32" s="71">
        <f t="shared" si="3"/>
        <v>84.109203554472018</v>
      </c>
      <c r="AB32" s="3"/>
    </row>
    <row r="33" spans="1:28" ht="18" customHeight="1">
      <c r="A33" s="80">
        <v>25</v>
      </c>
      <c r="B33" s="75">
        <v>20.5</v>
      </c>
      <c r="C33" s="73">
        <f>'[1]cálculos teóricos'!K271</f>
        <v>1.0150897573081683</v>
      </c>
      <c r="D33" s="58">
        <f t="shared" si="4"/>
        <v>303.05682345142895</v>
      </c>
      <c r="E33" s="59">
        <f t="shared" si="5"/>
        <v>12.688383084264427</v>
      </c>
      <c r="F33" s="60">
        <f t="shared" si="6"/>
        <v>16.189561335330534</v>
      </c>
      <c r="G33" s="61">
        <f>'[1]cálculos teóricos'!T271</f>
        <v>34.453692849623536</v>
      </c>
      <c r="H33" s="74">
        <f t="shared" si="7"/>
        <v>46.989335529260785</v>
      </c>
      <c r="I33" s="146"/>
      <c r="J33" s="81"/>
      <c r="K33" s="81"/>
      <c r="L33" s="81"/>
      <c r="M33" s="81">
        <v>0.1</v>
      </c>
      <c r="N33" s="81">
        <v>0.1</v>
      </c>
      <c r="O33" s="77">
        <v>1</v>
      </c>
      <c r="P33" s="82">
        <v>0.8</v>
      </c>
      <c r="Q33" s="81">
        <v>0.9</v>
      </c>
      <c r="R33" s="81">
        <v>0.1</v>
      </c>
      <c r="S33" s="81"/>
      <c r="T33" s="81"/>
      <c r="U33" s="81"/>
      <c r="V33" s="77"/>
      <c r="W33" s="58">
        <f t="shared" si="0"/>
        <v>1.2</v>
      </c>
      <c r="X33" s="68">
        <f t="shared" si="8"/>
        <v>1.8000000000000003</v>
      </c>
      <c r="Y33" s="78">
        <f t="shared" si="9"/>
        <v>3</v>
      </c>
      <c r="Z33" s="70">
        <f>'[1]cálculos teóricos'!I271</f>
        <v>12.030938602775587</v>
      </c>
      <c r="AA33" s="71">
        <f t="shared" si="3"/>
        <v>24.935710330263738</v>
      </c>
      <c r="AB33" s="3"/>
    </row>
    <row r="34" spans="1:28" ht="18" customHeight="1">
      <c r="A34" s="80">
        <v>26</v>
      </c>
      <c r="B34" s="75">
        <v>4.9000000000000004</v>
      </c>
      <c r="C34" s="73">
        <f>'[1]cálculos teóricos'!K272</f>
        <v>1.0158622839110589</v>
      </c>
      <c r="D34" s="58">
        <f t="shared" si="4"/>
        <v>72.493100821519675</v>
      </c>
      <c r="E34" s="59">
        <f t="shared" si="5"/>
        <v>3.0351411451953858</v>
      </c>
      <c r="F34" s="60">
        <f t="shared" si="6"/>
        <v>4.1230089114942317</v>
      </c>
      <c r="G34" s="61">
        <f>'[1]cálculos teóricos'!T272</f>
        <v>34.631467608390317</v>
      </c>
      <c r="H34" s="74">
        <f t="shared" si="7"/>
        <v>11.905383156488961</v>
      </c>
      <c r="I34" s="146"/>
      <c r="J34" s="81"/>
      <c r="K34" s="81"/>
      <c r="L34" s="81"/>
      <c r="M34" s="81"/>
      <c r="N34" s="81"/>
      <c r="O34" s="77"/>
      <c r="P34" s="82"/>
      <c r="Q34" s="81"/>
      <c r="R34" s="81"/>
      <c r="S34" s="81"/>
      <c r="T34" s="81"/>
      <c r="U34" s="81"/>
      <c r="V34" s="77"/>
      <c r="W34" s="58">
        <f t="shared" si="0"/>
        <v>0</v>
      </c>
      <c r="X34" s="68">
        <f t="shared" si="8"/>
        <v>0</v>
      </c>
      <c r="Y34" s="78">
        <f t="shared" si="9"/>
        <v>0</v>
      </c>
      <c r="Z34" s="70">
        <f>'[1]cálculos teóricos'!I272</f>
        <v>12.053689860952399</v>
      </c>
      <c r="AA34" s="71">
        <f t="shared" si="3"/>
        <v>0</v>
      </c>
      <c r="AB34" s="3"/>
    </row>
    <row r="35" spans="1:28" ht="18" customHeight="1">
      <c r="A35" s="80">
        <v>27</v>
      </c>
      <c r="B35" s="75">
        <v>16</v>
      </c>
      <c r="C35" s="73">
        <f>'[1]cálculos teóricos'!K273</f>
        <v>1.0166248769318984</v>
      </c>
      <c r="D35" s="58">
        <f t="shared" si="4"/>
        <v>236.88986232316324</v>
      </c>
      <c r="E35" s="59">
        <f t="shared" si="5"/>
        <v>9.9181047557461994</v>
      </c>
      <c r="F35" s="60">
        <f t="shared" si="6"/>
        <v>12.726713424682748</v>
      </c>
      <c r="G35" s="61">
        <f>'[1]cálculos teóricos'!T273</f>
        <v>34.808220875109512</v>
      </c>
      <c r="H35" s="74">
        <f t="shared" si="7"/>
        <v>36.562378382812732</v>
      </c>
      <c r="I35" s="146"/>
      <c r="J35" s="81"/>
      <c r="K35" s="81"/>
      <c r="L35" s="81"/>
      <c r="M35" s="81">
        <v>0.6</v>
      </c>
      <c r="N35" s="81">
        <v>0.7</v>
      </c>
      <c r="O35" s="77">
        <v>0.6</v>
      </c>
      <c r="P35" s="82"/>
      <c r="Q35" s="81"/>
      <c r="R35" s="81"/>
      <c r="S35" s="81"/>
      <c r="T35" s="81"/>
      <c r="U35" s="81"/>
      <c r="V35" s="77"/>
      <c r="W35" s="58">
        <f t="shared" si="0"/>
        <v>1.9</v>
      </c>
      <c r="X35" s="68">
        <f t="shared" si="8"/>
        <v>0</v>
      </c>
      <c r="Y35" s="78">
        <f t="shared" si="9"/>
        <v>1.9</v>
      </c>
      <c r="Z35" s="70">
        <f>'[1]cálculos teóricos'!I273</f>
        <v>12.076448996086873</v>
      </c>
      <c r="AA35" s="71">
        <f t="shared" si="3"/>
        <v>15.733101680930018</v>
      </c>
      <c r="AB35" s="3"/>
    </row>
    <row r="36" spans="1:28" ht="18" customHeight="1">
      <c r="A36" s="80">
        <v>28</v>
      </c>
      <c r="B36" s="75">
        <v>6.9</v>
      </c>
      <c r="C36" s="73">
        <f>'[1]cálculos teóricos'!K274</f>
        <v>1.0173773530169188</v>
      </c>
      <c r="D36" s="58">
        <f t="shared" si="4"/>
        <v>102.23436805656709</v>
      </c>
      <c r="E36" s="59">
        <f t="shared" si="5"/>
        <v>4.2803485217923507</v>
      </c>
      <c r="F36" s="60">
        <f t="shared" si="6"/>
        <v>5.6795181322404389</v>
      </c>
      <c r="G36" s="61">
        <f>'[1]cálculos teóricos'!T274</f>
        <v>34.983900833942378</v>
      </c>
      <c r="H36" s="74">
        <f t="shared" si="7"/>
        <v>16.23466222134385</v>
      </c>
      <c r="I36" s="146"/>
      <c r="J36" s="81"/>
      <c r="K36" s="81"/>
      <c r="L36" s="81"/>
      <c r="M36" s="81"/>
      <c r="N36" s="81"/>
      <c r="O36" s="77"/>
      <c r="P36" s="82"/>
      <c r="Q36" s="81"/>
      <c r="R36" s="81"/>
      <c r="S36" s="81"/>
      <c r="T36" s="81"/>
      <c r="U36" s="81"/>
      <c r="V36" s="77"/>
      <c r="W36" s="58">
        <f t="shared" si="0"/>
        <v>0</v>
      </c>
      <c r="X36" s="68">
        <f t="shared" si="8"/>
        <v>0</v>
      </c>
      <c r="Y36" s="78">
        <f t="shared" si="9"/>
        <v>0</v>
      </c>
      <c r="Z36" s="70">
        <f>'[1]cálculos teóricos'!I274</f>
        <v>12.099212832527423</v>
      </c>
      <c r="AA36" s="71">
        <f t="shared" si="3"/>
        <v>0</v>
      </c>
      <c r="AB36" s="3"/>
    </row>
    <row r="37" spans="1:28" ht="18" customHeight="1">
      <c r="A37" s="85">
        <v>29</v>
      </c>
      <c r="B37" s="75">
        <v>9.6</v>
      </c>
      <c r="C37" s="73">
        <f>'[1]cálculos teóricos'!K275</f>
        <v>1.0181195371806306</v>
      </c>
      <c r="D37" s="58">
        <f t="shared" si="4"/>
        <v>142.34288524540909</v>
      </c>
      <c r="E37" s="59">
        <f t="shared" si="5"/>
        <v>5.9596119194547876</v>
      </c>
      <c r="F37" s="60">
        <f t="shared" si="6"/>
        <v>7.7785973793184846</v>
      </c>
      <c r="G37" s="61">
        <f>'[1]cálculos teóricos'!T275</f>
        <v>35.158456500793754</v>
      </c>
      <c r="H37" s="74">
        <f t="shared" si="7"/>
        <v>22.124399514361137</v>
      </c>
      <c r="I37" s="79"/>
      <c r="J37" s="81"/>
      <c r="K37" s="81"/>
      <c r="L37" s="81"/>
      <c r="M37" s="81"/>
      <c r="N37" s="81"/>
      <c r="O37" s="77"/>
      <c r="P37" s="82"/>
      <c r="Q37" s="81"/>
      <c r="R37" s="81"/>
      <c r="S37" s="81"/>
      <c r="T37" s="81"/>
      <c r="U37" s="81"/>
      <c r="V37" s="77"/>
      <c r="W37" s="58">
        <f t="shared" si="0"/>
        <v>0</v>
      </c>
      <c r="X37" s="68">
        <f t="shared" si="8"/>
        <v>0</v>
      </c>
      <c r="Y37" s="78">
        <f t="shared" si="9"/>
        <v>0</v>
      </c>
      <c r="Z37" s="70">
        <f>'[1]cálculos teóricos'!I275</f>
        <v>12.121978148908402</v>
      </c>
      <c r="AA37" s="71">
        <f t="shared" si="3"/>
        <v>0</v>
      </c>
      <c r="AB37" s="3"/>
    </row>
    <row r="38" spans="1:28" ht="18" customHeight="1">
      <c r="A38" s="80">
        <v>30</v>
      </c>
      <c r="B38" s="75">
        <v>8.9</v>
      </c>
      <c r="C38" s="73">
        <f>'[1]cálculos teóricos'!K276</f>
        <v>1.018851262835645</v>
      </c>
      <c r="D38" s="58">
        <f t="shared" si="4"/>
        <v>132.05855926013155</v>
      </c>
      <c r="E38" s="59">
        <f t="shared" si="5"/>
        <v>5.5290277591031876</v>
      </c>
      <c r="F38" s="60">
        <f t="shared" si="6"/>
        <v>7.2403671788789845</v>
      </c>
      <c r="G38" s="61">
        <f>'[1]cálculos teóricos'!T276</f>
        <v>35.331837745441064</v>
      </c>
      <c r="H38" s="74">
        <f t="shared" si="7"/>
        <v>20.492472627788018</v>
      </c>
      <c r="I38" s="79"/>
      <c r="J38" s="81"/>
      <c r="K38" s="81"/>
      <c r="L38" s="81"/>
      <c r="M38" s="81">
        <v>0.4</v>
      </c>
      <c r="N38" s="81"/>
      <c r="O38" s="77"/>
      <c r="P38" s="82"/>
      <c r="Q38" s="81"/>
      <c r="R38" s="81"/>
      <c r="S38" s="81"/>
      <c r="T38" s="81"/>
      <c r="U38" s="81"/>
      <c r="V38" s="77"/>
      <c r="W38" s="58">
        <f t="shared" si="0"/>
        <v>0.4</v>
      </c>
      <c r="X38" s="68">
        <f t="shared" si="8"/>
        <v>0</v>
      </c>
      <c r="Y38" s="78">
        <f t="shared" si="9"/>
        <v>0.4</v>
      </c>
      <c r="Z38" s="70">
        <f>'[1]cálculos teóricos'!I276</f>
        <v>12.144741671843036</v>
      </c>
      <c r="AA38" s="71">
        <f t="shared" si="3"/>
        <v>3.2936064908435196</v>
      </c>
      <c r="AB38" s="3"/>
    </row>
    <row r="39" spans="1:28" ht="18" customHeight="1" thickBot="1">
      <c r="A39" s="86"/>
      <c r="B39" s="87"/>
      <c r="C39" s="88"/>
      <c r="D39" s="89"/>
      <c r="E39" s="119"/>
      <c r="F39" s="91"/>
      <c r="G39" s="92"/>
      <c r="H39" s="93"/>
      <c r="I39" s="94"/>
      <c r="J39" s="81"/>
      <c r="K39" s="81"/>
      <c r="L39" s="81"/>
      <c r="M39" s="81"/>
      <c r="N39" s="81"/>
      <c r="O39" s="95"/>
      <c r="P39" s="82"/>
      <c r="Q39" s="81"/>
      <c r="R39" s="81"/>
      <c r="S39" s="81"/>
      <c r="T39" s="81"/>
      <c r="U39" s="81"/>
      <c r="V39" s="77"/>
      <c r="W39" s="120"/>
      <c r="X39" s="121"/>
      <c r="Y39" s="150"/>
      <c r="Z39" s="165"/>
      <c r="AA39" s="124"/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25">
        <f>SUM(I9:I39)</f>
        <v>0</v>
      </c>
      <c r="J40" s="103">
        <f t="shared" ref="J40:AA40" si="10">SUM(J9:J39)</f>
        <v>2.9000000000000004</v>
      </c>
      <c r="K40" s="103">
        <f t="shared" si="10"/>
        <v>10.4</v>
      </c>
      <c r="L40" s="103">
        <f t="shared" si="10"/>
        <v>10.8</v>
      </c>
      <c r="M40" s="103">
        <f t="shared" si="10"/>
        <v>12.999999999999998</v>
      </c>
      <c r="N40" s="103">
        <f t="shared" si="10"/>
        <v>14.299999999999997</v>
      </c>
      <c r="O40" s="103">
        <f t="shared" si="10"/>
        <v>16.099999999999998</v>
      </c>
      <c r="P40" s="103">
        <f t="shared" si="10"/>
        <v>14.2</v>
      </c>
      <c r="Q40" s="103">
        <f t="shared" si="10"/>
        <v>12.7</v>
      </c>
      <c r="R40" s="103">
        <f t="shared" si="10"/>
        <v>10.399999999999999</v>
      </c>
      <c r="S40" s="103">
        <f t="shared" si="10"/>
        <v>10</v>
      </c>
      <c r="T40" s="103">
        <f t="shared" si="10"/>
        <v>8.1000000000000014</v>
      </c>
      <c r="U40" s="103">
        <f t="shared" si="10"/>
        <v>1.1000000000000001</v>
      </c>
      <c r="V40" s="103">
        <f t="shared" si="10"/>
        <v>0</v>
      </c>
      <c r="W40" s="103">
        <f t="shared" si="10"/>
        <v>67.5</v>
      </c>
      <c r="X40" s="103">
        <f t="shared" si="10"/>
        <v>56.5</v>
      </c>
      <c r="Y40" s="103">
        <f t="shared" si="10"/>
        <v>124.00000000000003</v>
      </c>
      <c r="Z40" s="103">
        <f t="shared" si="10"/>
        <v>354.51886153317855</v>
      </c>
      <c r="AA40" s="103">
        <f t="shared" si="10"/>
        <v>1052.6914960429565</v>
      </c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2" width="12.7109375" style="7" customWidth="1"/>
    <col min="3" max="3" width="13.42578125" style="7" customWidth="1"/>
    <col min="4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86</v>
      </c>
      <c r="B1" s="2"/>
      <c r="C1" s="3"/>
      <c r="D1" s="4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3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87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88</v>
      </c>
      <c r="W3" s="3"/>
      <c r="X3" s="3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9"/>
      <c r="X4" s="3"/>
      <c r="Y4" s="108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163">
        <v>-99</v>
      </c>
      <c r="C9" s="73">
        <f>'[1]cálculos teóricos'!K277</f>
        <v>1.01957237182362</v>
      </c>
      <c r="D9" s="58">
        <f>IF(B9&gt;0,B9*C9*14.25*1.022,-999)</f>
        <v>-999</v>
      </c>
      <c r="E9" s="59">
        <f>IF(B9&gt;0,D9*4.1868/100,-999)</f>
        <v>-999</v>
      </c>
      <c r="F9" s="60">
        <f>IF(B9&gt;0,(7.86+1.25*D9)*4.1868/100,-999)</f>
        <v>-999</v>
      </c>
      <c r="G9" s="61">
        <f>'[1]cálculos teóricos'!T277</f>
        <v>35.503995314044545</v>
      </c>
      <c r="H9" s="62">
        <f>IF(B9&gt;0,100*F9/G9,-999)</f>
        <v>-999</v>
      </c>
      <c r="I9" s="63"/>
      <c r="J9" s="63"/>
      <c r="K9" s="63"/>
      <c r="L9" s="63">
        <v>0.1</v>
      </c>
      <c r="M9" s="63"/>
      <c r="N9" s="63">
        <v>0.1</v>
      </c>
      <c r="O9" s="64"/>
      <c r="P9" s="79">
        <v>0.3</v>
      </c>
      <c r="Q9" s="75">
        <v>0.2</v>
      </c>
      <c r="R9" s="75">
        <v>0.3</v>
      </c>
      <c r="S9" s="75">
        <v>0.7</v>
      </c>
      <c r="T9" s="82"/>
      <c r="U9" s="63"/>
      <c r="V9" s="64"/>
      <c r="W9" s="58">
        <f t="shared" ref="W9:W40" si="0">SUM(I9:O9)</f>
        <v>0.2</v>
      </c>
      <c r="X9" s="68">
        <f>SUM(P9:V9)</f>
        <v>1.5</v>
      </c>
      <c r="Y9" s="145">
        <f>W9+X9</f>
        <v>1.7</v>
      </c>
      <c r="Z9" s="70">
        <f>'[1]cálculos teóricos'!I277</f>
        <v>12.167500069639472</v>
      </c>
      <c r="AA9" s="71">
        <f>100*Y9/Z9</f>
        <v>13.97164569772114</v>
      </c>
      <c r="AB9" s="3"/>
    </row>
    <row r="10" spans="1:28" ht="18" customHeight="1">
      <c r="A10" s="109">
        <v>2</v>
      </c>
      <c r="B10" s="56">
        <v>24.3</v>
      </c>
      <c r="C10" s="73">
        <f>'[1]cálculos teóricos'!K278</f>
        <v>1.020282714447148</v>
      </c>
      <c r="D10" s="58">
        <f>IF(B10&gt;0,B10*C10*14.25*1.022,-999)</f>
        <v>361.07096167798028</v>
      </c>
      <c r="E10" s="59">
        <f>IF(B10&gt;0,D10*4.1868/100,-999)</f>
        <v>15.117319023533678</v>
      </c>
      <c r="F10" s="60">
        <f>IF(B10&gt;0,(7.86+1.25*D10)*4.1868/100,-999)</f>
        <v>19.225731259417099</v>
      </c>
      <c r="G10" s="61">
        <f>'[1]cálculos teóricos'!T278</f>
        <v>35.67488085200516</v>
      </c>
      <c r="H10" s="74">
        <f>IF(B10&gt;0,100*F10/G10,-999)</f>
        <v>53.891507974963531</v>
      </c>
      <c r="I10" s="56"/>
      <c r="J10" s="75"/>
      <c r="K10" s="75"/>
      <c r="L10" s="75">
        <v>0.4</v>
      </c>
      <c r="M10" s="75">
        <v>0.2</v>
      </c>
      <c r="N10" s="75">
        <v>0.2</v>
      </c>
      <c r="O10" s="76">
        <v>0.7</v>
      </c>
      <c r="P10" s="79">
        <v>1</v>
      </c>
      <c r="Q10" s="75">
        <v>1</v>
      </c>
      <c r="R10" s="75">
        <v>1</v>
      </c>
      <c r="S10" s="75">
        <v>1</v>
      </c>
      <c r="T10" s="82">
        <v>0.8</v>
      </c>
      <c r="U10" s="82"/>
      <c r="V10" s="77"/>
      <c r="W10" s="58">
        <f t="shared" si="0"/>
        <v>1.5</v>
      </c>
      <c r="X10" s="68">
        <f>SUM(P10:V10)</f>
        <v>4.8</v>
      </c>
      <c r="Y10" s="78">
        <f t="shared" ref="Y10:Y29" si="1">W10+X10</f>
        <v>6.3</v>
      </c>
      <c r="Z10" s="70">
        <f>'[1]cálculos teóricos'!I278</f>
        <v>12.190249946048064</v>
      </c>
      <c r="AA10" s="71">
        <f t="shared" ref="AA10:AA39" si="2">100*Y10/Z10</f>
        <v>51.680646646973685</v>
      </c>
      <c r="AB10" s="3"/>
    </row>
    <row r="11" spans="1:28" ht="18" customHeight="1">
      <c r="A11" s="109">
        <v>3</v>
      </c>
      <c r="B11" s="56">
        <v>19.100000000000001</v>
      </c>
      <c r="C11" s="73">
        <f>'[1]cálculos teóricos'!K279</f>
        <v>1.0209821495023679</v>
      </c>
      <c r="D11" s="58">
        <f t="shared" ref="D11:D39" si="3">IF(B11&gt;0,B11*C11*14.25*1.022,-999)</f>
        <v>283.9993045047047</v>
      </c>
      <c r="E11" s="59">
        <f t="shared" ref="E11:E39" si="4">IF(B11&gt;0,D11*4.1868/100,-999)</f>
        <v>11.890482881002976</v>
      </c>
      <c r="F11" s="60">
        <f t="shared" ref="F11:F39" si="5">IF(B11&gt;0,(7.86+1.25*D11)*4.1868/100,-999)</f>
        <v>15.19218608125372</v>
      </c>
      <c r="G11" s="61">
        <f>'[1]cálculos teóricos'!T279</f>
        <v>35.84444692712988</v>
      </c>
      <c r="H11" s="74">
        <f t="shared" ref="H11:H39" si="6">IF(B11&gt;0,100*F11/G11,-999)</f>
        <v>42.383653211719903</v>
      </c>
      <c r="I11" s="56"/>
      <c r="J11" s="75"/>
      <c r="K11" s="75">
        <v>0.1</v>
      </c>
      <c r="L11" s="75">
        <v>0.9</v>
      </c>
      <c r="M11" s="75">
        <v>0.8</v>
      </c>
      <c r="N11" s="75">
        <v>1</v>
      </c>
      <c r="O11" s="76">
        <v>0.8</v>
      </c>
      <c r="P11" s="79">
        <v>0.4</v>
      </c>
      <c r="Q11" s="75"/>
      <c r="R11" s="75"/>
      <c r="S11" s="75"/>
      <c r="T11" s="82"/>
      <c r="U11" s="82"/>
      <c r="V11" s="77"/>
      <c r="W11" s="58">
        <f t="shared" si="0"/>
        <v>3.5999999999999996</v>
      </c>
      <c r="X11" s="68">
        <f t="shared" ref="X11:X39" si="7">SUM(P11:V11)</f>
        <v>0.4</v>
      </c>
      <c r="Y11" s="78">
        <f t="shared" si="1"/>
        <v>3.9999999999999996</v>
      </c>
      <c r="Z11" s="70">
        <f>'[1]cálculos teóricos'!I279</f>
        <v>12.212987834048798</v>
      </c>
      <c r="AA11" s="71">
        <f t="shared" si="2"/>
        <v>32.752018214972189</v>
      </c>
      <c r="AB11" s="3"/>
    </row>
    <row r="12" spans="1:28" ht="18" customHeight="1">
      <c r="A12" s="109">
        <v>4</v>
      </c>
      <c r="B12" s="56">
        <v>11.6</v>
      </c>
      <c r="C12" s="73">
        <f>'[1]cálculos teóricos'!K280</f>
        <v>1.0216705443120255</v>
      </c>
      <c r="D12" s="58">
        <f t="shared" si="3"/>
        <v>172.59754807622292</v>
      </c>
      <c r="E12" s="59">
        <f t="shared" si="4"/>
        <v>7.2263141428553013</v>
      </c>
      <c r="F12" s="60">
        <f t="shared" si="5"/>
        <v>9.3619751585691269</v>
      </c>
      <c r="G12" s="61">
        <f>'[1]cálculos teóricos'!T280</f>
        <v>36.012647053054536</v>
      </c>
      <c r="H12" s="74">
        <f t="shared" si="6"/>
        <v>25.996353849737517</v>
      </c>
      <c r="I12" s="56"/>
      <c r="J12" s="75"/>
      <c r="K12" s="75"/>
      <c r="L12" s="75"/>
      <c r="M12" s="75"/>
      <c r="N12" s="75"/>
      <c r="O12" s="76"/>
      <c r="P12" s="79"/>
      <c r="Q12" s="79"/>
      <c r="R12" s="75"/>
      <c r="S12" s="75"/>
      <c r="T12" s="82"/>
      <c r="U12" s="82"/>
      <c r="V12" s="77"/>
      <c r="W12" s="58">
        <f t="shared" si="0"/>
        <v>0</v>
      </c>
      <c r="X12" s="68">
        <f t="shared" si="7"/>
        <v>0</v>
      </c>
      <c r="Y12" s="78">
        <f t="shared" si="1"/>
        <v>0</v>
      </c>
      <c r="Z12" s="70">
        <f>'[1]cálculos teóricos'!I280</f>
        <v>12.235710189687937</v>
      </c>
      <c r="AA12" s="71">
        <f t="shared" si="2"/>
        <v>0</v>
      </c>
      <c r="AB12" s="3"/>
    </row>
    <row r="13" spans="1:28" ht="18" customHeight="1">
      <c r="A13" s="72">
        <v>5</v>
      </c>
      <c r="B13" s="56">
        <v>28.2</v>
      </c>
      <c r="C13" s="73">
        <f>'[1]cálculos teóricos'!K281</f>
        <v>1.0223477747586711</v>
      </c>
      <c r="D13" s="58">
        <f t="shared" si="3"/>
        <v>419.86872325908098</v>
      </c>
      <c r="E13" s="59">
        <f t="shared" si="4"/>
        <v>17.579063705411201</v>
      </c>
      <c r="F13" s="60">
        <f t="shared" si="5"/>
        <v>22.302912111764002</v>
      </c>
      <c r="G13" s="61">
        <f>'[1]cálculos teóricos'!T281</f>
        <v>36.179435712867594</v>
      </c>
      <c r="H13" s="74">
        <f t="shared" si="6"/>
        <v>61.645273543699133</v>
      </c>
      <c r="I13" s="56"/>
      <c r="J13" s="75"/>
      <c r="K13" s="75">
        <v>0.8</v>
      </c>
      <c r="L13" s="75">
        <v>1</v>
      </c>
      <c r="M13" s="75">
        <v>1</v>
      </c>
      <c r="N13" s="75">
        <v>1</v>
      </c>
      <c r="O13" s="76">
        <v>1</v>
      </c>
      <c r="P13" s="79">
        <v>1</v>
      </c>
      <c r="Q13" s="79">
        <v>0.9</v>
      </c>
      <c r="R13" s="75"/>
      <c r="S13" s="75"/>
      <c r="T13" s="82"/>
      <c r="U13" s="82"/>
      <c r="V13" s="77"/>
      <c r="W13" s="58">
        <f t="shared" si="0"/>
        <v>4.8</v>
      </c>
      <c r="X13" s="68">
        <f t="shared" si="7"/>
        <v>1.9</v>
      </c>
      <c r="Y13" s="78">
        <f t="shared" si="1"/>
        <v>6.6999999999999993</v>
      </c>
      <c r="Z13" s="70">
        <f>'[1]cálculos teóricos'!I281</f>
        <v>12.25841338597343</v>
      </c>
      <c r="AA13" s="71">
        <f t="shared" si="2"/>
        <v>54.656339193670924</v>
      </c>
      <c r="AB13" s="3"/>
    </row>
    <row r="14" spans="1:28" ht="18" customHeight="1">
      <c r="A14" s="72">
        <v>6</v>
      </c>
      <c r="B14" s="56">
        <v>28.3</v>
      </c>
      <c r="C14" s="73">
        <f>'[1]cálculos teóricos'!K282</f>
        <v>1.0230137253176346</v>
      </c>
      <c r="D14" s="58">
        <f t="shared" si="3"/>
        <v>421.63208899917339</v>
      </c>
      <c r="E14" s="59">
        <f t="shared" si="4"/>
        <v>17.652892302217388</v>
      </c>
      <c r="F14" s="60">
        <f t="shared" si="5"/>
        <v>22.395197857771738</v>
      </c>
      <c r="G14" s="61">
        <f>'[1]cálculos teóricos'!T282</f>
        <v>36.344768382870527</v>
      </c>
      <c r="H14" s="74">
        <f t="shared" si="6"/>
        <v>61.618766205500727</v>
      </c>
      <c r="I14" s="56"/>
      <c r="J14" s="75"/>
      <c r="K14" s="75">
        <v>0.2</v>
      </c>
      <c r="L14" s="75">
        <v>1</v>
      </c>
      <c r="M14" s="75">
        <v>1</v>
      </c>
      <c r="N14" s="75">
        <v>1</v>
      </c>
      <c r="O14" s="76">
        <v>1</v>
      </c>
      <c r="P14" s="79">
        <v>1</v>
      </c>
      <c r="Q14" s="82">
        <v>1</v>
      </c>
      <c r="R14" s="82">
        <v>0.5</v>
      </c>
      <c r="S14" s="82">
        <v>0.7</v>
      </c>
      <c r="T14" s="82">
        <v>0.4</v>
      </c>
      <c r="U14" s="82"/>
      <c r="V14" s="77"/>
      <c r="W14" s="58">
        <f t="shared" si="0"/>
        <v>4.2</v>
      </c>
      <c r="X14" s="68">
        <f t="shared" si="7"/>
        <v>3.6</v>
      </c>
      <c r="Y14" s="78">
        <f t="shared" si="1"/>
        <v>7.8000000000000007</v>
      </c>
      <c r="Z14" s="70">
        <f>'[1]cálculos teóricos'!I282</f>
        <v>12.281093706839203</v>
      </c>
      <c r="AA14" s="71">
        <f t="shared" si="2"/>
        <v>63.512258648887837</v>
      </c>
      <c r="AB14" s="3"/>
    </row>
    <row r="15" spans="1:28" ht="18" customHeight="1">
      <c r="A15" s="72">
        <v>7</v>
      </c>
      <c r="B15" s="56">
        <v>22</v>
      </c>
      <c r="C15" s="73">
        <f>'[1]cálculos teóricos'!K283</f>
        <v>1.0236682890893776</v>
      </c>
      <c r="D15" s="58">
        <f t="shared" si="3"/>
        <v>327.98024881936931</v>
      </c>
      <c r="E15" s="59">
        <f t="shared" si="4"/>
        <v>13.731877057569355</v>
      </c>
      <c r="F15" s="60">
        <f t="shared" si="5"/>
        <v>17.493928801961694</v>
      </c>
      <c r="G15" s="61">
        <f>'[1]cálculos teóricos'!T283</f>
        <v>36.508601556402283</v>
      </c>
      <c r="H15" s="74">
        <f t="shared" si="6"/>
        <v>47.917279918090685</v>
      </c>
      <c r="I15" s="56"/>
      <c r="J15" s="75"/>
      <c r="K15" s="75">
        <v>0.1</v>
      </c>
      <c r="L15" s="75">
        <v>0.3</v>
      </c>
      <c r="M15" s="75">
        <v>0.2</v>
      </c>
      <c r="N15" s="75">
        <v>0.4</v>
      </c>
      <c r="O15" s="76">
        <v>0.8</v>
      </c>
      <c r="P15" s="79">
        <v>0.9</v>
      </c>
      <c r="Q15" s="82">
        <v>1</v>
      </c>
      <c r="R15" s="82">
        <v>1</v>
      </c>
      <c r="S15" s="82">
        <v>1</v>
      </c>
      <c r="T15" s="82">
        <v>0.4</v>
      </c>
      <c r="U15" s="82"/>
      <c r="V15" s="77"/>
      <c r="W15" s="58">
        <f t="shared" si="0"/>
        <v>1.8</v>
      </c>
      <c r="X15" s="68">
        <f t="shared" si="7"/>
        <v>4.3</v>
      </c>
      <c r="Y15" s="78">
        <f t="shared" si="1"/>
        <v>6.1</v>
      </c>
      <c r="Z15" s="70">
        <f>'[1]cálculos teóricos'!I283</f>
        <v>12.303747341188917</v>
      </c>
      <c r="AA15" s="71">
        <f t="shared" si="2"/>
        <v>49.578391288800262</v>
      </c>
      <c r="AB15" s="3"/>
    </row>
    <row r="16" spans="1:28" ht="18" customHeight="1">
      <c r="A16" s="80">
        <v>8</v>
      </c>
      <c r="B16" s="75">
        <v>29</v>
      </c>
      <c r="C16" s="73">
        <f>'[1]cálculos teóricos'!K284</f>
        <v>1.0243113678307814</v>
      </c>
      <c r="D16" s="58">
        <f t="shared" si="3"/>
        <v>432.60919955670397</v>
      </c>
      <c r="E16" s="59">
        <f t="shared" si="4"/>
        <v>18.112481967040079</v>
      </c>
      <c r="F16" s="60">
        <f t="shared" si="5"/>
        <v>22.9696849388001</v>
      </c>
      <c r="G16" s="61">
        <f>'[1]cálculos teóricos'!T284</f>
        <v>36.670892767648695</v>
      </c>
      <c r="H16" s="74">
        <f t="shared" si="6"/>
        <v>62.637375872845148</v>
      </c>
      <c r="I16" s="79"/>
      <c r="J16" s="81"/>
      <c r="K16" s="81"/>
      <c r="L16" s="81">
        <v>0.4</v>
      </c>
      <c r="M16" s="81">
        <v>1</v>
      </c>
      <c r="N16" s="81">
        <v>1</v>
      </c>
      <c r="O16" s="76">
        <v>1</v>
      </c>
      <c r="P16" s="82">
        <v>1</v>
      </c>
      <c r="Q16" s="82">
        <v>1</v>
      </c>
      <c r="R16" s="81">
        <v>1</v>
      </c>
      <c r="S16" s="81">
        <v>1</v>
      </c>
      <c r="T16" s="81">
        <v>1</v>
      </c>
      <c r="U16" s="81">
        <v>0.7</v>
      </c>
      <c r="V16" s="77"/>
      <c r="W16" s="58">
        <f t="shared" si="0"/>
        <v>3.4</v>
      </c>
      <c r="X16" s="68">
        <f t="shared" si="7"/>
        <v>5.7</v>
      </c>
      <c r="Y16" s="78">
        <f t="shared" si="1"/>
        <v>9.1</v>
      </c>
      <c r="Z16" s="70">
        <f>'[1]cálculos teóricos'!I284</f>
        <v>12.326370377030226</v>
      </c>
      <c r="AA16" s="71">
        <f t="shared" si="2"/>
        <v>73.825462984282396</v>
      </c>
      <c r="AB16" s="3"/>
    </row>
    <row r="17" spans="1:28" ht="18" customHeight="1">
      <c r="A17" s="80">
        <v>9</v>
      </c>
      <c r="B17" s="75">
        <v>18.2</v>
      </c>
      <c r="C17" s="73">
        <f>'[1]cálculos teóricos'!K285</f>
        <v>1.0249428719848979</v>
      </c>
      <c r="D17" s="58">
        <f t="shared" si="3"/>
        <v>271.66695039396745</v>
      </c>
      <c r="E17" s="59">
        <f t="shared" si="4"/>
        <v>11.374151879094629</v>
      </c>
      <c r="F17" s="60">
        <f t="shared" si="5"/>
        <v>14.546772328868288</v>
      </c>
      <c r="G17" s="61">
        <f>'[1]cálculos teóricos'!T285</f>
        <v>36.831600615350567</v>
      </c>
      <c r="H17" s="74">
        <f t="shared" si="6"/>
        <v>39.495357480623653</v>
      </c>
      <c r="I17" s="79"/>
      <c r="J17" s="81">
        <v>0.6</v>
      </c>
      <c r="K17" s="81">
        <v>1</v>
      </c>
      <c r="L17" s="81">
        <v>0.8</v>
      </c>
      <c r="M17" s="81">
        <v>0.9</v>
      </c>
      <c r="N17" s="81">
        <v>0.7</v>
      </c>
      <c r="O17" s="76">
        <v>0.4</v>
      </c>
      <c r="P17" s="82">
        <v>0.8</v>
      </c>
      <c r="Q17" s="82"/>
      <c r="R17" s="81"/>
      <c r="S17" s="81"/>
      <c r="T17" s="81"/>
      <c r="U17" s="81"/>
      <c r="V17" s="77"/>
      <c r="W17" s="58">
        <f t="shared" si="0"/>
        <v>4.4000000000000004</v>
      </c>
      <c r="X17" s="68">
        <f t="shared" si="7"/>
        <v>0.8</v>
      </c>
      <c r="Y17" s="78">
        <f t="shared" si="1"/>
        <v>5.2</v>
      </c>
      <c r="Z17" s="70">
        <f>'[1]cálculos teóricos'!I285</f>
        <v>12.348958795711455</v>
      </c>
      <c r="AA17" s="71">
        <f t="shared" si="2"/>
        <v>42.108813269389607</v>
      </c>
      <c r="AB17" s="3"/>
    </row>
    <row r="18" spans="1:28" ht="18" customHeight="1">
      <c r="A18" s="80">
        <v>10</v>
      </c>
      <c r="B18" s="75">
        <v>5.6</v>
      </c>
      <c r="C18" s="73">
        <f>'[1]cálculos teóricos'!K286</f>
        <v>1.025562720708646</v>
      </c>
      <c r="D18" s="58">
        <f t="shared" si="3"/>
        <v>83.64038302502604</v>
      </c>
      <c r="E18" s="59">
        <f t="shared" si="4"/>
        <v>3.5018555564917904</v>
      </c>
      <c r="F18" s="60">
        <f t="shared" si="5"/>
        <v>4.7064019256147382</v>
      </c>
      <c r="G18" s="61">
        <f>'[1]cálculos teóricos'!T286</f>
        <v>36.990684786317473</v>
      </c>
      <c r="H18" s="74">
        <f t="shared" si="6"/>
        <v>12.723208431533537</v>
      </c>
      <c r="I18" s="79"/>
      <c r="J18" s="81"/>
      <c r="K18" s="81"/>
      <c r="L18" s="81"/>
      <c r="M18" s="81"/>
      <c r="N18" s="81"/>
      <c r="O18" s="76"/>
      <c r="P18" s="79"/>
      <c r="Q18" s="82"/>
      <c r="R18" s="81"/>
      <c r="S18" s="81"/>
      <c r="T18" s="81"/>
      <c r="U18" s="81"/>
      <c r="V18" s="77"/>
      <c r="W18" s="58">
        <f t="shared" si="0"/>
        <v>0</v>
      </c>
      <c r="X18" s="68">
        <f t="shared" si="7"/>
        <v>0</v>
      </c>
      <c r="Y18" s="78">
        <f t="shared" si="1"/>
        <v>0</v>
      </c>
      <c r="Z18" s="70">
        <f>'[1]cálculos teóricos'!I286</f>
        <v>12.371508466272868</v>
      </c>
      <c r="AA18" s="71">
        <f t="shared" si="2"/>
        <v>0</v>
      </c>
      <c r="AB18" s="3"/>
    </row>
    <row r="19" spans="1:28" ht="18" customHeight="1">
      <c r="A19" s="80">
        <v>11</v>
      </c>
      <c r="B19" s="117">
        <v>-99</v>
      </c>
      <c r="C19" s="73">
        <f>'[1]cálculos teóricos'!K287</f>
        <v>1.0261708418979132</v>
      </c>
      <c r="D19" s="58">
        <f t="shared" si="3"/>
        <v>-999</v>
      </c>
      <c r="E19" s="59">
        <f t="shared" si="4"/>
        <v>-999</v>
      </c>
      <c r="F19" s="60">
        <f t="shared" si="5"/>
        <v>-999</v>
      </c>
      <c r="G19" s="61">
        <f>'[1]cálculos teóricos'!T287</f>
        <v>37.148106078648368</v>
      </c>
      <c r="H19" s="74">
        <f t="shared" si="6"/>
        <v>-999</v>
      </c>
      <c r="I19" s="79"/>
      <c r="J19" s="81"/>
      <c r="K19" s="81"/>
      <c r="L19" s="81">
        <v>0.2</v>
      </c>
      <c r="M19" s="81">
        <v>0.3</v>
      </c>
      <c r="N19" s="81"/>
      <c r="O19" s="76">
        <v>0.5</v>
      </c>
      <c r="P19" s="82">
        <v>0.4</v>
      </c>
      <c r="Q19" s="81">
        <v>0.3</v>
      </c>
      <c r="R19" s="81"/>
      <c r="S19" s="81"/>
      <c r="T19" s="81"/>
      <c r="U19" s="81"/>
      <c r="V19" s="77"/>
      <c r="W19" s="58">
        <f t="shared" si="0"/>
        <v>1</v>
      </c>
      <c r="X19" s="68">
        <f t="shared" si="7"/>
        <v>0.7</v>
      </c>
      <c r="Y19" s="78">
        <f t="shared" si="1"/>
        <v>1.7</v>
      </c>
      <c r="Z19" s="70">
        <f>'[1]cálculos teóricos'!I287</f>
        <v>12.394015139925731</v>
      </c>
      <c r="AA19" s="71">
        <f t="shared" si="2"/>
        <v>13.716297590469031</v>
      </c>
      <c r="AB19" s="3"/>
    </row>
    <row r="20" spans="1:28" ht="18" customHeight="1">
      <c r="A20" s="80">
        <v>12</v>
      </c>
      <c r="B20" s="75">
        <v>24.1</v>
      </c>
      <c r="C20" s="73">
        <f>'[1]cálculos teóricos'!K288</f>
        <v>1.0267671722094867</v>
      </c>
      <c r="D20" s="58">
        <f t="shared" si="3"/>
        <v>360.37510147059595</v>
      </c>
      <c r="E20" s="59">
        <f t="shared" si="4"/>
        <v>15.088184748370912</v>
      </c>
      <c r="F20" s="60">
        <f t="shared" si="5"/>
        <v>19.189313415463637</v>
      </c>
      <c r="G20" s="61">
        <f>'[1]cálculos teóricos'!T288</f>
        <v>37.303826424554515</v>
      </c>
      <c r="H20" s="74">
        <f t="shared" si="6"/>
        <v>51.440603430517378</v>
      </c>
      <c r="I20" s="79"/>
      <c r="J20" s="81"/>
      <c r="K20" s="81"/>
      <c r="L20" s="81">
        <v>0.6</v>
      </c>
      <c r="M20" s="81">
        <v>0.4</v>
      </c>
      <c r="N20" s="81">
        <v>1</v>
      </c>
      <c r="O20" s="76">
        <v>1</v>
      </c>
      <c r="P20" s="82">
        <v>0.7</v>
      </c>
      <c r="Q20" s="81">
        <v>0.7</v>
      </c>
      <c r="R20" s="81">
        <v>0.1</v>
      </c>
      <c r="S20" s="81">
        <v>0.2</v>
      </c>
      <c r="T20" s="81"/>
      <c r="U20" s="81"/>
      <c r="V20" s="77"/>
      <c r="W20" s="58">
        <f t="shared" si="0"/>
        <v>3</v>
      </c>
      <c r="X20" s="68">
        <f t="shared" si="7"/>
        <v>1.7</v>
      </c>
      <c r="Y20" s="78">
        <f t="shared" si="1"/>
        <v>4.7</v>
      </c>
      <c r="Z20" s="70">
        <f>'[1]cálculos teóricos'!I288</f>
        <v>12.416474444672822</v>
      </c>
      <c r="AA20" s="71">
        <f t="shared" si="2"/>
        <v>37.852934993286226</v>
      </c>
      <c r="AB20" s="3"/>
    </row>
    <row r="21" spans="1:28" ht="18" customHeight="1">
      <c r="A21" s="80">
        <v>13</v>
      </c>
      <c r="B21" s="75">
        <v>25.3</v>
      </c>
      <c r="C21" s="73">
        <f>'[1]cálculos teóricos'!K289</f>
        <v>1.0273516570792156</v>
      </c>
      <c r="D21" s="58">
        <f t="shared" si="3"/>
        <v>378.53444720419094</v>
      </c>
      <c r="E21" s="59">
        <f t="shared" si="4"/>
        <v>15.848480235545066</v>
      </c>
      <c r="F21" s="60">
        <f t="shared" si="5"/>
        <v>20.139682774431332</v>
      </c>
      <c r="G21" s="61">
        <f>'[1]cálculos teóricos'!T289</f>
        <v>37.457808912674437</v>
      </c>
      <c r="H21" s="74">
        <f t="shared" si="6"/>
        <v>53.7663129773102</v>
      </c>
      <c r="I21" s="79"/>
      <c r="J21" s="81"/>
      <c r="K21" s="81"/>
      <c r="L21" s="81">
        <v>0.3</v>
      </c>
      <c r="M21" s="81">
        <v>0.4</v>
      </c>
      <c r="N21" s="81">
        <v>0.3</v>
      </c>
      <c r="O21" s="76">
        <v>0.9</v>
      </c>
      <c r="P21" s="82">
        <v>0.7</v>
      </c>
      <c r="Q21" s="81">
        <v>1</v>
      </c>
      <c r="R21" s="81">
        <v>1</v>
      </c>
      <c r="S21" s="81">
        <v>0.7</v>
      </c>
      <c r="T21" s="81"/>
      <c r="U21" s="81"/>
      <c r="V21" s="77"/>
      <c r="W21" s="58">
        <f t="shared" si="0"/>
        <v>1.9</v>
      </c>
      <c r="X21" s="68">
        <f t="shared" si="7"/>
        <v>3.4000000000000004</v>
      </c>
      <c r="Y21" s="78">
        <f t="shared" si="1"/>
        <v>5.3000000000000007</v>
      </c>
      <c r="Z21" s="70">
        <f>'[1]cálculos teóricos'!I289</f>
        <v>12.438881880084809</v>
      </c>
      <c r="AA21" s="71">
        <f t="shared" si="2"/>
        <v>42.608331288084116</v>
      </c>
      <c r="AB21" s="3"/>
    </row>
    <row r="22" spans="1:28" ht="18" customHeight="1">
      <c r="A22" s="80">
        <v>14</v>
      </c>
      <c r="B22" s="75">
        <v>19.100000000000001</v>
      </c>
      <c r="C22" s="73">
        <f>'[1]cálculos teóricos'!K290</f>
        <v>1.0279242507357855</v>
      </c>
      <c r="D22" s="58">
        <f t="shared" si="3"/>
        <v>285.93033916878068</v>
      </c>
      <c r="E22" s="59">
        <f t="shared" si="4"/>
        <v>11.971331440318508</v>
      </c>
      <c r="F22" s="60">
        <f t="shared" si="5"/>
        <v>15.293246780398135</v>
      </c>
      <c r="G22" s="61">
        <f>'[1]cálculos teóricos'!T290</f>
        <v>37.610017809767371</v>
      </c>
      <c r="H22" s="74">
        <f t="shared" si="6"/>
        <v>40.662694864309422</v>
      </c>
      <c r="I22" s="79"/>
      <c r="J22" s="81">
        <v>0.3</v>
      </c>
      <c r="K22" s="81">
        <v>1</v>
      </c>
      <c r="L22" s="81">
        <v>1</v>
      </c>
      <c r="M22" s="81">
        <v>1</v>
      </c>
      <c r="N22" s="81">
        <v>1</v>
      </c>
      <c r="O22" s="76"/>
      <c r="P22" s="82"/>
      <c r="Q22" s="81"/>
      <c r="R22" s="81"/>
      <c r="S22" s="81"/>
      <c r="T22" s="81"/>
      <c r="U22" s="81"/>
      <c r="V22" s="77"/>
      <c r="W22" s="58">
        <f t="shared" si="0"/>
        <v>4.3</v>
      </c>
      <c r="X22" s="68">
        <f t="shared" si="7"/>
        <v>0</v>
      </c>
      <c r="Y22" s="78">
        <f t="shared" si="1"/>
        <v>4.3</v>
      </c>
      <c r="Z22" s="70">
        <f>'[1]cálculos teóricos'!I290</f>
        <v>12.461232812247786</v>
      </c>
      <c r="AA22" s="71">
        <f t="shared" si="2"/>
        <v>34.50701920739057</v>
      </c>
      <c r="AB22" s="3"/>
    </row>
    <row r="23" spans="1:28" ht="18" customHeight="1">
      <c r="A23" s="80">
        <v>15</v>
      </c>
      <c r="B23" s="75">
        <v>10.9</v>
      </c>
      <c r="C23" s="73">
        <f>'[1]cálculos teóricos'!K291</f>
        <v>1.0284849162094551</v>
      </c>
      <c r="D23" s="58">
        <f t="shared" si="3"/>
        <v>163.26390684165875</v>
      </c>
      <c r="E23" s="59">
        <f t="shared" si="4"/>
        <v>6.8355332516465683</v>
      </c>
      <c r="F23" s="60">
        <f t="shared" si="5"/>
        <v>8.873499044558212</v>
      </c>
      <c r="G23" s="61">
        <f>'[1]cálculos teóricos'!T291</f>
        <v>37.760418581666087</v>
      </c>
      <c r="H23" s="74">
        <f t="shared" si="6"/>
        <v>23.499472140032324</v>
      </c>
      <c r="I23" s="79"/>
      <c r="J23" s="81"/>
      <c r="K23" s="81"/>
      <c r="L23" s="81"/>
      <c r="M23" s="81">
        <v>0.5</v>
      </c>
      <c r="N23" s="81">
        <v>0.1</v>
      </c>
      <c r="O23" s="76"/>
      <c r="P23" s="82"/>
      <c r="Q23" s="81"/>
      <c r="R23" s="81"/>
      <c r="S23" s="81"/>
      <c r="T23" s="81"/>
      <c r="U23" s="81"/>
      <c r="V23" s="77"/>
      <c r="W23" s="58">
        <f t="shared" si="0"/>
        <v>0.6</v>
      </c>
      <c r="X23" s="68">
        <f t="shared" si="7"/>
        <v>0</v>
      </c>
      <c r="Y23" s="78">
        <f t="shared" si="1"/>
        <v>0.6</v>
      </c>
      <c r="Z23" s="70">
        <f>'[1]cálculos teóricos'!I291</f>
        <v>12.483522468897803</v>
      </c>
      <c r="AA23" s="71">
        <f t="shared" si="2"/>
        <v>4.8063357237100028</v>
      </c>
      <c r="AB23" s="3"/>
    </row>
    <row r="24" spans="1:28" ht="18" customHeight="1">
      <c r="A24" s="80">
        <v>16</v>
      </c>
      <c r="B24" s="75">
        <v>26.1</v>
      </c>
      <c r="C24" s="73">
        <f>'[1]cálculos teóricos'!K292</f>
        <v>1.0290336253351089</v>
      </c>
      <c r="D24" s="58">
        <f t="shared" si="3"/>
        <v>391.14324438702113</v>
      </c>
      <c r="E24" s="59">
        <f t="shared" si="4"/>
        <v>16.376385355995801</v>
      </c>
      <c r="F24" s="60">
        <f t="shared" si="5"/>
        <v>20.799564174994753</v>
      </c>
      <c r="G24" s="61">
        <f>'[1]cálculos teóricos'!T292</f>
        <v>37.908977913368176</v>
      </c>
      <c r="H24" s="74">
        <f t="shared" si="6"/>
        <v>54.867119399861267</v>
      </c>
      <c r="I24" s="79"/>
      <c r="J24" s="81">
        <v>0.3</v>
      </c>
      <c r="K24" s="81">
        <v>0.2</v>
      </c>
      <c r="L24" s="81">
        <v>0.8</v>
      </c>
      <c r="M24" s="81">
        <v>1</v>
      </c>
      <c r="N24" s="81">
        <v>1</v>
      </c>
      <c r="O24" s="76">
        <v>1</v>
      </c>
      <c r="P24" s="82">
        <v>0.8</v>
      </c>
      <c r="Q24" s="81">
        <v>0.1</v>
      </c>
      <c r="R24" s="81">
        <v>0.1</v>
      </c>
      <c r="S24" s="81"/>
      <c r="T24" s="81"/>
      <c r="U24" s="81"/>
      <c r="V24" s="77"/>
      <c r="W24" s="58">
        <f t="shared" si="0"/>
        <v>4.3</v>
      </c>
      <c r="X24" s="68">
        <f t="shared" si="7"/>
        <v>1</v>
      </c>
      <c r="Y24" s="78">
        <f t="shared" si="1"/>
        <v>5.3</v>
      </c>
      <c r="Z24" s="70">
        <f>'[1]cálculos teóricos'!I292</f>
        <v>12.505745934759188</v>
      </c>
      <c r="AA24" s="71">
        <f t="shared" si="2"/>
        <v>42.380518744338758</v>
      </c>
      <c r="AB24" s="3"/>
    </row>
    <row r="25" spans="1:28" ht="18" customHeight="1">
      <c r="A25" s="80">
        <v>17</v>
      </c>
      <c r="B25" s="75">
        <v>30.8</v>
      </c>
      <c r="C25" s="73">
        <f>'[1]cálculos teóricos'!K293</f>
        <v>1.0295703587489491</v>
      </c>
      <c r="D25" s="58">
        <f t="shared" si="3"/>
        <v>461.81975592492188</v>
      </c>
      <c r="E25" s="59">
        <f t="shared" si="4"/>
        <v>19.335469541064629</v>
      </c>
      <c r="F25" s="60">
        <f t="shared" si="5"/>
        <v>24.498419406330786</v>
      </c>
      <c r="G25" s="61">
        <f>'[1]cálculos teóricos'!T293</f>
        <v>38.055663728141198</v>
      </c>
      <c r="H25" s="74">
        <f t="shared" si="6"/>
        <v>64.375225672952396</v>
      </c>
      <c r="I25" s="79"/>
      <c r="J25" s="81"/>
      <c r="K25" s="81"/>
      <c r="L25" s="81">
        <v>0.7</v>
      </c>
      <c r="M25" s="81">
        <v>1</v>
      </c>
      <c r="N25" s="81">
        <v>1</v>
      </c>
      <c r="O25" s="76">
        <v>1</v>
      </c>
      <c r="P25" s="82">
        <v>1</v>
      </c>
      <c r="Q25" s="81">
        <v>1</v>
      </c>
      <c r="R25" s="81">
        <v>1</v>
      </c>
      <c r="S25" s="81">
        <v>1</v>
      </c>
      <c r="T25" s="81">
        <v>0.3</v>
      </c>
      <c r="U25" s="81"/>
      <c r="V25" s="77"/>
      <c r="W25" s="58">
        <f t="shared" si="0"/>
        <v>3.7</v>
      </c>
      <c r="X25" s="68">
        <f t="shared" si="7"/>
        <v>4.3</v>
      </c>
      <c r="Y25" s="78">
        <f t="shared" si="1"/>
        <v>8</v>
      </c>
      <c r="Z25" s="70">
        <f>'[1]cálculos teóricos'!I293</f>
        <v>12.527898147104127</v>
      </c>
      <c r="AA25" s="71">
        <f t="shared" si="2"/>
        <v>63.857479571297695</v>
      </c>
      <c r="AB25" s="3"/>
    </row>
    <row r="26" spans="1:28" ht="18" customHeight="1">
      <c r="A26" s="80">
        <v>18</v>
      </c>
      <c r="B26" s="75">
        <v>6.2</v>
      </c>
      <c r="C26" s="73">
        <f>'[1]cálculos teóricos'!K294</f>
        <v>1.0300951058781556</v>
      </c>
      <c r="D26" s="58">
        <f t="shared" si="3"/>
        <v>93.011098461630425</v>
      </c>
      <c r="E26" s="59">
        <f t="shared" si="4"/>
        <v>3.8941886703915425</v>
      </c>
      <c r="F26" s="60">
        <f t="shared" si="5"/>
        <v>5.1968183179894281</v>
      </c>
      <c r="G26" s="61">
        <f>'[1]cálculos teóricos'!T294</f>
        <v>38.200445205516317</v>
      </c>
      <c r="H26" s="74">
        <f t="shared" si="6"/>
        <v>13.604077884513721</v>
      </c>
      <c r="I26" s="79"/>
      <c r="J26" s="81"/>
      <c r="K26" s="81"/>
      <c r="L26" s="81"/>
      <c r="M26" s="81"/>
      <c r="N26" s="81"/>
      <c r="O26" s="76"/>
      <c r="P26" s="82"/>
      <c r="Q26" s="81"/>
      <c r="R26" s="81"/>
      <c r="S26" s="81"/>
      <c r="T26" s="81"/>
      <c r="U26" s="81"/>
      <c r="V26" s="77"/>
      <c r="W26" s="58">
        <f t="shared" si="0"/>
        <v>0</v>
      </c>
      <c r="X26" s="68">
        <f t="shared" si="7"/>
        <v>0</v>
      </c>
      <c r="Y26" s="78">
        <f t="shared" si="1"/>
        <v>0</v>
      </c>
      <c r="Z26" s="70">
        <f>'[1]cálculos teóricos'!I294</f>
        <v>12.549973891551732</v>
      </c>
      <c r="AA26" s="71">
        <f t="shared" si="2"/>
        <v>0</v>
      </c>
      <c r="AB26" s="3"/>
    </row>
    <row r="27" spans="1:28" ht="18" customHeight="1">
      <c r="A27" s="80">
        <v>19</v>
      </c>
      <c r="B27" s="75">
        <v>14</v>
      </c>
      <c r="C27" s="73">
        <f>'[1]cálculos teóricos'!K295</f>
        <v>1.0306078649228301</v>
      </c>
      <c r="D27" s="58">
        <f t="shared" si="3"/>
        <v>210.12960697125092</v>
      </c>
      <c r="E27" s="59">
        <f t="shared" si="4"/>
        <v>8.7977063846723329</v>
      </c>
      <c r="F27" s="60">
        <f t="shared" si="5"/>
        <v>11.326215460840418</v>
      </c>
      <c r="G27" s="61">
        <f>'[1]cálculos teóricos'!T295</f>
        <v>38.34329279804254</v>
      </c>
      <c r="H27" s="74">
        <f t="shared" si="6"/>
        <v>29.538974444622113</v>
      </c>
      <c r="I27" s="79"/>
      <c r="J27" s="81"/>
      <c r="K27" s="81"/>
      <c r="L27" s="81"/>
      <c r="M27" s="81"/>
      <c r="N27" s="81"/>
      <c r="O27" s="76"/>
      <c r="P27" s="82"/>
      <c r="Q27" s="82">
        <v>0.3</v>
      </c>
      <c r="R27" s="81">
        <v>0.8</v>
      </c>
      <c r="S27" s="81">
        <v>0.2</v>
      </c>
      <c r="T27" s="81">
        <v>1</v>
      </c>
      <c r="U27" s="81">
        <v>0.8</v>
      </c>
      <c r="V27" s="77"/>
      <c r="W27" s="58">
        <f t="shared" si="0"/>
        <v>0</v>
      </c>
      <c r="X27" s="68">
        <f t="shared" si="7"/>
        <v>3.0999999999999996</v>
      </c>
      <c r="Y27" s="78">
        <f t="shared" si="1"/>
        <v>3.0999999999999996</v>
      </c>
      <c r="Z27" s="70">
        <f>'[1]cálculos teóricos'!I295</f>
        <v>12.571967798125707</v>
      </c>
      <c r="AA27" s="71">
        <f t="shared" si="2"/>
        <v>24.658033251263682</v>
      </c>
      <c r="AB27" s="3"/>
    </row>
    <row r="28" spans="1:28" ht="18" customHeight="1">
      <c r="A28" s="80">
        <v>20</v>
      </c>
      <c r="B28" s="75">
        <v>28</v>
      </c>
      <c r="C28" s="73">
        <f>'[1]cálculos teóricos'!K296</f>
        <v>1.0311086428295455</v>
      </c>
      <c r="D28" s="58">
        <f t="shared" si="3"/>
        <v>420.46342015574641</v>
      </c>
      <c r="E28" s="59">
        <f t="shared" si="4"/>
        <v>17.603962475080788</v>
      </c>
      <c r="F28" s="60">
        <f t="shared" si="5"/>
        <v>22.334035573850986</v>
      </c>
      <c r="G28" s="61">
        <f>'[1]cálculos teóricos'!T296</f>
        <v>38.484178246675384</v>
      </c>
      <c r="H28" s="74">
        <f t="shared" si="6"/>
        <v>58.03433148733118</v>
      </c>
      <c r="I28" s="79"/>
      <c r="J28" s="81">
        <v>0.7</v>
      </c>
      <c r="K28" s="81">
        <v>1</v>
      </c>
      <c r="L28" s="81">
        <v>1</v>
      </c>
      <c r="M28" s="81">
        <v>1</v>
      </c>
      <c r="N28" s="81">
        <v>0.9</v>
      </c>
      <c r="O28" s="76">
        <v>1</v>
      </c>
      <c r="P28" s="82">
        <v>1</v>
      </c>
      <c r="Q28" s="82">
        <v>0.9</v>
      </c>
      <c r="R28" s="81"/>
      <c r="S28" s="81">
        <v>0.2</v>
      </c>
      <c r="T28" s="81"/>
      <c r="U28" s="81"/>
      <c r="V28" s="77"/>
      <c r="W28" s="58">
        <f t="shared" si="0"/>
        <v>5.6000000000000005</v>
      </c>
      <c r="X28" s="68">
        <f t="shared" si="7"/>
        <v>2.1</v>
      </c>
      <c r="Y28" s="78">
        <f t="shared" si="1"/>
        <v>7.7000000000000011</v>
      </c>
      <c r="Z28" s="70">
        <f>'[1]cálculos teóricos'!I296</f>
        <v>12.593874337590313</v>
      </c>
      <c r="AA28" s="71">
        <f t="shared" si="2"/>
        <v>61.14083556492993</v>
      </c>
      <c r="AB28" s="3"/>
    </row>
    <row r="29" spans="1:28" ht="18" customHeight="1">
      <c r="A29" s="80">
        <v>21</v>
      </c>
      <c r="B29" s="75">
        <v>16.5</v>
      </c>
      <c r="C29" s="73">
        <f>'[1]cálculos teóricos'!K297</f>
        <v>1.0315974552558274</v>
      </c>
      <c r="D29" s="58">
        <f t="shared" si="3"/>
        <v>247.89054740370099</v>
      </c>
      <c r="E29" s="59">
        <f t="shared" si="4"/>
        <v>10.378681438698152</v>
      </c>
      <c r="F29" s="60">
        <f t="shared" si="5"/>
        <v>13.302434278372692</v>
      </c>
      <c r="G29" s="61">
        <f>'[1]cálculos teóricos'!T297</f>
        <v>38.623074594672374</v>
      </c>
      <c r="H29" s="74">
        <f t="shared" si="6"/>
        <v>34.441676168907627</v>
      </c>
      <c r="I29" s="79"/>
      <c r="J29" s="81"/>
      <c r="K29" s="81"/>
      <c r="L29" s="81"/>
      <c r="M29" s="81"/>
      <c r="N29" s="81"/>
      <c r="O29" s="76">
        <v>0.8</v>
      </c>
      <c r="P29" s="82">
        <v>0.7</v>
      </c>
      <c r="Q29" s="82">
        <v>0.2</v>
      </c>
      <c r="R29" s="81">
        <v>0.1</v>
      </c>
      <c r="S29" s="81">
        <v>0.4</v>
      </c>
      <c r="T29" s="81">
        <v>0.5</v>
      </c>
      <c r="U29" s="81">
        <v>0.2</v>
      </c>
      <c r="V29" s="77"/>
      <c r="W29" s="58">
        <f t="shared" si="0"/>
        <v>0.8</v>
      </c>
      <c r="X29" s="68">
        <f t="shared" si="7"/>
        <v>2.1</v>
      </c>
      <c r="Y29" s="78">
        <f t="shared" si="1"/>
        <v>2.9000000000000004</v>
      </c>
      <c r="Z29" s="70">
        <f>'[1]cálculos teóricos'!I297</f>
        <v>12.615687818085217</v>
      </c>
      <c r="AA29" s="71">
        <f t="shared" si="2"/>
        <v>22.987252394139826</v>
      </c>
      <c r="AB29" s="3"/>
    </row>
    <row r="30" spans="1:28" ht="18" customHeight="1">
      <c r="A30" s="80">
        <v>22</v>
      </c>
      <c r="B30" s="75">
        <v>24</v>
      </c>
      <c r="C30" s="73">
        <f>'[1]cálculos teóricos'!K298</f>
        <v>1.0320743265248982</v>
      </c>
      <c r="D30" s="58">
        <f t="shared" si="3"/>
        <v>360.7347469042885</v>
      </c>
      <c r="E30" s="59">
        <f t="shared" si="4"/>
        <v>15.103242383388752</v>
      </c>
      <c r="F30" s="60">
        <f t="shared" si="5"/>
        <v>19.208135459235937</v>
      </c>
      <c r="G30" s="61">
        <f>'[1]cálculos teóricos'!T298</f>
        <v>38.759956199870359</v>
      </c>
      <c r="H30" s="74">
        <f t="shared" si="6"/>
        <v>49.556649032797878</v>
      </c>
      <c r="I30" s="79"/>
      <c r="J30" s="81">
        <v>0.4</v>
      </c>
      <c r="K30" s="81">
        <v>1</v>
      </c>
      <c r="L30" s="81">
        <v>1</v>
      </c>
      <c r="M30" s="81">
        <v>1</v>
      </c>
      <c r="N30" s="81">
        <v>1</v>
      </c>
      <c r="O30" s="76">
        <v>1</v>
      </c>
      <c r="P30" s="82">
        <v>1</v>
      </c>
      <c r="Q30" s="82">
        <v>0.7</v>
      </c>
      <c r="R30" s="81"/>
      <c r="S30" s="81"/>
      <c r="T30" s="81"/>
      <c r="U30" s="81"/>
      <c r="V30" s="77"/>
      <c r="W30" s="58">
        <f t="shared" si="0"/>
        <v>5.4</v>
      </c>
      <c r="X30" s="68">
        <f t="shared" si="7"/>
        <v>1.7</v>
      </c>
      <c r="Y30" s="78">
        <f>W30+X30</f>
        <v>7.1000000000000005</v>
      </c>
      <c r="Z30" s="70">
        <f>'[1]cálculos teóricos'!I298</f>
        <v>12.637402382080378</v>
      </c>
      <c r="AA30" s="71">
        <f t="shared" si="2"/>
        <v>56.182432000959942</v>
      </c>
      <c r="AB30" s="3"/>
    </row>
    <row r="31" spans="1:28" ht="18" customHeight="1">
      <c r="A31" s="80">
        <v>23</v>
      </c>
      <c r="B31" s="75">
        <v>34.200000000000003</v>
      </c>
      <c r="C31" s="73">
        <f>'[1]cálculos teóricos'!K299</f>
        <v>1.032539289570032</v>
      </c>
      <c r="D31" s="58">
        <f t="shared" si="3"/>
        <v>514.27859927293821</v>
      </c>
      <c r="E31" s="59">
        <f t="shared" si="4"/>
        <v>21.531816394359375</v>
      </c>
      <c r="F31" s="60">
        <f t="shared" si="5"/>
        <v>27.24385297294922</v>
      </c>
      <c r="G31" s="61">
        <f>'[1]cálculos teóricos'!T299</f>
        <v>38.894798745221976</v>
      </c>
      <c r="H31" s="74">
        <f t="shared" si="6"/>
        <v>70.044977353934726</v>
      </c>
      <c r="I31" s="79">
        <v>0.2</v>
      </c>
      <c r="J31" s="81">
        <v>1</v>
      </c>
      <c r="K31" s="81">
        <v>1</v>
      </c>
      <c r="L31" s="81">
        <v>1</v>
      </c>
      <c r="M31" s="81">
        <v>1</v>
      </c>
      <c r="N31" s="81">
        <v>1</v>
      </c>
      <c r="O31" s="76">
        <v>1</v>
      </c>
      <c r="P31" s="82">
        <v>1</v>
      </c>
      <c r="Q31" s="82">
        <v>1</v>
      </c>
      <c r="R31" s="81">
        <v>1</v>
      </c>
      <c r="S31" s="81">
        <v>0.4</v>
      </c>
      <c r="T31" s="81"/>
      <c r="U31" s="81"/>
      <c r="V31" s="77"/>
      <c r="W31" s="58">
        <f t="shared" si="0"/>
        <v>6.2</v>
      </c>
      <c r="X31" s="68">
        <f t="shared" si="7"/>
        <v>3.4</v>
      </c>
      <c r="Y31" s="78">
        <f>W31+X31</f>
        <v>9.6</v>
      </c>
      <c r="Z31" s="70">
        <f>'[1]cálculos teóricos'!I299</f>
        <v>12.65901200367289</v>
      </c>
      <c r="AA31" s="71">
        <f t="shared" si="2"/>
        <v>75.83530213269924</v>
      </c>
      <c r="AB31" s="3"/>
    </row>
    <row r="32" spans="1:28" ht="18" customHeight="1">
      <c r="A32" s="80">
        <v>24</v>
      </c>
      <c r="B32" s="75">
        <v>23.8</v>
      </c>
      <c r="C32" s="73">
        <f>'[1]cálculos teóricos'!K300</f>
        <v>1.0329923858678827</v>
      </c>
      <c r="D32" s="58">
        <f t="shared" si="3"/>
        <v>358.04683375576843</v>
      </c>
      <c r="E32" s="59">
        <f t="shared" si="4"/>
        <v>14.990704835686513</v>
      </c>
      <c r="F32" s="60">
        <f t="shared" si="5"/>
        <v>19.06746352460814</v>
      </c>
      <c r="G32" s="61">
        <f>'[1]cálculos teóricos'!T300</f>
        <v>39.027579247470733</v>
      </c>
      <c r="H32" s="74">
        <f t="shared" si="6"/>
        <v>48.85638282534228</v>
      </c>
      <c r="I32" s="79"/>
      <c r="J32" s="81">
        <v>0.6</v>
      </c>
      <c r="K32" s="81"/>
      <c r="L32" s="81"/>
      <c r="M32" s="81"/>
      <c r="N32" s="81">
        <v>0.4</v>
      </c>
      <c r="O32" s="76">
        <v>1</v>
      </c>
      <c r="P32" s="82">
        <v>1</v>
      </c>
      <c r="Q32" s="82">
        <v>0.9</v>
      </c>
      <c r="R32" s="81">
        <v>0.2</v>
      </c>
      <c r="S32" s="81"/>
      <c r="T32" s="81"/>
      <c r="U32" s="81"/>
      <c r="V32" s="77"/>
      <c r="W32" s="58">
        <f t="shared" si="0"/>
        <v>2</v>
      </c>
      <c r="X32" s="68">
        <f t="shared" si="7"/>
        <v>2.1</v>
      </c>
      <c r="Y32" s="78">
        <f>W32+X32</f>
        <v>4.0999999999999996</v>
      </c>
      <c r="Z32" s="70">
        <f>'[1]cálculos teóricos'!I300</f>
        <v>12.680510486248172</v>
      </c>
      <c r="AA32" s="71">
        <f t="shared" si="2"/>
        <v>32.333083155022734</v>
      </c>
      <c r="AB32" s="3"/>
    </row>
    <row r="33" spans="1:28" ht="18" customHeight="1">
      <c r="A33" s="80">
        <v>25</v>
      </c>
      <c r="B33" s="75">
        <v>35.700000000000003</v>
      </c>
      <c r="C33" s="73">
        <f>'[1]cálculos teóricos'!K301</f>
        <v>1.0334336653601741</v>
      </c>
      <c r="D33" s="58">
        <f t="shared" si="3"/>
        <v>537.29967932138243</v>
      </c>
      <c r="E33" s="59">
        <f t="shared" si="4"/>
        <v>22.495662973827638</v>
      </c>
      <c r="F33" s="60">
        <f t="shared" si="5"/>
        <v>28.448661197284551</v>
      </c>
      <c r="G33" s="61">
        <f>'[1]cálculos teóricos'!T301</f>
        <v>39.158276063849144</v>
      </c>
      <c r="H33" s="74">
        <f t="shared" si="6"/>
        <v>72.65044342324434</v>
      </c>
      <c r="I33" s="79"/>
      <c r="J33" s="81"/>
      <c r="K33" s="81">
        <v>0.8</v>
      </c>
      <c r="L33" s="81">
        <v>1</v>
      </c>
      <c r="M33" s="81">
        <v>1</v>
      </c>
      <c r="N33" s="81">
        <v>1</v>
      </c>
      <c r="O33" s="77">
        <v>1</v>
      </c>
      <c r="P33" s="79">
        <v>1</v>
      </c>
      <c r="Q33" s="82">
        <v>1</v>
      </c>
      <c r="R33" s="81">
        <v>1</v>
      </c>
      <c r="S33" s="81">
        <v>1</v>
      </c>
      <c r="T33" s="81">
        <v>1</v>
      </c>
      <c r="U33" s="81">
        <v>0.9</v>
      </c>
      <c r="V33" s="77"/>
      <c r="W33" s="58">
        <f t="shared" si="0"/>
        <v>4.8</v>
      </c>
      <c r="X33" s="68">
        <f t="shared" si="7"/>
        <v>5.9</v>
      </c>
      <c r="Y33" s="78">
        <f>W33+X33</f>
        <v>10.7</v>
      </c>
      <c r="Z33" s="70">
        <f>'[1]cálculos teóricos'!I301</f>
        <v>12.701891460528639</v>
      </c>
      <c r="AA33" s="71">
        <f t="shared" si="2"/>
        <v>84.239422398234524</v>
      </c>
      <c r="AB33" s="3"/>
    </row>
    <row r="34" spans="1:28" ht="18" customHeight="1">
      <c r="A34" s="80">
        <v>26</v>
      </c>
      <c r="B34" s="75">
        <v>35.799999999999997</v>
      </c>
      <c r="C34" s="73">
        <f>'[1]cálculos teóricos'!K302</f>
        <v>1.03386318636316</v>
      </c>
      <c r="D34" s="58">
        <f t="shared" si="3"/>
        <v>539.02866122267562</v>
      </c>
      <c r="E34" s="59">
        <f t="shared" si="4"/>
        <v>22.568051988070984</v>
      </c>
      <c r="F34" s="60">
        <f t="shared" si="5"/>
        <v>28.539147465088728</v>
      </c>
      <c r="G34" s="61">
        <f>'[1]cálculos teóricos'!T302</f>
        <v>39.286868896688745</v>
      </c>
      <c r="H34" s="74">
        <f t="shared" si="6"/>
        <v>72.642967654503309</v>
      </c>
      <c r="I34" s="79"/>
      <c r="J34" s="81">
        <v>0.1</v>
      </c>
      <c r="K34" s="81">
        <v>0.9</v>
      </c>
      <c r="L34" s="81">
        <v>1</v>
      </c>
      <c r="M34" s="81">
        <v>1</v>
      </c>
      <c r="N34" s="81">
        <v>1</v>
      </c>
      <c r="O34" s="76">
        <v>1</v>
      </c>
      <c r="P34" s="79">
        <v>1</v>
      </c>
      <c r="Q34" s="82">
        <v>1</v>
      </c>
      <c r="R34" s="81">
        <v>1</v>
      </c>
      <c r="S34" s="81">
        <v>1</v>
      </c>
      <c r="T34" s="81">
        <v>1</v>
      </c>
      <c r="U34" s="81">
        <v>0.8</v>
      </c>
      <c r="V34" s="77"/>
      <c r="W34" s="58">
        <f t="shared" si="0"/>
        <v>5</v>
      </c>
      <c r="X34" s="68">
        <f t="shared" si="7"/>
        <v>5.8</v>
      </c>
      <c r="Y34" s="78">
        <f t="shared" ref="Y34:Y39" si="8">W34+X34</f>
        <v>10.8</v>
      </c>
      <c r="Z34" s="70">
        <f>'[1]cálculos teóricos'!I302</f>
        <v>12.723148383033188</v>
      </c>
      <c r="AA34" s="71">
        <f t="shared" si="2"/>
        <v>84.884650204993434</v>
      </c>
      <c r="AB34" s="3"/>
    </row>
    <row r="35" spans="1:28" ht="18" customHeight="1">
      <c r="A35" s="80">
        <v>27</v>
      </c>
      <c r="B35" s="75">
        <v>33.6</v>
      </c>
      <c r="C35" s="73">
        <f>'[1]cálculos teóricos'!K303</f>
        <v>1.0342810154643007</v>
      </c>
      <c r="D35" s="58">
        <f t="shared" si="3"/>
        <v>506.10845270880196</v>
      </c>
      <c r="E35" s="59">
        <f t="shared" si="4"/>
        <v>21.189748698012121</v>
      </c>
      <c r="F35" s="60">
        <f t="shared" si="5"/>
        <v>26.816268352515152</v>
      </c>
      <c r="G35" s="61">
        <f>'[1]cálculos teóricos'!T303</f>
        <v>39.413338795836367</v>
      </c>
      <c r="H35" s="74">
        <f t="shared" si="6"/>
        <v>68.038560476759272</v>
      </c>
      <c r="I35" s="79"/>
      <c r="J35" s="81">
        <v>0.7</v>
      </c>
      <c r="K35" s="81">
        <v>1</v>
      </c>
      <c r="L35" s="81">
        <v>1</v>
      </c>
      <c r="M35" s="81">
        <v>1</v>
      </c>
      <c r="N35" s="81">
        <v>1</v>
      </c>
      <c r="O35" s="76">
        <v>1</v>
      </c>
      <c r="P35" s="82">
        <v>1</v>
      </c>
      <c r="Q35" s="82">
        <v>1</v>
      </c>
      <c r="R35" s="81">
        <v>1</v>
      </c>
      <c r="S35" s="81">
        <v>1</v>
      </c>
      <c r="T35" s="81">
        <v>0.4</v>
      </c>
      <c r="U35" s="81"/>
      <c r="V35" s="77"/>
      <c r="W35" s="58">
        <f t="shared" si="0"/>
        <v>5.7</v>
      </c>
      <c r="X35" s="68">
        <f t="shared" si="7"/>
        <v>4.4000000000000004</v>
      </c>
      <c r="Y35" s="78">
        <f t="shared" si="8"/>
        <v>10.100000000000001</v>
      </c>
      <c r="Z35" s="70">
        <f>'[1]cálculos teóricos'!I303</f>
        <v>12.744274534971474</v>
      </c>
      <c r="AA35" s="71">
        <f t="shared" si="2"/>
        <v>79.251274541243305</v>
      </c>
      <c r="AB35" s="3"/>
    </row>
    <row r="36" spans="1:28" ht="18" customHeight="1">
      <c r="A36" s="80">
        <v>28</v>
      </c>
      <c r="B36" s="75">
        <v>24.7</v>
      </c>
      <c r="C36" s="73">
        <f>'[1]cálculos teóricos'!K304</f>
        <v>1.034687227405628</v>
      </c>
      <c r="D36" s="58">
        <f t="shared" si="3"/>
        <v>372.19608567714999</v>
      </c>
      <c r="E36" s="59">
        <f t="shared" si="4"/>
        <v>15.583105715130916</v>
      </c>
      <c r="F36" s="60">
        <f t="shared" si="5"/>
        <v>19.807964623913644</v>
      </c>
      <c r="G36" s="61">
        <f>'[1]cálculos teóricos'!T304</f>
        <v>39.537668158777905</v>
      </c>
      <c r="H36" s="74">
        <f t="shared" si="6"/>
        <v>50.09897028921268</v>
      </c>
      <c r="I36" s="79"/>
      <c r="J36" s="81">
        <v>0.7</v>
      </c>
      <c r="K36" s="81">
        <v>0.1</v>
      </c>
      <c r="L36" s="81"/>
      <c r="M36" s="81">
        <v>0.7</v>
      </c>
      <c r="N36" s="81">
        <v>0.2</v>
      </c>
      <c r="O36" s="76">
        <v>0.3</v>
      </c>
      <c r="P36" s="82">
        <v>0.9</v>
      </c>
      <c r="Q36" s="82">
        <v>1</v>
      </c>
      <c r="R36" s="81">
        <v>1</v>
      </c>
      <c r="S36" s="81">
        <v>1</v>
      </c>
      <c r="T36" s="81">
        <v>1</v>
      </c>
      <c r="U36" s="81">
        <v>0.3</v>
      </c>
      <c r="V36" s="77"/>
      <c r="W36" s="58">
        <f t="shared" si="0"/>
        <v>2</v>
      </c>
      <c r="X36" s="68">
        <f t="shared" si="7"/>
        <v>5.2</v>
      </c>
      <c r="Y36" s="78">
        <f t="shared" si="8"/>
        <v>7.2</v>
      </c>
      <c r="Z36" s="70">
        <f>'[1]cálculos teóricos'!I304</f>
        <v>12.765263021597068</v>
      </c>
      <c r="AA36" s="71">
        <f t="shared" si="2"/>
        <v>56.403068137480531</v>
      </c>
      <c r="AB36" s="3"/>
    </row>
    <row r="37" spans="1:28" ht="18" customHeight="1">
      <c r="A37" s="80">
        <v>29</v>
      </c>
      <c r="B37" s="75">
        <v>29.1</v>
      </c>
      <c r="C37" s="73">
        <f>'[1]cálculos teóricos'!K305</f>
        <v>1.0350819049533166</v>
      </c>
      <c r="D37" s="58">
        <f t="shared" si="3"/>
        <v>438.66548589311992</v>
      </c>
      <c r="E37" s="59">
        <f t="shared" si="4"/>
        <v>18.366046563373146</v>
      </c>
      <c r="F37" s="60">
        <f t="shared" si="5"/>
        <v>23.286640684216426</v>
      </c>
      <c r="G37" s="61">
        <f>'[1]cálculos teóricos'!T305</f>
        <v>39.659840728377716</v>
      </c>
      <c r="H37" s="74">
        <f t="shared" si="6"/>
        <v>58.715920832113149</v>
      </c>
      <c r="I37" s="79">
        <v>0.2</v>
      </c>
      <c r="J37" s="81">
        <v>1</v>
      </c>
      <c r="K37" s="81">
        <v>1</v>
      </c>
      <c r="L37" s="81">
        <v>1</v>
      </c>
      <c r="M37" s="81">
        <v>1</v>
      </c>
      <c r="N37" s="81">
        <v>1</v>
      </c>
      <c r="O37" s="76">
        <v>1</v>
      </c>
      <c r="P37" s="79">
        <v>0.9</v>
      </c>
      <c r="Q37" s="82">
        <v>0.9</v>
      </c>
      <c r="R37" s="81">
        <v>1</v>
      </c>
      <c r="S37" s="81"/>
      <c r="T37" s="81"/>
      <c r="U37" s="81"/>
      <c r="V37" s="77"/>
      <c r="W37" s="58">
        <f t="shared" si="0"/>
        <v>6.2</v>
      </c>
      <c r="X37" s="68">
        <f t="shared" si="7"/>
        <v>2.8</v>
      </c>
      <c r="Y37" s="78">
        <f t="shared" si="8"/>
        <v>9</v>
      </c>
      <c r="Z37" s="70">
        <f>'[1]cálculos teóricos'!I305</f>
        <v>12.786106772043812</v>
      </c>
      <c r="AA37" s="71">
        <f t="shared" si="2"/>
        <v>70.388900706492251</v>
      </c>
      <c r="AB37" s="3"/>
    </row>
    <row r="38" spans="1:28" ht="18" customHeight="1">
      <c r="A38" s="80">
        <v>30</v>
      </c>
      <c r="B38" s="75">
        <v>36.6</v>
      </c>
      <c r="C38" s="73">
        <f>'[1]cálculos teóricos'!K306</f>
        <v>1.0354651387530205</v>
      </c>
      <c r="D38" s="58">
        <f t="shared" si="3"/>
        <v>551.92787366520383</v>
      </c>
      <c r="E38" s="59">
        <f t="shared" si="4"/>
        <v>23.108116214614753</v>
      </c>
      <c r="F38" s="60">
        <f t="shared" si="5"/>
        <v>29.214227748268446</v>
      </c>
      <c r="G38" s="61">
        <f>'[1]cálculos teóricos'!T306</f>
        <v>39.779841588149978</v>
      </c>
      <c r="H38" s="74">
        <f t="shared" si="6"/>
        <v>73.43977899844397</v>
      </c>
      <c r="I38" s="79"/>
      <c r="J38" s="81">
        <v>0.5</v>
      </c>
      <c r="K38" s="81">
        <v>1</v>
      </c>
      <c r="L38" s="81">
        <v>1</v>
      </c>
      <c r="M38" s="81">
        <v>1</v>
      </c>
      <c r="N38" s="81">
        <v>1</v>
      </c>
      <c r="O38" s="76">
        <v>1</v>
      </c>
      <c r="P38" s="82">
        <v>1</v>
      </c>
      <c r="Q38" s="81">
        <v>1</v>
      </c>
      <c r="R38" s="81">
        <v>0.8</v>
      </c>
      <c r="S38" s="81">
        <v>1</v>
      </c>
      <c r="T38" s="81">
        <v>0.9</v>
      </c>
      <c r="U38" s="81">
        <v>0.8</v>
      </c>
      <c r="V38" s="77">
        <v>0.2</v>
      </c>
      <c r="W38" s="58">
        <f t="shared" si="0"/>
        <v>5.5</v>
      </c>
      <c r="X38" s="68">
        <f t="shared" si="7"/>
        <v>5.7</v>
      </c>
      <c r="Y38" s="78">
        <f t="shared" si="8"/>
        <v>11.2</v>
      </c>
      <c r="Z38" s="70">
        <f>'[1]cálculos teóricos'!I306</f>
        <v>12.806798539669806</v>
      </c>
      <c r="AA38" s="71">
        <f t="shared" si="2"/>
        <v>87.453550278840936</v>
      </c>
      <c r="AB38" s="3"/>
    </row>
    <row r="39" spans="1:28" ht="18" customHeight="1" thickBot="1">
      <c r="A39" s="86">
        <v>31</v>
      </c>
      <c r="B39" s="87">
        <v>11.8</v>
      </c>
      <c r="C39" s="88">
        <f>'[1]cálculos teóricos'!K307</f>
        <v>1.0358370271705748</v>
      </c>
      <c r="D39" s="89">
        <f t="shared" si="3"/>
        <v>178.00786803334429</v>
      </c>
      <c r="E39" s="90">
        <f t="shared" si="4"/>
        <v>7.4528334188200587</v>
      </c>
      <c r="F39" s="91">
        <f t="shared" si="5"/>
        <v>9.6451242535250739</v>
      </c>
      <c r="G39" s="92">
        <f>'[1]cálculos teóricos'!T307</f>
        <v>39.897657154987527</v>
      </c>
      <c r="H39" s="93">
        <f t="shared" si="6"/>
        <v>24.174663229114834</v>
      </c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>
        <v>0.7</v>
      </c>
      <c r="U39" s="87"/>
      <c r="V39" s="77"/>
      <c r="W39" s="58">
        <f t="shared" si="0"/>
        <v>0</v>
      </c>
      <c r="X39" s="68">
        <f t="shared" si="7"/>
        <v>0.7</v>
      </c>
      <c r="Y39" s="78">
        <f t="shared" si="8"/>
        <v>0.7</v>
      </c>
      <c r="Z39" s="98">
        <f>'[1]cálculos teóricos'!I307</f>
        <v>12.82733090293323</v>
      </c>
      <c r="AA39" s="99">
        <f t="shared" si="2"/>
        <v>5.4570978584479395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25">
        <f>SUM(I9:I39)</f>
        <v>0.4</v>
      </c>
      <c r="J40" s="103">
        <f t="shared" ref="J40:AA40" si="9">SUM(J9:J39)</f>
        <v>6.9</v>
      </c>
      <c r="K40" s="103">
        <f t="shared" si="9"/>
        <v>11.2</v>
      </c>
      <c r="L40" s="103">
        <f t="shared" si="9"/>
        <v>16.5</v>
      </c>
      <c r="M40" s="103">
        <f t="shared" si="9"/>
        <v>18.400000000000002</v>
      </c>
      <c r="N40" s="103">
        <f t="shared" si="9"/>
        <v>18.3</v>
      </c>
      <c r="O40" s="103">
        <f t="shared" si="9"/>
        <v>20.2</v>
      </c>
      <c r="P40" s="103">
        <f t="shared" si="9"/>
        <v>20.5</v>
      </c>
      <c r="Q40" s="103">
        <f t="shared" si="9"/>
        <v>18.099999999999998</v>
      </c>
      <c r="R40" s="103">
        <f t="shared" si="9"/>
        <v>13.9</v>
      </c>
      <c r="S40" s="103">
        <f t="shared" si="9"/>
        <v>12.500000000000002</v>
      </c>
      <c r="T40" s="103">
        <f t="shared" si="9"/>
        <v>9.4</v>
      </c>
      <c r="U40" s="103">
        <f t="shared" si="9"/>
        <v>4.5</v>
      </c>
      <c r="V40" s="103">
        <f t="shared" si="9"/>
        <v>0.2</v>
      </c>
      <c r="W40" s="103">
        <f t="shared" si="0"/>
        <v>91.9</v>
      </c>
      <c r="X40" s="103">
        <f>SUM(P40:V40)</f>
        <v>79.100000000000009</v>
      </c>
      <c r="Y40" s="103">
        <f>W40+X40</f>
        <v>171</v>
      </c>
      <c r="Z40" s="103">
        <f t="shared" si="9"/>
        <v>387.58755327226424</v>
      </c>
      <c r="AA40" s="103">
        <f t="shared" si="9"/>
        <v>1363.0293956880225</v>
      </c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91"/>
      <c r="X41" s="191"/>
      <c r="Y41" s="191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89</v>
      </c>
      <c r="B1" s="2"/>
      <c r="C1" s="3"/>
      <c r="D1" s="4"/>
      <c r="E1" s="192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90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91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92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66"/>
      <c r="T3" s="166"/>
      <c r="U3" s="3"/>
      <c r="V3" s="8" t="s">
        <v>93</v>
      </c>
      <c r="W3" s="3"/>
      <c r="X3" s="3"/>
      <c r="Y3" s="100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66"/>
      <c r="T4" s="166"/>
      <c r="U4" s="166"/>
      <c r="V4" s="3"/>
      <c r="W4" s="9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56">
        <v>18</v>
      </c>
      <c r="C9" s="73">
        <f>'[1]cálculos teóricos'!K308</f>
        <v>1.0361976761177196</v>
      </c>
      <c r="D9" s="58">
        <f>IF(B9&gt;0,B9*C9*14.25*1.022,-999)</f>
        <v>271.63196741052735</v>
      </c>
      <c r="E9" s="59">
        <f>IF(B9&gt;0,D9*4.1868/100,-999)</f>
        <v>11.37268721154396</v>
      </c>
      <c r="F9" s="60">
        <f>IF(B9&gt;0,(7.86+1.25*D9)*4.1868/100,-999)</f>
        <v>14.544941494429947</v>
      </c>
      <c r="G9" s="61">
        <f>'[1]cálculos teóricos'!T308</f>
        <v>40.013275169282224</v>
      </c>
      <c r="H9" s="62">
        <f>IF(B9&gt;0,100*F9/G9,-999)</f>
        <v>36.350289829801156</v>
      </c>
      <c r="I9" s="63"/>
      <c r="J9" s="63"/>
      <c r="K9" s="63">
        <v>0.1</v>
      </c>
      <c r="L9" s="63">
        <v>0.3</v>
      </c>
      <c r="M9" s="63">
        <v>0.2</v>
      </c>
      <c r="N9" s="63">
        <v>0.6</v>
      </c>
      <c r="O9" s="64"/>
      <c r="P9" s="63"/>
      <c r="Q9" s="63"/>
      <c r="R9" s="63"/>
      <c r="S9" s="63"/>
      <c r="T9" s="63"/>
      <c r="U9" s="63"/>
      <c r="V9" s="64"/>
      <c r="W9" s="58">
        <f t="shared" ref="W9:W38" si="0">SUM(I9:O9)</f>
        <v>1.2000000000000002</v>
      </c>
      <c r="X9" s="68">
        <f>SUM(P9:V9)</f>
        <v>0</v>
      </c>
      <c r="Y9" s="145">
        <f>W9+X9</f>
        <v>1.2000000000000002</v>
      </c>
      <c r="Z9" s="70">
        <f>'[1]cálculos teóricos'!I308</f>
        <v>12.847696266824101</v>
      </c>
      <c r="AA9" s="71">
        <f>100*Y9/Z9</f>
        <v>9.3401959003241224</v>
      </c>
      <c r="AB9" s="3"/>
    </row>
    <row r="10" spans="1:28" ht="18" customHeight="1">
      <c r="A10" s="109">
        <v>2</v>
      </c>
      <c r="B10" s="56">
        <v>8.4</v>
      </c>
      <c r="C10" s="73">
        <f>'[1]cálculos teóricos'!K309</f>
        <v>1.0365471988625521</v>
      </c>
      <c r="D10" s="58">
        <f>IF(B10&gt;0,B10*C10*14.25*1.022,-999)</f>
        <v>126.80434309733214</v>
      </c>
      <c r="E10" s="59">
        <f>IF(B10&gt;0,D10*4.1868/100,-999)</f>
        <v>5.3090442367991022</v>
      </c>
      <c r="F10" s="60">
        <f>IF(B10&gt;0,(7.86+1.25*D10)*4.1868/100,-999)</f>
        <v>6.9653877759988783</v>
      </c>
      <c r="G10" s="61">
        <f>'[1]cálculos teóricos'!T309</f>
        <v>40.126684682382106</v>
      </c>
      <c r="H10" s="74">
        <f>IF(B10&gt;0,100*F10/G10,-999)</f>
        <v>17.358493060497167</v>
      </c>
      <c r="I10" s="56"/>
      <c r="J10" s="75"/>
      <c r="K10" s="75"/>
      <c r="L10" s="75"/>
      <c r="M10" s="75"/>
      <c r="N10" s="75"/>
      <c r="O10" s="76"/>
      <c r="P10" s="79"/>
      <c r="Q10" s="82"/>
      <c r="R10" s="82"/>
      <c r="S10" s="82"/>
      <c r="T10" s="82"/>
      <c r="U10" s="82"/>
      <c r="V10" s="77"/>
      <c r="W10" s="58">
        <f t="shared" si="0"/>
        <v>0</v>
      </c>
      <c r="X10" s="68">
        <f t="shared" ref="X10:X35" si="1">SUM(P10:V10)</f>
        <v>0</v>
      </c>
      <c r="Y10" s="78">
        <f t="shared" ref="Y10:Y35" si="2">W10+X10</f>
        <v>0</v>
      </c>
      <c r="Z10" s="70">
        <f>'[1]cálculos teóricos'!I309</f>
        <v>12.867886864875677</v>
      </c>
      <c r="AA10" s="71">
        <f t="shared" ref="AA10:AA38" si="3">100*Y10/Z10</f>
        <v>0</v>
      </c>
      <c r="AB10" s="3"/>
    </row>
    <row r="11" spans="1:28" ht="18" customHeight="1">
      <c r="A11" s="109">
        <v>3</v>
      </c>
      <c r="B11" s="56">
        <v>23.4</v>
      </c>
      <c r="C11" s="73">
        <f>'[1]cálculos teóricos'!K310</f>
        <v>1.0368857158244706</v>
      </c>
      <c r="D11" s="58">
        <f t="shared" ref="D11:D38" si="4">IF(B11&gt;0,B11*C11*14.25*1.022,-999)</f>
        <v>353.35603186438647</v>
      </c>
      <c r="E11" s="59">
        <f t="shared" ref="E11:E38" si="5">IF(B11&gt;0,D11*4.1868/100,-999)</f>
        <v>14.794310342098131</v>
      </c>
      <c r="F11" s="60">
        <f t="shared" ref="F11:F38" si="6">IF(B11&gt;0,(7.86+1.25*D11)*4.1868/100,-999)</f>
        <v>18.821970407622665</v>
      </c>
      <c r="G11" s="61">
        <f>'[1]cálculos teóricos'!T310</f>
        <v>40.237876041340378</v>
      </c>
      <c r="H11" s="74">
        <f t="shared" ref="H11:H38" si="7">IF(B11&gt;0,100*F11/G11,-999)</f>
        <v>46.776749320180265</v>
      </c>
      <c r="I11" s="56"/>
      <c r="J11" s="75"/>
      <c r="K11" s="75"/>
      <c r="L11" s="75"/>
      <c r="M11" s="75"/>
      <c r="N11" s="75">
        <v>0.1</v>
      </c>
      <c r="O11" s="76">
        <v>0.5</v>
      </c>
      <c r="P11" s="79">
        <v>0.7</v>
      </c>
      <c r="Q11" s="82">
        <v>0.6</v>
      </c>
      <c r="R11" s="82">
        <v>0.2</v>
      </c>
      <c r="S11" s="82">
        <v>0.9</v>
      </c>
      <c r="T11" s="82">
        <v>1</v>
      </c>
      <c r="U11" s="82">
        <v>0.9</v>
      </c>
      <c r="V11" s="77"/>
      <c r="W11" s="58">
        <f t="shared" si="0"/>
        <v>0.6</v>
      </c>
      <c r="X11" s="68">
        <f t="shared" si="1"/>
        <v>4.3</v>
      </c>
      <c r="Y11" s="78">
        <f t="shared" si="2"/>
        <v>4.8999999999999995</v>
      </c>
      <c r="Z11" s="70">
        <f>'[1]cálculos teóricos'!I310</f>
        <v>12.887894761778501</v>
      </c>
      <c r="AA11" s="71">
        <f t="shared" si="3"/>
        <v>38.020173896297479</v>
      </c>
      <c r="AB11" s="3"/>
    </row>
    <row r="12" spans="1:28" ht="18" customHeight="1">
      <c r="A12" s="109">
        <v>4</v>
      </c>
      <c r="B12" s="56">
        <v>30.8</v>
      </c>
      <c r="C12" s="73">
        <f>'[1]cálculos teóricos'!K311</f>
        <v>1.0372133543534348</v>
      </c>
      <c r="D12" s="58">
        <f t="shared" si="4"/>
        <v>465.24806593268841</v>
      </c>
      <c r="E12" s="59">
        <f t="shared" si="5"/>
        <v>19.479006024469797</v>
      </c>
      <c r="F12" s="60">
        <f t="shared" si="6"/>
        <v>24.677840010587246</v>
      </c>
      <c r="G12" s="61">
        <f>'[1]cálculos teóricos'!T311</f>
        <v>40.346840870923295</v>
      </c>
      <c r="H12" s="74">
        <f t="shared" si="7"/>
        <v>61.164243539007273</v>
      </c>
      <c r="I12" s="56"/>
      <c r="J12" s="75">
        <v>1</v>
      </c>
      <c r="K12" s="75">
        <v>1</v>
      </c>
      <c r="L12" s="75">
        <v>1</v>
      </c>
      <c r="M12" s="75">
        <v>1</v>
      </c>
      <c r="N12" s="75">
        <v>0.4</v>
      </c>
      <c r="O12" s="76">
        <v>0.9</v>
      </c>
      <c r="P12" s="79">
        <v>1</v>
      </c>
      <c r="Q12" s="82">
        <v>1</v>
      </c>
      <c r="R12" s="82">
        <v>0.2</v>
      </c>
      <c r="S12" s="82">
        <v>0.5</v>
      </c>
      <c r="T12" s="82">
        <v>0.7</v>
      </c>
      <c r="U12" s="82"/>
      <c r="V12" s="77"/>
      <c r="W12" s="58">
        <f t="shared" si="0"/>
        <v>5.3000000000000007</v>
      </c>
      <c r="X12" s="68">
        <f t="shared" si="1"/>
        <v>3.4000000000000004</v>
      </c>
      <c r="Y12" s="78">
        <f t="shared" si="2"/>
        <v>8.7000000000000011</v>
      </c>
      <c r="Z12" s="70">
        <f>'[1]cálculos teóricos'!I311</f>
        <v>12.907711856619468</v>
      </c>
      <c r="AA12" s="71">
        <f t="shared" si="3"/>
        <v>67.401566572299771</v>
      </c>
      <c r="AB12" s="3"/>
    </row>
    <row r="13" spans="1:28" ht="18" customHeight="1">
      <c r="A13" s="72">
        <v>5</v>
      </c>
      <c r="B13" s="56">
        <v>30.4</v>
      </c>
      <c r="C13" s="73">
        <f>'[1]cálculos teóricos'!K312</f>
        <v>1.0375302484934286</v>
      </c>
      <c r="D13" s="58">
        <f t="shared" si="4"/>
        <v>459.34618192759496</v>
      </c>
      <c r="E13" s="59">
        <f t="shared" si="5"/>
        <v>19.231905944944543</v>
      </c>
      <c r="F13" s="60">
        <f t="shared" si="6"/>
        <v>24.368964911180683</v>
      </c>
      <c r="G13" s="61">
        <f>'[1]cálculos teóricos'!T312</f>
        <v>40.453572052854859</v>
      </c>
      <c r="H13" s="74">
        <f t="shared" si="7"/>
        <v>60.239340247484854</v>
      </c>
      <c r="I13" s="56"/>
      <c r="J13" s="75">
        <v>0.3</v>
      </c>
      <c r="K13" s="75">
        <v>1</v>
      </c>
      <c r="L13" s="75">
        <v>1</v>
      </c>
      <c r="M13" s="75">
        <v>1</v>
      </c>
      <c r="N13" s="75">
        <v>0.2</v>
      </c>
      <c r="O13" s="76">
        <v>0.6</v>
      </c>
      <c r="P13" s="79">
        <v>0.7</v>
      </c>
      <c r="Q13" s="82">
        <v>1</v>
      </c>
      <c r="R13" s="82">
        <v>1</v>
      </c>
      <c r="S13" s="82">
        <v>1</v>
      </c>
      <c r="T13" s="82">
        <v>1</v>
      </c>
      <c r="U13" s="82">
        <v>0.4</v>
      </c>
      <c r="V13" s="77"/>
      <c r="W13" s="58">
        <f t="shared" si="0"/>
        <v>4.0999999999999996</v>
      </c>
      <c r="X13" s="68">
        <f t="shared" si="1"/>
        <v>5.1000000000000005</v>
      </c>
      <c r="Y13" s="78">
        <f t="shared" si="2"/>
        <v>9.1999999999999993</v>
      </c>
      <c r="Z13" s="70">
        <f>'[1]cálculos teóricos'!I312</f>
        <v>12.927329886767305</v>
      </c>
      <c r="AA13" s="71">
        <f t="shared" si="3"/>
        <v>71.167055227834155</v>
      </c>
      <c r="AB13" s="3"/>
    </row>
    <row r="14" spans="1:28" ht="18" customHeight="1">
      <c r="A14" s="109">
        <v>6</v>
      </c>
      <c r="B14" s="56">
        <v>27.9</v>
      </c>
      <c r="C14" s="73">
        <f>'[1]cálculos teóricos'!K313</f>
        <v>1.0378365387300734</v>
      </c>
      <c r="D14" s="58">
        <f t="shared" si="4"/>
        <v>421.69545484709232</v>
      </c>
      <c r="E14" s="59">
        <f t="shared" si="5"/>
        <v>17.655545303538062</v>
      </c>
      <c r="F14" s="60">
        <f t="shared" si="6"/>
        <v>22.398514109422578</v>
      </c>
      <c r="G14" s="61">
        <f>'[1]cálculos teóricos'!T313</f>
        <v>40.558063702289274</v>
      </c>
      <c r="H14" s="74">
        <f t="shared" si="7"/>
        <v>55.225797448901154</v>
      </c>
      <c r="I14" s="56"/>
      <c r="J14" s="75"/>
      <c r="K14" s="75">
        <v>0.7</v>
      </c>
      <c r="L14" s="75">
        <v>0.6</v>
      </c>
      <c r="M14" s="75">
        <v>0.6</v>
      </c>
      <c r="N14" s="75">
        <v>0.9</v>
      </c>
      <c r="O14" s="76">
        <v>0.5</v>
      </c>
      <c r="P14" s="79">
        <v>0.4</v>
      </c>
      <c r="Q14" s="82">
        <v>0.2</v>
      </c>
      <c r="R14" s="82">
        <v>0.7</v>
      </c>
      <c r="S14" s="82">
        <v>0.8</v>
      </c>
      <c r="T14" s="82">
        <v>0.6</v>
      </c>
      <c r="U14" s="82">
        <v>0.3</v>
      </c>
      <c r="V14" s="77"/>
      <c r="W14" s="58">
        <f t="shared" si="0"/>
        <v>3.3</v>
      </c>
      <c r="X14" s="68">
        <f t="shared" si="1"/>
        <v>3</v>
      </c>
      <c r="Y14" s="78">
        <f t="shared" si="2"/>
        <v>6.3</v>
      </c>
      <c r="Z14" s="70">
        <f>'[1]cálculos teóricos'!I313</f>
        <v>12.946740432424651</v>
      </c>
      <c r="AA14" s="71">
        <f t="shared" si="3"/>
        <v>48.660896793928721</v>
      </c>
      <c r="AB14" s="3"/>
    </row>
    <row r="15" spans="1:28" ht="18" customHeight="1">
      <c r="A15" s="72">
        <v>7</v>
      </c>
      <c r="B15" s="56">
        <v>22.3</v>
      </c>
      <c r="C15" s="73">
        <f>'[1]cálculos teóricos'!K314</f>
        <v>1.0381323717224153</v>
      </c>
      <c r="D15" s="58">
        <f t="shared" si="4"/>
        <v>337.15014974142048</v>
      </c>
      <c r="E15" s="59">
        <f t="shared" si="5"/>
        <v>14.115802469373792</v>
      </c>
      <c r="F15" s="60">
        <f t="shared" si="6"/>
        <v>17.973835566717241</v>
      </c>
      <c r="G15" s="61">
        <f>'[1]cálculos teóricos'!T314</f>
        <v>40.660311141513574</v>
      </c>
      <c r="H15" s="74">
        <f t="shared" si="7"/>
        <v>44.204864798405886</v>
      </c>
      <c r="I15" s="56"/>
      <c r="J15" s="75"/>
      <c r="K15" s="75"/>
      <c r="L15" s="75"/>
      <c r="M15" s="75"/>
      <c r="N15" s="75">
        <v>0.1</v>
      </c>
      <c r="O15" s="76">
        <v>0.7</v>
      </c>
      <c r="P15" s="79">
        <v>0.4</v>
      </c>
      <c r="Q15" s="79">
        <v>0.9</v>
      </c>
      <c r="R15" s="75">
        <v>0.3</v>
      </c>
      <c r="S15" s="75">
        <v>0.8</v>
      </c>
      <c r="T15" s="82">
        <v>0.5</v>
      </c>
      <c r="U15" s="82">
        <v>0.3</v>
      </c>
      <c r="V15" s="77"/>
      <c r="W15" s="58">
        <f t="shared" si="0"/>
        <v>0.79999999999999993</v>
      </c>
      <c r="X15" s="68">
        <f t="shared" si="1"/>
        <v>3.2</v>
      </c>
      <c r="Y15" s="78">
        <f t="shared" si="2"/>
        <v>4</v>
      </c>
      <c r="Z15" s="70">
        <f>'[1]cálculos teóricos'!I314</f>
        <v>12.965934921865541</v>
      </c>
      <c r="AA15" s="71">
        <f t="shared" si="3"/>
        <v>30.850070003470904</v>
      </c>
      <c r="AB15" s="3"/>
    </row>
    <row r="16" spans="1:28" ht="18" customHeight="1">
      <c r="A16" s="80">
        <v>8</v>
      </c>
      <c r="B16" s="75">
        <v>37.200000000000003</v>
      </c>
      <c r="C16" s="73">
        <f>'[1]cálculos teóricos'!K315</f>
        <v>1.0384179000189673</v>
      </c>
      <c r="D16" s="58">
        <f t="shared" si="4"/>
        <v>562.57556603365583</v>
      </c>
      <c r="E16" s="59">
        <f t="shared" si="5"/>
        <v>23.553913798697103</v>
      </c>
      <c r="F16" s="60">
        <f t="shared" si="6"/>
        <v>29.771474728371377</v>
      </c>
      <c r="G16" s="61">
        <f>'[1]cálculos teóricos'!T315</f>
        <v>40.76031087089649</v>
      </c>
      <c r="H16" s="74">
        <f t="shared" si="7"/>
        <v>73.040352470983436</v>
      </c>
      <c r="I16" s="79">
        <v>0.1</v>
      </c>
      <c r="J16" s="81">
        <v>1</v>
      </c>
      <c r="K16" s="81">
        <v>1</v>
      </c>
      <c r="L16" s="81">
        <v>1</v>
      </c>
      <c r="M16" s="81">
        <v>1</v>
      </c>
      <c r="N16" s="81">
        <v>1</v>
      </c>
      <c r="O16" s="77">
        <v>1</v>
      </c>
      <c r="P16" s="82">
        <v>1</v>
      </c>
      <c r="Q16" s="82">
        <v>1</v>
      </c>
      <c r="R16" s="81">
        <v>1</v>
      </c>
      <c r="S16" s="81">
        <v>1</v>
      </c>
      <c r="T16" s="81">
        <v>1</v>
      </c>
      <c r="U16" s="81">
        <v>0.4</v>
      </c>
      <c r="V16" s="77"/>
      <c r="W16" s="58">
        <f t="shared" si="0"/>
        <v>6.1</v>
      </c>
      <c r="X16" s="68">
        <f t="shared" si="1"/>
        <v>5.4</v>
      </c>
      <c r="Y16" s="78">
        <f t="shared" si="2"/>
        <v>11.5</v>
      </c>
      <c r="Z16" s="70">
        <f>'[1]cálculos teóricos'!I315</f>
        <v>12.984904637375484</v>
      </c>
      <c r="AA16" s="71">
        <f t="shared" si="3"/>
        <v>88.564377799884909</v>
      </c>
      <c r="AB16" s="3"/>
    </row>
    <row r="17" spans="1:28" ht="18" customHeight="1">
      <c r="A17" s="80">
        <v>9</v>
      </c>
      <c r="B17" s="75">
        <v>31</v>
      </c>
      <c r="C17" s="73">
        <f>'[1]cálculos teóricos'!K316</f>
        <v>1.0386932817581682</v>
      </c>
      <c r="D17" s="58">
        <f t="shared" si="4"/>
        <v>468.93729787543754</v>
      </c>
      <c r="E17" s="59">
        <f t="shared" si="5"/>
        <v>19.633466787448818</v>
      </c>
      <c r="F17" s="60">
        <f t="shared" si="6"/>
        <v>24.87091596431102</v>
      </c>
      <c r="G17" s="61">
        <f>'[1]cálculos teóricos'!T316</f>
        <v>40.858060537111371</v>
      </c>
      <c r="H17" s="74">
        <f t="shared" si="7"/>
        <v>60.871504024819707</v>
      </c>
      <c r="I17" s="79"/>
      <c r="J17" s="81"/>
      <c r="K17" s="81"/>
      <c r="L17" s="81">
        <v>0.7</v>
      </c>
      <c r="M17" s="81">
        <v>1</v>
      </c>
      <c r="N17" s="81">
        <v>1</v>
      </c>
      <c r="O17" s="77">
        <v>1</v>
      </c>
      <c r="P17" s="79">
        <v>1</v>
      </c>
      <c r="Q17" s="82">
        <v>0.8</v>
      </c>
      <c r="R17" s="81">
        <v>1</v>
      </c>
      <c r="S17" s="81">
        <v>1</v>
      </c>
      <c r="T17" s="81">
        <v>1</v>
      </c>
      <c r="U17" s="81">
        <v>0.8</v>
      </c>
      <c r="V17" s="77"/>
      <c r="W17" s="58">
        <f t="shared" si="0"/>
        <v>3.7</v>
      </c>
      <c r="X17" s="68">
        <f t="shared" si="1"/>
        <v>5.6</v>
      </c>
      <c r="Y17" s="78">
        <f t="shared" si="2"/>
        <v>9.3000000000000007</v>
      </c>
      <c r="Z17" s="70">
        <f>'[1]cálculos teóricos'!I316</f>
        <v>13.003640721909486</v>
      </c>
      <c r="AA17" s="71">
        <f t="shared" si="3"/>
        <v>71.518432405862157</v>
      </c>
      <c r="AB17" s="3"/>
    </row>
    <row r="18" spans="1:28" ht="18" customHeight="1">
      <c r="A18" s="80">
        <v>10</v>
      </c>
      <c r="B18" s="75">
        <v>28.5</v>
      </c>
      <c r="C18" s="73">
        <f>'[1]cálculos teóricos'!K317</f>
        <v>1.0389586803534896</v>
      </c>
      <c r="D18" s="58">
        <f t="shared" si="4"/>
        <v>431.22993012784934</v>
      </c>
      <c r="E18" s="59">
        <f t="shared" si="5"/>
        <v>18.054734714592797</v>
      </c>
      <c r="F18" s="60">
        <f t="shared" si="6"/>
        <v>22.897500873240997</v>
      </c>
      <c r="G18" s="61">
        <f>'[1]cálculos teóricos'!T317</f>
        <v>40.95355889867507</v>
      </c>
      <c r="H18" s="74">
        <f t="shared" si="7"/>
        <v>55.910893922290541</v>
      </c>
      <c r="I18" s="79"/>
      <c r="J18" s="81"/>
      <c r="K18" s="81"/>
      <c r="L18" s="81"/>
      <c r="M18" s="81"/>
      <c r="N18" s="81">
        <v>0.8</v>
      </c>
      <c r="O18" s="77">
        <v>1</v>
      </c>
      <c r="P18" s="82">
        <v>1</v>
      </c>
      <c r="Q18" s="81">
        <v>1</v>
      </c>
      <c r="R18" s="81">
        <v>1</v>
      </c>
      <c r="S18" s="81">
        <v>1</v>
      </c>
      <c r="T18" s="81"/>
      <c r="U18" s="81"/>
      <c r="V18" s="77"/>
      <c r="W18" s="58">
        <f t="shared" si="0"/>
        <v>1.8</v>
      </c>
      <c r="X18" s="68">
        <f t="shared" si="1"/>
        <v>4</v>
      </c>
      <c r="Y18" s="78">
        <f t="shared" si="2"/>
        <v>5.8</v>
      </c>
      <c r="Z18" s="70">
        <f>'[1]cálculos teóricos'!I317</f>
        <v>13.022134186481196</v>
      </c>
      <c r="AA18" s="71">
        <f t="shared" si="3"/>
        <v>44.539550252993202</v>
      </c>
      <c r="AB18" s="3"/>
    </row>
    <row r="19" spans="1:28" ht="18" customHeight="1">
      <c r="A19" s="85">
        <v>11</v>
      </c>
      <c r="B19" s="75">
        <v>23.8</v>
      </c>
      <c r="C19" s="73">
        <f>'[1]cálculos teóricos'!K318</f>
        <v>1.0392142641634872</v>
      </c>
      <c r="D19" s="58">
        <f t="shared" si="4"/>
        <v>360.20340708024975</v>
      </c>
      <c r="E19" s="59">
        <f t="shared" si="5"/>
        <v>15.080996247635897</v>
      </c>
      <c r="F19" s="60">
        <f t="shared" si="6"/>
        <v>19.180327789544869</v>
      </c>
      <c r="G19" s="61">
        <f>'[1]cálculos teóricos'!T318</f>
        <v>41.046805788856631</v>
      </c>
      <c r="H19" s="74">
        <f t="shared" si="7"/>
        <v>46.727942457222667</v>
      </c>
      <c r="I19" s="79"/>
      <c r="J19" s="81">
        <v>0.7</v>
      </c>
      <c r="K19" s="81">
        <v>1</v>
      </c>
      <c r="L19" s="81">
        <v>1</v>
      </c>
      <c r="M19" s="81">
        <v>1</v>
      </c>
      <c r="N19" s="81">
        <v>0.8</v>
      </c>
      <c r="O19" s="77">
        <v>0.9</v>
      </c>
      <c r="P19" s="82">
        <v>0.6</v>
      </c>
      <c r="Q19" s="81">
        <v>0.5</v>
      </c>
      <c r="R19" s="81"/>
      <c r="S19" s="81"/>
      <c r="T19" s="81"/>
      <c r="U19" s="81"/>
      <c r="V19" s="77"/>
      <c r="W19" s="58">
        <f t="shared" si="0"/>
        <v>5.4</v>
      </c>
      <c r="X19" s="68">
        <f t="shared" si="1"/>
        <v>1.1000000000000001</v>
      </c>
      <c r="Y19" s="78">
        <f t="shared" si="2"/>
        <v>6.5</v>
      </c>
      <c r="Z19" s="70">
        <f>'[1]cálculos teóricos'!I318</f>
        <v>13.040375918294128</v>
      </c>
      <c r="AA19" s="71">
        <f t="shared" si="3"/>
        <v>49.845188825279628</v>
      </c>
      <c r="AB19" s="3"/>
    </row>
    <row r="20" spans="1:28" ht="18" customHeight="1">
      <c r="A20" s="85">
        <v>12</v>
      </c>
      <c r="B20" s="75">
        <v>25.5</v>
      </c>
      <c r="C20" s="73">
        <f>'[1]cálculos teóricos'!K319</f>
        <v>1.0394602061471769</v>
      </c>
      <c r="D20" s="58">
        <f t="shared" si="4"/>
        <v>386.02355716172252</v>
      </c>
      <c r="E20" s="59">
        <f t="shared" si="5"/>
        <v>16.162034291246997</v>
      </c>
      <c r="F20" s="60">
        <f t="shared" si="6"/>
        <v>20.53162534405875</v>
      </c>
      <c r="G20" s="61">
        <f>'[1]cálculos teóricos'!T319</f>
        <v>41.137802076023092</v>
      </c>
      <c r="H20" s="74">
        <f t="shared" si="7"/>
        <v>49.909388221850278</v>
      </c>
      <c r="I20" s="79"/>
      <c r="J20" s="81"/>
      <c r="K20" s="81">
        <v>0.1</v>
      </c>
      <c r="L20" s="81">
        <v>0.4</v>
      </c>
      <c r="M20" s="81">
        <v>0.9</v>
      </c>
      <c r="N20" s="81">
        <v>0.9</v>
      </c>
      <c r="O20" s="77">
        <v>0.8</v>
      </c>
      <c r="P20" s="82">
        <v>1</v>
      </c>
      <c r="Q20" s="81">
        <v>0.7</v>
      </c>
      <c r="R20" s="81">
        <v>0.9</v>
      </c>
      <c r="S20" s="81">
        <v>0.9</v>
      </c>
      <c r="T20" s="81">
        <v>0.9</v>
      </c>
      <c r="U20" s="81">
        <v>0.7</v>
      </c>
      <c r="V20" s="77"/>
      <c r="W20" s="58">
        <f t="shared" si="0"/>
        <v>3.0999999999999996</v>
      </c>
      <c r="X20" s="68">
        <f t="shared" si="1"/>
        <v>5.1000000000000005</v>
      </c>
      <c r="Y20" s="78">
        <f t="shared" si="2"/>
        <v>8.1999999999999993</v>
      </c>
      <c r="Z20" s="70">
        <f>'[1]cálculos teóricos'!I319</f>
        <v>13.058356689623087</v>
      </c>
      <c r="AA20" s="71">
        <f t="shared" si="3"/>
        <v>62.795037652143357</v>
      </c>
      <c r="AB20" s="3"/>
    </row>
    <row r="21" spans="1:28" ht="18" customHeight="1">
      <c r="A21" s="85">
        <v>13</v>
      </c>
      <c r="B21" s="75">
        <v>35.799999999999997</v>
      </c>
      <c r="C21" s="73">
        <f>'[1]cálculos teóricos'!K320</f>
        <v>1.0396966835051891</v>
      </c>
      <c r="D21" s="58">
        <f t="shared" si="4"/>
        <v>542.07009087815595</v>
      </c>
      <c r="E21" s="59">
        <f t="shared" si="5"/>
        <v>22.695390564886633</v>
      </c>
      <c r="F21" s="60">
        <f t="shared" si="6"/>
        <v>28.698320686108289</v>
      </c>
      <c r="G21" s="61">
        <f>'[1]cálculos teóricos'!T320</f>
        <v>41.226549621502578</v>
      </c>
      <c r="H21" s="74">
        <f t="shared" si="7"/>
        <v>69.611260097158549</v>
      </c>
      <c r="I21" s="79"/>
      <c r="J21" s="81">
        <v>0.8</v>
      </c>
      <c r="K21" s="81">
        <v>1</v>
      </c>
      <c r="L21" s="81">
        <v>1</v>
      </c>
      <c r="M21" s="81">
        <v>1</v>
      </c>
      <c r="N21" s="81">
        <v>1</v>
      </c>
      <c r="O21" s="77">
        <v>1</v>
      </c>
      <c r="P21" s="82">
        <v>1</v>
      </c>
      <c r="Q21" s="81">
        <v>1</v>
      </c>
      <c r="R21" s="81">
        <v>1</v>
      </c>
      <c r="S21" s="81">
        <v>0.8</v>
      </c>
      <c r="T21" s="81"/>
      <c r="U21" s="81"/>
      <c r="V21" s="77"/>
      <c r="W21" s="58">
        <f t="shared" si="0"/>
        <v>5.8</v>
      </c>
      <c r="X21" s="68">
        <f t="shared" si="1"/>
        <v>3.8</v>
      </c>
      <c r="Y21" s="78">
        <f t="shared" si="2"/>
        <v>9.6</v>
      </c>
      <c r="Z21" s="70">
        <f>'[1]cálculos teóricos'!I320</f>
        <v>13.076067167451267</v>
      </c>
      <c r="AA21" s="71">
        <f t="shared" si="3"/>
        <v>73.416569959935373</v>
      </c>
      <c r="AB21" s="3"/>
    </row>
    <row r="22" spans="1:28" ht="18" customHeight="1">
      <c r="A22" s="85">
        <v>14</v>
      </c>
      <c r="B22" s="75">
        <v>28.6</v>
      </c>
      <c r="C22" s="73">
        <f>'[1]cálculos teóricos'!K321</f>
        <v>1.0399238773072104</v>
      </c>
      <c r="D22" s="58">
        <f t="shared" si="4"/>
        <v>433.14503767287778</v>
      </c>
      <c r="E22" s="59">
        <f t="shared" si="5"/>
        <v>18.134916437288044</v>
      </c>
      <c r="F22" s="60">
        <f t="shared" si="6"/>
        <v>22.997728026610059</v>
      </c>
      <c r="G22" s="61">
        <f>'[1]cálculos teóricos'!T321</f>
        <v>41.31305123505652</v>
      </c>
      <c r="H22" s="74">
        <f t="shared" si="7"/>
        <v>55.666980140878948</v>
      </c>
      <c r="I22" s="79"/>
      <c r="J22" s="81">
        <v>0.1</v>
      </c>
      <c r="K22" s="81">
        <v>0.4</v>
      </c>
      <c r="L22" s="81">
        <v>0.4</v>
      </c>
      <c r="M22" s="81"/>
      <c r="N22" s="81"/>
      <c r="O22" s="77">
        <v>0.4</v>
      </c>
      <c r="P22" s="82">
        <v>1</v>
      </c>
      <c r="Q22" s="81">
        <v>0.9</v>
      </c>
      <c r="R22" s="81">
        <v>1</v>
      </c>
      <c r="S22" s="81">
        <v>1</v>
      </c>
      <c r="T22" s="81">
        <v>1</v>
      </c>
      <c r="U22" s="81">
        <v>0.9</v>
      </c>
      <c r="V22" s="77"/>
      <c r="W22" s="58">
        <f t="shared" si="0"/>
        <v>1.3</v>
      </c>
      <c r="X22" s="68">
        <f t="shared" si="1"/>
        <v>5.8000000000000007</v>
      </c>
      <c r="Y22" s="78">
        <f t="shared" si="2"/>
        <v>7.1000000000000005</v>
      </c>
      <c r="Z22" s="70">
        <f>'[1]cálculos teóricos'!I321</f>
        <v>13.093497923865337</v>
      </c>
      <c r="AA22" s="71">
        <f t="shared" si="3"/>
        <v>54.225387602948544</v>
      </c>
      <c r="AB22" s="3"/>
    </row>
    <row r="23" spans="1:28" ht="18" customHeight="1">
      <c r="A23" s="85">
        <v>15</v>
      </c>
      <c r="B23" s="75">
        <v>34.299999999999997</v>
      </c>
      <c r="C23" s="73">
        <f>'[1]cálculos teóricos'!K322</f>
        <v>1.0401419721063272</v>
      </c>
      <c r="D23" s="58">
        <f t="shared" si="4"/>
        <v>519.58009104942789</v>
      </c>
      <c r="E23" s="59">
        <f t="shared" si="5"/>
        <v>21.753779252057448</v>
      </c>
      <c r="F23" s="60">
        <f t="shared" si="6"/>
        <v>27.521306545071813</v>
      </c>
      <c r="G23" s="61">
        <f>'[1]cálculos teóricos'!T322</f>
        <v>41.397310628066037</v>
      </c>
      <c r="H23" s="74">
        <f t="shared" si="7"/>
        <v>66.480904502074722</v>
      </c>
      <c r="I23" s="79">
        <v>0.2</v>
      </c>
      <c r="J23" s="81">
        <v>0.6</v>
      </c>
      <c r="K23" s="81">
        <v>1</v>
      </c>
      <c r="L23" s="81">
        <v>1</v>
      </c>
      <c r="M23" s="81">
        <v>1</v>
      </c>
      <c r="N23" s="81">
        <v>1</v>
      </c>
      <c r="O23" s="77">
        <v>1</v>
      </c>
      <c r="P23" s="82">
        <v>1</v>
      </c>
      <c r="Q23" s="81">
        <v>1</v>
      </c>
      <c r="R23" s="81">
        <v>1</v>
      </c>
      <c r="S23" s="81">
        <v>1</v>
      </c>
      <c r="T23" s="81">
        <v>1</v>
      </c>
      <c r="U23" s="81">
        <v>0.7</v>
      </c>
      <c r="V23" s="77"/>
      <c r="W23" s="58">
        <f t="shared" si="0"/>
        <v>5.8</v>
      </c>
      <c r="X23" s="68">
        <f t="shared" si="1"/>
        <v>5.7</v>
      </c>
      <c r="Y23" s="78">
        <f t="shared" si="2"/>
        <v>11.5</v>
      </c>
      <c r="Z23" s="70">
        <f>'[1]cálculos teóricos'!I322</f>
        <v>13.110639447207307</v>
      </c>
      <c r="AA23" s="71">
        <f t="shared" si="3"/>
        <v>87.715019898969246</v>
      </c>
      <c r="AB23" s="3"/>
    </row>
    <row r="24" spans="1:28" ht="18" customHeight="1">
      <c r="A24" s="85">
        <v>16</v>
      </c>
      <c r="B24" s="75">
        <v>31</v>
      </c>
      <c r="C24" s="73">
        <f>'[1]cálculos teóricos'!K323</f>
        <v>1.0403511555409204</v>
      </c>
      <c r="D24" s="58">
        <f t="shared" si="4"/>
        <v>469.68577566532605</v>
      </c>
      <c r="E24" s="59">
        <f t="shared" si="5"/>
        <v>19.664804055555873</v>
      </c>
      <c r="F24" s="60">
        <f t="shared" si="6"/>
        <v>24.910087549444839</v>
      </c>
      <c r="G24" s="61">
        <f>'[1]cálculos teóricos'!T323</f>
        <v>41.479332364548611</v>
      </c>
      <c r="H24" s="74">
        <f t="shared" si="7"/>
        <v>60.054215266817778</v>
      </c>
      <c r="I24" s="79">
        <v>0.1</v>
      </c>
      <c r="J24" s="81">
        <v>0.2</v>
      </c>
      <c r="K24" s="81">
        <v>0.1</v>
      </c>
      <c r="L24" s="81">
        <v>0.8</v>
      </c>
      <c r="M24" s="81">
        <v>1</v>
      </c>
      <c r="N24" s="81">
        <v>1</v>
      </c>
      <c r="O24" s="77">
        <v>0.9</v>
      </c>
      <c r="P24" s="82">
        <v>0.4</v>
      </c>
      <c r="Q24" s="81">
        <v>0.4</v>
      </c>
      <c r="R24" s="81">
        <v>0.2</v>
      </c>
      <c r="S24" s="81">
        <v>0.3</v>
      </c>
      <c r="T24" s="81">
        <v>0.8</v>
      </c>
      <c r="U24" s="81">
        <v>0.6</v>
      </c>
      <c r="V24" s="77"/>
      <c r="W24" s="58">
        <f t="shared" si="0"/>
        <v>4.1000000000000005</v>
      </c>
      <c r="X24" s="68">
        <f t="shared" si="1"/>
        <v>2.7</v>
      </c>
      <c r="Y24" s="78">
        <f t="shared" si="2"/>
        <v>6.8000000000000007</v>
      </c>
      <c r="Z24" s="70">
        <f>'[1]cálculos teóricos'!I323</f>
        <v>13.127482153978651</v>
      </c>
      <c r="AA24" s="71">
        <f t="shared" si="3"/>
        <v>51.799727626665032</v>
      </c>
      <c r="AB24" s="3"/>
    </row>
    <row r="25" spans="1:28" ht="18" customHeight="1">
      <c r="A25" s="85">
        <v>17</v>
      </c>
      <c r="B25" s="75">
        <v>40.700000000000003</v>
      </c>
      <c r="C25" s="73">
        <f>'[1]cálculos teóricos'!K324</f>
        <v>1.0405516179248628</v>
      </c>
      <c r="D25" s="58">
        <f t="shared" si="4"/>
        <v>616.77079094730379</v>
      </c>
      <c r="E25" s="59">
        <f t="shared" si="5"/>
        <v>25.822959475381712</v>
      </c>
      <c r="F25" s="60">
        <f t="shared" si="6"/>
        <v>32.607781824227146</v>
      </c>
      <c r="G25" s="61">
        <f>'[1]cálculos teóricos'!T324</f>
        <v>41.559121810132794</v>
      </c>
      <c r="H25" s="74">
        <f t="shared" si="7"/>
        <v>78.461190718127341</v>
      </c>
      <c r="I25" s="79">
        <v>0.4</v>
      </c>
      <c r="J25" s="81">
        <v>1</v>
      </c>
      <c r="K25" s="81">
        <v>1</v>
      </c>
      <c r="L25" s="81">
        <v>1</v>
      </c>
      <c r="M25" s="81">
        <v>1</v>
      </c>
      <c r="N25" s="81">
        <v>1</v>
      </c>
      <c r="O25" s="77">
        <v>1</v>
      </c>
      <c r="P25" s="82">
        <v>1</v>
      </c>
      <c r="Q25" s="81">
        <v>1</v>
      </c>
      <c r="R25" s="81">
        <v>1</v>
      </c>
      <c r="S25" s="81">
        <v>1</v>
      </c>
      <c r="T25" s="81">
        <v>0.9</v>
      </c>
      <c r="U25" s="81">
        <v>0.8</v>
      </c>
      <c r="V25" s="77"/>
      <c r="W25" s="58">
        <f t="shared" si="0"/>
        <v>6.4</v>
      </c>
      <c r="X25" s="68">
        <f t="shared" si="1"/>
        <v>5.7</v>
      </c>
      <c r="Y25" s="78">
        <f t="shared" si="2"/>
        <v>12.100000000000001</v>
      </c>
      <c r="Z25" s="70">
        <f>'[1]cálculos teóricos'!I324</f>
        <v>13.144016401488095</v>
      </c>
      <c r="AA25" s="71">
        <f t="shared" si="3"/>
        <v>92.057097544629556</v>
      </c>
      <c r="AB25" s="3"/>
    </row>
    <row r="26" spans="1:28" ht="18" customHeight="1">
      <c r="A26" s="85">
        <v>18</v>
      </c>
      <c r="B26" s="75">
        <v>40</v>
      </c>
      <c r="C26" s="73">
        <f>'[1]cálculos teóricos'!K325</f>
        <v>1.0407435518268184</v>
      </c>
      <c r="D26" s="58">
        <f t="shared" si="4"/>
        <v>606.27474868119475</v>
      </c>
      <c r="E26" s="59">
        <f t="shared" si="5"/>
        <v>25.383511177784261</v>
      </c>
      <c r="F26" s="60">
        <f t="shared" si="6"/>
        <v>32.058471452230329</v>
      </c>
      <c r="G26" s="61">
        <f>'[1]cálculos teóricos'!T325</f>
        <v>41.636685079129691</v>
      </c>
      <c r="H26" s="74">
        <f t="shared" si="7"/>
        <v>76.995734389766724</v>
      </c>
      <c r="I26" s="79">
        <v>0.3</v>
      </c>
      <c r="J26" s="81">
        <v>1</v>
      </c>
      <c r="K26" s="81">
        <v>1</v>
      </c>
      <c r="L26" s="81">
        <v>1</v>
      </c>
      <c r="M26" s="81">
        <v>1</v>
      </c>
      <c r="N26" s="81">
        <v>1</v>
      </c>
      <c r="O26" s="77">
        <v>1</v>
      </c>
      <c r="P26" s="82">
        <v>1</v>
      </c>
      <c r="Q26" s="81">
        <v>1</v>
      </c>
      <c r="R26" s="81">
        <v>1</v>
      </c>
      <c r="S26" s="81">
        <v>1</v>
      </c>
      <c r="T26" s="81">
        <v>1</v>
      </c>
      <c r="U26" s="81">
        <v>0.8</v>
      </c>
      <c r="V26" s="77"/>
      <c r="W26" s="58">
        <f t="shared" si="0"/>
        <v>6.3</v>
      </c>
      <c r="X26" s="68">
        <f t="shared" si="1"/>
        <v>5.8</v>
      </c>
      <c r="Y26" s="78">
        <f t="shared" si="2"/>
        <v>12.1</v>
      </c>
      <c r="Z26" s="70">
        <f>'[1]cálculos teóricos'!I325</f>
        <v>13.160232501230519</v>
      </c>
      <c r="AA26" s="71">
        <f t="shared" si="3"/>
        <v>91.943664360554536</v>
      </c>
      <c r="AB26" s="3"/>
    </row>
    <row r="27" spans="1:28" ht="18" customHeight="1">
      <c r="A27" s="80">
        <v>19</v>
      </c>
      <c r="B27" s="75">
        <v>36</v>
      </c>
      <c r="C27" s="73">
        <f>'[1]cálculos teóricos'!K326</f>
        <v>1.0409271516395178</v>
      </c>
      <c r="D27" s="58">
        <f t="shared" si="4"/>
        <v>545.7435326244763</v>
      </c>
      <c r="E27" s="59">
        <f t="shared" si="5"/>
        <v>22.849190223921575</v>
      </c>
      <c r="F27" s="60">
        <f t="shared" si="6"/>
        <v>28.890570259901963</v>
      </c>
      <c r="G27" s="61">
        <f>'[1]cálculos teóricos'!T326</f>
        <v>41.712028979849315</v>
      </c>
      <c r="H27" s="74">
        <f t="shared" si="7"/>
        <v>69.261963434717416</v>
      </c>
      <c r="I27" s="79"/>
      <c r="J27" s="81">
        <v>0.5</v>
      </c>
      <c r="K27" s="81">
        <v>1</v>
      </c>
      <c r="L27" s="81">
        <v>1</v>
      </c>
      <c r="M27" s="81">
        <v>1</v>
      </c>
      <c r="N27" s="81">
        <v>1</v>
      </c>
      <c r="O27" s="77">
        <v>1</v>
      </c>
      <c r="P27" s="82">
        <v>1</v>
      </c>
      <c r="Q27" s="81">
        <v>1</v>
      </c>
      <c r="R27" s="81">
        <v>1</v>
      </c>
      <c r="S27" s="81">
        <v>0.6</v>
      </c>
      <c r="T27" s="81"/>
      <c r="U27" s="81"/>
      <c r="V27" s="77"/>
      <c r="W27" s="58">
        <f t="shared" si="0"/>
        <v>5.5</v>
      </c>
      <c r="X27" s="68">
        <f t="shared" si="1"/>
        <v>3.6</v>
      </c>
      <c r="Y27" s="78">
        <f t="shared" si="2"/>
        <v>9.1</v>
      </c>
      <c r="Z27" s="70">
        <f>'[1]cálculos teóricos'!I326</f>
        <v>13.176120732980356</v>
      </c>
      <c r="AA27" s="71">
        <f t="shared" si="3"/>
        <v>69.064333762685834</v>
      </c>
      <c r="AB27" s="3"/>
    </row>
    <row r="28" spans="1:28" ht="18" customHeight="1">
      <c r="A28" s="80">
        <v>20</v>
      </c>
      <c r="B28" s="75">
        <v>29.4</v>
      </c>
      <c r="C28" s="73">
        <f>'[1]cálculos teóricos'!K327</f>
        <v>1.0411026131399503</v>
      </c>
      <c r="D28" s="58">
        <f t="shared" si="4"/>
        <v>445.76567845003183</v>
      </c>
      <c r="E28" s="59">
        <f t="shared" si="5"/>
        <v>18.66331742534593</v>
      </c>
      <c r="F28" s="60">
        <f t="shared" si="6"/>
        <v>23.658229261682415</v>
      </c>
      <c r="G28" s="61">
        <f>'[1]cálculos teóricos'!T327</f>
        <v>41.785160958320809</v>
      </c>
      <c r="H28" s="74">
        <f t="shared" si="7"/>
        <v>56.618734304459529</v>
      </c>
      <c r="I28" s="79"/>
      <c r="J28" s="81">
        <v>0.7</v>
      </c>
      <c r="K28" s="81">
        <v>1</v>
      </c>
      <c r="L28" s="81">
        <v>1</v>
      </c>
      <c r="M28" s="81">
        <v>1</v>
      </c>
      <c r="N28" s="81">
        <v>1</v>
      </c>
      <c r="O28" s="77">
        <v>1</v>
      </c>
      <c r="P28" s="82">
        <v>0.8</v>
      </c>
      <c r="Q28" s="81">
        <v>0.3</v>
      </c>
      <c r="R28" s="81">
        <v>0.7</v>
      </c>
      <c r="S28" s="81"/>
      <c r="T28" s="81"/>
      <c r="U28" s="81"/>
      <c r="V28" s="77"/>
      <c r="W28" s="58">
        <f t="shared" si="0"/>
        <v>5.7</v>
      </c>
      <c r="X28" s="68">
        <f t="shared" si="1"/>
        <v>1.8</v>
      </c>
      <c r="Y28" s="78">
        <f t="shared" si="2"/>
        <v>7.5</v>
      </c>
      <c r="Z28" s="70">
        <f>'[1]cálculos teóricos'!I327</f>
        <v>13.191671359578162</v>
      </c>
      <c r="AA28" s="71">
        <f t="shared" si="3"/>
        <v>56.854054316282117</v>
      </c>
      <c r="AB28" s="3"/>
    </row>
    <row r="29" spans="1:28" ht="18" customHeight="1">
      <c r="A29" s="80">
        <v>21</v>
      </c>
      <c r="B29" s="75">
        <v>35</v>
      </c>
      <c r="C29" s="73">
        <f>'[1]cálculos teóricos'!K328</f>
        <v>1.0412701330414673</v>
      </c>
      <c r="D29" s="58">
        <f t="shared" si="4"/>
        <v>530.75881538922943</v>
      </c>
      <c r="E29" s="59">
        <f t="shared" si="5"/>
        <v>22.221810082716257</v>
      </c>
      <c r="F29" s="60">
        <f t="shared" si="6"/>
        <v>28.106345083395322</v>
      </c>
      <c r="G29" s="61">
        <f>'[1]cálculos teóricos'!T328</f>
        <v>41.856089040582916</v>
      </c>
      <c r="H29" s="74">
        <f t="shared" si="7"/>
        <v>67.149955305532515</v>
      </c>
      <c r="I29" s="79"/>
      <c r="J29" s="81">
        <v>0.9</v>
      </c>
      <c r="K29" s="81">
        <v>1</v>
      </c>
      <c r="L29" s="81">
        <v>1</v>
      </c>
      <c r="M29" s="81">
        <v>1</v>
      </c>
      <c r="N29" s="81">
        <v>1</v>
      </c>
      <c r="O29" s="76">
        <v>1</v>
      </c>
      <c r="P29" s="82">
        <v>1</v>
      </c>
      <c r="Q29" s="81">
        <v>1</v>
      </c>
      <c r="R29" s="81">
        <v>0.5</v>
      </c>
      <c r="S29" s="81">
        <v>1</v>
      </c>
      <c r="T29" s="81">
        <v>0.5</v>
      </c>
      <c r="U29" s="81"/>
      <c r="V29" s="77"/>
      <c r="W29" s="58">
        <f t="shared" si="0"/>
        <v>5.9</v>
      </c>
      <c r="X29" s="68">
        <f t="shared" si="1"/>
        <v>4</v>
      </c>
      <c r="Y29" s="78">
        <f t="shared" si="2"/>
        <v>9.9</v>
      </c>
      <c r="Z29" s="70">
        <f>'[1]cálculos teóricos'!I328</f>
        <v>13.206874642384781</v>
      </c>
      <c r="AA29" s="71">
        <f t="shared" si="3"/>
        <v>74.960959864251009</v>
      </c>
      <c r="AB29" s="3"/>
    </row>
    <row r="30" spans="1:28" ht="18" customHeight="1">
      <c r="A30" s="85">
        <v>22</v>
      </c>
      <c r="B30" s="75">
        <v>25.1</v>
      </c>
      <c r="C30" s="73">
        <f>'[1]cálculos teóricos'!K329</f>
        <v>1.0414299085388574</v>
      </c>
      <c r="D30" s="58">
        <f t="shared" si="4"/>
        <v>380.68829827244184</v>
      </c>
      <c r="E30" s="59">
        <f t="shared" si="5"/>
        <v>15.938657672070594</v>
      </c>
      <c r="F30" s="60">
        <f t="shared" si="6"/>
        <v>20.252404570088245</v>
      </c>
      <c r="G30" s="61">
        <f>'[1]cálculos teóricos'!T329</f>
        <v>41.924821773720296</v>
      </c>
      <c r="H30" s="74">
        <f t="shared" si="7"/>
        <v>48.306477435720538</v>
      </c>
      <c r="I30" s="79"/>
      <c r="J30" s="81"/>
      <c r="K30" s="81">
        <v>0.1</v>
      </c>
      <c r="L30" s="81">
        <v>0.4</v>
      </c>
      <c r="M30" s="81">
        <v>0.2</v>
      </c>
      <c r="N30" s="81">
        <v>0.3</v>
      </c>
      <c r="O30" s="77">
        <v>0.6</v>
      </c>
      <c r="P30" s="82">
        <v>1</v>
      </c>
      <c r="Q30" s="81">
        <v>0.8</v>
      </c>
      <c r="R30" s="81">
        <v>0.3</v>
      </c>
      <c r="S30" s="81"/>
      <c r="T30" s="81"/>
      <c r="U30" s="81"/>
      <c r="V30" s="77"/>
      <c r="W30" s="58">
        <f t="shared" si="0"/>
        <v>1.6</v>
      </c>
      <c r="X30" s="68">
        <f t="shared" si="1"/>
        <v>2.1</v>
      </c>
      <c r="Y30" s="78">
        <f t="shared" si="2"/>
        <v>3.7</v>
      </c>
      <c r="Z30" s="70">
        <f>'[1]cálculos teóricos'!I329</f>
        <v>13.221720857372709</v>
      </c>
      <c r="AA30" s="71">
        <f t="shared" si="3"/>
        <v>27.984254394062496</v>
      </c>
      <c r="AB30" s="3"/>
    </row>
    <row r="31" spans="1:28" ht="18" customHeight="1">
      <c r="A31" s="85">
        <v>23</v>
      </c>
      <c r="B31" s="75">
        <v>24.9</v>
      </c>
      <c r="C31" s="73">
        <f>'[1]cálculos teóricos'!K330</f>
        <v>1.0415821368474991</v>
      </c>
      <c r="D31" s="58">
        <f t="shared" si="4"/>
        <v>377.71012810446598</v>
      </c>
      <c r="E31" s="59">
        <f t="shared" si="5"/>
        <v>15.813967643477781</v>
      </c>
      <c r="F31" s="60">
        <f t="shared" si="6"/>
        <v>20.096542034347227</v>
      </c>
      <c r="G31" s="61">
        <f>'[1]cálculos teóricos'!T330</f>
        <v>41.991368165827453</v>
      </c>
      <c r="H31" s="74">
        <f t="shared" si="7"/>
        <v>47.858745528329266</v>
      </c>
      <c r="I31" s="79"/>
      <c r="J31" s="81"/>
      <c r="K31" s="81"/>
      <c r="L31" s="81">
        <v>0.2</v>
      </c>
      <c r="M31" s="81">
        <v>0.9</v>
      </c>
      <c r="N31" s="81">
        <v>1</v>
      </c>
      <c r="O31" s="77">
        <v>0.9</v>
      </c>
      <c r="P31" s="82">
        <v>1</v>
      </c>
      <c r="Q31" s="81">
        <v>0.4</v>
      </c>
      <c r="R31" s="81"/>
      <c r="S31" s="81"/>
      <c r="T31" s="81"/>
      <c r="U31" s="81"/>
      <c r="V31" s="77"/>
      <c r="W31" s="58">
        <f t="shared" si="0"/>
        <v>3</v>
      </c>
      <c r="X31" s="68">
        <f t="shared" si="1"/>
        <v>1.4</v>
      </c>
      <c r="Y31" s="78">
        <f t="shared" si="2"/>
        <v>4.4000000000000004</v>
      </c>
      <c r="Z31" s="70">
        <f>'[1]cálculos teóricos'!I330</f>
        <v>13.236200311819495</v>
      </c>
      <c r="AA31" s="71">
        <f t="shared" si="3"/>
        <v>33.242168419519494</v>
      </c>
      <c r="AB31" s="3"/>
    </row>
    <row r="32" spans="1:28" ht="18" customHeight="1">
      <c r="A32" s="85">
        <v>24</v>
      </c>
      <c r="B32" s="75">
        <v>32.799999999999997</v>
      </c>
      <c r="C32" s="73">
        <f>'[1]cálculos teóricos'!K331</f>
        <v>1.0417270147377604</v>
      </c>
      <c r="D32" s="58">
        <f t="shared" si="4"/>
        <v>497.61507723557469</v>
      </c>
      <c r="E32" s="59">
        <f t="shared" si="5"/>
        <v>20.834148053699042</v>
      </c>
      <c r="F32" s="60">
        <f t="shared" si="6"/>
        <v>26.371767547123799</v>
      </c>
      <c r="G32" s="61">
        <f>'[1]cálculos teóricos'!T331</f>
        <v>42.055737625089591</v>
      </c>
      <c r="H32" s="74">
        <f t="shared" si="7"/>
        <v>62.706705520701519</v>
      </c>
      <c r="I32" s="79"/>
      <c r="J32" s="81">
        <v>0.3</v>
      </c>
      <c r="K32" s="81">
        <v>1</v>
      </c>
      <c r="L32" s="81">
        <v>1</v>
      </c>
      <c r="M32" s="81">
        <v>1</v>
      </c>
      <c r="N32" s="81">
        <v>1</v>
      </c>
      <c r="O32" s="77">
        <v>0.8</v>
      </c>
      <c r="P32" s="82">
        <v>1</v>
      </c>
      <c r="Q32" s="81">
        <v>1</v>
      </c>
      <c r="R32" s="81">
        <v>0.9</v>
      </c>
      <c r="S32" s="81">
        <v>0.9</v>
      </c>
      <c r="T32" s="81">
        <v>0.7</v>
      </c>
      <c r="U32" s="81"/>
      <c r="V32" s="77"/>
      <c r="W32" s="58">
        <f t="shared" si="0"/>
        <v>5.0999999999999996</v>
      </c>
      <c r="X32" s="68">
        <f t="shared" si="1"/>
        <v>4.5</v>
      </c>
      <c r="Y32" s="78">
        <f t="shared" si="2"/>
        <v>9.6</v>
      </c>
      <c r="Z32" s="70">
        <f>'[1]cálculos teóricos'!I331</f>
        <v>13.250303361563352</v>
      </c>
      <c r="AA32" s="71">
        <f t="shared" si="3"/>
        <v>72.451171403726505</v>
      </c>
      <c r="AB32" s="3"/>
    </row>
    <row r="33" spans="1:28" ht="18" customHeight="1">
      <c r="A33" s="85">
        <v>25</v>
      </c>
      <c r="B33" s="75">
        <v>20.5</v>
      </c>
      <c r="C33" s="73">
        <f>'[1]cálculos teóricos'!K332</f>
        <v>1.0418647380658455</v>
      </c>
      <c r="D33" s="58">
        <f t="shared" si="4"/>
        <v>311.05054081284976</v>
      </c>
      <c r="E33" s="59">
        <f t="shared" si="5"/>
        <v>13.023064042752393</v>
      </c>
      <c r="F33" s="60">
        <f t="shared" si="6"/>
        <v>16.607912533440491</v>
      </c>
      <c r="G33" s="61">
        <f>'[1]cálculos teóricos'!T332</f>
        <v>42.117939898174072</v>
      </c>
      <c r="H33" s="74">
        <f t="shared" si="7"/>
        <v>39.43192039684849</v>
      </c>
      <c r="I33" s="79"/>
      <c r="J33" s="81"/>
      <c r="K33" s="81"/>
      <c r="L33" s="81"/>
      <c r="M33" s="81">
        <v>0.2</v>
      </c>
      <c r="N33" s="81">
        <v>0.7</v>
      </c>
      <c r="O33" s="77">
        <v>0.7</v>
      </c>
      <c r="P33" s="82">
        <v>0.5</v>
      </c>
      <c r="Q33" s="81">
        <v>0.2</v>
      </c>
      <c r="R33" s="81">
        <v>0.2</v>
      </c>
      <c r="S33" s="81"/>
      <c r="T33" s="81"/>
      <c r="U33" s="81"/>
      <c r="V33" s="77"/>
      <c r="W33" s="58">
        <f t="shared" si="0"/>
        <v>1.5999999999999999</v>
      </c>
      <c r="X33" s="68">
        <f t="shared" si="1"/>
        <v>0.89999999999999991</v>
      </c>
      <c r="Y33" s="78">
        <f t="shared" si="2"/>
        <v>2.5</v>
      </c>
      <c r="Z33" s="70">
        <f>'[1]cálculos teóricos'!I332</f>
        <v>13.264020428776165</v>
      </c>
      <c r="AA33" s="71">
        <f t="shared" si="3"/>
        <v>18.847980621141641</v>
      </c>
      <c r="AB33" s="3"/>
    </row>
    <row r="34" spans="1:28" ht="18" customHeight="1">
      <c r="A34" s="85">
        <v>26</v>
      </c>
      <c r="B34" s="75">
        <v>30.5</v>
      </c>
      <c r="C34" s="73">
        <f>'[1]cálculos teóricos'!K333</f>
        <v>1.0419955013023439</v>
      </c>
      <c r="D34" s="58">
        <f t="shared" si="4"/>
        <v>462.8405952381089</v>
      </c>
      <c r="E34" s="59">
        <f t="shared" si="5"/>
        <v>19.378210041429142</v>
      </c>
      <c r="F34" s="60">
        <f t="shared" si="6"/>
        <v>24.551845031786428</v>
      </c>
      <c r="G34" s="61">
        <f>'[1]cálculos teóricos'!T333</f>
        <v>42.17798500813155</v>
      </c>
      <c r="H34" s="74">
        <f t="shared" si="7"/>
        <v>58.210094737937446</v>
      </c>
      <c r="I34" s="79"/>
      <c r="J34" s="81"/>
      <c r="K34" s="81">
        <v>0.2</v>
      </c>
      <c r="L34" s="81">
        <v>1</v>
      </c>
      <c r="M34" s="81">
        <v>1</v>
      </c>
      <c r="N34" s="81"/>
      <c r="O34" s="77">
        <v>0.5</v>
      </c>
      <c r="P34" s="82">
        <v>0.7</v>
      </c>
      <c r="Q34" s="81">
        <v>0.5</v>
      </c>
      <c r="R34" s="81">
        <v>0.1</v>
      </c>
      <c r="S34" s="81">
        <v>0.2</v>
      </c>
      <c r="T34" s="81">
        <v>0.2</v>
      </c>
      <c r="U34" s="81">
        <v>0.2</v>
      </c>
      <c r="V34" s="77"/>
      <c r="W34" s="58">
        <f t="shared" si="0"/>
        <v>2.7</v>
      </c>
      <c r="X34" s="68">
        <f t="shared" si="1"/>
        <v>1.9</v>
      </c>
      <c r="Y34" s="78">
        <f t="shared" si="2"/>
        <v>4.5999999999999996</v>
      </c>
      <c r="Z34" s="70">
        <f>'[1]cálculos teóricos'!I333</f>
        <v>13.277342020204403</v>
      </c>
      <c r="AA34" s="71">
        <f t="shared" si="3"/>
        <v>34.645488479547225</v>
      </c>
      <c r="AB34" s="3"/>
    </row>
    <row r="35" spans="1:28" ht="18" customHeight="1">
      <c r="A35" s="85">
        <v>27</v>
      </c>
      <c r="B35" s="75">
        <v>26.9</v>
      </c>
      <c r="C35" s="73">
        <f>'[1]cálculos teóricos'!K334</f>
        <v>1.0421194970597658</v>
      </c>
      <c r="D35" s="58">
        <f t="shared" si="4"/>
        <v>408.25880624706429</v>
      </c>
      <c r="E35" s="59">
        <f t="shared" si="5"/>
        <v>17.092979699952085</v>
      </c>
      <c r="F35" s="60">
        <f t="shared" si="6"/>
        <v>21.695307104940106</v>
      </c>
      <c r="G35" s="61">
        <f>'[1]cálculos teóricos'!T334</f>
        <v>42.235883192008956</v>
      </c>
      <c r="H35" s="74">
        <f t="shared" si="7"/>
        <v>51.367002333799583</v>
      </c>
      <c r="I35" s="79"/>
      <c r="J35" s="81">
        <v>0.4</v>
      </c>
      <c r="K35" s="81">
        <v>1</v>
      </c>
      <c r="L35" s="81">
        <v>1</v>
      </c>
      <c r="M35" s="81">
        <v>1</v>
      </c>
      <c r="N35" s="81">
        <v>1</v>
      </c>
      <c r="O35" s="77">
        <v>0.9</v>
      </c>
      <c r="P35" s="82">
        <v>0.2</v>
      </c>
      <c r="Q35" s="81">
        <v>0.3</v>
      </c>
      <c r="R35" s="81">
        <v>0.3</v>
      </c>
      <c r="S35" s="81"/>
      <c r="T35" s="81"/>
      <c r="U35" s="81"/>
      <c r="V35" s="77"/>
      <c r="W35" s="58">
        <f t="shared" si="0"/>
        <v>5.3000000000000007</v>
      </c>
      <c r="X35" s="68">
        <f t="shared" si="1"/>
        <v>0.8</v>
      </c>
      <c r="Y35" s="78">
        <f t="shared" si="2"/>
        <v>6.1000000000000005</v>
      </c>
      <c r="Z35" s="70">
        <f>'[1]cálculos teóricos'!I334</f>
        <v>13.290258745823692</v>
      </c>
      <c r="AA35" s="71">
        <f t="shared" si="3"/>
        <v>45.89827870670203</v>
      </c>
      <c r="AB35" s="3"/>
    </row>
    <row r="36" spans="1:28" ht="18" customHeight="1">
      <c r="A36" s="85">
        <v>28</v>
      </c>
      <c r="B36" s="75">
        <v>25</v>
      </c>
      <c r="C36" s="73">
        <f>'[1]cálculos teóricos'!K335</f>
        <v>1.0422369156203868</v>
      </c>
      <c r="D36" s="58">
        <f t="shared" si="4"/>
        <v>379.46543301593761</v>
      </c>
      <c r="E36" s="59">
        <f t="shared" si="5"/>
        <v>15.887458749511275</v>
      </c>
      <c r="F36" s="60">
        <f t="shared" si="6"/>
        <v>20.188405916889096</v>
      </c>
      <c r="G36" s="61">
        <f>'[1]cálculos teóricos'!T335</f>
        <v>42.291644838379867</v>
      </c>
      <c r="H36" s="74">
        <f t="shared" si="7"/>
        <v>47.736156855663424</v>
      </c>
      <c r="I36" s="79"/>
      <c r="J36" s="81">
        <v>0.4</v>
      </c>
      <c r="K36" s="81">
        <v>0.6</v>
      </c>
      <c r="L36" s="81">
        <v>0.1</v>
      </c>
      <c r="M36" s="81">
        <v>0.6</v>
      </c>
      <c r="N36" s="81">
        <v>1</v>
      </c>
      <c r="O36" s="77">
        <v>1</v>
      </c>
      <c r="P36" s="82">
        <v>0.9</v>
      </c>
      <c r="Q36" s="81"/>
      <c r="R36" s="81"/>
      <c r="S36" s="81"/>
      <c r="T36" s="81"/>
      <c r="U36" s="81"/>
      <c r="V36" s="77"/>
      <c r="W36" s="58">
        <f t="shared" si="0"/>
        <v>3.7</v>
      </c>
      <c r="X36" s="68">
        <f>SUM(P36:V36)</f>
        <v>0.9</v>
      </c>
      <c r="Y36" s="78">
        <f>W36+X36</f>
        <v>4.6000000000000005</v>
      </c>
      <c r="Z36" s="70">
        <f>'[1]cálculos teóricos'!I335</f>
        <v>13.302761337848288</v>
      </c>
      <c r="AA36" s="71">
        <f t="shared" si="3"/>
        <v>34.579286835074853</v>
      </c>
      <c r="AB36" s="3"/>
    </row>
    <row r="37" spans="1:28" ht="18" customHeight="1">
      <c r="A37" s="85">
        <v>29</v>
      </c>
      <c r="B37" s="75">
        <v>20</v>
      </c>
      <c r="C37" s="73">
        <f>'[1]cálculos teóricos'!K336</f>
        <v>1.0423479444657391</v>
      </c>
      <c r="D37" s="58">
        <f t="shared" si="4"/>
        <v>303.60468578453577</v>
      </c>
      <c r="E37" s="59">
        <f t="shared" si="5"/>
        <v>12.711320984426942</v>
      </c>
      <c r="F37" s="60">
        <f t="shared" si="6"/>
        <v>16.218233710533681</v>
      </c>
      <c r="G37" s="61">
        <f>'[1]cálculos teóricos'!T336</f>
        <v>42.345280424998855</v>
      </c>
      <c r="H37" s="74">
        <f t="shared" si="7"/>
        <v>38.299979472940571</v>
      </c>
      <c r="I37" s="79"/>
      <c r="J37" s="81">
        <v>0.1</v>
      </c>
      <c r="K37" s="81"/>
      <c r="L37" s="81"/>
      <c r="M37" s="81">
        <v>0.6</v>
      </c>
      <c r="N37" s="81">
        <v>0.9</v>
      </c>
      <c r="O37" s="77">
        <v>0.8</v>
      </c>
      <c r="P37" s="82">
        <v>0.6</v>
      </c>
      <c r="Q37" s="81"/>
      <c r="R37" s="81"/>
      <c r="S37" s="81"/>
      <c r="T37" s="81"/>
      <c r="U37" s="81"/>
      <c r="V37" s="77"/>
      <c r="W37" s="58">
        <f t="shared" si="0"/>
        <v>2.4000000000000004</v>
      </c>
      <c r="X37" s="68">
        <f>SUM(P37:V37)</f>
        <v>0.6</v>
      </c>
      <c r="Y37" s="78">
        <f>W37+X37</f>
        <v>3.0000000000000004</v>
      </c>
      <c r="Z37" s="70">
        <f>'[1]cálculos teóricos'!I336</f>
        <v>13.314840670031995</v>
      </c>
      <c r="AA37" s="71">
        <f t="shared" si="3"/>
        <v>22.531249711099935</v>
      </c>
      <c r="AB37" s="3"/>
    </row>
    <row r="38" spans="1:28" ht="18" customHeight="1">
      <c r="A38" s="80">
        <v>30</v>
      </c>
      <c r="B38" s="75">
        <v>19.2</v>
      </c>
      <c r="C38" s="73">
        <f>'[1]cálculos teóricos'!K337</f>
        <v>1.0424527678091269</v>
      </c>
      <c r="D38" s="58">
        <f t="shared" si="4"/>
        <v>291.48980897257383</v>
      </c>
      <c r="E38" s="59">
        <f t="shared" si="5"/>
        <v>12.20409532206372</v>
      </c>
      <c r="F38" s="60">
        <f t="shared" si="6"/>
        <v>15.584201632579653</v>
      </c>
      <c r="G38" s="61">
        <f>'[1]cálculos teóricos'!T337</f>
        <v>42.396800456787844</v>
      </c>
      <c r="H38" s="74">
        <f t="shared" si="7"/>
        <v>36.757966319801803</v>
      </c>
      <c r="I38" s="79"/>
      <c r="J38" s="81"/>
      <c r="K38" s="81"/>
      <c r="L38" s="81"/>
      <c r="M38" s="81"/>
      <c r="N38" s="81"/>
      <c r="O38" s="76"/>
      <c r="P38" s="82">
        <v>0.5</v>
      </c>
      <c r="Q38" s="81">
        <v>0.4</v>
      </c>
      <c r="R38" s="81">
        <v>0.9</v>
      </c>
      <c r="S38" s="81"/>
      <c r="T38" s="81"/>
      <c r="U38" s="81"/>
      <c r="V38" s="77"/>
      <c r="W38" s="58">
        <f t="shared" si="0"/>
        <v>0</v>
      </c>
      <c r="X38" s="68">
        <f>SUM(P38:V38)</f>
        <v>1.8</v>
      </c>
      <c r="Y38" s="78">
        <f>W38+X38</f>
        <v>1.8</v>
      </c>
      <c r="Z38" s="70">
        <f>'[1]cálculos teóricos'!I337</f>
        <v>13.326487777193289</v>
      </c>
      <c r="AA38" s="71">
        <f t="shared" si="3"/>
        <v>13.506934685975457</v>
      </c>
      <c r="AB38" s="3"/>
    </row>
    <row r="39" spans="1:28" ht="18" customHeight="1" thickBot="1">
      <c r="A39" s="86"/>
      <c r="B39" s="87"/>
      <c r="C39" s="88"/>
      <c r="D39" s="89"/>
      <c r="E39" s="119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95"/>
      <c r="W39" s="58"/>
      <c r="X39" s="68"/>
      <c r="Y39" s="122"/>
      <c r="Z39" s="165"/>
      <c r="AA39" s="124"/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01">
        <f>SUM(I9:I39)</f>
        <v>1.1000000000000001</v>
      </c>
      <c r="J40" s="101">
        <f t="shared" ref="J40:AA40" si="8">SUM(J9:J39)</f>
        <v>10.000000000000002</v>
      </c>
      <c r="K40" s="101">
        <f t="shared" si="8"/>
        <v>15.299999999999997</v>
      </c>
      <c r="L40" s="101">
        <f t="shared" si="8"/>
        <v>17.900000000000002</v>
      </c>
      <c r="M40" s="101">
        <f t="shared" si="8"/>
        <v>20.200000000000003</v>
      </c>
      <c r="N40" s="101">
        <f t="shared" si="8"/>
        <v>20.7</v>
      </c>
      <c r="O40" s="101">
        <f t="shared" si="8"/>
        <v>22.400000000000002</v>
      </c>
      <c r="P40" s="101">
        <f t="shared" si="8"/>
        <v>22.4</v>
      </c>
      <c r="Q40" s="101">
        <f t="shared" si="8"/>
        <v>18.899999999999999</v>
      </c>
      <c r="R40" s="101">
        <f t="shared" si="8"/>
        <v>16.399999999999999</v>
      </c>
      <c r="S40" s="101">
        <f t="shared" si="8"/>
        <v>15.700000000000001</v>
      </c>
      <c r="T40" s="101">
        <f t="shared" si="8"/>
        <v>12.8</v>
      </c>
      <c r="U40" s="101">
        <f t="shared" si="8"/>
        <v>7.8000000000000007</v>
      </c>
      <c r="V40" s="101">
        <f t="shared" si="8"/>
        <v>0</v>
      </c>
      <c r="W40" s="101">
        <f t="shared" si="8"/>
        <v>107.6</v>
      </c>
      <c r="X40" s="101">
        <f t="shared" si="8"/>
        <v>94</v>
      </c>
      <c r="Y40" s="101">
        <f t="shared" si="8"/>
        <v>201.59999999999997</v>
      </c>
      <c r="Z40" s="101">
        <f t="shared" si="8"/>
        <v>393.23114498563649</v>
      </c>
      <c r="AA40" s="101">
        <f t="shared" si="8"/>
        <v>1538.4261735240891</v>
      </c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61"/>
  <sheetViews>
    <sheetView zoomScale="75" zoomScaleNormal="75" workbookViewId="0">
      <selection activeCell="U4" sqref="U4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31" ht="18" customHeight="1">
      <c r="A1" s="1" t="s">
        <v>94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31" ht="18" customHeight="1">
      <c r="A2" s="3"/>
      <c r="B2" s="8" t="s">
        <v>63</v>
      </c>
      <c r="C2" s="3"/>
      <c r="D2" s="3"/>
      <c r="E2" s="3"/>
      <c r="F2" s="3"/>
      <c r="G2" s="5"/>
      <c r="H2" s="3"/>
      <c r="I2" s="3"/>
      <c r="J2" s="3"/>
      <c r="K2" s="193"/>
      <c r="L2" s="194"/>
      <c r="M2" s="3"/>
      <c r="N2" s="3"/>
      <c r="O2" s="3"/>
      <c r="P2" s="3"/>
      <c r="Q2" s="3"/>
      <c r="R2" s="3"/>
      <c r="S2" s="3"/>
      <c r="T2" s="9"/>
      <c r="U2" s="3"/>
      <c r="V2" s="8" t="s">
        <v>63</v>
      </c>
      <c r="W2" s="3"/>
      <c r="X2" s="3"/>
      <c r="Y2" s="3"/>
      <c r="Z2" s="3"/>
      <c r="AA2" s="3"/>
      <c r="AB2" s="3"/>
    </row>
    <row r="3" spans="1:31" ht="18" customHeight="1">
      <c r="A3" s="3"/>
      <c r="B3" s="8" t="s">
        <v>60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95"/>
      <c r="U3" s="3"/>
      <c r="V3" s="8" t="s">
        <v>61</v>
      </c>
      <c r="W3" s="9"/>
      <c r="X3" s="6"/>
      <c r="Y3" s="6"/>
      <c r="Z3" s="6"/>
      <c r="AA3" s="6"/>
      <c r="AB3" s="3"/>
    </row>
    <row r="4" spans="1:31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31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31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31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31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31" ht="18" customHeight="1">
      <c r="A9" s="109">
        <v>1</v>
      </c>
      <c r="B9" s="56">
        <v>27</v>
      </c>
      <c r="C9" s="73">
        <f>'[1]cálculos teóricos'!K338</f>
        <v>1.0425515661325413</v>
      </c>
      <c r="D9" s="58">
        <f>IF(B9&gt;0,B9*C9*14.25*1.022,-999)</f>
        <v>409.94639280102416</v>
      </c>
      <c r="E9" s="59">
        <f>IF(B9&gt;0,D9*4.1868/100,-999)</f>
        <v>17.163635573793279</v>
      </c>
      <c r="F9" s="60">
        <f>IF(B9&gt;0,(7.86+1.25*D9)*4.1868/100,-999)</f>
        <v>21.783626947241601</v>
      </c>
      <c r="G9" s="61">
        <f>'[1]cálculos teóricos'!T338</f>
        <v>42.446215404362263</v>
      </c>
      <c r="H9" s="62">
        <f>IF(B9&gt;0,100*F9/G9,-999)</f>
        <v>51.320539981528867</v>
      </c>
      <c r="I9" s="63"/>
      <c r="J9" s="63"/>
      <c r="K9" s="63"/>
      <c r="L9" s="63">
        <v>0.1</v>
      </c>
      <c r="M9" s="63">
        <v>0.4</v>
      </c>
      <c r="N9" s="63">
        <v>0.3</v>
      </c>
      <c r="O9" s="64">
        <v>0.9</v>
      </c>
      <c r="P9" s="63">
        <v>0.2</v>
      </c>
      <c r="Q9" s="63"/>
      <c r="R9" s="63"/>
      <c r="S9" s="63">
        <v>1</v>
      </c>
      <c r="T9" s="63">
        <v>1</v>
      </c>
      <c r="U9" s="63">
        <v>0.6</v>
      </c>
      <c r="V9" s="64"/>
      <c r="W9" s="58">
        <f>SUM(I9:O9)</f>
        <v>1.7000000000000002</v>
      </c>
      <c r="X9" s="68">
        <f>SUM(P9:V9)</f>
        <v>2.8000000000000003</v>
      </c>
      <c r="Y9" s="69">
        <f>W9+X9</f>
        <v>4.5</v>
      </c>
      <c r="Z9" s="70">
        <f>'[1]cálculos teóricos'!I338</f>
        <v>13.33769387489302</v>
      </c>
      <c r="AA9" s="71">
        <f>100*Y9/Z9</f>
        <v>33.738965987747221</v>
      </c>
      <c r="AB9" s="3"/>
      <c r="AE9" s="196"/>
    </row>
    <row r="10" spans="1:31" ht="18" customHeight="1">
      <c r="A10" s="109">
        <v>2</v>
      </c>
      <c r="B10" s="56">
        <v>23.7</v>
      </c>
      <c r="C10" s="73">
        <f>'[1]cálculos teóricos'!K339</f>
        <v>1.0426445157293678</v>
      </c>
      <c r="D10" s="58">
        <f>IF(B10&gt;0,B10*C10*14.25*1.022,-999)</f>
        <v>359.87391569434413</v>
      </c>
      <c r="E10" s="59">
        <f>IF(B10&gt;0,D10*4.1868/100,-999)</f>
        <v>15.067201102290799</v>
      </c>
      <c r="F10" s="60">
        <f>IF(B10&gt;0,(7.86+1.25*D10)*4.1868/100,-999)</f>
        <v>19.163083857863498</v>
      </c>
      <c r="G10" s="61">
        <f>'[1]cálculos teóricos'!T339</f>
        <v>42.493535643303574</v>
      </c>
      <c r="H10" s="74">
        <f>IF(B10&gt;0,100*F10/G10,-999)</f>
        <v>45.096468363378818</v>
      </c>
      <c r="I10" s="56">
        <v>0.2</v>
      </c>
      <c r="J10" s="75">
        <v>1</v>
      </c>
      <c r="K10" s="75">
        <v>1</v>
      </c>
      <c r="L10" s="75">
        <v>1</v>
      </c>
      <c r="M10" s="75">
        <v>1</v>
      </c>
      <c r="N10" s="75">
        <v>1</v>
      </c>
      <c r="O10" s="76">
        <v>0.8</v>
      </c>
      <c r="P10" s="79">
        <v>0.5</v>
      </c>
      <c r="Q10" s="75">
        <v>0.4</v>
      </c>
      <c r="R10" s="82"/>
      <c r="S10" s="82"/>
      <c r="T10" s="82"/>
      <c r="U10" s="82"/>
      <c r="V10" s="77"/>
      <c r="W10" s="58">
        <f>SUM(I10:O10)</f>
        <v>6</v>
      </c>
      <c r="X10" s="68">
        <f>SUM(P10:V10)</f>
        <v>0.9</v>
      </c>
      <c r="Y10" s="78">
        <f>W10+X10</f>
        <v>6.9</v>
      </c>
      <c r="Z10" s="70">
        <f>'[1]cálculos teóricos'!I339</f>
        <v>13.348450379189718</v>
      </c>
      <c r="AA10" s="71">
        <f t="shared" ref="AA10:AA39" si="0">100*Y10/Z10</f>
        <v>51.691393412655039</v>
      </c>
      <c r="AB10" s="3"/>
      <c r="AE10" s="196"/>
    </row>
    <row r="11" spans="1:31" ht="18" customHeight="1">
      <c r="A11" s="109">
        <v>3</v>
      </c>
      <c r="B11" s="56">
        <v>17.7</v>
      </c>
      <c r="C11" s="73">
        <f>'[1]cálculos teóricos'!K340</f>
        <v>1.0427317882542817</v>
      </c>
      <c r="D11" s="58">
        <f t="shared" ref="D11:D39" si="1">IF(B11&gt;0,B11*C11*14.25*1.022,-999)</f>
        <v>268.78909184886982</v>
      </c>
      <c r="E11" s="59">
        <f t="shared" ref="E11:E39" si="2">IF(B11&gt;0,D11*4.1868/100,-999)</f>
        <v>11.25366169752848</v>
      </c>
      <c r="F11" s="60">
        <f t="shared" ref="F11:F39" si="3">IF(B11&gt;0,(7.86+1.25*D11)*4.1868/100,-999)</f>
        <v>14.396159601910602</v>
      </c>
      <c r="G11" s="61">
        <f>'[1]cálculos teóricos'!T340</f>
        <v>42.538771394383659</v>
      </c>
      <c r="H11" s="74">
        <f t="shared" ref="H11:H39" si="4">IF(B11&gt;0,100*F11/G11,-999)</f>
        <v>33.842443328796534</v>
      </c>
      <c r="I11" s="56"/>
      <c r="J11" s="75"/>
      <c r="K11" s="75"/>
      <c r="L11" s="75"/>
      <c r="M11" s="75">
        <v>0.1</v>
      </c>
      <c r="N11" s="75">
        <v>0.8</v>
      </c>
      <c r="O11" s="76">
        <v>0.7</v>
      </c>
      <c r="P11" s="79">
        <v>0.8</v>
      </c>
      <c r="Q11" s="79"/>
      <c r="R11" s="79"/>
      <c r="S11" s="79"/>
      <c r="T11" s="82"/>
      <c r="U11" s="82"/>
      <c r="V11" s="77"/>
      <c r="W11" s="58">
        <f>SUM(I11:O11)</f>
        <v>1.6</v>
      </c>
      <c r="X11" s="68">
        <f>SUM(P11:V11)</f>
        <v>0.8</v>
      </c>
      <c r="Y11" s="78">
        <f>W11+X11</f>
        <v>2.4000000000000004</v>
      </c>
      <c r="Z11" s="70">
        <f>'[1]cálculos teóricos'!I340</f>
        <v>13.358748926394169</v>
      </c>
      <c r="AA11" s="71">
        <f t="shared" si="0"/>
        <v>17.965754227613999</v>
      </c>
      <c r="AB11" s="3"/>
      <c r="AE11" s="196"/>
    </row>
    <row r="12" spans="1:31" ht="18" customHeight="1">
      <c r="A12" s="109">
        <v>4</v>
      </c>
      <c r="B12" s="56">
        <v>19.899999999999999</v>
      </c>
      <c r="C12" s="73">
        <f>'[1]cálculos teóricos'!K341</f>
        <v>1.0428135502817324</v>
      </c>
      <c r="D12" s="58">
        <f t="shared" si="1"/>
        <v>302.22160127660732</v>
      </c>
      <c r="E12" s="59">
        <f t="shared" si="2"/>
        <v>12.653414002248994</v>
      </c>
      <c r="F12" s="60">
        <f t="shared" si="3"/>
        <v>16.145849982811242</v>
      </c>
      <c r="G12" s="61">
        <f>'[1]cálculos teóricos'!T341</f>
        <v>42.581932664942727</v>
      </c>
      <c r="H12" s="74">
        <f t="shared" si="4"/>
        <v>37.917137556567404</v>
      </c>
      <c r="I12" s="56"/>
      <c r="J12" s="75"/>
      <c r="K12" s="75"/>
      <c r="L12" s="75">
        <v>0.5</v>
      </c>
      <c r="M12" s="75">
        <v>0.8</v>
      </c>
      <c r="N12" s="75">
        <v>0.6</v>
      </c>
      <c r="O12" s="76">
        <v>0.9</v>
      </c>
      <c r="P12" s="79">
        <v>0.6</v>
      </c>
      <c r="Q12" s="82">
        <v>0.3</v>
      </c>
      <c r="R12" s="82"/>
      <c r="S12" s="82"/>
      <c r="T12" s="82"/>
      <c r="U12" s="82"/>
      <c r="V12" s="77"/>
      <c r="W12" s="58">
        <f>SUM(I12:O12)</f>
        <v>2.8</v>
      </c>
      <c r="X12" s="68">
        <f>SUM(P12:V12)</f>
        <v>0.89999999999999991</v>
      </c>
      <c r="Y12" s="78">
        <f>W12+X12</f>
        <v>3.6999999999999997</v>
      </c>
      <c r="Z12" s="70">
        <f>'[1]cálculos teóricos'!I341</f>
        <v>13.368581392741991</v>
      </c>
      <c r="AA12" s="71">
        <f t="shared" si="0"/>
        <v>27.676833399905746</v>
      </c>
      <c r="AB12" s="3"/>
      <c r="AE12" s="196"/>
    </row>
    <row r="13" spans="1:31" ht="18" customHeight="1">
      <c r="A13" s="72">
        <v>5</v>
      </c>
      <c r="B13" s="56">
        <v>14.7</v>
      </c>
      <c r="C13" s="73">
        <f>'[1]cálculos teóricos'!K342</f>
        <v>1.042889962874388</v>
      </c>
      <c r="D13" s="58">
        <f t="shared" si="1"/>
        <v>223.26548122252089</v>
      </c>
      <c r="E13" s="59">
        <f t="shared" si="2"/>
        <v>9.3476791678245039</v>
      </c>
      <c r="F13" s="60">
        <f t="shared" si="3"/>
        <v>12.01368143978063</v>
      </c>
      <c r="G13" s="61">
        <f>'[1]cálculos teóricos'!T342</f>
        <v>42.623029191619999</v>
      </c>
      <c r="H13" s="74">
        <f t="shared" si="4"/>
        <v>28.18589309026072</v>
      </c>
      <c r="I13" s="56"/>
      <c r="J13" s="75"/>
      <c r="K13" s="75"/>
      <c r="L13" s="75"/>
      <c r="M13" s="75"/>
      <c r="N13" s="75"/>
      <c r="O13" s="76">
        <v>0.1</v>
      </c>
      <c r="P13" s="79">
        <v>0.4</v>
      </c>
      <c r="Q13" s="82"/>
      <c r="R13" s="82"/>
      <c r="S13" s="82"/>
      <c r="T13" s="82"/>
      <c r="U13" s="82"/>
      <c r="V13" s="77"/>
      <c r="W13" s="58">
        <f>SUM(I13:O13)</f>
        <v>0.1</v>
      </c>
      <c r="X13" s="68">
        <f>SUM(P13:V13)</f>
        <v>0.4</v>
      </c>
      <c r="Y13" s="78">
        <f>W13+X13</f>
        <v>0.5</v>
      </c>
      <c r="Z13" s="70">
        <f>'[1]cálculos teóricos'!I342</f>
        <v>13.37793991390074</v>
      </c>
      <c r="AA13" s="71">
        <f t="shared" si="0"/>
        <v>3.7374962304955517</v>
      </c>
      <c r="AB13" s="3"/>
      <c r="AE13" s="196"/>
    </row>
    <row r="14" spans="1:31" ht="18" customHeight="1">
      <c r="A14" s="109">
        <v>6</v>
      </c>
      <c r="B14" s="56">
        <v>12.6</v>
      </c>
      <c r="C14" s="73">
        <f>'[1]cálculos teóricos'!K343</f>
        <v>1.042961181162926</v>
      </c>
      <c r="D14" s="58">
        <f t="shared" si="1"/>
        <v>191.38348103951503</v>
      </c>
      <c r="E14" s="59">
        <f t="shared" si="2"/>
        <v>8.0128435841624146</v>
      </c>
      <c r="F14" s="60">
        <f t="shared" si="3"/>
        <v>10.345136960203019</v>
      </c>
      <c r="G14" s="61">
        <f>'[1]cálculos teóricos'!T343</f>
        <v>42.66207038463164</v>
      </c>
      <c r="H14" s="74">
        <f t="shared" si="4"/>
        <v>24.249026985642256</v>
      </c>
      <c r="I14" s="163">
        <v>-99</v>
      </c>
      <c r="J14" s="117">
        <v>-99</v>
      </c>
      <c r="K14" s="117">
        <v>-99</v>
      </c>
      <c r="L14" s="117">
        <v>-99</v>
      </c>
      <c r="M14" s="117">
        <v>-99</v>
      </c>
      <c r="N14" s="117">
        <v>-99</v>
      </c>
      <c r="O14" s="197">
        <v>-99</v>
      </c>
      <c r="P14" s="146">
        <v>-99</v>
      </c>
      <c r="Q14" s="146">
        <v>-99</v>
      </c>
      <c r="R14" s="198">
        <v>-99</v>
      </c>
      <c r="S14" s="198">
        <v>-99</v>
      </c>
      <c r="T14" s="198">
        <v>-99</v>
      </c>
      <c r="U14" s="198">
        <v>-99</v>
      </c>
      <c r="V14" s="148">
        <v>-99</v>
      </c>
      <c r="W14" s="58"/>
      <c r="X14" s="68"/>
      <c r="Y14" s="199">
        <v>-99</v>
      </c>
      <c r="Z14" s="70">
        <f>'[1]cálculos teóricos'!I343</f>
        <v>13.386816904225913</v>
      </c>
      <c r="AA14" s="71">
        <f t="shared" si="0"/>
        <v>-739.53353293976818</v>
      </c>
      <c r="AB14" s="3"/>
      <c r="AE14" s="196"/>
    </row>
    <row r="15" spans="1:31" ht="18" customHeight="1">
      <c r="A15" s="72">
        <v>7</v>
      </c>
      <c r="B15" s="163">
        <v>-99</v>
      </c>
      <c r="C15" s="73">
        <f>'[1]cálculos teóricos'!K344</f>
        <v>1.0430273539385098</v>
      </c>
      <c r="D15" s="58">
        <f t="shared" si="1"/>
        <v>-999</v>
      </c>
      <c r="E15" s="59">
        <f t="shared" si="2"/>
        <v>-999</v>
      </c>
      <c r="F15" s="60">
        <f t="shared" si="3"/>
        <v>-999</v>
      </c>
      <c r="G15" s="61">
        <f>'[1]cálculos teóricos'!T344</f>
        <v>42.699065273785024</v>
      </c>
      <c r="H15" s="74">
        <f t="shared" si="4"/>
        <v>-999</v>
      </c>
      <c r="I15" s="56"/>
      <c r="J15" s="75"/>
      <c r="K15" s="75">
        <v>0.2</v>
      </c>
      <c r="L15" s="75">
        <v>0.1</v>
      </c>
      <c r="M15" s="75">
        <v>0.3</v>
      </c>
      <c r="N15" s="75"/>
      <c r="O15" s="76">
        <v>0.3</v>
      </c>
      <c r="P15" s="79">
        <v>0.8</v>
      </c>
      <c r="Q15" s="82">
        <v>1</v>
      </c>
      <c r="R15" s="82">
        <v>1</v>
      </c>
      <c r="S15" s="82">
        <v>0.9</v>
      </c>
      <c r="T15" s="82">
        <v>0.7</v>
      </c>
      <c r="U15" s="82"/>
      <c r="V15" s="77"/>
      <c r="W15" s="58">
        <f t="shared" ref="W15:W23" si="5">SUM(I15:O15)</f>
        <v>0.90000000000000013</v>
      </c>
      <c r="X15" s="68">
        <f t="shared" ref="X15:X23" si="6">SUM(P15:V15)</f>
        <v>4.3999999999999995</v>
      </c>
      <c r="Y15" s="78">
        <f t="shared" ref="Y15:Y23" si="7">W15+X15</f>
        <v>5.3</v>
      </c>
      <c r="Z15" s="70">
        <f>'[1]cálculos teóricos'!I344</f>
        <v>13.395205075679121</v>
      </c>
      <c r="AA15" s="71">
        <f t="shared" si="0"/>
        <v>39.566396856610247</v>
      </c>
      <c r="AB15" s="3"/>
      <c r="AE15" s="196"/>
    </row>
    <row r="16" spans="1:31" ht="18" customHeight="1">
      <c r="A16" s="80">
        <v>8</v>
      </c>
      <c r="B16" s="75">
        <v>40.6</v>
      </c>
      <c r="C16" s="73">
        <f>'[1]cálculos teóricos'!K345</f>
        <v>1.0430886232592806</v>
      </c>
      <c r="D16" s="58">
        <f t="shared" si="1"/>
        <v>616.7554592923633</v>
      </c>
      <c r="E16" s="59">
        <f t="shared" si="2"/>
        <v>25.822317569652665</v>
      </c>
      <c r="F16" s="60">
        <f t="shared" si="3"/>
        <v>32.606979442065835</v>
      </c>
      <c r="G16" s="61">
        <f>'[1]cálculos teóricos'!T345</f>
        <v>42.734022456413641</v>
      </c>
      <c r="H16" s="74">
        <f t="shared" si="4"/>
        <v>76.302153571719501</v>
      </c>
      <c r="I16" s="79"/>
      <c r="J16" s="81">
        <v>0.5</v>
      </c>
      <c r="K16" s="81">
        <v>1</v>
      </c>
      <c r="L16" s="81">
        <v>1</v>
      </c>
      <c r="M16" s="81">
        <v>1</v>
      </c>
      <c r="N16" s="81">
        <v>1</v>
      </c>
      <c r="O16" s="77">
        <v>1</v>
      </c>
      <c r="P16" s="82">
        <v>1</v>
      </c>
      <c r="Q16" s="82">
        <v>1</v>
      </c>
      <c r="R16" s="81">
        <v>1</v>
      </c>
      <c r="S16" s="81">
        <v>1</v>
      </c>
      <c r="T16" s="81">
        <v>1</v>
      </c>
      <c r="U16" s="81">
        <v>0.8</v>
      </c>
      <c r="V16" s="77"/>
      <c r="W16" s="58">
        <f t="shared" si="5"/>
        <v>5.5</v>
      </c>
      <c r="X16" s="68">
        <f t="shared" si="6"/>
        <v>5.8</v>
      </c>
      <c r="Y16" s="78">
        <f t="shared" si="7"/>
        <v>11.3</v>
      </c>
      <c r="Z16" s="70">
        <f>'[1]cálculos teóricos'!I345</f>
        <v>13.40309745632074</v>
      </c>
      <c r="AA16" s="71">
        <f t="shared" si="0"/>
        <v>84.308869922236184</v>
      </c>
      <c r="AB16" s="3"/>
      <c r="AE16" s="196"/>
    </row>
    <row r="17" spans="1:31" ht="18" customHeight="1">
      <c r="A17" s="80">
        <v>9</v>
      </c>
      <c r="B17" s="75">
        <v>39.5</v>
      </c>
      <c r="C17" s="73">
        <f>'[1]cálculos teóricos'!K346</f>
        <v>1.0431451240721528</v>
      </c>
      <c r="D17" s="58">
        <f t="shared" si="1"/>
        <v>600.07783856977949</v>
      </c>
      <c r="E17" s="59">
        <f t="shared" si="2"/>
        <v>25.124058945239526</v>
      </c>
      <c r="F17" s="60">
        <f t="shared" si="3"/>
        <v>31.734156161549407</v>
      </c>
      <c r="G17" s="61">
        <f>'[1]cálculos teóricos'!T346</f>
        <v>42.766950047409651</v>
      </c>
      <c r="H17" s="74">
        <f t="shared" si="4"/>
        <v>74.202523505581411</v>
      </c>
      <c r="I17" s="79"/>
      <c r="J17" s="81">
        <v>0.9</v>
      </c>
      <c r="K17" s="81">
        <v>1</v>
      </c>
      <c r="L17" s="81">
        <v>1</v>
      </c>
      <c r="M17" s="81">
        <v>1</v>
      </c>
      <c r="N17" s="81">
        <v>1</v>
      </c>
      <c r="O17" s="77">
        <v>1</v>
      </c>
      <c r="P17" s="82">
        <v>1</v>
      </c>
      <c r="Q17" s="82">
        <v>1</v>
      </c>
      <c r="R17" s="81">
        <v>1</v>
      </c>
      <c r="S17" s="81">
        <v>1</v>
      </c>
      <c r="T17" s="81">
        <v>1</v>
      </c>
      <c r="U17" s="81">
        <v>0.9</v>
      </c>
      <c r="V17" s="77"/>
      <c r="W17" s="58">
        <f t="shared" si="5"/>
        <v>5.9</v>
      </c>
      <c r="X17" s="68">
        <f t="shared" si="6"/>
        <v>5.9</v>
      </c>
      <c r="Y17" s="78">
        <f t="shared" si="7"/>
        <v>11.8</v>
      </c>
      <c r="Z17" s="70">
        <f>'[1]cálculos teóricos'!I346</f>
        <v>13.410487408289292</v>
      </c>
      <c r="AA17" s="71">
        <f t="shared" si="0"/>
        <v>87.990836132519561</v>
      </c>
      <c r="AB17" s="3"/>
      <c r="AE17" s="196"/>
    </row>
    <row r="18" spans="1:31" ht="18" customHeight="1">
      <c r="A18" s="80">
        <v>10</v>
      </c>
      <c r="B18" s="117">
        <v>-99</v>
      </c>
      <c r="C18" s="73">
        <f>'[1]cálculos teóricos'!K347</f>
        <v>1.0431969838511672</v>
      </c>
      <c r="D18" s="58">
        <f t="shared" si="1"/>
        <v>-999</v>
      </c>
      <c r="E18" s="59">
        <f t="shared" si="2"/>
        <v>-999</v>
      </c>
      <c r="F18" s="60">
        <f t="shared" si="3"/>
        <v>-999</v>
      </c>
      <c r="G18" s="61">
        <f>'[1]cálculos teóricos'!T347</f>
        <v>42.797855631524406</v>
      </c>
      <c r="H18" s="74">
        <f t="shared" si="4"/>
        <v>-999</v>
      </c>
      <c r="I18" s="79"/>
      <c r="J18" s="81">
        <v>0.7</v>
      </c>
      <c r="K18" s="81">
        <v>1</v>
      </c>
      <c r="L18" s="81">
        <v>1</v>
      </c>
      <c r="M18" s="81">
        <v>1</v>
      </c>
      <c r="N18" s="81">
        <v>1</v>
      </c>
      <c r="O18" s="77">
        <v>1</v>
      </c>
      <c r="P18" s="79">
        <v>1</v>
      </c>
      <c r="Q18" s="82">
        <v>0.8</v>
      </c>
      <c r="R18" s="81">
        <v>0.9</v>
      </c>
      <c r="S18" s="81">
        <v>1</v>
      </c>
      <c r="T18" s="81">
        <v>1</v>
      </c>
      <c r="U18" s="81">
        <v>0.8</v>
      </c>
      <c r="V18" s="77"/>
      <c r="W18" s="58">
        <f t="shared" si="5"/>
        <v>5.7</v>
      </c>
      <c r="X18" s="68">
        <f t="shared" si="6"/>
        <v>5.5</v>
      </c>
      <c r="Y18" s="78">
        <f t="shared" si="7"/>
        <v>11.2</v>
      </c>
      <c r="Z18" s="70">
        <f>'[1]cálculos teóricos'!I347</f>
        <v>13.417368645180208</v>
      </c>
      <c r="AA18" s="71">
        <f t="shared" si="0"/>
        <v>83.473893400277618</v>
      </c>
      <c r="AB18" s="3"/>
      <c r="AE18" s="196"/>
    </row>
    <row r="19" spans="1:31" ht="18" customHeight="1">
      <c r="A19" s="85">
        <v>11</v>
      </c>
      <c r="B19" s="75">
        <v>33.299999999999997</v>
      </c>
      <c r="C19" s="73">
        <f>'[1]cálculos teóricos'!K348</f>
        <v>1.0432443222536116</v>
      </c>
      <c r="D19" s="58">
        <f t="shared" si="1"/>
        <v>505.93651328177765</v>
      </c>
      <c r="E19" s="59">
        <f t="shared" si="2"/>
        <v>21.182549938081465</v>
      </c>
      <c r="F19" s="60">
        <f t="shared" si="3"/>
        <v>26.807269902601835</v>
      </c>
      <c r="G19" s="61">
        <f>'[1]cálculos teóricos'!T348</f>
        <v>42.826746218100261</v>
      </c>
      <c r="H19" s="74">
        <f t="shared" si="4"/>
        <v>62.594692032130219</v>
      </c>
      <c r="I19" s="79"/>
      <c r="J19" s="81">
        <v>0.9</v>
      </c>
      <c r="K19" s="81">
        <v>1</v>
      </c>
      <c r="L19" s="81">
        <v>1</v>
      </c>
      <c r="M19" s="81">
        <v>1</v>
      </c>
      <c r="N19" s="81">
        <v>1</v>
      </c>
      <c r="O19" s="77">
        <v>1</v>
      </c>
      <c r="P19" s="82">
        <v>1</v>
      </c>
      <c r="Q19" s="81">
        <v>0.5</v>
      </c>
      <c r="R19" s="81">
        <v>0.5</v>
      </c>
      <c r="S19" s="81">
        <v>0.8</v>
      </c>
      <c r="T19" s="81"/>
      <c r="U19" s="81"/>
      <c r="V19" s="77"/>
      <c r="W19" s="58">
        <f t="shared" si="5"/>
        <v>5.9</v>
      </c>
      <c r="X19" s="68">
        <f t="shared" si="6"/>
        <v>2.8</v>
      </c>
      <c r="Y19" s="78">
        <f t="shared" si="7"/>
        <v>8.6999999999999993</v>
      </c>
      <c r="Z19" s="70">
        <f>'[1]cálculos teóricos'!I348</f>
        <v>13.423735248737781</v>
      </c>
      <c r="AA19" s="71">
        <f t="shared" si="0"/>
        <v>64.810574991175059</v>
      </c>
      <c r="AB19" s="3"/>
      <c r="AE19" s="196"/>
    </row>
    <row r="20" spans="1:31" ht="18" customHeight="1">
      <c r="A20" s="85">
        <v>12</v>
      </c>
      <c r="B20" s="75">
        <v>20.9</v>
      </c>
      <c r="C20" s="73">
        <f>'[1]cálculos teóricos'!K349</f>
        <v>1.043287250795065</v>
      </c>
      <c r="D20" s="58">
        <f t="shared" si="1"/>
        <v>317.55280002833712</v>
      </c>
      <c r="E20" s="59">
        <f t="shared" si="2"/>
        <v>13.295300631586418</v>
      </c>
      <c r="F20" s="60">
        <f t="shared" si="3"/>
        <v>16.948208269483022</v>
      </c>
      <c r="G20" s="61">
        <f>'[1]cálculos teóricos'!T349</f>
        <v>42.853628198387739</v>
      </c>
      <c r="H20" s="74">
        <f t="shared" si="4"/>
        <v>39.549062662845095</v>
      </c>
      <c r="I20" s="79"/>
      <c r="J20" s="81">
        <v>0.1</v>
      </c>
      <c r="K20" s="81"/>
      <c r="L20" s="81">
        <v>0.8</v>
      </c>
      <c r="M20" s="81">
        <v>1</v>
      </c>
      <c r="N20" s="81">
        <v>1</v>
      </c>
      <c r="O20" s="77">
        <v>0.9</v>
      </c>
      <c r="P20" s="82">
        <v>0.2</v>
      </c>
      <c r="Q20" s="81">
        <v>0.1</v>
      </c>
      <c r="R20" s="81"/>
      <c r="S20" s="81"/>
      <c r="T20" s="81"/>
      <c r="U20" s="81"/>
      <c r="V20" s="77"/>
      <c r="W20" s="58">
        <f t="shared" si="5"/>
        <v>3.8</v>
      </c>
      <c r="X20" s="68">
        <f t="shared" si="6"/>
        <v>0.30000000000000004</v>
      </c>
      <c r="Y20" s="78">
        <f t="shared" si="7"/>
        <v>4.0999999999999996</v>
      </c>
      <c r="Z20" s="70">
        <f>'[1]cálculos teóricos'!I349</f>
        <v>13.429581684775858</v>
      </c>
      <c r="AA20" s="71">
        <f t="shared" si="0"/>
        <v>30.529618094120323</v>
      </c>
      <c r="AB20" s="3"/>
      <c r="AE20" s="196"/>
    </row>
    <row r="21" spans="1:31" ht="18" customHeight="1">
      <c r="A21" s="85">
        <v>13</v>
      </c>
      <c r="B21" s="75">
        <v>11.7</v>
      </c>
      <c r="C21" s="73">
        <f>'[1]cálculos teóricos'!K350</f>
        <v>1.043325872544469</v>
      </c>
      <c r="D21" s="58">
        <f>IF(B21&gt;0,B21*C21*14.25*1.022,-999)</f>
        <v>177.77537323417607</v>
      </c>
      <c r="E21" s="59">
        <f>IF(B21&gt;0,D21*4.1868/100,-999)</f>
        <v>7.4430993265684835</v>
      </c>
      <c r="F21" s="60">
        <f>IF(B21&gt;0,(7.86+1.25*D21)*4.1868/100,-999)</f>
        <v>9.6329566382106062</v>
      </c>
      <c r="G21" s="61">
        <f>'[1]cálculos teóricos'!T350</f>
        <v>42.878507305594937</v>
      </c>
      <c r="H21" s="74">
        <f>IF(B21&gt;0,100*F21/G21,-999)</f>
        <v>22.46569958594073</v>
      </c>
      <c r="I21" s="79"/>
      <c r="J21" s="81"/>
      <c r="K21" s="81"/>
      <c r="L21" s="81"/>
      <c r="M21" s="81"/>
      <c r="N21" s="81"/>
      <c r="O21" s="77"/>
      <c r="P21" s="82"/>
      <c r="Q21" s="81"/>
      <c r="R21" s="81"/>
      <c r="S21" s="81"/>
      <c r="T21" s="81"/>
      <c r="U21" s="81"/>
      <c r="V21" s="77"/>
      <c r="W21" s="58">
        <f t="shared" si="5"/>
        <v>0</v>
      </c>
      <c r="X21" s="68">
        <f t="shared" si="6"/>
        <v>0</v>
      </c>
      <c r="Y21" s="78">
        <f t="shared" si="7"/>
        <v>0</v>
      </c>
      <c r="Z21" s="70">
        <f>'[1]cálculos teóricos'!I350</f>
        <v>13.434902818245344</v>
      </c>
      <c r="AA21" s="71">
        <f t="shared" si="0"/>
        <v>0</v>
      </c>
      <c r="AB21" s="3"/>
      <c r="AE21" s="196"/>
    </row>
    <row r="22" spans="1:31" ht="18" customHeight="1">
      <c r="A22" s="85">
        <v>14</v>
      </c>
      <c r="B22" s="75">
        <v>34.200000000000003</v>
      </c>
      <c r="C22" s="73">
        <f>'[1]cálculos teóricos'!K351</f>
        <v>1.0433602818402716</v>
      </c>
      <c r="D22" s="58">
        <f t="shared" si="1"/>
        <v>519.66822928866327</v>
      </c>
      <c r="E22" s="59">
        <f t="shared" si="2"/>
        <v>21.757469423857753</v>
      </c>
      <c r="F22" s="60">
        <f t="shared" si="3"/>
        <v>27.525919259822196</v>
      </c>
      <c r="G22" s="61">
        <f>'[1]cálculos teóricos'!T351</f>
        <v>42.901388577805832</v>
      </c>
      <c r="H22" s="74">
        <f t="shared" si="4"/>
        <v>64.16090521149745</v>
      </c>
      <c r="I22" s="79"/>
      <c r="J22" s="81">
        <v>1</v>
      </c>
      <c r="K22" s="81">
        <v>1</v>
      </c>
      <c r="L22" s="81">
        <v>0.7</v>
      </c>
      <c r="M22" s="81">
        <v>0.9</v>
      </c>
      <c r="N22" s="81">
        <v>1</v>
      </c>
      <c r="O22" s="77">
        <v>1</v>
      </c>
      <c r="P22" s="82">
        <v>1</v>
      </c>
      <c r="Q22" s="81">
        <v>1</v>
      </c>
      <c r="R22" s="81">
        <v>0.9</v>
      </c>
      <c r="S22" s="81">
        <v>0.9</v>
      </c>
      <c r="T22" s="81">
        <v>1</v>
      </c>
      <c r="U22" s="81">
        <v>0.7</v>
      </c>
      <c r="V22" s="77"/>
      <c r="W22" s="58">
        <f t="shared" si="5"/>
        <v>5.6</v>
      </c>
      <c r="X22" s="68">
        <f t="shared" si="6"/>
        <v>5.5</v>
      </c>
      <c r="Y22" s="78">
        <f t="shared" si="7"/>
        <v>11.1</v>
      </c>
      <c r="Z22" s="70">
        <f>'[1]cálculos teóricos'!I351</f>
        <v>13.439693927369586</v>
      </c>
      <c r="AA22" s="71">
        <f t="shared" si="0"/>
        <v>82.591166584494459</v>
      </c>
      <c r="AB22" s="3"/>
      <c r="AE22" s="196"/>
    </row>
    <row r="23" spans="1:31" ht="18" customHeight="1">
      <c r="A23" s="85">
        <v>15</v>
      </c>
      <c r="B23" s="75">
        <v>32.6</v>
      </c>
      <c r="C23" s="73">
        <f>'[1]cálculos teóricos'!K352</f>
        <v>1.043390564028623</v>
      </c>
      <c r="D23" s="58">
        <f t="shared" si="1"/>
        <v>495.37064242292575</v>
      </c>
      <c r="E23" s="59">
        <f t="shared" si="2"/>
        <v>20.740178056963053</v>
      </c>
      <c r="F23" s="60">
        <f t="shared" si="3"/>
        <v>26.254305051203819</v>
      </c>
      <c r="G23" s="61">
        <f>'[1]cálculos teóricos'!T352</f>
        <v>42.922276323896114</v>
      </c>
      <c r="H23" s="74">
        <f t="shared" si="4"/>
        <v>61.167084553218963</v>
      </c>
      <c r="I23" s="79"/>
      <c r="J23" s="81">
        <v>1</v>
      </c>
      <c r="K23" s="81">
        <v>1</v>
      </c>
      <c r="L23" s="81">
        <v>1</v>
      </c>
      <c r="M23" s="81">
        <v>1</v>
      </c>
      <c r="N23" s="81">
        <v>1</v>
      </c>
      <c r="O23" s="77">
        <v>1</v>
      </c>
      <c r="P23" s="82">
        <v>0.3</v>
      </c>
      <c r="Q23" s="81">
        <v>0.6</v>
      </c>
      <c r="R23" s="81">
        <v>0.6</v>
      </c>
      <c r="S23" s="81">
        <v>0.7</v>
      </c>
      <c r="T23" s="81">
        <v>0.5</v>
      </c>
      <c r="U23" s="81"/>
      <c r="V23" s="77"/>
      <c r="W23" s="58">
        <f t="shared" si="5"/>
        <v>6</v>
      </c>
      <c r="X23" s="68">
        <f t="shared" si="6"/>
        <v>2.7</v>
      </c>
      <c r="Y23" s="78">
        <f t="shared" si="7"/>
        <v>8.6999999999999993</v>
      </c>
      <c r="Z23" s="70">
        <f>'[1]cálculos teóricos'!I352</f>
        <v>13.443950716772623</v>
      </c>
      <c r="AA23" s="71">
        <f t="shared" si="0"/>
        <v>64.713120296892427</v>
      </c>
      <c r="AB23" s="3"/>
      <c r="AE23" s="196"/>
    </row>
    <row r="24" spans="1:31" ht="18" customHeight="1">
      <c r="A24" s="85">
        <v>16</v>
      </c>
      <c r="B24" s="75">
        <v>30.4</v>
      </c>
      <c r="C24" s="73">
        <f>'[1]cálculos teóricos'!K353</f>
        <v>1.0434167952245224</v>
      </c>
      <c r="D24" s="58">
        <f t="shared" si="1"/>
        <v>461.95233511647086</v>
      </c>
      <c r="E24" s="59">
        <f t="shared" si="2"/>
        <v>19.341020366656402</v>
      </c>
      <c r="F24" s="60">
        <f t="shared" si="3"/>
        <v>24.505357938320504</v>
      </c>
      <c r="G24" s="61">
        <f>'[1]cálculos teóricos'!T353</f>
        <v>42.941174092563962</v>
      </c>
      <c r="H24" s="74">
        <f t="shared" si="4"/>
        <v>57.067275071465843</v>
      </c>
      <c r="I24" s="146">
        <v>-99</v>
      </c>
      <c r="J24" s="147">
        <v>-99</v>
      </c>
      <c r="K24" s="147">
        <v>-99</v>
      </c>
      <c r="L24" s="147">
        <v>-99</v>
      </c>
      <c r="M24" s="147">
        <v>-99</v>
      </c>
      <c r="N24" s="147">
        <v>-99</v>
      </c>
      <c r="O24" s="148">
        <v>-99</v>
      </c>
      <c r="P24" s="198">
        <v>-99</v>
      </c>
      <c r="Q24" s="147">
        <v>-99</v>
      </c>
      <c r="R24" s="147">
        <v>-99</v>
      </c>
      <c r="S24" s="147">
        <v>-99</v>
      </c>
      <c r="T24" s="147">
        <v>-99</v>
      </c>
      <c r="U24" s="147">
        <v>-99</v>
      </c>
      <c r="V24" s="148">
        <v>-99</v>
      </c>
      <c r="W24" s="58"/>
      <c r="X24" s="68"/>
      <c r="Y24" s="199">
        <v>-99</v>
      </c>
      <c r="Z24" s="70">
        <f>'[1]cálculos teóricos'!I353</f>
        <v>13.447669329529568</v>
      </c>
      <c r="AA24" s="71">
        <f t="shared" si="0"/>
        <v>-736.18704902720322</v>
      </c>
      <c r="AB24" s="3"/>
      <c r="AE24" s="196"/>
    </row>
    <row r="25" spans="1:31" ht="18" customHeight="1">
      <c r="A25" s="85">
        <v>17</v>
      </c>
      <c r="B25" s="75">
        <v>33.6</v>
      </c>
      <c r="C25" s="73">
        <f>'[1]cálculos teóricos'!K354</f>
        <v>1.0434390420967636</v>
      </c>
      <c r="D25" s="58">
        <f t="shared" si="1"/>
        <v>510.58978284976092</v>
      </c>
      <c r="E25" s="59">
        <f t="shared" si="2"/>
        <v>21.377373028353791</v>
      </c>
      <c r="F25" s="60">
        <f t="shared" si="3"/>
        <v>27.050798765442238</v>
      </c>
      <c r="G25" s="61">
        <f>'[1]cálculos teóricos'!T354</f>
        <v>42.958084644584673</v>
      </c>
      <c r="H25" s="74">
        <f t="shared" si="4"/>
        <v>62.970216175250911</v>
      </c>
      <c r="I25" s="79"/>
      <c r="J25" s="81">
        <v>0.4</v>
      </c>
      <c r="K25" s="81">
        <v>0.5</v>
      </c>
      <c r="L25" s="81">
        <v>0.8</v>
      </c>
      <c r="M25" s="81">
        <v>0.9</v>
      </c>
      <c r="N25" s="81">
        <v>1</v>
      </c>
      <c r="O25" s="77">
        <v>0.9</v>
      </c>
      <c r="P25" s="82">
        <v>0.9</v>
      </c>
      <c r="Q25" s="81">
        <v>0.6</v>
      </c>
      <c r="R25" s="81">
        <v>1</v>
      </c>
      <c r="S25" s="81">
        <v>1</v>
      </c>
      <c r="T25" s="81">
        <v>0.6</v>
      </c>
      <c r="U25" s="81"/>
      <c r="V25" s="77"/>
      <c r="W25" s="58">
        <f>SUM(I25:O25)</f>
        <v>4.5</v>
      </c>
      <c r="X25" s="68">
        <f>SUM(P25:V25)</f>
        <v>4.0999999999999996</v>
      </c>
      <c r="Y25" s="78">
        <f>W25+X25</f>
        <v>8.6</v>
      </c>
      <c r="Z25" s="70">
        <f>'[1]cálculos teóricos'!I354</f>
        <v>13.450846358073472</v>
      </c>
      <c r="AA25" s="71">
        <f t="shared" si="0"/>
        <v>63.936497162039956</v>
      </c>
      <c r="AB25" s="3"/>
      <c r="AE25" s="196"/>
    </row>
    <row r="26" spans="1:31" ht="18" customHeight="1">
      <c r="A26" s="85">
        <v>18</v>
      </c>
      <c r="B26" s="75">
        <v>24.7</v>
      </c>
      <c r="C26" s="73">
        <f>'[1]cálculos teóricos'!K355</f>
        <v>1.0434573616774252</v>
      </c>
      <c r="D26" s="58">
        <f t="shared" si="1"/>
        <v>375.35086478369277</v>
      </c>
      <c r="E26" s="59">
        <f t="shared" si="2"/>
        <v>15.715190006763649</v>
      </c>
      <c r="F26" s="60">
        <f t="shared" si="3"/>
        <v>19.973069988454561</v>
      </c>
      <c r="G26" s="61">
        <f>'[1]cálculos teóricos'!T355</f>
        <v>42.973009928386787</v>
      </c>
      <c r="H26" s="74">
        <f t="shared" si="4"/>
        <v>46.478173210903947</v>
      </c>
      <c r="I26" s="79"/>
      <c r="J26" s="81">
        <v>1</v>
      </c>
      <c r="K26" s="81">
        <v>1</v>
      </c>
      <c r="L26" s="81">
        <v>0.8</v>
      </c>
      <c r="M26" s="81">
        <v>0.8</v>
      </c>
      <c r="N26" s="81">
        <v>0.8</v>
      </c>
      <c r="O26" s="77">
        <v>0.1</v>
      </c>
      <c r="P26" s="82">
        <v>0.3</v>
      </c>
      <c r="Q26" s="81">
        <v>0.7</v>
      </c>
      <c r="R26" s="81"/>
      <c r="S26" s="81"/>
      <c r="T26" s="81"/>
      <c r="U26" s="81"/>
      <c r="V26" s="77"/>
      <c r="W26" s="58">
        <f>SUM(I26:O26)</f>
        <v>4.4999999999999991</v>
      </c>
      <c r="X26" s="68">
        <f t="shared" ref="X26:X39" si="8">SUM(P26:V26)</f>
        <v>1</v>
      </c>
      <c r="Y26" s="78">
        <f t="shared" ref="Y26:Y39" si="9">W26+X26</f>
        <v>5.4999999999999991</v>
      </c>
      <c r="Z26" s="70">
        <f>'[1]cálculos teóricos'!I355</f>
        <v>13.453478853898625</v>
      </c>
      <c r="AA26" s="71">
        <f t="shared" si="0"/>
        <v>40.88161924308654</v>
      </c>
      <c r="AB26" s="3"/>
      <c r="AE26" s="196"/>
    </row>
    <row r="27" spans="1:31" ht="18" customHeight="1">
      <c r="A27" s="85">
        <v>19</v>
      </c>
      <c r="B27" s="75">
        <v>12</v>
      </c>
      <c r="C27" s="73">
        <f>'[1]cálculos teóricos'!K356</f>
        <v>1.0434718011965771</v>
      </c>
      <c r="D27" s="58">
        <f t="shared" si="1"/>
        <v>182.35921892071624</v>
      </c>
      <c r="E27" s="59">
        <f t="shared" si="2"/>
        <v>7.6350157777725478</v>
      </c>
      <c r="F27" s="60">
        <f t="shared" si="3"/>
        <v>9.8728522022156842</v>
      </c>
      <c r="G27" s="61">
        <f>'[1]cálculos teóricos'!T356</f>
        <v>42.985951059037113</v>
      </c>
      <c r="H27" s="74">
        <f t="shared" si="4"/>
        <v>22.967625372895117</v>
      </c>
      <c r="I27" s="79"/>
      <c r="J27" s="81"/>
      <c r="K27" s="81"/>
      <c r="L27" s="81">
        <v>0.2</v>
      </c>
      <c r="M27" s="81"/>
      <c r="N27" s="81"/>
      <c r="O27" s="77"/>
      <c r="P27" s="82"/>
      <c r="Q27" s="81"/>
      <c r="R27" s="81"/>
      <c r="S27" s="81"/>
      <c r="T27" s="81"/>
      <c r="U27" s="81"/>
      <c r="V27" s="77"/>
      <c r="W27" s="58">
        <f>SUM(I27:O27)</f>
        <v>0.2</v>
      </c>
      <c r="X27" s="68">
        <f t="shared" si="8"/>
        <v>0</v>
      </c>
      <c r="Y27" s="78">
        <f t="shared" si="9"/>
        <v>0.2</v>
      </c>
      <c r="Z27" s="70">
        <f>'[1]cálculos teóricos'!I356</f>
        <v>13.455564336006312</v>
      </c>
      <c r="AA27" s="71">
        <f t="shared" si="0"/>
        <v>1.4863739268431244</v>
      </c>
      <c r="AB27" s="3"/>
      <c r="AE27" s="196"/>
    </row>
    <row r="28" spans="1:31" ht="18" customHeight="1">
      <c r="A28" s="85">
        <v>20</v>
      </c>
      <c r="B28" s="75">
        <v>12.4</v>
      </c>
      <c r="C28" s="73">
        <f>'[1]cálculos teóricos'!K357</f>
        <v>1.0434823979428147</v>
      </c>
      <c r="D28" s="58">
        <f t="shared" si="1"/>
        <v>188.43977319025828</v>
      </c>
      <c r="E28" s="59">
        <f t="shared" si="2"/>
        <v>7.889596423929734</v>
      </c>
      <c r="F28" s="60">
        <f t="shared" si="3"/>
        <v>10.191078009912168</v>
      </c>
      <c r="G28" s="61">
        <f>'[1]cálculos teóricos'!T357</f>
        <v>42.996908300711738</v>
      </c>
      <c r="H28" s="74">
        <f t="shared" si="4"/>
        <v>23.701885583581536</v>
      </c>
      <c r="I28" s="146">
        <v>-99</v>
      </c>
      <c r="J28" s="147">
        <v>-99</v>
      </c>
      <c r="K28" s="147">
        <v>-99</v>
      </c>
      <c r="L28" s="147">
        <v>-99</v>
      </c>
      <c r="M28" s="147">
        <v>-99</v>
      </c>
      <c r="N28" s="147">
        <v>-99</v>
      </c>
      <c r="O28" s="148">
        <v>-99</v>
      </c>
      <c r="P28" s="198">
        <v>-99</v>
      </c>
      <c r="Q28" s="147">
        <v>-99</v>
      </c>
      <c r="R28" s="147">
        <v>-99</v>
      </c>
      <c r="S28" s="147">
        <v>-99</v>
      </c>
      <c r="T28" s="147">
        <v>-99</v>
      </c>
      <c r="U28" s="147">
        <v>-99</v>
      </c>
      <c r="V28" s="148">
        <v>-99</v>
      </c>
      <c r="W28" s="58"/>
      <c r="X28" s="68"/>
      <c r="Y28" s="199">
        <v>-99</v>
      </c>
      <c r="Z28" s="70">
        <f>'[1]cálculos teóricos'!I357</f>
        <v>13.457100798045776</v>
      </c>
      <c r="AA28" s="71">
        <f t="shared" si="0"/>
        <v>-735.67108908314538</v>
      </c>
      <c r="AB28" s="3"/>
      <c r="AE28" s="196"/>
    </row>
    <row r="29" spans="1:31" ht="18" customHeight="1">
      <c r="A29" s="85">
        <v>21</v>
      </c>
      <c r="B29" s="75">
        <v>26.2</v>
      </c>
      <c r="C29" s="73">
        <f>'[1]cálculos teóricos'!K358</f>
        <v>1.0434891791500842</v>
      </c>
      <c r="D29" s="58">
        <f t="shared" si="1"/>
        <v>398.15759210646894</v>
      </c>
      <c r="E29" s="59">
        <f t="shared" si="2"/>
        <v>16.670062066313641</v>
      </c>
      <c r="F29" s="60">
        <f t="shared" si="3"/>
        <v>21.166660062892053</v>
      </c>
      <c r="G29" s="61">
        <f>'[1]cálculos teóricos'!T358</f>
        <v>43.005881052718408</v>
      </c>
      <c r="H29" s="74">
        <f t="shared" si="4"/>
        <v>49.218059355521802</v>
      </c>
      <c r="I29" s="79"/>
      <c r="J29" s="81"/>
      <c r="K29" s="81"/>
      <c r="L29" s="81">
        <v>0.4</v>
      </c>
      <c r="M29" s="81">
        <v>0.1</v>
      </c>
      <c r="N29" s="81">
        <v>0.5</v>
      </c>
      <c r="O29" s="77">
        <v>0.2</v>
      </c>
      <c r="P29" s="82">
        <v>0.2</v>
      </c>
      <c r="Q29" s="81">
        <v>0.5</v>
      </c>
      <c r="R29" s="81">
        <v>0.1</v>
      </c>
      <c r="S29" s="81">
        <v>0.1</v>
      </c>
      <c r="T29" s="81"/>
      <c r="U29" s="81"/>
      <c r="V29" s="77"/>
      <c r="W29" s="58">
        <f t="shared" ref="W29:W40" si="10">SUM(I29:O29)</f>
        <v>1.2</v>
      </c>
      <c r="X29" s="68">
        <f t="shared" si="8"/>
        <v>0.89999999999999991</v>
      </c>
      <c r="Y29" s="78">
        <f t="shared" si="9"/>
        <v>2.0999999999999996</v>
      </c>
      <c r="Z29" s="70">
        <f>'[1]cálculos teóricos'!I358</f>
        <v>13.458086714110046</v>
      </c>
      <c r="AA29" s="71">
        <f t="shared" si="0"/>
        <v>15.604001108108985</v>
      </c>
      <c r="AB29" s="3"/>
      <c r="AE29" s="196"/>
    </row>
    <row r="30" spans="1:31" ht="18" customHeight="1">
      <c r="A30" s="85">
        <v>22</v>
      </c>
      <c r="B30" s="75">
        <v>19.399999999999999</v>
      </c>
      <c r="C30" s="73">
        <f>'[1]cálculos teóricos'!K359</f>
        <v>1.0434921619112543</v>
      </c>
      <c r="D30" s="58">
        <f t="shared" si="1"/>
        <v>294.81982313989431</v>
      </c>
      <c r="E30" s="59">
        <f t="shared" si="2"/>
        <v>12.343516355221094</v>
      </c>
      <c r="F30" s="60">
        <f t="shared" si="3"/>
        <v>15.758477924026367</v>
      </c>
      <c r="G30" s="61">
        <f>'[1]cálculos teóricos'!T359</f>
        <v>43.012867839125683</v>
      </c>
      <c r="H30" s="74">
        <f t="shared" si="4"/>
        <v>36.636659482844401</v>
      </c>
      <c r="I30" s="79"/>
      <c r="J30" s="81"/>
      <c r="K30" s="81"/>
      <c r="L30" s="81"/>
      <c r="M30" s="81">
        <v>0.1</v>
      </c>
      <c r="N30" s="81">
        <v>0.1</v>
      </c>
      <c r="O30" s="77">
        <v>0.2</v>
      </c>
      <c r="P30" s="82"/>
      <c r="Q30" s="81">
        <v>0.1</v>
      </c>
      <c r="R30" s="81"/>
      <c r="S30" s="81"/>
      <c r="T30" s="81"/>
      <c r="U30" s="81"/>
      <c r="V30" s="77"/>
      <c r="W30" s="58">
        <f t="shared" si="10"/>
        <v>0.4</v>
      </c>
      <c r="X30" s="68">
        <f t="shared" si="8"/>
        <v>0.1</v>
      </c>
      <c r="Y30" s="78">
        <f t="shared" si="9"/>
        <v>0.5</v>
      </c>
      <c r="Z30" s="70">
        <f>'[1]cálculos teóricos'!I359</f>
        <v>13.458521043153825</v>
      </c>
      <c r="AA30" s="71">
        <f t="shared" si="0"/>
        <v>3.7151184621013282</v>
      </c>
      <c r="AB30" s="3"/>
      <c r="AE30" s="196"/>
    </row>
    <row r="31" spans="1:31" ht="18" customHeight="1">
      <c r="A31" s="85">
        <v>23</v>
      </c>
      <c r="B31" s="75">
        <v>33.299999999999997</v>
      </c>
      <c r="C31" s="73">
        <f>'[1]cálculos teóricos'!K360</f>
        <v>1.0434913531187173</v>
      </c>
      <c r="D31" s="58">
        <f t="shared" si="1"/>
        <v>506.05631449410987</v>
      </c>
      <c r="E31" s="59">
        <f t="shared" si="2"/>
        <v>21.187565775239392</v>
      </c>
      <c r="F31" s="60">
        <f t="shared" si="3"/>
        <v>26.813539699049237</v>
      </c>
      <c r="G31" s="61">
        <f>'[1]cálculos teóricos'!T360</f>
        <v>43.017866302041909</v>
      </c>
      <c r="H31" s="74">
        <f t="shared" si="4"/>
        <v>62.331170753061016</v>
      </c>
      <c r="I31" s="79">
        <v>0.2</v>
      </c>
      <c r="J31" s="81">
        <v>1</v>
      </c>
      <c r="K31" s="81">
        <v>1</v>
      </c>
      <c r="L31" s="81">
        <v>1</v>
      </c>
      <c r="M31" s="81">
        <v>1</v>
      </c>
      <c r="N31" s="81">
        <v>1</v>
      </c>
      <c r="O31" s="77">
        <v>1</v>
      </c>
      <c r="P31" s="82">
        <v>1</v>
      </c>
      <c r="Q31" s="81">
        <v>0.5</v>
      </c>
      <c r="R31" s="81"/>
      <c r="S31" s="81"/>
      <c r="T31" s="81"/>
      <c r="U31" s="81"/>
      <c r="V31" s="77"/>
      <c r="W31" s="58">
        <f t="shared" si="10"/>
        <v>6.2</v>
      </c>
      <c r="X31" s="68">
        <f t="shared" si="8"/>
        <v>1.5</v>
      </c>
      <c r="Y31" s="78">
        <f t="shared" si="9"/>
        <v>7.7</v>
      </c>
      <c r="Z31" s="70">
        <f>'[1]cálculos teóricos'!I360</f>
        <v>13.458403232008276</v>
      </c>
      <c r="AA31" s="71">
        <f t="shared" si="0"/>
        <v>57.213325141626022</v>
      </c>
      <c r="AB31" s="3"/>
      <c r="AE31" s="196"/>
    </row>
    <row r="32" spans="1:31" ht="18" customHeight="1">
      <c r="A32" s="85">
        <v>24</v>
      </c>
      <c r="B32" s="75">
        <v>33</v>
      </c>
      <c r="C32" s="73">
        <f>'[1]cálculos teóricos'!K361</f>
        <v>1.0434867494322762</v>
      </c>
      <c r="D32" s="58">
        <f t="shared" si="1"/>
        <v>501.49503608677952</v>
      </c>
      <c r="E32" s="59">
        <f t="shared" si="2"/>
        <v>20.996594170881284</v>
      </c>
      <c r="F32" s="60">
        <f t="shared" si="3"/>
        <v>26.574825193601605</v>
      </c>
      <c r="G32" s="61">
        <f>'[1]cálculos teóricos'!T361</f>
        <v>43.020873198576822</v>
      </c>
      <c r="H32" s="74">
        <f t="shared" si="4"/>
        <v>61.771933523842861</v>
      </c>
      <c r="I32" s="79"/>
      <c r="J32" s="81">
        <v>0.2</v>
      </c>
      <c r="K32" s="81">
        <v>0.4</v>
      </c>
      <c r="L32" s="81">
        <v>0.8</v>
      </c>
      <c r="M32" s="81">
        <v>1</v>
      </c>
      <c r="N32" s="81">
        <v>1</v>
      </c>
      <c r="O32" s="77">
        <v>1</v>
      </c>
      <c r="P32" s="82">
        <v>0.9</v>
      </c>
      <c r="Q32" s="81">
        <v>1</v>
      </c>
      <c r="R32" s="81">
        <v>1</v>
      </c>
      <c r="S32" s="81">
        <v>0.2</v>
      </c>
      <c r="T32" s="81"/>
      <c r="U32" s="81"/>
      <c r="V32" s="77"/>
      <c r="W32" s="58">
        <f t="shared" si="10"/>
        <v>4.4000000000000004</v>
      </c>
      <c r="X32" s="68">
        <f t="shared" si="8"/>
        <v>3.1</v>
      </c>
      <c r="Y32" s="78">
        <f t="shared" si="9"/>
        <v>7.5</v>
      </c>
      <c r="Z32" s="70">
        <f>'[1]cálculos teóricos'!I361</f>
        <v>13.457733216975646</v>
      </c>
      <c r="AA32" s="71">
        <f t="shared" si="0"/>
        <v>55.730039220419869</v>
      </c>
      <c r="AB32" s="3"/>
      <c r="AE32" s="196"/>
    </row>
    <row r="33" spans="1:31" ht="18" customHeight="1">
      <c r="A33" s="85">
        <v>25</v>
      </c>
      <c r="B33" s="75">
        <v>31</v>
      </c>
      <c r="C33" s="73">
        <f>'[1]cálculos teóricos'!K362</f>
        <v>1.0434783372744176</v>
      </c>
      <c r="D33" s="58">
        <f t="shared" si="1"/>
        <v>471.0975997117755</v>
      </c>
      <c r="E33" s="59">
        <f t="shared" si="2"/>
        <v>19.723914304732617</v>
      </c>
      <c r="F33" s="60">
        <f t="shared" si="3"/>
        <v>24.983975360915775</v>
      </c>
      <c r="G33" s="61">
        <f>'[1]cálculos teóricos'!T362</f>
        <v>43.021884401506568</v>
      </c>
      <c r="H33" s="74">
        <f t="shared" si="4"/>
        <v>58.072712779733259</v>
      </c>
      <c r="I33" s="79"/>
      <c r="J33" s="81">
        <v>0.3</v>
      </c>
      <c r="K33" s="81">
        <v>0.3</v>
      </c>
      <c r="L33" s="81">
        <v>1</v>
      </c>
      <c r="M33" s="81">
        <v>1</v>
      </c>
      <c r="N33" s="81">
        <v>1</v>
      </c>
      <c r="O33" s="77">
        <v>1</v>
      </c>
      <c r="P33" s="82">
        <v>1</v>
      </c>
      <c r="Q33" s="81">
        <v>0.9</v>
      </c>
      <c r="R33" s="81">
        <v>0.3</v>
      </c>
      <c r="S33" s="81"/>
      <c r="T33" s="81"/>
      <c r="U33" s="81"/>
      <c r="V33" s="77"/>
      <c r="W33" s="58">
        <f t="shared" si="10"/>
        <v>4.5999999999999996</v>
      </c>
      <c r="X33" s="68">
        <f t="shared" si="8"/>
        <v>2.1999999999999997</v>
      </c>
      <c r="Y33" s="78">
        <f t="shared" si="9"/>
        <v>6.7999999999999989</v>
      </c>
      <c r="Z33" s="70">
        <f>'[1]cálculos teóricos'!I362</f>
        <v>13.456511423994518</v>
      </c>
      <c r="AA33" s="71">
        <f t="shared" si="0"/>
        <v>50.533156668486981</v>
      </c>
      <c r="AB33" s="3"/>
      <c r="AE33" s="196"/>
    </row>
    <row r="34" spans="1:31" ht="18" customHeight="1">
      <c r="A34" s="85">
        <v>26</v>
      </c>
      <c r="B34" s="75">
        <v>19.600000000000001</v>
      </c>
      <c r="C34" s="73">
        <f>'[1]cálculos teóricos'!K363</f>
        <v>1.0434660928530486</v>
      </c>
      <c r="D34" s="58">
        <f t="shared" si="1"/>
        <v>297.85176148800133</v>
      </c>
      <c r="E34" s="59">
        <f t="shared" si="2"/>
        <v>12.47045754997964</v>
      </c>
      <c r="F34" s="60">
        <f t="shared" si="3"/>
        <v>15.917154417474549</v>
      </c>
      <c r="G34" s="61">
        <f>'[1]cálculos teóricos'!T363</f>
        <v>43.020894903651737</v>
      </c>
      <c r="H34" s="74">
        <f t="shared" si="4"/>
        <v>36.998659495861524</v>
      </c>
      <c r="I34" s="79"/>
      <c r="J34" s="81"/>
      <c r="K34" s="81"/>
      <c r="L34" s="81"/>
      <c r="M34" s="81"/>
      <c r="N34" s="81"/>
      <c r="O34" s="77"/>
      <c r="P34" s="82">
        <v>0.6</v>
      </c>
      <c r="Q34" s="81">
        <v>0.7</v>
      </c>
      <c r="R34" s="81">
        <v>0.2</v>
      </c>
      <c r="S34" s="81"/>
      <c r="T34" s="81"/>
      <c r="U34" s="81"/>
      <c r="V34" s="77"/>
      <c r="W34" s="58">
        <f t="shared" si="10"/>
        <v>0</v>
      </c>
      <c r="X34" s="68">
        <f t="shared" si="8"/>
        <v>1.4999999999999998</v>
      </c>
      <c r="Y34" s="78">
        <f t="shared" si="9"/>
        <v>1.4999999999999998</v>
      </c>
      <c r="Z34" s="70">
        <f>'[1]cálculos teóricos'!I363</f>
        <v>13.454738767374977</v>
      </c>
      <c r="AA34" s="71">
        <f t="shared" si="0"/>
        <v>11.148488468889465</v>
      </c>
      <c r="AB34" s="3"/>
      <c r="AE34" s="196"/>
    </row>
    <row r="35" spans="1:31" ht="18" customHeight="1">
      <c r="A35" s="85">
        <v>27</v>
      </c>
      <c r="B35" s="75">
        <v>26</v>
      </c>
      <c r="C35" s="73">
        <f>'[1]cálculos teóricos'!K364</f>
        <v>1.0434499822115912</v>
      </c>
      <c r="D35" s="58">
        <f t="shared" si="1"/>
        <v>395.10337921440129</v>
      </c>
      <c r="E35" s="59">
        <f t="shared" si="2"/>
        <v>16.542188280948555</v>
      </c>
      <c r="F35" s="60">
        <f t="shared" si="3"/>
        <v>21.006817831185689</v>
      </c>
      <c r="G35" s="61">
        <f>'[1]cálculos teóricos'!T364</f>
        <v>43.017898825966327</v>
      </c>
      <c r="H35" s="74">
        <f t="shared" si="4"/>
        <v>48.832738010220112</v>
      </c>
      <c r="I35" s="79"/>
      <c r="J35" s="81">
        <v>0.3</v>
      </c>
      <c r="K35" s="81"/>
      <c r="L35" s="81">
        <v>0.6</v>
      </c>
      <c r="M35" s="81">
        <v>0.7</v>
      </c>
      <c r="N35" s="81">
        <v>1</v>
      </c>
      <c r="O35" s="77">
        <v>1</v>
      </c>
      <c r="P35" s="82">
        <v>0.6</v>
      </c>
      <c r="Q35" s="81">
        <v>0.6</v>
      </c>
      <c r="R35" s="81"/>
      <c r="S35" s="81"/>
      <c r="T35" s="81"/>
      <c r="U35" s="81"/>
      <c r="V35" s="77"/>
      <c r="W35" s="58">
        <f t="shared" si="10"/>
        <v>3.5999999999999996</v>
      </c>
      <c r="X35" s="68">
        <f t="shared" si="8"/>
        <v>1.2</v>
      </c>
      <c r="Y35" s="78">
        <f t="shared" si="9"/>
        <v>4.8</v>
      </c>
      <c r="Z35" s="70">
        <f>'[1]cálculos teóricos'!I364</f>
        <v>13.45241664711107</v>
      </c>
      <c r="AA35" s="71">
        <f t="shared" si="0"/>
        <v>35.681321251901664</v>
      </c>
      <c r="AB35" s="3"/>
      <c r="AE35" s="196"/>
    </row>
    <row r="36" spans="1:31" ht="18" customHeight="1">
      <c r="A36" s="85">
        <v>28</v>
      </c>
      <c r="B36" s="75">
        <v>23.4</v>
      </c>
      <c r="C36" s="73">
        <f>'[1]cálculos teóricos'!K365</f>
        <v>1.0434299613063189</v>
      </c>
      <c r="D36" s="58">
        <f t="shared" si="1"/>
        <v>355.58621845073901</v>
      </c>
      <c r="E36" s="59">
        <f t="shared" si="2"/>
        <v>14.88768379409554</v>
      </c>
      <c r="F36" s="60">
        <f t="shared" si="3"/>
        <v>18.938687222619428</v>
      </c>
      <c r="G36" s="61">
        <f>'[1]cálculos teóricos'!T365</f>
        <v>43.012889429324311</v>
      </c>
      <c r="H36" s="74">
        <f t="shared" si="4"/>
        <v>44.030260403077826</v>
      </c>
      <c r="I36" s="79"/>
      <c r="J36" s="81"/>
      <c r="K36" s="81"/>
      <c r="L36" s="81"/>
      <c r="M36" s="81">
        <v>0.3</v>
      </c>
      <c r="N36" s="81">
        <v>1</v>
      </c>
      <c r="O36" s="77">
        <v>1</v>
      </c>
      <c r="P36" s="82">
        <v>0.5</v>
      </c>
      <c r="Q36" s="81">
        <v>1</v>
      </c>
      <c r="R36" s="81">
        <v>0.3</v>
      </c>
      <c r="S36" s="81"/>
      <c r="T36" s="81"/>
      <c r="U36" s="81"/>
      <c r="V36" s="77"/>
      <c r="W36" s="58">
        <f t="shared" si="10"/>
        <v>2.2999999999999998</v>
      </c>
      <c r="X36" s="68">
        <f t="shared" si="8"/>
        <v>1.8</v>
      </c>
      <c r="Y36" s="78">
        <f t="shared" si="9"/>
        <v>4.0999999999999996</v>
      </c>
      <c r="Z36" s="70">
        <f>'[1]cálculos teóricos'!I365</f>
        <v>13.449546944786</v>
      </c>
      <c r="AA36" s="71">
        <f t="shared" si="0"/>
        <v>30.484298220836731</v>
      </c>
      <c r="AB36" s="3"/>
      <c r="AE36" s="196"/>
    </row>
    <row r="37" spans="1:31" ht="18" customHeight="1">
      <c r="A37" s="85">
        <v>29</v>
      </c>
      <c r="B37" s="75">
        <v>25.3</v>
      </c>
      <c r="C37" s="73">
        <f>'[1]cálculos teóricos'!K366</f>
        <v>1.0434059761106758</v>
      </c>
      <c r="D37" s="58">
        <f t="shared" si="1"/>
        <v>384.44976620712197</v>
      </c>
      <c r="E37" s="59">
        <f t="shared" si="2"/>
        <v>16.096142811559783</v>
      </c>
      <c r="F37" s="60">
        <f t="shared" si="3"/>
        <v>20.449260994449727</v>
      </c>
      <c r="G37" s="61">
        <f>'[1]cálculos teóricos'!T366</f>
        <v>43.005859129978646</v>
      </c>
      <c r="H37" s="74">
        <f t="shared" si="4"/>
        <v>47.549941817567124</v>
      </c>
      <c r="I37" s="79"/>
      <c r="J37" s="81"/>
      <c r="K37" s="81"/>
      <c r="L37" s="81">
        <v>0.1</v>
      </c>
      <c r="M37" s="81">
        <v>0.1</v>
      </c>
      <c r="N37" s="81">
        <v>0.7</v>
      </c>
      <c r="O37" s="77">
        <v>0.4</v>
      </c>
      <c r="P37" s="82">
        <v>0.3</v>
      </c>
      <c r="Q37" s="81">
        <v>0.6</v>
      </c>
      <c r="R37" s="81">
        <v>1</v>
      </c>
      <c r="S37" s="81">
        <v>0.9</v>
      </c>
      <c r="T37" s="81">
        <v>0.3</v>
      </c>
      <c r="U37" s="81"/>
      <c r="V37" s="77"/>
      <c r="W37" s="58">
        <f t="shared" si="10"/>
        <v>1.2999999999999998</v>
      </c>
      <c r="X37" s="68">
        <f t="shared" si="8"/>
        <v>3.0999999999999996</v>
      </c>
      <c r="Y37" s="78">
        <f t="shared" si="9"/>
        <v>4.3999999999999995</v>
      </c>
      <c r="Z37" s="70">
        <f>'[1]cálculos teóricos'!I366</f>
        <v>13.446132018093639</v>
      </c>
      <c r="AA37" s="71">
        <f t="shared" si="0"/>
        <v>32.723165249896311</v>
      </c>
      <c r="AB37" s="3"/>
      <c r="AE37" s="196"/>
    </row>
    <row r="38" spans="1:31" ht="18" customHeight="1">
      <c r="A38" s="80">
        <v>30</v>
      </c>
      <c r="B38" s="75">
        <v>20</v>
      </c>
      <c r="C38" s="73">
        <f>'[1]cálculos teóricos'!K367</f>
        <v>1.0433779627462227</v>
      </c>
      <c r="D38" s="58">
        <f t="shared" si="1"/>
        <v>303.90469920909231</v>
      </c>
      <c r="E38" s="59">
        <f t="shared" si="2"/>
        <v>12.723881946486276</v>
      </c>
      <c r="F38" s="60">
        <f t="shared" si="3"/>
        <v>16.233934913107845</v>
      </c>
      <c r="G38" s="61">
        <f>'[1]cálculos teóricos'!T367</f>
        <v>42.996799518656061</v>
      </c>
      <c r="H38" s="74">
        <f t="shared" si="4"/>
        <v>37.756147189662421</v>
      </c>
      <c r="I38" s="79"/>
      <c r="J38" s="81"/>
      <c r="K38" s="81"/>
      <c r="L38" s="81"/>
      <c r="M38" s="81"/>
      <c r="N38" s="81"/>
      <c r="O38" s="76">
        <v>0.6</v>
      </c>
      <c r="P38" s="82">
        <v>0.5</v>
      </c>
      <c r="Q38" s="81">
        <v>1</v>
      </c>
      <c r="R38" s="81">
        <v>0.5</v>
      </c>
      <c r="S38" s="81"/>
      <c r="T38" s="81"/>
      <c r="U38" s="81"/>
      <c r="V38" s="77"/>
      <c r="W38" s="58">
        <f t="shared" si="10"/>
        <v>0.6</v>
      </c>
      <c r="X38" s="68">
        <f t="shared" si="8"/>
        <v>2</v>
      </c>
      <c r="Y38" s="78">
        <f t="shared" si="9"/>
        <v>2.6</v>
      </c>
      <c r="Z38" s="70">
        <f>'[1]cálculos teóricos'!I367</f>
        <v>13.44217469400769</v>
      </c>
      <c r="AA38" s="71">
        <f t="shared" si="0"/>
        <v>19.342108395295881</v>
      </c>
      <c r="AB38" s="3"/>
      <c r="AE38" s="196"/>
    </row>
    <row r="39" spans="1:31" ht="18" customHeight="1" thickBot="1">
      <c r="A39" s="86">
        <v>31</v>
      </c>
      <c r="B39" s="87">
        <v>25.7</v>
      </c>
      <c r="C39" s="88">
        <f>'[1]cálculos teóricos'!K368</f>
        <v>1.0433458476398019</v>
      </c>
      <c r="D39" s="89">
        <f t="shared" si="1"/>
        <v>390.50551837902793</v>
      </c>
      <c r="E39" s="90">
        <f t="shared" si="2"/>
        <v>16.349685043493142</v>
      </c>
      <c r="F39" s="91">
        <f t="shared" si="3"/>
        <v>20.766188784366427</v>
      </c>
      <c r="G39" s="92">
        <f>'[1]cálculos teóricos'!T368</f>
        <v>42.985701383239665</v>
      </c>
      <c r="H39" s="93">
        <f t="shared" si="4"/>
        <v>48.30952646142763</v>
      </c>
      <c r="I39" s="94"/>
      <c r="J39" s="87"/>
      <c r="K39" s="87">
        <v>0.7</v>
      </c>
      <c r="L39" s="87">
        <v>1</v>
      </c>
      <c r="M39" s="87">
        <v>1</v>
      </c>
      <c r="N39" s="87">
        <v>0.6</v>
      </c>
      <c r="O39" s="95">
        <v>0.8</v>
      </c>
      <c r="P39" s="94">
        <v>0.8</v>
      </c>
      <c r="Q39" s="87">
        <v>0.6</v>
      </c>
      <c r="R39" s="87"/>
      <c r="S39" s="87"/>
      <c r="T39" s="87"/>
      <c r="U39" s="87"/>
      <c r="V39" s="95"/>
      <c r="W39" s="120">
        <f t="shared" si="10"/>
        <v>4.1000000000000005</v>
      </c>
      <c r="X39" s="121">
        <f t="shared" si="8"/>
        <v>1.4</v>
      </c>
      <c r="Y39" s="116">
        <f t="shared" si="9"/>
        <v>5.5</v>
      </c>
      <c r="Z39" s="98">
        <f>'[1]cálculos teóricos'!I368</f>
        <v>13.437678260637247</v>
      </c>
      <c r="AA39" s="99">
        <f t="shared" si="0"/>
        <v>40.929689588647562</v>
      </c>
      <c r="AB39" s="3"/>
      <c r="AE39" s="196"/>
    </row>
    <row r="40" spans="1:31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03">
        <f>SUM(I9:I39)</f>
        <v>-296.60000000000002</v>
      </c>
      <c r="J40" s="103">
        <f t="shared" ref="J40:AA40" si="11">SUM(J9:J39)</f>
        <v>-287.7</v>
      </c>
      <c r="K40" s="103">
        <f t="shared" si="11"/>
        <v>-285.90000000000003</v>
      </c>
      <c r="L40" s="103">
        <f t="shared" si="11"/>
        <v>-282.09999999999997</v>
      </c>
      <c r="M40" s="103">
        <f t="shared" si="11"/>
        <v>-280.49999999999989</v>
      </c>
      <c r="N40" s="103">
        <f t="shared" si="11"/>
        <v>-278.59999999999997</v>
      </c>
      <c r="O40" s="103">
        <f t="shared" si="11"/>
        <v>-278.2</v>
      </c>
      <c r="P40" s="103">
        <f t="shared" si="11"/>
        <v>-280.59999999999997</v>
      </c>
      <c r="Q40" s="103">
        <f t="shared" si="11"/>
        <v>-281.49999999999994</v>
      </c>
      <c r="R40" s="103">
        <f t="shared" si="11"/>
        <v>-286.7</v>
      </c>
      <c r="S40" s="103">
        <f t="shared" si="11"/>
        <v>-287.5</v>
      </c>
      <c r="T40" s="103">
        <f t="shared" si="11"/>
        <v>-289.90000000000003</v>
      </c>
      <c r="U40" s="103">
        <f t="shared" si="11"/>
        <v>-293.2</v>
      </c>
      <c r="V40" s="103"/>
      <c r="W40" s="103">
        <f t="shared" si="10"/>
        <v>-1989.5999999999997</v>
      </c>
      <c r="X40" s="103">
        <f>SUM(P40:V40)</f>
        <v>-1719.4</v>
      </c>
      <c r="Y40" s="103">
        <f>W40+X40</f>
        <v>-3709</v>
      </c>
      <c r="Z40" s="103">
        <f t="shared" si="11"/>
        <v>416.21285701052278</v>
      </c>
      <c r="AA40" s="103">
        <f t="shared" si="11"/>
        <v>-1079.1875494051931</v>
      </c>
      <c r="AB40" s="100"/>
    </row>
    <row r="41" spans="1:31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31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31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31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31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31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31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31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  <row r="61" spans="1:28">
      <c r="V61" s="200"/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2026-03-11T22:33:11Z</dcterms:created>
  <dcterms:modified xsi:type="dcterms:W3CDTF">2026-03-11T22:33:26Z</dcterms:modified>
</cp:coreProperties>
</file>